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cer\Desktop\Esteban Trabajo\cargue_archivos_finacieros\actualizacion RES\"/>
    </mc:Choice>
  </mc:AlternateContent>
  <xr:revisionPtr revIDLastSave="0" documentId="8_{084A2A8F-E4FF-46CF-A673-37C6C4FA29D0}" xr6:coauthVersionLast="47" xr6:coauthVersionMax="47" xr10:uidLastSave="{00000000-0000-0000-0000-000000000000}"/>
  <bookViews>
    <workbookView xWindow="11436" yWindow="0" windowWidth="11604" windowHeight="12360" xr2:uid="{00000000-000D-0000-FFFF-FFFF00000000}"/>
  </bookViews>
  <sheets>
    <sheet name="Hoja1" sheetId="2" r:id="rId1"/>
    <sheet name="borrar" sheetId="1" r:id="rId2"/>
  </sheets>
  <externalReferences>
    <externalReference r:id="rId3"/>
  </externalReferences>
  <definedNames>
    <definedName name="_xlnm._FilterDatabase" localSheetId="1" hidden="1">borrar!$A$1:$I$1038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833" i="1"/>
  <c r="I8" i="1"/>
  <c r="I1034" i="1"/>
  <c r="I872" i="1"/>
  <c r="I11" i="1"/>
  <c r="I12" i="1"/>
  <c r="I13" i="1"/>
  <c r="I14" i="1"/>
  <c r="I995" i="1"/>
  <c r="I16" i="1"/>
  <c r="I1035" i="1"/>
  <c r="I18" i="1"/>
  <c r="I19" i="1"/>
  <c r="I20" i="1"/>
  <c r="I21" i="1"/>
  <c r="I22" i="1"/>
  <c r="I23" i="1"/>
  <c r="I24" i="1"/>
  <c r="I25" i="1"/>
  <c r="I26" i="1"/>
  <c r="I27" i="1"/>
  <c r="I28" i="1"/>
  <c r="I29" i="1"/>
  <c r="I30" i="1"/>
  <c r="I31" i="1"/>
  <c r="I850" i="1"/>
  <c r="I33" i="1"/>
  <c r="I34" i="1"/>
  <c r="I378"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83" i="1"/>
  <c r="I69" i="1"/>
  <c r="I35" i="1"/>
  <c r="I70" i="1"/>
  <c r="I71" i="1"/>
  <c r="I72" i="1"/>
  <c r="I73" i="1"/>
  <c r="I74" i="1"/>
  <c r="I75" i="1"/>
  <c r="I15" i="1"/>
  <c r="I632" i="1"/>
  <c r="I78" i="1"/>
  <c r="I79" i="1"/>
  <c r="I80" i="1"/>
  <c r="I81" i="1"/>
  <c r="I82" i="1"/>
  <c r="I9" i="1"/>
  <c r="I7" i="1"/>
  <c r="I85" i="1"/>
  <c r="I86" i="1"/>
  <c r="I87" i="1"/>
  <c r="I88" i="1"/>
  <c r="I89" i="1"/>
  <c r="I90" i="1"/>
  <c r="I91" i="1"/>
  <c r="I92" i="1"/>
  <c r="I93" i="1"/>
  <c r="I94" i="1"/>
  <c r="I2"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736"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128" i="1"/>
  <c r="I353" i="1"/>
  <c r="I354" i="1"/>
  <c r="I355" i="1"/>
  <c r="I356" i="1"/>
  <c r="I357" i="1"/>
  <c r="I358" i="1"/>
  <c r="I359" i="1"/>
  <c r="I360" i="1"/>
  <c r="I361" i="1"/>
  <c r="I362" i="1"/>
  <c r="I363" i="1"/>
  <c r="I364" i="1"/>
  <c r="I365" i="1"/>
  <c r="I366" i="1"/>
  <c r="I367" i="1"/>
  <c r="I368" i="1"/>
  <c r="I369" i="1"/>
  <c r="I370" i="1"/>
  <c r="I371" i="1"/>
  <c r="I372" i="1"/>
  <c r="I373" i="1"/>
  <c r="I744" i="1"/>
  <c r="I375" i="1"/>
  <c r="I376" i="1"/>
  <c r="I377" i="1"/>
  <c r="I17" i="1"/>
  <c r="I84" i="1"/>
  <c r="I380" i="1"/>
  <c r="I76" i="1"/>
  <c r="I382" i="1"/>
  <c r="I67" i="1"/>
  <c r="I384" i="1"/>
  <c r="I385" i="1"/>
  <c r="I379"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386" i="1"/>
  <c r="I549" i="1"/>
  <c r="I550" i="1"/>
  <c r="I551" i="1"/>
  <c r="I552" i="1"/>
  <c r="I553" i="1"/>
  <c r="I554" i="1"/>
  <c r="I555" i="1"/>
  <c r="I556" i="1"/>
  <c r="I557" i="1"/>
  <c r="I636"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1036" i="1"/>
  <c r="I633" i="1"/>
  <c r="I634" i="1"/>
  <c r="I635" i="1"/>
  <c r="I352"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548"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10" i="1"/>
  <c r="I737" i="1"/>
  <c r="I738" i="1"/>
  <c r="I739" i="1"/>
  <c r="I740" i="1"/>
  <c r="I741" i="1"/>
  <c r="I742" i="1"/>
  <c r="I743" i="1"/>
  <c r="I793"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1037"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681" i="1"/>
  <c r="I834" i="1"/>
  <c r="I835" i="1"/>
  <c r="I836" i="1"/>
  <c r="I837" i="1"/>
  <c r="I838" i="1"/>
  <c r="I839" i="1"/>
  <c r="I840" i="1"/>
  <c r="I841" i="1"/>
  <c r="I842" i="1"/>
  <c r="I843" i="1"/>
  <c r="I844" i="1"/>
  <c r="I845" i="1"/>
  <c r="I846" i="1"/>
  <c r="I847" i="1"/>
  <c r="I848" i="1"/>
  <c r="I849" i="1"/>
  <c r="I374" i="1"/>
  <c r="I851" i="1"/>
  <c r="I852" i="1"/>
  <c r="I853" i="1"/>
  <c r="I854" i="1"/>
  <c r="I855" i="1"/>
  <c r="I856" i="1"/>
  <c r="I857" i="1"/>
  <c r="I858" i="1"/>
  <c r="I859" i="1"/>
  <c r="I860" i="1"/>
  <c r="I861" i="1"/>
  <c r="I862" i="1"/>
  <c r="I863" i="1"/>
  <c r="I864" i="1"/>
  <c r="I865" i="1"/>
  <c r="I866" i="1"/>
  <c r="I867" i="1"/>
  <c r="I868" i="1"/>
  <c r="I869" i="1"/>
  <c r="I870" i="1"/>
  <c r="I871" i="1"/>
  <c r="I381"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558"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8" i="1"/>
  <c r="I68" i="1"/>
  <c r="I32" i="1"/>
  <c r="I77" i="1"/>
  <c r="I95" i="1"/>
  <c r="I383" i="1"/>
</calcChain>
</file>

<file path=xl/sharedStrings.xml><?xml version="1.0" encoding="utf-8"?>
<sst xmlns="http://schemas.openxmlformats.org/spreadsheetml/2006/main" count="3192" uniqueCount="766">
  <si>
    <t>701-2024</t>
  </si>
  <si>
    <t>CAROLINA  NASTACUAS PAI</t>
  </si>
  <si>
    <t>959-2024</t>
  </si>
  <si>
    <t>KAREN JULIANA ERAZO JURADO</t>
  </si>
  <si>
    <t>837-2024</t>
  </si>
  <si>
    <t>NAYIBE MARCELA LARA MATABANCHOY</t>
  </si>
  <si>
    <t>198-2025</t>
  </si>
  <si>
    <t>BRIGITT MARCELA BURBANO PUPIALES</t>
  </si>
  <si>
    <t>222-2025</t>
  </si>
  <si>
    <t>JANETH EMILSE DIAZ  ARCINIEGAS</t>
  </si>
  <si>
    <t>292-2025</t>
  </si>
  <si>
    <t>EXPRESO SURAMERICANA DE TURISMO SAS</t>
  </si>
  <si>
    <t>183-2025</t>
  </si>
  <si>
    <t>DIANA CAROLINA ORTEGA CAICEDO</t>
  </si>
  <si>
    <t>259-2025</t>
  </si>
  <si>
    <t>FUNDACIÓN CALIDAD DE VIDA Y ESPERANZA</t>
  </si>
  <si>
    <t>260-2025</t>
  </si>
  <si>
    <t>311-2025</t>
  </si>
  <si>
    <t>GARCIA JOJOA EDITH CRISTINA</t>
  </si>
  <si>
    <t>304-2025</t>
  </si>
  <si>
    <t>HAROLD CAMILO QUINTERO  GUEVARA</t>
  </si>
  <si>
    <t>309-2025</t>
  </si>
  <si>
    <t>JULIANA ANDREA PAZ JOJOA</t>
  </si>
  <si>
    <t>303-2025</t>
  </si>
  <si>
    <t>DIANA CAROLINA TISOY CHASOY</t>
  </si>
  <si>
    <t>314-2025</t>
  </si>
  <si>
    <t>LADY CAROLINA TIBAQUIRA BALLESTEROS</t>
  </si>
  <si>
    <t>364-2025</t>
  </si>
  <si>
    <t>NELSY MARITZA JOJOA JOJOA</t>
  </si>
  <si>
    <t>346-2025</t>
  </si>
  <si>
    <t>PAOLA ANDREA RIOS TAPIA</t>
  </si>
  <si>
    <t>360-2025</t>
  </si>
  <si>
    <t>NATHALIA ELIZABETH TULCAN GAMBOA</t>
  </si>
  <si>
    <t>307-2025</t>
  </si>
  <si>
    <t>DIANA SOFIA PANTOJA RUANO</t>
  </si>
  <si>
    <t>363-2025</t>
  </si>
  <si>
    <t>KARINA MARIBEL LUNA LOPEZ</t>
  </si>
  <si>
    <t>359-2025</t>
  </si>
  <si>
    <t>LILIANA MAYER BOTINA CRIOLLO</t>
  </si>
  <si>
    <t>358-2025</t>
  </si>
  <si>
    <t xml:space="preserve">PATRICIA MARIBEL MARTINEZ </t>
  </si>
  <si>
    <t>350-2025</t>
  </si>
  <si>
    <t>MARIA CAMILA PATIÑO DELGADO</t>
  </si>
  <si>
    <t>704-2024</t>
  </si>
  <si>
    <t>657-2024</t>
  </si>
  <si>
    <t>PAOLA ANDREA VELEZ BOLAÑOS</t>
  </si>
  <si>
    <t>667-2024</t>
  </si>
  <si>
    <t>CORDOBA ARTEAGA CARMEN PATRICIA</t>
  </si>
  <si>
    <t>690-2024</t>
  </si>
  <si>
    <t>BLANCA MELVA GAVIRIA BRAVO</t>
  </si>
  <si>
    <t>655-2024</t>
  </si>
  <si>
    <t>ANGELA MARCELA OBANDO BASTIDAS</t>
  </si>
  <si>
    <t>760-2024</t>
  </si>
  <si>
    <t>ELIANA STEPHANIE CAICEDO ALVAREZ</t>
  </si>
  <si>
    <t>663-2024</t>
  </si>
  <si>
    <t>SOFIA ESMERALDA MEJIA ORTÍZ</t>
  </si>
  <si>
    <t>750-2024</t>
  </si>
  <si>
    <t>LEIDI YURANI RAMOS CORDOBA</t>
  </si>
  <si>
    <t>719-2024</t>
  </si>
  <si>
    <t>GREACE  ALEJANDRA CALPA CAICEDO</t>
  </si>
  <si>
    <t>703-2024</t>
  </si>
  <si>
    <t>ELOISA YERALDINE FREYRE GOMEZ</t>
  </si>
  <si>
    <t>799-2024</t>
  </si>
  <si>
    <t>NESLY YANID MUÑOZ ORTÍZ</t>
  </si>
  <si>
    <t>738-2024</t>
  </si>
  <si>
    <t>DANIELA FERNANDA ERASO VALENCIA</t>
  </si>
  <si>
    <t>672-2024</t>
  </si>
  <si>
    <t>CAROLINA ISABEL PORTILLA TEPUD</t>
  </si>
  <si>
    <t>731-2024</t>
  </si>
  <si>
    <t>ISABEL CRISTINA SANTACRUZ MUÑOZ</t>
  </si>
  <si>
    <t>898-2024</t>
  </si>
  <si>
    <t>851-2024</t>
  </si>
  <si>
    <t>NIKOLE CAROLAY IBAÑEZ ALVAREZ</t>
  </si>
  <si>
    <t>945-2024</t>
  </si>
  <si>
    <t>TECNICA ELECTRO MEDICA S.A.</t>
  </si>
  <si>
    <t>741-2024</t>
  </si>
  <si>
    <t>NATHALIA  ROSERO RODRIGUEZ</t>
  </si>
  <si>
    <t>819-2024</t>
  </si>
  <si>
    <t>KAREN NATALIA ACOSTA MUÑOZ</t>
  </si>
  <si>
    <t>822-2024</t>
  </si>
  <si>
    <t>LENY PATRICIA DELGADO BASTIDAS</t>
  </si>
  <si>
    <t>817-2024</t>
  </si>
  <si>
    <t>DANIEL  ALEJANDRO ESCOBAR  ANDRADE</t>
  </si>
  <si>
    <t>639-2024</t>
  </si>
  <si>
    <t>JOSE FERNANDO CHAÑA QUENGUAN</t>
  </si>
  <si>
    <t>722-2024</t>
  </si>
  <si>
    <t>PAULA XIMENA CHÁVES PASMIÑO</t>
  </si>
  <si>
    <t>642-2024</t>
  </si>
  <si>
    <t>LUIS ALONSO GUEVARA DE LOS RIOS</t>
  </si>
  <si>
    <t>659-2024</t>
  </si>
  <si>
    <t>ANA VICTORIA ORTEGA GOMEZ</t>
  </si>
  <si>
    <t>739-2024</t>
  </si>
  <si>
    <t>LISSETH MARISOL CUASTUMAL  CASTRO</t>
  </si>
  <si>
    <t>730-2024</t>
  </si>
  <si>
    <t>CRISTIAN FABIAN CRIOLLO RIVERA</t>
  </si>
  <si>
    <t>895-2024</t>
  </si>
  <si>
    <t>YUDY LILIANA BENAVIDES OJEDA</t>
  </si>
  <si>
    <t>689-2024</t>
  </si>
  <si>
    <t>ASTRID CAROLINA CAICEDO LUNA</t>
  </si>
  <si>
    <t>681-2024</t>
  </si>
  <si>
    <t>DIANA CAROLINA ROSERO CONCHA</t>
  </si>
  <si>
    <t>712-2024</t>
  </si>
  <si>
    <t>NANCY VISITACIÓN CHAMORRO GUAICHAR</t>
  </si>
  <si>
    <t>789-2024</t>
  </si>
  <si>
    <t>MUÑOZ CORDOBA PATRICIA</t>
  </si>
  <si>
    <t>888-2024</t>
  </si>
  <si>
    <t>889-2024</t>
  </si>
  <si>
    <t>890-2024</t>
  </si>
  <si>
    <t>652-2024</t>
  </si>
  <si>
    <t>JULIANA VALENTINA MENDEZ ORTÍZ</t>
  </si>
  <si>
    <t>759-2024</t>
  </si>
  <si>
    <t>VIKY PATRICIA ASCUNTAR CRIOLLO</t>
  </si>
  <si>
    <t>777-2024</t>
  </si>
  <si>
    <t>IBONNE ALEJANDRA SILVA ARAUJO</t>
  </si>
  <si>
    <t>796-2024</t>
  </si>
  <si>
    <t>ROSAURA CAROLINA MADROÑERO DELGADO</t>
  </si>
  <si>
    <t>629-2024</t>
  </si>
  <si>
    <t>698-2024</t>
  </si>
  <si>
    <t>PABLO JOSÉ BADOS LÒPEZ</t>
  </si>
  <si>
    <t>891-2024</t>
  </si>
  <si>
    <t>647-2024</t>
  </si>
  <si>
    <t>JHEIBER BRANLLERT DULCE MUÑOZ</t>
  </si>
  <si>
    <t>646-2024</t>
  </si>
  <si>
    <t>NELLY VANESSA ORDOÑEZ BASTIDAS</t>
  </si>
  <si>
    <t>775-2024</t>
  </si>
  <si>
    <t>ANDRES ERNESTO BRAVO  ALMEIDA</t>
  </si>
  <si>
    <t>638-2024</t>
  </si>
  <si>
    <t>ANA  MILENA ROSERO SANTANDER</t>
  </si>
  <si>
    <t>947-2024</t>
  </si>
  <si>
    <t>ULTRA SCHALL DE COLOMBIA SAS</t>
  </si>
  <si>
    <t>961-2024</t>
  </si>
  <si>
    <t>ORTHOWELL SAS</t>
  </si>
  <si>
    <t>964-2024</t>
  </si>
  <si>
    <t>ALLERS SAS</t>
  </si>
  <si>
    <t>967-2024</t>
  </si>
  <si>
    <t>CLINIMEDICAL GROUP SAS</t>
  </si>
  <si>
    <t>792-2024</t>
  </si>
  <si>
    <t>JULIETH CAROLINA DIAZ FIGUEROA</t>
  </si>
  <si>
    <t>765-2024</t>
  </si>
  <si>
    <t>MONICA PATRICIA PANTOJA DUEÑAS</t>
  </si>
  <si>
    <t>729-2024</t>
  </si>
  <si>
    <t>MEHILIN TATIANA QUIMBIAMBA ORTÌZ</t>
  </si>
  <si>
    <t>648-2024</t>
  </si>
  <si>
    <t>ALBA DENIS ARGOTY SANTACRUZ</t>
  </si>
  <si>
    <t>801-2024</t>
  </si>
  <si>
    <t>ANGIE GIONELLA HERNANDEZ VILLOTA</t>
  </si>
  <si>
    <t>687-2024</t>
  </si>
  <si>
    <t>CINDY ESTEFANIA GONZALES DEL CASTILLO</t>
  </si>
  <si>
    <t>633-2024</t>
  </si>
  <si>
    <t>XIMENA DEL ROSARIO LOPEZ MAYA</t>
  </si>
  <si>
    <t>754-2024</t>
  </si>
  <si>
    <t>MARIA JOSE LEITON ZUTTA</t>
  </si>
  <si>
    <t>755-2024</t>
  </si>
  <si>
    <t>PABLO ERNESTO RIOBAMBA IPIALES</t>
  </si>
  <si>
    <t>978-2024</t>
  </si>
  <si>
    <t>SOLUCIONES INTEGRALES DE INGENIERIA LR S.A.S</t>
  </si>
  <si>
    <t>820-2024</t>
  </si>
  <si>
    <t>EMILY  ROMERO MENDOZA</t>
  </si>
  <si>
    <t>713-2024</t>
  </si>
  <si>
    <t>JENIFFER  ARCOS GIL</t>
  </si>
  <si>
    <t>640-2024</t>
  </si>
  <si>
    <t>MAYERLY NORIDIA ASMAZA GETIAL</t>
  </si>
  <si>
    <t>836-2024</t>
  </si>
  <si>
    <t>MARIO ANDRES ROSAS  ENRIQUEZ</t>
  </si>
  <si>
    <t>795-2024</t>
  </si>
  <si>
    <t>LUZDARI  JARAMILLO NOGUERA</t>
  </si>
  <si>
    <t>776-2024</t>
  </si>
  <si>
    <t>ANA CLEMENCIA BASTIDAS CERON</t>
  </si>
  <si>
    <t>637-2024</t>
  </si>
  <si>
    <t>JERALDINE  BASTIDAS OCAÑA</t>
  </si>
  <si>
    <t>840-2024</t>
  </si>
  <si>
    <t>KAROL DAYANA TONGUINO TORO</t>
  </si>
  <si>
    <t>697-2024</t>
  </si>
  <si>
    <t>PAOLA VIVIANA HIDALGO MARCILLO</t>
  </si>
  <si>
    <t>733-2024</t>
  </si>
  <si>
    <t>INDIRA TAMARA PALACIOS BUSTOS</t>
  </si>
  <si>
    <t>798-2024</t>
  </si>
  <si>
    <t>AYDA ISABEL MATABANCHOY BENAVIDES</t>
  </si>
  <si>
    <t>700-2024</t>
  </si>
  <si>
    <t>JHONNY  ALEXANDER SEPULVEDA DUERO</t>
  </si>
  <si>
    <t>753-2024</t>
  </si>
  <si>
    <t>MAIGUAL MUÑOZ MARIBEL DEL CARMEN</t>
  </si>
  <si>
    <t>645-2024</t>
  </si>
  <si>
    <t>DANNY YESID DELGADO MORA</t>
  </si>
  <si>
    <t>809-2024</t>
  </si>
  <si>
    <t>DIANA SOFIA AYALA DIAZ</t>
  </si>
  <si>
    <t>847-2024</t>
  </si>
  <si>
    <t>YEIMY ANABELY MONCAYO ARTEAGA</t>
  </si>
  <si>
    <t>846-2024</t>
  </si>
  <si>
    <t>JAQUELINE CAMILA GENOY VILLOTA</t>
  </si>
  <si>
    <t>852-2024</t>
  </si>
  <si>
    <t>JESSICA FERNANDA LAGOS DAVID</t>
  </si>
  <si>
    <t>896-2024</t>
  </si>
  <si>
    <t>LICETH NEYIRETH RIVERA ROSERO</t>
  </si>
  <si>
    <t>660-2024</t>
  </si>
  <si>
    <t>ANGELA PATRICIA BASTIDAS  MELO</t>
  </si>
  <si>
    <t>726-2024</t>
  </si>
  <si>
    <t>ANGELA EDITH GONZALEZ PIANDA</t>
  </si>
  <si>
    <t>901-2024</t>
  </si>
  <si>
    <t>LADY VIVIANA CASTRO GUAUÑA</t>
  </si>
  <si>
    <t>913-2024</t>
  </si>
  <si>
    <t>CLAUDIA DANIELA PAZ  RIVERA</t>
  </si>
  <si>
    <t>812-2024</t>
  </si>
  <si>
    <t>RUTH INGRITH DIAZ VALERO</t>
  </si>
  <si>
    <t>842-2024</t>
  </si>
  <si>
    <t>EDITH ANGELICA LOPEZ VILLARREAL</t>
  </si>
  <si>
    <t>651-2024</t>
  </si>
  <si>
    <t>JOHANA CAROLINA CAICEDO GOYES</t>
  </si>
  <si>
    <t>811-2024</t>
  </si>
  <si>
    <t>ANA MILENA JACANMIJOY TREJO</t>
  </si>
  <si>
    <t>653-2024</t>
  </si>
  <si>
    <t>BRAYAN ANTONIO MADROÑERO QUINTERO</t>
  </si>
  <si>
    <t>963-2024</t>
  </si>
  <si>
    <t>ANGIE ALEXANDRA MORILLO PANTOJA</t>
  </si>
  <si>
    <t>857-2024</t>
  </si>
  <si>
    <t>YULY LORENA CABRERA DELGADO</t>
  </si>
  <si>
    <t>802-2024</t>
  </si>
  <si>
    <t>NATHALY STEPHANIE MARTINEZ MARTINEZ</t>
  </si>
  <si>
    <t>778-2024</t>
  </si>
  <si>
    <t>LAUREN AZENITH CORAL SAMUDIO</t>
  </si>
  <si>
    <t>641-2024</t>
  </si>
  <si>
    <t>DANIEL GERARDO ERAZO OVIEDO</t>
  </si>
  <si>
    <t>805-2024</t>
  </si>
  <si>
    <t>FHALOM CAROLINA ROSERO TORRES</t>
  </si>
  <si>
    <t>675-2024</t>
  </si>
  <si>
    <t>LEYDI GISELLA BENAVIDES LÒPEZ</t>
  </si>
  <si>
    <t>658-2024</t>
  </si>
  <si>
    <t>YULY MARCELA MORALES LOPEZ</t>
  </si>
  <si>
    <t>748-2024</t>
  </si>
  <si>
    <t>JULIE ANDREA FREIRE MIER</t>
  </si>
  <si>
    <t>715-2024</t>
  </si>
  <si>
    <t>LUCERITO DEL CARMEN REVELO BENAVIDES</t>
  </si>
  <si>
    <t>912-2024</t>
  </si>
  <si>
    <t>824-2024</t>
  </si>
  <si>
    <t>ZULY MARINA HIDALGO JOJOA</t>
  </si>
  <si>
    <t>644-2024</t>
  </si>
  <si>
    <t>FANY LUCELY RODRIGUEZ CRIOLLO</t>
  </si>
  <si>
    <t>747-2024</t>
  </si>
  <si>
    <t>DARLLY ROXANA ROSERO TIMARÁN</t>
  </si>
  <si>
    <t>856-2024</t>
  </si>
  <si>
    <t>KELLY YURANY JOJOA BOTINA</t>
  </si>
  <si>
    <t>784-2024</t>
  </si>
  <si>
    <t>ADRIANA YADIRA MENESES CARVAJAL</t>
  </si>
  <si>
    <t>917-2024</t>
  </si>
  <si>
    <t>RUTH JACQUELINE GAMEZ PABON</t>
  </si>
  <si>
    <t>654-2024</t>
  </si>
  <si>
    <t>EDMER LEONARDO RUALES AYALA</t>
  </si>
  <si>
    <t>910-2024</t>
  </si>
  <si>
    <t>LISETH  MUÑOZ MARTINEZ</t>
  </si>
  <si>
    <t>788-2024</t>
  </si>
  <si>
    <t>LORENA DEL CARMEN  OJEDA VAZQUEZ</t>
  </si>
  <si>
    <t>918-2024</t>
  </si>
  <si>
    <t>GABRIEL SEBASTIAN MORINELLY ROJAS</t>
  </si>
  <si>
    <t>835-2024</t>
  </si>
  <si>
    <t>CONSTANZA HAIDY UNIGARRO PAZ</t>
  </si>
  <si>
    <t>911-2024</t>
  </si>
  <si>
    <t>LORENA CATERINE ASCUNTAR CUAJIBIOY</t>
  </si>
  <si>
    <t>914-2024</t>
  </si>
  <si>
    <t>YAMILE ALEJANDRA BOTINA RODRIGUEZ</t>
  </si>
  <si>
    <t>770-2024</t>
  </si>
  <si>
    <t>DIANA MILENA PAZ NANDAR</t>
  </si>
  <si>
    <t>949-2024</t>
  </si>
  <si>
    <t>CARINA DEL CARMEN PASICHANA YAQUENO</t>
  </si>
  <si>
    <t>951-2024</t>
  </si>
  <si>
    <t>JESSICA CAROLINA BENAVIDES GENOY</t>
  </si>
  <si>
    <t>744-2024</t>
  </si>
  <si>
    <t>JINETH VANESA CONSTAIN LASSO</t>
  </si>
  <si>
    <t>915-2024</t>
  </si>
  <si>
    <t>DANIELA ALEXANDRA DIAZ GUERRERO</t>
  </si>
  <si>
    <t>679-2024</t>
  </si>
  <si>
    <t>923-2024</t>
  </si>
  <si>
    <t>CARMEN LILIANA ARMERO RUIZ</t>
  </si>
  <si>
    <t>806-2024</t>
  </si>
  <si>
    <t>NORIDA JULIETH TOBAR ARTEAGA</t>
  </si>
  <si>
    <t>828-2024</t>
  </si>
  <si>
    <t>SANDRA PAOLA ROMO JURADO</t>
  </si>
  <si>
    <t>688-2024</t>
  </si>
  <si>
    <t>MARIA  IDER CASANOVA BURBANO</t>
  </si>
  <si>
    <t>957-2024</t>
  </si>
  <si>
    <t>ANGIE VIVIANA SACANAMBUY PAZ</t>
  </si>
  <si>
    <t>708-2024</t>
  </si>
  <si>
    <t>DEISY ANDREA MARTÍNEZ NARVAEZ</t>
  </si>
  <si>
    <t>661-2024</t>
  </si>
  <si>
    <t>MARIA CAMILA PAZ ARCOS</t>
  </si>
  <si>
    <t>880-2024</t>
  </si>
  <si>
    <t>CAMILO JAVIER OÑATE BUCHELI</t>
  </si>
  <si>
    <t>878-2024</t>
  </si>
  <si>
    <t>ANYELI KATHERINE CORAL MORA</t>
  </si>
  <si>
    <t>872-2024</t>
  </si>
  <si>
    <t>IVAN ALEXANDER BEJARANO RAMIREZ</t>
  </si>
  <si>
    <t>674-2024</t>
  </si>
  <si>
    <t>FERNANDO ALBERTO ROMERO SOLANO</t>
  </si>
  <si>
    <t>685-2024</t>
  </si>
  <si>
    <t>KARLA VALERIA AZA  CEPEDA</t>
  </si>
  <si>
    <t>673-2024</t>
  </si>
  <si>
    <t>GERALDINE  VIVIANA VILLOTA ARTEAGA</t>
  </si>
  <si>
    <t>816-2024</t>
  </si>
  <si>
    <t>LADY MABEL CABRERA CORAL</t>
  </si>
  <si>
    <t>710-2024</t>
  </si>
  <si>
    <t>DANIELA ALEXANDRA PABON YARPAS</t>
  </si>
  <si>
    <t>868-2024</t>
  </si>
  <si>
    <t>FANNY MARIELA CORDOBA MORENO</t>
  </si>
  <si>
    <t>839-2024</t>
  </si>
  <si>
    <t>LIZETH YOVANA SUAREZ PORTILLA</t>
  </si>
  <si>
    <t>669-2024</t>
  </si>
  <si>
    <t>782-2024</t>
  </si>
  <si>
    <t>BRIGIT ESNIT GARCIA MANCHABAJOY</t>
  </si>
  <si>
    <t>671-2024</t>
  </si>
  <si>
    <t>LIZETH MARCELA ORTÌZ MUÑOZ</t>
  </si>
  <si>
    <t>813-2024</t>
  </si>
  <si>
    <t>SONIA DEL ROCIO GOMEZ NARVAEZ</t>
  </si>
  <si>
    <t>740-2024</t>
  </si>
  <si>
    <t>PAULA ANDREA ROCHA DELGADO</t>
  </si>
  <si>
    <t>706-2024</t>
  </si>
  <si>
    <t>MONICA DEL ROCIO ERAZO RUIZ</t>
  </si>
  <si>
    <t>968-2024</t>
  </si>
  <si>
    <t>MARIA  VICTORIA TABLA  MARTINEZ</t>
  </si>
  <si>
    <t>906-2024</t>
  </si>
  <si>
    <t>DIANA MARIA ERASO ALAVA</t>
  </si>
  <si>
    <t>714-2024</t>
  </si>
  <si>
    <t>CAROL VIVIANA RODRIGUEZ  CARDENAS</t>
  </si>
  <si>
    <t>956-2024</t>
  </si>
  <si>
    <t>LUZ ADRIANA CERON BASANTE</t>
  </si>
  <si>
    <t>783-2024</t>
  </si>
  <si>
    <t>ANGELA ESTEFANYA NASPIRAN  JOJOA</t>
  </si>
  <si>
    <t>725-2024</t>
  </si>
  <si>
    <t>MARILIN  ZAMBRANO OBANDO</t>
  </si>
  <si>
    <t>665-2024</t>
  </si>
  <si>
    <t>ANGELA PAOLA BOLAÐOS ARGOTI</t>
  </si>
  <si>
    <t>699-2024</t>
  </si>
  <si>
    <t>ANGIE GABRIELA ENRIQUEZ TACAN</t>
  </si>
  <si>
    <t>728-2024</t>
  </si>
  <si>
    <t>KAROL ESTEFANY MIRANDA TOBAR</t>
  </si>
  <si>
    <t>761-2024</t>
  </si>
  <si>
    <t>YULLI KAROLINA CASTILLO PAZ</t>
  </si>
  <si>
    <t>803-2024</t>
  </si>
  <si>
    <t>BRYAN ANDRES BASTIDAS RUALES</t>
  </si>
  <si>
    <t>869-2024</t>
  </si>
  <si>
    <t>LINA MARIA PIZANO PEREZ</t>
  </si>
  <si>
    <t>808-2024</t>
  </si>
  <si>
    <t>LAURA CAROLINA DELGADO BASTIDAS</t>
  </si>
  <si>
    <t>954-2024</t>
  </si>
  <si>
    <t>ANDREA LILIANA LAGUNA  RUALES</t>
  </si>
  <si>
    <t>800-2024</t>
  </si>
  <si>
    <t>NICOLAS EMILIO MENA  JOJOA</t>
  </si>
  <si>
    <t>909-2024</t>
  </si>
  <si>
    <t>CLAUDIA EDILMA PAZ GUERRA</t>
  </si>
  <si>
    <t>834-2024</t>
  </si>
  <si>
    <t>LYNN JANINA ORTIZ PAZ</t>
  </si>
  <si>
    <t>717-2024</t>
  </si>
  <si>
    <t>ERIKA PAOLA ESTRADA  BURBANO</t>
  </si>
  <si>
    <t>873-2024</t>
  </si>
  <si>
    <t>ADRIANA SOFIA ISANDARA NUPAN</t>
  </si>
  <si>
    <t>694-2024</t>
  </si>
  <si>
    <t>SARA  VICTORIA ALVAREZ FIGUEROA</t>
  </si>
  <si>
    <t>931-2024</t>
  </si>
  <si>
    <t>MARIA  CAMILA JURADO PAZ</t>
  </si>
  <si>
    <t>939-2024</t>
  </si>
  <si>
    <t>ZANDRA YADIRA GOMEZ ZAMBRANO</t>
  </si>
  <si>
    <t>662-2024</t>
  </si>
  <si>
    <t>VERONICA SOFIA HUERTAS ARCINIEGAS</t>
  </si>
  <si>
    <t>711-2024</t>
  </si>
  <si>
    <t>NAYIBI JANED MELO DELGADO</t>
  </si>
  <si>
    <t>894-2024</t>
  </si>
  <si>
    <t>BASTIDAS MORA MYRIAM JANNETH</t>
  </si>
  <si>
    <t>757-2024</t>
  </si>
  <si>
    <t>GABRIELA ALEJANDRA GUERRERO BRAVO</t>
  </si>
  <si>
    <t>844-2024</t>
  </si>
  <si>
    <t>LINA YEZMIN DE LA CRUZ CUSIS</t>
  </si>
  <si>
    <t>787-2024</t>
  </si>
  <si>
    <t>AMANDA  LOPEZ HERNANDEZ</t>
  </si>
  <si>
    <t>933-2024</t>
  </si>
  <si>
    <t>JHON JAIRO GOMAJOA ACHICANOY</t>
  </si>
  <si>
    <t>702-2024</t>
  </si>
  <si>
    <t>FRANCISCO  RAFAEL ORTÍZ BENÌTEZ</t>
  </si>
  <si>
    <t>727-2024</t>
  </si>
  <si>
    <t>YENIFER NAYIBE MENESES TOBAR</t>
  </si>
  <si>
    <t>771-2024</t>
  </si>
  <si>
    <t>PATRICIA YOLANDA PAZ  DELGADO</t>
  </si>
  <si>
    <t>720-2024</t>
  </si>
  <si>
    <t>MARIA ISABEL ALVAREZ CAICEDO</t>
  </si>
  <si>
    <t>785-2024</t>
  </si>
  <si>
    <t>ALEXANDRA MARIA ORTEGA ROSERO</t>
  </si>
  <si>
    <t>876-2024</t>
  </si>
  <si>
    <t>LUZ  MARINA BENAVIDES  BASTIDAS</t>
  </si>
  <si>
    <t>786-2024</t>
  </si>
  <si>
    <t>ADRIANA GABRIELA DIAZ MONTENEGRO</t>
  </si>
  <si>
    <t>818-2024</t>
  </si>
  <si>
    <t>SANTIAGO NICOLAS TULCAN REGALADO</t>
  </si>
  <si>
    <t>745-2024</t>
  </si>
  <si>
    <t>VERONICA ROXANA MORAN VILLOTA</t>
  </si>
  <si>
    <t>723-2024</t>
  </si>
  <si>
    <t>INÉS MERCEDES LÓPEZ TORRES</t>
  </si>
  <si>
    <t>962-2024</t>
  </si>
  <si>
    <t>LEODAN DANIEL NARVAEZ NARVAEZ</t>
  </si>
  <si>
    <t>680-2024</t>
  </si>
  <si>
    <t>DEYANIRA  BADOS DAZA</t>
  </si>
  <si>
    <t>682-2024</t>
  </si>
  <si>
    <t>JESUS ARMANDO MARTÍNEZ GÓMEZ</t>
  </si>
  <si>
    <t>908-2024</t>
  </si>
  <si>
    <t>DEISY JOHANNA BASTIDAS JOJOA</t>
  </si>
  <si>
    <t>833-2024</t>
  </si>
  <si>
    <t>932-2024</t>
  </si>
  <si>
    <t>ALEXA DAYANA CERON BRAVO</t>
  </si>
  <si>
    <t>736-2024</t>
  </si>
  <si>
    <t>ANDREA PAOLA MONTES PANTOJA</t>
  </si>
  <si>
    <t>743-2024</t>
  </si>
  <si>
    <t>JOSE JAVIER PINTA YAQUENO</t>
  </si>
  <si>
    <t>686-2024</t>
  </si>
  <si>
    <t>DIANA CAROLINA CORTES TAPIA</t>
  </si>
  <si>
    <t>737-2024</t>
  </si>
  <si>
    <t>MARIA FERNANDA INGUILAN CARRERA</t>
  </si>
  <si>
    <t>821-2024</t>
  </si>
  <si>
    <t>JAZMIN DEL CARMEN NUPAN BURBANO</t>
  </si>
  <si>
    <t>884-2024</t>
  </si>
  <si>
    <t>DIANA CAROLINA MORAN CRUZ</t>
  </si>
  <si>
    <t>825-2024</t>
  </si>
  <si>
    <t>VIVEROS BRAVO NORA</t>
  </si>
  <si>
    <t>779-2024</t>
  </si>
  <si>
    <t>VANESSA KATHERINE JOJOA ARIAS</t>
  </si>
  <si>
    <t>885-2024</t>
  </si>
  <si>
    <t>DIEGO FERNANDO DELGADO ERASO</t>
  </si>
  <si>
    <t>718-2024</t>
  </si>
  <si>
    <t>MARITZA ROCIO OLIVA CUZ</t>
  </si>
  <si>
    <t>832-2024</t>
  </si>
  <si>
    <t>YULI XIMENA TAPIA ORDOÑEZ</t>
  </si>
  <si>
    <t>656-2024</t>
  </si>
  <si>
    <t>LEIDY CRISTINA RODRÌGUEZ LÓPEZ</t>
  </si>
  <si>
    <t>865-2024</t>
  </si>
  <si>
    <t>LUISA FERNANDA MELO HIGIDIO</t>
  </si>
  <si>
    <t>864-2024</t>
  </si>
  <si>
    <t>LUCENY CENIDIA DAVID  RODRIGUEZ</t>
  </si>
  <si>
    <t>854-2024</t>
  </si>
  <si>
    <t>ROSERO MIRANDA LEIDY LIZETH</t>
  </si>
  <si>
    <t>793-2024</t>
  </si>
  <si>
    <t>ALEJANDRA MARLENY PATIÑO VALENCIA</t>
  </si>
  <si>
    <t>907-2024</t>
  </si>
  <si>
    <t>VIVIANA MERCEDES PIZANO PORTILLA</t>
  </si>
  <si>
    <t>794-2024</t>
  </si>
  <si>
    <t>DANIELA VANESA MONTANCHEZ GOMAJOA</t>
  </si>
  <si>
    <t>848-2024</t>
  </si>
  <si>
    <t>CAROL  SUVANY HERRERA ERAZO</t>
  </si>
  <si>
    <t>881-2024</t>
  </si>
  <si>
    <t>LISETH ELIANA BENAVIDES ARCOS</t>
  </si>
  <si>
    <t>814-2024</t>
  </si>
  <si>
    <t xml:space="preserve">CLARA MARIA ACOSTA </t>
  </si>
  <si>
    <t>926-2024</t>
  </si>
  <si>
    <t>NICOLAS ALEJANDRO ROSERO MORILLO</t>
  </si>
  <si>
    <t>860-2024</t>
  </si>
  <si>
    <t>MARIA ALEJANDRA BOTINA DELGADO</t>
  </si>
  <si>
    <t>886-2024</t>
  </si>
  <si>
    <t xml:space="preserve">JESICA GERALDINE MORALES </t>
  </si>
  <si>
    <t>732-2024</t>
  </si>
  <si>
    <t>NATALIA LIZETH AGUIRRE SALAZAR</t>
  </si>
  <si>
    <t>838-2024</t>
  </si>
  <si>
    <t>LESLY NATHALIA MAIGUAL JURADO</t>
  </si>
  <si>
    <t>666-2024</t>
  </si>
  <si>
    <t>NIEVES FERNANDA AZZA ORDOÑEZ</t>
  </si>
  <si>
    <t>749-2024</t>
  </si>
  <si>
    <t>MARIA ALEJANDRA BENAVIDES AYALA</t>
  </si>
  <si>
    <t>709-2024</t>
  </si>
  <si>
    <t>MARIA  DE LOS ANGELES ACOSTA ROSERO</t>
  </si>
  <si>
    <t>823-2024</t>
  </si>
  <si>
    <t>AYDE JACKELINE CABRERA CRIOLLO</t>
  </si>
  <si>
    <t>950-2024</t>
  </si>
  <si>
    <t>ANDREA  LEONIZA IPIALES SOLARTE</t>
  </si>
  <si>
    <t>724-2024</t>
  </si>
  <si>
    <t>LAURA VALENTINA PASCUAZA YUCUMA</t>
  </si>
  <si>
    <t>670-2024</t>
  </si>
  <si>
    <t>JHON SEBASTIAN NARVAEZ DEJOY</t>
  </si>
  <si>
    <t>756-2024</t>
  </si>
  <si>
    <t>JUANITA MAYLIN VELASQUEZ REVELO</t>
  </si>
  <si>
    <t>746-2024</t>
  </si>
  <si>
    <t>AIDE CAROLINA RIASCOS ECHEVERRY</t>
  </si>
  <si>
    <t>678-2024</t>
  </si>
  <si>
    <t>ANGELA LORENA LOPEZ  VALLEJO</t>
  </si>
  <si>
    <t>924-2024</t>
  </si>
  <si>
    <t>KARINA ELIZABETH MADROÐERO DELGADO</t>
  </si>
  <si>
    <t>841-2024</t>
  </si>
  <si>
    <t>ELIZABETH ALEJANDRA TOBAR MORAN</t>
  </si>
  <si>
    <t>684-2024</t>
  </si>
  <si>
    <t>CARMEN  LILIANA ARCINIEGAS LÒPEZ</t>
  </si>
  <si>
    <t>810-2024</t>
  </si>
  <si>
    <t>JAIRO  ALBERTO MAIGUAL MIRAMAG</t>
  </si>
  <si>
    <t>827-2024</t>
  </si>
  <si>
    <t>MARIA FERNANDA VASQUEZ ARGOTI</t>
  </si>
  <si>
    <t>649-2024</t>
  </si>
  <si>
    <t>FRANCO JESUS RODRIGUEZ ARAUJO</t>
  </si>
  <si>
    <t>797-2024</t>
  </si>
  <si>
    <t>LIDIA JIMENA RODRIGUEZ LOZA</t>
  </si>
  <si>
    <t>691-2024</t>
  </si>
  <si>
    <t>JAZMIN ELIZABETH ARCE CALDERON</t>
  </si>
  <si>
    <t>960-2024</t>
  </si>
  <si>
    <t xml:space="preserve">MANOSALVA UNIGARRO PAULA ANDREA   </t>
  </si>
  <si>
    <t>635-2024</t>
  </si>
  <si>
    <t>ERIKA JOHANNA OBANDO SANTACRUZ</t>
  </si>
  <si>
    <t>751-2024</t>
  </si>
  <si>
    <t>EDER SHINEIDER TUTISTAR TUTISTAR</t>
  </si>
  <si>
    <t>859-2024</t>
  </si>
  <si>
    <t>RAFAEL ARLEY ROSERO PINZA</t>
  </si>
  <si>
    <t>893-2024</t>
  </si>
  <si>
    <t>CLEOTILDE FLOR ALBA PIANDOY CUSIS</t>
  </si>
  <si>
    <t>762-2024</t>
  </si>
  <si>
    <t>ANGIE VIVIANA AULLON VASQUEZ</t>
  </si>
  <si>
    <t>636-2024</t>
  </si>
  <si>
    <t>JENIFER  AREVALO CRIOLLO</t>
  </si>
  <si>
    <t>900-2024</t>
  </si>
  <si>
    <t>KARELIS NATALY ZHENG MONSALVE</t>
  </si>
  <si>
    <t>871-2024</t>
  </si>
  <si>
    <t>KAROL IVONNE BURBANO ROSERO</t>
  </si>
  <si>
    <t>866-2024</t>
  </si>
  <si>
    <t>VIVIAN ROXANA JURADO BANDA</t>
  </si>
  <si>
    <t>764-2024</t>
  </si>
  <si>
    <t>LAURA  SOFIA ROSERO DAVID</t>
  </si>
  <si>
    <t>928-2024</t>
  </si>
  <si>
    <t>YULI NATHALIA CALI RODRIGUEZ</t>
  </si>
  <si>
    <t>849-2024</t>
  </si>
  <si>
    <t>ANA MARCELA LOPEZ RUALES</t>
  </si>
  <si>
    <t>742-2024</t>
  </si>
  <si>
    <t>ELBER ALFREDO CAMPAÑA IMBAQUIN</t>
  </si>
  <si>
    <t>650-2024</t>
  </si>
  <si>
    <t>FERNANDO TEOFILO ROSERO PATIÑO</t>
  </si>
  <si>
    <t>862-2024</t>
  </si>
  <si>
    <t>JESSICA STEFANNY FRANCO ERASO</t>
  </si>
  <si>
    <t>752-2024</t>
  </si>
  <si>
    <t>LIDA CRISTINA GUERRERO MIRAMAG</t>
  </si>
  <si>
    <t>677-2024</t>
  </si>
  <si>
    <t>JORGE LUIS CARVAJAL GUACHAVEZ</t>
  </si>
  <si>
    <t>858-2024</t>
  </si>
  <si>
    <t>INGRID RAQUEL MONCAYO  NARVAEZ</t>
  </si>
  <si>
    <t>930-2024</t>
  </si>
  <si>
    <t>TANIA KARINA CUERO CASANOVA</t>
  </si>
  <si>
    <t>867-2024</t>
  </si>
  <si>
    <t>BRIGITH VANESSA QUENGUAN CALDERON</t>
  </si>
  <si>
    <t>791-2024</t>
  </si>
  <si>
    <t>EVELYN  FERNANDA ACOSTA CHICAIZA</t>
  </si>
  <si>
    <t>781-2024</t>
  </si>
  <si>
    <t>MARIA CAMILA PAREDEZ TIMANA</t>
  </si>
  <si>
    <t>929-2024</t>
  </si>
  <si>
    <t>ANDREA  NATHALY ALAVA BOLAÑOS</t>
  </si>
  <si>
    <t>925-2024</t>
  </si>
  <si>
    <t>ALEJANDRA LUCIA BENAVIDES ZAMORA</t>
  </si>
  <si>
    <t>942-2024</t>
  </si>
  <si>
    <t>DANIEL  SALAZAR LOPEZ</t>
  </si>
  <si>
    <t>883-2024</t>
  </si>
  <si>
    <t>DANNY ALEXANDER ORTIZ MUÑOZ</t>
  </si>
  <si>
    <t>855-2024</t>
  </si>
  <si>
    <t>NATHALIE CAROLINA ESTRADA SE LA CRUZ</t>
  </si>
  <si>
    <t>707-2024</t>
  </si>
  <si>
    <t>NATALIA ANDREA LATORRE RUANO</t>
  </si>
  <si>
    <t>897-2024</t>
  </si>
  <si>
    <t>LAURA CATALINA MUÑOZ LUNA</t>
  </si>
  <si>
    <t>829-2024</t>
  </si>
  <si>
    <t>JAQUELINE  MELO MOSQUERA</t>
  </si>
  <si>
    <t>887-2024</t>
  </si>
  <si>
    <t>JOHNNY ALCIBIADES SOTOMAYOR PRECIADO</t>
  </si>
  <si>
    <t>695-2024</t>
  </si>
  <si>
    <t>SONIA PATRICIA ESPANA TAPIA</t>
  </si>
  <si>
    <t>1005-2024</t>
  </si>
  <si>
    <t>BUITRAGO ALZATE JERSON ALBEIRO</t>
  </si>
  <si>
    <t>815-2024</t>
  </si>
  <si>
    <t>BRENDA DAYANA TABLA PULISTAR</t>
  </si>
  <si>
    <t>882-2024</t>
  </si>
  <si>
    <t>DANIELA  DELGADO CHAMORRO</t>
  </si>
  <si>
    <t>927-2024</t>
  </si>
  <si>
    <t>ISABELA CATALINA CALDERON MERA</t>
  </si>
  <si>
    <t>902-2024</t>
  </si>
  <si>
    <t>CARLOS  ALBERTO ZAMBRANO VARGAS</t>
  </si>
  <si>
    <t>634-2024</t>
  </si>
  <si>
    <t>JHON JAIME LOPEZ GUERRERO</t>
  </si>
  <si>
    <t>916-2024</t>
  </si>
  <si>
    <t>JULIANA ALEJANDRA BASTIDAS JOJOA</t>
  </si>
  <si>
    <t>853-2024</t>
  </si>
  <si>
    <t>MARIO ALEXANDER MENA RODRIGUEZ</t>
  </si>
  <si>
    <t>850-2024</t>
  </si>
  <si>
    <t>JUAN FERNANDO ZARAMA SILVA</t>
  </si>
  <si>
    <t>643-2024</t>
  </si>
  <si>
    <t>ADRIANA YORLADY ARMERO BURBANO</t>
  </si>
  <si>
    <t>693-2024</t>
  </si>
  <si>
    <t xml:space="preserve">ROCIO DEL PILAR RIVERA </t>
  </si>
  <si>
    <t>879-2024</t>
  </si>
  <si>
    <t>NELSON FREDY ARCINIEGAS ORTIZ</t>
  </si>
  <si>
    <t>1030-2024</t>
  </si>
  <si>
    <t>MONICA  LOZANO BARBOSA</t>
  </si>
  <si>
    <t>843-2024</t>
  </si>
  <si>
    <t>877-2024</t>
  </si>
  <si>
    <t>MERCY LORENA SACANAMBUY LOPEZ</t>
  </si>
  <si>
    <t>990-2024</t>
  </si>
  <si>
    <t>JAVIER DARIO PANTOJA ROSERO</t>
  </si>
  <si>
    <t>790-2024</t>
  </si>
  <si>
    <t>VERONICA  HURTADO PASCUAZA</t>
  </si>
  <si>
    <t>780-2024</t>
  </si>
  <si>
    <t>HENRY HERNAN BARCO RAMOS</t>
  </si>
  <si>
    <t>875-2024</t>
  </si>
  <si>
    <t>WENDY ALEXANDRA PASTAS JIMENEZ</t>
  </si>
  <si>
    <t>958-2024</t>
  </si>
  <si>
    <t>JONATHAN DAVID NARVAEZ MUYUY</t>
  </si>
  <si>
    <t>1007-2024</t>
  </si>
  <si>
    <t>OMAR ALEXANDER ORTIZ PAZMIÑO</t>
  </si>
  <si>
    <t>845-2024</t>
  </si>
  <si>
    <t>ELIANA YORLENY BENAVIDES GUERRERO</t>
  </si>
  <si>
    <t>1001-2024</t>
  </si>
  <si>
    <t>MARIA CLAUDIA ZAMBRANO BOLAÑOS</t>
  </si>
  <si>
    <t>1021-2024</t>
  </si>
  <si>
    <t>AURA CECILIA POSADA BARRIOS</t>
  </si>
  <si>
    <t>831-2024</t>
  </si>
  <si>
    <t>1006-2024</t>
  </si>
  <si>
    <t>DIANA MARCELA MELO ERASO</t>
  </si>
  <si>
    <t>970-2024</t>
  </si>
  <si>
    <t>ALISSON STEF ROSERO RODRIGUEZ</t>
  </si>
  <si>
    <t>995-2024</t>
  </si>
  <si>
    <t>LAURA VIVIANA  LASSO GONZALEZ</t>
  </si>
  <si>
    <t>992-2024</t>
  </si>
  <si>
    <t>DIANA CAROLINA ESCOBAR ANDRADE</t>
  </si>
  <si>
    <t>1010-2024</t>
  </si>
  <si>
    <t>MARIANA ELIZABETH ROMO PANTOJA</t>
  </si>
  <si>
    <t>1004-2024</t>
  </si>
  <si>
    <t>CATALINA  MARTINEZ RAMOS</t>
  </si>
  <si>
    <t>996-2024</t>
  </si>
  <si>
    <t>GRECIA INES ANGEL DIOSA</t>
  </si>
  <si>
    <t>758-2024</t>
  </si>
  <si>
    <t>LEONEL FERNANDO JOJOA JOJOA</t>
  </si>
  <si>
    <t>966-2024</t>
  </si>
  <si>
    <t>MONICA PATRICIA JOJOA BOTINA</t>
  </si>
  <si>
    <t>980-2024</t>
  </si>
  <si>
    <t>NAYIBI ROCIO MONCADA JATIVA</t>
  </si>
  <si>
    <t>988-2024</t>
  </si>
  <si>
    <t>DIANA LIZETH RAMOS  MENESES</t>
  </si>
  <si>
    <t>946-2024</t>
  </si>
  <si>
    <t>993-2024</t>
  </si>
  <si>
    <t>PAOLA XIMENA ERIRA TORRES</t>
  </si>
  <si>
    <t>1026-2024</t>
  </si>
  <si>
    <t>MONICA ALEXANDRA ORTIZ CABRERA</t>
  </si>
  <si>
    <t>984-2024</t>
  </si>
  <si>
    <t>LEIDY JOHANA MERA CONDE</t>
  </si>
  <si>
    <t>1015-2024</t>
  </si>
  <si>
    <t xml:space="preserve">JOHANA KATERINE GONZALEZ </t>
  </si>
  <si>
    <t>1045-2024</t>
  </si>
  <si>
    <t>INGRID ELIZABETH CASTILLO MONCAYO</t>
  </si>
  <si>
    <t>MARIBEL DEL CARMEN MAIGUAL MUÑOZ</t>
  </si>
  <si>
    <t>705-2024</t>
  </si>
  <si>
    <t>VALERIA FERNANDA CUASQUER CANTUCA</t>
  </si>
  <si>
    <t>1031-2024</t>
  </si>
  <si>
    <t>NELCY VICTORIA GUSTIN FAJARDO</t>
  </si>
  <si>
    <t>830-2024</t>
  </si>
  <si>
    <t>HECTOR GERMAN OJEDA CERON</t>
  </si>
  <si>
    <t>986-2024</t>
  </si>
  <si>
    <t>DANNY ALEXANDER SANCHEZ ESTRADA</t>
  </si>
  <si>
    <t>987-2024</t>
  </si>
  <si>
    <t>TANIA MARCELA DIAZ DIAZ</t>
  </si>
  <si>
    <t>1048-2024</t>
  </si>
  <si>
    <t xml:space="preserve">DIANA FERNANDA ORDOÑEZ </t>
  </si>
  <si>
    <t>804-2024</t>
  </si>
  <si>
    <t>ANDREA  CATALINA CUASTUMAL ESCOBAR</t>
  </si>
  <si>
    <t>1043-2024</t>
  </si>
  <si>
    <t>JIMENEZ CRIOLLO BICKE MARIBEL</t>
  </si>
  <si>
    <t>969-2024</t>
  </si>
  <si>
    <t xml:space="preserve">CALVACHE MARTINEZ CLAUDIA LUCY   </t>
  </si>
  <si>
    <t>1029-2024</t>
  </si>
  <si>
    <t>SONIA PATRICIA ERAZO RIVERA</t>
  </si>
  <si>
    <t>1000-2024</t>
  </si>
  <si>
    <t>TIMANA MAIGUAL MARCELA JAZMIN</t>
  </si>
  <si>
    <t>807-2024</t>
  </si>
  <si>
    <t>LUISA CAROLINA SANTACRUZ SANTACRUZ</t>
  </si>
  <si>
    <t>997-2024</t>
  </si>
  <si>
    <t>DEISY YOLANDA ADARMES MUÑOZ</t>
  </si>
  <si>
    <t>955-2024</t>
  </si>
  <si>
    <t>LIGIA DEL CARMEN ERAZO GUERRERO</t>
  </si>
  <si>
    <t>1053-2024</t>
  </si>
  <si>
    <t>CLARA INES APRAEZ GOMEZ</t>
  </si>
  <si>
    <t>668-2024</t>
  </si>
  <si>
    <t>ANGELA SOFIA ORDOÑEZ BENAVIDES</t>
  </si>
  <si>
    <t>899-2024</t>
  </si>
  <si>
    <t>1035-2024</t>
  </si>
  <si>
    <t>EDUARDO  MAURICIO NARVAEZ GUERRA</t>
  </si>
  <si>
    <t>1051-2024</t>
  </si>
  <si>
    <t>MARIA CAMILA ENRIQUEZ GUERRERO</t>
  </si>
  <si>
    <t>999-2024</t>
  </si>
  <si>
    <t xml:space="preserve">YADIRA ALEXANDRA CALVACHE </t>
  </si>
  <si>
    <t>989-2024</t>
  </si>
  <si>
    <t>ANNY MAYERLINE NARVAEZ ÑAÑEZ</t>
  </si>
  <si>
    <t>1044-2024</t>
  </si>
  <si>
    <t>ANGELA JENNIFER VALLEJO PALACIOS</t>
  </si>
  <si>
    <t>1024-2024</t>
  </si>
  <si>
    <t>RICAURTE ENRIQUEZ FABIO HERNAN</t>
  </si>
  <si>
    <t>1034-2024</t>
  </si>
  <si>
    <t>TANIA ALEJANDRA BENAVIDES MARTINEZ</t>
  </si>
  <si>
    <t>1011-2024</t>
  </si>
  <si>
    <t>YEISON SMIT NUÑEZ ACOSTA</t>
  </si>
  <si>
    <t>1012-2024</t>
  </si>
  <si>
    <t>CARLOS ANDRES PANTOJA BENAVIDES</t>
  </si>
  <si>
    <t>1025-2024</t>
  </si>
  <si>
    <t>YURI LORENA MUÑOZ CANCIMANZE</t>
  </si>
  <si>
    <t>1013-2024</t>
  </si>
  <si>
    <t>NUVI GRACIELA CHAMORRO CORAL</t>
  </si>
  <si>
    <t>991-2024</t>
  </si>
  <si>
    <t>JOSE DAVID GOMEZ BENAVIDES</t>
  </si>
  <si>
    <t>696-2024</t>
  </si>
  <si>
    <t>MARIA FERNANDA SANCHEZ CARDENAS</t>
  </si>
  <si>
    <t>985-2024</t>
  </si>
  <si>
    <t>KAREN  CRISTINA MOSQUERA HERNANDEZ</t>
  </si>
  <si>
    <t>1032-2024</t>
  </si>
  <si>
    <t>YOLLDY LIZETH CABRERA FUERTES</t>
  </si>
  <si>
    <t>975-2024</t>
  </si>
  <si>
    <t>RICARDO  ENRIQUE VEGA MERA</t>
  </si>
  <si>
    <t>1033-2024</t>
  </si>
  <si>
    <t>OSORIO GUERRERO ORFELINA DEL CARMEN</t>
  </si>
  <si>
    <t>1020-2024</t>
  </si>
  <si>
    <t>KATHERINE CAMILA URIBE BURBANO</t>
  </si>
  <si>
    <t>1002-2024</t>
  </si>
  <si>
    <t>ELSSY ISLANDI SOLARTE ORDOÑEZ</t>
  </si>
  <si>
    <t>1003-2024</t>
  </si>
  <si>
    <t>CAROL SILVANA PATIÑO VALENCIA</t>
  </si>
  <si>
    <t>1037-2024</t>
  </si>
  <si>
    <t>YURI MABEL GUARANGUAY GUERRERO</t>
  </si>
  <si>
    <t>1052-2024</t>
  </si>
  <si>
    <t>YONATAN  MENA GRIJALBA</t>
  </si>
  <si>
    <t>935-2024</t>
  </si>
  <si>
    <t>JUDDY GABRIELA PIANDA PISCAL</t>
  </si>
  <si>
    <t>1055-2024</t>
  </si>
  <si>
    <t>974-2024</t>
  </si>
  <si>
    <t>MONICA NATALY PALACIOS  BASTIDAS</t>
  </si>
  <si>
    <t>1047-2024</t>
  </si>
  <si>
    <t>FRAN GIOVANNY GETIAL CHICAIZA</t>
  </si>
  <si>
    <t>1054-2024</t>
  </si>
  <si>
    <t>JINNETH PAOLA LOPEZ AGUIRRE</t>
  </si>
  <si>
    <t>1084-2024</t>
  </si>
  <si>
    <t>MONICA PAOLA CHAMORRO CAICEDO</t>
  </si>
  <si>
    <t>1049-2024</t>
  </si>
  <si>
    <t>NICOLE ALEXANDRA CHACON GUERRERO</t>
  </si>
  <si>
    <t>921-2024</t>
  </si>
  <si>
    <t>ANGIE MARCELA PRECIADO QUIÑONES</t>
  </si>
  <si>
    <t>1008-2024</t>
  </si>
  <si>
    <t>DIANA CAROLINA CORAL LOPEZ</t>
  </si>
  <si>
    <t>981-2024</t>
  </si>
  <si>
    <t>1080-2024</t>
  </si>
  <si>
    <t>ANGIE MARISOL ESPAÑA BURGOS</t>
  </si>
  <si>
    <t>1050-2024</t>
  </si>
  <si>
    <t>BERTA ALICIA RUIZ</t>
  </si>
  <si>
    <t>1068-2024</t>
  </si>
  <si>
    <t>ZONIA ESMERALDA VILLOTA ARMERO</t>
  </si>
  <si>
    <t>1039-2024</t>
  </si>
  <si>
    <t>1058-2024</t>
  </si>
  <si>
    <t xml:space="preserve">MERCEDES OLIVIA POVEDA </t>
  </si>
  <si>
    <t>1018-2024</t>
  </si>
  <si>
    <t>PAOLA JHERALDYNE CASTILLO YELA</t>
  </si>
  <si>
    <t>1071-2024</t>
  </si>
  <si>
    <t>ADRIANA MARIA HIDALGO ENRIQUEZ</t>
  </si>
  <si>
    <t>1056-2024</t>
  </si>
  <si>
    <t>LUZ  ANGELICA CHILES CABRERA</t>
  </si>
  <si>
    <t>1042-2024</t>
  </si>
  <si>
    <t xml:space="preserve">ORTIZ BOTINA MARIANA DE JESUS   </t>
  </si>
  <si>
    <t>1017-2024</t>
  </si>
  <si>
    <t>1027-2024</t>
  </si>
  <si>
    <t>ROSERO BOLAÑOS JOHN JAIRO</t>
  </si>
  <si>
    <t>1022-2024</t>
  </si>
  <si>
    <t>fecha</t>
  </si>
  <si>
    <t>orden</t>
  </si>
  <si>
    <t>numero_contrato</t>
  </si>
  <si>
    <t>valor</t>
  </si>
  <si>
    <t>nit</t>
  </si>
  <si>
    <t>razon</t>
  </si>
  <si>
    <t>id_recurso</t>
  </si>
  <si>
    <t>ID2139724657</t>
  </si>
  <si>
    <t>indicador</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</si>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</sst>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sz val="11"/>
      <color theme="1"/>
      <name val="Calibri"/>
      <family val="2"/>
    </font>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64" fontId="1" fillId="0" borderId="0" xfId="0" applyNumberFormat="1" applyFont="1"/>
    <xf numFmtId="0" fontId="2" fillId="0" borderId="0" xfId="0" applyFont="1"/>
    <xf numFmtId="1" fontId="0" fillId="0" borderId="0" xfId="0" applyNumberFormat="1"/>
    <xf numFmtId="1" fontId="1" fillId="0" borderId="0" xfId="0" applyNumberFormat="1" applyFont="1"/>
    <xf numFmtId="164" fontId="1" fillId="2" borderId="0" xfId="0" applyNumberFormat="1" applyFont="1" applyFill="1"/>
    <xf numFmtId="0" fontId="2" fillId="2" borderId="0" xfId="0" applyFont="1" applyFill="1"/>
    <xf numFmtId="1" fontId="1" fillId="2" borderId="0" xfId="0" applyNumberFormat="1"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cer\Desktop\Esteban%20Trabajo\cargue_archivos_finacieros\actualizacion%20RES\RESOLUSION_1397_actualizacion_TIPO_3.xlsx" TargetMode="External"/><Relationship Id="rId1" Type="http://schemas.openxmlformats.org/officeDocument/2006/relationships/externalLinkPath" Target="RESOLUSION_1397_actualizacion_TIPO_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s>
    <sheetDataSet>
      <sheetData sheetId="0">
        <row r="2">
          <cell r="A2" t="str">
            <v>982-2024</v>
          </cell>
          <cell r="B2" t="str">
            <v>E</v>
          </cell>
          <cell r="C2">
            <v>45601</v>
          </cell>
          <cell r="D2">
            <v>45657</v>
          </cell>
          <cell r="E2" t="str">
            <v>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v>
          </cell>
          <cell r="F2" t="str">
            <v>CC</v>
          </cell>
          <cell r="G2">
            <v>1085282955</v>
          </cell>
          <cell r="H2" t="str">
            <v>JOHANA MARCELA ACHICANOY PUERRES</v>
          </cell>
          <cell r="I2">
            <v>98390119</v>
          </cell>
          <cell r="J2" t="str">
            <v>CC</v>
          </cell>
          <cell r="K2" t="str">
            <v>RODRIGO DE JESUS VITERI MORENO</v>
          </cell>
          <cell r="L2">
            <v>0</v>
          </cell>
          <cell r="M2">
            <v>6000000</v>
          </cell>
          <cell r="N2" t="str">
            <v>ID2139724657</v>
          </cell>
        </row>
        <row r="3">
          <cell r="A3" t="str">
            <v>978-2024</v>
          </cell>
          <cell r="B3" t="str">
            <v>A</v>
          </cell>
          <cell r="C3">
            <v>45601</v>
          </cell>
          <cell r="D3">
            <v>45621</v>
          </cell>
          <cell r="E3" t="str">
            <v xml:space="preserve"> ADQUISICION DE CHALECOS, GORRAS Y MALETINES CON EMBLEMAS OFICIALES PARA IDENTIFICAR A LOS MIEMBROS DE LOS EQUIPOS BASICOS EN SALUD</v>
          </cell>
          <cell r="F3" t="str">
            <v>NI</v>
          </cell>
          <cell r="G3">
            <v>901095545</v>
          </cell>
          <cell r="H3" t="str">
            <v>SOLUCIONES INTEGRALES DE INGENIERIA LR S.A.S</v>
          </cell>
          <cell r="I3">
            <v>111247705</v>
          </cell>
          <cell r="J3" t="str">
            <v>CC</v>
          </cell>
          <cell r="K3" t="str">
            <v xml:space="preserve">	STEFANYA RAMIREZ LOPERA</v>
          </cell>
          <cell r="L3">
            <v>31498000</v>
          </cell>
          <cell r="M3">
            <v>31498000</v>
          </cell>
          <cell r="N3" t="str">
            <v>ID2139724657</v>
          </cell>
        </row>
        <row r="4">
          <cell r="A4" t="str">
            <v>967-2024</v>
          </cell>
          <cell r="B4" t="str">
            <v>A</v>
          </cell>
          <cell r="C4">
            <v>45595</v>
          </cell>
          <cell r="D4">
            <v>45595</v>
          </cell>
          <cell r="E4" t="str">
            <v>COMPRA DE EQUIPOS BIOMEDICOS PARA EQUIPOS BASICOS EN SALUD DE LAS DIFERENTES SEDES QUE CONFORMAN LAS REDES PRESTADORAS DE SERVICIOS EN SALUD.</v>
          </cell>
          <cell r="F4" t="str">
            <v>NI</v>
          </cell>
          <cell r="G4">
            <v>901181781</v>
          </cell>
          <cell r="H4" t="str">
            <v>CLINIMEDICAL GROUP SAS</v>
          </cell>
          <cell r="I4">
            <v>1004189613</v>
          </cell>
          <cell r="J4" t="str">
            <v>CC</v>
          </cell>
          <cell r="K4" t="str">
            <v>MARIO FERNADO NARANJO LOPEZ</v>
          </cell>
          <cell r="L4">
            <v>2403324</v>
          </cell>
          <cell r="M4">
            <v>2403324</v>
          </cell>
          <cell r="N4" t="str">
            <v>ID2139724657</v>
          </cell>
        </row>
        <row r="5">
          <cell r="A5" t="str">
            <v>964-2024</v>
          </cell>
          <cell r="B5" t="str">
            <v>A</v>
          </cell>
          <cell r="C5">
            <v>45594</v>
          </cell>
          <cell r="D5">
            <v>45595</v>
          </cell>
          <cell r="E5" t="str">
            <v>COMPRA DE EQUIPOS BIOMEDICOS PARA EQUIPOS BASICOS EN SALUD DE LAS DIFERENTES SEDES QUE CONFORMAN LAS REDES PRESTADORAS DE SERVICIOS EN SALUD</v>
          </cell>
          <cell r="F5" t="str">
            <v>NI</v>
          </cell>
          <cell r="G5">
            <v>8903124524</v>
          </cell>
          <cell r="H5" t="str">
            <v>ALLERS S.A</v>
          </cell>
          <cell r="I5">
            <v>1004189613</v>
          </cell>
          <cell r="J5" t="str">
            <v>CC</v>
          </cell>
          <cell r="K5" t="str">
            <v>MARIO FERNADO NARANJO LOPEZ</v>
          </cell>
          <cell r="L5">
            <v>36842400</v>
          </cell>
          <cell r="M5">
            <v>36842400</v>
          </cell>
          <cell r="N5" t="str">
            <v>ID2139724657</v>
          </cell>
        </row>
        <row r="6">
          <cell r="A6" t="str">
            <v>953-2024</v>
          </cell>
          <cell r="B6" t="str">
            <v>E</v>
          </cell>
          <cell r="C6">
            <v>45593</v>
          </cell>
          <cell r="D6">
            <v>45657</v>
          </cell>
          <cell r="E6" t="str">
            <v>CONTRATAR LA PRESTACION DE SERVICIOS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v>
          </cell>
          <cell r="F6" t="str">
            <v>CC</v>
          </cell>
          <cell r="G6">
            <v>1125787507</v>
          </cell>
          <cell r="H6" t="str">
            <v>ANDREA CAROLINA BENAVIDES ACOSTA</v>
          </cell>
          <cell r="I6">
            <v>36950699</v>
          </cell>
          <cell r="J6" t="str">
            <v>CC</v>
          </cell>
          <cell r="K6" t="str">
            <v xml:space="preserve">	BERTHA JANETH MONTENEGRO PORTILLA</v>
          </cell>
          <cell r="L6">
            <v>0</v>
          </cell>
          <cell r="M6">
            <v>11418800</v>
          </cell>
          <cell r="N6" t="str">
            <v>ID2139724657</v>
          </cell>
        </row>
        <row r="7">
          <cell r="A7" t="str">
            <v>937-2024</v>
          </cell>
          <cell r="B7" t="str">
            <v>E</v>
          </cell>
          <cell r="C7">
            <v>45587</v>
          </cell>
          <cell r="D7">
            <v>45657</v>
          </cell>
          <cell r="E7" t="str">
            <v>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v>
          </cell>
          <cell r="F7" t="str">
            <v>CC</v>
          </cell>
          <cell r="G7">
            <v>1004546779</v>
          </cell>
          <cell r="H7" t="str">
            <v>KAREN DANIELA PINTA BOLAÑOS</v>
          </cell>
          <cell r="I7">
            <v>36950699</v>
          </cell>
          <cell r="J7" t="str">
            <v>CC</v>
          </cell>
          <cell r="K7" t="str">
            <v>BERTHA JANETH MONTENEGRO PORTILLA</v>
          </cell>
          <cell r="L7">
            <v>0</v>
          </cell>
          <cell r="M7">
            <v>7500000</v>
          </cell>
          <cell r="N7" t="str">
            <v>ID2139724657</v>
          </cell>
        </row>
        <row r="8">
          <cell r="A8" t="str">
            <v>936-2024</v>
          </cell>
          <cell r="B8" t="str">
            <v>E</v>
          </cell>
          <cell r="C8">
            <v>45587</v>
          </cell>
          <cell r="D8">
            <v>45657</v>
          </cell>
          <cell r="E8" t="str">
            <v>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v>
          </cell>
          <cell r="F8" t="str">
            <v>CC</v>
          </cell>
          <cell r="G8">
            <v>1018443841</v>
          </cell>
          <cell r="H8" t="str">
            <v>MARIA INES SOTELO MEJIA</v>
          </cell>
          <cell r="I8">
            <v>98333941</v>
          </cell>
          <cell r="J8" t="str">
            <v>CC</v>
          </cell>
          <cell r="K8" t="str">
            <v>RIGOBERTO MELO ZAMBRANO</v>
          </cell>
          <cell r="L8">
            <v>0</v>
          </cell>
          <cell r="M8">
            <v>14475000</v>
          </cell>
          <cell r="N8" t="str">
            <v>ID2139724657</v>
          </cell>
        </row>
        <row r="9">
          <cell r="A9" t="str">
            <v>922-2024</v>
          </cell>
          <cell r="B9" t="str">
            <v>E</v>
          </cell>
          <cell r="C9">
            <v>45582</v>
          </cell>
          <cell r="D9">
            <v>45657</v>
          </cell>
          <cell r="E9" t="str">
            <v>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v>
          </cell>
          <cell r="F9" t="str">
            <v>CC</v>
          </cell>
          <cell r="G9">
            <v>52369064</v>
          </cell>
          <cell r="H9" t="str">
            <v>ROCIO DEL PILAR INSUASTY VILLOTA</v>
          </cell>
          <cell r="I9">
            <v>36950699</v>
          </cell>
          <cell r="J9" t="str">
            <v>CC</v>
          </cell>
          <cell r="K9" t="str">
            <v xml:space="preserve">	BERTHA JANETH MONTENEGRO PORTILLA</v>
          </cell>
          <cell r="L9">
            <v>0</v>
          </cell>
          <cell r="M9">
            <v>18000000</v>
          </cell>
          <cell r="N9" t="str">
            <v>ID2139724657</v>
          </cell>
        </row>
        <row r="10">
          <cell r="A10" t="str">
            <v>921-2024</v>
          </cell>
          <cell r="B10" t="str">
            <v>A</v>
          </cell>
          <cell r="C10">
            <v>45582</v>
          </cell>
          <cell r="D10">
            <v>45657</v>
          </cell>
          <cell r="E10" t="str">
            <v>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v>
          </cell>
          <cell r="F10" t="str">
            <v>CC</v>
          </cell>
          <cell r="G10">
            <v>1004232315</v>
          </cell>
          <cell r="H10" t="str">
            <v>ANGIE MARCELA PRECIADO QUIÑONEZ</v>
          </cell>
          <cell r="I10">
            <v>36950699</v>
          </cell>
          <cell r="J10" t="str">
            <v>CC</v>
          </cell>
          <cell r="K10" t="str">
            <v xml:space="preserve">	BERTHA JANETH MONTENEGRO PORTILLA</v>
          </cell>
          <cell r="L10">
            <v>3000000</v>
          </cell>
          <cell r="M10">
            <v>3000000</v>
          </cell>
          <cell r="N10" t="str">
            <v>ID2139724657</v>
          </cell>
        </row>
        <row r="11">
          <cell r="A11" t="str">
            <v>891-2024</v>
          </cell>
          <cell r="B11" t="str">
            <v>A</v>
          </cell>
          <cell r="C11">
            <v>45580</v>
          </cell>
          <cell r="D11">
            <v>45657</v>
          </cell>
          <cell r="E11" t="str">
            <v>PRESTACION DE SERVICIOS DE TRANSPORTE ESPECIAL PARA EL DESARROLLO DE LA ESTRATEGIA DE ATENCION PRIMARIA EN SALUD MEDIANTE LA PROVISION DEL TRANSPORTE ADECUADO PARA LA MOVILIZACION DE LOS EQUIPOS BASICOS DE SALUD ASIGNADOS AL HOSPITAL LA ROSA NODO SUR.</v>
          </cell>
          <cell r="F11" t="str">
            <v>NI</v>
          </cell>
          <cell r="G11">
            <v>900633448</v>
          </cell>
          <cell r="H11" t="str">
            <v>EXPRESO SURAMERICANA DE TURISMO SAS</v>
          </cell>
          <cell r="I11">
            <v>1086017548</v>
          </cell>
          <cell r="J11" t="str">
            <v>CC</v>
          </cell>
          <cell r="K11" t="str">
            <v>LEYDI MAGALI BENAVIDES BASTIDAS</v>
          </cell>
          <cell r="L11">
            <v>144900000</v>
          </cell>
          <cell r="M11">
            <v>144900000</v>
          </cell>
          <cell r="N11" t="str">
            <v>ID2139724657</v>
          </cell>
        </row>
        <row r="12">
          <cell r="A12" t="str">
            <v>890-2024</v>
          </cell>
          <cell r="B12" t="str">
            <v>A</v>
          </cell>
          <cell r="C12">
            <v>45580</v>
          </cell>
          <cell r="D12">
            <v>45657</v>
          </cell>
          <cell r="E12" t="str">
            <v>PRESTACION DE SERVICIOS DE TRANSPORTE ESPECIAL TERRESTRE O ACUATICO PARA EL DESARROLLO DE LA ESTRATEGIA DE ATENCION PRIMARIA EN SALUD MEDIANTE LA PROVISION DEL TRANSPORTE ADECUADO PARA LA MOVILIZACION DE LOS EQUIPOS BASICOS DE SALUD ASIGNADOS AL HOSPITAL SANTA MONICA NODO ORIENTE</v>
          </cell>
          <cell r="F12" t="str">
            <v>NI</v>
          </cell>
          <cell r="G12">
            <v>900633448</v>
          </cell>
          <cell r="H12" t="str">
            <v>EXPRESO SURAMERICANA DE TURISMO SAS</v>
          </cell>
          <cell r="I12">
            <v>1086017548</v>
          </cell>
          <cell r="J12" t="str">
            <v>CC</v>
          </cell>
          <cell r="K12" t="str">
            <v>LEYDI MAGALI BENAVIDES BASTIDAS</v>
          </cell>
          <cell r="L12">
            <v>250950000</v>
          </cell>
          <cell r="M12">
            <v>250950000</v>
          </cell>
          <cell r="N12" t="str">
            <v>ID2139724657</v>
          </cell>
        </row>
        <row r="13">
          <cell r="A13" t="str">
            <v>889-2024</v>
          </cell>
          <cell r="B13" t="str">
            <v>A</v>
          </cell>
          <cell r="C13">
            <v>45580</v>
          </cell>
          <cell r="D13">
            <v>45657</v>
          </cell>
          <cell r="E13" t="str">
            <v>PRESTACION DE SERVICIOS DE TRANSPORTE ESPECIAL PARA EL DESARROLLO DE LA ESTRATEGIA DE ATENCION PRIMARIA EN SALUD MEDIANTE LA PROVISION DEL TRANSPORTE ADECUADO PARA LA MOVILIZACION DE LOS EQUIPOS BASICOS DE SALUD ASIGNADOS AL HOSPITAL CIVIL NODO NORTE.</v>
          </cell>
          <cell r="F13" t="str">
            <v>NI</v>
          </cell>
          <cell r="G13">
            <v>900633448</v>
          </cell>
          <cell r="H13" t="str">
            <v xml:space="preserve">	EXPRESO SURAMERICANA DE TURISMO SAS</v>
          </cell>
          <cell r="I13">
            <v>1086017548</v>
          </cell>
          <cell r="J13" t="str">
            <v>CC</v>
          </cell>
          <cell r="K13" t="str">
            <v>LEYDI MAGALI BENAVIDES BASTIDAS</v>
          </cell>
          <cell r="L13">
            <v>140700000</v>
          </cell>
          <cell r="M13">
            <v>140700000</v>
          </cell>
          <cell r="N13" t="str">
            <v>ID2139724657</v>
          </cell>
        </row>
        <row r="14">
          <cell r="A14" t="str">
            <v>888-2024</v>
          </cell>
          <cell r="B14" t="str">
            <v>A</v>
          </cell>
          <cell r="C14">
            <v>45580</v>
          </cell>
          <cell r="D14">
            <v>45657</v>
          </cell>
          <cell r="E14" t="str">
            <v>PRESTACION DE SERVICIOS DE TRANSPORTE ESPECIAL PARA EL DESARROLLO DE LA ESTRATEGIA DE ATENCION PRIMARIA EN SALUD MEDIANTE LA PROVISION DEL TRANSPORTE ADECUADO PARA LA MOVILIZACION DE LOS EQUIPOS BASICOS DE SALUD ASIGNADOS AL CENTRO DE SALUD SAN VICENTENODO OCCIDENTE.</v>
          </cell>
          <cell r="F14" t="str">
            <v>NI</v>
          </cell>
          <cell r="G14">
            <v>900633448</v>
          </cell>
          <cell r="H14" t="str">
            <v>EXPRESO SURAMERICANA DE TURISMO SAS</v>
          </cell>
          <cell r="I14">
            <v>1086017548</v>
          </cell>
          <cell r="J14" t="str">
            <v>CC</v>
          </cell>
          <cell r="K14" t="str">
            <v xml:space="preserve">	LEYDI MAGALI BENAVIDES BASTIDAS</v>
          </cell>
          <cell r="L14">
            <v>166950000</v>
          </cell>
          <cell r="M14">
            <v>166950000</v>
          </cell>
          <cell r="N14" t="str">
            <v>ID2139724657</v>
          </cell>
        </row>
        <row r="15">
          <cell r="A15" t="str">
            <v>875-2024</v>
          </cell>
          <cell r="B15" t="str">
            <v>A</v>
          </cell>
          <cell r="C15">
            <v>45576</v>
          </cell>
          <cell r="D15">
            <v>45657</v>
          </cell>
          <cell r="E15" t="str">
            <v>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v>
          </cell>
          <cell r="F15" t="str">
            <v>CC</v>
          </cell>
          <cell r="G15">
            <v>1085266036</v>
          </cell>
          <cell r="H15" t="str">
            <v>WENDY ALEXANDRA PASTAS JIMENEZ</v>
          </cell>
          <cell r="I15">
            <v>59822566</v>
          </cell>
          <cell r="J15" t="str">
            <v>CC</v>
          </cell>
          <cell r="K15" t="str">
            <v>ALBA LUCIA MORA BENAVIDES</v>
          </cell>
          <cell r="L15">
            <v>6000000</v>
          </cell>
          <cell r="M15">
            <v>6000000</v>
          </cell>
          <cell r="N15" t="str">
            <v>ID2139724657</v>
          </cell>
        </row>
        <row r="16">
          <cell r="A16" t="str">
            <v>874-2024</v>
          </cell>
          <cell r="B16" t="str">
            <v>E</v>
          </cell>
          <cell r="C16">
            <v>45576</v>
          </cell>
          <cell r="D16">
            <v>45657</v>
          </cell>
          <cell r="E16" t="str">
            <v xml:space="preserve">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v>
          </cell>
          <cell r="F16" t="str">
            <v>CC</v>
          </cell>
          <cell r="G16">
            <v>30709362</v>
          </cell>
          <cell r="H16" t="str">
            <v>JOSEFINA VICTORIA VIVANCO CARDENAS</v>
          </cell>
          <cell r="I16">
            <v>59822566</v>
          </cell>
          <cell r="J16" t="str">
            <v>CC</v>
          </cell>
          <cell r="K16" t="str">
            <v xml:space="preserve">	ALBA LUCIA MORA BENAVIDES</v>
          </cell>
          <cell r="L16">
            <v>0</v>
          </cell>
          <cell r="M16">
            <v>18000000</v>
          </cell>
          <cell r="N16" t="str">
            <v>ID2139724657</v>
          </cell>
        </row>
        <row r="17">
          <cell r="A17" t="str">
            <v>863-2024</v>
          </cell>
          <cell r="B17" t="str">
            <v>E</v>
          </cell>
          <cell r="C17">
            <v>45574</v>
          </cell>
          <cell r="D17">
            <v>45657</v>
          </cell>
          <cell r="E17" t="str">
            <v>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v>
          </cell>
          <cell r="F17" t="str">
            <v>CC</v>
          </cell>
          <cell r="G17">
            <v>1004136248</v>
          </cell>
          <cell r="H17" t="str">
            <v>DIANA MARCELA LUNA GELPUD</v>
          </cell>
          <cell r="I17">
            <v>98333941</v>
          </cell>
          <cell r="J17" t="str">
            <v>CC</v>
          </cell>
          <cell r="K17" t="str">
            <v>RIGOBERTO MELO ZAMBRANO</v>
          </cell>
          <cell r="L17">
            <v>0</v>
          </cell>
          <cell r="M17">
            <v>9000000</v>
          </cell>
          <cell r="N17" t="str">
            <v>ID2139724657</v>
          </cell>
        </row>
        <row r="18">
          <cell r="A18" t="str">
            <v>779-2024</v>
          </cell>
          <cell r="B18" t="str">
            <v>A</v>
          </cell>
          <cell r="C18">
            <v>45572</v>
          </cell>
          <cell r="D18">
            <v>45657</v>
          </cell>
          <cell r="E18" t="str">
            <v>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v>
          </cell>
          <cell r="F18" t="str">
            <v>CC</v>
          </cell>
          <cell r="G18">
            <v>1085286742</v>
          </cell>
          <cell r="H18" t="str">
            <v>VANESSA KATHERINE JOJOA ARIAS</v>
          </cell>
          <cell r="I18">
            <v>59822566</v>
          </cell>
          <cell r="J18" t="str">
            <v>CC</v>
          </cell>
          <cell r="K18" t="str">
            <v>ALBA LUCIA MORA BENAVIDES</v>
          </cell>
          <cell r="L18">
            <v>8100000</v>
          </cell>
          <cell r="M18">
            <v>8100000</v>
          </cell>
          <cell r="N18" t="str">
            <v>ID2139724657</v>
          </cell>
        </row>
        <row r="19">
          <cell r="A19" t="str">
            <v>704-2024</v>
          </cell>
          <cell r="B19" t="str">
            <v>A</v>
          </cell>
          <cell r="C19">
            <v>45567</v>
          </cell>
          <cell r="D19">
            <v>45657</v>
          </cell>
          <cell r="E19" t="str">
            <v>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v>
          </cell>
          <cell r="F19" t="str">
            <v>NI</v>
          </cell>
          <cell r="G19">
            <v>900994364</v>
          </cell>
          <cell r="H19" t="str">
            <v>FUNDACION CALIDAD DE VIDA Y ESPERANZA</v>
          </cell>
          <cell r="I19">
            <v>76316961</v>
          </cell>
          <cell r="J19" t="str">
            <v>CC</v>
          </cell>
          <cell r="K19" t="str">
            <v>CARLOS JULIO ARELLANO RUIZ</v>
          </cell>
          <cell r="L19">
            <v>303816500</v>
          </cell>
          <cell r="M19">
            <v>303816500</v>
          </cell>
          <cell r="N19" t="str">
            <v>ID2139724657</v>
          </cell>
        </row>
        <row r="20">
          <cell r="A20" t="str">
            <v>701-2024</v>
          </cell>
          <cell r="B20" t="str">
            <v>A</v>
          </cell>
          <cell r="C20">
            <v>45567</v>
          </cell>
          <cell r="D20">
            <v>45657</v>
          </cell>
          <cell r="E20" t="str">
            <v>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v>
          </cell>
          <cell r="F20" t="str">
            <v>CC</v>
          </cell>
          <cell r="G20">
            <v>1085324107</v>
          </cell>
          <cell r="H20" t="str">
            <v>CAROLINA NASTACUAS PAI</v>
          </cell>
          <cell r="I20">
            <v>98390119</v>
          </cell>
          <cell r="J20" t="str">
            <v>CC</v>
          </cell>
          <cell r="K20" t="str">
            <v>RODRIGO DE JESUS VITERI MORENO</v>
          </cell>
          <cell r="L20">
            <v>5000000</v>
          </cell>
          <cell r="M20">
            <v>5000000</v>
          </cell>
          <cell r="N20" t="str">
            <v>ID2139724657</v>
          </cell>
        </row>
        <row r="21">
          <cell r="A21" t="str">
            <v>668-2024</v>
          </cell>
          <cell r="B21" t="str">
            <v>A</v>
          </cell>
          <cell r="C21">
            <v>45566</v>
          </cell>
          <cell r="D21">
            <v>45657</v>
          </cell>
          <cell r="E21" t="str">
            <v>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v>
          </cell>
          <cell r="F21" t="str">
            <v>CC</v>
          </cell>
          <cell r="G21">
            <v>1193279435</v>
          </cell>
          <cell r="H21" t="str">
            <v>ANGELA SOFIA ORDOÑEZ BENAVIDES</v>
          </cell>
          <cell r="I21">
            <v>59822566</v>
          </cell>
          <cell r="J21" t="str">
            <v>CC</v>
          </cell>
          <cell r="K21" t="str">
            <v>ALBA LUCIA MORA BENAVIDES</v>
          </cell>
          <cell r="L21">
            <v>21363000</v>
          </cell>
          <cell r="M21">
            <v>21363000</v>
          </cell>
          <cell r="N21" t="str">
            <v>ID2139724657</v>
          </cell>
        </row>
        <row r="22">
          <cell r="A22" t="str">
            <v>647-2024</v>
          </cell>
          <cell r="B22" t="str">
            <v>A</v>
          </cell>
          <cell r="C22">
            <v>45565</v>
          </cell>
          <cell r="D22">
            <v>45657</v>
          </cell>
          <cell r="E22" t="str">
            <v>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v>
          </cell>
          <cell r="F22" t="str">
            <v>CC</v>
          </cell>
          <cell r="G22">
            <v>1085320661</v>
          </cell>
          <cell r="H22" t="str">
            <v>JHEIBER BRANLLERT DULCE MUÑOZ</v>
          </cell>
          <cell r="I22">
            <v>98390119</v>
          </cell>
          <cell r="J22" t="str">
            <v>CC</v>
          </cell>
          <cell r="K22" t="str">
            <v xml:space="preserve">	RODRIGO DE JESUS VITERI MORENO</v>
          </cell>
          <cell r="L22">
            <v>22620000</v>
          </cell>
          <cell r="M22">
            <v>22620000</v>
          </cell>
          <cell r="N22" t="str">
            <v>ID2139724657</v>
          </cell>
        </row>
        <row r="23">
          <cell r="A23" t="str">
            <v>641-2024</v>
          </cell>
          <cell r="B23" t="str">
            <v>A</v>
          </cell>
          <cell r="C23">
            <v>45565</v>
          </cell>
          <cell r="D23">
            <v>45657</v>
          </cell>
          <cell r="E23" t="str">
            <v>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v>
          </cell>
          <cell r="F23" t="str">
            <v>CC</v>
          </cell>
          <cell r="G23">
            <v>1088599676</v>
          </cell>
          <cell r="H23" t="str">
            <v>DANIEL GERARDO ERAZO OVIEDO</v>
          </cell>
          <cell r="I23">
            <v>59822566</v>
          </cell>
          <cell r="J23" t="str">
            <v>CC</v>
          </cell>
          <cell r="K23" t="str">
            <v>ALBA LUCIA MORA BENAVIDES</v>
          </cell>
          <cell r="L23">
            <v>22500000</v>
          </cell>
          <cell r="M23">
            <v>22500000</v>
          </cell>
          <cell r="N23" t="str">
            <v>ID2139724657</v>
          </cell>
        </row>
        <row r="24">
          <cell r="A24" t="str">
            <v>292-2025</v>
          </cell>
          <cell r="B24" t="str">
            <v>A</v>
          </cell>
          <cell r="C24">
            <v>45763</v>
          </cell>
          <cell r="D24">
            <v>45808</v>
          </cell>
          <cell r="E24" t="str">
            <v>: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v>
          </cell>
          <cell r="F24" t="str">
            <v>NI</v>
          </cell>
          <cell r="G24">
            <v>900633448</v>
          </cell>
          <cell r="H24" t="str">
            <v>EXPRESO SURAMERICANA DE TURISMO</v>
          </cell>
          <cell r="I24">
            <v>17658216</v>
          </cell>
          <cell r="J24" t="str">
            <v>CC</v>
          </cell>
          <cell r="K24" t="str">
            <v>JUAN PABLO LLANOS</v>
          </cell>
          <cell r="L24">
            <v>163200000</v>
          </cell>
          <cell r="M24">
            <v>163200000</v>
          </cell>
          <cell r="N24" t="str">
            <v>ID2139724657</v>
          </cell>
        </row>
        <row r="25">
          <cell r="A25" t="str">
            <v>260-2025</v>
          </cell>
          <cell r="B25" t="str">
            <v>A</v>
          </cell>
          <cell r="C25">
            <v>45756</v>
          </cell>
          <cell r="D25">
            <v>45808</v>
          </cell>
          <cell r="E25" t="str">
            <v>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v>
          </cell>
          <cell r="F25" t="str">
            <v>NI</v>
          </cell>
          <cell r="G25">
            <v>900994364</v>
          </cell>
          <cell r="H25" t="str">
            <v>FUNDACION CALIDAD DE VIDA Y ESPERANZA - FUNDAESP</v>
          </cell>
          <cell r="I25">
            <v>13016581</v>
          </cell>
          <cell r="J25" t="str">
            <v>CC</v>
          </cell>
          <cell r="K25" t="str">
            <v xml:space="preserve">	JUAN CARLOS MERA GUERRERO</v>
          </cell>
          <cell r="L25">
            <v>107005500</v>
          </cell>
          <cell r="M25">
            <v>107005500</v>
          </cell>
          <cell r="N25" t="str">
            <v>ID2139724657</v>
          </cell>
        </row>
        <row r="26">
          <cell r="A26" t="str">
            <v>259-2025</v>
          </cell>
          <cell r="B26" t="str">
            <v>A</v>
          </cell>
          <cell r="C26">
            <v>45756</v>
          </cell>
          <cell r="D26">
            <v>45808</v>
          </cell>
          <cell r="E26" t="str">
            <v>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v>
          </cell>
          <cell r="F26" t="str">
            <v>NI</v>
          </cell>
          <cell r="G26">
            <v>900994364</v>
          </cell>
          <cell r="H26" t="str">
            <v>FUNDACION CALIDAD DE VIDA Y ESPERANZA-FUNDAESP</v>
          </cell>
          <cell r="I26">
            <v>13016581</v>
          </cell>
          <cell r="J26" t="str">
            <v>CC</v>
          </cell>
          <cell r="K26" t="str">
            <v xml:space="preserve">	JUAN CARLOS MERA GUERRERO</v>
          </cell>
          <cell r="L26">
            <v>146000000</v>
          </cell>
          <cell r="M26">
            <v>146000000</v>
          </cell>
          <cell r="N26" t="str">
            <v>ID2139724657</v>
          </cell>
        </row>
        <row r="27">
          <cell r="A27" t="str">
            <v>1040-2024</v>
          </cell>
          <cell r="B27" t="str">
            <v>E</v>
          </cell>
          <cell r="C27">
            <v>45617</v>
          </cell>
          <cell r="D27">
            <v>45657</v>
          </cell>
          <cell r="E27" t="str">
            <v>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v>
          </cell>
          <cell r="F27" t="str">
            <v>CC</v>
          </cell>
          <cell r="G27">
            <v>30745391</v>
          </cell>
          <cell r="H27" t="str">
            <v>FANNY BENAVIDES OBANDO</v>
          </cell>
          <cell r="I27">
            <v>98333941</v>
          </cell>
          <cell r="J27" t="str">
            <v>CC</v>
          </cell>
          <cell r="K27" t="str">
            <v xml:space="preserve">	RIGOBERTO MELO ZAMBRANO</v>
          </cell>
          <cell r="L27">
            <v>0</v>
          </cell>
          <cell r="M27">
            <v>7441100</v>
          </cell>
          <cell r="N27" t="str">
            <v>ID2139724657</v>
          </cell>
        </row>
        <row r="28">
          <cell r="A28" t="str">
            <v>1033-2024</v>
          </cell>
          <cell r="B28" t="str">
            <v>A</v>
          </cell>
          <cell r="C28">
            <v>45616</v>
          </cell>
          <cell r="D28">
            <v>45657</v>
          </cell>
          <cell r="E28" t="str">
            <v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v>
          </cell>
          <cell r="F28" t="str">
            <v>CC</v>
          </cell>
          <cell r="G28">
            <v>30722194</v>
          </cell>
          <cell r="H28" t="str">
            <v>ORFELINA DEL CARMEN OSORIO GUERRERO</v>
          </cell>
          <cell r="I28">
            <v>98333941</v>
          </cell>
          <cell r="J28" t="str">
            <v>CC</v>
          </cell>
          <cell r="K28" t="str">
            <v xml:space="preserve">	RIGOBERTO MELO ZAMBRANO</v>
          </cell>
          <cell r="L28">
            <v>3582900</v>
          </cell>
          <cell r="M28">
            <v>3582900</v>
          </cell>
          <cell r="N28" t="str">
            <v>ID2139724657</v>
          </cell>
        </row>
        <row r="29">
          <cell r="A29" t="str">
            <v>1022-2024</v>
          </cell>
          <cell r="B29" t="str">
            <v>A</v>
          </cell>
          <cell r="C29">
            <v>45614</v>
          </cell>
          <cell r="D29">
            <v>45618</v>
          </cell>
          <cell r="E29" t="str">
            <v>COMPRA DE EQUIPOS BIOMEDICOS PARA EQUIPOS BASICOS EN SALUD DE LAS DIFERENTES SEDES QUE CONFORMAN LAS REDES PRESTADORAS DE SERVICIOS EN SALUD</v>
          </cell>
          <cell r="F29" t="str">
            <v>NI</v>
          </cell>
          <cell r="G29">
            <v>830004892</v>
          </cell>
          <cell r="H29" t="str">
            <v>TECNICA ELECTROMEDICA S.A.</v>
          </cell>
          <cell r="I29">
            <v>1004189613</v>
          </cell>
          <cell r="J29" t="str">
            <v>CC</v>
          </cell>
          <cell r="K29" t="str">
            <v>MARIO FERNADO NARANJO LOPEZ</v>
          </cell>
          <cell r="L29">
            <v>25704000</v>
          </cell>
          <cell r="M29">
            <v>25704000</v>
          </cell>
          <cell r="N29" t="str">
            <v>ID2139724657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B6EDE-C627-4BA0-8AE5-91DDFED5907A}">
  <dimension ref="A1:H14"/>
  <sheetViews>
    <sheetView tabSelected="1" workbookViewId="0">
      <selection activeCell="A22" sqref="A22"/>
    </sheetView>
  </sheetViews>
  <sheetFormatPr baseColWidth="10" defaultRowHeight="14.4" x14ac:dyDescent="0.3"/>
  <sheetData>
    <row r="1" spans="1:8" x14ac:dyDescent="0.3">
      <c r="A1" s="1" t="s">
        <v>756</v>
      </c>
      <c r="B1" t="s">
        <v>757</v>
      </c>
      <c r="C1" t="s">
        <v>758</v>
      </c>
      <c r="D1" s="4" t="s">
        <v>759</v>
      </c>
      <c r="E1" t="s">
        <v>760</v>
      </c>
      <c r="F1" t="s">
        <v>761</v>
      </c>
      <c r="G1" t="s">
        <v>762</v>
      </c>
      <c r="H1" t="s">
        <v>764</v>
      </c>
    </row>
    <row r="2" spans="1:8" x14ac:dyDescent="0.3">
      <c r="A2" s="6">
        <v>45617</v>
      </c>
      <c r="B2" s="7">
        <v>2024002496</v>
      </c>
      <c r="C2" s="7" t="s">
        <v>154</v>
      </c>
      <c r="D2" s="8">
        <v>31498000</v>
      </c>
      <c r="E2" s="7">
        <v>901095545</v>
      </c>
      <c r="F2" s="7" t="s">
        <v>155</v>
      </c>
      <c r="G2" s="9" t="s">
        <v>763</v>
      </c>
      <c r="H2" s="9" t="s">
        <v>765</v>
      </c>
    </row>
    <row r="3" spans="1:8" x14ac:dyDescent="0.3">
      <c r="A3" s="2">
        <v>45615</v>
      </c>
      <c r="B3" s="3">
        <v>2024002478</v>
      </c>
      <c r="C3" s="3" t="s">
        <v>134</v>
      </c>
      <c r="D3" s="5">
        <v>2403324</v>
      </c>
      <c r="E3" s="3">
        <v>901181781</v>
      </c>
      <c r="F3" s="3" t="s">
        <v>135</v>
      </c>
      <c r="G3" t="s">
        <v>763</v>
      </c>
      <c r="H3" t="s">
        <v>765</v>
      </c>
    </row>
    <row r="4" spans="1:8" x14ac:dyDescent="0.3">
      <c r="A4" s="2">
        <v>45615</v>
      </c>
      <c r="B4" s="3">
        <v>2024002477</v>
      </c>
      <c r="C4" s="3" t="s">
        <v>132</v>
      </c>
      <c r="D4" s="5">
        <v>36842400</v>
      </c>
      <c r="E4" s="3">
        <v>890312452</v>
      </c>
      <c r="F4" s="3" t="s">
        <v>133</v>
      </c>
      <c r="G4" t="s">
        <v>763</v>
      </c>
      <c r="H4" t="s">
        <v>765</v>
      </c>
    </row>
    <row r="5" spans="1:8" x14ac:dyDescent="0.3">
      <c r="A5" s="2">
        <v>45656</v>
      </c>
      <c r="B5" s="3">
        <v>2024003960</v>
      </c>
      <c r="C5" s="3" t="s">
        <v>119</v>
      </c>
      <c r="D5" s="5">
        <v>61371100</v>
      </c>
      <c r="E5" s="3">
        <v>900633448</v>
      </c>
      <c r="F5" s="3" t="s">
        <v>11</v>
      </c>
      <c r="G5" t="s">
        <v>763</v>
      </c>
      <c r="H5" t="s">
        <v>765</v>
      </c>
    </row>
    <row r="6" spans="1:8" x14ac:dyDescent="0.3">
      <c r="A6" s="2">
        <v>45615</v>
      </c>
      <c r="B6" s="3">
        <v>2024002461</v>
      </c>
      <c r="C6" s="3" t="s">
        <v>107</v>
      </c>
      <c r="D6" s="5">
        <v>40641250</v>
      </c>
      <c r="E6" s="3">
        <v>900633448</v>
      </c>
      <c r="F6" s="3" t="s">
        <v>11</v>
      </c>
      <c r="G6" t="s">
        <v>763</v>
      </c>
      <c r="H6" t="s">
        <v>765</v>
      </c>
    </row>
    <row r="7" spans="1:8" x14ac:dyDescent="0.3">
      <c r="A7" s="2">
        <v>45615</v>
      </c>
      <c r="B7" s="3">
        <v>2024002459</v>
      </c>
      <c r="C7" s="3" t="s">
        <v>106</v>
      </c>
      <c r="D7" s="5">
        <v>32976500</v>
      </c>
      <c r="E7" s="3">
        <v>900633448</v>
      </c>
      <c r="F7" s="3" t="s">
        <v>11</v>
      </c>
      <c r="G7" t="s">
        <v>763</v>
      </c>
      <c r="H7" t="s">
        <v>765</v>
      </c>
    </row>
    <row r="8" spans="1:8" x14ac:dyDescent="0.3">
      <c r="A8" s="2">
        <v>45615</v>
      </c>
      <c r="B8" s="3">
        <v>2024002458</v>
      </c>
      <c r="C8" s="3" t="s">
        <v>105</v>
      </c>
      <c r="D8" s="5">
        <v>30171550</v>
      </c>
      <c r="E8" s="3">
        <v>900633448</v>
      </c>
      <c r="F8" s="3" t="s">
        <v>11</v>
      </c>
      <c r="G8" t="s">
        <v>763</v>
      </c>
      <c r="H8" t="s">
        <v>765</v>
      </c>
    </row>
    <row r="9" spans="1:8" x14ac:dyDescent="0.3">
      <c r="A9" s="2">
        <v>45650</v>
      </c>
      <c r="B9" s="3">
        <v>2024003690</v>
      </c>
      <c r="C9" s="3" t="s">
        <v>43</v>
      </c>
      <c r="D9" s="5">
        <v>90846333</v>
      </c>
      <c r="E9" s="3">
        <v>900994364</v>
      </c>
      <c r="F9" s="3" t="s">
        <v>15</v>
      </c>
      <c r="G9" t="s">
        <v>763</v>
      </c>
      <c r="H9" t="s">
        <v>765</v>
      </c>
    </row>
    <row r="10" spans="1:8" x14ac:dyDescent="0.3">
      <c r="A10" s="1">
        <v>45847</v>
      </c>
      <c r="B10">
        <v>2025001198</v>
      </c>
      <c r="C10" t="s">
        <v>10</v>
      </c>
      <c r="D10" s="4">
        <v>82375000</v>
      </c>
      <c r="E10">
        <v>900633448</v>
      </c>
      <c r="F10" t="s">
        <v>11</v>
      </c>
      <c r="G10" t="s">
        <v>763</v>
      </c>
      <c r="H10" t="s">
        <v>765</v>
      </c>
    </row>
    <row r="11" spans="1:8" x14ac:dyDescent="0.3">
      <c r="A11" s="1">
        <v>45805</v>
      </c>
      <c r="B11">
        <v>2025000793</v>
      </c>
      <c r="C11" t="s">
        <v>16</v>
      </c>
      <c r="D11" s="4">
        <v>53823767</v>
      </c>
      <c r="E11">
        <v>900994364</v>
      </c>
      <c r="F11" t="s">
        <v>15</v>
      </c>
      <c r="G11" t="s">
        <v>763</v>
      </c>
      <c r="H11" t="s">
        <v>765</v>
      </c>
    </row>
    <row r="12" spans="1:8" x14ac:dyDescent="0.3">
      <c r="A12" s="1">
        <v>45828</v>
      </c>
      <c r="B12">
        <v>2025001006</v>
      </c>
      <c r="C12" t="s">
        <v>14</v>
      </c>
      <c r="D12" s="4">
        <v>73000000</v>
      </c>
      <c r="E12">
        <v>900994364</v>
      </c>
      <c r="F12" t="s">
        <v>15</v>
      </c>
      <c r="G12" t="s">
        <v>763</v>
      </c>
      <c r="H12" t="s">
        <v>765</v>
      </c>
    </row>
    <row r="13" spans="1:8" x14ac:dyDescent="0.3">
      <c r="A13" s="6">
        <v>45649</v>
      </c>
      <c r="B13" s="7">
        <v>2024003607</v>
      </c>
      <c r="C13" s="7" t="s">
        <v>705</v>
      </c>
      <c r="D13" s="8">
        <v>2491000</v>
      </c>
      <c r="E13" s="7">
        <v>30722194</v>
      </c>
      <c r="F13" s="7" t="s">
        <v>706</v>
      </c>
      <c r="G13" s="9" t="s">
        <v>763</v>
      </c>
      <c r="H13" s="9" t="s">
        <v>765</v>
      </c>
    </row>
    <row r="14" spans="1:8" x14ac:dyDescent="0.3">
      <c r="A14" s="2">
        <v>45653</v>
      </c>
      <c r="B14" s="3">
        <v>2024003944</v>
      </c>
      <c r="C14" s="3" t="s">
        <v>755</v>
      </c>
      <c r="D14" s="5">
        <v>25704000</v>
      </c>
      <c r="E14" s="3">
        <v>830004892</v>
      </c>
      <c r="F14" s="3" t="s">
        <v>74</v>
      </c>
      <c r="G14" t="s">
        <v>763</v>
      </c>
      <c r="H14" t="s">
        <v>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038"/>
  <sheetViews>
    <sheetView topLeftCell="D1" workbookViewId="0">
      <selection activeCell="D1" sqref="A1:XFD1"/>
    </sheetView>
  </sheetViews>
  <sheetFormatPr baseColWidth="10" defaultColWidth="8.88671875" defaultRowHeight="14.4" x14ac:dyDescent="0.3"/>
  <cols>
    <col min="1" max="1" width="10.33203125" bestFit="1" customWidth="1"/>
    <col min="2" max="2" width="11" bestFit="1" customWidth="1"/>
    <col min="3" max="3" width="9.6640625" bestFit="1" customWidth="1"/>
    <col min="4" max="4" width="15" style="4" bestFit="1" customWidth="1"/>
    <col min="6" max="6" width="42.6640625" bestFit="1" customWidth="1"/>
    <col min="7" max="7" width="12.6640625" bestFit="1" customWidth="1"/>
  </cols>
  <sheetData>
    <row r="1" spans="1:9" x14ac:dyDescent="0.3">
      <c r="A1" s="1" t="s">
        <v>756</v>
      </c>
      <c r="B1" t="s">
        <v>757</v>
      </c>
      <c r="C1" t="s">
        <v>758</v>
      </c>
      <c r="D1" s="4" t="s">
        <v>759</v>
      </c>
      <c r="E1" t="s">
        <v>760</v>
      </c>
      <c r="F1" t="s">
        <v>761</v>
      </c>
      <c r="G1" t="s">
        <v>762</v>
      </c>
      <c r="H1" t="s">
        <v>764</v>
      </c>
    </row>
    <row r="2" spans="1:9" x14ac:dyDescent="0.3">
      <c r="A2" s="6">
        <v>45617</v>
      </c>
      <c r="B2" s="7">
        <v>2024002496</v>
      </c>
      <c r="C2" s="7" t="s">
        <v>154</v>
      </c>
      <c r="D2" s="8">
        <v>31498000</v>
      </c>
      <c r="E2" s="7">
        <v>901095545</v>
      </c>
      <c r="F2" s="7" t="s">
        <v>155</v>
      </c>
      <c r="G2" s="9" t="s">
        <v>763</v>
      </c>
      <c r="H2" s="9" t="s">
        <v>765</v>
      </c>
      <c r="I2" t="str">
        <f>VLOOKUP(C2,[1]Hoja1!$A$2:$N$29,1,0)</f>
        <v>978-2024</v>
      </c>
    </row>
    <row r="3" spans="1:9" hidden="1" x14ac:dyDescent="0.3">
      <c r="A3" s="1">
        <v>45736</v>
      </c>
      <c r="B3">
        <v>2025000374</v>
      </c>
      <c r="C3" t="s">
        <v>2</v>
      </c>
      <c r="D3" s="4">
        <v>3000000</v>
      </c>
      <c r="E3">
        <v>1193035720</v>
      </c>
      <c r="F3" t="s">
        <v>3</v>
      </c>
      <c r="G3" t="s">
        <v>763</v>
      </c>
      <c r="I3" t="e">
        <f>VLOOKUP(C3,[1]Hoja1!$A$2:$N$29,1,0)</f>
        <v>#N/A</v>
      </c>
    </row>
    <row r="4" spans="1:9" hidden="1" x14ac:dyDescent="0.3">
      <c r="A4" s="1">
        <v>45736</v>
      </c>
      <c r="B4">
        <v>2025000388</v>
      </c>
      <c r="C4" t="s">
        <v>4</v>
      </c>
      <c r="D4" s="4">
        <v>5000000</v>
      </c>
      <c r="E4">
        <v>1193265831</v>
      </c>
      <c r="F4" t="s">
        <v>5</v>
      </c>
      <c r="G4" t="s">
        <v>763</v>
      </c>
      <c r="I4" t="e">
        <f>VLOOKUP(C4,[1]Hoja1!$A$2:$N$29,1,0)</f>
        <v>#N/A</v>
      </c>
    </row>
    <row r="5" spans="1:9" hidden="1" x14ac:dyDescent="0.3">
      <c r="A5" s="1">
        <v>45791</v>
      </c>
      <c r="B5">
        <v>2025000686</v>
      </c>
      <c r="C5" t="s">
        <v>6</v>
      </c>
      <c r="D5" s="4">
        <v>6000000</v>
      </c>
      <c r="E5">
        <v>1085292185</v>
      </c>
      <c r="F5" t="s">
        <v>7</v>
      </c>
      <c r="G5" t="s">
        <v>763</v>
      </c>
      <c r="I5" t="e">
        <f>VLOOKUP(C5,[1]Hoja1!$A$2:$N$29,1,0)</f>
        <v>#N/A</v>
      </c>
    </row>
    <row r="6" spans="1:9" hidden="1" x14ac:dyDescent="0.3">
      <c r="A6" s="1">
        <v>45791</v>
      </c>
      <c r="B6">
        <v>2025000690</v>
      </c>
      <c r="C6" t="s">
        <v>8</v>
      </c>
      <c r="D6" s="4">
        <v>4750000</v>
      </c>
      <c r="E6">
        <v>27087475</v>
      </c>
      <c r="F6" t="s">
        <v>9</v>
      </c>
      <c r="G6" t="s">
        <v>763</v>
      </c>
      <c r="I6" t="e">
        <f>VLOOKUP(C6,[1]Hoja1!$A$2:$N$29,1,0)</f>
        <v>#N/A</v>
      </c>
    </row>
    <row r="7" spans="1:9" x14ac:dyDescent="0.3">
      <c r="A7" s="2">
        <v>45615</v>
      </c>
      <c r="B7" s="3">
        <v>2024002478</v>
      </c>
      <c r="C7" s="3" t="s">
        <v>134</v>
      </c>
      <c r="D7" s="5">
        <v>2403324</v>
      </c>
      <c r="E7" s="3">
        <v>901181781</v>
      </c>
      <c r="F7" s="3" t="s">
        <v>135</v>
      </c>
      <c r="G7" t="s">
        <v>763</v>
      </c>
      <c r="H7" t="s">
        <v>765</v>
      </c>
      <c r="I7" t="str">
        <f>VLOOKUP(C7,[1]Hoja1!$A$2:$N$29,1,0)</f>
        <v>967-2024</v>
      </c>
    </row>
    <row r="8" spans="1:9" hidden="1" x14ac:dyDescent="0.3">
      <c r="A8" s="1">
        <v>45798</v>
      </c>
      <c r="B8">
        <v>2025000762</v>
      </c>
      <c r="C8" t="s">
        <v>12</v>
      </c>
      <c r="D8" s="4">
        <v>3000000</v>
      </c>
      <c r="E8">
        <v>1085286725</v>
      </c>
      <c r="F8" t="s">
        <v>13</v>
      </c>
      <c r="G8" t="s">
        <v>763</v>
      </c>
      <c r="I8" t="e">
        <f>VLOOKUP(C8,[1]Hoja1!$A$2:$N$29,1,0)</f>
        <v>#N/A</v>
      </c>
    </row>
    <row r="9" spans="1:9" x14ac:dyDescent="0.3">
      <c r="A9" s="2">
        <v>45615</v>
      </c>
      <c r="B9" s="3">
        <v>2024002477</v>
      </c>
      <c r="C9" s="3" t="s">
        <v>132</v>
      </c>
      <c r="D9" s="5">
        <v>36842400</v>
      </c>
      <c r="E9" s="3">
        <v>890312452</v>
      </c>
      <c r="F9" s="3" t="s">
        <v>133</v>
      </c>
      <c r="G9" t="s">
        <v>763</v>
      </c>
      <c r="H9" t="s">
        <v>765</v>
      </c>
      <c r="I9" t="str">
        <f>VLOOKUP(C9,[1]Hoja1!$A$2:$N$29,1,0)</f>
        <v>964-2024</v>
      </c>
    </row>
    <row r="10" spans="1:9" hidden="1" x14ac:dyDescent="0.3">
      <c r="A10" s="2">
        <v>45649</v>
      </c>
      <c r="B10" s="3">
        <v>2024003548</v>
      </c>
      <c r="C10" s="3" t="s">
        <v>730</v>
      </c>
      <c r="D10" s="5">
        <v>3000000</v>
      </c>
      <c r="E10" s="3">
        <v>1004232315</v>
      </c>
      <c r="F10" s="3" t="s">
        <v>731</v>
      </c>
      <c r="G10" t="s">
        <v>763</v>
      </c>
      <c r="I10" t="str">
        <f>VLOOKUP(C10,[1]Hoja1!$A$2:$N$29,1,0)</f>
        <v>921-2024</v>
      </c>
    </row>
    <row r="11" spans="1:9" hidden="1" x14ac:dyDescent="0.3">
      <c r="A11" s="1">
        <v>45806</v>
      </c>
      <c r="B11">
        <v>2025000795</v>
      </c>
      <c r="C11" t="s">
        <v>17</v>
      </c>
      <c r="D11" s="4">
        <v>600000</v>
      </c>
      <c r="E11">
        <v>59813323</v>
      </c>
      <c r="F11" t="s">
        <v>18</v>
      </c>
      <c r="G11" t="s">
        <v>763</v>
      </c>
      <c r="I11" t="e">
        <f>VLOOKUP(C11,[1]Hoja1!$A$2:$N$29,1,0)</f>
        <v>#N/A</v>
      </c>
    </row>
    <row r="12" spans="1:9" hidden="1" x14ac:dyDescent="0.3">
      <c r="A12" s="1">
        <v>45812</v>
      </c>
      <c r="B12">
        <v>2025000814</v>
      </c>
      <c r="C12" t="s">
        <v>19</v>
      </c>
      <c r="D12" s="4">
        <v>2500000</v>
      </c>
      <c r="E12">
        <v>1233188479</v>
      </c>
      <c r="F12" t="s">
        <v>20</v>
      </c>
      <c r="G12" t="s">
        <v>763</v>
      </c>
      <c r="I12" t="e">
        <f>VLOOKUP(C12,[1]Hoja1!$A$2:$N$29,1,0)</f>
        <v>#N/A</v>
      </c>
    </row>
    <row r="13" spans="1:9" hidden="1" x14ac:dyDescent="0.3">
      <c r="A13" s="1">
        <v>45813</v>
      </c>
      <c r="B13">
        <v>2025000833</v>
      </c>
      <c r="C13" t="s">
        <v>21</v>
      </c>
      <c r="D13" s="4">
        <v>600000</v>
      </c>
      <c r="E13">
        <v>1004437571</v>
      </c>
      <c r="F13" t="s">
        <v>22</v>
      </c>
      <c r="G13" t="s">
        <v>763</v>
      </c>
      <c r="I13" t="e">
        <f>VLOOKUP(C13,[1]Hoja1!$A$2:$N$29,1,0)</f>
        <v>#N/A</v>
      </c>
    </row>
    <row r="14" spans="1:9" hidden="1" x14ac:dyDescent="0.3">
      <c r="A14" s="1">
        <v>45824</v>
      </c>
      <c r="B14">
        <v>2025000948</v>
      </c>
      <c r="C14" t="s">
        <v>23</v>
      </c>
      <c r="D14" s="4">
        <v>2500000</v>
      </c>
      <c r="E14">
        <v>1081052090</v>
      </c>
      <c r="F14" t="s">
        <v>24</v>
      </c>
      <c r="G14" t="s">
        <v>763</v>
      </c>
      <c r="I14" t="e">
        <f>VLOOKUP(C14,[1]Hoja1!$A$2:$N$29,1,0)</f>
        <v>#N/A</v>
      </c>
    </row>
    <row r="15" spans="1:9" hidden="1" x14ac:dyDescent="0.3">
      <c r="A15" s="2">
        <v>45615</v>
      </c>
      <c r="B15" s="3">
        <v>2024002468</v>
      </c>
      <c r="C15" s="3" t="s">
        <v>119</v>
      </c>
      <c r="D15" s="5">
        <v>27667150</v>
      </c>
      <c r="E15" s="3">
        <v>900633448</v>
      </c>
      <c r="F15" s="3" t="s">
        <v>11</v>
      </c>
      <c r="G15" t="s">
        <v>763</v>
      </c>
      <c r="I15" t="str">
        <f>VLOOKUP(C15,[1]Hoja1!$A$2:$N$29,1,0)</f>
        <v>891-2024</v>
      </c>
    </row>
    <row r="16" spans="1:9" hidden="1" x14ac:dyDescent="0.3">
      <c r="A16" s="1">
        <v>45833</v>
      </c>
      <c r="B16">
        <v>2025001036</v>
      </c>
      <c r="C16" t="s">
        <v>25</v>
      </c>
      <c r="D16" s="4">
        <v>1400000</v>
      </c>
      <c r="E16">
        <v>1014212900</v>
      </c>
      <c r="F16" t="s">
        <v>26</v>
      </c>
      <c r="G16" t="s">
        <v>763</v>
      </c>
      <c r="I16" t="e">
        <f>VLOOKUP(C16,[1]Hoja1!$A$2:$N$29,1,0)</f>
        <v>#N/A</v>
      </c>
    </row>
    <row r="17" spans="1:9" hidden="1" x14ac:dyDescent="0.3">
      <c r="A17" s="2">
        <v>45637</v>
      </c>
      <c r="B17" s="3">
        <v>2024003005</v>
      </c>
      <c r="C17" s="3" t="s">
        <v>119</v>
      </c>
      <c r="D17" s="5">
        <v>55861750</v>
      </c>
      <c r="E17" s="3">
        <v>900633448</v>
      </c>
      <c r="F17" s="3" t="s">
        <v>11</v>
      </c>
      <c r="G17" t="s">
        <v>763</v>
      </c>
      <c r="I17" t="str">
        <f>VLOOKUP(C17,[1]Hoja1!$A$2:$N$29,1,0)</f>
        <v>891-2024</v>
      </c>
    </row>
    <row r="18" spans="1:9" hidden="1" x14ac:dyDescent="0.3">
      <c r="A18" s="1">
        <v>45832</v>
      </c>
      <c r="B18">
        <v>2025001026</v>
      </c>
      <c r="C18" t="s">
        <v>27</v>
      </c>
      <c r="D18" s="4">
        <v>2500000</v>
      </c>
      <c r="E18">
        <v>1085314334</v>
      </c>
      <c r="F18" t="s">
        <v>28</v>
      </c>
      <c r="G18" t="s">
        <v>763</v>
      </c>
      <c r="I18" t="e">
        <f>VLOOKUP(C18,[1]Hoja1!$A$2:$N$29,1,0)</f>
        <v>#N/A</v>
      </c>
    </row>
    <row r="19" spans="1:9" hidden="1" x14ac:dyDescent="0.3">
      <c r="A19" s="1">
        <v>45834</v>
      </c>
      <c r="B19">
        <v>2025001042</v>
      </c>
      <c r="C19" t="s">
        <v>29</v>
      </c>
      <c r="D19" s="4">
        <v>6000000</v>
      </c>
      <c r="E19">
        <v>1085245375</v>
      </c>
      <c r="F19" t="s">
        <v>30</v>
      </c>
      <c r="G19" t="s">
        <v>763</v>
      </c>
      <c r="I19" t="e">
        <f>VLOOKUP(C19,[1]Hoja1!$A$2:$N$29,1,0)</f>
        <v>#N/A</v>
      </c>
    </row>
    <row r="20" spans="1:9" hidden="1" x14ac:dyDescent="0.3">
      <c r="A20" s="1">
        <v>45834</v>
      </c>
      <c r="B20">
        <v>2025001052</v>
      </c>
      <c r="C20" t="s">
        <v>8</v>
      </c>
      <c r="D20" s="4">
        <v>4750000</v>
      </c>
      <c r="E20">
        <v>27087475</v>
      </c>
      <c r="F20" t="s">
        <v>9</v>
      </c>
      <c r="G20" t="s">
        <v>763</v>
      </c>
      <c r="I20" t="e">
        <f>VLOOKUP(C20,[1]Hoja1!$A$2:$N$29,1,0)</f>
        <v>#N/A</v>
      </c>
    </row>
    <row r="21" spans="1:9" hidden="1" x14ac:dyDescent="0.3">
      <c r="A21" s="1">
        <v>45834</v>
      </c>
      <c r="B21">
        <v>2025001068</v>
      </c>
      <c r="C21" t="s">
        <v>19</v>
      </c>
      <c r="D21" s="4">
        <v>2500000</v>
      </c>
      <c r="E21">
        <v>1233188479</v>
      </c>
      <c r="F21" t="s">
        <v>20</v>
      </c>
      <c r="G21" t="s">
        <v>763</v>
      </c>
      <c r="I21" t="e">
        <f>VLOOKUP(C21,[1]Hoja1!$A$2:$N$29,1,0)</f>
        <v>#N/A</v>
      </c>
    </row>
    <row r="22" spans="1:9" hidden="1" x14ac:dyDescent="0.3">
      <c r="A22" s="1">
        <v>45842</v>
      </c>
      <c r="B22">
        <v>2025001105</v>
      </c>
      <c r="C22" t="s">
        <v>31</v>
      </c>
      <c r="D22" s="4">
        <v>3000000</v>
      </c>
      <c r="E22">
        <v>1085314138</v>
      </c>
      <c r="F22" t="s">
        <v>32</v>
      </c>
      <c r="G22" t="s">
        <v>763</v>
      </c>
      <c r="I22" t="e">
        <f>VLOOKUP(C22,[1]Hoja1!$A$2:$N$29,1,0)</f>
        <v>#N/A</v>
      </c>
    </row>
    <row r="23" spans="1:9" hidden="1" x14ac:dyDescent="0.3">
      <c r="A23" s="1">
        <v>45842</v>
      </c>
      <c r="B23">
        <v>2025001112</v>
      </c>
      <c r="C23" t="s">
        <v>33</v>
      </c>
      <c r="D23" s="4">
        <v>7500000</v>
      </c>
      <c r="E23">
        <v>1233192708</v>
      </c>
      <c r="F23" t="s">
        <v>34</v>
      </c>
      <c r="G23" t="s">
        <v>763</v>
      </c>
      <c r="I23" t="e">
        <f>VLOOKUP(C23,[1]Hoja1!$A$2:$N$29,1,0)</f>
        <v>#N/A</v>
      </c>
    </row>
    <row r="24" spans="1:9" hidden="1" x14ac:dyDescent="0.3">
      <c r="A24" s="1">
        <v>45842</v>
      </c>
      <c r="B24">
        <v>2025001121</v>
      </c>
      <c r="C24" t="s">
        <v>12</v>
      </c>
      <c r="D24" s="4">
        <v>3000000</v>
      </c>
      <c r="E24">
        <v>1085286725</v>
      </c>
      <c r="F24" t="s">
        <v>13</v>
      </c>
      <c r="G24" t="s">
        <v>763</v>
      </c>
      <c r="I24" t="e">
        <f>VLOOKUP(C24,[1]Hoja1!$A$2:$N$29,1,0)</f>
        <v>#N/A</v>
      </c>
    </row>
    <row r="25" spans="1:9" hidden="1" x14ac:dyDescent="0.3">
      <c r="A25" s="1">
        <v>45842</v>
      </c>
      <c r="B25">
        <v>2025001122</v>
      </c>
      <c r="C25" t="s">
        <v>17</v>
      </c>
      <c r="D25" s="4">
        <v>3000000</v>
      </c>
      <c r="E25">
        <v>59813323</v>
      </c>
      <c r="F25" t="s">
        <v>18</v>
      </c>
      <c r="G25" t="s">
        <v>763</v>
      </c>
      <c r="I25" t="e">
        <f>VLOOKUP(C25,[1]Hoja1!$A$2:$N$29,1,0)</f>
        <v>#N/A</v>
      </c>
    </row>
    <row r="26" spans="1:9" hidden="1" x14ac:dyDescent="0.3">
      <c r="A26" s="1">
        <v>45846</v>
      </c>
      <c r="B26">
        <v>2025001186</v>
      </c>
      <c r="C26" t="s">
        <v>25</v>
      </c>
      <c r="D26" s="4">
        <v>6000000</v>
      </c>
      <c r="E26">
        <v>1014212900</v>
      </c>
      <c r="F26" t="s">
        <v>26</v>
      </c>
      <c r="G26" t="s">
        <v>763</v>
      </c>
      <c r="I26" t="e">
        <f>VLOOKUP(C26,[1]Hoja1!$A$2:$N$29,1,0)</f>
        <v>#N/A</v>
      </c>
    </row>
    <row r="27" spans="1:9" hidden="1" x14ac:dyDescent="0.3">
      <c r="A27" s="1">
        <v>45846</v>
      </c>
      <c r="B27">
        <v>2025001187</v>
      </c>
      <c r="C27" t="s">
        <v>21</v>
      </c>
      <c r="D27" s="4">
        <v>3000000</v>
      </c>
      <c r="E27">
        <v>1004437571</v>
      </c>
      <c r="F27" t="s">
        <v>22</v>
      </c>
      <c r="G27" t="s">
        <v>763</v>
      </c>
      <c r="I27" t="e">
        <f>VLOOKUP(C27,[1]Hoja1!$A$2:$N$29,1,0)</f>
        <v>#N/A</v>
      </c>
    </row>
    <row r="28" spans="1:9" hidden="1" x14ac:dyDescent="0.3">
      <c r="A28" s="1">
        <v>45846</v>
      </c>
      <c r="B28">
        <v>2025001188</v>
      </c>
      <c r="C28" t="s">
        <v>33</v>
      </c>
      <c r="D28" s="4">
        <v>7500000</v>
      </c>
      <c r="E28">
        <v>1233192708</v>
      </c>
      <c r="F28" t="s">
        <v>34</v>
      </c>
      <c r="G28" t="s">
        <v>763</v>
      </c>
      <c r="I28" t="e">
        <f>VLOOKUP(C28,[1]Hoja1!$A$2:$N$29,1,0)</f>
        <v>#N/A</v>
      </c>
    </row>
    <row r="29" spans="1:9" hidden="1" x14ac:dyDescent="0.3">
      <c r="A29" s="1">
        <v>45847</v>
      </c>
      <c r="B29">
        <v>2025001196</v>
      </c>
      <c r="C29" t="s">
        <v>35</v>
      </c>
      <c r="D29" s="4">
        <v>6000000</v>
      </c>
      <c r="E29">
        <v>36954410</v>
      </c>
      <c r="F29" t="s">
        <v>36</v>
      </c>
      <c r="G29" t="s">
        <v>763</v>
      </c>
      <c r="I29" t="e">
        <f>VLOOKUP(C29,[1]Hoja1!$A$2:$N$29,1,0)</f>
        <v>#N/A</v>
      </c>
    </row>
    <row r="30" spans="1:9" hidden="1" x14ac:dyDescent="0.3">
      <c r="A30" s="1">
        <v>45847</v>
      </c>
      <c r="B30">
        <v>2025001197</v>
      </c>
      <c r="C30" t="s">
        <v>37</v>
      </c>
      <c r="D30" s="4">
        <v>6000000</v>
      </c>
      <c r="E30">
        <v>1085253062</v>
      </c>
      <c r="F30" t="s">
        <v>38</v>
      </c>
      <c r="G30" t="s">
        <v>763</v>
      </c>
      <c r="I30" t="e">
        <f>VLOOKUP(C30,[1]Hoja1!$A$2:$N$29,1,0)</f>
        <v>#N/A</v>
      </c>
    </row>
    <row r="31" spans="1:9" hidden="1" x14ac:dyDescent="0.3">
      <c r="A31" s="1">
        <v>45847</v>
      </c>
      <c r="B31">
        <v>2025001211</v>
      </c>
      <c r="C31" t="s">
        <v>39</v>
      </c>
      <c r="D31" s="4">
        <v>3000000</v>
      </c>
      <c r="E31">
        <v>27082649</v>
      </c>
      <c r="F31" t="s">
        <v>40</v>
      </c>
      <c r="G31" t="s">
        <v>763</v>
      </c>
      <c r="I31" t="e">
        <f>VLOOKUP(C31,[1]Hoja1!$A$2:$N$29,1,0)</f>
        <v>#N/A</v>
      </c>
    </row>
    <row r="32" spans="1:9" x14ac:dyDescent="0.3">
      <c r="A32" s="2">
        <v>45656</v>
      </c>
      <c r="B32" s="3">
        <v>2024003960</v>
      </c>
      <c r="C32" s="3" t="s">
        <v>119</v>
      </c>
      <c r="D32" s="5">
        <v>61371100</v>
      </c>
      <c r="E32" s="3">
        <v>900633448</v>
      </c>
      <c r="F32" s="3" t="s">
        <v>11</v>
      </c>
      <c r="G32" t="s">
        <v>763</v>
      </c>
      <c r="H32" t="s">
        <v>765</v>
      </c>
      <c r="I32" t="str">
        <f>VLOOKUP(C32,[1]Hoja1!$A$2:$N$29,1,0)</f>
        <v>891-2024</v>
      </c>
    </row>
    <row r="33" spans="1:9" hidden="1" x14ac:dyDescent="0.3">
      <c r="A33" s="1">
        <v>45849</v>
      </c>
      <c r="B33">
        <v>2025001238</v>
      </c>
      <c r="C33" t="s">
        <v>41</v>
      </c>
      <c r="D33" s="4">
        <v>6000000</v>
      </c>
      <c r="E33">
        <v>1233193716</v>
      </c>
      <c r="F33" t="s">
        <v>42</v>
      </c>
      <c r="G33" t="s">
        <v>763</v>
      </c>
      <c r="I33" t="e">
        <f>VLOOKUP(C33,[1]Hoja1!$A$2:$N$29,1,0)</f>
        <v>#N/A</v>
      </c>
    </row>
    <row r="34" spans="1:9" hidden="1" x14ac:dyDescent="0.3">
      <c r="A34" s="1">
        <v>45862</v>
      </c>
      <c r="B34">
        <v>2025001445</v>
      </c>
      <c r="C34" t="s">
        <v>23</v>
      </c>
      <c r="D34" s="4">
        <v>2500000</v>
      </c>
      <c r="E34">
        <v>1081052090</v>
      </c>
      <c r="F34" t="s">
        <v>24</v>
      </c>
      <c r="G34" t="s">
        <v>763</v>
      </c>
      <c r="I34" t="e">
        <f>VLOOKUP(C34,[1]Hoja1!$A$2:$N$29,1,0)</f>
        <v>#N/A</v>
      </c>
    </row>
    <row r="35" spans="1:9" x14ac:dyDescent="0.3">
      <c r="A35" s="2">
        <v>45615</v>
      </c>
      <c r="B35" s="3">
        <v>2024002461</v>
      </c>
      <c r="C35" s="3" t="s">
        <v>107</v>
      </c>
      <c r="D35" s="5">
        <v>40641250</v>
      </c>
      <c r="E35" s="3">
        <v>900633448</v>
      </c>
      <c r="F35" s="3" t="s">
        <v>11</v>
      </c>
      <c r="G35" t="s">
        <v>763</v>
      </c>
      <c r="H35" t="s">
        <v>765</v>
      </c>
      <c r="I35" t="str">
        <f>VLOOKUP(C35,[1]Hoja1!$A$2:$N$29,1,0)</f>
        <v>890-2024</v>
      </c>
    </row>
    <row r="36" spans="1:9" hidden="1" x14ac:dyDescent="0.3">
      <c r="A36" s="2">
        <v>45604</v>
      </c>
      <c r="B36" s="3">
        <v>2024002372</v>
      </c>
      <c r="C36" s="3" t="s">
        <v>44</v>
      </c>
      <c r="D36" s="5">
        <v>7540000</v>
      </c>
      <c r="E36" s="3">
        <v>1085304670</v>
      </c>
      <c r="F36" s="3" t="s">
        <v>45</v>
      </c>
      <c r="G36" t="s">
        <v>763</v>
      </c>
      <c r="I36" t="e">
        <f>VLOOKUP(C36,[1]Hoja1!$A$2:$N$29,1,0)</f>
        <v>#N/A</v>
      </c>
    </row>
    <row r="37" spans="1:9" hidden="1" x14ac:dyDescent="0.3">
      <c r="A37" s="2">
        <v>45609</v>
      </c>
      <c r="B37" s="3">
        <v>2024002374</v>
      </c>
      <c r="C37" s="3" t="s">
        <v>46</v>
      </c>
      <c r="D37" s="5">
        <v>6000000</v>
      </c>
      <c r="E37" s="3">
        <v>59820414</v>
      </c>
      <c r="F37" s="3" t="s">
        <v>47</v>
      </c>
      <c r="G37" t="s">
        <v>763</v>
      </c>
      <c r="I37" t="e">
        <f>VLOOKUP(C37,[1]Hoja1!$A$2:$N$29,1,0)</f>
        <v>#N/A</v>
      </c>
    </row>
    <row r="38" spans="1:9" hidden="1" x14ac:dyDescent="0.3">
      <c r="A38" s="2">
        <v>45610</v>
      </c>
      <c r="B38" s="3">
        <v>2024002398</v>
      </c>
      <c r="C38" s="3" t="s">
        <v>48</v>
      </c>
      <c r="D38" s="5">
        <v>6000000</v>
      </c>
      <c r="E38" s="3">
        <v>27097289</v>
      </c>
      <c r="F38" s="3" t="s">
        <v>49</v>
      </c>
      <c r="G38" t="s">
        <v>763</v>
      </c>
      <c r="I38" t="e">
        <f>VLOOKUP(C38,[1]Hoja1!$A$2:$N$29,1,0)</f>
        <v>#N/A</v>
      </c>
    </row>
    <row r="39" spans="1:9" hidden="1" x14ac:dyDescent="0.3">
      <c r="A39" s="2">
        <v>45610</v>
      </c>
      <c r="B39" s="3">
        <v>2024002400</v>
      </c>
      <c r="C39" s="3" t="s">
        <v>50</v>
      </c>
      <c r="D39" s="5">
        <v>7540000</v>
      </c>
      <c r="E39" s="3">
        <v>1151934571</v>
      </c>
      <c r="F39" s="3" t="s">
        <v>51</v>
      </c>
      <c r="G39" t="s">
        <v>763</v>
      </c>
      <c r="I39" t="e">
        <f>VLOOKUP(C39,[1]Hoja1!$A$2:$N$29,1,0)</f>
        <v>#N/A</v>
      </c>
    </row>
    <row r="40" spans="1:9" hidden="1" x14ac:dyDescent="0.3">
      <c r="A40" s="2">
        <v>45610</v>
      </c>
      <c r="B40" s="3">
        <v>2024002401</v>
      </c>
      <c r="C40" s="3" t="s">
        <v>52</v>
      </c>
      <c r="D40" s="5">
        <v>6000000</v>
      </c>
      <c r="E40" s="3">
        <v>1085286476</v>
      </c>
      <c r="F40" s="3" t="s">
        <v>53</v>
      </c>
      <c r="G40" t="s">
        <v>763</v>
      </c>
      <c r="I40" t="e">
        <f>VLOOKUP(C40,[1]Hoja1!$A$2:$N$29,1,0)</f>
        <v>#N/A</v>
      </c>
    </row>
    <row r="41" spans="1:9" hidden="1" x14ac:dyDescent="0.3">
      <c r="A41" s="2">
        <v>45610</v>
      </c>
      <c r="B41" s="3">
        <v>2024002404</v>
      </c>
      <c r="C41" s="3" t="s">
        <v>54</v>
      </c>
      <c r="D41" s="5">
        <v>7540000</v>
      </c>
      <c r="E41" s="3">
        <v>1085336362</v>
      </c>
      <c r="F41" s="3" t="s">
        <v>55</v>
      </c>
      <c r="G41" t="s">
        <v>763</v>
      </c>
      <c r="I41" t="e">
        <f>VLOOKUP(C41,[1]Hoja1!$A$2:$N$29,1,0)</f>
        <v>#N/A</v>
      </c>
    </row>
    <row r="42" spans="1:9" hidden="1" x14ac:dyDescent="0.3">
      <c r="A42" s="2">
        <v>45610</v>
      </c>
      <c r="B42" s="3">
        <v>2024002406</v>
      </c>
      <c r="C42" s="3" t="s">
        <v>56</v>
      </c>
      <c r="D42" s="5">
        <v>3000000</v>
      </c>
      <c r="E42" s="3">
        <v>1085326198</v>
      </c>
      <c r="F42" s="3" t="s">
        <v>57</v>
      </c>
      <c r="G42" t="s">
        <v>763</v>
      </c>
      <c r="I42" t="e">
        <f>VLOOKUP(C42,[1]Hoja1!$A$2:$N$29,1,0)</f>
        <v>#N/A</v>
      </c>
    </row>
    <row r="43" spans="1:9" hidden="1" x14ac:dyDescent="0.3">
      <c r="A43" s="2">
        <v>45610</v>
      </c>
      <c r="B43" s="3">
        <v>2024002407</v>
      </c>
      <c r="C43" s="3" t="s">
        <v>58</v>
      </c>
      <c r="D43" s="5">
        <v>3000000</v>
      </c>
      <c r="E43" s="3">
        <v>1088799034</v>
      </c>
      <c r="F43" s="3" t="s">
        <v>59</v>
      </c>
      <c r="G43" t="s">
        <v>763</v>
      </c>
      <c r="I43" t="e">
        <f>VLOOKUP(C43,[1]Hoja1!$A$2:$N$29,1,0)</f>
        <v>#N/A</v>
      </c>
    </row>
    <row r="44" spans="1:9" hidden="1" x14ac:dyDescent="0.3">
      <c r="A44" s="2">
        <v>45610</v>
      </c>
      <c r="B44" s="3">
        <v>2024002408</v>
      </c>
      <c r="C44" s="3" t="s">
        <v>60</v>
      </c>
      <c r="D44" s="5">
        <v>3000000</v>
      </c>
      <c r="E44" s="3">
        <v>1085295383</v>
      </c>
      <c r="F44" s="3" t="s">
        <v>61</v>
      </c>
      <c r="G44" t="s">
        <v>763</v>
      </c>
      <c r="I44" t="e">
        <f>VLOOKUP(C44,[1]Hoja1!$A$2:$N$29,1,0)</f>
        <v>#N/A</v>
      </c>
    </row>
    <row r="45" spans="1:9" hidden="1" x14ac:dyDescent="0.3">
      <c r="A45" s="2">
        <v>45610</v>
      </c>
      <c r="B45" s="3">
        <v>2024002410</v>
      </c>
      <c r="C45" s="3" t="s">
        <v>62</v>
      </c>
      <c r="D45" s="5">
        <v>3000000</v>
      </c>
      <c r="E45" s="3">
        <v>1085331508</v>
      </c>
      <c r="F45" s="3" t="s">
        <v>63</v>
      </c>
      <c r="G45" t="s">
        <v>763</v>
      </c>
      <c r="I45" t="e">
        <f>VLOOKUP(C45,[1]Hoja1!$A$2:$N$29,1,0)</f>
        <v>#N/A</v>
      </c>
    </row>
    <row r="46" spans="1:9" hidden="1" x14ac:dyDescent="0.3">
      <c r="A46" s="2">
        <v>45610</v>
      </c>
      <c r="B46" s="3">
        <v>2024002411</v>
      </c>
      <c r="C46" s="3" t="s">
        <v>64</v>
      </c>
      <c r="D46" s="5">
        <v>6000000</v>
      </c>
      <c r="E46" s="3">
        <v>1085275879</v>
      </c>
      <c r="F46" s="3" t="s">
        <v>65</v>
      </c>
      <c r="G46" t="s">
        <v>763</v>
      </c>
      <c r="I46" t="e">
        <f>VLOOKUP(C46,[1]Hoja1!$A$2:$N$29,1,0)</f>
        <v>#N/A</v>
      </c>
    </row>
    <row r="47" spans="1:9" hidden="1" x14ac:dyDescent="0.3">
      <c r="A47" s="2">
        <v>45610</v>
      </c>
      <c r="B47" s="3">
        <v>2024002415</v>
      </c>
      <c r="C47" s="3" t="s">
        <v>66</v>
      </c>
      <c r="D47" s="5">
        <v>6000000</v>
      </c>
      <c r="E47" s="3">
        <v>1085254626</v>
      </c>
      <c r="F47" s="3" t="s">
        <v>67</v>
      </c>
      <c r="G47" t="s">
        <v>763</v>
      </c>
      <c r="I47" t="e">
        <f>VLOOKUP(C47,[1]Hoja1!$A$2:$N$29,1,0)</f>
        <v>#N/A</v>
      </c>
    </row>
    <row r="48" spans="1:9" hidden="1" x14ac:dyDescent="0.3">
      <c r="A48" s="2">
        <v>45610</v>
      </c>
      <c r="B48" s="3">
        <v>2024002416</v>
      </c>
      <c r="C48" s="3" t="s">
        <v>68</v>
      </c>
      <c r="D48" s="5">
        <v>3000000</v>
      </c>
      <c r="E48" s="3">
        <v>1085261053</v>
      </c>
      <c r="F48" s="3" t="s">
        <v>69</v>
      </c>
      <c r="G48" t="s">
        <v>763</v>
      </c>
      <c r="I48" t="e">
        <f>VLOOKUP(C48,[1]Hoja1!$A$2:$N$29,1,0)</f>
        <v>#N/A</v>
      </c>
    </row>
    <row r="49" spans="1:9" hidden="1" x14ac:dyDescent="0.3">
      <c r="A49" s="2">
        <v>45610</v>
      </c>
      <c r="B49" s="3">
        <v>2024002417</v>
      </c>
      <c r="C49" s="3" t="s">
        <v>70</v>
      </c>
      <c r="D49" s="5">
        <v>4750000</v>
      </c>
      <c r="E49" s="3">
        <v>27087475</v>
      </c>
      <c r="F49" s="3" t="s">
        <v>9</v>
      </c>
      <c r="G49" t="s">
        <v>763</v>
      </c>
      <c r="I49" t="e">
        <f>VLOOKUP(C49,[1]Hoja1!$A$2:$N$29,1,0)</f>
        <v>#N/A</v>
      </c>
    </row>
    <row r="50" spans="1:9" hidden="1" x14ac:dyDescent="0.3">
      <c r="A50" s="2">
        <v>45610</v>
      </c>
      <c r="B50" s="3">
        <v>2024002418</v>
      </c>
      <c r="C50" s="3" t="s">
        <v>71</v>
      </c>
      <c r="D50" s="5">
        <v>6000000</v>
      </c>
      <c r="E50" s="3">
        <v>1085313872</v>
      </c>
      <c r="F50" s="3" t="s">
        <v>72</v>
      </c>
      <c r="G50" t="s">
        <v>763</v>
      </c>
      <c r="I50" t="e">
        <f>VLOOKUP(C50,[1]Hoja1!$A$2:$N$29,1,0)</f>
        <v>#N/A</v>
      </c>
    </row>
    <row r="51" spans="1:9" hidden="1" x14ac:dyDescent="0.3">
      <c r="A51" s="2">
        <v>45611</v>
      </c>
      <c r="B51" s="3">
        <v>2024002427</v>
      </c>
      <c r="C51" s="3" t="s">
        <v>73</v>
      </c>
      <c r="D51" s="5">
        <v>9853200</v>
      </c>
      <c r="E51" s="3">
        <v>830004892</v>
      </c>
      <c r="F51" s="3" t="s">
        <v>74</v>
      </c>
      <c r="G51" t="s">
        <v>763</v>
      </c>
      <c r="I51" t="e">
        <f>VLOOKUP(C51,[1]Hoja1!$A$2:$N$29,1,0)</f>
        <v>#N/A</v>
      </c>
    </row>
    <row r="52" spans="1:9" hidden="1" x14ac:dyDescent="0.3">
      <c r="A52" s="2">
        <v>45614</v>
      </c>
      <c r="B52" s="3">
        <v>2024002440</v>
      </c>
      <c r="C52" s="3" t="s">
        <v>75</v>
      </c>
      <c r="D52" s="5">
        <v>6000000</v>
      </c>
      <c r="E52" s="3">
        <v>1082748420</v>
      </c>
      <c r="F52" s="3" t="s">
        <v>76</v>
      </c>
      <c r="G52" t="s">
        <v>763</v>
      </c>
      <c r="I52" t="e">
        <f>VLOOKUP(C52,[1]Hoja1!$A$2:$N$29,1,0)</f>
        <v>#N/A</v>
      </c>
    </row>
    <row r="53" spans="1:9" hidden="1" x14ac:dyDescent="0.3">
      <c r="A53" s="2">
        <v>45614</v>
      </c>
      <c r="B53" s="3">
        <v>2024002441</v>
      </c>
      <c r="C53" s="3" t="s">
        <v>77</v>
      </c>
      <c r="D53" s="5">
        <v>6000000</v>
      </c>
      <c r="E53" s="3">
        <v>1085320275</v>
      </c>
      <c r="F53" s="3" t="s">
        <v>78</v>
      </c>
      <c r="G53" t="s">
        <v>763</v>
      </c>
      <c r="I53" t="e">
        <f>VLOOKUP(C53,[1]Hoja1!$A$2:$N$29,1,0)</f>
        <v>#N/A</v>
      </c>
    </row>
    <row r="54" spans="1:9" hidden="1" x14ac:dyDescent="0.3">
      <c r="A54" s="2">
        <v>45614</v>
      </c>
      <c r="B54" s="3">
        <v>2024002442</v>
      </c>
      <c r="C54" s="3" t="s">
        <v>79</v>
      </c>
      <c r="D54" s="5">
        <v>4825000</v>
      </c>
      <c r="E54" s="3">
        <v>1085273986</v>
      </c>
      <c r="F54" s="3" t="s">
        <v>80</v>
      </c>
      <c r="G54" t="s">
        <v>763</v>
      </c>
      <c r="I54" t="e">
        <f>VLOOKUP(C54,[1]Hoja1!$A$2:$N$29,1,0)</f>
        <v>#N/A</v>
      </c>
    </row>
    <row r="55" spans="1:9" hidden="1" x14ac:dyDescent="0.3">
      <c r="A55" s="2">
        <v>45614</v>
      </c>
      <c r="B55" s="3">
        <v>2024002443</v>
      </c>
      <c r="C55" s="3" t="s">
        <v>81</v>
      </c>
      <c r="D55" s="5">
        <v>4825000</v>
      </c>
      <c r="E55" s="3">
        <v>1085283723</v>
      </c>
      <c r="F55" s="3" t="s">
        <v>82</v>
      </c>
      <c r="G55" t="s">
        <v>763</v>
      </c>
      <c r="I55" t="e">
        <f>VLOOKUP(C55,[1]Hoja1!$A$2:$N$29,1,0)</f>
        <v>#N/A</v>
      </c>
    </row>
    <row r="56" spans="1:9" hidden="1" x14ac:dyDescent="0.3">
      <c r="A56" s="2">
        <v>45614</v>
      </c>
      <c r="B56" s="3">
        <v>2024002444</v>
      </c>
      <c r="C56" s="3" t="s">
        <v>83</v>
      </c>
      <c r="D56" s="5">
        <v>4750000</v>
      </c>
      <c r="E56" s="3">
        <v>1085260497</v>
      </c>
      <c r="F56" s="3" t="s">
        <v>84</v>
      </c>
      <c r="G56" t="s">
        <v>763</v>
      </c>
      <c r="I56" t="e">
        <f>VLOOKUP(C56,[1]Hoja1!$A$2:$N$29,1,0)</f>
        <v>#N/A</v>
      </c>
    </row>
    <row r="57" spans="1:9" hidden="1" x14ac:dyDescent="0.3">
      <c r="A57" s="2">
        <v>45614</v>
      </c>
      <c r="B57" s="3">
        <v>2024002445</v>
      </c>
      <c r="C57" s="3" t="s">
        <v>85</v>
      </c>
      <c r="D57" s="5">
        <v>4825000</v>
      </c>
      <c r="E57" s="3">
        <v>37082349</v>
      </c>
      <c r="F57" s="3" t="s">
        <v>86</v>
      </c>
      <c r="G57" t="s">
        <v>763</v>
      </c>
      <c r="I57" t="e">
        <f>VLOOKUP(C57,[1]Hoja1!$A$2:$N$29,1,0)</f>
        <v>#N/A</v>
      </c>
    </row>
    <row r="58" spans="1:9" hidden="1" x14ac:dyDescent="0.3">
      <c r="A58" s="2">
        <v>45614</v>
      </c>
      <c r="B58" s="3">
        <v>2024002446</v>
      </c>
      <c r="C58" s="3" t="s">
        <v>87</v>
      </c>
      <c r="D58" s="5">
        <v>4750000</v>
      </c>
      <c r="E58" s="3">
        <v>1085263018</v>
      </c>
      <c r="F58" s="3" t="s">
        <v>88</v>
      </c>
      <c r="G58" t="s">
        <v>763</v>
      </c>
      <c r="I58" t="e">
        <f>VLOOKUP(C58,[1]Hoja1!$A$2:$N$29,1,0)</f>
        <v>#N/A</v>
      </c>
    </row>
    <row r="59" spans="1:9" hidden="1" x14ac:dyDescent="0.3">
      <c r="A59" s="2">
        <v>45614</v>
      </c>
      <c r="B59" s="3">
        <v>2024002447</v>
      </c>
      <c r="C59" s="3" t="s">
        <v>89</v>
      </c>
      <c r="D59" s="5">
        <v>4825000</v>
      </c>
      <c r="E59" s="3">
        <v>1085338534</v>
      </c>
      <c r="F59" s="3" t="s">
        <v>90</v>
      </c>
      <c r="G59" t="s">
        <v>763</v>
      </c>
      <c r="I59" t="e">
        <f>VLOOKUP(C59,[1]Hoja1!$A$2:$N$29,1,0)</f>
        <v>#N/A</v>
      </c>
    </row>
    <row r="60" spans="1:9" hidden="1" x14ac:dyDescent="0.3">
      <c r="A60" s="2">
        <v>45614</v>
      </c>
      <c r="B60" s="3">
        <v>2024002448</v>
      </c>
      <c r="C60" s="3" t="s">
        <v>91</v>
      </c>
      <c r="D60" s="5">
        <v>3000000</v>
      </c>
      <c r="E60" s="3">
        <v>1085271641</v>
      </c>
      <c r="F60" s="3" t="s">
        <v>92</v>
      </c>
      <c r="G60" t="s">
        <v>763</v>
      </c>
      <c r="I60" t="e">
        <f>VLOOKUP(C60,[1]Hoja1!$A$2:$N$29,1,0)</f>
        <v>#N/A</v>
      </c>
    </row>
    <row r="61" spans="1:9" hidden="1" x14ac:dyDescent="0.3">
      <c r="A61" s="2">
        <v>45614</v>
      </c>
      <c r="B61" s="3">
        <v>2024002449</v>
      </c>
      <c r="C61" s="3" t="s">
        <v>93</v>
      </c>
      <c r="D61" s="5">
        <v>3000000</v>
      </c>
      <c r="E61" s="3">
        <v>1192717330</v>
      </c>
      <c r="F61" s="3" t="s">
        <v>94</v>
      </c>
      <c r="G61" t="s">
        <v>763</v>
      </c>
      <c r="I61" t="e">
        <f>VLOOKUP(C61,[1]Hoja1!$A$2:$N$29,1,0)</f>
        <v>#N/A</v>
      </c>
    </row>
    <row r="62" spans="1:9" hidden="1" x14ac:dyDescent="0.3">
      <c r="A62" s="2">
        <v>45614</v>
      </c>
      <c r="B62" s="3">
        <v>2024002450</v>
      </c>
      <c r="C62" s="3" t="s">
        <v>95</v>
      </c>
      <c r="D62" s="5">
        <v>2500000</v>
      </c>
      <c r="E62" s="3">
        <v>27211504</v>
      </c>
      <c r="F62" s="3" t="s">
        <v>96</v>
      </c>
      <c r="G62" t="s">
        <v>763</v>
      </c>
      <c r="I62" t="e">
        <f>VLOOKUP(C62,[1]Hoja1!$A$2:$N$29,1,0)</f>
        <v>#N/A</v>
      </c>
    </row>
    <row r="63" spans="1:9" hidden="1" x14ac:dyDescent="0.3">
      <c r="A63" s="2">
        <v>45614</v>
      </c>
      <c r="B63" s="3">
        <v>2024002451</v>
      </c>
      <c r="C63" s="3" t="s">
        <v>97</v>
      </c>
      <c r="D63" s="5">
        <v>3000000</v>
      </c>
      <c r="E63" s="3">
        <v>1004635031</v>
      </c>
      <c r="F63" s="3" t="s">
        <v>98</v>
      </c>
      <c r="G63" t="s">
        <v>763</v>
      </c>
      <c r="I63" t="e">
        <f>VLOOKUP(C63,[1]Hoja1!$A$2:$N$29,1,0)</f>
        <v>#N/A</v>
      </c>
    </row>
    <row r="64" spans="1:9" hidden="1" x14ac:dyDescent="0.3">
      <c r="A64" s="2">
        <v>45614</v>
      </c>
      <c r="B64" s="3">
        <v>2024002452</v>
      </c>
      <c r="C64" s="3" t="s">
        <v>99</v>
      </c>
      <c r="D64" s="5">
        <v>6000000</v>
      </c>
      <c r="E64" s="3">
        <v>1085246134</v>
      </c>
      <c r="F64" s="3" t="s">
        <v>100</v>
      </c>
      <c r="G64" t="s">
        <v>763</v>
      </c>
      <c r="I64" t="e">
        <f>VLOOKUP(C64,[1]Hoja1!$A$2:$N$29,1,0)</f>
        <v>#N/A</v>
      </c>
    </row>
    <row r="65" spans="1:9" hidden="1" x14ac:dyDescent="0.3">
      <c r="A65" s="2">
        <v>45614</v>
      </c>
      <c r="B65" s="3">
        <v>2024002453</v>
      </c>
      <c r="C65" s="3" t="s">
        <v>101</v>
      </c>
      <c r="D65" s="5">
        <v>6000000</v>
      </c>
      <c r="E65" s="3">
        <v>36951002</v>
      </c>
      <c r="F65" s="3" t="s">
        <v>102</v>
      </c>
      <c r="G65" t="s">
        <v>763</v>
      </c>
      <c r="I65" t="e">
        <f>VLOOKUP(C65,[1]Hoja1!$A$2:$N$29,1,0)</f>
        <v>#N/A</v>
      </c>
    </row>
    <row r="66" spans="1:9" hidden="1" x14ac:dyDescent="0.3">
      <c r="A66" s="2">
        <v>45614</v>
      </c>
      <c r="B66" s="3">
        <v>2024002454</v>
      </c>
      <c r="C66" s="3" t="s">
        <v>103</v>
      </c>
      <c r="D66" s="5">
        <v>7540000</v>
      </c>
      <c r="E66" s="3">
        <v>36950112</v>
      </c>
      <c r="F66" s="3" t="s">
        <v>104</v>
      </c>
      <c r="G66" t="s">
        <v>763</v>
      </c>
      <c r="I66" t="e">
        <f>VLOOKUP(C66,[1]Hoja1!$A$2:$N$29,1,0)</f>
        <v>#N/A</v>
      </c>
    </row>
    <row r="67" spans="1:9" hidden="1" x14ac:dyDescent="0.3">
      <c r="A67" s="2">
        <v>45637</v>
      </c>
      <c r="B67" s="3">
        <v>2024003010</v>
      </c>
      <c r="C67" s="3" t="s">
        <v>107</v>
      </c>
      <c r="D67" s="5">
        <v>87508750</v>
      </c>
      <c r="E67" s="3">
        <v>900633448</v>
      </c>
      <c r="F67" s="3" t="s">
        <v>11</v>
      </c>
      <c r="G67" t="s">
        <v>763</v>
      </c>
      <c r="I67" t="str">
        <f>VLOOKUP(C67,[1]Hoja1!$A$2:$N$29,1,0)</f>
        <v>890-2024</v>
      </c>
    </row>
    <row r="68" spans="1:9" hidden="1" x14ac:dyDescent="0.3">
      <c r="A68" s="2">
        <v>45656</v>
      </c>
      <c r="B68" s="3">
        <v>2024003959</v>
      </c>
      <c r="C68" s="3" t="s">
        <v>107</v>
      </c>
      <c r="D68" s="5">
        <v>122800000</v>
      </c>
      <c r="E68" s="3">
        <v>900633448</v>
      </c>
      <c r="F68" s="3" t="s">
        <v>11</v>
      </c>
      <c r="G68" t="s">
        <v>763</v>
      </c>
      <c r="I68" t="str">
        <f>VLOOKUP(C68,[1]Hoja1!$A$2:$N$29,1,0)</f>
        <v>890-2024</v>
      </c>
    </row>
    <row r="69" spans="1:9" x14ac:dyDescent="0.3">
      <c r="A69" s="2">
        <v>45615</v>
      </c>
      <c r="B69" s="3">
        <v>2024002459</v>
      </c>
      <c r="C69" s="3" t="s">
        <v>106</v>
      </c>
      <c r="D69" s="5">
        <v>32976500</v>
      </c>
      <c r="E69" s="3">
        <v>900633448</v>
      </c>
      <c r="F69" s="3" t="s">
        <v>11</v>
      </c>
      <c r="G69" t="s">
        <v>763</v>
      </c>
      <c r="H69" t="s">
        <v>765</v>
      </c>
      <c r="I69" t="str">
        <f>VLOOKUP(C69,[1]Hoja1!$A$2:$N$29,1,0)</f>
        <v>889-2024</v>
      </c>
    </row>
    <row r="70" spans="1:9" hidden="1" x14ac:dyDescent="0.3">
      <c r="A70" s="2">
        <v>45615</v>
      </c>
      <c r="B70" s="3">
        <v>2024002462</v>
      </c>
      <c r="C70" s="3" t="s">
        <v>108</v>
      </c>
      <c r="D70" s="5">
        <v>6000000</v>
      </c>
      <c r="E70" s="3">
        <v>1010010954</v>
      </c>
      <c r="F70" s="3" t="s">
        <v>109</v>
      </c>
      <c r="G70" t="s">
        <v>763</v>
      </c>
      <c r="I70" t="e">
        <f>VLOOKUP(C70,[1]Hoja1!$A$2:$N$29,1,0)</f>
        <v>#N/A</v>
      </c>
    </row>
    <row r="71" spans="1:9" hidden="1" x14ac:dyDescent="0.3">
      <c r="A71" s="2">
        <v>45615</v>
      </c>
      <c r="B71" s="3">
        <v>2024002463</v>
      </c>
      <c r="C71" s="3" t="s">
        <v>110</v>
      </c>
      <c r="D71" s="5">
        <v>3000000</v>
      </c>
      <c r="E71" s="3">
        <v>36757522</v>
      </c>
      <c r="F71" s="3" t="s">
        <v>111</v>
      </c>
      <c r="G71" t="s">
        <v>763</v>
      </c>
      <c r="I71" t="e">
        <f>VLOOKUP(C71,[1]Hoja1!$A$2:$N$29,1,0)</f>
        <v>#N/A</v>
      </c>
    </row>
    <row r="72" spans="1:9" hidden="1" x14ac:dyDescent="0.3">
      <c r="A72" s="2">
        <v>45615</v>
      </c>
      <c r="B72" s="3">
        <v>2024002464</v>
      </c>
      <c r="C72" s="3" t="s">
        <v>112</v>
      </c>
      <c r="D72" s="5">
        <v>3000000</v>
      </c>
      <c r="E72" s="3">
        <v>1004592366</v>
      </c>
      <c r="F72" s="3" t="s">
        <v>113</v>
      </c>
      <c r="G72" t="s">
        <v>763</v>
      </c>
      <c r="I72" t="e">
        <f>VLOOKUP(C72,[1]Hoja1!$A$2:$N$29,1,0)</f>
        <v>#N/A</v>
      </c>
    </row>
    <row r="73" spans="1:9" hidden="1" x14ac:dyDescent="0.3">
      <c r="A73" s="2">
        <v>45615</v>
      </c>
      <c r="B73" s="3">
        <v>2024002465</v>
      </c>
      <c r="C73" s="3" t="s">
        <v>114</v>
      </c>
      <c r="D73" s="5">
        <v>2500000</v>
      </c>
      <c r="E73" s="3">
        <v>1085251468</v>
      </c>
      <c r="F73" s="3" t="s">
        <v>115</v>
      </c>
      <c r="G73" t="s">
        <v>763</v>
      </c>
      <c r="I73" t="e">
        <f>VLOOKUP(C73,[1]Hoja1!$A$2:$N$29,1,0)</f>
        <v>#N/A</v>
      </c>
    </row>
    <row r="74" spans="1:9" hidden="1" x14ac:dyDescent="0.3">
      <c r="A74" s="2">
        <v>45615</v>
      </c>
      <c r="B74" s="3">
        <v>2024002466</v>
      </c>
      <c r="C74" s="3" t="s">
        <v>116</v>
      </c>
      <c r="D74" s="5">
        <v>1800000</v>
      </c>
      <c r="E74" s="3">
        <v>1085292185</v>
      </c>
      <c r="F74" s="3" t="s">
        <v>7</v>
      </c>
      <c r="G74" t="s">
        <v>763</v>
      </c>
      <c r="I74" t="e">
        <f>VLOOKUP(C74,[1]Hoja1!$A$2:$N$29,1,0)</f>
        <v>#N/A</v>
      </c>
    </row>
    <row r="75" spans="1:9" hidden="1" x14ac:dyDescent="0.3">
      <c r="A75" s="2">
        <v>45615</v>
      </c>
      <c r="B75" s="3">
        <v>2024002467</v>
      </c>
      <c r="C75" s="3" t="s">
        <v>117</v>
      </c>
      <c r="D75" s="5">
        <v>3000000</v>
      </c>
      <c r="E75" s="3">
        <v>1004232508</v>
      </c>
      <c r="F75" s="3" t="s">
        <v>118</v>
      </c>
      <c r="G75" t="s">
        <v>763</v>
      </c>
      <c r="I75" t="e">
        <f>VLOOKUP(C75,[1]Hoja1!$A$2:$N$29,1,0)</f>
        <v>#N/A</v>
      </c>
    </row>
    <row r="76" spans="1:9" hidden="1" x14ac:dyDescent="0.3">
      <c r="A76" s="2">
        <v>45637</v>
      </c>
      <c r="B76" s="3">
        <v>2024003008</v>
      </c>
      <c r="C76" s="3" t="s">
        <v>106</v>
      </c>
      <c r="D76" s="5">
        <v>63773500</v>
      </c>
      <c r="E76" s="3">
        <v>900633448</v>
      </c>
      <c r="F76" s="3" t="s">
        <v>11</v>
      </c>
      <c r="G76" t="s">
        <v>763</v>
      </c>
      <c r="I76" t="str">
        <f>VLOOKUP(C76,[1]Hoja1!$A$2:$N$29,1,0)</f>
        <v>889-2024</v>
      </c>
    </row>
    <row r="77" spans="1:9" hidden="1" x14ac:dyDescent="0.3">
      <c r="A77" s="2">
        <v>45656</v>
      </c>
      <c r="B77" s="3">
        <v>2024003961</v>
      </c>
      <c r="C77" s="3" t="s">
        <v>106</v>
      </c>
      <c r="D77" s="5">
        <v>43950000</v>
      </c>
      <c r="E77" s="3">
        <v>900633448</v>
      </c>
      <c r="F77" s="3" t="s">
        <v>11</v>
      </c>
      <c r="G77" t="s">
        <v>763</v>
      </c>
      <c r="I77" t="str">
        <f>VLOOKUP(C77,[1]Hoja1!$A$2:$N$29,1,0)</f>
        <v>889-2024</v>
      </c>
    </row>
    <row r="78" spans="1:9" hidden="1" x14ac:dyDescent="0.3">
      <c r="A78" s="2">
        <v>45615</v>
      </c>
      <c r="B78" s="3">
        <v>2024002470</v>
      </c>
      <c r="C78" s="3" t="s">
        <v>122</v>
      </c>
      <c r="D78" s="5">
        <v>7540000</v>
      </c>
      <c r="E78" s="3">
        <v>1085332934</v>
      </c>
      <c r="F78" s="3" t="s">
        <v>123</v>
      </c>
      <c r="G78" t="s">
        <v>763</v>
      </c>
      <c r="I78" t="e">
        <f>VLOOKUP(C78,[1]Hoja1!$A$2:$N$29,1,0)</f>
        <v>#N/A</v>
      </c>
    </row>
    <row r="79" spans="1:9" hidden="1" x14ac:dyDescent="0.3">
      <c r="A79" s="2">
        <v>45615</v>
      </c>
      <c r="B79" s="3">
        <v>2024002471</v>
      </c>
      <c r="C79" s="3" t="s">
        <v>124</v>
      </c>
      <c r="D79" s="5">
        <v>4825000</v>
      </c>
      <c r="E79" s="3">
        <v>12748383</v>
      </c>
      <c r="F79" s="3" t="s">
        <v>125</v>
      </c>
      <c r="G79" t="s">
        <v>763</v>
      </c>
      <c r="I79" t="e">
        <f>VLOOKUP(C79,[1]Hoja1!$A$2:$N$29,1,0)</f>
        <v>#N/A</v>
      </c>
    </row>
    <row r="80" spans="1:9" hidden="1" x14ac:dyDescent="0.3">
      <c r="A80" s="2">
        <v>45615</v>
      </c>
      <c r="B80" s="3">
        <v>2024002472</v>
      </c>
      <c r="C80" s="3" t="s">
        <v>126</v>
      </c>
      <c r="D80" s="5">
        <v>4825000</v>
      </c>
      <c r="E80" s="3">
        <v>30732782</v>
      </c>
      <c r="F80" s="3" t="s">
        <v>127</v>
      </c>
      <c r="G80" t="s">
        <v>763</v>
      </c>
      <c r="I80" t="e">
        <f>VLOOKUP(C80,[1]Hoja1!$A$2:$N$29,1,0)</f>
        <v>#N/A</v>
      </c>
    </row>
    <row r="81" spans="1:9" hidden="1" x14ac:dyDescent="0.3">
      <c r="A81" s="2">
        <v>45615</v>
      </c>
      <c r="B81" s="3">
        <v>2024002475</v>
      </c>
      <c r="C81" s="3" t="s">
        <v>128</v>
      </c>
      <c r="D81" s="5">
        <v>9891756</v>
      </c>
      <c r="E81" s="3">
        <v>900414376</v>
      </c>
      <c r="F81" s="3" t="s">
        <v>129</v>
      </c>
      <c r="G81" t="s">
        <v>763</v>
      </c>
      <c r="I81" t="e">
        <f>VLOOKUP(C81,[1]Hoja1!$A$2:$N$29,1,0)</f>
        <v>#N/A</v>
      </c>
    </row>
    <row r="82" spans="1:9" hidden="1" x14ac:dyDescent="0.3">
      <c r="A82" s="2">
        <v>45615</v>
      </c>
      <c r="B82" s="3">
        <v>2024002476</v>
      </c>
      <c r="C82" s="3" t="s">
        <v>130</v>
      </c>
      <c r="D82" s="5">
        <v>13508223.119999999</v>
      </c>
      <c r="E82" s="3">
        <v>900441119</v>
      </c>
      <c r="F82" s="3" t="s">
        <v>131</v>
      </c>
      <c r="G82" t="s">
        <v>763</v>
      </c>
      <c r="I82" t="e">
        <f>VLOOKUP(C82,[1]Hoja1!$A$2:$N$29,1,0)</f>
        <v>#N/A</v>
      </c>
    </row>
    <row r="83" spans="1:9" x14ac:dyDescent="0.3">
      <c r="A83" s="2">
        <v>45615</v>
      </c>
      <c r="B83" s="3">
        <v>2024002458</v>
      </c>
      <c r="C83" s="3" t="s">
        <v>105</v>
      </c>
      <c r="D83" s="5">
        <v>30171550</v>
      </c>
      <c r="E83" s="3">
        <v>900633448</v>
      </c>
      <c r="F83" s="3" t="s">
        <v>11</v>
      </c>
      <c r="G83" t="s">
        <v>763</v>
      </c>
      <c r="H83" t="s">
        <v>765</v>
      </c>
      <c r="I83" t="str">
        <f>VLOOKUP(C83,[1]Hoja1!$A$2:$N$29,1,0)</f>
        <v>888-2024</v>
      </c>
    </row>
    <row r="84" spans="1:9" hidden="1" x14ac:dyDescent="0.3">
      <c r="A84" s="2">
        <v>45637</v>
      </c>
      <c r="B84" s="3">
        <v>2024003006</v>
      </c>
      <c r="C84" s="3" t="s">
        <v>105</v>
      </c>
      <c r="D84" s="5">
        <v>85878450</v>
      </c>
      <c r="E84" s="3">
        <v>900633448</v>
      </c>
      <c r="F84" s="3" t="s">
        <v>11</v>
      </c>
      <c r="G84" t="s">
        <v>763</v>
      </c>
      <c r="I84" t="str">
        <f>VLOOKUP(C84,[1]Hoja1!$A$2:$N$29,1,0)</f>
        <v>888-2024</v>
      </c>
    </row>
    <row r="85" spans="1:9" hidden="1" x14ac:dyDescent="0.3">
      <c r="A85" s="2">
        <v>45616</v>
      </c>
      <c r="B85" s="3">
        <v>2024002479</v>
      </c>
      <c r="C85" s="3" t="s">
        <v>136</v>
      </c>
      <c r="D85" s="5">
        <v>3000000</v>
      </c>
      <c r="E85" s="3">
        <v>1081052746</v>
      </c>
      <c r="F85" s="3" t="s">
        <v>137</v>
      </c>
      <c r="G85" t="s">
        <v>763</v>
      </c>
      <c r="I85" t="e">
        <f>VLOOKUP(C85,[1]Hoja1!$A$2:$N$29,1,0)</f>
        <v>#N/A</v>
      </c>
    </row>
    <row r="86" spans="1:9" hidden="1" x14ac:dyDescent="0.3">
      <c r="A86" s="2">
        <v>45616</v>
      </c>
      <c r="B86" s="3">
        <v>2024002480</v>
      </c>
      <c r="C86" s="3" t="s">
        <v>138</v>
      </c>
      <c r="D86" s="5">
        <v>3000000</v>
      </c>
      <c r="E86" s="3">
        <v>59178610</v>
      </c>
      <c r="F86" s="3" t="s">
        <v>139</v>
      </c>
      <c r="G86" t="s">
        <v>763</v>
      </c>
      <c r="I86" t="e">
        <f>VLOOKUP(C86,[1]Hoja1!$A$2:$N$29,1,0)</f>
        <v>#N/A</v>
      </c>
    </row>
    <row r="87" spans="1:9" hidden="1" x14ac:dyDescent="0.3">
      <c r="A87" s="2">
        <v>45616</v>
      </c>
      <c r="B87" s="3">
        <v>2024002481</v>
      </c>
      <c r="C87" s="3" t="s">
        <v>140</v>
      </c>
      <c r="D87" s="5">
        <v>7540000</v>
      </c>
      <c r="E87" s="3">
        <v>1085329230</v>
      </c>
      <c r="F87" s="3" t="s">
        <v>141</v>
      </c>
      <c r="G87" t="s">
        <v>763</v>
      </c>
      <c r="I87" t="e">
        <f>VLOOKUP(C87,[1]Hoja1!$A$2:$N$29,1,0)</f>
        <v>#N/A</v>
      </c>
    </row>
    <row r="88" spans="1:9" hidden="1" x14ac:dyDescent="0.3">
      <c r="A88" s="2">
        <v>45616</v>
      </c>
      <c r="B88" s="3">
        <v>2024002482</v>
      </c>
      <c r="C88" s="3" t="s">
        <v>142</v>
      </c>
      <c r="D88" s="5">
        <v>6000000</v>
      </c>
      <c r="E88" s="3">
        <v>59837608</v>
      </c>
      <c r="F88" s="3" t="s">
        <v>143</v>
      </c>
      <c r="G88" t="s">
        <v>763</v>
      </c>
      <c r="I88" t="e">
        <f>VLOOKUP(C88,[1]Hoja1!$A$2:$N$29,1,0)</f>
        <v>#N/A</v>
      </c>
    </row>
    <row r="89" spans="1:9" hidden="1" x14ac:dyDescent="0.3">
      <c r="A89" s="2">
        <v>45616</v>
      </c>
      <c r="B89" s="3">
        <v>2024002483</v>
      </c>
      <c r="C89" s="3" t="s">
        <v>116</v>
      </c>
      <c r="D89" s="5">
        <v>6000000</v>
      </c>
      <c r="E89" s="3">
        <v>1085292185</v>
      </c>
      <c r="F89" s="3" t="s">
        <v>7</v>
      </c>
      <c r="G89" t="s">
        <v>763</v>
      </c>
      <c r="I89" t="e">
        <f>VLOOKUP(C89,[1]Hoja1!$A$2:$N$29,1,0)</f>
        <v>#N/A</v>
      </c>
    </row>
    <row r="90" spans="1:9" hidden="1" x14ac:dyDescent="0.3">
      <c r="A90" s="2">
        <v>45616</v>
      </c>
      <c r="B90" s="3">
        <v>2024002484</v>
      </c>
      <c r="C90" s="3" t="s">
        <v>144</v>
      </c>
      <c r="D90" s="5">
        <v>2500000</v>
      </c>
      <c r="E90" s="3">
        <v>1085330079</v>
      </c>
      <c r="F90" s="3" t="s">
        <v>145</v>
      </c>
      <c r="G90" t="s">
        <v>763</v>
      </c>
      <c r="I90" t="e">
        <f>VLOOKUP(C90,[1]Hoja1!$A$2:$N$29,1,0)</f>
        <v>#N/A</v>
      </c>
    </row>
    <row r="91" spans="1:9" hidden="1" x14ac:dyDescent="0.3">
      <c r="A91" s="2">
        <v>45616</v>
      </c>
      <c r="B91" s="3">
        <v>2024002485</v>
      </c>
      <c r="C91" s="3" t="s">
        <v>146</v>
      </c>
      <c r="D91" s="5">
        <v>4750000</v>
      </c>
      <c r="E91" s="3">
        <v>1085303067</v>
      </c>
      <c r="F91" s="3" t="s">
        <v>147</v>
      </c>
      <c r="G91" t="s">
        <v>763</v>
      </c>
      <c r="I91" t="e">
        <f>VLOOKUP(C91,[1]Hoja1!$A$2:$N$29,1,0)</f>
        <v>#N/A</v>
      </c>
    </row>
    <row r="92" spans="1:9" hidden="1" x14ac:dyDescent="0.3">
      <c r="A92" s="2">
        <v>45616</v>
      </c>
      <c r="B92" s="3">
        <v>2024002486</v>
      </c>
      <c r="C92" s="3" t="s">
        <v>148</v>
      </c>
      <c r="D92" s="5">
        <v>4750000</v>
      </c>
      <c r="E92" s="3">
        <v>59821282</v>
      </c>
      <c r="F92" s="3" t="s">
        <v>149</v>
      </c>
      <c r="G92" t="s">
        <v>763</v>
      </c>
      <c r="I92" t="e">
        <f>VLOOKUP(C92,[1]Hoja1!$A$2:$N$29,1,0)</f>
        <v>#N/A</v>
      </c>
    </row>
    <row r="93" spans="1:9" hidden="1" x14ac:dyDescent="0.3">
      <c r="A93" s="2">
        <v>45616</v>
      </c>
      <c r="B93" s="3">
        <v>2024002487</v>
      </c>
      <c r="C93" s="3" t="s">
        <v>150</v>
      </c>
      <c r="D93" s="5">
        <v>3000000</v>
      </c>
      <c r="E93" s="3">
        <v>1085327701</v>
      </c>
      <c r="F93" s="3" t="s">
        <v>151</v>
      </c>
      <c r="G93" t="s">
        <v>763</v>
      </c>
      <c r="I93" t="e">
        <f>VLOOKUP(C93,[1]Hoja1!$A$2:$N$29,1,0)</f>
        <v>#N/A</v>
      </c>
    </row>
    <row r="94" spans="1:9" hidden="1" x14ac:dyDescent="0.3">
      <c r="A94" s="2">
        <v>45616</v>
      </c>
      <c r="B94" s="3">
        <v>2024002488</v>
      </c>
      <c r="C94" s="3" t="s">
        <v>152</v>
      </c>
      <c r="D94" s="5">
        <v>2500000</v>
      </c>
      <c r="E94" s="3">
        <v>12974849</v>
      </c>
      <c r="F94" s="3" t="s">
        <v>153</v>
      </c>
      <c r="G94" t="s">
        <v>763</v>
      </c>
      <c r="I94" t="e">
        <f>VLOOKUP(C94,[1]Hoja1!$A$2:$N$29,1,0)</f>
        <v>#N/A</v>
      </c>
    </row>
    <row r="95" spans="1:9" s="9" customFormat="1" hidden="1" x14ac:dyDescent="0.3">
      <c r="A95" s="2">
        <v>45656</v>
      </c>
      <c r="B95" s="3">
        <v>2024003962</v>
      </c>
      <c r="C95" s="3" t="s">
        <v>105</v>
      </c>
      <c r="D95" s="5">
        <v>50900000</v>
      </c>
      <c r="E95" s="3">
        <v>900633448</v>
      </c>
      <c r="F95" s="3" t="s">
        <v>11</v>
      </c>
      <c r="G95" t="s">
        <v>763</v>
      </c>
      <c r="H95"/>
      <c r="I95" t="str">
        <f>VLOOKUP(C95,[1]Hoja1!$A$2:$N$29,1,0)</f>
        <v>888-2024</v>
      </c>
    </row>
    <row r="96" spans="1:9" hidden="1" x14ac:dyDescent="0.3">
      <c r="A96" s="2">
        <v>45618</v>
      </c>
      <c r="B96" s="3">
        <v>2024002501</v>
      </c>
      <c r="C96" s="3" t="s">
        <v>156</v>
      </c>
      <c r="D96" s="5">
        <v>6000000</v>
      </c>
      <c r="E96" s="3">
        <v>1193223736</v>
      </c>
      <c r="F96" s="3" t="s">
        <v>157</v>
      </c>
      <c r="G96" t="s">
        <v>763</v>
      </c>
      <c r="I96" t="e">
        <f>VLOOKUP(C96,[1]Hoja1!$A$2:$N$29,1,0)</f>
        <v>#N/A</v>
      </c>
    </row>
    <row r="97" spans="1:9" hidden="1" x14ac:dyDescent="0.3">
      <c r="A97" s="2">
        <v>45618</v>
      </c>
      <c r="B97" s="3">
        <v>2024002502</v>
      </c>
      <c r="C97" s="3" t="s">
        <v>158</v>
      </c>
      <c r="D97" s="5">
        <v>6000000</v>
      </c>
      <c r="E97" s="3">
        <v>1004213964</v>
      </c>
      <c r="F97" s="3" t="s">
        <v>159</v>
      </c>
      <c r="G97" t="s">
        <v>763</v>
      </c>
      <c r="I97" t="e">
        <f>VLOOKUP(C97,[1]Hoja1!$A$2:$N$29,1,0)</f>
        <v>#N/A</v>
      </c>
    </row>
    <row r="98" spans="1:9" hidden="1" x14ac:dyDescent="0.3">
      <c r="A98" s="2">
        <v>45618</v>
      </c>
      <c r="B98" s="3">
        <v>2024002503</v>
      </c>
      <c r="C98" s="3" t="s">
        <v>160</v>
      </c>
      <c r="D98" s="5">
        <v>4750000</v>
      </c>
      <c r="E98" s="3">
        <v>1087413951</v>
      </c>
      <c r="F98" s="3" t="s">
        <v>161</v>
      </c>
      <c r="G98" t="s">
        <v>763</v>
      </c>
      <c r="I98" t="e">
        <f>VLOOKUP(C98,[1]Hoja1!$A$2:$N$29,1,0)</f>
        <v>#N/A</v>
      </c>
    </row>
    <row r="99" spans="1:9" hidden="1" x14ac:dyDescent="0.3">
      <c r="A99" s="2">
        <v>45618</v>
      </c>
      <c r="B99" s="3">
        <v>2024002504</v>
      </c>
      <c r="C99" s="3" t="s">
        <v>162</v>
      </c>
      <c r="D99" s="5">
        <v>2500000</v>
      </c>
      <c r="E99" s="3">
        <v>12750863</v>
      </c>
      <c r="F99" s="3" t="s">
        <v>163</v>
      </c>
      <c r="G99" t="s">
        <v>763</v>
      </c>
      <c r="I99" t="e">
        <f>VLOOKUP(C99,[1]Hoja1!$A$2:$N$29,1,0)</f>
        <v>#N/A</v>
      </c>
    </row>
    <row r="100" spans="1:9" hidden="1" x14ac:dyDescent="0.3">
      <c r="A100" s="2">
        <v>45618</v>
      </c>
      <c r="B100" s="3">
        <v>2024002505</v>
      </c>
      <c r="C100" s="3" t="s">
        <v>164</v>
      </c>
      <c r="D100" s="5">
        <v>3000000</v>
      </c>
      <c r="E100" s="3">
        <v>27285974</v>
      </c>
      <c r="F100" s="3" t="s">
        <v>165</v>
      </c>
      <c r="G100" t="s">
        <v>763</v>
      </c>
      <c r="I100" t="e">
        <f>VLOOKUP(C100,[1]Hoja1!$A$2:$N$29,1,0)</f>
        <v>#N/A</v>
      </c>
    </row>
    <row r="101" spans="1:9" hidden="1" x14ac:dyDescent="0.3">
      <c r="A101" s="2">
        <v>45618</v>
      </c>
      <c r="B101" s="3">
        <v>2024002506</v>
      </c>
      <c r="C101" s="3" t="s">
        <v>166</v>
      </c>
      <c r="D101" s="5">
        <v>3000000</v>
      </c>
      <c r="E101" s="3">
        <v>59830040</v>
      </c>
      <c r="F101" s="3" t="s">
        <v>167</v>
      </c>
      <c r="G101" t="s">
        <v>763</v>
      </c>
      <c r="I101" t="e">
        <f>VLOOKUP(C101,[1]Hoja1!$A$2:$N$29,1,0)</f>
        <v>#N/A</v>
      </c>
    </row>
    <row r="102" spans="1:9" hidden="1" x14ac:dyDescent="0.3">
      <c r="A102" s="2">
        <v>45618</v>
      </c>
      <c r="B102" s="3">
        <v>2024002507</v>
      </c>
      <c r="C102" s="3" t="s">
        <v>168</v>
      </c>
      <c r="D102" s="5">
        <v>4750000</v>
      </c>
      <c r="E102" s="3">
        <v>1085293619</v>
      </c>
      <c r="F102" s="3" t="s">
        <v>169</v>
      </c>
      <c r="G102" t="s">
        <v>763</v>
      </c>
      <c r="I102" t="e">
        <f>VLOOKUP(C102,[1]Hoja1!$A$2:$N$29,1,0)</f>
        <v>#N/A</v>
      </c>
    </row>
    <row r="103" spans="1:9" hidden="1" x14ac:dyDescent="0.3">
      <c r="A103" s="2">
        <v>45618</v>
      </c>
      <c r="B103" s="3">
        <v>2024002508</v>
      </c>
      <c r="C103" s="3" t="s">
        <v>170</v>
      </c>
      <c r="D103" s="5">
        <v>3000000</v>
      </c>
      <c r="E103" s="3">
        <v>1137624011</v>
      </c>
      <c r="F103" s="3" t="s">
        <v>171</v>
      </c>
      <c r="G103" t="s">
        <v>763</v>
      </c>
      <c r="I103" t="e">
        <f>VLOOKUP(C103,[1]Hoja1!$A$2:$N$29,1,0)</f>
        <v>#N/A</v>
      </c>
    </row>
    <row r="104" spans="1:9" hidden="1" x14ac:dyDescent="0.3">
      <c r="A104" s="2">
        <v>45618</v>
      </c>
      <c r="B104" s="3">
        <v>2024002509</v>
      </c>
      <c r="C104" s="3" t="s">
        <v>172</v>
      </c>
      <c r="D104" s="5">
        <v>3000000</v>
      </c>
      <c r="E104" s="3">
        <v>36954407</v>
      </c>
      <c r="F104" s="3" t="s">
        <v>173</v>
      </c>
      <c r="G104" t="s">
        <v>763</v>
      </c>
      <c r="I104" t="e">
        <f>VLOOKUP(C104,[1]Hoja1!$A$2:$N$29,1,0)</f>
        <v>#N/A</v>
      </c>
    </row>
    <row r="105" spans="1:9" hidden="1" x14ac:dyDescent="0.3">
      <c r="A105" s="2">
        <v>45618</v>
      </c>
      <c r="B105" s="3">
        <v>2024002510</v>
      </c>
      <c r="C105" s="3" t="s">
        <v>174</v>
      </c>
      <c r="D105" s="5">
        <v>3000000</v>
      </c>
      <c r="E105" s="3">
        <v>1085290651</v>
      </c>
      <c r="F105" s="3" t="s">
        <v>175</v>
      </c>
      <c r="G105" t="s">
        <v>763</v>
      </c>
      <c r="I105" t="e">
        <f>VLOOKUP(C105,[1]Hoja1!$A$2:$N$29,1,0)</f>
        <v>#N/A</v>
      </c>
    </row>
    <row r="106" spans="1:9" hidden="1" x14ac:dyDescent="0.3">
      <c r="A106" s="2">
        <v>45618</v>
      </c>
      <c r="B106" s="3">
        <v>2024002511</v>
      </c>
      <c r="C106" s="3" t="s">
        <v>176</v>
      </c>
      <c r="D106" s="5">
        <v>3000000</v>
      </c>
      <c r="E106" s="3">
        <v>1085325325</v>
      </c>
      <c r="F106" s="3" t="s">
        <v>177</v>
      </c>
      <c r="G106" t="s">
        <v>763</v>
      </c>
      <c r="I106" t="e">
        <f>VLOOKUP(C106,[1]Hoja1!$A$2:$N$29,1,0)</f>
        <v>#N/A</v>
      </c>
    </row>
    <row r="107" spans="1:9" hidden="1" x14ac:dyDescent="0.3">
      <c r="A107" s="2">
        <v>45618</v>
      </c>
      <c r="B107" s="3">
        <v>2024002512</v>
      </c>
      <c r="C107" s="3" t="s">
        <v>178</v>
      </c>
      <c r="D107" s="5">
        <v>4825000</v>
      </c>
      <c r="E107" s="3">
        <v>1193385736</v>
      </c>
      <c r="F107" s="3" t="s">
        <v>179</v>
      </c>
      <c r="G107" t="s">
        <v>763</v>
      </c>
      <c r="I107" t="e">
        <f>VLOOKUP(C107,[1]Hoja1!$A$2:$N$29,1,0)</f>
        <v>#N/A</v>
      </c>
    </row>
    <row r="108" spans="1:9" hidden="1" x14ac:dyDescent="0.3">
      <c r="A108" s="2">
        <v>45618</v>
      </c>
      <c r="B108" s="3">
        <v>2024002513</v>
      </c>
      <c r="C108" s="3" t="s">
        <v>180</v>
      </c>
      <c r="D108" s="5">
        <v>3000000</v>
      </c>
      <c r="E108" s="3">
        <v>59310524</v>
      </c>
      <c r="F108" s="3" t="s">
        <v>181</v>
      </c>
      <c r="G108" t="s">
        <v>763</v>
      </c>
      <c r="I108" t="e">
        <f>VLOOKUP(C108,[1]Hoja1!$A$2:$N$29,1,0)</f>
        <v>#N/A</v>
      </c>
    </row>
    <row r="109" spans="1:9" hidden="1" x14ac:dyDescent="0.3">
      <c r="A109" s="2">
        <v>45621</v>
      </c>
      <c r="B109" s="3">
        <v>2024002514</v>
      </c>
      <c r="C109" s="3" t="s">
        <v>182</v>
      </c>
      <c r="D109" s="5">
        <v>6000000</v>
      </c>
      <c r="E109" s="3">
        <v>1089242085</v>
      </c>
      <c r="F109" s="3" t="s">
        <v>183</v>
      </c>
      <c r="G109" t="s">
        <v>763</v>
      </c>
      <c r="I109" t="e">
        <f>VLOOKUP(C109,[1]Hoja1!$A$2:$N$29,1,0)</f>
        <v>#N/A</v>
      </c>
    </row>
    <row r="110" spans="1:9" hidden="1" x14ac:dyDescent="0.3">
      <c r="A110" s="2">
        <v>45621</v>
      </c>
      <c r="B110" s="3">
        <v>2024002515</v>
      </c>
      <c r="C110" s="3" t="s">
        <v>184</v>
      </c>
      <c r="D110" s="5">
        <v>3000000</v>
      </c>
      <c r="E110" s="3">
        <v>1085288636</v>
      </c>
      <c r="F110" s="3" t="s">
        <v>185</v>
      </c>
      <c r="G110" t="s">
        <v>763</v>
      </c>
      <c r="I110" t="e">
        <f>VLOOKUP(C110,[1]Hoja1!$A$2:$N$29,1,0)</f>
        <v>#N/A</v>
      </c>
    </row>
    <row r="111" spans="1:9" hidden="1" x14ac:dyDescent="0.3">
      <c r="A111" s="2">
        <v>45621</v>
      </c>
      <c r="B111" s="3">
        <v>2024002516</v>
      </c>
      <c r="C111" s="3" t="s">
        <v>186</v>
      </c>
      <c r="D111" s="5">
        <v>3000000</v>
      </c>
      <c r="E111" s="3">
        <v>1080040858</v>
      </c>
      <c r="F111" s="3" t="s">
        <v>187</v>
      </c>
      <c r="G111" t="s">
        <v>763</v>
      </c>
      <c r="I111" t="e">
        <f>VLOOKUP(C111,[1]Hoja1!$A$2:$N$29,1,0)</f>
        <v>#N/A</v>
      </c>
    </row>
    <row r="112" spans="1:9" hidden="1" x14ac:dyDescent="0.3">
      <c r="A112" s="2">
        <v>45621</v>
      </c>
      <c r="B112" s="3">
        <v>2024002517</v>
      </c>
      <c r="C112" s="3" t="s">
        <v>188</v>
      </c>
      <c r="D112" s="5">
        <v>3000000</v>
      </c>
      <c r="E112" s="3">
        <v>1010082397</v>
      </c>
      <c r="F112" s="3" t="s">
        <v>189</v>
      </c>
      <c r="G112" t="s">
        <v>763</v>
      </c>
      <c r="I112" t="e">
        <f>VLOOKUP(C112,[1]Hoja1!$A$2:$N$29,1,0)</f>
        <v>#N/A</v>
      </c>
    </row>
    <row r="113" spans="1:9" hidden="1" x14ac:dyDescent="0.3">
      <c r="A113" s="2">
        <v>45621</v>
      </c>
      <c r="B113" s="3">
        <v>2024002518</v>
      </c>
      <c r="C113" s="3" t="s">
        <v>190</v>
      </c>
      <c r="D113" s="5">
        <v>3000000</v>
      </c>
      <c r="E113" s="3">
        <v>1004135064</v>
      </c>
      <c r="F113" s="3" t="s">
        <v>191</v>
      </c>
      <c r="G113" t="s">
        <v>763</v>
      </c>
      <c r="I113" t="e">
        <f>VLOOKUP(C113,[1]Hoja1!$A$2:$N$29,1,0)</f>
        <v>#N/A</v>
      </c>
    </row>
    <row r="114" spans="1:9" hidden="1" x14ac:dyDescent="0.3">
      <c r="A114" s="2">
        <v>45621</v>
      </c>
      <c r="B114" s="3">
        <v>2024002519</v>
      </c>
      <c r="C114" s="3" t="s">
        <v>192</v>
      </c>
      <c r="D114" s="5">
        <v>2500000</v>
      </c>
      <c r="E114" s="3">
        <v>1081595853</v>
      </c>
      <c r="F114" s="3" t="s">
        <v>193</v>
      </c>
      <c r="G114" t="s">
        <v>763</v>
      </c>
      <c r="I114" t="e">
        <f>VLOOKUP(C114,[1]Hoja1!$A$2:$N$29,1,0)</f>
        <v>#N/A</v>
      </c>
    </row>
    <row r="115" spans="1:9" hidden="1" x14ac:dyDescent="0.3">
      <c r="A115" s="2">
        <v>45621</v>
      </c>
      <c r="B115" s="3">
        <v>2024002520</v>
      </c>
      <c r="C115" s="3" t="s">
        <v>194</v>
      </c>
      <c r="D115" s="5">
        <v>4825000</v>
      </c>
      <c r="E115" s="3">
        <v>1088730712</v>
      </c>
      <c r="F115" s="3" t="s">
        <v>195</v>
      </c>
      <c r="G115" t="s">
        <v>763</v>
      </c>
      <c r="I115" t="e">
        <f>VLOOKUP(C115,[1]Hoja1!$A$2:$N$29,1,0)</f>
        <v>#N/A</v>
      </c>
    </row>
    <row r="116" spans="1:9" hidden="1" x14ac:dyDescent="0.3">
      <c r="A116" s="2">
        <v>45621</v>
      </c>
      <c r="B116" s="3">
        <v>2024002521</v>
      </c>
      <c r="C116" s="3" t="s">
        <v>196</v>
      </c>
      <c r="D116" s="5">
        <v>3000000</v>
      </c>
      <c r="E116" s="3">
        <v>1030606749</v>
      </c>
      <c r="F116" s="3" t="s">
        <v>197</v>
      </c>
      <c r="G116" t="s">
        <v>763</v>
      </c>
      <c r="I116" t="e">
        <f>VLOOKUP(C116,[1]Hoja1!$A$2:$N$29,1,0)</f>
        <v>#N/A</v>
      </c>
    </row>
    <row r="117" spans="1:9" hidden="1" x14ac:dyDescent="0.3">
      <c r="A117" s="2">
        <v>45621</v>
      </c>
      <c r="B117" s="3">
        <v>2024002522</v>
      </c>
      <c r="C117" s="3" t="s">
        <v>198</v>
      </c>
      <c r="D117" s="5">
        <v>3000000</v>
      </c>
      <c r="E117" s="3">
        <v>1085275473</v>
      </c>
      <c r="F117" s="3" t="s">
        <v>199</v>
      </c>
      <c r="G117" t="s">
        <v>763</v>
      </c>
      <c r="I117" t="e">
        <f>VLOOKUP(C117,[1]Hoja1!$A$2:$N$29,1,0)</f>
        <v>#N/A</v>
      </c>
    </row>
    <row r="118" spans="1:9" hidden="1" x14ac:dyDescent="0.3">
      <c r="A118" s="2">
        <v>45621</v>
      </c>
      <c r="B118" s="3">
        <v>2024002523</v>
      </c>
      <c r="C118" s="3" t="s">
        <v>200</v>
      </c>
      <c r="D118" s="5">
        <v>2500000</v>
      </c>
      <c r="E118" s="3">
        <v>1085338232</v>
      </c>
      <c r="F118" s="3" t="s">
        <v>201</v>
      </c>
      <c r="G118" t="s">
        <v>763</v>
      </c>
      <c r="I118" t="e">
        <f>VLOOKUP(C118,[1]Hoja1!$A$2:$N$29,1,0)</f>
        <v>#N/A</v>
      </c>
    </row>
    <row r="119" spans="1:9" hidden="1" x14ac:dyDescent="0.3">
      <c r="A119" s="2">
        <v>45621</v>
      </c>
      <c r="B119" s="3">
        <v>2024002524</v>
      </c>
      <c r="C119" s="3" t="s">
        <v>202</v>
      </c>
      <c r="D119" s="5">
        <v>3000000</v>
      </c>
      <c r="E119" s="3">
        <v>59837416</v>
      </c>
      <c r="F119" s="3" t="s">
        <v>203</v>
      </c>
      <c r="G119" t="s">
        <v>763</v>
      </c>
      <c r="I119" t="e">
        <f>VLOOKUP(C119,[1]Hoja1!$A$2:$N$29,1,0)</f>
        <v>#N/A</v>
      </c>
    </row>
    <row r="120" spans="1:9" hidden="1" x14ac:dyDescent="0.3">
      <c r="A120" s="2">
        <v>45621</v>
      </c>
      <c r="B120" s="3">
        <v>2024002526</v>
      </c>
      <c r="C120" s="3" t="s">
        <v>204</v>
      </c>
      <c r="D120" s="5">
        <v>4825000</v>
      </c>
      <c r="E120" s="3">
        <v>59310145</v>
      </c>
      <c r="F120" s="3" t="s">
        <v>205</v>
      </c>
      <c r="G120" t="s">
        <v>763</v>
      </c>
      <c r="I120" t="e">
        <f>VLOOKUP(C120,[1]Hoja1!$A$2:$N$29,1,0)</f>
        <v>#N/A</v>
      </c>
    </row>
    <row r="121" spans="1:9" hidden="1" x14ac:dyDescent="0.3">
      <c r="A121" s="2">
        <v>45621</v>
      </c>
      <c r="B121" s="3">
        <v>2024002527</v>
      </c>
      <c r="C121" s="3" t="s">
        <v>206</v>
      </c>
      <c r="D121" s="5">
        <v>7540000</v>
      </c>
      <c r="E121" s="3">
        <v>37087120</v>
      </c>
      <c r="F121" s="3" t="s">
        <v>207</v>
      </c>
      <c r="G121" t="s">
        <v>763</v>
      </c>
      <c r="I121" t="e">
        <f>VLOOKUP(C121,[1]Hoja1!$A$2:$N$29,1,0)</f>
        <v>#N/A</v>
      </c>
    </row>
    <row r="122" spans="1:9" hidden="1" x14ac:dyDescent="0.3">
      <c r="A122" s="2">
        <v>45621</v>
      </c>
      <c r="B122" s="3">
        <v>2024002529</v>
      </c>
      <c r="C122" s="3" t="s">
        <v>208</v>
      </c>
      <c r="D122" s="5">
        <v>2500000</v>
      </c>
      <c r="E122" s="3">
        <v>36753698</v>
      </c>
      <c r="F122" s="3" t="s">
        <v>209</v>
      </c>
      <c r="G122" t="s">
        <v>763</v>
      </c>
      <c r="I122" t="e">
        <f>VLOOKUP(C122,[1]Hoja1!$A$2:$N$29,1,0)</f>
        <v>#N/A</v>
      </c>
    </row>
    <row r="123" spans="1:9" hidden="1" x14ac:dyDescent="0.3">
      <c r="A123" s="2">
        <v>45621</v>
      </c>
      <c r="B123" s="3">
        <v>2024002531</v>
      </c>
      <c r="C123" s="3" t="s">
        <v>210</v>
      </c>
      <c r="D123" s="5">
        <v>7540000</v>
      </c>
      <c r="E123" s="3">
        <v>1085321192</v>
      </c>
      <c r="F123" s="3" t="s">
        <v>211</v>
      </c>
      <c r="G123" t="s">
        <v>763</v>
      </c>
      <c r="I123" t="e">
        <f>VLOOKUP(C123,[1]Hoja1!$A$2:$N$29,1,0)</f>
        <v>#N/A</v>
      </c>
    </row>
    <row r="124" spans="1:9" hidden="1" x14ac:dyDescent="0.3">
      <c r="A124" s="2">
        <v>45621</v>
      </c>
      <c r="B124" s="3">
        <v>2024002532</v>
      </c>
      <c r="C124" s="3" t="s">
        <v>212</v>
      </c>
      <c r="D124" s="5">
        <v>800000</v>
      </c>
      <c r="E124" s="3">
        <v>1085315209</v>
      </c>
      <c r="F124" s="3" t="s">
        <v>213</v>
      </c>
      <c r="G124" t="s">
        <v>763</v>
      </c>
      <c r="I124" t="e">
        <f>VLOOKUP(C124,[1]Hoja1!$A$2:$N$29,1,0)</f>
        <v>#N/A</v>
      </c>
    </row>
    <row r="125" spans="1:9" hidden="1" x14ac:dyDescent="0.3">
      <c r="A125" s="2">
        <v>45621</v>
      </c>
      <c r="B125" s="3">
        <v>2024002534</v>
      </c>
      <c r="C125" s="3" t="s">
        <v>214</v>
      </c>
      <c r="D125" s="5">
        <v>4825000</v>
      </c>
      <c r="E125" s="3">
        <v>1085289739</v>
      </c>
      <c r="F125" s="3" t="s">
        <v>215</v>
      </c>
      <c r="G125" t="s">
        <v>763</v>
      </c>
      <c r="I125" t="e">
        <f>VLOOKUP(C125,[1]Hoja1!$A$2:$N$29,1,0)</f>
        <v>#N/A</v>
      </c>
    </row>
    <row r="126" spans="1:9" hidden="1" x14ac:dyDescent="0.3">
      <c r="A126" s="2">
        <v>45621</v>
      </c>
      <c r="B126" s="3">
        <v>2024002539</v>
      </c>
      <c r="C126" s="3" t="s">
        <v>216</v>
      </c>
      <c r="D126" s="5">
        <v>3000000</v>
      </c>
      <c r="E126" s="3">
        <v>1233191675</v>
      </c>
      <c r="F126" s="3" t="s">
        <v>217</v>
      </c>
      <c r="G126" t="s">
        <v>763</v>
      </c>
      <c r="I126" t="e">
        <f>VLOOKUP(C126,[1]Hoja1!$A$2:$N$29,1,0)</f>
        <v>#N/A</v>
      </c>
    </row>
    <row r="127" spans="1:9" hidden="1" x14ac:dyDescent="0.3">
      <c r="A127" s="2">
        <v>45621</v>
      </c>
      <c r="B127" s="3">
        <v>2024002541</v>
      </c>
      <c r="C127" s="3" t="s">
        <v>218</v>
      </c>
      <c r="D127" s="5">
        <v>4750000</v>
      </c>
      <c r="E127" s="3">
        <v>36759759</v>
      </c>
      <c r="F127" s="3" t="s">
        <v>219</v>
      </c>
      <c r="G127" t="s">
        <v>763</v>
      </c>
      <c r="I127" t="e">
        <f>VLOOKUP(C127,[1]Hoja1!$A$2:$N$29,1,0)</f>
        <v>#N/A</v>
      </c>
    </row>
    <row r="128" spans="1:9" hidden="1" x14ac:dyDescent="0.3">
      <c r="A128" s="2">
        <v>45635</v>
      </c>
      <c r="B128" s="3">
        <v>2024002962</v>
      </c>
      <c r="C128" s="3" t="s">
        <v>593</v>
      </c>
      <c r="D128" s="5">
        <v>6000000</v>
      </c>
      <c r="E128" s="3">
        <v>1085266036</v>
      </c>
      <c r="F128" s="3" t="s">
        <v>594</v>
      </c>
      <c r="G128" t="s">
        <v>763</v>
      </c>
      <c r="I128" t="str">
        <f>VLOOKUP(C128,[1]Hoja1!$A$2:$N$29,1,0)</f>
        <v>875-2024</v>
      </c>
    </row>
    <row r="129" spans="1:9" hidden="1" x14ac:dyDescent="0.3">
      <c r="A129" s="2">
        <v>45621</v>
      </c>
      <c r="B129" s="3">
        <v>2024002545</v>
      </c>
      <c r="C129" s="3" t="s">
        <v>222</v>
      </c>
      <c r="D129" s="5">
        <v>3000000</v>
      </c>
      <c r="E129" s="3">
        <v>1085269090</v>
      </c>
      <c r="F129" s="3" t="s">
        <v>223</v>
      </c>
      <c r="G129" t="s">
        <v>763</v>
      </c>
      <c r="I129" t="e">
        <f>VLOOKUP(C129,[1]Hoja1!$A$2:$N$29,1,0)</f>
        <v>#N/A</v>
      </c>
    </row>
    <row r="130" spans="1:9" hidden="1" x14ac:dyDescent="0.3">
      <c r="A130" s="2">
        <v>45621</v>
      </c>
      <c r="B130" s="3">
        <v>2024002547</v>
      </c>
      <c r="C130" s="3" t="s">
        <v>224</v>
      </c>
      <c r="D130" s="5">
        <v>4750000</v>
      </c>
      <c r="E130" s="3">
        <v>1085330309</v>
      </c>
      <c r="F130" s="3" t="s">
        <v>225</v>
      </c>
      <c r="G130" t="s">
        <v>763</v>
      </c>
      <c r="I130" t="e">
        <f>VLOOKUP(C130,[1]Hoja1!$A$2:$N$29,1,0)</f>
        <v>#N/A</v>
      </c>
    </row>
    <row r="131" spans="1:9" hidden="1" x14ac:dyDescent="0.3">
      <c r="A131" s="2">
        <v>45621</v>
      </c>
      <c r="B131" s="3">
        <v>2024002548</v>
      </c>
      <c r="C131" s="3" t="s">
        <v>226</v>
      </c>
      <c r="D131" s="5">
        <v>4750000</v>
      </c>
      <c r="E131" s="3">
        <v>1087414586</v>
      </c>
      <c r="F131" s="3" t="s">
        <v>227</v>
      </c>
      <c r="G131" t="s">
        <v>763</v>
      </c>
      <c r="I131" t="e">
        <f>VLOOKUP(C131,[1]Hoja1!$A$2:$N$29,1,0)</f>
        <v>#N/A</v>
      </c>
    </row>
    <row r="132" spans="1:9" hidden="1" x14ac:dyDescent="0.3">
      <c r="A132" s="2">
        <v>45621</v>
      </c>
      <c r="B132" s="3">
        <v>2024002550</v>
      </c>
      <c r="C132" s="3" t="s">
        <v>228</v>
      </c>
      <c r="D132" s="5">
        <v>3000000</v>
      </c>
      <c r="E132" s="3">
        <v>37084285</v>
      </c>
      <c r="F132" s="3" t="s">
        <v>229</v>
      </c>
      <c r="G132" t="s">
        <v>763</v>
      </c>
      <c r="I132" t="e">
        <f>VLOOKUP(C132,[1]Hoja1!$A$2:$N$29,1,0)</f>
        <v>#N/A</v>
      </c>
    </row>
    <row r="133" spans="1:9" hidden="1" x14ac:dyDescent="0.3">
      <c r="A133" s="2">
        <v>45621</v>
      </c>
      <c r="B133" s="3">
        <v>2024002551</v>
      </c>
      <c r="C133" s="3" t="s">
        <v>230</v>
      </c>
      <c r="D133" s="5">
        <v>3000000</v>
      </c>
      <c r="E133" s="3">
        <v>36758143</v>
      </c>
      <c r="F133" s="3" t="s">
        <v>231</v>
      </c>
      <c r="G133" t="s">
        <v>763</v>
      </c>
      <c r="I133" t="e">
        <f>VLOOKUP(C133,[1]Hoja1!$A$2:$N$29,1,0)</f>
        <v>#N/A</v>
      </c>
    </row>
    <row r="134" spans="1:9" hidden="1" x14ac:dyDescent="0.3">
      <c r="A134" s="2">
        <v>45621</v>
      </c>
      <c r="B134" s="3">
        <v>2024002552</v>
      </c>
      <c r="C134" s="3" t="s">
        <v>4</v>
      </c>
      <c r="D134" s="5">
        <v>2500000</v>
      </c>
      <c r="E134" s="3">
        <v>1193265831</v>
      </c>
      <c r="F134" s="3" t="s">
        <v>5</v>
      </c>
      <c r="G134" t="s">
        <v>763</v>
      </c>
      <c r="I134" t="e">
        <f>VLOOKUP(C134,[1]Hoja1!$A$2:$N$29,1,0)</f>
        <v>#N/A</v>
      </c>
    </row>
    <row r="135" spans="1:9" hidden="1" x14ac:dyDescent="0.3">
      <c r="A135" s="2">
        <v>45621</v>
      </c>
      <c r="B135" s="3">
        <v>2024002553</v>
      </c>
      <c r="C135" s="3" t="s">
        <v>232</v>
      </c>
      <c r="D135" s="5">
        <v>7540000</v>
      </c>
      <c r="E135" s="3">
        <v>1233192708</v>
      </c>
      <c r="F135" s="3" t="s">
        <v>34</v>
      </c>
      <c r="G135" t="s">
        <v>763</v>
      </c>
      <c r="I135" t="e">
        <f>VLOOKUP(C135,[1]Hoja1!$A$2:$N$29,1,0)</f>
        <v>#N/A</v>
      </c>
    </row>
    <row r="136" spans="1:9" hidden="1" x14ac:dyDescent="0.3">
      <c r="A136" s="2">
        <v>45621</v>
      </c>
      <c r="B136" s="3">
        <v>2024002554</v>
      </c>
      <c r="C136" s="3" t="s">
        <v>233</v>
      </c>
      <c r="D136" s="5">
        <v>3000000</v>
      </c>
      <c r="E136" s="3">
        <v>1086328142</v>
      </c>
      <c r="F136" s="3" t="s">
        <v>234</v>
      </c>
      <c r="G136" t="s">
        <v>763</v>
      </c>
      <c r="I136" t="e">
        <f>VLOOKUP(C136,[1]Hoja1!$A$2:$N$29,1,0)</f>
        <v>#N/A</v>
      </c>
    </row>
    <row r="137" spans="1:9" hidden="1" x14ac:dyDescent="0.3">
      <c r="A137" s="2">
        <v>45621</v>
      </c>
      <c r="B137" s="3">
        <v>2024002555</v>
      </c>
      <c r="C137" s="3" t="s">
        <v>235</v>
      </c>
      <c r="D137" s="5">
        <v>4750000</v>
      </c>
      <c r="E137" s="3">
        <v>59824313</v>
      </c>
      <c r="F137" s="3" t="s">
        <v>236</v>
      </c>
      <c r="G137" t="s">
        <v>763</v>
      </c>
      <c r="I137" t="e">
        <f>VLOOKUP(C137,[1]Hoja1!$A$2:$N$29,1,0)</f>
        <v>#N/A</v>
      </c>
    </row>
    <row r="138" spans="1:9" hidden="1" x14ac:dyDescent="0.3">
      <c r="A138" s="2">
        <v>45621</v>
      </c>
      <c r="B138" s="3">
        <v>2024002556</v>
      </c>
      <c r="C138" s="3" t="s">
        <v>237</v>
      </c>
      <c r="D138" s="5">
        <v>3000000</v>
      </c>
      <c r="E138" s="3">
        <v>1085318688</v>
      </c>
      <c r="F138" s="3" t="s">
        <v>238</v>
      </c>
      <c r="G138" t="s">
        <v>763</v>
      </c>
      <c r="I138" t="e">
        <f>VLOOKUP(C138,[1]Hoja1!$A$2:$N$29,1,0)</f>
        <v>#N/A</v>
      </c>
    </row>
    <row r="139" spans="1:9" hidden="1" x14ac:dyDescent="0.3">
      <c r="A139" s="2">
        <v>45621</v>
      </c>
      <c r="B139" s="3">
        <v>2024002557</v>
      </c>
      <c r="C139" s="3" t="s">
        <v>239</v>
      </c>
      <c r="D139" s="5">
        <v>3000000</v>
      </c>
      <c r="E139" s="3">
        <v>1085339190</v>
      </c>
      <c r="F139" s="3" t="s">
        <v>240</v>
      </c>
      <c r="G139" t="s">
        <v>763</v>
      </c>
      <c r="I139" t="e">
        <f>VLOOKUP(C139,[1]Hoja1!$A$2:$N$29,1,0)</f>
        <v>#N/A</v>
      </c>
    </row>
    <row r="140" spans="1:9" hidden="1" x14ac:dyDescent="0.3">
      <c r="A140" s="2">
        <v>45621</v>
      </c>
      <c r="B140" s="3">
        <v>2024002558</v>
      </c>
      <c r="C140" s="3" t="s">
        <v>241</v>
      </c>
      <c r="D140" s="5">
        <v>3000000</v>
      </c>
      <c r="E140" s="3">
        <v>1007403454</v>
      </c>
      <c r="F140" s="3" t="s">
        <v>242</v>
      </c>
      <c r="G140" t="s">
        <v>763</v>
      </c>
      <c r="I140" t="e">
        <f>VLOOKUP(C140,[1]Hoja1!$A$2:$N$29,1,0)</f>
        <v>#N/A</v>
      </c>
    </row>
    <row r="141" spans="1:9" hidden="1" x14ac:dyDescent="0.3">
      <c r="A141" s="2">
        <v>45621</v>
      </c>
      <c r="B141" s="3">
        <v>2024002559</v>
      </c>
      <c r="C141" s="3" t="s">
        <v>243</v>
      </c>
      <c r="D141" s="5">
        <v>2500000</v>
      </c>
      <c r="E141" s="3">
        <v>27094521</v>
      </c>
      <c r="F141" s="3" t="s">
        <v>244</v>
      </c>
      <c r="G141" t="s">
        <v>763</v>
      </c>
      <c r="I141" t="e">
        <f>VLOOKUP(C141,[1]Hoja1!$A$2:$N$29,1,0)</f>
        <v>#N/A</v>
      </c>
    </row>
    <row r="142" spans="1:9" hidden="1" x14ac:dyDescent="0.3">
      <c r="A142" s="2">
        <v>45621</v>
      </c>
      <c r="B142" s="3">
        <v>2024002560</v>
      </c>
      <c r="C142" s="3" t="s">
        <v>245</v>
      </c>
      <c r="D142" s="5">
        <v>4825000</v>
      </c>
      <c r="E142" s="3">
        <v>87062845</v>
      </c>
      <c r="F142" s="3" t="s">
        <v>246</v>
      </c>
      <c r="G142" t="s">
        <v>763</v>
      </c>
      <c r="I142" t="e">
        <f>VLOOKUP(C142,[1]Hoja1!$A$2:$N$29,1,0)</f>
        <v>#N/A</v>
      </c>
    </row>
    <row r="143" spans="1:9" hidden="1" x14ac:dyDescent="0.3">
      <c r="A143" s="2">
        <v>45621</v>
      </c>
      <c r="B143" s="3">
        <v>2024002561</v>
      </c>
      <c r="C143" s="3" t="s">
        <v>247</v>
      </c>
      <c r="D143" s="5">
        <v>2500000</v>
      </c>
      <c r="E143" s="3">
        <v>1004535115</v>
      </c>
      <c r="F143" s="3" t="s">
        <v>248</v>
      </c>
      <c r="G143" t="s">
        <v>763</v>
      </c>
      <c r="I143" t="e">
        <f>VLOOKUP(C143,[1]Hoja1!$A$2:$N$29,1,0)</f>
        <v>#N/A</v>
      </c>
    </row>
    <row r="144" spans="1:9" hidden="1" x14ac:dyDescent="0.3">
      <c r="A144" s="2">
        <v>45621</v>
      </c>
      <c r="B144" s="3">
        <v>2024002562</v>
      </c>
      <c r="C144" s="3" t="s">
        <v>249</v>
      </c>
      <c r="D144" s="5">
        <v>3000000</v>
      </c>
      <c r="E144" s="3">
        <v>1086329609</v>
      </c>
      <c r="F144" s="3" t="s">
        <v>250</v>
      </c>
      <c r="G144" t="s">
        <v>763</v>
      </c>
      <c r="I144" t="e">
        <f>VLOOKUP(C144,[1]Hoja1!$A$2:$N$29,1,0)</f>
        <v>#N/A</v>
      </c>
    </row>
    <row r="145" spans="1:9" hidden="1" x14ac:dyDescent="0.3">
      <c r="A145" s="2">
        <v>45621</v>
      </c>
      <c r="B145" s="3">
        <v>2024002563</v>
      </c>
      <c r="C145" s="3" t="s">
        <v>251</v>
      </c>
      <c r="D145" s="5">
        <v>3000000</v>
      </c>
      <c r="E145" s="3">
        <v>1080046034</v>
      </c>
      <c r="F145" s="3" t="s">
        <v>252</v>
      </c>
      <c r="G145" t="s">
        <v>763</v>
      </c>
      <c r="I145" t="e">
        <f>VLOOKUP(C145,[1]Hoja1!$A$2:$N$29,1,0)</f>
        <v>#N/A</v>
      </c>
    </row>
    <row r="146" spans="1:9" hidden="1" x14ac:dyDescent="0.3">
      <c r="A146" s="2">
        <v>45621</v>
      </c>
      <c r="B146" s="3">
        <v>2024002564</v>
      </c>
      <c r="C146" s="3" t="s">
        <v>253</v>
      </c>
      <c r="D146" s="5">
        <v>4825000</v>
      </c>
      <c r="E146" s="3">
        <v>27088141</v>
      </c>
      <c r="F146" s="3" t="s">
        <v>254</v>
      </c>
      <c r="G146" t="s">
        <v>763</v>
      </c>
      <c r="I146" t="e">
        <f>VLOOKUP(C146,[1]Hoja1!$A$2:$N$29,1,0)</f>
        <v>#N/A</v>
      </c>
    </row>
    <row r="147" spans="1:9" hidden="1" x14ac:dyDescent="0.3">
      <c r="A147" s="2">
        <v>45621</v>
      </c>
      <c r="B147" s="3">
        <v>2024002565</v>
      </c>
      <c r="C147" s="3" t="s">
        <v>255</v>
      </c>
      <c r="D147" s="5">
        <v>2500000</v>
      </c>
      <c r="E147" s="3">
        <v>1085314075</v>
      </c>
      <c r="F147" s="3" t="s">
        <v>256</v>
      </c>
      <c r="G147" t="s">
        <v>763</v>
      </c>
      <c r="I147" t="e">
        <f>VLOOKUP(C147,[1]Hoja1!$A$2:$N$29,1,0)</f>
        <v>#N/A</v>
      </c>
    </row>
    <row r="148" spans="1:9" hidden="1" x14ac:dyDescent="0.3">
      <c r="A148" s="2">
        <v>45621</v>
      </c>
      <c r="B148" s="3">
        <v>2024002566</v>
      </c>
      <c r="C148" s="3" t="s">
        <v>257</v>
      </c>
      <c r="D148" s="5">
        <v>2500000</v>
      </c>
      <c r="E148" s="3">
        <v>1085310465</v>
      </c>
      <c r="F148" s="3" t="s">
        <v>258</v>
      </c>
      <c r="G148" t="s">
        <v>763</v>
      </c>
      <c r="I148" t="e">
        <f>VLOOKUP(C148,[1]Hoja1!$A$2:$N$29,1,0)</f>
        <v>#N/A</v>
      </c>
    </row>
    <row r="149" spans="1:9" hidden="1" x14ac:dyDescent="0.3">
      <c r="A149" s="2">
        <v>45621</v>
      </c>
      <c r="B149" s="3">
        <v>2024002568</v>
      </c>
      <c r="C149" s="3" t="s">
        <v>259</v>
      </c>
      <c r="D149" s="5">
        <v>3000000</v>
      </c>
      <c r="E149" s="3">
        <v>1010113730</v>
      </c>
      <c r="F149" s="3" t="s">
        <v>260</v>
      </c>
      <c r="G149" t="s">
        <v>763</v>
      </c>
      <c r="I149" t="e">
        <f>VLOOKUP(C149,[1]Hoja1!$A$2:$N$29,1,0)</f>
        <v>#N/A</v>
      </c>
    </row>
    <row r="150" spans="1:9" hidden="1" x14ac:dyDescent="0.3">
      <c r="A150" s="2">
        <v>45621</v>
      </c>
      <c r="B150" s="3">
        <v>2024002569</v>
      </c>
      <c r="C150" s="3" t="s">
        <v>261</v>
      </c>
      <c r="D150" s="5">
        <v>1250000</v>
      </c>
      <c r="E150" s="3">
        <v>1085335069</v>
      </c>
      <c r="F150" s="3" t="s">
        <v>262</v>
      </c>
      <c r="G150" t="s">
        <v>763</v>
      </c>
      <c r="I150" t="e">
        <f>VLOOKUP(C150,[1]Hoja1!$A$2:$N$29,1,0)</f>
        <v>#N/A</v>
      </c>
    </row>
    <row r="151" spans="1:9" hidden="1" x14ac:dyDescent="0.3">
      <c r="A151" s="2">
        <v>45621</v>
      </c>
      <c r="B151" s="3">
        <v>2024002570</v>
      </c>
      <c r="C151" s="3" t="s">
        <v>263</v>
      </c>
      <c r="D151" s="5">
        <v>916300</v>
      </c>
      <c r="E151" s="3">
        <v>1131085946</v>
      </c>
      <c r="F151" s="3" t="s">
        <v>264</v>
      </c>
      <c r="G151" t="s">
        <v>763</v>
      </c>
      <c r="I151" t="e">
        <f>VLOOKUP(C151,[1]Hoja1!$A$2:$N$29,1,0)</f>
        <v>#N/A</v>
      </c>
    </row>
    <row r="152" spans="1:9" hidden="1" x14ac:dyDescent="0.3">
      <c r="A152" s="2">
        <v>45621</v>
      </c>
      <c r="B152" s="3">
        <v>2024002571</v>
      </c>
      <c r="C152" s="3" t="s">
        <v>265</v>
      </c>
      <c r="D152" s="5">
        <v>3000000</v>
      </c>
      <c r="E152" s="3">
        <v>1085327677</v>
      </c>
      <c r="F152" s="3" t="s">
        <v>266</v>
      </c>
      <c r="G152" t="s">
        <v>763</v>
      </c>
      <c r="I152" t="e">
        <f>VLOOKUP(C152,[1]Hoja1!$A$2:$N$29,1,0)</f>
        <v>#N/A</v>
      </c>
    </row>
    <row r="153" spans="1:9" hidden="1" x14ac:dyDescent="0.3">
      <c r="A153" s="2">
        <v>45621</v>
      </c>
      <c r="B153" s="3">
        <v>2024002572</v>
      </c>
      <c r="C153" s="3" t="s">
        <v>267</v>
      </c>
      <c r="D153" s="5">
        <v>4750000</v>
      </c>
      <c r="E153" s="3">
        <v>1085343783</v>
      </c>
      <c r="F153" s="3" t="s">
        <v>268</v>
      </c>
      <c r="G153" t="s">
        <v>763</v>
      </c>
      <c r="I153" t="e">
        <f>VLOOKUP(C153,[1]Hoja1!$A$2:$N$29,1,0)</f>
        <v>#N/A</v>
      </c>
    </row>
    <row r="154" spans="1:9" hidden="1" x14ac:dyDescent="0.3">
      <c r="A154" s="2">
        <v>45621</v>
      </c>
      <c r="B154" s="3">
        <v>2024002573</v>
      </c>
      <c r="C154" s="3" t="s">
        <v>269</v>
      </c>
      <c r="D154" s="5">
        <v>6000000</v>
      </c>
      <c r="E154" s="3">
        <v>36954410</v>
      </c>
      <c r="F154" s="3" t="s">
        <v>36</v>
      </c>
      <c r="G154" t="s">
        <v>763</v>
      </c>
      <c r="I154" t="e">
        <f>VLOOKUP(C154,[1]Hoja1!$A$2:$N$29,1,0)</f>
        <v>#N/A</v>
      </c>
    </row>
    <row r="155" spans="1:9" hidden="1" x14ac:dyDescent="0.3">
      <c r="A155" s="2">
        <v>45621</v>
      </c>
      <c r="B155" s="3">
        <v>2024002574</v>
      </c>
      <c r="C155" s="3" t="s">
        <v>270</v>
      </c>
      <c r="D155" s="5">
        <v>6000000</v>
      </c>
      <c r="E155" s="3">
        <v>1085248939</v>
      </c>
      <c r="F155" s="3" t="s">
        <v>271</v>
      </c>
      <c r="G155" t="s">
        <v>763</v>
      </c>
      <c r="I155" t="e">
        <f>VLOOKUP(C155,[1]Hoja1!$A$2:$N$29,1,0)</f>
        <v>#N/A</v>
      </c>
    </row>
    <row r="156" spans="1:9" hidden="1" x14ac:dyDescent="0.3">
      <c r="A156" s="2">
        <v>45621</v>
      </c>
      <c r="B156" s="3">
        <v>2024002575</v>
      </c>
      <c r="C156" s="3" t="s">
        <v>272</v>
      </c>
      <c r="D156" s="5">
        <v>3000000</v>
      </c>
      <c r="E156" s="3">
        <v>1004726758</v>
      </c>
      <c r="F156" s="3" t="s">
        <v>273</v>
      </c>
      <c r="G156" t="s">
        <v>763</v>
      </c>
      <c r="I156" t="e">
        <f>VLOOKUP(C156,[1]Hoja1!$A$2:$N$29,1,0)</f>
        <v>#N/A</v>
      </c>
    </row>
    <row r="157" spans="1:9" hidden="1" x14ac:dyDescent="0.3">
      <c r="A157" s="2">
        <v>45621</v>
      </c>
      <c r="B157" s="3">
        <v>2024002576</v>
      </c>
      <c r="C157" s="3" t="s">
        <v>274</v>
      </c>
      <c r="D157" s="5">
        <v>2500000</v>
      </c>
      <c r="E157" s="3">
        <v>27090145</v>
      </c>
      <c r="F157" s="3" t="s">
        <v>275</v>
      </c>
      <c r="G157" t="s">
        <v>763</v>
      </c>
      <c r="I157" t="e">
        <f>VLOOKUP(C157,[1]Hoja1!$A$2:$N$29,1,0)</f>
        <v>#N/A</v>
      </c>
    </row>
    <row r="158" spans="1:9" hidden="1" x14ac:dyDescent="0.3">
      <c r="A158" s="2">
        <v>45621</v>
      </c>
      <c r="B158" s="3">
        <v>2024002577</v>
      </c>
      <c r="C158" s="3" t="s">
        <v>276</v>
      </c>
      <c r="D158" s="5">
        <v>6000000</v>
      </c>
      <c r="E158" s="3">
        <v>37013610</v>
      </c>
      <c r="F158" s="3" t="s">
        <v>277</v>
      </c>
      <c r="G158" t="s">
        <v>763</v>
      </c>
      <c r="I158" t="e">
        <f>VLOOKUP(C158,[1]Hoja1!$A$2:$N$29,1,0)</f>
        <v>#N/A</v>
      </c>
    </row>
    <row r="159" spans="1:9" hidden="1" x14ac:dyDescent="0.3">
      <c r="A159" s="2">
        <v>45621</v>
      </c>
      <c r="B159" s="3">
        <v>2024002578</v>
      </c>
      <c r="C159" s="3" t="s">
        <v>278</v>
      </c>
      <c r="D159" s="5">
        <v>800000</v>
      </c>
      <c r="E159" s="3">
        <v>1085317833</v>
      </c>
      <c r="F159" s="3" t="s">
        <v>279</v>
      </c>
      <c r="G159" t="s">
        <v>763</v>
      </c>
      <c r="I159" t="e">
        <f>VLOOKUP(C159,[1]Hoja1!$A$2:$N$29,1,0)</f>
        <v>#N/A</v>
      </c>
    </row>
    <row r="160" spans="1:9" hidden="1" x14ac:dyDescent="0.3">
      <c r="A160" s="2">
        <v>45621</v>
      </c>
      <c r="B160" s="3">
        <v>2024002579</v>
      </c>
      <c r="C160" s="3" t="s">
        <v>280</v>
      </c>
      <c r="D160" s="5">
        <v>3000000</v>
      </c>
      <c r="E160" s="3">
        <v>1004709928</v>
      </c>
      <c r="F160" s="3" t="s">
        <v>281</v>
      </c>
      <c r="G160" t="s">
        <v>763</v>
      </c>
      <c r="I160" t="e">
        <f>VLOOKUP(C160,[1]Hoja1!$A$2:$N$29,1,0)</f>
        <v>#N/A</v>
      </c>
    </row>
    <row r="161" spans="1:9" hidden="1" x14ac:dyDescent="0.3">
      <c r="A161" s="2">
        <v>45621</v>
      </c>
      <c r="B161" s="3">
        <v>2024002580</v>
      </c>
      <c r="C161" s="3" t="s">
        <v>282</v>
      </c>
      <c r="D161" s="5">
        <v>7540000</v>
      </c>
      <c r="E161" s="3">
        <v>1085345430</v>
      </c>
      <c r="F161" s="3" t="s">
        <v>283</v>
      </c>
      <c r="G161" t="s">
        <v>763</v>
      </c>
      <c r="I161" t="e">
        <f>VLOOKUP(C161,[1]Hoja1!$A$2:$N$29,1,0)</f>
        <v>#N/A</v>
      </c>
    </row>
    <row r="162" spans="1:9" hidden="1" x14ac:dyDescent="0.3">
      <c r="A162" s="2">
        <v>45621</v>
      </c>
      <c r="B162" s="3">
        <v>2024002581</v>
      </c>
      <c r="C162" s="3" t="s">
        <v>284</v>
      </c>
      <c r="D162" s="5">
        <v>7540000</v>
      </c>
      <c r="E162" s="3">
        <v>1085293105</v>
      </c>
      <c r="F162" s="3" t="s">
        <v>285</v>
      </c>
      <c r="G162" t="s">
        <v>763</v>
      </c>
      <c r="I162" t="e">
        <f>VLOOKUP(C162,[1]Hoja1!$A$2:$N$29,1,0)</f>
        <v>#N/A</v>
      </c>
    </row>
    <row r="163" spans="1:9" hidden="1" x14ac:dyDescent="0.3">
      <c r="A163" s="2">
        <v>45621</v>
      </c>
      <c r="B163" s="3">
        <v>2024002582</v>
      </c>
      <c r="C163" s="3" t="s">
        <v>286</v>
      </c>
      <c r="D163" s="5">
        <v>7540000</v>
      </c>
      <c r="E163" s="3">
        <v>1233191998</v>
      </c>
      <c r="F163" s="3" t="s">
        <v>287</v>
      </c>
      <c r="G163" t="s">
        <v>763</v>
      </c>
      <c r="I163" t="e">
        <f>VLOOKUP(C163,[1]Hoja1!$A$2:$N$29,1,0)</f>
        <v>#N/A</v>
      </c>
    </row>
    <row r="164" spans="1:9" hidden="1" x14ac:dyDescent="0.3">
      <c r="A164" s="2">
        <v>45621</v>
      </c>
      <c r="B164" s="3">
        <v>2024002583</v>
      </c>
      <c r="C164" s="3" t="s">
        <v>288</v>
      </c>
      <c r="D164" s="5">
        <v>7540000</v>
      </c>
      <c r="E164" s="3">
        <v>1085344794</v>
      </c>
      <c r="F164" s="3" t="s">
        <v>289</v>
      </c>
      <c r="G164" t="s">
        <v>763</v>
      </c>
      <c r="I164" t="e">
        <f>VLOOKUP(C164,[1]Hoja1!$A$2:$N$29,1,0)</f>
        <v>#N/A</v>
      </c>
    </row>
    <row r="165" spans="1:9" hidden="1" x14ac:dyDescent="0.3">
      <c r="A165" s="2">
        <v>45621</v>
      </c>
      <c r="B165" s="3">
        <v>2024002584</v>
      </c>
      <c r="C165" s="3" t="s">
        <v>290</v>
      </c>
      <c r="D165" s="5">
        <v>7540000</v>
      </c>
      <c r="E165" s="3">
        <v>7603662</v>
      </c>
      <c r="F165" s="3" t="s">
        <v>291</v>
      </c>
      <c r="G165" t="s">
        <v>763</v>
      </c>
      <c r="I165" t="e">
        <f>VLOOKUP(C165,[1]Hoja1!$A$2:$N$29,1,0)</f>
        <v>#N/A</v>
      </c>
    </row>
    <row r="166" spans="1:9" hidden="1" x14ac:dyDescent="0.3">
      <c r="A166" s="2">
        <v>45621</v>
      </c>
      <c r="B166" s="3">
        <v>2024002585</v>
      </c>
      <c r="C166" s="3" t="s">
        <v>292</v>
      </c>
      <c r="D166" s="5">
        <v>4750000</v>
      </c>
      <c r="E166" s="3">
        <v>1233192618</v>
      </c>
      <c r="F166" s="3" t="s">
        <v>293</v>
      </c>
      <c r="G166" t="s">
        <v>763</v>
      </c>
      <c r="I166" t="e">
        <f>VLOOKUP(C166,[1]Hoja1!$A$2:$N$29,1,0)</f>
        <v>#N/A</v>
      </c>
    </row>
    <row r="167" spans="1:9" hidden="1" x14ac:dyDescent="0.3">
      <c r="A167" s="2">
        <v>45622</v>
      </c>
      <c r="B167" s="3">
        <v>2024002615</v>
      </c>
      <c r="C167" s="3" t="s">
        <v>294</v>
      </c>
      <c r="D167" s="5">
        <v>7540000</v>
      </c>
      <c r="E167" s="3">
        <v>1233189066</v>
      </c>
      <c r="F167" s="3" t="s">
        <v>295</v>
      </c>
      <c r="G167" t="s">
        <v>763</v>
      </c>
      <c r="I167" t="e">
        <f>VLOOKUP(C167,[1]Hoja1!$A$2:$N$29,1,0)</f>
        <v>#N/A</v>
      </c>
    </row>
    <row r="168" spans="1:9" hidden="1" x14ac:dyDescent="0.3">
      <c r="A168" s="2">
        <v>45622</v>
      </c>
      <c r="B168" s="3">
        <v>2024002624</v>
      </c>
      <c r="C168" s="3" t="s">
        <v>296</v>
      </c>
      <c r="D168" s="5">
        <v>3000000</v>
      </c>
      <c r="E168" s="3">
        <v>1085272140</v>
      </c>
      <c r="F168" s="3" t="s">
        <v>297</v>
      </c>
      <c r="G168" t="s">
        <v>763</v>
      </c>
      <c r="I168" t="e">
        <f>VLOOKUP(C168,[1]Hoja1!$A$2:$N$29,1,0)</f>
        <v>#N/A</v>
      </c>
    </row>
    <row r="169" spans="1:9" hidden="1" x14ac:dyDescent="0.3">
      <c r="A169" s="2">
        <v>45622</v>
      </c>
      <c r="B169" s="3">
        <v>2024002625</v>
      </c>
      <c r="C169" s="3" t="s">
        <v>298</v>
      </c>
      <c r="D169" s="5">
        <v>3000000</v>
      </c>
      <c r="E169" s="3">
        <v>1085347540</v>
      </c>
      <c r="F169" s="3" t="s">
        <v>299</v>
      </c>
      <c r="G169" t="s">
        <v>763</v>
      </c>
      <c r="I169" t="e">
        <f>VLOOKUP(C169,[1]Hoja1!$A$2:$N$29,1,0)</f>
        <v>#N/A</v>
      </c>
    </row>
    <row r="170" spans="1:9" hidden="1" x14ac:dyDescent="0.3">
      <c r="A170" s="2">
        <v>45622</v>
      </c>
      <c r="B170" s="3">
        <v>2024002627</v>
      </c>
      <c r="C170" s="3" t="s">
        <v>300</v>
      </c>
      <c r="D170" s="5">
        <v>6000000</v>
      </c>
      <c r="E170" s="3">
        <v>36757221</v>
      </c>
      <c r="F170" s="3" t="s">
        <v>301</v>
      </c>
      <c r="G170" t="s">
        <v>763</v>
      </c>
      <c r="I170" t="e">
        <f>VLOOKUP(C170,[1]Hoja1!$A$2:$N$29,1,0)</f>
        <v>#N/A</v>
      </c>
    </row>
    <row r="171" spans="1:9" hidden="1" x14ac:dyDescent="0.3">
      <c r="A171" s="2">
        <v>45622</v>
      </c>
      <c r="B171" s="3">
        <v>2024002628</v>
      </c>
      <c r="C171" s="3" t="s">
        <v>302</v>
      </c>
      <c r="D171" s="5">
        <v>3000000</v>
      </c>
      <c r="E171" s="3">
        <v>1085309422</v>
      </c>
      <c r="F171" s="3" t="s">
        <v>303</v>
      </c>
      <c r="G171" t="s">
        <v>763</v>
      </c>
      <c r="I171" t="e">
        <f>VLOOKUP(C171,[1]Hoja1!$A$2:$N$29,1,0)</f>
        <v>#N/A</v>
      </c>
    </row>
    <row r="172" spans="1:9" hidden="1" x14ac:dyDescent="0.3">
      <c r="A172" s="2">
        <v>45622</v>
      </c>
      <c r="B172" s="3">
        <v>2024002630</v>
      </c>
      <c r="C172" s="3" t="s">
        <v>304</v>
      </c>
      <c r="D172" s="5">
        <v>6000000</v>
      </c>
      <c r="E172" s="3">
        <v>1085253062</v>
      </c>
      <c r="F172" s="3" t="s">
        <v>38</v>
      </c>
      <c r="G172" t="s">
        <v>763</v>
      </c>
      <c r="I172" t="e">
        <f>VLOOKUP(C172,[1]Hoja1!$A$2:$N$29,1,0)</f>
        <v>#N/A</v>
      </c>
    </row>
    <row r="173" spans="1:9" hidden="1" x14ac:dyDescent="0.3">
      <c r="A173" s="2">
        <v>45622</v>
      </c>
      <c r="B173" s="3">
        <v>2024002631</v>
      </c>
      <c r="C173" s="3" t="s">
        <v>305</v>
      </c>
      <c r="D173" s="5">
        <v>3000000</v>
      </c>
      <c r="E173" s="3">
        <v>1004535234</v>
      </c>
      <c r="F173" s="3" t="s">
        <v>306</v>
      </c>
      <c r="G173" t="s">
        <v>763</v>
      </c>
      <c r="I173" t="e">
        <f>VLOOKUP(C173,[1]Hoja1!$A$2:$N$29,1,0)</f>
        <v>#N/A</v>
      </c>
    </row>
    <row r="174" spans="1:9" hidden="1" x14ac:dyDescent="0.3">
      <c r="A174" s="2">
        <v>45622</v>
      </c>
      <c r="B174" s="3">
        <v>2024002632</v>
      </c>
      <c r="C174" s="3" t="s">
        <v>307</v>
      </c>
      <c r="D174" s="5">
        <v>7540000</v>
      </c>
      <c r="E174" s="3">
        <v>1006946167</v>
      </c>
      <c r="F174" s="3" t="s">
        <v>308</v>
      </c>
      <c r="G174" t="s">
        <v>763</v>
      </c>
      <c r="I174" t="e">
        <f>VLOOKUP(C174,[1]Hoja1!$A$2:$N$29,1,0)</f>
        <v>#N/A</v>
      </c>
    </row>
    <row r="175" spans="1:9" hidden="1" x14ac:dyDescent="0.3">
      <c r="A175" s="2">
        <v>45622</v>
      </c>
      <c r="B175" s="3">
        <v>2024002633</v>
      </c>
      <c r="C175" s="3" t="s">
        <v>309</v>
      </c>
      <c r="D175" s="5">
        <v>2500000</v>
      </c>
      <c r="E175" s="3">
        <v>36757715</v>
      </c>
      <c r="F175" s="3" t="s">
        <v>310</v>
      </c>
      <c r="G175" t="s">
        <v>763</v>
      </c>
      <c r="I175" t="e">
        <f>VLOOKUP(C175,[1]Hoja1!$A$2:$N$29,1,0)</f>
        <v>#N/A</v>
      </c>
    </row>
    <row r="176" spans="1:9" hidden="1" x14ac:dyDescent="0.3">
      <c r="A176" s="2">
        <v>45622</v>
      </c>
      <c r="B176" s="3">
        <v>2024002635</v>
      </c>
      <c r="C176" s="3" t="s">
        <v>311</v>
      </c>
      <c r="D176" s="5">
        <v>3000000</v>
      </c>
      <c r="E176" s="3">
        <v>36752202</v>
      </c>
      <c r="F176" s="3" t="s">
        <v>312</v>
      </c>
      <c r="G176" t="s">
        <v>763</v>
      </c>
      <c r="I176" t="e">
        <f>VLOOKUP(C176,[1]Hoja1!$A$2:$N$29,1,0)</f>
        <v>#N/A</v>
      </c>
    </row>
    <row r="177" spans="1:9" hidden="1" x14ac:dyDescent="0.3">
      <c r="A177" s="2">
        <v>45622</v>
      </c>
      <c r="B177" s="3">
        <v>2024002636</v>
      </c>
      <c r="C177" s="3" t="s">
        <v>313</v>
      </c>
      <c r="D177" s="5">
        <v>3000000</v>
      </c>
      <c r="E177" s="3">
        <v>36757213</v>
      </c>
      <c r="F177" s="3" t="s">
        <v>314</v>
      </c>
      <c r="G177" t="s">
        <v>763</v>
      </c>
      <c r="I177" t="e">
        <f>VLOOKUP(C177,[1]Hoja1!$A$2:$N$29,1,0)</f>
        <v>#N/A</v>
      </c>
    </row>
    <row r="178" spans="1:9" hidden="1" x14ac:dyDescent="0.3">
      <c r="A178" s="2">
        <v>45622</v>
      </c>
      <c r="B178" s="3">
        <v>2024002637</v>
      </c>
      <c r="C178" s="3" t="s">
        <v>315</v>
      </c>
      <c r="D178" s="5">
        <v>916300</v>
      </c>
      <c r="E178" s="3">
        <v>59821968</v>
      </c>
      <c r="F178" s="3" t="s">
        <v>316</v>
      </c>
      <c r="G178" t="s">
        <v>763</v>
      </c>
      <c r="I178" t="e">
        <f>VLOOKUP(C178,[1]Hoja1!$A$2:$N$29,1,0)</f>
        <v>#N/A</v>
      </c>
    </row>
    <row r="179" spans="1:9" hidden="1" x14ac:dyDescent="0.3">
      <c r="A179" s="2">
        <v>45622</v>
      </c>
      <c r="B179" s="3">
        <v>2024002638</v>
      </c>
      <c r="C179" s="3" t="s">
        <v>317</v>
      </c>
      <c r="D179" s="5">
        <v>4750000</v>
      </c>
      <c r="E179" s="3">
        <v>59651018</v>
      </c>
      <c r="F179" s="3" t="s">
        <v>318</v>
      </c>
      <c r="G179" t="s">
        <v>763</v>
      </c>
      <c r="I179" t="e">
        <f>VLOOKUP(C179,[1]Hoja1!$A$2:$N$29,1,0)</f>
        <v>#N/A</v>
      </c>
    </row>
    <row r="180" spans="1:9" hidden="1" x14ac:dyDescent="0.3">
      <c r="A180" s="2">
        <v>45622</v>
      </c>
      <c r="B180" s="3">
        <v>2024002639</v>
      </c>
      <c r="C180" s="3" t="s">
        <v>319</v>
      </c>
      <c r="D180" s="5">
        <v>3000000</v>
      </c>
      <c r="E180" s="3">
        <v>59314601</v>
      </c>
      <c r="F180" s="3" t="s">
        <v>320</v>
      </c>
      <c r="G180" t="s">
        <v>763</v>
      </c>
      <c r="I180" t="e">
        <f>VLOOKUP(C180,[1]Hoja1!$A$2:$N$29,1,0)</f>
        <v>#N/A</v>
      </c>
    </row>
    <row r="181" spans="1:9" hidden="1" x14ac:dyDescent="0.3">
      <c r="A181" s="2">
        <v>45622</v>
      </c>
      <c r="B181" s="3">
        <v>2024002640</v>
      </c>
      <c r="C181" s="3" t="s">
        <v>321</v>
      </c>
      <c r="D181" s="5">
        <v>800000</v>
      </c>
      <c r="E181" s="3">
        <v>1089846829</v>
      </c>
      <c r="F181" s="3" t="s">
        <v>322</v>
      </c>
      <c r="G181" t="s">
        <v>763</v>
      </c>
      <c r="I181" t="e">
        <f>VLOOKUP(C181,[1]Hoja1!$A$2:$N$29,1,0)</f>
        <v>#N/A</v>
      </c>
    </row>
    <row r="182" spans="1:9" hidden="1" x14ac:dyDescent="0.3">
      <c r="A182" s="2">
        <v>45622</v>
      </c>
      <c r="B182" s="3">
        <v>2024002641</v>
      </c>
      <c r="C182" s="3" t="s">
        <v>323</v>
      </c>
      <c r="D182" s="5">
        <v>2500000</v>
      </c>
      <c r="E182" s="3">
        <v>1085327836</v>
      </c>
      <c r="F182" s="3" t="s">
        <v>324</v>
      </c>
      <c r="G182" t="s">
        <v>763</v>
      </c>
      <c r="I182" t="e">
        <f>VLOOKUP(C182,[1]Hoja1!$A$2:$N$29,1,0)</f>
        <v>#N/A</v>
      </c>
    </row>
    <row r="183" spans="1:9" hidden="1" x14ac:dyDescent="0.3">
      <c r="A183" s="2">
        <v>45622</v>
      </c>
      <c r="B183" s="3">
        <v>2024002642</v>
      </c>
      <c r="C183" s="3" t="s">
        <v>325</v>
      </c>
      <c r="D183" s="5">
        <v>3000000</v>
      </c>
      <c r="E183" s="3">
        <v>1081592303</v>
      </c>
      <c r="F183" s="3" t="s">
        <v>326</v>
      </c>
      <c r="G183" t="s">
        <v>763</v>
      </c>
      <c r="I183" t="e">
        <f>VLOOKUP(C183,[1]Hoja1!$A$2:$N$29,1,0)</f>
        <v>#N/A</v>
      </c>
    </row>
    <row r="184" spans="1:9" hidden="1" x14ac:dyDescent="0.3">
      <c r="A184" s="2">
        <v>45622</v>
      </c>
      <c r="B184" s="3">
        <v>2024002643</v>
      </c>
      <c r="C184" s="3" t="s">
        <v>327</v>
      </c>
      <c r="D184" s="5">
        <v>4825000</v>
      </c>
      <c r="E184" s="3">
        <v>1085267184</v>
      </c>
      <c r="F184" s="3" t="s">
        <v>328</v>
      </c>
      <c r="G184" t="s">
        <v>763</v>
      </c>
      <c r="I184" t="e">
        <f>VLOOKUP(C184,[1]Hoja1!$A$2:$N$29,1,0)</f>
        <v>#N/A</v>
      </c>
    </row>
    <row r="185" spans="1:9" hidden="1" x14ac:dyDescent="0.3">
      <c r="A185" s="2">
        <v>45622</v>
      </c>
      <c r="B185" s="3">
        <v>2024002644</v>
      </c>
      <c r="C185" s="3" t="s">
        <v>329</v>
      </c>
      <c r="D185" s="5">
        <v>3000000</v>
      </c>
      <c r="E185" s="3">
        <v>1081272025</v>
      </c>
      <c r="F185" s="3" t="s">
        <v>330</v>
      </c>
      <c r="G185" t="s">
        <v>763</v>
      </c>
      <c r="I185" t="e">
        <f>VLOOKUP(C185,[1]Hoja1!$A$2:$N$29,1,0)</f>
        <v>#N/A</v>
      </c>
    </row>
    <row r="186" spans="1:9" hidden="1" x14ac:dyDescent="0.3">
      <c r="A186" s="2">
        <v>45622</v>
      </c>
      <c r="B186" s="3">
        <v>2024002645</v>
      </c>
      <c r="C186" s="3" t="s">
        <v>331</v>
      </c>
      <c r="D186" s="5">
        <v>3000000</v>
      </c>
      <c r="E186" s="3">
        <v>1193385397</v>
      </c>
      <c r="F186" s="3" t="s">
        <v>332</v>
      </c>
      <c r="G186" t="s">
        <v>763</v>
      </c>
      <c r="I186" t="e">
        <f>VLOOKUP(C186,[1]Hoja1!$A$2:$N$29,1,0)</f>
        <v>#N/A</v>
      </c>
    </row>
    <row r="187" spans="1:9" hidden="1" x14ac:dyDescent="0.3">
      <c r="A187" s="2">
        <v>45622</v>
      </c>
      <c r="B187" s="3">
        <v>2024002646</v>
      </c>
      <c r="C187" s="3" t="s">
        <v>333</v>
      </c>
      <c r="D187" s="5">
        <v>3000000</v>
      </c>
      <c r="E187" s="3">
        <v>1233189234</v>
      </c>
      <c r="F187" s="3" t="s">
        <v>334</v>
      </c>
      <c r="G187" t="s">
        <v>763</v>
      </c>
      <c r="I187" t="e">
        <f>VLOOKUP(C187,[1]Hoja1!$A$2:$N$29,1,0)</f>
        <v>#N/A</v>
      </c>
    </row>
    <row r="188" spans="1:9" hidden="1" x14ac:dyDescent="0.3">
      <c r="A188" s="2">
        <v>45622</v>
      </c>
      <c r="B188" s="3">
        <v>2024002647</v>
      </c>
      <c r="C188" s="3" t="s">
        <v>335</v>
      </c>
      <c r="D188" s="5">
        <v>3000000</v>
      </c>
      <c r="E188" s="3">
        <v>1144206777</v>
      </c>
      <c r="F188" s="3" t="s">
        <v>336</v>
      </c>
      <c r="G188" t="s">
        <v>763</v>
      </c>
      <c r="I188" t="e">
        <f>VLOOKUP(C188,[1]Hoja1!$A$2:$N$29,1,0)</f>
        <v>#N/A</v>
      </c>
    </row>
    <row r="189" spans="1:9" hidden="1" x14ac:dyDescent="0.3">
      <c r="A189" s="2">
        <v>45622</v>
      </c>
      <c r="B189" s="3">
        <v>2024002648</v>
      </c>
      <c r="C189" s="3" t="s">
        <v>337</v>
      </c>
      <c r="D189" s="5">
        <v>3000000</v>
      </c>
      <c r="E189" s="3">
        <v>1085324685</v>
      </c>
      <c r="F189" s="3" t="s">
        <v>338</v>
      </c>
      <c r="G189" t="s">
        <v>763</v>
      </c>
      <c r="I189" t="e">
        <f>VLOOKUP(C189,[1]Hoja1!$A$2:$N$29,1,0)</f>
        <v>#N/A</v>
      </c>
    </row>
    <row r="190" spans="1:9" hidden="1" x14ac:dyDescent="0.3">
      <c r="A190" s="2">
        <v>45622</v>
      </c>
      <c r="B190" s="3">
        <v>2024002649</v>
      </c>
      <c r="C190" s="3" t="s">
        <v>339</v>
      </c>
      <c r="D190" s="5">
        <v>4825000</v>
      </c>
      <c r="E190" s="3">
        <v>1085311814</v>
      </c>
      <c r="F190" s="3" t="s">
        <v>340</v>
      </c>
      <c r="G190" t="s">
        <v>763</v>
      </c>
      <c r="I190" t="e">
        <f>VLOOKUP(C190,[1]Hoja1!$A$2:$N$29,1,0)</f>
        <v>#N/A</v>
      </c>
    </row>
    <row r="191" spans="1:9" hidden="1" x14ac:dyDescent="0.3">
      <c r="A191" s="2">
        <v>45622</v>
      </c>
      <c r="B191" s="3">
        <v>2024002650</v>
      </c>
      <c r="C191" s="3" t="s">
        <v>341</v>
      </c>
      <c r="D191" s="5">
        <v>1100000</v>
      </c>
      <c r="E191" s="3">
        <v>59833899</v>
      </c>
      <c r="F191" s="3" t="s">
        <v>342</v>
      </c>
      <c r="G191" t="s">
        <v>763</v>
      </c>
      <c r="I191" t="e">
        <f>VLOOKUP(C191,[1]Hoja1!$A$2:$N$29,1,0)</f>
        <v>#N/A</v>
      </c>
    </row>
    <row r="192" spans="1:9" hidden="1" x14ac:dyDescent="0.3">
      <c r="A192" s="2">
        <v>45622</v>
      </c>
      <c r="B192" s="3">
        <v>2024002651</v>
      </c>
      <c r="C192" s="3" t="s">
        <v>343</v>
      </c>
      <c r="D192" s="5">
        <v>2500000</v>
      </c>
      <c r="E192" s="3">
        <v>1233189896</v>
      </c>
      <c r="F192" s="3" t="s">
        <v>344</v>
      </c>
      <c r="G192" t="s">
        <v>763</v>
      </c>
      <c r="I192" t="e">
        <f>VLOOKUP(C192,[1]Hoja1!$A$2:$N$29,1,0)</f>
        <v>#N/A</v>
      </c>
    </row>
    <row r="193" spans="1:9" hidden="1" x14ac:dyDescent="0.3">
      <c r="A193" s="2">
        <v>45622</v>
      </c>
      <c r="B193" s="3">
        <v>2024002652</v>
      </c>
      <c r="C193" s="3" t="s">
        <v>345</v>
      </c>
      <c r="D193" s="5">
        <v>3000000</v>
      </c>
      <c r="E193" s="3">
        <v>1085319295</v>
      </c>
      <c r="F193" s="3" t="s">
        <v>346</v>
      </c>
      <c r="G193" t="s">
        <v>763</v>
      </c>
      <c r="I193" t="e">
        <f>VLOOKUP(C193,[1]Hoja1!$A$2:$N$29,1,0)</f>
        <v>#N/A</v>
      </c>
    </row>
    <row r="194" spans="1:9" hidden="1" x14ac:dyDescent="0.3">
      <c r="A194" s="2">
        <v>45622</v>
      </c>
      <c r="B194" s="3">
        <v>2024002653</v>
      </c>
      <c r="C194" s="3" t="s">
        <v>347</v>
      </c>
      <c r="D194" s="5">
        <v>3000000</v>
      </c>
      <c r="E194" s="3">
        <v>69028150</v>
      </c>
      <c r="F194" s="3" t="s">
        <v>348</v>
      </c>
      <c r="G194" t="s">
        <v>763</v>
      </c>
      <c r="I194" t="e">
        <f>VLOOKUP(C194,[1]Hoja1!$A$2:$N$29,1,0)</f>
        <v>#N/A</v>
      </c>
    </row>
    <row r="195" spans="1:9" hidden="1" x14ac:dyDescent="0.3">
      <c r="A195" s="2">
        <v>45622</v>
      </c>
      <c r="B195" s="3">
        <v>2024002654</v>
      </c>
      <c r="C195" s="3" t="s">
        <v>349</v>
      </c>
      <c r="D195" s="5">
        <v>4750000</v>
      </c>
      <c r="E195" s="3">
        <v>1085324546</v>
      </c>
      <c r="F195" s="3" t="s">
        <v>350</v>
      </c>
      <c r="G195" t="s">
        <v>763</v>
      </c>
      <c r="I195" t="e">
        <f>VLOOKUP(C195,[1]Hoja1!$A$2:$N$29,1,0)</f>
        <v>#N/A</v>
      </c>
    </row>
    <row r="196" spans="1:9" hidden="1" x14ac:dyDescent="0.3">
      <c r="A196" s="2">
        <v>45622</v>
      </c>
      <c r="B196" s="3">
        <v>2024002655</v>
      </c>
      <c r="C196" s="3" t="s">
        <v>351</v>
      </c>
      <c r="D196" s="5">
        <v>3000000</v>
      </c>
      <c r="E196" s="3">
        <v>1193265360</v>
      </c>
      <c r="F196" s="3" t="s">
        <v>352</v>
      </c>
      <c r="G196" t="s">
        <v>763</v>
      </c>
      <c r="I196" t="e">
        <f>VLOOKUP(C196,[1]Hoja1!$A$2:$N$29,1,0)</f>
        <v>#N/A</v>
      </c>
    </row>
    <row r="197" spans="1:9" hidden="1" x14ac:dyDescent="0.3">
      <c r="A197" s="2">
        <v>45623</v>
      </c>
      <c r="B197" s="3">
        <v>2024002656</v>
      </c>
      <c r="C197" s="3" t="s">
        <v>353</v>
      </c>
      <c r="D197" s="5">
        <v>3000000</v>
      </c>
      <c r="E197" s="3">
        <v>1086362994</v>
      </c>
      <c r="F197" s="3" t="s">
        <v>354</v>
      </c>
      <c r="G197" t="s">
        <v>763</v>
      </c>
      <c r="I197" t="e">
        <f>VLOOKUP(C197,[1]Hoja1!$A$2:$N$29,1,0)</f>
        <v>#N/A</v>
      </c>
    </row>
    <row r="198" spans="1:9" hidden="1" x14ac:dyDescent="0.3">
      <c r="A198" s="2">
        <v>45623</v>
      </c>
      <c r="B198" s="3">
        <v>2024002658</v>
      </c>
      <c r="C198" s="3" t="s">
        <v>355</v>
      </c>
      <c r="D198" s="5">
        <v>7540000</v>
      </c>
      <c r="E198" s="3">
        <v>1085329980</v>
      </c>
      <c r="F198" s="3" t="s">
        <v>356</v>
      </c>
      <c r="G198" t="s">
        <v>763</v>
      </c>
      <c r="I198" t="e">
        <f>VLOOKUP(C198,[1]Hoja1!$A$2:$N$29,1,0)</f>
        <v>#N/A</v>
      </c>
    </row>
    <row r="199" spans="1:9" hidden="1" x14ac:dyDescent="0.3">
      <c r="A199" s="2">
        <v>45623</v>
      </c>
      <c r="B199" s="3">
        <v>2024002659</v>
      </c>
      <c r="C199" s="3" t="s">
        <v>357</v>
      </c>
      <c r="D199" s="5">
        <v>3000000</v>
      </c>
      <c r="E199" s="3">
        <v>59588823</v>
      </c>
      <c r="F199" s="3" t="s">
        <v>358</v>
      </c>
      <c r="G199" t="s">
        <v>763</v>
      </c>
      <c r="I199" t="e">
        <f>VLOOKUP(C199,[1]Hoja1!$A$2:$N$29,1,0)</f>
        <v>#N/A</v>
      </c>
    </row>
    <row r="200" spans="1:9" hidden="1" x14ac:dyDescent="0.3">
      <c r="A200" s="2">
        <v>45623</v>
      </c>
      <c r="B200" s="3">
        <v>2024002660</v>
      </c>
      <c r="C200" s="3" t="s">
        <v>359</v>
      </c>
      <c r="D200" s="5">
        <v>7540000</v>
      </c>
      <c r="E200" s="3">
        <v>1193202097</v>
      </c>
      <c r="F200" s="3" t="s">
        <v>360</v>
      </c>
      <c r="G200" t="s">
        <v>763</v>
      </c>
      <c r="I200" t="e">
        <f>VLOOKUP(C200,[1]Hoja1!$A$2:$N$29,1,0)</f>
        <v>#N/A</v>
      </c>
    </row>
    <row r="201" spans="1:9" hidden="1" x14ac:dyDescent="0.3">
      <c r="A201" s="2">
        <v>45623</v>
      </c>
      <c r="B201" s="3">
        <v>2024002661</v>
      </c>
      <c r="C201" s="3" t="s">
        <v>361</v>
      </c>
      <c r="D201" s="5">
        <v>3000000</v>
      </c>
      <c r="E201" s="3">
        <v>1007356378</v>
      </c>
      <c r="F201" s="3" t="s">
        <v>362</v>
      </c>
      <c r="G201" t="s">
        <v>763</v>
      </c>
      <c r="I201" t="e">
        <f>VLOOKUP(C201,[1]Hoja1!$A$2:$N$29,1,0)</f>
        <v>#N/A</v>
      </c>
    </row>
    <row r="202" spans="1:9" hidden="1" x14ac:dyDescent="0.3">
      <c r="A202" s="2">
        <v>45623</v>
      </c>
      <c r="B202" s="3">
        <v>2024002662</v>
      </c>
      <c r="C202" s="3" t="s">
        <v>363</v>
      </c>
      <c r="D202" s="5">
        <v>3000000</v>
      </c>
      <c r="E202" s="3">
        <v>59311295</v>
      </c>
      <c r="F202" s="3" t="s">
        <v>364</v>
      </c>
      <c r="G202" t="s">
        <v>763</v>
      </c>
      <c r="I202" t="e">
        <f>VLOOKUP(C202,[1]Hoja1!$A$2:$N$29,1,0)</f>
        <v>#N/A</v>
      </c>
    </row>
    <row r="203" spans="1:9" hidden="1" x14ac:dyDescent="0.3">
      <c r="A203" s="2">
        <v>45623</v>
      </c>
      <c r="B203" s="3">
        <v>2024002663</v>
      </c>
      <c r="C203" s="3" t="s">
        <v>365</v>
      </c>
      <c r="D203" s="5">
        <v>6000000</v>
      </c>
      <c r="E203" s="3">
        <v>27109314</v>
      </c>
      <c r="F203" s="3" t="s">
        <v>366</v>
      </c>
      <c r="G203" t="s">
        <v>763</v>
      </c>
      <c r="I203" t="e">
        <f>VLOOKUP(C203,[1]Hoja1!$A$2:$N$29,1,0)</f>
        <v>#N/A</v>
      </c>
    </row>
    <row r="204" spans="1:9" hidden="1" x14ac:dyDescent="0.3">
      <c r="A204" s="2">
        <v>45623</v>
      </c>
      <c r="B204" s="3">
        <v>2024002664</v>
      </c>
      <c r="C204" s="3" t="s">
        <v>367</v>
      </c>
      <c r="D204" s="5">
        <v>2500000</v>
      </c>
      <c r="E204" s="3">
        <v>1085320930</v>
      </c>
      <c r="F204" s="3" t="s">
        <v>368</v>
      </c>
      <c r="G204" t="s">
        <v>763</v>
      </c>
      <c r="I204" t="e">
        <f>VLOOKUP(C204,[1]Hoja1!$A$2:$N$29,1,0)</f>
        <v>#N/A</v>
      </c>
    </row>
    <row r="205" spans="1:9" hidden="1" x14ac:dyDescent="0.3">
      <c r="A205" s="2">
        <v>45623</v>
      </c>
      <c r="B205" s="3">
        <v>2024002665</v>
      </c>
      <c r="C205" s="3" t="s">
        <v>369</v>
      </c>
      <c r="D205" s="5">
        <v>3000000</v>
      </c>
      <c r="E205" s="3">
        <v>59833702</v>
      </c>
      <c r="F205" s="3" t="s">
        <v>370</v>
      </c>
      <c r="G205" t="s">
        <v>763</v>
      </c>
      <c r="I205" t="e">
        <f>VLOOKUP(C205,[1]Hoja1!$A$2:$N$29,1,0)</f>
        <v>#N/A</v>
      </c>
    </row>
    <row r="206" spans="1:9" hidden="1" x14ac:dyDescent="0.3">
      <c r="A206" s="2">
        <v>45623</v>
      </c>
      <c r="B206" s="3">
        <v>2024002666</v>
      </c>
      <c r="C206" s="3" t="s">
        <v>371</v>
      </c>
      <c r="D206" s="5">
        <v>1250000</v>
      </c>
      <c r="E206" s="3">
        <v>12994466</v>
      </c>
      <c r="F206" s="3" t="s">
        <v>372</v>
      </c>
      <c r="G206" t="s">
        <v>763</v>
      </c>
      <c r="I206" t="e">
        <f>VLOOKUP(C206,[1]Hoja1!$A$2:$N$29,1,0)</f>
        <v>#N/A</v>
      </c>
    </row>
    <row r="207" spans="1:9" hidden="1" x14ac:dyDescent="0.3">
      <c r="A207" s="2">
        <v>45623</v>
      </c>
      <c r="B207" s="3">
        <v>2024002667</v>
      </c>
      <c r="C207" s="3" t="s">
        <v>373</v>
      </c>
      <c r="D207" s="5">
        <v>7540000</v>
      </c>
      <c r="E207" s="3">
        <v>80765093</v>
      </c>
      <c r="F207" s="3" t="s">
        <v>374</v>
      </c>
      <c r="G207" t="s">
        <v>763</v>
      </c>
      <c r="I207" t="e">
        <f>VLOOKUP(C207,[1]Hoja1!$A$2:$N$29,1,0)</f>
        <v>#N/A</v>
      </c>
    </row>
    <row r="208" spans="1:9" hidden="1" x14ac:dyDescent="0.3">
      <c r="A208" s="2">
        <v>45623</v>
      </c>
      <c r="B208" s="3">
        <v>2024002668</v>
      </c>
      <c r="C208" s="3" t="s">
        <v>375</v>
      </c>
      <c r="D208" s="5">
        <v>3000000</v>
      </c>
      <c r="E208" s="3">
        <v>1089243630</v>
      </c>
      <c r="F208" s="3" t="s">
        <v>376</v>
      </c>
      <c r="G208" t="s">
        <v>763</v>
      </c>
      <c r="I208" t="e">
        <f>VLOOKUP(C208,[1]Hoja1!$A$2:$N$29,1,0)</f>
        <v>#N/A</v>
      </c>
    </row>
    <row r="209" spans="1:9" hidden="1" x14ac:dyDescent="0.3">
      <c r="A209" s="2">
        <v>45623</v>
      </c>
      <c r="B209" s="3">
        <v>2024002669</v>
      </c>
      <c r="C209" s="3" t="s">
        <v>377</v>
      </c>
      <c r="D209" s="5">
        <v>3000000</v>
      </c>
      <c r="E209" s="3">
        <v>59834953</v>
      </c>
      <c r="F209" s="3" t="s">
        <v>378</v>
      </c>
      <c r="G209" t="s">
        <v>763</v>
      </c>
      <c r="I209" t="e">
        <f>VLOOKUP(C209,[1]Hoja1!$A$2:$N$29,1,0)</f>
        <v>#N/A</v>
      </c>
    </row>
    <row r="210" spans="1:9" hidden="1" x14ac:dyDescent="0.3">
      <c r="A210" s="2">
        <v>45623</v>
      </c>
      <c r="B210" s="3">
        <v>2024002670</v>
      </c>
      <c r="C210" s="3" t="s">
        <v>379</v>
      </c>
      <c r="D210" s="5">
        <v>4750000</v>
      </c>
      <c r="E210" s="3">
        <v>1085345772</v>
      </c>
      <c r="F210" s="3" t="s">
        <v>380</v>
      </c>
      <c r="G210" t="s">
        <v>763</v>
      </c>
      <c r="I210" t="e">
        <f>VLOOKUP(C210,[1]Hoja1!$A$2:$N$29,1,0)</f>
        <v>#N/A</v>
      </c>
    </row>
    <row r="211" spans="1:9" hidden="1" x14ac:dyDescent="0.3">
      <c r="A211" s="2">
        <v>45623</v>
      </c>
      <c r="B211" s="3">
        <v>2024002671</v>
      </c>
      <c r="C211" s="3" t="s">
        <v>381</v>
      </c>
      <c r="D211" s="5">
        <v>2500000</v>
      </c>
      <c r="E211" s="3">
        <v>37087268</v>
      </c>
      <c r="F211" s="3" t="s">
        <v>382</v>
      </c>
      <c r="G211" t="s">
        <v>763</v>
      </c>
      <c r="I211" t="e">
        <f>VLOOKUP(C211,[1]Hoja1!$A$2:$N$29,1,0)</f>
        <v>#N/A</v>
      </c>
    </row>
    <row r="212" spans="1:9" hidden="1" x14ac:dyDescent="0.3">
      <c r="A212" s="2">
        <v>45623</v>
      </c>
      <c r="B212" s="3">
        <v>2024002672</v>
      </c>
      <c r="C212" s="3" t="s">
        <v>383</v>
      </c>
      <c r="D212" s="5">
        <v>3000000</v>
      </c>
      <c r="E212" s="3">
        <v>1085330237</v>
      </c>
      <c r="F212" s="3" t="s">
        <v>384</v>
      </c>
      <c r="G212" t="s">
        <v>763</v>
      </c>
      <c r="I212" t="e">
        <f>VLOOKUP(C212,[1]Hoja1!$A$2:$N$29,1,0)</f>
        <v>#N/A</v>
      </c>
    </row>
    <row r="213" spans="1:9" hidden="1" x14ac:dyDescent="0.3">
      <c r="A213" s="2">
        <v>45624</v>
      </c>
      <c r="B213" s="3">
        <v>2024002692</v>
      </c>
      <c r="C213" s="3" t="s">
        <v>385</v>
      </c>
      <c r="D213" s="5">
        <v>2500000</v>
      </c>
      <c r="E213" s="3">
        <v>59830219</v>
      </c>
      <c r="F213" s="3" t="s">
        <v>386</v>
      </c>
      <c r="G213" t="s">
        <v>763</v>
      </c>
      <c r="I213" t="e">
        <f>VLOOKUP(C213,[1]Hoja1!$A$2:$N$29,1,0)</f>
        <v>#N/A</v>
      </c>
    </row>
    <row r="214" spans="1:9" hidden="1" x14ac:dyDescent="0.3">
      <c r="A214" s="2">
        <v>45624</v>
      </c>
      <c r="B214" s="3">
        <v>2024002693</v>
      </c>
      <c r="C214" s="3" t="s">
        <v>387</v>
      </c>
      <c r="D214" s="5">
        <v>4825000</v>
      </c>
      <c r="E214" s="3">
        <v>1085337969</v>
      </c>
      <c r="F214" s="3" t="s">
        <v>388</v>
      </c>
      <c r="G214" t="s">
        <v>763</v>
      </c>
      <c r="I214" t="e">
        <f>VLOOKUP(C214,[1]Hoja1!$A$2:$N$29,1,0)</f>
        <v>#N/A</v>
      </c>
    </row>
    <row r="215" spans="1:9" hidden="1" x14ac:dyDescent="0.3">
      <c r="A215" s="2">
        <v>45624</v>
      </c>
      <c r="B215" s="3">
        <v>2024002695</v>
      </c>
      <c r="C215" s="3" t="s">
        <v>389</v>
      </c>
      <c r="D215" s="5">
        <v>3000000</v>
      </c>
      <c r="E215" s="3">
        <v>1085296353</v>
      </c>
      <c r="F215" s="3" t="s">
        <v>390</v>
      </c>
      <c r="G215" t="s">
        <v>763</v>
      </c>
      <c r="I215" t="e">
        <f>VLOOKUP(C215,[1]Hoja1!$A$2:$N$29,1,0)</f>
        <v>#N/A</v>
      </c>
    </row>
    <row r="216" spans="1:9" hidden="1" x14ac:dyDescent="0.3">
      <c r="A216" s="2">
        <v>45624</v>
      </c>
      <c r="B216" s="3">
        <v>2024002696</v>
      </c>
      <c r="C216" s="3" t="s">
        <v>391</v>
      </c>
      <c r="D216" s="5">
        <v>4750000</v>
      </c>
      <c r="E216" s="3">
        <v>59816986</v>
      </c>
      <c r="F216" s="3" t="s">
        <v>392</v>
      </c>
      <c r="G216" t="s">
        <v>763</v>
      </c>
      <c r="I216" t="e">
        <f>VLOOKUP(C216,[1]Hoja1!$A$2:$N$29,1,0)</f>
        <v>#N/A</v>
      </c>
    </row>
    <row r="217" spans="1:9" hidden="1" x14ac:dyDescent="0.3">
      <c r="A217" s="2">
        <v>45624</v>
      </c>
      <c r="B217" s="3">
        <v>2024002697</v>
      </c>
      <c r="C217" s="3" t="s">
        <v>393</v>
      </c>
      <c r="D217" s="5">
        <v>2200000</v>
      </c>
      <c r="E217" s="3">
        <v>1131085780</v>
      </c>
      <c r="F217" s="3" t="s">
        <v>394</v>
      </c>
      <c r="G217" t="s">
        <v>763</v>
      </c>
      <c r="I217" t="e">
        <f>VLOOKUP(C217,[1]Hoja1!$A$2:$N$29,1,0)</f>
        <v>#N/A</v>
      </c>
    </row>
    <row r="218" spans="1:9" hidden="1" x14ac:dyDescent="0.3">
      <c r="A218" s="2">
        <v>45624</v>
      </c>
      <c r="B218" s="3">
        <v>2024002698</v>
      </c>
      <c r="C218" s="3" t="s">
        <v>395</v>
      </c>
      <c r="D218" s="5">
        <v>6000000</v>
      </c>
      <c r="E218" s="3">
        <v>59836926</v>
      </c>
      <c r="F218" s="3" t="s">
        <v>396</v>
      </c>
      <c r="G218" t="s">
        <v>763</v>
      </c>
      <c r="I218" t="e">
        <f>VLOOKUP(C218,[1]Hoja1!$A$2:$N$29,1,0)</f>
        <v>#N/A</v>
      </c>
    </row>
    <row r="219" spans="1:9" hidden="1" x14ac:dyDescent="0.3">
      <c r="A219" s="2">
        <v>45624</v>
      </c>
      <c r="B219" s="3">
        <v>2024002700</v>
      </c>
      <c r="C219" s="3" t="s">
        <v>397</v>
      </c>
      <c r="D219" s="5">
        <v>4750000</v>
      </c>
      <c r="E219" s="3">
        <v>87060703</v>
      </c>
      <c r="F219" s="3" t="s">
        <v>398</v>
      </c>
      <c r="G219" t="s">
        <v>763</v>
      </c>
      <c r="I219" t="e">
        <f>VLOOKUP(C219,[1]Hoja1!$A$2:$N$29,1,0)</f>
        <v>#N/A</v>
      </c>
    </row>
    <row r="220" spans="1:9" hidden="1" x14ac:dyDescent="0.3">
      <c r="A220" s="2">
        <v>45624</v>
      </c>
      <c r="B220" s="3">
        <v>2024002702</v>
      </c>
      <c r="C220" s="3" t="s">
        <v>399</v>
      </c>
      <c r="D220" s="5">
        <v>3000000</v>
      </c>
      <c r="E220" s="3">
        <v>1085252263</v>
      </c>
      <c r="F220" s="3" t="s">
        <v>400</v>
      </c>
      <c r="G220" t="s">
        <v>763</v>
      </c>
      <c r="I220" t="e">
        <f>VLOOKUP(C220,[1]Hoja1!$A$2:$N$29,1,0)</f>
        <v>#N/A</v>
      </c>
    </row>
    <row r="221" spans="1:9" hidden="1" x14ac:dyDescent="0.3">
      <c r="A221" s="2">
        <v>45624</v>
      </c>
      <c r="B221" s="3">
        <v>2024002704</v>
      </c>
      <c r="C221" s="3" t="s">
        <v>401</v>
      </c>
      <c r="D221" s="5">
        <v>3000000</v>
      </c>
      <c r="E221" s="3">
        <v>27082649</v>
      </c>
      <c r="F221" s="3" t="s">
        <v>40</v>
      </c>
      <c r="G221" t="s">
        <v>763</v>
      </c>
      <c r="I221" t="e">
        <f>VLOOKUP(C221,[1]Hoja1!$A$2:$N$29,1,0)</f>
        <v>#N/A</v>
      </c>
    </row>
    <row r="222" spans="1:9" hidden="1" x14ac:dyDescent="0.3">
      <c r="A222" s="2">
        <v>45624</v>
      </c>
      <c r="B222" s="3">
        <v>2024002705</v>
      </c>
      <c r="C222" s="3" t="s">
        <v>402</v>
      </c>
      <c r="D222" s="5">
        <v>4825000</v>
      </c>
      <c r="E222" s="3">
        <v>1081595485</v>
      </c>
      <c r="F222" s="3" t="s">
        <v>403</v>
      </c>
      <c r="G222" t="s">
        <v>763</v>
      </c>
      <c r="I222" t="e">
        <f>VLOOKUP(C222,[1]Hoja1!$A$2:$N$29,1,0)</f>
        <v>#N/A</v>
      </c>
    </row>
    <row r="223" spans="1:9" hidden="1" x14ac:dyDescent="0.3">
      <c r="A223" s="2">
        <v>45624</v>
      </c>
      <c r="B223" s="3">
        <v>2024002707</v>
      </c>
      <c r="C223" s="3" t="s">
        <v>404</v>
      </c>
      <c r="D223" s="5">
        <v>3000000</v>
      </c>
      <c r="E223" s="3">
        <v>1085255972</v>
      </c>
      <c r="F223" s="3" t="s">
        <v>405</v>
      </c>
      <c r="G223" t="s">
        <v>763</v>
      </c>
      <c r="I223" t="e">
        <f>VLOOKUP(C223,[1]Hoja1!$A$2:$N$29,1,0)</f>
        <v>#N/A</v>
      </c>
    </row>
    <row r="224" spans="1:9" hidden="1" x14ac:dyDescent="0.3">
      <c r="A224" s="2">
        <v>45624</v>
      </c>
      <c r="B224" s="3">
        <v>2024002708</v>
      </c>
      <c r="C224" s="3" t="s">
        <v>406</v>
      </c>
      <c r="D224" s="5">
        <v>3000000</v>
      </c>
      <c r="E224" s="3">
        <v>98382500</v>
      </c>
      <c r="F224" s="3" t="s">
        <v>407</v>
      </c>
      <c r="G224" t="s">
        <v>763</v>
      </c>
      <c r="I224" t="e">
        <f>VLOOKUP(C224,[1]Hoja1!$A$2:$N$29,1,0)</f>
        <v>#N/A</v>
      </c>
    </row>
    <row r="225" spans="1:9" hidden="1" x14ac:dyDescent="0.3">
      <c r="A225" s="2">
        <v>45624</v>
      </c>
      <c r="B225" s="3">
        <v>2024002709</v>
      </c>
      <c r="C225" s="3" t="s">
        <v>408</v>
      </c>
      <c r="D225" s="5">
        <v>4750000</v>
      </c>
      <c r="E225" s="3">
        <v>59312865</v>
      </c>
      <c r="F225" s="3" t="s">
        <v>409</v>
      </c>
      <c r="G225" t="s">
        <v>763</v>
      </c>
      <c r="I225" t="e">
        <f>VLOOKUP(C225,[1]Hoja1!$A$2:$N$29,1,0)</f>
        <v>#N/A</v>
      </c>
    </row>
    <row r="226" spans="1:9" hidden="1" x14ac:dyDescent="0.3">
      <c r="A226" s="2">
        <v>45624</v>
      </c>
      <c r="B226" s="3">
        <v>2024002710</v>
      </c>
      <c r="C226" s="3" t="s">
        <v>410</v>
      </c>
      <c r="D226" s="5">
        <v>4825000</v>
      </c>
      <c r="E226" s="3">
        <v>1085321943</v>
      </c>
      <c r="F226" s="3" t="s">
        <v>411</v>
      </c>
      <c r="G226" t="s">
        <v>763</v>
      </c>
      <c r="I226" t="e">
        <f>VLOOKUP(C226,[1]Hoja1!$A$2:$N$29,1,0)</f>
        <v>#N/A</v>
      </c>
    </row>
    <row r="227" spans="1:9" hidden="1" x14ac:dyDescent="0.3">
      <c r="A227" s="2">
        <v>45624</v>
      </c>
      <c r="B227" s="3">
        <v>2024002711</v>
      </c>
      <c r="C227" s="3" t="s">
        <v>412</v>
      </c>
      <c r="D227" s="5">
        <v>3000000</v>
      </c>
      <c r="E227" s="3">
        <v>1085313463</v>
      </c>
      <c r="F227" s="3" t="s">
        <v>413</v>
      </c>
      <c r="G227" t="s">
        <v>763</v>
      </c>
      <c r="I227" t="e">
        <f>VLOOKUP(C227,[1]Hoja1!$A$2:$N$29,1,0)</f>
        <v>#N/A</v>
      </c>
    </row>
    <row r="228" spans="1:9" hidden="1" x14ac:dyDescent="0.3">
      <c r="A228" s="2">
        <v>45624</v>
      </c>
      <c r="B228" s="3">
        <v>2024002713</v>
      </c>
      <c r="C228" s="3" t="s">
        <v>414</v>
      </c>
      <c r="D228" s="5">
        <v>2500000</v>
      </c>
      <c r="E228" s="3">
        <v>59311646</v>
      </c>
      <c r="F228" s="3" t="s">
        <v>415</v>
      </c>
      <c r="G228" t="s">
        <v>763</v>
      </c>
      <c r="I228" t="e">
        <f>VLOOKUP(C228,[1]Hoja1!$A$2:$N$29,1,0)</f>
        <v>#N/A</v>
      </c>
    </row>
    <row r="229" spans="1:9" hidden="1" x14ac:dyDescent="0.3">
      <c r="A229" s="2">
        <v>45624</v>
      </c>
      <c r="B229" s="3">
        <v>2024002714</v>
      </c>
      <c r="C229" s="3" t="s">
        <v>416</v>
      </c>
      <c r="D229" s="5">
        <v>6000000</v>
      </c>
      <c r="E229" s="3">
        <v>27097745</v>
      </c>
      <c r="F229" s="3" t="s">
        <v>417</v>
      </c>
      <c r="G229" t="s">
        <v>763</v>
      </c>
      <c r="I229" t="e">
        <f>VLOOKUP(C229,[1]Hoja1!$A$2:$N$29,1,0)</f>
        <v>#N/A</v>
      </c>
    </row>
    <row r="230" spans="1:9" hidden="1" x14ac:dyDescent="0.3">
      <c r="A230" s="2">
        <v>45624</v>
      </c>
      <c r="B230" s="3">
        <v>2024002715</v>
      </c>
      <c r="C230" s="3" t="s">
        <v>418</v>
      </c>
      <c r="D230" s="5">
        <v>3000000</v>
      </c>
      <c r="E230" s="3">
        <v>1085286742</v>
      </c>
      <c r="F230" s="3" t="s">
        <v>419</v>
      </c>
      <c r="G230" t="s">
        <v>763</v>
      </c>
      <c r="I230" t="str">
        <f>VLOOKUP(C230,[1]Hoja1!$A$2:$N$29,1,0)</f>
        <v>779-2024</v>
      </c>
    </row>
    <row r="231" spans="1:9" hidden="1" x14ac:dyDescent="0.3">
      <c r="A231" s="2">
        <v>45625</v>
      </c>
      <c r="B231" s="3">
        <v>2024002718</v>
      </c>
      <c r="C231" s="3" t="s">
        <v>420</v>
      </c>
      <c r="D231" s="5">
        <v>2500000</v>
      </c>
      <c r="E231" s="3">
        <v>1085289798</v>
      </c>
      <c r="F231" s="3" t="s">
        <v>421</v>
      </c>
      <c r="G231" t="s">
        <v>763</v>
      </c>
      <c r="I231" t="e">
        <f>VLOOKUP(C231,[1]Hoja1!$A$2:$N$29,1,0)</f>
        <v>#N/A</v>
      </c>
    </row>
    <row r="232" spans="1:9" hidden="1" x14ac:dyDescent="0.3">
      <c r="A232" s="2">
        <v>45625</v>
      </c>
      <c r="B232" s="3">
        <v>2024002719</v>
      </c>
      <c r="C232" s="3" t="s">
        <v>422</v>
      </c>
      <c r="D232" s="5">
        <v>3000000</v>
      </c>
      <c r="E232" s="3">
        <v>27087122</v>
      </c>
      <c r="F232" s="3" t="s">
        <v>423</v>
      </c>
      <c r="G232" t="s">
        <v>763</v>
      </c>
      <c r="I232" t="e">
        <f>VLOOKUP(C232,[1]Hoja1!$A$2:$N$29,1,0)</f>
        <v>#N/A</v>
      </c>
    </row>
    <row r="233" spans="1:9" hidden="1" x14ac:dyDescent="0.3">
      <c r="A233" s="2">
        <v>45625</v>
      </c>
      <c r="B233" s="3">
        <v>2024002720</v>
      </c>
      <c r="C233" s="3" t="s">
        <v>424</v>
      </c>
      <c r="D233" s="5">
        <v>3000000</v>
      </c>
      <c r="E233" s="3">
        <v>59311233</v>
      </c>
      <c r="F233" s="3" t="s">
        <v>425</v>
      </c>
      <c r="G233" t="s">
        <v>763</v>
      </c>
      <c r="I233" t="e">
        <f>VLOOKUP(C233,[1]Hoja1!$A$2:$N$29,1,0)</f>
        <v>#N/A</v>
      </c>
    </row>
    <row r="234" spans="1:9" hidden="1" x14ac:dyDescent="0.3">
      <c r="A234" s="2">
        <v>45625</v>
      </c>
      <c r="B234" s="3">
        <v>2024002721</v>
      </c>
      <c r="C234" s="3" t="s">
        <v>426</v>
      </c>
      <c r="D234" s="5">
        <v>7540000</v>
      </c>
      <c r="E234" s="3">
        <v>1085335767</v>
      </c>
      <c r="F234" s="3" t="s">
        <v>427</v>
      </c>
      <c r="G234" t="s">
        <v>763</v>
      </c>
      <c r="I234" t="e">
        <f>VLOOKUP(C234,[1]Hoja1!$A$2:$N$29,1,0)</f>
        <v>#N/A</v>
      </c>
    </row>
    <row r="235" spans="1:9" hidden="1" x14ac:dyDescent="0.3">
      <c r="A235" s="2">
        <v>45625</v>
      </c>
      <c r="B235" s="3">
        <v>2024002722</v>
      </c>
      <c r="C235" s="3" t="s">
        <v>428</v>
      </c>
      <c r="D235" s="5">
        <v>3000000</v>
      </c>
      <c r="E235" s="3">
        <v>1081276146</v>
      </c>
      <c r="F235" s="3" t="s">
        <v>429</v>
      </c>
      <c r="G235" t="s">
        <v>763</v>
      </c>
      <c r="I235" t="e">
        <f>VLOOKUP(C235,[1]Hoja1!$A$2:$N$29,1,0)</f>
        <v>#N/A</v>
      </c>
    </row>
    <row r="236" spans="1:9" hidden="1" x14ac:dyDescent="0.3">
      <c r="A236" s="2">
        <v>45625</v>
      </c>
      <c r="B236" s="3">
        <v>2024002723</v>
      </c>
      <c r="C236" s="3" t="s">
        <v>430</v>
      </c>
      <c r="D236" s="5">
        <v>2500000</v>
      </c>
      <c r="E236" s="3">
        <v>27309586</v>
      </c>
      <c r="F236" s="3" t="s">
        <v>431</v>
      </c>
      <c r="G236" t="s">
        <v>763</v>
      </c>
      <c r="I236" t="e">
        <f>VLOOKUP(C236,[1]Hoja1!$A$2:$N$29,1,0)</f>
        <v>#N/A</v>
      </c>
    </row>
    <row r="237" spans="1:9" hidden="1" x14ac:dyDescent="0.3">
      <c r="A237" s="2">
        <v>45625</v>
      </c>
      <c r="B237" s="3">
        <v>2024002724</v>
      </c>
      <c r="C237" s="3" t="s">
        <v>432</v>
      </c>
      <c r="D237" s="5">
        <v>3000000</v>
      </c>
      <c r="E237" s="3">
        <v>59310433</v>
      </c>
      <c r="F237" s="3" t="s">
        <v>433</v>
      </c>
      <c r="G237" t="s">
        <v>763</v>
      </c>
      <c r="I237" t="e">
        <f>VLOOKUP(C237,[1]Hoja1!$A$2:$N$29,1,0)</f>
        <v>#N/A</v>
      </c>
    </row>
    <row r="238" spans="1:9" hidden="1" x14ac:dyDescent="0.3">
      <c r="A238" s="2">
        <v>45625</v>
      </c>
      <c r="B238" s="3">
        <v>2024002725</v>
      </c>
      <c r="C238" s="3" t="s">
        <v>434</v>
      </c>
      <c r="D238" s="5">
        <v>3000000</v>
      </c>
      <c r="E238" s="3">
        <v>1233188273</v>
      </c>
      <c r="F238" s="3" t="s">
        <v>435</v>
      </c>
      <c r="G238" t="s">
        <v>763</v>
      </c>
      <c r="I238" t="e">
        <f>VLOOKUP(C238,[1]Hoja1!$A$2:$N$29,1,0)</f>
        <v>#N/A</v>
      </c>
    </row>
    <row r="239" spans="1:9" hidden="1" x14ac:dyDescent="0.3">
      <c r="A239" s="2">
        <v>45625</v>
      </c>
      <c r="B239" s="3">
        <v>2024002726</v>
      </c>
      <c r="C239" s="3" t="s">
        <v>436</v>
      </c>
      <c r="D239" s="5">
        <v>4825000</v>
      </c>
      <c r="E239" s="3">
        <v>1085265622</v>
      </c>
      <c r="F239" s="3" t="s">
        <v>437</v>
      </c>
      <c r="G239" t="s">
        <v>763</v>
      </c>
      <c r="I239" t="e">
        <f>VLOOKUP(C239,[1]Hoja1!$A$2:$N$29,1,0)</f>
        <v>#N/A</v>
      </c>
    </row>
    <row r="240" spans="1:9" hidden="1" x14ac:dyDescent="0.3">
      <c r="A240" s="2">
        <v>45625</v>
      </c>
      <c r="B240" s="3">
        <v>2024002727</v>
      </c>
      <c r="C240" s="3" t="s">
        <v>438</v>
      </c>
      <c r="D240" s="5">
        <v>3000000</v>
      </c>
      <c r="E240" s="3">
        <v>1010085543</v>
      </c>
      <c r="F240" s="3" t="s">
        <v>439</v>
      </c>
      <c r="G240" t="s">
        <v>763</v>
      </c>
      <c r="I240" t="e">
        <f>VLOOKUP(C240,[1]Hoja1!$A$2:$N$29,1,0)</f>
        <v>#N/A</v>
      </c>
    </row>
    <row r="241" spans="1:9" hidden="1" x14ac:dyDescent="0.3">
      <c r="A241" s="2">
        <v>45625</v>
      </c>
      <c r="B241" s="3">
        <v>2024002728</v>
      </c>
      <c r="C241" s="3" t="s">
        <v>440</v>
      </c>
      <c r="D241" s="5">
        <v>4825000</v>
      </c>
      <c r="E241" s="3">
        <v>1085321578</v>
      </c>
      <c r="F241" s="3" t="s">
        <v>441</v>
      </c>
      <c r="G241" t="s">
        <v>763</v>
      </c>
      <c r="I241" t="e">
        <f>VLOOKUP(C241,[1]Hoja1!$A$2:$N$29,1,0)</f>
        <v>#N/A</v>
      </c>
    </row>
    <row r="242" spans="1:9" hidden="1" x14ac:dyDescent="0.3">
      <c r="A242" s="2">
        <v>45625</v>
      </c>
      <c r="B242" s="3">
        <v>2024002729</v>
      </c>
      <c r="C242" s="3" t="s">
        <v>442</v>
      </c>
      <c r="D242" s="5">
        <v>6000000</v>
      </c>
      <c r="E242" s="3">
        <v>1085254153</v>
      </c>
      <c r="F242" s="3" t="s">
        <v>443</v>
      </c>
      <c r="G242" t="s">
        <v>763</v>
      </c>
      <c r="I242" t="e">
        <f>VLOOKUP(C242,[1]Hoja1!$A$2:$N$29,1,0)</f>
        <v>#N/A</v>
      </c>
    </row>
    <row r="243" spans="1:9" hidden="1" x14ac:dyDescent="0.3">
      <c r="A243" s="2">
        <v>45625</v>
      </c>
      <c r="B243" s="3">
        <v>2024002730</v>
      </c>
      <c r="C243" s="3" t="s">
        <v>444</v>
      </c>
      <c r="D243" s="5">
        <v>4825000</v>
      </c>
      <c r="E243" s="3">
        <v>1085269530</v>
      </c>
      <c r="F243" s="3" t="s">
        <v>445</v>
      </c>
      <c r="G243" t="s">
        <v>763</v>
      </c>
      <c r="I243" t="e">
        <f>VLOOKUP(C243,[1]Hoja1!$A$2:$N$29,1,0)</f>
        <v>#N/A</v>
      </c>
    </row>
    <row r="244" spans="1:9" hidden="1" x14ac:dyDescent="0.3">
      <c r="A244" s="2">
        <v>45625</v>
      </c>
      <c r="B244" s="3">
        <v>2024002731</v>
      </c>
      <c r="C244" s="3" t="s">
        <v>446</v>
      </c>
      <c r="D244" s="5">
        <v>2412500</v>
      </c>
      <c r="E244" s="3">
        <v>1085324891</v>
      </c>
      <c r="F244" s="3" t="s">
        <v>447</v>
      </c>
      <c r="G244" t="s">
        <v>763</v>
      </c>
      <c r="I244" t="e">
        <f>VLOOKUP(C244,[1]Hoja1!$A$2:$N$29,1,0)</f>
        <v>#N/A</v>
      </c>
    </row>
    <row r="245" spans="1:9" hidden="1" x14ac:dyDescent="0.3">
      <c r="A245" s="2">
        <v>45625</v>
      </c>
      <c r="B245" s="3">
        <v>2024002732</v>
      </c>
      <c r="C245" s="3" t="s">
        <v>448</v>
      </c>
      <c r="D245" s="5">
        <v>3000000</v>
      </c>
      <c r="E245" s="3">
        <v>1004299312</v>
      </c>
      <c r="F245" s="3" t="s">
        <v>449</v>
      </c>
      <c r="G245" t="s">
        <v>763</v>
      </c>
      <c r="I245" t="e">
        <f>VLOOKUP(C245,[1]Hoja1!$A$2:$N$29,1,0)</f>
        <v>#N/A</v>
      </c>
    </row>
    <row r="246" spans="1:9" hidden="1" x14ac:dyDescent="0.3">
      <c r="A246" s="2">
        <v>45625</v>
      </c>
      <c r="B246" s="3">
        <v>2024002733</v>
      </c>
      <c r="C246" s="3" t="s">
        <v>450</v>
      </c>
      <c r="D246" s="5">
        <v>3000000</v>
      </c>
      <c r="E246" s="3">
        <v>1004215136</v>
      </c>
      <c r="F246" s="3" t="s">
        <v>451</v>
      </c>
      <c r="G246" t="s">
        <v>763</v>
      </c>
      <c r="I246" t="e">
        <f>VLOOKUP(C246,[1]Hoja1!$A$2:$N$29,1,0)</f>
        <v>#N/A</v>
      </c>
    </row>
    <row r="247" spans="1:9" hidden="1" x14ac:dyDescent="0.3">
      <c r="A247" s="2">
        <v>45625</v>
      </c>
      <c r="B247" s="3">
        <v>2024002734</v>
      </c>
      <c r="C247" s="3" t="s">
        <v>452</v>
      </c>
      <c r="D247" s="5">
        <v>3000000</v>
      </c>
      <c r="E247" s="3">
        <v>1085344082</v>
      </c>
      <c r="F247" s="3" t="s">
        <v>453</v>
      </c>
      <c r="G247" t="s">
        <v>763</v>
      </c>
      <c r="I247" t="e">
        <f>VLOOKUP(C247,[1]Hoja1!$A$2:$N$29,1,0)</f>
        <v>#N/A</v>
      </c>
    </row>
    <row r="248" spans="1:9" hidden="1" x14ac:dyDescent="0.3">
      <c r="A248" s="2">
        <v>45625</v>
      </c>
      <c r="B248" s="3">
        <v>2024002735</v>
      </c>
      <c r="C248" s="3" t="s">
        <v>454</v>
      </c>
      <c r="D248" s="5">
        <v>2500000</v>
      </c>
      <c r="E248" s="3">
        <v>1085337465</v>
      </c>
      <c r="F248" s="3" t="s">
        <v>455</v>
      </c>
      <c r="G248" t="s">
        <v>763</v>
      </c>
      <c r="I248" t="e">
        <f>VLOOKUP(C248,[1]Hoja1!$A$2:$N$29,1,0)</f>
        <v>#N/A</v>
      </c>
    </row>
    <row r="249" spans="1:9" hidden="1" x14ac:dyDescent="0.3">
      <c r="A249" s="2">
        <v>45625</v>
      </c>
      <c r="B249" s="3">
        <v>2024002736</v>
      </c>
      <c r="C249" s="3" t="s">
        <v>456</v>
      </c>
      <c r="D249" s="5">
        <v>4825000</v>
      </c>
      <c r="E249" s="3">
        <v>1087643211</v>
      </c>
      <c r="F249" s="3" t="s">
        <v>457</v>
      </c>
      <c r="G249" t="s">
        <v>763</v>
      </c>
      <c r="I249" t="e">
        <f>VLOOKUP(C249,[1]Hoja1!$A$2:$N$29,1,0)</f>
        <v>#N/A</v>
      </c>
    </row>
    <row r="250" spans="1:9" hidden="1" x14ac:dyDescent="0.3">
      <c r="A250" s="2">
        <v>45625</v>
      </c>
      <c r="B250" s="3">
        <v>2024002737</v>
      </c>
      <c r="C250" s="3" t="s">
        <v>458</v>
      </c>
      <c r="D250" s="5">
        <v>3000000</v>
      </c>
      <c r="E250" s="3">
        <v>1085266584</v>
      </c>
      <c r="F250" s="3" t="s">
        <v>459</v>
      </c>
      <c r="G250" t="s">
        <v>763</v>
      </c>
      <c r="I250" t="e">
        <f>VLOOKUP(C250,[1]Hoja1!$A$2:$N$29,1,0)</f>
        <v>#N/A</v>
      </c>
    </row>
    <row r="251" spans="1:9" hidden="1" x14ac:dyDescent="0.3">
      <c r="A251" s="2">
        <v>45625</v>
      </c>
      <c r="B251" s="3">
        <v>2024002738</v>
      </c>
      <c r="C251" s="3" t="s">
        <v>460</v>
      </c>
      <c r="D251" s="5">
        <v>4750000</v>
      </c>
      <c r="E251" s="3">
        <v>1193383306</v>
      </c>
      <c r="F251" s="3" t="s">
        <v>461</v>
      </c>
      <c r="G251" t="s">
        <v>763</v>
      </c>
      <c r="I251" t="e">
        <f>VLOOKUP(C251,[1]Hoja1!$A$2:$N$29,1,0)</f>
        <v>#N/A</v>
      </c>
    </row>
    <row r="252" spans="1:9" hidden="1" x14ac:dyDescent="0.3">
      <c r="A252" s="2">
        <v>45625</v>
      </c>
      <c r="B252" s="3">
        <v>2024002739</v>
      </c>
      <c r="C252" s="3" t="s">
        <v>462</v>
      </c>
      <c r="D252" s="5">
        <v>2500000</v>
      </c>
      <c r="E252" s="3">
        <v>1086016308</v>
      </c>
      <c r="F252" s="3" t="s">
        <v>463</v>
      </c>
      <c r="G252" t="s">
        <v>763</v>
      </c>
      <c r="I252" t="e">
        <f>VLOOKUP(C252,[1]Hoja1!$A$2:$N$29,1,0)</f>
        <v>#N/A</v>
      </c>
    </row>
    <row r="253" spans="1:9" hidden="1" x14ac:dyDescent="0.3">
      <c r="A253" s="2">
        <v>45625</v>
      </c>
      <c r="B253" s="3">
        <v>2024002740</v>
      </c>
      <c r="C253" s="3" t="s">
        <v>464</v>
      </c>
      <c r="D253" s="5">
        <v>1250000</v>
      </c>
      <c r="E253" s="3">
        <v>37082480</v>
      </c>
      <c r="F253" s="3" t="s">
        <v>465</v>
      </c>
      <c r="G253" t="s">
        <v>763</v>
      </c>
      <c r="I253" t="e">
        <f>VLOOKUP(C253,[1]Hoja1!$A$2:$N$29,1,0)</f>
        <v>#N/A</v>
      </c>
    </row>
    <row r="254" spans="1:9" hidden="1" x14ac:dyDescent="0.3">
      <c r="A254" s="2">
        <v>45625</v>
      </c>
      <c r="B254" s="3">
        <v>2024002741</v>
      </c>
      <c r="C254" s="3" t="s">
        <v>466</v>
      </c>
      <c r="D254" s="5">
        <v>3000000</v>
      </c>
      <c r="E254" s="3">
        <v>1014857280</v>
      </c>
      <c r="F254" s="3" t="s">
        <v>467</v>
      </c>
      <c r="G254" t="s">
        <v>763</v>
      </c>
      <c r="I254" t="e">
        <f>VLOOKUP(C254,[1]Hoja1!$A$2:$N$29,1,0)</f>
        <v>#N/A</v>
      </c>
    </row>
    <row r="255" spans="1:9" hidden="1" x14ac:dyDescent="0.3">
      <c r="A255" s="2">
        <v>45625</v>
      </c>
      <c r="B255" s="3">
        <v>2024002742</v>
      </c>
      <c r="C255" s="3" t="s">
        <v>468</v>
      </c>
      <c r="D255" s="5">
        <v>6000000</v>
      </c>
      <c r="E255" s="3">
        <v>1085337232</v>
      </c>
      <c r="F255" s="3" t="s">
        <v>469</v>
      </c>
      <c r="G255" t="s">
        <v>763</v>
      </c>
      <c r="I255" t="e">
        <f>VLOOKUP(C255,[1]Hoja1!$A$2:$N$29,1,0)</f>
        <v>#N/A</v>
      </c>
    </row>
    <row r="256" spans="1:9" hidden="1" x14ac:dyDescent="0.3">
      <c r="A256" s="2">
        <v>45625</v>
      </c>
      <c r="B256" s="3">
        <v>2024002743</v>
      </c>
      <c r="C256" s="3" t="s">
        <v>470</v>
      </c>
      <c r="D256" s="5">
        <v>3000000</v>
      </c>
      <c r="E256" s="3">
        <v>1193271854</v>
      </c>
      <c r="F256" s="3" t="s">
        <v>471</v>
      </c>
      <c r="G256" t="s">
        <v>763</v>
      </c>
      <c r="I256" t="e">
        <f>VLOOKUP(C256,[1]Hoja1!$A$2:$N$29,1,0)</f>
        <v>#N/A</v>
      </c>
    </row>
    <row r="257" spans="1:9" hidden="1" x14ac:dyDescent="0.3">
      <c r="A257" s="2">
        <v>45625</v>
      </c>
      <c r="B257" s="3">
        <v>2024002744</v>
      </c>
      <c r="C257" s="3" t="s">
        <v>472</v>
      </c>
      <c r="D257" s="5">
        <v>3000000</v>
      </c>
      <c r="E257" s="3">
        <v>1085300095</v>
      </c>
      <c r="F257" s="3" t="s">
        <v>473</v>
      </c>
      <c r="G257" t="s">
        <v>763</v>
      </c>
      <c r="I257" t="e">
        <f>VLOOKUP(C257,[1]Hoja1!$A$2:$N$29,1,0)</f>
        <v>#N/A</v>
      </c>
    </row>
    <row r="258" spans="1:9" hidden="1" x14ac:dyDescent="0.3">
      <c r="A258" s="2">
        <v>45625</v>
      </c>
      <c r="B258" s="3">
        <v>2024002745</v>
      </c>
      <c r="C258" s="3" t="s">
        <v>474</v>
      </c>
      <c r="D258" s="5">
        <v>7540000</v>
      </c>
      <c r="E258" s="3">
        <v>1085255870</v>
      </c>
      <c r="F258" s="3" t="s">
        <v>475</v>
      </c>
      <c r="G258" t="s">
        <v>763</v>
      </c>
      <c r="I258" t="e">
        <f>VLOOKUP(C258,[1]Hoja1!$A$2:$N$29,1,0)</f>
        <v>#N/A</v>
      </c>
    </row>
    <row r="259" spans="1:9" hidden="1" x14ac:dyDescent="0.3">
      <c r="A259" s="2">
        <v>45625</v>
      </c>
      <c r="B259" s="3">
        <v>2024002746</v>
      </c>
      <c r="C259" s="3" t="s">
        <v>476</v>
      </c>
      <c r="D259" s="5">
        <v>1250000</v>
      </c>
      <c r="E259" s="3">
        <v>1085281545</v>
      </c>
      <c r="F259" s="3" t="s">
        <v>477</v>
      </c>
      <c r="G259" t="s">
        <v>763</v>
      </c>
      <c r="I259" t="e">
        <f>VLOOKUP(C259,[1]Hoja1!$A$2:$N$29,1,0)</f>
        <v>#N/A</v>
      </c>
    </row>
    <row r="260" spans="1:9" hidden="1" x14ac:dyDescent="0.3">
      <c r="A260" s="2">
        <v>45625</v>
      </c>
      <c r="B260" s="3">
        <v>2024002747</v>
      </c>
      <c r="C260" s="3" t="s">
        <v>478</v>
      </c>
      <c r="D260" s="5">
        <v>4825000</v>
      </c>
      <c r="E260" s="3">
        <v>1085291221</v>
      </c>
      <c r="F260" s="3" t="s">
        <v>479</v>
      </c>
      <c r="G260" t="s">
        <v>763</v>
      </c>
      <c r="I260" t="e">
        <f>VLOOKUP(C260,[1]Hoja1!$A$2:$N$29,1,0)</f>
        <v>#N/A</v>
      </c>
    </row>
    <row r="261" spans="1:9" hidden="1" x14ac:dyDescent="0.3">
      <c r="A261" s="2">
        <v>45625</v>
      </c>
      <c r="B261" s="3">
        <v>2024002748</v>
      </c>
      <c r="C261" s="3" t="s">
        <v>480</v>
      </c>
      <c r="D261" s="5">
        <v>4825000</v>
      </c>
      <c r="E261" s="3">
        <v>30733517</v>
      </c>
      <c r="F261" s="3" t="s">
        <v>481</v>
      </c>
      <c r="G261" t="s">
        <v>763</v>
      </c>
      <c r="I261" t="e">
        <f>VLOOKUP(C261,[1]Hoja1!$A$2:$N$29,1,0)</f>
        <v>#N/A</v>
      </c>
    </row>
    <row r="262" spans="1:9" hidden="1" x14ac:dyDescent="0.3">
      <c r="A262" s="2">
        <v>45625</v>
      </c>
      <c r="B262" s="3">
        <v>2024002749</v>
      </c>
      <c r="C262" s="3" t="s">
        <v>482</v>
      </c>
      <c r="D262" s="5">
        <v>3000000</v>
      </c>
      <c r="E262" s="3">
        <v>1004410201</v>
      </c>
      <c r="F262" s="3" t="s">
        <v>483</v>
      </c>
      <c r="G262" t="s">
        <v>763</v>
      </c>
      <c r="I262" t="e">
        <f>VLOOKUP(C262,[1]Hoja1!$A$2:$N$29,1,0)</f>
        <v>#N/A</v>
      </c>
    </row>
    <row r="263" spans="1:9" hidden="1" x14ac:dyDescent="0.3">
      <c r="A263" s="2">
        <v>45625</v>
      </c>
      <c r="B263" s="3">
        <v>2024002750</v>
      </c>
      <c r="C263" s="3" t="s">
        <v>484</v>
      </c>
      <c r="D263" s="5">
        <v>2500000</v>
      </c>
      <c r="E263" s="3">
        <v>1081273343</v>
      </c>
      <c r="F263" s="3" t="s">
        <v>485</v>
      </c>
      <c r="G263" t="s">
        <v>763</v>
      </c>
      <c r="I263" t="e">
        <f>VLOOKUP(C263,[1]Hoja1!$A$2:$N$29,1,0)</f>
        <v>#N/A</v>
      </c>
    </row>
    <row r="264" spans="1:9" hidden="1" x14ac:dyDescent="0.3">
      <c r="A264" s="2">
        <v>45629</v>
      </c>
      <c r="B264" s="3">
        <v>2024002757</v>
      </c>
      <c r="C264" s="3" t="s">
        <v>486</v>
      </c>
      <c r="D264" s="5">
        <v>7540000</v>
      </c>
      <c r="E264" s="3">
        <v>12961407</v>
      </c>
      <c r="F264" s="3" t="s">
        <v>487</v>
      </c>
      <c r="G264" t="s">
        <v>763</v>
      </c>
      <c r="I264" t="e">
        <f>VLOOKUP(C264,[1]Hoja1!$A$2:$N$29,1,0)</f>
        <v>#N/A</v>
      </c>
    </row>
    <row r="265" spans="1:9" hidden="1" x14ac:dyDescent="0.3">
      <c r="A265" s="2">
        <v>45629</v>
      </c>
      <c r="B265" s="3">
        <v>2024002758</v>
      </c>
      <c r="C265" s="3" t="s">
        <v>488</v>
      </c>
      <c r="D265" s="5">
        <v>3000000</v>
      </c>
      <c r="E265" s="3">
        <v>1085250095</v>
      </c>
      <c r="F265" s="3" t="s">
        <v>489</v>
      </c>
      <c r="G265" t="s">
        <v>763</v>
      </c>
      <c r="I265" t="e">
        <f>VLOOKUP(C265,[1]Hoja1!$A$2:$N$29,1,0)</f>
        <v>#N/A</v>
      </c>
    </row>
    <row r="266" spans="1:9" hidden="1" x14ac:dyDescent="0.3">
      <c r="A266" s="2">
        <v>45629</v>
      </c>
      <c r="B266" s="3">
        <v>2024002759</v>
      </c>
      <c r="C266" s="3" t="s">
        <v>490</v>
      </c>
      <c r="D266" s="5">
        <v>4750000</v>
      </c>
      <c r="E266" s="3">
        <v>1085318201</v>
      </c>
      <c r="F266" s="3" t="s">
        <v>491</v>
      </c>
      <c r="G266" t="s">
        <v>763</v>
      </c>
      <c r="I266" t="e">
        <f>VLOOKUP(C266,[1]Hoja1!$A$2:$N$29,1,0)</f>
        <v>#N/A</v>
      </c>
    </row>
    <row r="267" spans="1:9" hidden="1" x14ac:dyDescent="0.3">
      <c r="A267" s="2">
        <v>45629</v>
      </c>
      <c r="B267" s="3">
        <v>2024002760</v>
      </c>
      <c r="C267" s="3" t="s">
        <v>492</v>
      </c>
      <c r="D267" s="5">
        <v>800000</v>
      </c>
      <c r="E267" s="3">
        <v>27088197</v>
      </c>
      <c r="F267" s="3" t="s">
        <v>493</v>
      </c>
      <c r="G267" t="s">
        <v>763</v>
      </c>
      <c r="I267" t="e">
        <f>VLOOKUP(C267,[1]Hoja1!$A$2:$N$29,1,0)</f>
        <v>#N/A</v>
      </c>
    </row>
    <row r="268" spans="1:9" hidden="1" x14ac:dyDescent="0.3">
      <c r="A268" s="2">
        <v>45629</v>
      </c>
      <c r="B268" s="3">
        <v>2024002761</v>
      </c>
      <c r="C268" s="3" t="s">
        <v>494</v>
      </c>
      <c r="D268" s="5">
        <v>4825000</v>
      </c>
      <c r="E268" s="3">
        <v>59314451</v>
      </c>
      <c r="F268" s="3" t="s">
        <v>495</v>
      </c>
      <c r="G268" t="s">
        <v>763</v>
      </c>
      <c r="I268" t="e">
        <f>VLOOKUP(C268,[1]Hoja1!$A$2:$N$29,1,0)</f>
        <v>#N/A</v>
      </c>
    </row>
    <row r="269" spans="1:9" hidden="1" x14ac:dyDescent="0.3">
      <c r="A269" s="2">
        <v>45629</v>
      </c>
      <c r="B269" s="3">
        <v>2024002777</v>
      </c>
      <c r="C269" s="3" t="s">
        <v>496</v>
      </c>
      <c r="D269" s="5">
        <v>3000000</v>
      </c>
      <c r="E269" s="3">
        <v>87070661</v>
      </c>
      <c r="F269" s="3" t="s">
        <v>497</v>
      </c>
      <c r="G269" t="s">
        <v>763</v>
      </c>
      <c r="I269" t="e">
        <f>VLOOKUP(C269,[1]Hoja1!$A$2:$N$29,1,0)</f>
        <v>#N/A</v>
      </c>
    </row>
    <row r="270" spans="1:9" hidden="1" x14ac:dyDescent="0.3">
      <c r="A270" s="2">
        <v>45629</v>
      </c>
      <c r="B270" s="3">
        <v>2024002778</v>
      </c>
      <c r="C270" s="3" t="s">
        <v>498</v>
      </c>
      <c r="D270" s="5">
        <v>3000000</v>
      </c>
      <c r="E270" s="3">
        <v>1085338575</v>
      </c>
      <c r="F270" s="3" t="s">
        <v>499</v>
      </c>
      <c r="G270" t="s">
        <v>763</v>
      </c>
      <c r="I270" t="e">
        <f>VLOOKUP(C270,[1]Hoja1!$A$2:$N$29,1,0)</f>
        <v>#N/A</v>
      </c>
    </row>
    <row r="271" spans="1:9" hidden="1" x14ac:dyDescent="0.3">
      <c r="A271" s="2">
        <v>45629</v>
      </c>
      <c r="B271" s="3">
        <v>2024002779</v>
      </c>
      <c r="C271" s="3" t="s">
        <v>500</v>
      </c>
      <c r="D271" s="5">
        <v>2500000</v>
      </c>
      <c r="E271" s="3">
        <v>30737741</v>
      </c>
      <c r="F271" s="3" t="s">
        <v>501</v>
      </c>
      <c r="G271" t="s">
        <v>763</v>
      </c>
      <c r="I271" t="e">
        <f>VLOOKUP(C271,[1]Hoja1!$A$2:$N$29,1,0)</f>
        <v>#N/A</v>
      </c>
    </row>
    <row r="272" spans="1:9" hidden="1" x14ac:dyDescent="0.3">
      <c r="A272" s="2">
        <v>45629</v>
      </c>
      <c r="B272" s="3">
        <v>2024002780</v>
      </c>
      <c r="C272" s="3" t="s">
        <v>502</v>
      </c>
      <c r="D272" s="5">
        <v>3000000</v>
      </c>
      <c r="E272" s="3">
        <v>1085323101</v>
      </c>
      <c r="F272" s="3" t="s">
        <v>503</v>
      </c>
      <c r="G272" t="s">
        <v>763</v>
      </c>
      <c r="I272" t="e">
        <f>VLOOKUP(C272,[1]Hoja1!$A$2:$N$29,1,0)</f>
        <v>#N/A</v>
      </c>
    </row>
    <row r="273" spans="1:9" hidden="1" x14ac:dyDescent="0.3">
      <c r="A273" s="2">
        <v>45629</v>
      </c>
      <c r="B273" s="3">
        <v>2024002781</v>
      </c>
      <c r="C273" s="3" t="s">
        <v>504</v>
      </c>
      <c r="D273" s="5">
        <v>4750000</v>
      </c>
      <c r="E273" s="3">
        <v>1085318684</v>
      </c>
      <c r="F273" s="3" t="s">
        <v>505</v>
      </c>
      <c r="G273" t="s">
        <v>763</v>
      </c>
      <c r="I273" t="e">
        <f>VLOOKUP(C273,[1]Hoja1!$A$2:$N$29,1,0)</f>
        <v>#N/A</v>
      </c>
    </row>
    <row r="274" spans="1:9" hidden="1" x14ac:dyDescent="0.3">
      <c r="A274" s="2">
        <v>45629</v>
      </c>
      <c r="B274" s="3">
        <v>2024002782</v>
      </c>
      <c r="C274" s="3" t="s">
        <v>506</v>
      </c>
      <c r="D274" s="5">
        <v>3000000</v>
      </c>
      <c r="E274" s="3">
        <v>5930737</v>
      </c>
      <c r="F274" s="3" t="s">
        <v>507</v>
      </c>
      <c r="G274" t="s">
        <v>763</v>
      </c>
      <c r="I274" t="e">
        <f>VLOOKUP(C274,[1]Hoja1!$A$2:$N$29,1,0)</f>
        <v>#N/A</v>
      </c>
    </row>
    <row r="275" spans="1:9" hidden="1" x14ac:dyDescent="0.3">
      <c r="A275" s="2">
        <v>45629</v>
      </c>
      <c r="B275" s="3">
        <v>2024002783</v>
      </c>
      <c r="C275" s="3" t="s">
        <v>508</v>
      </c>
      <c r="D275" s="5">
        <v>3000000</v>
      </c>
      <c r="E275" s="3">
        <v>37083086</v>
      </c>
      <c r="F275" s="3" t="s">
        <v>509</v>
      </c>
      <c r="G275" t="s">
        <v>763</v>
      </c>
      <c r="I275" t="e">
        <f>VLOOKUP(C275,[1]Hoja1!$A$2:$N$29,1,0)</f>
        <v>#N/A</v>
      </c>
    </row>
    <row r="276" spans="1:9" hidden="1" x14ac:dyDescent="0.3">
      <c r="A276" s="2">
        <v>45629</v>
      </c>
      <c r="B276" s="3">
        <v>2024002784</v>
      </c>
      <c r="C276" s="3" t="s">
        <v>510</v>
      </c>
      <c r="D276" s="5">
        <v>3000000</v>
      </c>
      <c r="E276" s="3">
        <v>1084224968</v>
      </c>
      <c r="F276" s="3" t="s">
        <v>511</v>
      </c>
      <c r="G276" t="s">
        <v>763</v>
      </c>
      <c r="I276" t="e">
        <f>VLOOKUP(C276,[1]Hoja1!$A$2:$N$29,1,0)</f>
        <v>#N/A</v>
      </c>
    </row>
    <row r="277" spans="1:9" hidden="1" x14ac:dyDescent="0.3">
      <c r="A277" s="2">
        <v>45629</v>
      </c>
      <c r="B277" s="3">
        <v>2024002785</v>
      </c>
      <c r="C277" s="3" t="s">
        <v>512</v>
      </c>
      <c r="D277" s="5">
        <v>3000000</v>
      </c>
      <c r="E277" s="3">
        <v>1004234290</v>
      </c>
      <c r="F277" s="3" t="s">
        <v>513</v>
      </c>
      <c r="G277" t="s">
        <v>763</v>
      </c>
      <c r="I277" t="e">
        <f>VLOOKUP(C277,[1]Hoja1!$A$2:$N$29,1,0)</f>
        <v>#N/A</v>
      </c>
    </row>
    <row r="278" spans="1:9" hidden="1" x14ac:dyDescent="0.3">
      <c r="A278" s="2">
        <v>45629</v>
      </c>
      <c r="B278" s="3">
        <v>2024002786</v>
      </c>
      <c r="C278" s="3" t="s">
        <v>514</v>
      </c>
      <c r="D278" s="5">
        <v>3770000</v>
      </c>
      <c r="E278" s="3">
        <v>1233193882</v>
      </c>
      <c r="F278" s="3" t="s">
        <v>515</v>
      </c>
      <c r="G278" t="s">
        <v>763</v>
      </c>
      <c r="I278" t="e">
        <f>VLOOKUP(C278,[1]Hoja1!$A$2:$N$29,1,0)</f>
        <v>#N/A</v>
      </c>
    </row>
    <row r="279" spans="1:9" hidden="1" x14ac:dyDescent="0.3">
      <c r="A279" s="2">
        <v>45629</v>
      </c>
      <c r="B279" s="3">
        <v>2024002787</v>
      </c>
      <c r="C279" s="3" t="s">
        <v>516</v>
      </c>
      <c r="D279" s="5">
        <v>3000000</v>
      </c>
      <c r="E279" s="3">
        <v>1085277516</v>
      </c>
      <c r="F279" s="3" t="s">
        <v>517</v>
      </c>
      <c r="G279" t="s">
        <v>763</v>
      </c>
      <c r="I279" t="e">
        <f>VLOOKUP(C279,[1]Hoja1!$A$2:$N$29,1,0)</f>
        <v>#N/A</v>
      </c>
    </row>
    <row r="280" spans="1:9" hidden="1" x14ac:dyDescent="0.3">
      <c r="A280" s="2">
        <v>45629</v>
      </c>
      <c r="B280" s="3">
        <v>2024002788</v>
      </c>
      <c r="C280" s="3" t="s">
        <v>518</v>
      </c>
      <c r="D280" s="5">
        <v>3000000</v>
      </c>
      <c r="E280" s="3">
        <v>13070330</v>
      </c>
      <c r="F280" s="3" t="s">
        <v>519</v>
      </c>
      <c r="G280" t="s">
        <v>763</v>
      </c>
      <c r="I280" t="e">
        <f>VLOOKUP(C280,[1]Hoja1!$A$2:$N$29,1,0)</f>
        <v>#N/A</v>
      </c>
    </row>
    <row r="281" spans="1:9" hidden="1" x14ac:dyDescent="0.3">
      <c r="A281" s="2">
        <v>45629</v>
      </c>
      <c r="B281" s="3">
        <v>2024002789</v>
      </c>
      <c r="C281" s="3" t="s">
        <v>520</v>
      </c>
      <c r="D281" s="5">
        <v>6000000</v>
      </c>
      <c r="E281" s="3">
        <v>97470681</v>
      </c>
      <c r="F281" s="3" t="s">
        <v>521</v>
      </c>
      <c r="G281" t="s">
        <v>763</v>
      </c>
      <c r="I281" t="e">
        <f>VLOOKUP(C281,[1]Hoja1!$A$2:$N$29,1,0)</f>
        <v>#N/A</v>
      </c>
    </row>
    <row r="282" spans="1:9" hidden="1" x14ac:dyDescent="0.3">
      <c r="A282" s="2">
        <v>45629</v>
      </c>
      <c r="B282" s="3">
        <v>2024002790</v>
      </c>
      <c r="C282" s="3" t="s">
        <v>522</v>
      </c>
      <c r="D282" s="5">
        <v>6000000</v>
      </c>
      <c r="E282" s="3">
        <v>1085272491</v>
      </c>
      <c r="F282" s="3" t="s">
        <v>523</v>
      </c>
      <c r="G282" t="s">
        <v>763</v>
      </c>
      <c r="I282" t="e">
        <f>VLOOKUP(C282,[1]Hoja1!$A$2:$N$29,1,0)</f>
        <v>#N/A</v>
      </c>
    </row>
    <row r="283" spans="1:9" hidden="1" x14ac:dyDescent="0.3">
      <c r="A283" s="2">
        <v>45630</v>
      </c>
      <c r="B283" s="3">
        <v>2024002795</v>
      </c>
      <c r="C283" s="3" t="s">
        <v>524</v>
      </c>
      <c r="D283" s="5">
        <v>4825000</v>
      </c>
      <c r="E283" s="3">
        <v>59310622</v>
      </c>
      <c r="F283" s="3" t="s">
        <v>525</v>
      </c>
      <c r="G283" t="s">
        <v>763</v>
      </c>
      <c r="I283" t="e">
        <f>VLOOKUP(C283,[1]Hoja1!$A$2:$N$29,1,0)</f>
        <v>#N/A</v>
      </c>
    </row>
    <row r="284" spans="1:9" hidden="1" x14ac:dyDescent="0.3">
      <c r="A284" s="2">
        <v>45630</v>
      </c>
      <c r="B284" s="3">
        <v>2024002796</v>
      </c>
      <c r="C284" s="3" t="s">
        <v>526</v>
      </c>
      <c r="D284" s="5">
        <v>4750000</v>
      </c>
      <c r="E284" s="3">
        <v>1085325342</v>
      </c>
      <c r="F284" s="3" t="s">
        <v>527</v>
      </c>
      <c r="G284" t="s">
        <v>763</v>
      </c>
      <c r="I284" t="e">
        <f>VLOOKUP(C284,[1]Hoja1!$A$2:$N$29,1,0)</f>
        <v>#N/A</v>
      </c>
    </row>
    <row r="285" spans="1:9" hidden="1" x14ac:dyDescent="0.3">
      <c r="A285" s="2">
        <v>45630</v>
      </c>
      <c r="B285" s="3">
        <v>2024002797</v>
      </c>
      <c r="C285" s="3" t="s">
        <v>528</v>
      </c>
      <c r="D285" s="5">
        <v>4750000</v>
      </c>
      <c r="E285" s="3">
        <v>36950073</v>
      </c>
      <c r="F285" s="3" t="s">
        <v>529</v>
      </c>
      <c r="G285" t="s">
        <v>763</v>
      </c>
      <c r="I285" t="e">
        <f>VLOOKUP(C285,[1]Hoja1!$A$2:$N$29,1,0)</f>
        <v>#N/A</v>
      </c>
    </row>
    <row r="286" spans="1:9" hidden="1" x14ac:dyDescent="0.3">
      <c r="A286" s="2">
        <v>45630</v>
      </c>
      <c r="B286" s="3">
        <v>2024002798</v>
      </c>
      <c r="C286" s="3" t="s">
        <v>530</v>
      </c>
      <c r="D286" s="5">
        <v>1500000</v>
      </c>
      <c r="E286" s="3">
        <v>1004235479</v>
      </c>
      <c r="F286" s="3" t="s">
        <v>531</v>
      </c>
      <c r="G286" t="s">
        <v>763</v>
      </c>
      <c r="I286" t="e">
        <f>VLOOKUP(C286,[1]Hoja1!$A$2:$N$29,1,0)</f>
        <v>#N/A</v>
      </c>
    </row>
    <row r="287" spans="1:9" hidden="1" x14ac:dyDescent="0.3">
      <c r="A287" s="2">
        <v>45630</v>
      </c>
      <c r="B287" s="3">
        <v>2024002799</v>
      </c>
      <c r="C287" s="3" t="s">
        <v>532</v>
      </c>
      <c r="D287" s="5">
        <v>3000000</v>
      </c>
      <c r="E287" s="3">
        <v>1080043348</v>
      </c>
      <c r="F287" s="3" t="s">
        <v>533</v>
      </c>
      <c r="G287" t="s">
        <v>763</v>
      </c>
      <c r="I287" t="e">
        <f>VLOOKUP(C287,[1]Hoja1!$A$2:$N$29,1,0)</f>
        <v>#N/A</v>
      </c>
    </row>
    <row r="288" spans="1:9" hidden="1" x14ac:dyDescent="0.3">
      <c r="A288" s="2">
        <v>45630</v>
      </c>
      <c r="B288" s="3">
        <v>2024002800</v>
      </c>
      <c r="C288" s="3" t="s">
        <v>534</v>
      </c>
      <c r="D288" s="5">
        <v>3000000</v>
      </c>
      <c r="E288" s="3">
        <v>1193224810</v>
      </c>
      <c r="F288" s="3" t="s">
        <v>535</v>
      </c>
      <c r="G288" t="s">
        <v>763</v>
      </c>
      <c r="I288" t="e">
        <f>VLOOKUP(C288,[1]Hoja1!$A$2:$N$29,1,0)</f>
        <v>#N/A</v>
      </c>
    </row>
    <row r="289" spans="1:9" hidden="1" x14ac:dyDescent="0.3">
      <c r="A289" s="2">
        <v>45630</v>
      </c>
      <c r="B289" s="3">
        <v>2024002801</v>
      </c>
      <c r="C289" s="3" t="s">
        <v>536</v>
      </c>
      <c r="D289" s="5">
        <v>3000000</v>
      </c>
      <c r="E289" s="3">
        <v>1085302942</v>
      </c>
      <c r="F289" s="3" t="s">
        <v>537</v>
      </c>
      <c r="G289" t="s">
        <v>763</v>
      </c>
      <c r="I289" t="e">
        <f>VLOOKUP(C289,[1]Hoja1!$A$2:$N$29,1,0)</f>
        <v>#N/A</v>
      </c>
    </row>
    <row r="290" spans="1:9" hidden="1" x14ac:dyDescent="0.3">
      <c r="A290" s="2">
        <v>45630</v>
      </c>
      <c r="B290" s="3">
        <v>2024002802</v>
      </c>
      <c r="C290" s="3" t="s">
        <v>538</v>
      </c>
      <c r="D290" s="5">
        <v>1500000</v>
      </c>
      <c r="E290" s="3">
        <v>1004216993</v>
      </c>
      <c r="F290" s="3" t="s">
        <v>539</v>
      </c>
      <c r="G290" t="s">
        <v>763</v>
      </c>
      <c r="I290" t="e">
        <f>VLOOKUP(C290,[1]Hoja1!$A$2:$N$29,1,0)</f>
        <v>#N/A</v>
      </c>
    </row>
    <row r="291" spans="1:9" hidden="1" x14ac:dyDescent="0.3">
      <c r="A291" s="2">
        <v>45630</v>
      </c>
      <c r="B291" s="3">
        <v>2024002803</v>
      </c>
      <c r="C291" s="3" t="s">
        <v>540</v>
      </c>
      <c r="D291" s="5">
        <v>3000000</v>
      </c>
      <c r="E291" s="3">
        <v>1004131723</v>
      </c>
      <c r="F291" s="3" t="s">
        <v>541</v>
      </c>
      <c r="G291" t="s">
        <v>763</v>
      </c>
      <c r="I291" t="e">
        <f>VLOOKUP(C291,[1]Hoja1!$A$2:$N$29,1,0)</f>
        <v>#N/A</v>
      </c>
    </row>
    <row r="292" spans="1:9" hidden="1" x14ac:dyDescent="0.3">
      <c r="A292" s="2">
        <v>45630</v>
      </c>
      <c r="B292" s="3">
        <v>2024002804</v>
      </c>
      <c r="C292" s="3" t="s">
        <v>542</v>
      </c>
      <c r="D292" s="5">
        <v>7540000</v>
      </c>
      <c r="E292" s="3">
        <v>1085312978</v>
      </c>
      <c r="F292" s="3" t="s">
        <v>543</v>
      </c>
      <c r="G292" t="s">
        <v>763</v>
      </c>
      <c r="I292" t="e">
        <f>VLOOKUP(C292,[1]Hoja1!$A$2:$N$29,1,0)</f>
        <v>#N/A</v>
      </c>
    </row>
    <row r="293" spans="1:9" hidden="1" x14ac:dyDescent="0.3">
      <c r="A293" s="2">
        <v>45630</v>
      </c>
      <c r="B293" s="3">
        <v>2024002805</v>
      </c>
      <c r="C293" s="3" t="s">
        <v>544</v>
      </c>
      <c r="D293" s="5">
        <v>2500000</v>
      </c>
      <c r="E293" s="3">
        <v>13072447</v>
      </c>
      <c r="F293" s="3" t="s">
        <v>545</v>
      </c>
      <c r="G293" t="s">
        <v>763</v>
      </c>
      <c r="I293" t="e">
        <f>VLOOKUP(C293,[1]Hoja1!$A$2:$N$29,1,0)</f>
        <v>#N/A</v>
      </c>
    </row>
    <row r="294" spans="1:9" hidden="1" x14ac:dyDescent="0.3">
      <c r="A294" s="2">
        <v>45630</v>
      </c>
      <c r="B294" s="3">
        <v>2024002806</v>
      </c>
      <c r="C294" s="3" t="s">
        <v>546</v>
      </c>
      <c r="D294" s="5">
        <v>2500000</v>
      </c>
      <c r="E294" s="3">
        <v>1085338135</v>
      </c>
      <c r="F294" s="3" t="s">
        <v>547</v>
      </c>
      <c r="G294" t="s">
        <v>763</v>
      </c>
      <c r="I294" t="e">
        <f>VLOOKUP(C294,[1]Hoja1!$A$2:$N$29,1,0)</f>
        <v>#N/A</v>
      </c>
    </row>
    <row r="295" spans="1:9" hidden="1" x14ac:dyDescent="0.3">
      <c r="A295" s="2">
        <v>45630</v>
      </c>
      <c r="B295" s="3">
        <v>2024002807</v>
      </c>
      <c r="C295" s="3" t="s">
        <v>548</v>
      </c>
      <c r="D295" s="5">
        <v>4750000</v>
      </c>
      <c r="E295" s="3">
        <v>36953206</v>
      </c>
      <c r="F295" s="3" t="s">
        <v>549</v>
      </c>
      <c r="G295" t="s">
        <v>763</v>
      </c>
      <c r="I295" t="e">
        <f>VLOOKUP(C295,[1]Hoja1!$A$2:$N$29,1,0)</f>
        <v>#N/A</v>
      </c>
    </row>
    <row r="296" spans="1:9" hidden="1" x14ac:dyDescent="0.3">
      <c r="A296" s="2">
        <v>45630</v>
      </c>
      <c r="B296" s="3">
        <v>2024002810</v>
      </c>
      <c r="C296" s="3" t="s">
        <v>64</v>
      </c>
      <c r="D296" s="5">
        <v>6000000</v>
      </c>
      <c r="E296" s="3">
        <v>1085275879</v>
      </c>
      <c r="F296" s="3" t="s">
        <v>65</v>
      </c>
      <c r="G296" t="s">
        <v>763</v>
      </c>
      <c r="I296" t="e">
        <f>VLOOKUP(C296,[1]Hoja1!$A$2:$N$29,1,0)</f>
        <v>#N/A</v>
      </c>
    </row>
    <row r="297" spans="1:9" hidden="1" x14ac:dyDescent="0.3">
      <c r="A297" s="2">
        <v>45631</v>
      </c>
      <c r="B297" s="3">
        <v>2024002815</v>
      </c>
      <c r="C297" s="3" t="s">
        <v>550</v>
      </c>
      <c r="D297" s="5">
        <v>4750000</v>
      </c>
      <c r="E297" s="3">
        <v>1018492767</v>
      </c>
      <c r="F297" s="3" t="s">
        <v>551</v>
      </c>
      <c r="G297" t="s">
        <v>763</v>
      </c>
      <c r="I297" t="e">
        <f>VLOOKUP(C297,[1]Hoja1!$A$2:$N$29,1,0)</f>
        <v>#N/A</v>
      </c>
    </row>
    <row r="298" spans="1:9" hidden="1" x14ac:dyDescent="0.3">
      <c r="A298" s="2">
        <v>45631</v>
      </c>
      <c r="B298" s="3">
        <v>2024002821</v>
      </c>
      <c r="C298" s="3" t="s">
        <v>552</v>
      </c>
      <c r="D298" s="5">
        <v>3000000</v>
      </c>
      <c r="E298" s="3">
        <v>30743783</v>
      </c>
      <c r="F298" s="3" t="s">
        <v>553</v>
      </c>
      <c r="G298" t="s">
        <v>763</v>
      </c>
      <c r="I298" t="e">
        <f>VLOOKUP(C298,[1]Hoja1!$A$2:$N$29,1,0)</f>
        <v>#N/A</v>
      </c>
    </row>
    <row r="299" spans="1:9" hidden="1" x14ac:dyDescent="0.3">
      <c r="A299" s="2">
        <v>45631</v>
      </c>
      <c r="B299" s="3">
        <v>2024002822</v>
      </c>
      <c r="C299" s="3" t="s">
        <v>554</v>
      </c>
      <c r="D299" s="5">
        <v>7540000</v>
      </c>
      <c r="E299" s="3">
        <v>87940284</v>
      </c>
      <c r="F299" s="3" t="s">
        <v>555</v>
      </c>
      <c r="G299" t="s">
        <v>763</v>
      </c>
      <c r="I299" t="e">
        <f>VLOOKUP(C299,[1]Hoja1!$A$2:$N$29,1,0)</f>
        <v>#N/A</v>
      </c>
    </row>
    <row r="300" spans="1:9" hidden="1" x14ac:dyDescent="0.3">
      <c r="A300" s="2">
        <v>45631</v>
      </c>
      <c r="B300" s="3">
        <v>2024002823</v>
      </c>
      <c r="C300" s="3" t="s">
        <v>556</v>
      </c>
      <c r="D300" s="5">
        <v>3000000</v>
      </c>
      <c r="E300" s="3">
        <v>1085260568</v>
      </c>
      <c r="F300" s="3" t="s">
        <v>557</v>
      </c>
      <c r="G300" t="s">
        <v>763</v>
      </c>
      <c r="I300" t="e">
        <f>VLOOKUP(C300,[1]Hoja1!$A$2:$N$29,1,0)</f>
        <v>#N/A</v>
      </c>
    </row>
    <row r="301" spans="1:9" hidden="1" x14ac:dyDescent="0.3">
      <c r="A301" s="2">
        <v>45631</v>
      </c>
      <c r="B301" s="3">
        <v>2024002824</v>
      </c>
      <c r="C301" s="3" t="s">
        <v>558</v>
      </c>
      <c r="D301" s="5">
        <v>7540000</v>
      </c>
      <c r="E301" s="3">
        <v>1085300619</v>
      </c>
      <c r="F301" s="3" t="s">
        <v>559</v>
      </c>
      <c r="G301" t="s">
        <v>763</v>
      </c>
      <c r="I301" t="e">
        <f>VLOOKUP(C301,[1]Hoja1!$A$2:$N$29,1,0)</f>
        <v>#N/A</v>
      </c>
    </row>
    <row r="302" spans="1:9" hidden="1" x14ac:dyDescent="0.3">
      <c r="A302" s="2">
        <v>45631</v>
      </c>
      <c r="B302" s="3">
        <v>2024002825</v>
      </c>
      <c r="C302" s="3" t="s">
        <v>560</v>
      </c>
      <c r="D302" s="5">
        <v>3000000</v>
      </c>
      <c r="E302" s="3">
        <v>1193218691</v>
      </c>
      <c r="F302" s="3" t="s">
        <v>561</v>
      </c>
      <c r="G302" t="s">
        <v>763</v>
      </c>
      <c r="I302" t="e">
        <f>VLOOKUP(C302,[1]Hoja1!$A$2:$N$29,1,0)</f>
        <v>#N/A</v>
      </c>
    </row>
    <row r="303" spans="1:9" hidden="1" x14ac:dyDescent="0.3">
      <c r="A303" s="2">
        <v>45631</v>
      </c>
      <c r="B303" s="3">
        <v>2024002826</v>
      </c>
      <c r="C303" s="3" t="s">
        <v>562</v>
      </c>
      <c r="D303" s="5">
        <v>3000000</v>
      </c>
      <c r="E303" s="3">
        <v>1085310350</v>
      </c>
      <c r="F303" s="3" t="s">
        <v>563</v>
      </c>
      <c r="G303" t="s">
        <v>763</v>
      </c>
      <c r="I303" t="e">
        <f>VLOOKUP(C303,[1]Hoja1!$A$2:$N$29,1,0)</f>
        <v>#N/A</v>
      </c>
    </row>
    <row r="304" spans="1:9" hidden="1" x14ac:dyDescent="0.3">
      <c r="A304" s="2">
        <v>45631</v>
      </c>
      <c r="B304" s="3">
        <v>2024002827</v>
      </c>
      <c r="C304" s="3" t="s">
        <v>564</v>
      </c>
      <c r="D304" s="5">
        <v>2412500</v>
      </c>
      <c r="E304" s="3">
        <v>1004508471</v>
      </c>
      <c r="F304" s="3" t="s">
        <v>565</v>
      </c>
      <c r="G304" t="s">
        <v>763</v>
      </c>
      <c r="I304" t="e">
        <f>VLOOKUP(C304,[1]Hoja1!$A$2:$N$29,1,0)</f>
        <v>#N/A</v>
      </c>
    </row>
    <row r="305" spans="1:9" hidden="1" x14ac:dyDescent="0.3">
      <c r="A305" s="2">
        <v>45631</v>
      </c>
      <c r="B305" s="3">
        <v>2024002828</v>
      </c>
      <c r="C305" s="3" t="s">
        <v>566</v>
      </c>
      <c r="D305" s="5">
        <v>4750000</v>
      </c>
      <c r="E305" s="3">
        <v>1086332188</v>
      </c>
      <c r="F305" s="3" t="s">
        <v>567</v>
      </c>
      <c r="G305" t="s">
        <v>763</v>
      </c>
      <c r="I305" t="e">
        <f>VLOOKUP(C305,[1]Hoja1!$A$2:$N$29,1,0)</f>
        <v>#N/A</v>
      </c>
    </row>
    <row r="306" spans="1:9" hidden="1" x14ac:dyDescent="0.3">
      <c r="A306" s="2">
        <v>45631</v>
      </c>
      <c r="B306" s="3">
        <v>2024002831</v>
      </c>
      <c r="C306" s="3" t="s">
        <v>568</v>
      </c>
      <c r="D306" s="5">
        <v>7540000</v>
      </c>
      <c r="E306" s="3">
        <v>87065647</v>
      </c>
      <c r="F306" s="3" t="s">
        <v>569</v>
      </c>
      <c r="G306" t="s">
        <v>763</v>
      </c>
      <c r="I306" t="e">
        <f>VLOOKUP(C306,[1]Hoja1!$A$2:$N$29,1,0)</f>
        <v>#N/A</v>
      </c>
    </row>
    <row r="307" spans="1:9" hidden="1" x14ac:dyDescent="0.3">
      <c r="A307" s="2">
        <v>45631</v>
      </c>
      <c r="B307" s="3">
        <v>2024002832</v>
      </c>
      <c r="C307" s="3" t="s">
        <v>375</v>
      </c>
      <c r="D307" s="5">
        <v>3000000</v>
      </c>
      <c r="E307" s="3">
        <v>1089243630</v>
      </c>
      <c r="F307" s="3" t="s">
        <v>376</v>
      </c>
      <c r="G307" t="s">
        <v>763</v>
      </c>
      <c r="I307" t="e">
        <f>VLOOKUP(C307,[1]Hoja1!$A$2:$N$29,1,0)</f>
        <v>#N/A</v>
      </c>
    </row>
    <row r="308" spans="1:9" hidden="1" x14ac:dyDescent="0.3">
      <c r="A308" s="2">
        <v>45631</v>
      </c>
      <c r="B308" s="3">
        <v>2024002833</v>
      </c>
      <c r="C308" s="3" t="s">
        <v>570</v>
      </c>
      <c r="D308" s="5">
        <v>3000000</v>
      </c>
      <c r="E308" s="3">
        <v>1085322676</v>
      </c>
      <c r="F308" s="3" t="s">
        <v>571</v>
      </c>
      <c r="G308" t="s">
        <v>763</v>
      </c>
      <c r="I308" t="e">
        <f>VLOOKUP(C308,[1]Hoja1!$A$2:$N$29,1,0)</f>
        <v>#N/A</v>
      </c>
    </row>
    <row r="309" spans="1:9" hidden="1" x14ac:dyDescent="0.3">
      <c r="A309" s="2">
        <v>45631</v>
      </c>
      <c r="B309" s="3">
        <v>2024002834</v>
      </c>
      <c r="C309" s="3" t="s">
        <v>572</v>
      </c>
      <c r="D309" s="5">
        <v>7540000</v>
      </c>
      <c r="E309" s="3">
        <v>1085296958</v>
      </c>
      <c r="F309" s="3" t="s">
        <v>573</v>
      </c>
      <c r="G309" t="s">
        <v>763</v>
      </c>
      <c r="I309" t="e">
        <f>VLOOKUP(C309,[1]Hoja1!$A$2:$N$29,1,0)</f>
        <v>#N/A</v>
      </c>
    </row>
    <row r="310" spans="1:9" hidden="1" x14ac:dyDescent="0.3">
      <c r="A310" s="2">
        <v>45632</v>
      </c>
      <c r="B310" s="3">
        <v>2024002915</v>
      </c>
      <c r="C310" s="3" t="s">
        <v>110</v>
      </c>
      <c r="D310" s="5">
        <v>3000000</v>
      </c>
      <c r="E310" s="3">
        <v>36757522</v>
      </c>
      <c r="F310" s="3" t="s">
        <v>111</v>
      </c>
      <c r="G310" t="s">
        <v>763</v>
      </c>
      <c r="I310" t="e">
        <f>VLOOKUP(C310,[1]Hoja1!$A$2:$N$29,1,0)</f>
        <v>#N/A</v>
      </c>
    </row>
    <row r="311" spans="1:9" hidden="1" x14ac:dyDescent="0.3">
      <c r="A311" s="2">
        <v>45632</v>
      </c>
      <c r="B311" s="3">
        <v>2024002916</v>
      </c>
      <c r="C311" s="3" t="s">
        <v>574</v>
      </c>
      <c r="D311" s="5">
        <v>3000000</v>
      </c>
      <c r="E311" s="3">
        <v>1085325718</v>
      </c>
      <c r="F311" s="3" t="s">
        <v>575</v>
      </c>
      <c r="G311" t="s">
        <v>763</v>
      </c>
      <c r="I311" t="e">
        <f>VLOOKUP(C311,[1]Hoja1!$A$2:$N$29,1,0)</f>
        <v>#N/A</v>
      </c>
    </row>
    <row r="312" spans="1:9" hidden="1" x14ac:dyDescent="0.3">
      <c r="A312" s="2">
        <v>45632</v>
      </c>
      <c r="B312" s="3">
        <v>2024002917</v>
      </c>
      <c r="C312" s="3" t="s">
        <v>576</v>
      </c>
      <c r="D312" s="5">
        <v>4825000</v>
      </c>
      <c r="E312" s="3">
        <v>27087851</v>
      </c>
      <c r="F312" s="3" t="s">
        <v>577</v>
      </c>
      <c r="G312" t="s">
        <v>763</v>
      </c>
      <c r="I312" t="e">
        <f>VLOOKUP(C312,[1]Hoja1!$A$2:$N$29,1,0)</f>
        <v>#N/A</v>
      </c>
    </row>
    <row r="313" spans="1:9" hidden="1" x14ac:dyDescent="0.3">
      <c r="A313" s="2">
        <v>45632</v>
      </c>
      <c r="B313" s="3">
        <v>2024002919</v>
      </c>
      <c r="C313" s="3" t="s">
        <v>578</v>
      </c>
      <c r="D313" s="5">
        <v>3000000</v>
      </c>
      <c r="E313" s="3">
        <v>59828916</v>
      </c>
      <c r="F313" s="3" t="s">
        <v>579</v>
      </c>
      <c r="G313" t="s">
        <v>763</v>
      </c>
      <c r="I313" t="e">
        <f>VLOOKUP(C313,[1]Hoja1!$A$2:$N$29,1,0)</f>
        <v>#N/A</v>
      </c>
    </row>
    <row r="314" spans="1:9" hidden="1" x14ac:dyDescent="0.3">
      <c r="A314" s="2">
        <v>45632</v>
      </c>
      <c r="B314" s="3">
        <v>2024002920</v>
      </c>
      <c r="C314" s="3" t="s">
        <v>580</v>
      </c>
      <c r="D314" s="5">
        <v>7540000</v>
      </c>
      <c r="E314" s="3">
        <v>79800150</v>
      </c>
      <c r="F314" s="3" t="s">
        <v>581</v>
      </c>
      <c r="G314" t="s">
        <v>763</v>
      </c>
      <c r="I314" t="e">
        <f>VLOOKUP(C314,[1]Hoja1!$A$2:$N$29,1,0)</f>
        <v>#N/A</v>
      </c>
    </row>
    <row r="315" spans="1:9" hidden="1" x14ac:dyDescent="0.3">
      <c r="A315" s="2">
        <v>45632</v>
      </c>
      <c r="B315" s="3">
        <v>2024002921</v>
      </c>
      <c r="C315" s="3" t="s">
        <v>582</v>
      </c>
      <c r="D315" s="5">
        <v>2090400</v>
      </c>
      <c r="E315" s="3">
        <v>52048780</v>
      </c>
      <c r="F315" s="3" t="s">
        <v>583</v>
      </c>
      <c r="G315" t="s">
        <v>763</v>
      </c>
      <c r="I315" t="e">
        <f>VLOOKUP(C315,[1]Hoja1!$A$2:$N$29,1,0)</f>
        <v>#N/A</v>
      </c>
    </row>
    <row r="316" spans="1:9" hidden="1" x14ac:dyDescent="0.3">
      <c r="A316" s="2">
        <v>45632</v>
      </c>
      <c r="B316" s="3">
        <v>2024002922</v>
      </c>
      <c r="C316" s="3" t="s">
        <v>290</v>
      </c>
      <c r="D316" s="5">
        <v>7540000</v>
      </c>
      <c r="E316" s="3">
        <v>7603662</v>
      </c>
      <c r="F316" s="3" t="s">
        <v>291</v>
      </c>
      <c r="G316" t="s">
        <v>763</v>
      </c>
      <c r="I316" t="e">
        <f>VLOOKUP(C316,[1]Hoja1!$A$2:$N$29,1,0)</f>
        <v>#N/A</v>
      </c>
    </row>
    <row r="317" spans="1:9" hidden="1" x14ac:dyDescent="0.3">
      <c r="A317" s="2">
        <v>45632</v>
      </c>
      <c r="B317" s="3">
        <v>2024002923</v>
      </c>
      <c r="C317" s="3" t="s">
        <v>204</v>
      </c>
      <c r="D317" s="5">
        <v>4825000</v>
      </c>
      <c r="E317" s="3">
        <v>59310145</v>
      </c>
      <c r="F317" s="3" t="s">
        <v>205</v>
      </c>
      <c r="G317" t="s">
        <v>763</v>
      </c>
      <c r="I317" t="e">
        <f>VLOOKUP(C317,[1]Hoja1!$A$2:$N$29,1,0)</f>
        <v>#N/A</v>
      </c>
    </row>
    <row r="318" spans="1:9" hidden="1" x14ac:dyDescent="0.3">
      <c r="A318" s="2">
        <v>45632</v>
      </c>
      <c r="B318" s="3">
        <v>2024002924</v>
      </c>
      <c r="C318" s="3" t="s">
        <v>472</v>
      </c>
      <c r="D318" s="5">
        <v>3000000</v>
      </c>
      <c r="E318" s="3">
        <v>1085300095</v>
      </c>
      <c r="F318" s="3" t="s">
        <v>473</v>
      </c>
      <c r="G318" t="s">
        <v>763</v>
      </c>
      <c r="I318" t="e">
        <f>VLOOKUP(C318,[1]Hoja1!$A$2:$N$29,1,0)</f>
        <v>#N/A</v>
      </c>
    </row>
    <row r="319" spans="1:9" hidden="1" x14ac:dyDescent="0.3">
      <c r="A319" s="2">
        <v>45632</v>
      </c>
      <c r="B319" s="3">
        <v>2024002925</v>
      </c>
      <c r="C319" s="3" t="s">
        <v>228</v>
      </c>
      <c r="D319" s="5">
        <v>3000000</v>
      </c>
      <c r="E319" s="3">
        <v>37084285</v>
      </c>
      <c r="F319" s="3" t="s">
        <v>229</v>
      </c>
      <c r="G319" t="s">
        <v>763</v>
      </c>
      <c r="I319" t="e">
        <f>VLOOKUP(C319,[1]Hoja1!$A$2:$N$29,1,0)</f>
        <v>#N/A</v>
      </c>
    </row>
    <row r="320" spans="1:9" hidden="1" x14ac:dyDescent="0.3">
      <c r="A320" s="2">
        <v>45632</v>
      </c>
      <c r="B320" s="3">
        <v>2024002926</v>
      </c>
      <c r="C320" s="3" t="s">
        <v>333</v>
      </c>
      <c r="D320" s="5">
        <v>3000000</v>
      </c>
      <c r="E320" s="3">
        <v>1233189234</v>
      </c>
      <c r="F320" s="3" t="s">
        <v>334</v>
      </c>
      <c r="G320" t="s">
        <v>763</v>
      </c>
      <c r="I320" t="e">
        <f>VLOOKUP(C320,[1]Hoja1!$A$2:$N$29,1,0)</f>
        <v>#N/A</v>
      </c>
    </row>
    <row r="321" spans="1:9" hidden="1" x14ac:dyDescent="0.3">
      <c r="A321" s="2">
        <v>45632</v>
      </c>
      <c r="B321" s="3">
        <v>2024002927</v>
      </c>
      <c r="C321" s="3" t="s">
        <v>404</v>
      </c>
      <c r="D321" s="5">
        <v>3000000</v>
      </c>
      <c r="E321" s="3">
        <v>1085255972</v>
      </c>
      <c r="F321" s="3" t="s">
        <v>405</v>
      </c>
      <c r="G321" t="s">
        <v>763</v>
      </c>
      <c r="I321" t="e">
        <f>VLOOKUP(C321,[1]Hoja1!$A$2:$N$29,1,0)</f>
        <v>#N/A</v>
      </c>
    </row>
    <row r="322" spans="1:9" hidden="1" x14ac:dyDescent="0.3">
      <c r="A322" s="2">
        <v>45632</v>
      </c>
      <c r="B322" s="3">
        <v>2024002928</v>
      </c>
      <c r="C322" s="3" t="s">
        <v>190</v>
      </c>
      <c r="D322" s="5">
        <v>3000000</v>
      </c>
      <c r="E322" s="3">
        <v>1004135064</v>
      </c>
      <c r="F322" s="3" t="s">
        <v>191</v>
      </c>
      <c r="G322" t="s">
        <v>763</v>
      </c>
      <c r="I322" t="e">
        <f>VLOOKUP(C322,[1]Hoja1!$A$2:$N$29,1,0)</f>
        <v>#N/A</v>
      </c>
    </row>
    <row r="323" spans="1:9" hidden="1" x14ac:dyDescent="0.3">
      <c r="A323" s="2">
        <v>45632</v>
      </c>
      <c r="B323" s="3">
        <v>2024002929</v>
      </c>
      <c r="C323" s="3" t="s">
        <v>186</v>
      </c>
      <c r="D323" s="5">
        <v>3000000</v>
      </c>
      <c r="E323" s="3">
        <v>1080040858</v>
      </c>
      <c r="F323" s="3" t="s">
        <v>187</v>
      </c>
      <c r="G323" t="s">
        <v>763</v>
      </c>
      <c r="I323" t="e">
        <f>VLOOKUP(C323,[1]Hoja1!$A$2:$N$29,1,0)</f>
        <v>#N/A</v>
      </c>
    </row>
    <row r="324" spans="1:9" hidden="1" x14ac:dyDescent="0.3">
      <c r="A324" s="2">
        <v>45632</v>
      </c>
      <c r="B324" s="3">
        <v>2024002930</v>
      </c>
      <c r="C324" s="3" t="s">
        <v>188</v>
      </c>
      <c r="D324" s="5">
        <v>3000000</v>
      </c>
      <c r="E324" s="3">
        <v>1010082397</v>
      </c>
      <c r="F324" s="3" t="s">
        <v>189</v>
      </c>
      <c r="G324" t="s">
        <v>763</v>
      </c>
      <c r="I324" t="e">
        <f>VLOOKUP(C324,[1]Hoja1!$A$2:$N$29,1,0)</f>
        <v>#N/A</v>
      </c>
    </row>
    <row r="325" spans="1:9" hidden="1" x14ac:dyDescent="0.3">
      <c r="A325" s="2">
        <v>45632</v>
      </c>
      <c r="B325" s="3">
        <v>2024002931</v>
      </c>
      <c r="C325" s="3" t="s">
        <v>584</v>
      </c>
      <c r="D325" s="5">
        <v>3000000</v>
      </c>
      <c r="E325" s="3">
        <v>59813323</v>
      </c>
      <c r="F325" s="3" t="s">
        <v>18</v>
      </c>
      <c r="G325" t="s">
        <v>763</v>
      </c>
      <c r="I325" t="e">
        <f>VLOOKUP(C325,[1]Hoja1!$A$2:$N$29,1,0)</f>
        <v>#N/A</v>
      </c>
    </row>
    <row r="326" spans="1:9" hidden="1" x14ac:dyDescent="0.3">
      <c r="A326" s="2">
        <v>45632</v>
      </c>
      <c r="B326" s="3">
        <v>2024002932</v>
      </c>
      <c r="C326" s="3" t="s">
        <v>585</v>
      </c>
      <c r="D326" s="5">
        <v>4825000</v>
      </c>
      <c r="E326" s="3">
        <v>1085332406</v>
      </c>
      <c r="F326" s="3" t="s">
        <v>586</v>
      </c>
      <c r="G326" t="s">
        <v>763</v>
      </c>
      <c r="I326" t="e">
        <f>VLOOKUP(C326,[1]Hoja1!$A$2:$N$29,1,0)</f>
        <v>#N/A</v>
      </c>
    </row>
    <row r="327" spans="1:9" hidden="1" x14ac:dyDescent="0.3">
      <c r="A327" s="2">
        <v>45632</v>
      </c>
      <c r="B327" s="3">
        <v>2024002933</v>
      </c>
      <c r="C327" s="3" t="s">
        <v>162</v>
      </c>
      <c r="D327" s="5">
        <v>2500000</v>
      </c>
      <c r="E327" s="3">
        <v>12750863</v>
      </c>
      <c r="F327" s="3" t="s">
        <v>163</v>
      </c>
      <c r="G327" t="s">
        <v>763</v>
      </c>
      <c r="I327" t="e">
        <f>VLOOKUP(C327,[1]Hoja1!$A$2:$N$29,1,0)</f>
        <v>#N/A</v>
      </c>
    </row>
    <row r="328" spans="1:9" hidden="1" x14ac:dyDescent="0.3">
      <c r="A328" s="2">
        <v>45632</v>
      </c>
      <c r="B328" s="3">
        <v>2024002935</v>
      </c>
      <c r="C328" s="3" t="s">
        <v>126</v>
      </c>
      <c r="D328" s="5">
        <v>4825000</v>
      </c>
      <c r="E328" s="3">
        <v>30732782</v>
      </c>
      <c r="F328" s="3" t="s">
        <v>127</v>
      </c>
      <c r="G328" t="s">
        <v>763</v>
      </c>
      <c r="I328" t="e">
        <f>VLOOKUP(C328,[1]Hoja1!$A$2:$N$29,1,0)</f>
        <v>#N/A</v>
      </c>
    </row>
    <row r="329" spans="1:9" hidden="1" x14ac:dyDescent="0.3">
      <c r="A329" s="2">
        <v>45632</v>
      </c>
      <c r="B329" s="3">
        <v>2024002936</v>
      </c>
      <c r="C329" s="3" t="s">
        <v>68</v>
      </c>
      <c r="D329" s="5">
        <v>3000000</v>
      </c>
      <c r="E329" s="3">
        <v>1085261053</v>
      </c>
      <c r="F329" s="3" t="s">
        <v>69</v>
      </c>
      <c r="G329" t="s">
        <v>763</v>
      </c>
      <c r="I329" t="e">
        <f>VLOOKUP(C329,[1]Hoja1!$A$2:$N$29,1,0)</f>
        <v>#N/A</v>
      </c>
    </row>
    <row r="330" spans="1:9" hidden="1" x14ac:dyDescent="0.3">
      <c r="A330" s="2">
        <v>45632</v>
      </c>
      <c r="B330" s="3">
        <v>2024002938</v>
      </c>
      <c r="C330" s="3" t="s">
        <v>184</v>
      </c>
      <c r="D330" s="5">
        <v>3000000</v>
      </c>
      <c r="E330" s="3">
        <v>1085288636</v>
      </c>
      <c r="F330" s="3" t="s">
        <v>185</v>
      </c>
      <c r="G330" t="s">
        <v>763</v>
      </c>
      <c r="I330" t="e">
        <f>VLOOKUP(C330,[1]Hoja1!$A$2:$N$29,1,0)</f>
        <v>#N/A</v>
      </c>
    </row>
    <row r="331" spans="1:9" hidden="1" x14ac:dyDescent="0.3">
      <c r="A331" s="2">
        <v>45632</v>
      </c>
      <c r="B331" s="3">
        <v>2024002939</v>
      </c>
      <c r="C331" s="3" t="s">
        <v>587</v>
      </c>
      <c r="D331" s="5">
        <v>4825000</v>
      </c>
      <c r="E331" s="3">
        <v>1086755334</v>
      </c>
      <c r="F331" s="3" t="s">
        <v>588</v>
      </c>
      <c r="G331" t="s">
        <v>763</v>
      </c>
      <c r="I331" t="e">
        <f>VLOOKUP(C331,[1]Hoja1!$A$2:$N$29,1,0)</f>
        <v>#N/A</v>
      </c>
    </row>
    <row r="332" spans="1:9" hidden="1" x14ac:dyDescent="0.3">
      <c r="A332" s="2">
        <v>45632</v>
      </c>
      <c r="B332" s="3">
        <v>2024002940</v>
      </c>
      <c r="C332" s="3" t="s">
        <v>589</v>
      </c>
      <c r="D332" s="5">
        <v>2500000</v>
      </c>
      <c r="E332" s="3">
        <v>36759281</v>
      </c>
      <c r="F332" s="3" t="s">
        <v>590</v>
      </c>
      <c r="G332" t="s">
        <v>763</v>
      </c>
      <c r="I332" t="e">
        <f>VLOOKUP(C332,[1]Hoja1!$A$2:$N$29,1,0)</f>
        <v>#N/A</v>
      </c>
    </row>
    <row r="333" spans="1:9" hidden="1" x14ac:dyDescent="0.3">
      <c r="A333" s="2">
        <v>45632</v>
      </c>
      <c r="B333" s="3">
        <v>2024002941</v>
      </c>
      <c r="C333" s="3" t="s">
        <v>591</v>
      </c>
      <c r="D333" s="5">
        <v>4825000</v>
      </c>
      <c r="E333" s="3">
        <v>98260088</v>
      </c>
      <c r="F333" s="3" t="s">
        <v>592</v>
      </c>
      <c r="G333" t="s">
        <v>763</v>
      </c>
      <c r="I333" t="e">
        <f>VLOOKUP(C333,[1]Hoja1!$A$2:$N$29,1,0)</f>
        <v>#N/A</v>
      </c>
    </row>
    <row r="334" spans="1:9" hidden="1" x14ac:dyDescent="0.3">
      <c r="A334" s="2">
        <v>45632</v>
      </c>
      <c r="B334" s="3">
        <v>2024002942</v>
      </c>
      <c r="C334" s="3" t="s">
        <v>304</v>
      </c>
      <c r="D334" s="5">
        <v>6000000</v>
      </c>
      <c r="E334" s="3">
        <v>1085253062</v>
      </c>
      <c r="F334" s="3" t="s">
        <v>38</v>
      </c>
      <c r="G334" t="s">
        <v>763</v>
      </c>
      <c r="I334" t="e">
        <f>VLOOKUP(C334,[1]Hoja1!$A$2:$N$29,1,0)</f>
        <v>#N/A</v>
      </c>
    </row>
    <row r="335" spans="1:9" hidden="1" x14ac:dyDescent="0.3">
      <c r="A335" s="2">
        <v>45632</v>
      </c>
      <c r="B335" s="3">
        <v>2024002943</v>
      </c>
      <c r="C335" s="3" t="s">
        <v>470</v>
      </c>
      <c r="D335" s="5">
        <v>3000000</v>
      </c>
      <c r="E335" s="3">
        <v>1193271854</v>
      </c>
      <c r="F335" s="3" t="s">
        <v>471</v>
      </c>
      <c r="G335" t="s">
        <v>763</v>
      </c>
      <c r="I335" t="e">
        <f>VLOOKUP(C335,[1]Hoja1!$A$2:$N$29,1,0)</f>
        <v>#N/A</v>
      </c>
    </row>
    <row r="336" spans="1:9" hidden="1" x14ac:dyDescent="0.3">
      <c r="A336" s="2">
        <v>45632</v>
      </c>
      <c r="B336" s="3">
        <v>2024002944</v>
      </c>
      <c r="C336" s="3" t="s">
        <v>466</v>
      </c>
      <c r="D336" s="5">
        <v>3000000</v>
      </c>
      <c r="E336" s="3">
        <v>1014857280</v>
      </c>
      <c r="F336" s="3" t="s">
        <v>467</v>
      </c>
      <c r="G336" t="s">
        <v>763</v>
      </c>
      <c r="I336" t="e">
        <f>VLOOKUP(C336,[1]Hoja1!$A$2:$N$29,1,0)</f>
        <v>#N/A</v>
      </c>
    </row>
    <row r="337" spans="1:9" hidden="1" x14ac:dyDescent="0.3">
      <c r="A337" s="2">
        <v>45632</v>
      </c>
      <c r="B337" s="3">
        <v>2024002945</v>
      </c>
      <c r="C337" s="3" t="s">
        <v>325</v>
      </c>
      <c r="D337" s="5">
        <v>3000000</v>
      </c>
      <c r="E337" s="3">
        <v>1081592303</v>
      </c>
      <c r="F337" s="3" t="s">
        <v>326</v>
      </c>
      <c r="G337" t="s">
        <v>763</v>
      </c>
      <c r="I337" t="e">
        <f>VLOOKUP(C337,[1]Hoja1!$A$2:$N$29,1,0)</f>
        <v>#N/A</v>
      </c>
    </row>
    <row r="338" spans="1:9" hidden="1" x14ac:dyDescent="0.3">
      <c r="A338" s="2">
        <v>45632</v>
      </c>
      <c r="B338" s="3">
        <v>2024002946</v>
      </c>
      <c r="C338" s="3" t="s">
        <v>150</v>
      </c>
      <c r="D338" s="5">
        <v>3000000</v>
      </c>
      <c r="E338" s="3">
        <v>1085327701</v>
      </c>
      <c r="F338" s="3" t="s">
        <v>151</v>
      </c>
      <c r="G338" t="s">
        <v>763</v>
      </c>
      <c r="I338" t="e">
        <f>VLOOKUP(C338,[1]Hoja1!$A$2:$N$29,1,0)</f>
        <v>#N/A</v>
      </c>
    </row>
    <row r="339" spans="1:9" hidden="1" x14ac:dyDescent="0.3">
      <c r="A339" s="2">
        <v>45632</v>
      </c>
      <c r="B339" s="3">
        <v>2024002947</v>
      </c>
      <c r="C339" s="3" t="s">
        <v>112</v>
      </c>
      <c r="D339" s="5">
        <v>3000000</v>
      </c>
      <c r="E339" s="3">
        <v>1004592366</v>
      </c>
      <c r="F339" s="3" t="s">
        <v>113</v>
      </c>
      <c r="G339" t="s">
        <v>763</v>
      </c>
      <c r="I339" t="e">
        <f>VLOOKUP(C339,[1]Hoja1!$A$2:$N$29,1,0)</f>
        <v>#N/A</v>
      </c>
    </row>
    <row r="340" spans="1:9" hidden="1" x14ac:dyDescent="0.3">
      <c r="A340" s="2">
        <v>45635</v>
      </c>
      <c r="B340" s="3">
        <v>2024002950</v>
      </c>
      <c r="C340" s="3" t="s">
        <v>202</v>
      </c>
      <c r="D340" s="5">
        <v>3000000</v>
      </c>
      <c r="E340" s="3">
        <v>59837416</v>
      </c>
      <c r="F340" s="3" t="s">
        <v>203</v>
      </c>
      <c r="G340" t="s">
        <v>763</v>
      </c>
      <c r="I340" t="e">
        <f>VLOOKUP(C340,[1]Hoja1!$A$2:$N$29,1,0)</f>
        <v>#N/A</v>
      </c>
    </row>
    <row r="341" spans="1:9" hidden="1" x14ac:dyDescent="0.3">
      <c r="A341" s="2">
        <v>45635</v>
      </c>
      <c r="B341" s="3">
        <v>2024002951</v>
      </c>
      <c r="C341" s="3" t="s">
        <v>168</v>
      </c>
      <c r="D341" s="5">
        <v>4750000</v>
      </c>
      <c r="E341" s="3">
        <v>1085293619</v>
      </c>
      <c r="F341" s="3" t="s">
        <v>169</v>
      </c>
      <c r="G341" t="s">
        <v>763</v>
      </c>
      <c r="I341" t="e">
        <f>VLOOKUP(C341,[1]Hoja1!$A$2:$N$29,1,0)</f>
        <v>#N/A</v>
      </c>
    </row>
    <row r="342" spans="1:9" hidden="1" x14ac:dyDescent="0.3">
      <c r="A342" s="2">
        <v>45635</v>
      </c>
      <c r="B342" s="3">
        <v>2024002952</v>
      </c>
      <c r="C342" s="3" t="s">
        <v>317</v>
      </c>
      <c r="D342" s="5">
        <v>4750000</v>
      </c>
      <c r="E342" s="3">
        <v>59651018</v>
      </c>
      <c r="F342" s="3" t="s">
        <v>318</v>
      </c>
      <c r="G342" t="s">
        <v>763</v>
      </c>
      <c r="I342" t="e">
        <f>VLOOKUP(C342,[1]Hoja1!$A$2:$N$29,1,0)</f>
        <v>#N/A</v>
      </c>
    </row>
    <row r="343" spans="1:9" hidden="1" x14ac:dyDescent="0.3">
      <c r="A343" s="2">
        <v>45635</v>
      </c>
      <c r="B343" s="3">
        <v>2024002953</v>
      </c>
      <c r="C343" s="3" t="s">
        <v>200</v>
      </c>
      <c r="D343" s="5">
        <v>2500000</v>
      </c>
      <c r="E343" s="3">
        <v>1085338232</v>
      </c>
      <c r="F343" s="3" t="s">
        <v>201</v>
      </c>
      <c r="G343" t="s">
        <v>763</v>
      </c>
      <c r="I343" t="e">
        <f>VLOOKUP(C343,[1]Hoja1!$A$2:$N$29,1,0)</f>
        <v>#N/A</v>
      </c>
    </row>
    <row r="344" spans="1:9" hidden="1" x14ac:dyDescent="0.3">
      <c r="A344" s="2">
        <v>45635</v>
      </c>
      <c r="B344" s="3">
        <v>2024002954</v>
      </c>
      <c r="C344" s="3" t="s">
        <v>44</v>
      </c>
      <c r="D344" s="5">
        <v>7540000</v>
      </c>
      <c r="E344" s="3">
        <v>1085304670</v>
      </c>
      <c r="F344" s="3" t="s">
        <v>45</v>
      </c>
      <c r="G344" t="s">
        <v>763</v>
      </c>
      <c r="I344" t="e">
        <f>VLOOKUP(C344,[1]Hoja1!$A$2:$N$29,1,0)</f>
        <v>#N/A</v>
      </c>
    </row>
    <row r="345" spans="1:9" hidden="1" x14ac:dyDescent="0.3">
      <c r="A345" s="2">
        <v>45635</v>
      </c>
      <c r="B345" s="3">
        <v>2024002955</v>
      </c>
      <c r="C345" s="3" t="s">
        <v>278</v>
      </c>
      <c r="D345" s="5">
        <v>3000000</v>
      </c>
      <c r="E345" s="3">
        <v>1085317833</v>
      </c>
      <c r="F345" s="3" t="s">
        <v>279</v>
      </c>
      <c r="G345" t="s">
        <v>763</v>
      </c>
      <c r="I345" t="e">
        <f>VLOOKUP(C345,[1]Hoja1!$A$2:$N$29,1,0)</f>
        <v>#N/A</v>
      </c>
    </row>
    <row r="346" spans="1:9" hidden="1" x14ac:dyDescent="0.3">
      <c r="A346" s="2">
        <v>45635</v>
      </c>
      <c r="B346" s="3">
        <v>2024002956</v>
      </c>
      <c r="C346" s="3" t="s">
        <v>196</v>
      </c>
      <c r="D346" s="5">
        <v>3000000</v>
      </c>
      <c r="E346" s="3">
        <v>1030606749</v>
      </c>
      <c r="F346" s="3" t="s">
        <v>197</v>
      </c>
      <c r="G346" t="s">
        <v>763</v>
      </c>
      <c r="I346" t="e">
        <f>VLOOKUP(C346,[1]Hoja1!$A$2:$N$29,1,0)</f>
        <v>#N/A</v>
      </c>
    </row>
    <row r="347" spans="1:9" hidden="1" x14ac:dyDescent="0.3">
      <c r="A347" s="2">
        <v>45635</v>
      </c>
      <c r="B347" s="3">
        <v>2024002957</v>
      </c>
      <c r="C347" s="3" t="s">
        <v>224</v>
      </c>
      <c r="D347" s="5">
        <v>4750000</v>
      </c>
      <c r="E347" s="3">
        <v>1085330309</v>
      </c>
      <c r="F347" s="3" t="s">
        <v>225</v>
      </c>
      <c r="G347" t="s">
        <v>763</v>
      </c>
      <c r="I347" t="e">
        <f>VLOOKUP(C347,[1]Hoja1!$A$2:$N$29,1,0)</f>
        <v>#N/A</v>
      </c>
    </row>
    <row r="348" spans="1:9" hidden="1" x14ac:dyDescent="0.3">
      <c r="A348" s="2">
        <v>45635</v>
      </c>
      <c r="B348" s="3">
        <v>2024002958</v>
      </c>
      <c r="C348" s="3" t="s">
        <v>564</v>
      </c>
      <c r="D348" s="5">
        <v>4825000</v>
      </c>
      <c r="E348" s="3">
        <v>1004508471</v>
      </c>
      <c r="F348" s="3" t="s">
        <v>565</v>
      </c>
      <c r="G348" t="s">
        <v>763</v>
      </c>
      <c r="I348" t="e">
        <f>VLOOKUP(C348,[1]Hoja1!$A$2:$N$29,1,0)</f>
        <v>#N/A</v>
      </c>
    </row>
    <row r="349" spans="1:9" hidden="1" x14ac:dyDescent="0.3">
      <c r="A349" s="2">
        <v>45635</v>
      </c>
      <c r="B349" s="3">
        <v>2024002959</v>
      </c>
      <c r="C349" s="3" t="s">
        <v>574</v>
      </c>
      <c r="D349" s="5">
        <v>3000000</v>
      </c>
      <c r="E349" s="3">
        <v>1085325718</v>
      </c>
      <c r="F349" s="3" t="s">
        <v>575</v>
      </c>
      <c r="G349" t="s">
        <v>763</v>
      </c>
      <c r="I349" t="e">
        <f>VLOOKUP(C349,[1]Hoja1!$A$2:$N$29,1,0)</f>
        <v>#N/A</v>
      </c>
    </row>
    <row r="350" spans="1:9" hidden="1" x14ac:dyDescent="0.3">
      <c r="A350" s="2">
        <v>45635</v>
      </c>
      <c r="B350" s="3">
        <v>2024002960</v>
      </c>
      <c r="C350" s="3" t="s">
        <v>178</v>
      </c>
      <c r="D350" s="5">
        <v>4825000</v>
      </c>
      <c r="E350" s="3">
        <v>1193385736</v>
      </c>
      <c r="F350" s="3" t="s">
        <v>179</v>
      </c>
      <c r="G350" t="s">
        <v>763</v>
      </c>
      <c r="I350" t="e">
        <f>VLOOKUP(C350,[1]Hoja1!$A$2:$N$29,1,0)</f>
        <v>#N/A</v>
      </c>
    </row>
    <row r="351" spans="1:9" hidden="1" x14ac:dyDescent="0.3">
      <c r="A351" s="2">
        <v>45635</v>
      </c>
      <c r="B351" s="3">
        <v>2024002961</v>
      </c>
      <c r="C351" s="3" t="s">
        <v>492</v>
      </c>
      <c r="D351" s="5">
        <v>3000000</v>
      </c>
      <c r="E351" s="3">
        <v>27088197</v>
      </c>
      <c r="F351" s="3" t="s">
        <v>493</v>
      </c>
      <c r="G351" t="s">
        <v>763</v>
      </c>
      <c r="I351" t="e">
        <f>VLOOKUP(C351,[1]Hoja1!$A$2:$N$29,1,0)</f>
        <v>#N/A</v>
      </c>
    </row>
    <row r="352" spans="1:9" hidden="1" x14ac:dyDescent="0.3">
      <c r="A352" s="2">
        <v>45643</v>
      </c>
      <c r="B352" s="3">
        <v>2024003360</v>
      </c>
      <c r="C352" s="3" t="s">
        <v>418</v>
      </c>
      <c r="D352" s="5">
        <v>2100000</v>
      </c>
      <c r="E352" s="3">
        <v>1085286742</v>
      </c>
      <c r="F352" s="3" t="s">
        <v>419</v>
      </c>
      <c r="G352" t="s">
        <v>763</v>
      </c>
      <c r="I352" t="str">
        <f>VLOOKUP(C352,[1]Hoja1!$A$2:$N$29,1,0)</f>
        <v>779-2024</v>
      </c>
    </row>
    <row r="353" spans="1:9" hidden="1" x14ac:dyDescent="0.3">
      <c r="A353" s="2">
        <v>45635</v>
      </c>
      <c r="B353" s="3">
        <v>2024002964</v>
      </c>
      <c r="C353" s="3" t="s">
        <v>327</v>
      </c>
      <c r="D353" s="5">
        <v>4825000</v>
      </c>
      <c r="E353" s="3">
        <v>1085267184</v>
      </c>
      <c r="F353" s="3" t="s">
        <v>328</v>
      </c>
      <c r="G353" t="s">
        <v>763</v>
      </c>
      <c r="I353" t="e">
        <f>VLOOKUP(C353,[1]Hoja1!$A$2:$N$29,1,0)</f>
        <v>#N/A</v>
      </c>
    </row>
    <row r="354" spans="1:9" hidden="1" x14ac:dyDescent="0.3">
      <c r="A354" s="2">
        <v>45635</v>
      </c>
      <c r="B354" s="3">
        <v>2024002965</v>
      </c>
      <c r="C354" s="3" t="s">
        <v>595</v>
      </c>
      <c r="D354" s="5">
        <v>800000</v>
      </c>
      <c r="E354" s="3">
        <v>1081272318</v>
      </c>
      <c r="F354" s="3" t="s">
        <v>596</v>
      </c>
      <c r="G354" t="s">
        <v>763</v>
      </c>
      <c r="I354" t="e">
        <f>VLOOKUP(C354,[1]Hoja1!$A$2:$N$29,1,0)</f>
        <v>#N/A</v>
      </c>
    </row>
    <row r="355" spans="1:9" hidden="1" x14ac:dyDescent="0.3">
      <c r="A355" s="2">
        <v>45635</v>
      </c>
      <c r="B355" s="3">
        <v>2024002966</v>
      </c>
      <c r="C355" s="3" t="s">
        <v>446</v>
      </c>
      <c r="D355" s="5">
        <v>4825000</v>
      </c>
      <c r="E355" s="3">
        <v>1085324891</v>
      </c>
      <c r="F355" s="3" t="s">
        <v>447</v>
      </c>
      <c r="G355" t="s">
        <v>763</v>
      </c>
      <c r="I355" t="e">
        <f>VLOOKUP(C355,[1]Hoja1!$A$2:$N$29,1,0)</f>
        <v>#N/A</v>
      </c>
    </row>
    <row r="356" spans="1:9" hidden="1" x14ac:dyDescent="0.3">
      <c r="A356" s="2">
        <v>45635</v>
      </c>
      <c r="B356" s="3">
        <v>2024002967</v>
      </c>
      <c r="C356" s="3" t="s">
        <v>323</v>
      </c>
      <c r="D356" s="5">
        <v>2500000</v>
      </c>
      <c r="E356" s="3">
        <v>1085327836</v>
      </c>
      <c r="F356" s="3" t="s">
        <v>324</v>
      </c>
      <c r="G356" t="s">
        <v>763</v>
      </c>
      <c r="I356" t="e">
        <f>VLOOKUP(C356,[1]Hoja1!$A$2:$N$29,1,0)</f>
        <v>#N/A</v>
      </c>
    </row>
    <row r="357" spans="1:9" hidden="1" x14ac:dyDescent="0.3">
      <c r="A357" s="2">
        <v>45635</v>
      </c>
      <c r="B357" s="3">
        <v>2024002968</v>
      </c>
      <c r="C357" s="3" t="s">
        <v>311</v>
      </c>
      <c r="D357" s="5">
        <v>3000000</v>
      </c>
      <c r="E357" s="3">
        <v>36752202</v>
      </c>
      <c r="F357" s="3" t="s">
        <v>312</v>
      </c>
      <c r="G357" t="s">
        <v>763</v>
      </c>
      <c r="I357" t="e">
        <f>VLOOKUP(C357,[1]Hoja1!$A$2:$N$29,1,0)</f>
        <v>#N/A</v>
      </c>
    </row>
    <row r="358" spans="1:9" hidden="1" x14ac:dyDescent="0.3">
      <c r="A358" s="2">
        <v>45635</v>
      </c>
      <c r="B358" s="3">
        <v>2024002969</v>
      </c>
      <c r="C358" s="3" t="s">
        <v>343</v>
      </c>
      <c r="D358" s="5">
        <v>2500000</v>
      </c>
      <c r="E358" s="3">
        <v>1233189896</v>
      </c>
      <c r="F358" s="3" t="s">
        <v>344</v>
      </c>
      <c r="G358" t="s">
        <v>763</v>
      </c>
      <c r="I358" t="e">
        <f>VLOOKUP(C358,[1]Hoja1!$A$2:$N$29,1,0)</f>
        <v>#N/A</v>
      </c>
    </row>
    <row r="359" spans="1:9" hidden="1" x14ac:dyDescent="0.3">
      <c r="A359" s="2">
        <v>45635</v>
      </c>
      <c r="B359" s="3">
        <v>2024002970</v>
      </c>
      <c r="C359" s="3" t="s">
        <v>182</v>
      </c>
      <c r="D359" s="5">
        <v>6000000</v>
      </c>
      <c r="E359" s="3">
        <v>1089242085</v>
      </c>
      <c r="F359" s="3" t="s">
        <v>183</v>
      </c>
      <c r="G359" t="s">
        <v>763</v>
      </c>
      <c r="I359" t="e">
        <f>VLOOKUP(C359,[1]Hoja1!$A$2:$N$29,1,0)</f>
        <v>#N/A</v>
      </c>
    </row>
    <row r="360" spans="1:9" hidden="1" x14ac:dyDescent="0.3">
      <c r="A360" s="2">
        <v>45635</v>
      </c>
      <c r="B360" s="3">
        <v>2024002971</v>
      </c>
      <c r="C360" s="3" t="s">
        <v>597</v>
      </c>
      <c r="D360" s="5">
        <v>7540000</v>
      </c>
      <c r="E360" s="3">
        <v>1085251158</v>
      </c>
      <c r="F360" s="3" t="s">
        <v>598</v>
      </c>
      <c r="G360" t="s">
        <v>763</v>
      </c>
      <c r="I360" t="e">
        <f>VLOOKUP(C360,[1]Hoja1!$A$2:$N$29,1,0)</f>
        <v>#N/A</v>
      </c>
    </row>
    <row r="361" spans="1:9" hidden="1" x14ac:dyDescent="0.3">
      <c r="A361" s="2">
        <v>45635</v>
      </c>
      <c r="B361" s="3">
        <v>2024002972</v>
      </c>
      <c r="C361" s="3" t="s">
        <v>265</v>
      </c>
      <c r="D361" s="5">
        <v>3000000</v>
      </c>
      <c r="E361" s="3">
        <v>1085327677</v>
      </c>
      <c r="F361" s="3" t="s">
        <v>266</v>
      </c>
      <c r="G361" t="s">
        <v>763</v>
      </c>
      <c r="I361" t="e">
        <f>VLOOKUP(C361,[1]Hoja1!$A$2:$N$29,1,0)</f>
        <v>#N/A</v>
      </c>
    </row>
    <row r="362" spans="1:9" hidden="1" x14ac:dyDescent="0.3">
      <c r="A362" s="2">
        <v>45635</v>
      </c>
      <c r="B362" s="3">
        <v>2024002973</v>
      </c>
      <c r="C362" s="3" t="s">
        <v>257</v>
      </c>
      <c r="D362" s="5">
        <v>2500000</v>
      </c>
      <c r="E362" s="3">
        <v>1085310465</v>
      </c>
      <c r="F362" s="3" t="s">
        <v>258</v>
      </c>
      <c r="G362" t="s">
        <v>763</v>
      </c>
      <c r="I362" t="e">
        <f>VLOOKUP(C362,[1]Hoja1!$A$2:$N$29,1,0)</f>
        <v>#N/A</v>
      </c>
    </row>
    <row r="363" spans="1:9" hidden="1" x14ac:dyDescent="0.3">
      <c r="A363" s="2">
        <v>45635</v>
      </c>
      <c r="B363" s="3">
        <v>2024002974</v>
      </c>
      <c r="C363" s="3" t="s">
        <v>359</v>
      </c>
      <c r="D363" s="5">
        <v>7540000</v>
      </c>
      <c r="E363" s="3">
        <v>1193202097</v>
      </c>
      <c r="F363" s="3" t="s">
        <v>360</v>
      </c>
      <c r="G363" t="s">
        <v>763</v>
      </c>
      <c r="I363" t="e">
        <f>VLOOKUP(C363,[1]Hoja1!$A$2:$N$29,1,0)</f>
        <v>#N/A</v>
      </c>
    </row>
    <row r="364" spans="1:9" hidden="1" x14ac:dyDescent="0.3">
      <c r="A364" s="2">
        <v>45635</v>
      </c>
      <c r="B364" s="3">
        <v>2024002975</v>
      </c>
      <c r="C364" s="3" t="s">
        <v>599</v>
      </c>
      <c r="D364" s="5">
        <v>6000000</v>
      </c>
      <c r="E364" s="3">
        <v>1087420025</v>
      </c>
      <c r="F364" s="3" t="s">
        <v>600</v>
      </c>
      <c r="G364" t="s">
        <v>763</v>
      </c>
      <c r="I364" t="e">
        <f>VLOOKUP(C364,[1]Hoja1!$A$2:$N$29,1,0)</f>
        <v>#N/A</v>
      </c>
    </row>
    <row r="365" spans="1:9" hidden="1" x14ac:dyDescent="0.3">
      <c r="A365" s="2">
        <v>45635</v>
      </c>
      <c r="B365" s="3">
        <v>2024002976</v>
      </c>
      <c r="C365" s="3" t="s">
        <v>272</v>
      </c>
      <c r="D365" s="5">
        <v>3000000</v>
      </c>
      <c r="E365" s="3">
        <v>1004726758</v>
      </c>
      <c r="F365" s="3" t="s">
        <v>273</v>
      </c>
      <c r="G365" t="s">
        <v>763</v>
      </c>
      <c r="I365" t="e">
        <f>VLOOKUP(C365,[1]Hoja1!$A$2:$N$29,1,0)</f>
        <v>#N/A</v>
      </c>
    </row>
    <row r="366" spans="1:9" hidden="1" x14ac:dyDescent="0.3">
      <c r="A366" s="2">
        <v>45635</v>
      </c>
      <c r="B366" s="3">
        <v>2024002981</v>
      </c>
      <c r="C366" s="3" t="s">
        <v>379</v>
      </c>
      <c r="D366" s="5">
        <v>4750000</v>
      </c>
      <c r="E366" s="3">
        <v>1085345772</v>
      </c>
      <c r="F366" s="3" t="s">
        <v>380</v>
      </c>
      <c r="G366" t="s">
        <v>763</v>
      </c>
      <c r="I366" t="e">
        <f>VLOOKUP(C366,[1]Hoja1!$A$2:$N$29,1,0)</f>
        <v>#N/A</v>
      </c>
    </row>
    <row r="367" spans="1:9" hidden="1" x14ac:dyDescent="0.3">
      <c r="A367" s="2">
        <v>45635</v>
      </c>
      <c r="B367" s="3">
        <v>2024002982</v>
      </c>
      <c r="C367" s="3" t="s">
        <v>601</v>
      </c>
      <c r="D367" s="5">
        <v>2500000</v>
      </c>
      <c r="E367" s="3">
        <v>36950441</v>
      </c>
      <c r="F367" s="3" t="s">
        <v>602</v>
      </c>
      <c r="G367" t="s">
        <v>763</v>
      </c>
      <c r="I367" t="e">
        <f>VLOOKUP(C367,[1]Hoja1!$A$2:$N$29,1,0)</f>
        <v>#N/A</v>
      </c>
    </row>
    <row r="368" spans="1:9" hidden="1" x14ac:dyDescent="0.3">
      <c r="A368" s="2">
        <v>45636</v>
      </c>
      <c r="B368" s="3">
        <v>2024002985</v>
      </c>
      <c r="C368" s="3" t="s">
        <v>603</v>
      </c>
      <c r="D368" s="5">
        <v>2733600</v>
      </c>
      <c r="E368" s="3">
        <v>31324345</v>
      </c>
      <c r="F368" s="3" t="s">
        <v>604</v>
      </c>
      <c r="G368" t="s">
        <v>763</v>
      </c>
      <c r="I368" t="e">
        <f>VLOOKUP(C368,[1]Hoja1!$A$2:$N$29,1,0)</f>
        <v>#N/A</v>
      </c>
    </row>
    <row r="369" spans="1:9" hidden="1" x14ac:dyDescent="0.3">
      <c r="A369" s="2">
        <v>45636</v>
      </c>
      <c r="B369" s="3">
        <v>2024002986</v>
      </c>
      <c r="C369" s="3" t="s">
        <v>294</v>
      </c>
      <c r="D369" s="5">
        <v>7540000</v>
      </c>
      <c r="E369" s="3">
        <v>1233189066</v>
      </c>
      <c r="F369" s="3" t="s">
        <v>295</v>
      </c>
      <c r="G369" t="s">
        <v>763</v>
      </c>
      <c r="I369" t="e">
        <f>VLOOKUP(C369,[1]Hoja1!$A$2:$N$29,1,0)</f>
        <v>#N/A</v>
      </c>
    </row>
    <row r="370" spans="1:9" hidden="1" x14ac:dyDescent="0.3">
      <c r="A370" s="2">
        <v>45636</v>
      </c>
      <c r="B370" s="3">
        <v>2024002995</v>
      </c>
      <c r="C370" s="3" t="s">
        <v>605</v>
      </c>
      <c r="D370" s="5">
        <v>3000000</v>
      </c>
      <c r="E370" s="3">
        <v>1085286725</v>
      </c>
      <c r="F370" s="3" t="s">
        <v>13</v>
      </c>
      <c r="G370" t="s">
        <v>763</v>
      </c>
      <c r="I370" t="e">
        <f>VLOOKUP(C370,[1]Hoja1!$A$2:$N$29,1,0)</f>
        <v>#N/A</v>
      </c>
    </row>
    <row r="371" spans="1:9" hidden="1" x14ac:dyDescent="0.3">
      <c r="A371" s="2">
        <v>45636</v>
      </c>
      <c r="B371" s="3">
        <v>2024002996</v>
      </c>
      <c r="C371" s="3" t="s">
        <v>361</v>
      </c>
      <c r="D371" s="5">
        <v>3000000</v>
      </c>
      <c r="E371" s="3">
        <v>1007356378</v>
      </c>
      <c r="F371" s="3" t="s">
        <v>362</v>
      </c>
      <c r="G371" t="s">
        <v>763</v>
      </c>
      <c r="I371" t="e">
        <f>VLOOKUP(C371,[1]Hoja1!$A$2:$N$29,1,0)</f>
        <v>#N/A</v>
      </c>
    </row>
    <row r="372" spans="1:9" hidden="1" x14ac:dyDescent="0.3">
      <c r="A372" s="2">
        <v>45636</v>
      </c>
      <c r="B372" s="3">
        <v>2024002997</v>
      </c>
      <c r="C372" s="3" t="s">
        <v>422</v>
      </c>
      <c r="D372" s="5">
        <v>3000000</v>
      </c>
      <c r="E372" s="3">
        <v>27087122</v>
      </c>
      <c r="F372" s="3" t="s">
        <v>423</v>
      </c>
      <c r="G372" t="s">
        <v>763</v>
      </c>
      <c r="I372" t="e">
        <f>VLOOKUP(C372,[1]Hoja1!$A$2:$N$29,1,0)</f>
        <v>#N/A</v>
      </c>
    </row>
    <row r="373" spans="1:9" hidden="1" x14ac:dyDescent="0.3">
      <c r="A373" s="2">
        <v>45636</v>
      </c>
      <c r="B373" s="3">
        <v>2024002998</v>
      </c>
      <c r="C373" s="3" t="s">
        <v>144</v>
      </c>
      <c r="D373" s="5">
        <v>2500000</v>
      </c>
      <c r="E373" s="3">
        <v>1085330079</v>
      </c>
      <c r="F373" s="3" t="s">
        <v>145</v>
      </c>
      <c r="G373" t="s">
        <v>763</v>
      </c>
      <c r="I373" t="e">
        <f>VLOOKUP(C373,[1]Hoja1!$A$2:$N$29,1,0)</f>
        <v>#N/A</v>
      </c>
    </row>
    <row r="374" spans="1:9" hidden="1" x14ac:dyDescent="0.3">
      <c r="A374" s="2">
        <v>45650</v>
      </c>
      <c r="B374" s="3">
        <v>2024003668</v>
      </c>
      <c r="C374" s="3" t="s">
        <v>418</v>
      </c>
      <c r="D374" s="5">
        <v>3000000</v>
      </c>
      <c r="E374" s="3">
        <v>1085286742</v>
      </c>
      <c r="F374" s="3" t="s">
        <v>419</v>
      </c>
      <c r="G374" t="s">
        <v>763</v>
      </c>
      <c r="I374" t="str">
        <f>VLOOKUP(C374,[1]Hoja1!$A$2:$N$29,1,0)</f>
        <v>779-2024</v>
      </c>
    </row>
    <row r="375" spans="1:9" hidden="1" x14ac:dyDescent="0.3">
      <c r="A375" s="2">
        <v>45636</v>
      </c>
      <c r="B375" s="3">
        <v>2024003001</v>
      </c>
      <c r="C375" s="3" t="s">
        <v>606</v>
      </c>
      <c r="D375" s="5">
        <v>4750000</v>
      </c>
      <c r="E375" s="3">
        <v>1233188873</v>
      </c>
      <c r="F375" s="3" t="s">
        <v>607</v>
      </c>
      <c r="G375" t="s">
        <v>763</v>
      </c>
      <c r="I375" t="e">
        <f>VLOOKUP(C375,[1]Hoja1!$A$2:$N$29,1,0)</f>
        <v>#N/A</v>
      </c>
    </row>
    <row r="376" spans="1:9" hidden="1" x14ac:dyDescent="0.3">
      <c r="A376" s="2">
        <v>45636</v>
      </c>
      <c r="B376" s="3">
        <v>2024003002</v>
      </c>
      <c r="C376" s="3" t="s">
        <v>608</v>
      </c>
      <c r="D376" s="5">
        <v>3000000</v>
      </c>
      <c r="E376" s="3">
        <v>1081272656</v>
      </c>
      <c r="F376" s="3" t="s">
        <v>609</v>
      </c>
      <c r="G376" t="s">
        <v>763</v>
      </c>
      <c r="I376" t="e">
        <f>VLOOKUP(C376,[1]Hoja1!$A$2:$N$29,1,0)</f>
        <v>#N/A</v>
      </c>
    </row>
    <row r="377" spans="1:9" hidden="1" x14ac:dyDescent="0.3">
      <c r="A377" s="2">
        <v>45637</v>
      </c>
      <c r="B377" s="3">
        <v>2024003004</v>
      </c>
      <c r="C377" s="3" t="s">
        <v>482</v>
      </c>
      <c r="D377" s="5">
        <v>3000000</v>
      </c>
      <c r="E377" s="3">
        <v>1004410201</v>
      </c>
      <c r="F377" s="3" t="s">
        <v>483</v>
      </c>
      <c r="G377" t="s">
        <v>763</v>
      </c>
      <c r="I377" t="e">
        <f>VLOOKUP(C377,[1]Hoja1!$A$2:$N$29,1,0)</f>
        <v>#N/A</v>
      </c>
    </row>
    <row r="378" spans="1:9" hidden="1" x14ac:dyDescent="0.3">
      <c r="A378" s="2">
        <v>45594</v>
      </c>
      <c r="B378" s="3">
        <v>2024002292</v>
      </c>
      <c r="C378" s="3" t="s">
        <v>43</v>
      </c>
      <c r="D378" s="5">
        <v>106805500</v>
      </c>
      <c r="E378" s="3">
        <v>900994364</v>
      </c>
      <c r="F378" s="3" t="s">
        <v>15</v>
      </c>
      <c r="G378" t="s">
        <v>763</v>
      </c>
      <c r="I378" t="str">
        <f>VLOOKUP(C378,[1]Hoja1!$A$2:$N$29,1,0)</f>
        <v>704-2024</v>
      </c>
    </row>
    <row r="379" spans="1:9" hidden="1" x14ac:dyDescent="0.3">
      <c r="A379" s="2">
        <v>45637</v>
      </c>
      <c r="B379" s="3">
        <v>2024003013</v>
      </c>
      <c r="C379" s="3" t="s">
        <v>43</v>
      </c>
      <c r="D379" s="5">
        <v>106164667</v>
      </c>
      <c r="E379" s="3">
        <v>900994364</v>
      </c>
      <c r="F379" s="3" t="s">
        <v>15</v>
      </c>
      <c r="G379" t="s">
        <v>763</v>
      </c>
      <c r="I379" t="str">
        <f>VLOOKUP(C379,[1]Hoja1!$A$2:$N$29,1,0)</f>
        <v>704-2024</v>
      </c>
    </row>
    <row r="380" spans="1:9" hidden="1" x14ac:dyDescent="0.3">
      <c r="A380" s="2">
        <v>45637</v>
      </c>
      <c r="B380" s="3">
        <v>2024003007</v>
      </c>
      <c r="C380" s="3" t="s">
        <v>420</v>
      </c>
      <c r="D380" s="5">
        <v>2500000</v>
      </c>
      <c r="E380" s="3">
        <v>1085289798</v>
      </c>
      <c r="F380" s="3" t="s">
        <v>421</v>
      </c>
      <c r="G380" t="s">
        <v>763</v>
      </c>
      <c r="I380" t="e">
        <f>VLOOKUP(C380,[1]Hoja1!$A$2:$N$29,1,0)</f>
        <v>#N/A</v>
      </c>
    </row>
    <row r="381" spans="1:9" x14ac:dyDescent="0.3">
      <c r="A381" s="2">
        <v>45650</v>
      </c>
      <c r="B381" s="3">
        <v>2024003690</v>
      </c>
      <c r="C381" s="3" t="s">
        <v>43</v>
      </c>
      <c r="D381" s="5">
        <v>90846333</v>
      </c>
      <c r="E381" s="3">
        <v>900994364</v>
      </c>
      <c r="F381" s="3" t="s">
        <v>15</v>
      </c>
      <c r="G381" t="s">
        <v>763</v>
      </c>
      <c r="H381" t="s">
        <v>765</v>
      </c>
      <c r="I381" t="str">
        <f>VLOOKUP(C381,[1]Hoja1!$A$2:$N$29,1,0)</f>
        <v>704-2024</v>
      </c>
    </row>
    <row r="382" spans="1:9" hidden="1" x14ac:dyDescent="0.3">
      <c r="A382" s="2">
        <v>45637</v>
      </c>
      <c r="B382" s="3">
        <v>2024003009</v>
      </c>
      <c r="C382" s="3" t="s">
        <v>269</v>
      </c>
      <c r="D382" s="5">
        <v>6000000</v>
      </c>
      <c r="E382" s="3">
        <v>36954410</v>
      </c>
      <c r="F382" s="3" t="s">
        <v>36</v>
      </c>
      <c r="G382" t="s">
        <v>763</v>
      </c>
      <c r="I382" t="e">
        <f>VLOOKUP(C382,[1]Hoja1!$A$2:$N$29,1,0)</f>
        <v>#N/A</v>
      </c>
    </row>
    <row r="383" spans="1:9" hidden="1" x14ac:dyDescent="0.3">
      <c r="A383" s="1">
        <v>45735</v>
      </c>
      <c r="B383">
        <v>2025000317</v>
      </c>
      <c r="C383" t="s">
        <v>0</v>
      </c>
      <c r="D383" s="4">
        <v>2000000</v>
      </c>
      <c r="E383">
        <v>1085324107</v>
      </c>
      <c r="F383" t="s">
        <v>1</v>
      </c>
      <c r="G383" t="s">
        <v>763</v>
      </c>
      <c r="I383" t="str">
        <f>VLOOKUP(C383,[1]Hoja1!$A$2:$N$29,1,0)</f>
        <v>701-2024</v>
      </c>
    </row>
    <row r="384" spans="1:9" hidden="1" x14ac:dyDescent="0.3">
      <c r="A384" s="2">
        <v>45637</v>
      </c>
      <c r="B384" s="3">
        <v>2024003011</v>
      </c>
      <c r="C384" s="3" t="s">
        <v>288</v>
      </c>
      <c r="D384" s="5">
        <v>7540000</v>
      </c>
      <c r="E384" s="3">
        <v>1085344794</v>
      </c>
      <c r="F384" s="3" t="s">
        <v>289</v>
      </c>
      <c r="G384" t="s">
        <v>763</v>
      </c>
      <c r="I384" t="e">
        <f>VLOOKUP(C384,[1]Hoja1!$A$2:$N$29,1,0)</f>
        <v>#N/A</v>
      </c>
    </row>
    <row r="385" spans="1:9" hidden="1" x14ac:dyDescent="0.3">
      <c r="A385" s="2">
        <v>45637</v>
      </c>
      <c r="B385" s="3">
        <v>2024003012</v>
      </c>
      <c r="C385" s="3" t="s">
        <v>510</v>
      </c>
      <c r="D385" s="5">
        <v>3000000</v>
      </c>
      <c r="E385" s="3">
        <v>1084224968</v>
      </c>
      <c r="F385" s="3" t="s">
        <v>511</v>
      </c>
      <c r="G385" t="s">
        <v>763</v>
      </c>
      <c r="I385" t="e">
        <f>VLOOKUP(C385,[1]Hoja1!$A$2:$N$29,1,0)</f>
        <v>#N/A</v>
      </c>
    </row>
    <row r="386" spans="1:9" hidden="1" x14ac:dyDescent="0.3">
      <c r="A386" s="2">
        <v>45642</v>
      </c>
      <c r="B386" s="3">
        <v>2024003194</v>
      </c>
      <c r="C386" s="3" t="s">
        <v>0</v>
      </c>
      <c r="D386" s="5">
        <v>3000000</v>
      </c>
      <c r="E386" s="3">
        <v>1085324107</v>
      </c>
      <c r="F386" s="3" t="s">
        <v>1</v>
      </c>
      <c r="G386" t="s">
        <v>763</v>
      </c>
      <c r="I386" t="str">
        <f>VLOOKUP(C386,[1]Hoja1!$A$2:$N$29,1,0)</f>
        <v>701-2024</v>
      </c>
    </row>
    <row r="387" spans="1:9" hidden="1" x14ac:dyDescent="0.3">
      <c r="A387" s="2">
        <v>45637</v>
      </c>
      <c r="B387" s="3">
        <v>2024003014</v>
      </c>
      <c r="C387" s="3" t="s">
        <v>136</v>
      </c>
      <c r="D387" s="5">
        <v>3000000</v>
      </c>
      <c r="E387" s="3">
        <v>1081052746</v>
      </c>
      <c r="F387" s="3" t="s">
        <v>137</v>
      </c>
      <c r="G387" t="s">
        <v>763</v>
      </c>
      <c r="I387" t="e">
        <f>VLOOKUP(C387,[1]Hoja1!$A$2:$N$29,1,0)</f>
        <v>#N/A</v>
      </c>
    </row>
    <row r="388" spans="1:9" hidden="1" x14ac:dyDescent="0.3">
      <c r="A388" s="2">
        <v>45637</v>
      </c>
      <c r="B388" s="3">
        <v>2024003016</v>
      </c>
      <c r="C388" s="3" t="s">
        <v>284</v>
      </c>
      <c r="D388" s="5">
        <v>7540000</v>
      </c>
      <c r="E388" s="3">
        <v>1085293105</v>
      </c>
      <c r="F388" s="3" t="s">
        <v>285</v>
      </c>
      <c r="G388" t="s">
        <v>763</v>
      </c>
      <c r="I388" t="e">
        <f>VLOOKUP(C388,[1]Hoja1!$A$2:$N$29,1,0)</f>
        <v>#N/A</v>
      </c>
    </row>
    <row r="389" spans="1:9" hidden="1" x14ac:dyDescent="0.3">
      <c r="A389" s="2">
        <v>45637</v>
      </c>
      <c r="B389" s="3">
        <v>2024003017</v>
      </c>
      <c r="C389" s="3" t="s">
        <v>385</v>
      </c>
      <c r="D389" s="5">
        <v>2500000</v>
      </c>
      <c r="E389" s="3">
        <v>59830219</v>
      </c>
      <c r="F389" s="3" t="s">
        <v>386</v>
      </c>
      <c r="G389" t="s">
        <v>763</v>
      </c>
      <c r="I389" t="e">
        <f>VLOOKUP(C389,[1]Hoja1!$A$2:$N$29,1,0)</f>
        <v>#N/A</v>
      </c>
    </row>
    <row r="390" spans="1:9" hidden="1" x14ac:dyDescent="0.3">
      <c r="A390" s="2">
        <v>45637</v>
      </c>
      <c r="B390" s="3">
        <v>2024003018</v>
      </c>
      <c r="C390" s="3" t="s">
        <v>610</v>
      </c>
      <c r="D390" s="5">
        <v>7540000</v>
      </c>
      <c r="E390" s="3">
        <v>1085291725</v>
      </c>
      <c r="F390" s="3" t="s">
        <v>611</v>
      </c>
      <c r="G390" t="s">
        <v>763</v>
      </c>
      <c r="I390" t="e">
        <f>VLOOKUP(C390,[1]Hoja1!$A$2:$N$29,1,0)</f>
        <v>#N/A</v>
      </c>
    </row>
    <row r="391" spans="1:9" hidden="1" x14ac:dyDescent="0.3">
      <c r="A391" s="2">
        <v>45637</v>
      </c>
      <c r="B391" s="3">
        <v>2024003019</v>
      </c>
      <c r="C391" s="3" t="s">
        <v>552</v>
      </c>
      <c r="D391" s="5">
        <v>3000000</v>
      </c>
      <c r="E391" s="3">
        <v>30743783</v>
      </c>
      <c r="F391" s="3" t="s">
        <v>553</v>
      </c>
      <c r="G391" t="s">
        <v>763</v>
      </c>
      <c r="I391" t="e">
        <f>VLOOKUP(C391,[1]Hoja1!$A$2:$N$29,1,0)</f>
        <v>#N/A</v>
      </c>
    </row>
    <row r="392" spans="1:9" hidden="1" x14ac:dyDescent="0.3">
      <c r="A392" s="2">
        <v>45637</v>
      </c>
      <c r="B392" s="3">
        <v>2024003020</v>
      </c>
      <c r="C392" s="3" t="s">
        <v>237</v>
      </c>
      <c r="D392" s="5">
        <v>3000000</v>
      </c>
      <c r="E392" s="3">
        <v>1085318688</v>
      </c>
      <c r="F392" s="3" t="s">
        <v>238</v>
      </c>
      <c r="G392" t="s">
        <v>763</v>
      </c>
      <c r="I392" t="e">
        <f>VLOOKUP(C392,[1]Hoja1!$A$2:$N$29,1,0)</f>
        <v>#N/A</v>
      </c>
    </row>
    <row r="393" spans="1:9" hidden="1" x14ac:dyDescent="0.3">
      <c r="A393" s="2">
        <v>45637</v>
      </c>
      <c r="B393" s="3">
        <v>2024003021</v>
      </c>
      <c r="C393" s="3" t="s">
        <v>239</v>
      </c>
      <c r="D393" s="5">
        <v>3000000</v>
      </c>
      <c r="E393" s="3">
        <v>1085339190</v>
      </c>
      <c r="F393" s="3" t="s">
        <v>240</v>
      </c>
      <c r="G393" t="s">
        <v>763</v>
      </c>
      <c r="I393" t="e">
        <f>VLOOKUP(C393,[1]Hoja1!$A$2:$N$29,1,0)</f>
        <v>#N/A</v>
      </c>
    </row>
    <row r="394" spans="1:9" hidden="1" x14ac:dyDescent="0.3">
      <c r="A394" s="2">
        <v>45637</v>
      </c>
      <c r="B394" s="3">
        <v>2024003022</v>
      </c>
      <c r="C394" s="3" t="s">
        <v>371</v>
      </c>
      <c r="D394" s="5">
        <v>2500000</v>
      </c>
      <c r="E394" s="3">
        <v>12994466</v>
      </c>
      <c r="F394" s="3" t="s">
        <v>372</v>
      </c>
      <c r="G394" t="s">
        <v>763</v>
      </c>
      <c r="I394" t="e">
        <f>VLOOKUP(C394,[1]Hoja1!$A$2:$N$29,1,0)</f>
        <v>#N/A</v>
      </c>
    </row>
    <row r="395" spans="1:9" hidden="1" x14ac:dyDescent="0.3">
      <c r="A395" s="2">
        <v>45637</v>
      </c>
      <c r="B395" s="3">
        <v>2024003023</v>
      </c>
      <c r="C395" s="3" t="s">
        <v>518</v>
      </c>
      <c r="D395" s="5">
        <v>3000000</v>
      </c>
      <c r="E395" s="3">
        <v>13070330</v>
      </c>
      <c r="F395" s="3" t="s">
        <v>519</v>
      </c>
      <c r="G395" t="s">
        <v>763</v>
      </c>
      <c r="I395" t="e">
        <f>VLOOKUP(C395,[1]Hoja1!$A$2:$N$29,1,0)</f>
        <v>#N/A</v>
      </c>
    </row>
    <row r="396" spans="1:9" hidden="1" x14ac:dyDescent="0.3">
      <c r="A396" s="2">
        <v>45637</v>
      </c>
      <c r="B396" s="3">
        <v>2024003024</v>
      </c>
      <c r="C396" s="3" t="s">
        <v>235</v>
      </c>
      <c r="D396" s="5">
        <v>4750000</v>
      </c>
      <c r="E396" s="3">
        <v>59824313</v>
      </c>
      <c r="F396" s="3" t="s">
        <v>236</v>
      </c>
      <c r="G396" t="s">
        <v>763</v>
      </c>
      <c r="I396" t="e">
        <f>VLOOKUP(C396,[1]Hoja1!$A$2:$N$29,1,0)</f>
        <v>#N/A</v>
      </c>
    </row>
    <row r="397" spans="1:9" hidden="1" x14ac:dyDescent="0.3">
      <c r="A397" s="2">
        <v>45637</v>
      </c>
      <c r="B397" s="3">
        <v>2024003025</v>
      </c>
      <c r="C397" s="3" t="s">
        <v>218</v>
      </c>
      <c r="D397" s="5">
        <v>4750000</v>
      </c>
      <c r="E397" s="3">
        <v>36759759</v>
      </c>
      <c r="F397" s="3" t="s">
        <v>219</v>
      </c>
      <c r="G397" t="s">
        <v>763</v>
      </c>
      <c r="I397" t="e">
        <f>VLOOKUP(C397,[1]Hoja1!$A$2:$N$29,1,0)</f>
        <v>#N/A</v>
      </c>
    </row>
    <row r="398" spans="1:9" hidden="1" x14ac:dyDescent="0.3">
      <c r="A398" s="2">
        <v>45637</v>
      </c>
      <c r="B398" s="3">
        <v>2024003026</v>
      </c>
      <c r="C398" s="3" t="s">
        <v>456</v>
      </c>
      <c r="D398" s="5">
        <v>4825000</v>
      </c>
      <c r="E398" s="3">
        <v>1087643211</v>
      </c>
      <c r="F398" s="3" t="s">
        <v>457</v>
      </c>
      <c r="G398" t="s">
        <v>763</v>
      </c>
      <c r="I398" t="e">
        <f>VLOOKUP(C398,[1]Hoja1!$A$2:$N$29,1,0)</f>
        <v>#N/A</v>
      </c>
    </row>
    <row r="399" spans="1:9" hidden="1" x14ac:dyDescent="0.3">
      <c r="A399" s="2">
        <v>45637</v>
      </c>
      <c r="B399" s="3">
        <v>2024003027</v>
      </c>
      <c r="C399" s="3" t="s">
        <v>329</v>
      </c>
      <c r="D399" s="5">
        <v>3000000</v>
      </c>
      <c r="E399" s="3">
        <v>1081272025</v>
      </c>
      <c r="F399" s="3" t="s">
        <v>330</v>
      </c>
      <c r="G399" t="s">
        <v>763</v>
      </c>
      <c r="I399" t="e">
        <f>VLOOKUP(C399,[1]Hoja1!$A$2:$N$29,1,0)</f>
        <v>#N/A</v>
      </c>
    </row>
    <row r="400" spans="1:9" hidden="1" x14ac:dyDescent="0.3">
      <c r="A400" s="2">
        <v>45637</v>
      </c>
      <c r="B400" s="3">
        <v>2024003028</v>
      </c>
      <c r="C400" s="3" t="s">
        <v>331</v>
      </c>
      <c r="D400" s="5">
        <v>3000000</v>
      </c>
      <c r="E400" s="3">
        <v>1193385397</v>
      </c>
      <c r="F400" s="3" t="s">
        <v>332</v>
      </c>
      <c r="G400" t="s">
        <v>763</v>
      </c>
      <c r="I400" t="e">
        <f>VLOOKUP(C400,[1]Hoja1!$A$2:$N$29,1,0)</f>
        <v>#N/A</v>
      </c>
    </row>
    <row r="401" spans="1:9" hidden="1" x14ac:dyDescent="0.3">
      <c r="A401" s="2">
        <v>45637</v>
      </c>
      <c r="B401" s="3">
        <v>2024003029</v>
      </c>
      <c r="C401" s="3" t="s">
        <v>397</v>
      </c>
      <c r="D401" s="5">
        <v>4750000</v>
      </c>
      <c r="E401" s="3">
        <v>87060703</v>
      </c>
      <c r="F401" s="3" t="s">
        <v>398</v>
      </c>
      <c r="G401" t="s">
        <v>763</v>
      </c>
      <c r="I401" t="e">
        <f>VLOOKUP(C401,[1]Hoja1!$A$2:$N$29,1,0)</f>
        <v>#N/A</v>
      </c>
    </row>
    <row r="402" spans="1:9" hidden="1" x14ac:dyDescent="0.3">
      <c r="A402" s="2">
        <v>45637</v>
      </c>
      <c r="B402" s="3">
        <v>2024003030</v>
      </c>
      <c r="C402" s="3" t="s">
        <v>66</v>
      </c>
      <c r="D402" s="5">
        <v>6000000</v>
      </c>
      <c r="E402" s="3">
        <v>1085254626</v>
      </c>
      <c r="F402" s="3" t="s">
        <v>67</v>
      </c>
      <c r="G402" t="s">
        <v>763</v>
      </c>
      <c r="I402" t="e">
        <f>VLOOKUP(C402,[1]Hoja1!$A$2:$N$29,1,0)</f>
        <v>#N/A</v>
      </c>
    </row>
    <row r="403" spans="1:9" hidden="1" x14ac:dyDescent="0.3">
      <c r="A403" s="2">
        <v>45637</v>
      </c>
      <c r="B403" s="3">
        <v>2024003031</v>
      </c>
      <c r="C403" s="3" t="s">
        <v>122</v>
      </c>
      <c r="D403" s="5">
        <v>7540000</v>
      </c>
      <c r="E403" s="3">
        <v>1085332934</v>
      </c>
      <c r="F403" s="3" t="s">
        <v>123</v>
      </c>
      <c r="G403" t="s">
        <v>763</v>
      </c>
      <c r="I403" t="e">
        <f>VLOOKUP(C403,[1]Hoja1!$A$2:$N$29,1,0)</f>
        <v>#N/A</v>
      </c>
    </row>
    <row r="404" spans="1:9" hidden="1" x14ac:dyDescent="0.3">
      <c r="A404" s="2">
        <v>45637</v>
      </c>
      <c r="B404" s="3">
        <v>2024003032</v>
      </c>
      <c r="C404" s="3" t="s">
        <v>389</v>
      </c>
      <c r="D404" s="5">
        <v>3000000</v>
      </c>
      <c r="E404" s="3">
        <v>1085296353</v>
      </c>
      <c r="F404" s="3" t="s">
        <v>390</v>
      </c>
      <c r="G404" t="s">
        <v>763</v>
      </c>
      <c r="I404" t="e">
        <f>VLOOKUP(C404,[1]Hoja1!$A$2:$N$29,1,0)</f>
        <v>#N/A</v>
      </c>
    </row>
    <row r="405" spans="1:9" hidden="1" x14ac:dyDescent="0.3">
      <c r="A405" s="2">
        <v>45637</v>
      </c>
      <c r="B405" s="3">
        <v>2024003033</v>
      </c>
      <c r="C405" s="3" t="s">
        <v>226</v>
      </c>
      <c r="D405" s="5">
        <v>4750000</v>
      </c>
      <c r="E405" s="3">
        <v>1087414586</v>
      </c>
      <c r="F405" s="3" t="s">
        <v>227</v>
      </c>
      <c r="G405" t="s">
        <v>763</v>
      </c>
      <c r="I405" t="e">
        <f>VLOOKUP(C405,[1]Hoja1!$A$2:$N$29,1,0)</f>
        <v>#N/A</v>
      </c>
    </row>
    <row r="406" spans="1:9" hidden="1" x14ac:dyDescent="0.3">
      <c r="A406" s="2">
        <v>45637</v>
      </c>
      <c r="B406" s="3">
        <v>2024003034</v>
      </c>
      <c r="C406" s="3" t="s">
        <v>599</v>
      </c>
      <c r="D406" s="5">
        <v>6000000</v>
      </c>
      <c r="E406" s="3">
        <v>1087420025</v>
      </c>
      <c r="F406" s="3" t="s">
        <v>600</v>
      </c>
      <c r="G406" t="s">
        <v>763</v>
      </c>
      <c r="I406" t="e">
        <f>VLOOKUP(C406,[1]Hoja1!$A$2:$N$29,1,0)</f>
        <v>#N/A</v>
      </c>
    </row>
    <row r="407" spans="1:9" hidden="1" x14ac:dyDescent="0.3">
      <c r="A407" s="2">
        <v>45637</v>
      </c>
      <c r="B407" s="3">
        <v>2024003035</v>
      </c>
      <c r="C407" s="3" t="s">
        <v>514</v>
      </c>
      <c r="D407" s="5">
        <v>7540000</v>
      </c>
      <c r="E407" s="3">
        <v>1233193882</v>
      </c>
      <c r="F407" s="3" t="s">
        <v>515</v>
      </c>
      <c r="G407" t="s">
        <v>763</v>
      </c>
      <c r="I407" t="e">
        <f>VLOOKUP(C407,[1]Hoja1!$A$2:$N$29,1,0)</f>
        <v>#N/A</v>
      </c>
    </row>
    <row r="408" spans="1:9" hidden="1" x14ac:dyDescent="0.3">
      <c r="A408" s="2">
        <v>45637</v>
      </c>
      <c r="B408" s="3">
        <v>2024003036</v>
      </c>
      <c r="C408" s="3" t="s">
        <v>540</v>
      </c>
      <c r="D408" s="5">
        <v>6000000</v>
      </c>
      <c r="E408" s="3">
        <v>1004131723</v>
      </c>
      <c r="F408" s="3" t="s">
        <v>541</v>
      </c>
      <c r="G408" t="s">
        <v>763</v>
      </c>
      <c r="I408" t="e">
        <f>VLOOKUP(C408,[1]Hoja1!$A$2:$N$29,1,0)</f>
        <v>#N/A</v>
      </c>
    </row>
    <row r="409" spans="1:9" hidden="1" x14ac:dyDescent="0.3">
      <c r="A409" s="2">
        <v>45637</v>
      </c>
      <c r="B409" s="3">
        <v>2024003040</v>
      </c>
      <c r="C409" s="3" t="s">
        <v>60</v>
      </c>
      <c r="D409" s="5">
        <v>3000000</v>
      </c>
      <c r="E409" s="3">
        <v>1085295383</v>
      </c>
      <c r="F409" s="3" t="s">
        <v>61</v>
      </c>
      <c r="G409" t="s">
        <v>763</v>
      </c>
      <c r="I409" t="e">
        <f>VLOOKUP(C409,[1]Hoja1!$A$2:$N$29,1,0)</f>
        <v>#N/A</v>
      </c>
    </row>
    <row r="410" spans="1:9" hidden="1" x14ac:dyDescent="0.3">
      <c r="A410" s="2">
        <v>45637</v>
      </c>
      <c r="B410" s="3">
        <v>2024003041</v>
      </c>
      <c r="C410" s="3" t="s">
        <v>54</v>
      </c>
      <c r="D410" s="5">
        <v>7540000</v>
      </c>
      <c r="E410" s="3">
        <v>1085336362</v>
      </c>
      <c r="F410" s="3" t="s">
        <v>55</v>
      </c>
      <c r="G410" t="s">
        <v>763</v>
      </c>
      <c r="I410" t="e">
        <f>VLOOKUP(C410,[1]Hoja1!$A$2:$N$29,1,0)</f>
        <v>#N/A</v>
      </c>
    </row>
    <row r="411" spans="1:9" hidden="1" x14ac:dyDescent="0.3">
      <c r="A411" s="2">
        <v>45637</v>
      </c>
      <c r="B411" s="3">
        <v>2024003042</v>
      </c>
      <c r="C411" s="3" t="s">
        <v>267</v>
      </c>
      <c r="D411" s="5">
        <v>4750000</v>
      </c>
      <c r="E411" s="3">
        <v>1085343783</v>
      </c>
      <c r="F411" s="3" t="s">
        <v>268</v>
      </c>
      <c r="G411" t="s">
        <v>763</v>
      </c>
      <c r="I411" t="e">
        <f>VLOOKUP(C411,[1]Hoja1!$A$2:$N$29,1,0)</f>
        <v>#N/A</v>
      </c>
    </row>
    <row r="412" spans="1:9" hidden="1" x14ac:dyDescent="0.3">
      <c r="A412" s="2">
        <v>45637</v>
      </c>
      <c r="B412" s="3">
        <v>2024003043</v>
      </c>
      <c r="C412" s="3" t="s">
        <v>612</v>
      </c>
      <c r="D412" s="5">
        <v>7540000</v>
      </c>
      <c r="E412" s="3">
        <v>1085315800</v>
      </c>
      <c r="F412" s="3" t="s">
        <v>613</v>
      </c>
      <c r="G412" t="s">
        <v>763</v>
      </c>
      <c r="I412" t="e">
        <f>VLOOKUP(C412,[1]Hoja1!$A$2:$N$29,1,0)</f>
        <v>#N/A</v>
      </c>
    </row>
    <row r="413" spans="1:9" hidden="1" x14ac:dyDescent="0.3">
      <c r="A413" s="2">
        <v>45637</v>
      </c>
      <c r="B413" s="3">
        <v>2024003044</v>
      </c>
      <c r="C413" s="3" t="s">
        <v>614</v>
      </c>
      <c r="D413" s="5">
        <v>7540000</v>
      </c>
      <c r="E413" s="3">
        <v>1085327344</v>
      </c>
      <c r="F413" s="3" t="s">
        <v>615</v>
      </c>
      <c r="G413" t="s">
        <v>763</v>
      </c>
      <c r="I413" t="e">
        <f>VLOOKUP(C413,[1]Hoja1!$A$2:$N$29,1,0)</f>
        <v>#N/A</v>
      </c>
    </row>
    <row r="414" spans="1:9" hidden="1" x14ac:dyDescent="0.3">
      <c r="A414" s="2">
        <v>45637</v>
      </c>
      <c r="B414" s="3">
        <v>2024003045</v>
      </c>
      <c r="C414" s="3" t="s">
        <v>616</v>
      </c>
      <c r="D414" s="5">
        <v>7540000</v>
      </c>
      <c r="E414" s="3">
        <v>1085317791</v>
      </c>
      <c r="F414" s="3" t="s">
        <v>617</v>
      </c>
      <c r="G414" t="s">
        <v>763</v>
      </c>
      <c r="I414" t="e">
        <f>VLOOKUP(C414,[1]Hoja1!$A$2:$N$29,1,0)</f>
        <v>#N/A</v>
      </c>
    </row>
    <row r="415" spans="1:9" hidden="1" x14ac:dyDescent="0.3">
      <c r="A415" s="2">
        <v>45637</v>
      </c>
      <c r="B415" s="3">
        <v>2024003046</v>
      </c>
      <c r="C415" s="3" t="s">
        <v>618</v>
      </c>
      <c r="D415" s="5">
        <v>4750000</v>
      </c>
      <c r="E415" s="3">
        <v>59824800</v>
      </c>
      <c r="F415" s="3" t="s">
        <v>619</v>
      </c>
      <c r="G415" t="s">
        <v>763</v>
      </c>
      <c r="I415" t="e">
        <f>VLOOKUP(C415,[1]Hoja1!$A$2:$N$29,1,0)</f>
        <v>#N/A</v>
      </c>
    </row>
    <row r="416" spans="1:9" hidden="1" x14ac:dyDescent="0.3">
      <c r="A416" s="2">
        <v>45637</v>
      </c>
      <c r="B416" s="3">
        <v>2024003047</v>
      </c>
      <c r="C416" s="3" t="s">
        <v>620</v>
      </c>
      <c r="D416" s="5">
        <v>6000000</v>
      </c>
      <c r="E416" s="3">
        <v>79724257</v>
      </c>
      <c r="F416" s="3" t="s">
        <v>621</v>
      </c>
      <c r="G416" t="s">
        <v>763</v>
      </c>
      <c r="I416" t="e">
        <f>VLOOKUP(C416,[1]Hoja1!$A$2:$N$29,1,0)</f>
        <v>#N/A</v>
      </c>
    </row>
    <row r="417" spans="1:9" hidden="1" x14ac:dyDescent="0.3">
      <c r="A417" s="2">
        <v>45637</v>
      </c>
      <c r="B417" s="3">
        <v>2024003048</v>
      </c>
      <c r="C417" s="3" t="s">
        <v>622</v>
      </c>
      <c r="D417" s="5">
        <v>916300</v>
      </c>
      <c r="E417" s="3">
        <v>1085268450</v>
      </c>
      <c r="F417" s="3" t="s">
        <v>623</v>
      </c>
      <c r="G417" t="s">
        <v>763</v>
      </c>
      <c r="I417" t="e">
        <f>VLOOKUP(C417,[1]Hoja1!$A$2:$N$29,1,0)</f>
        <v>#N/A</v>
      </c>
    </row>
    <row r="418" spans="1:9" hidden="1" x14ac:dyDescent="0.3">
      <c r="A418" s="2">
        <v>45637</v>
      </c>
      <c r="B418" s="3">
        <v>2024003049</v>
      </c>
      <c r="C418" s="3" t="s">
        <v>589</v>
      </c>
      <c r="D418" s="5">
        <v>2500000</v>
      </c>
      <c r="E418" s="3">
        <v>36759281</v>
      </c>
      <c r="F418" s="3" t="s">
        <v>590</v>
      </c>
      <c r="G418" t="s">
        <v>763</v>
      </c>
      <c r="I418" t="e">
        <f>VLOOKUP(C418,[1]Hoja1!$A$2:$N$29,1,0)</f>
        <v>#N/A</v>
      </c>
    </row>
    <row r="419" spans="1:9" hidden="1" x14ac:dyDescent="0.3">
      <c r="A419" s="2">
        <v>45637</v>
      </c>
      <c r="B419" s="3">
        <v>2024003050</v>
      </c>
      <c r="C419" s="3" t="s">
        <v>624</v>
      </c>
      <c r="D419" s="5">
        <v>4825000</v>
      </c>
      <c r="E419" s="3">
        <v>59177204</v>
      </c>
      <c r="F419" s="3" t="s">
        <v>625</v>
      </c>
      <c r="G419" t="s">
        <v>763</v>
      </c>
      <c r="I419" t="e">
        <f>VLOOKUP(C419,[1]Hoja1!$A$2:$N$29,1,0)</f>
        <v>#N/A</v>
      </c>
    </row>
    <row r="420" spans="1:9" hidden="1" x14ac:dyDescent="0.3">
      <c r="A420" s="2">
        <v>45637</v>
      </c>
      <c r="B420" s="3">
        <v>2024003051</v>
      </c>
      <c r="C420" s="3" t="s">
        <v>626</v>
      </c>
      <c r="D420" s="5">
        <v>4825000</v>
      </c>
      <c r="E420" s="3">
        <v>1085306723</v>
      </c>
      <c r="F420" s="3" t="s">
        <v>627</v>
      </c>
      <c r="G420" t="s">
        <v>763</v>
      </c>
      <c r="I420" t="e">
        <f>VLOOKUP(C420,[1]Hoja1!$A$2:$N$29,1,0)</f>
        <v>#N/A</v>
      </c>
    </row>
    <row r="421" spans="1:9" hidden="1" x14ac:dyDescent="0.3">
      <c r="A421" s="2">
        <v>45637</v>
      </c>
      <c r="B421" s="3">
        <v>2024003052</v>
      </c>
      <c r="C421" s="3" t="s">
        <v>516</v>
      </c>
      <c r="D421" s="5">
        <v>3000000</v>
      </c>
      <c r="E421" s="3">
        <v>1085277516</v>
      </c>
      <c r="F421" s="3" t="s">
        <v>517</v>
      </c>
      <c r="G421" t="s">
        <v>763</v>
      </c>
      <c r="I421" t="e">
        <f>VLOOKUP(C421,[1]Hoja1!$A$2:$N$29,1,0)</f>
        <v>#N/A</v>
      </c>
    </row>
    <row r="422" spans="1:9" hidden="1" x14ac:dyDescent="0.3">
      <c r="A422" s="2">
        <v>45637</v>
      </c>
      <c r="B422" s="3">
        <v>2024003053</v>
      </c>
      <c r="C422" s="3" t="s">
        <v>198</v>
      </c>
      <c r="D422" s="5">
        <v>3000000</v>
      </c>
      <c r="E422" s="3">
        <v>1085275473</v>
      </c>
      <c r="F422" s="3" t="s">
        <v>199</v>
      </c>
      <c r="G422" t="s">
        <v>763</v>
      </c>
      <c r="I422" t="e">
        <f>VLOOKUP(C422,[1]Hoja1!$A$2:$N$29,1,0)</f>
        <v>#N/A</v>
      </c>
    </row>
    <row r="423" spans="1:9" hidden="1" x14ac:dyDescent="0.3">
      <c r="A423" s="2">
        <v>45637</v>
      </c>
      <c r="B423" s="3">
        <v>2024003054</v>
      </c>
      <c r="C423" s="3" t="s">
        <v>570</v>
      </c>
      <c r="D423" s="5">
        <v>3000000</v>
      </c>
      <c r="E423" s="3">
        <v>1085322676</v>
      </c>
      <c r="F423" s="3" t="s">
        <v>571</v>
      </c>
      <c r="G423" t="s">
        <v>763</v>
      </c>
      <c r="I423" t="e">
        <f>VLOOKUP(C423,[1]Hoja1!$A$2:$N$29,1,0)</f>
        <v>#N/A</v>
      </c>
    </row>
    <row r="424" spans="1:9" hidden="1" x14ac:dyDescent="0.3">
      <c r="A424" s="2">
        <v>45637</v>
      </c>
      <c r="B424" s="3">
        <v>2024003055</v>
      </c>
      <c r="C424" s="3" t="s">
        <v>166</v>
      </c>
      <c r="D424" s="5">
        <v>3000000</v>
      </c>
      <c r="E424" s="3">
        <v>59830040</v>
      </c>
      <c r="F424" s="3" t="s">
        <v>167</v>
      </c>
      <c r="G424" t="s">
        <v>763</v>
      </c>
      <c r="I424" t="e">
        <f>VLOOKUP(C424,[1]Hoja1!$A$2:$N$29,1,0)</f>
        <v>#N/A</v>
      </c>
    </row>
    <row r="425" spans="1:9" hidden="1" x14ac:dyDescent="0.3">
      <c r="A425" s="2">
        <v>45637</v>
      </c>
      <c r="B425" s="3">
        <v>2024003056</v>
      </c>
      <c r="C425" s="3" t="s">
        <v>337</v>
      </c>
      <c r="D425" s="5">
        <v>3000000</v>
      </c>
      <c r="E425" s="3">
        <v>1085324685</v>
      </c>
      <c r="F425" s="3" t="s">
        <v>338</v>
      </c>
      <c r="G425" t="s">
        <v>763</v>
      </c>
      <c r="I425" t="e">
        <f>VLOOKUP(C425,[1]Hoja1!$A$2:$N$29,1,0)</f>
        <v>#N/A</v>
      </c>
    </row>
    <row r="426" spans="1:9" hidden="1" x14ac:dyDescent="0.3">
      <c r="A426" s="2">
        <v>45637</v>
      </c>
      <c r="B426" s="3">
        <v>2024003057</v>
      </c>
      <c r="C426" s="3" t="s">
        <v>562</v>
      </c>
      <c r="D426" s="5">
        <v>3000000</v>
      </c>
      <c r="E426" s="3">
        <v>1085310350</v>
      </c>
      <c r="F426" s="3" t="s">
        <v>563</v>
      </c>
      <c r="G426" t="s">
        <v>763</v>
      </c>
      <c r="I426" t="e">
        <f>VLOOKUP(C426,[1]Hoja1!$A$2:$N$29,1,0)</f>
        <v>#N/A</v>
      </c>
    </row>
    <row r="427" spans="1:9" hidden="1" x14ac:dyDescent="0.3">
      <c r="A427" s="2">
        <v>45638</v>
      </c>
      <c r="B427" s="3">
        <v>2024003058</v>
      </c>
      <c r="C427" s="3" t="s">
        <v>280</v>
      </c>
      <c r="D427" s="5">
        <v>3000000</v>
      </c>
      <c r="E427" s="3">
        <v>1004709928</v>
      </c>
      <c r="F427" s="3" t="s">
        <v>281</v>
      </c>
      <c r="G427" t="s">
        <v>763</v>
      </c>
      <c r="I427" t="e">
        <f>VLOOKUP(C427,[1]Hoja1!$A$2:$N$29,1,0)</f>
        <v>#N/A</v>
      </c>
    </row>
    <row r="428" spans="1:9" hidden="1" x14ac:dyDescent="0.3">
      <c r="A428" s="2">
        <v>45638</v>
      </c>
      <c r="B428" s="3">
        <v>2024003059</v>
      </c>
      <c r="C428" s="3" t="s">
        <v>628</v>
      </c>
      <c r="D428" s="5">
        <v>2200000</v>
      </c>
      <c r="E428" s="3">
        <v>1233193716</v>
      </c>
      <c r="F428" s="3" t="s">
        <v>42</v>
      </c>
      <c r="G428" t="s">
        <v>763</v>
      </c>
      <c r="I428" t="e">
        <f>VLOOKUP(C428,[1]Hoja1!$A$2:$N$29,1,0)</f>
        <v>#N/A</v>
      </c>
    </row>
    <row r="429" spans="1:9" hidden="1" x14ac:dyDescent="0.3">
      <c r="A429" s="2">
        <v>45638</v>
      </c>
      <c r="B429" s="3">
        <v>2024003060</v>
      </c>
      <c r="C429" s="3" t="s">
        <v>556</v>
      </c>
      <c r="D429" s="5">
        <v>3000000</v>
      </c>
      <c r="E429" s="3">
        <v>1085260568</v>
      </c>
      <c r="F429" s="3" t="s">
        <v>557</v>
      </c>
      <c r="G429" t="s">
        <v>763</v>
      </c>
      <c r="I429" t="e">
        <f>VLOOKUP(C429,[1]Hoja1!$A$2:$N$29,1,0)</f>
        <v>#N/A</v>
      </c>
    </row>
    <row r="430" spans="1:9" hidden="1" x14ac:dyDescent="0.3">
      <c r="A430" s="2">
        <v>45638</v>
      </c>
      <c r="B430" s="3">
        <v>2024003061</v>
      </c>
      <c r="C430" s="3" t="s">
        <v>629</v>
      </c>
      <c r="D430" s="5">
        <v>7540000</v>
      </c>
      <c r="E430" s="3">
        <v>1085262570</v>
      </c>
      <c r="F430" s="3" t="s">
        <v>630</v>
      </c>
      <c r="G430" t="s">
        <v>763</v>
      </c>
      <c r="I430" t="e">
        <f>VLOOKUP(C430,[1]Hoja1!$A$2:$N$29,1,0)</f>
        <v>#N/A</v>
      </c>
    </row>
    <row r="431" spans="1:9" hidden="1" x14ac:dyDescent="0.3">
      <c r="A431" s="2">
        <v>45638</v>
      </c>
      <c r="B431" s="3">
        <v>2024003062</v>
      </c>
      <c r="C431" s="3" t="s">
        <v>464</v>
      </c>
      <c r="D431" s="5">
        <v>2500000</v>
      </c>
      <c r="E431" s="3">
        <v>37082480</v>
      </c>
      <c r="F431" s="3" t="s">
        <v>465</v>
      </c>
      <c r="G431" t="s">
        <v>763</v>
      </c>
      <c r="I431" t="e">
        <f>VLOOKUP(C431,[1]Hoja1!$A$2:$N$29,1,0)</f>
        <v>#N/A</v>
      </c>
    </row>
    <row r="432" spans="1:9" hidden="1" x14ac:dyDescent="0.3">
      <c r="A432" s="2">
        <v>45638</v>
      </c>
      <c r="B432" s="3">
        <v>2024003063</v>
      </c>
      <c r="C432" s="3" t="s">
        <v>245</v>
      </c>
      <c r="D432" s="5">
        <v>4825000</v>
      </c>
      <c r="E432" s="3">
        <v>87062845</v>
      </c>
      <c r="F432" s="3" t="s">
        <v>246</v>
      </c>
      <c r="G432" t="s">
        <v>763</v>
      </c>
      <c r="I432" t="e">
        <f>VLOOKUP(C432,[1]Hoja1!$A$2:$N$29,1,0)</f>
        <v>#N/A</v>
      </c>
    </row>
    <row r="433" spans="1:9" hidden="1" x14ac:dyDescent="0.3">
      <c r="A433" s="2">
        <v>45638</v>
      </c>
      <c r="B433" s="3">
        <v>2024003064</v>
      </c>
      <c r="C433" s="3" t="s">
        <v>468</v>
      </c>
      <c r="D433" s="5">
        <v>6000000</v>
      </c>
      <c r="E433" s="3">
        <v>1085337232</v>
      </c>
      <c r="F433" s="3" t="s">
        <v>469</v>
      </c>
      <c r="G433" t="s">
        <v>763</v>
      </c>
      <c r="I433" t="e">
        <f>VLOOKUP(C433,[1]Hoja1!$A$2:$N$29,1,0)</f>
        <v>#N/A</v>
      </c>
    </row>
    <row r="434" spans="1:9" hidden="1" x14ac:dyDescent="0.3">
      <c r="A434" s="2">
        <v>45638</v>
      </c>
      <c r="B434" s="3">
        <v>2024003065</v>
      </c>
      <c r="C434" s="3" t="s">
        <v>274</v>
      </c>
      <c r="D434" s="5">
        <v>2500000</v>
      </c>
      <c r="E434" s="3">
        <v>27090145</v>
      </c>
      <c r="F434" s="3" t="s">
        <v>275</v>
      </c>
      <c r="G434" t="s">
        <v>763</v>
      </c>
      <c r="I434" t="e">
        <f>VLOOKUP(C434,[1]Hoja1!$A$2:$N$29,1,0)</f>
        <v>#N/A</v>
      </c>
    </row>
    <row r="435" spans="1:9" hidden="1" x14ac:dyDescent="0.3">
      <c r="A435" s="2">
        <v>45638</v>
      </c>
      <c r="B435" s="3">
        <v>2024003066</v>
      </c>
      <c r="C435" s="3" t="s">
        <v>426</v>
      </c>
      <c r="D435" s="5">
        <v>7540000</v>
      </c>
      <c r="E435" s="3">
        <v>1085335767</v>
      </c>
      <c r="F435" s="3" t="s">
        <v>427</v>
      </c>
      <c r="G435" t="s">
        <v>763</v>
      </c>
      <c r="I435" t="e">
        <f>VLOOKUP(C435,[1]Hoja1!$A$2:$N$29,1,0)</f>
        <v>#N/A</v>
      </c>
    </row>
    <row r="436" spans="1:9" hidden="1" x14ac:dyDescent="0.3">
      <c r="A436" s="2">
        <v>45638</v>
      </c>
      <c r="B436" s="3">
        <v>2024003067</v>
      </c>
      <c r="C436" s="3" t="s">
        <v>48</v>
      </c>
      <c r="D436" s="5">
        <v>6000000</v>
      </c>
      <c r="E436" s="3">
        <v>27097289</v>
      </c>
      <c r="F436" s="3" t="s">
        <v>49</v>
      </c>
      <c r="G436" t="s">
        <v>763</v>
      </c>
      <c r="I436" t="e">
        <f>VLOOKUP(C436,[1]Hoja1!$A$2:$N$29,1,0)</f>
        <v>#N/A</v>
      </c>
    </row>
    <row r="437" spans="1:9" hidden="1" x14ac:dyDescent="0.3">
      <c r="A437" s="2">
        <v>45638</v>
      </c>
      <c r="B437" s="3">
        <v>2024003068</v>
      </c>
      <c r="C437" s="3" t="s">
        <v>478</v>
      </c>
      <c r="D437" s="5">
        <v>4825000</v>
      </c>
      <c r="E437" s="3">
        <v>1085291221</v>
      </c>
      <c r="F437" s="3" t="s">
        <v>479</v>
      </c>
      <c r="G437" t="s">
        <v>763</v>
      </c>
      <c r="I437" t="e">
        <f>VLOOKUP(C437,[1]Hoja1!$A$2:$N$29,1,0)</f>
        <v>#N/A</v>
      </c>
    </row>
    <row r="438" spans="1:9" hidden="1" x14ac:dyDescent="0.3">
      <c r="A438" s="2">
        <v>45638</v>
      </c>
      <c r="B438" s="3">
        <v>2024003069</v>
      </c>
      <c r="C438" s="3" t="s">
        <v>62</v>
      </c>
      <c r="D438" s="5">
        <v>3000000</v>
      </c>
      <c r="E438" s="3">
        <v>1085331508</v>
      </c>
      <c r="F438" s="3" t="s">
        <v>63</v>
      </c>
      <c r="G438" t="s">
        <v>763</v>
      </c>
      <c r="I438" t="e">
        <f>VLOOKUP(C438,[1]Hoja1!$A$2:$N$29,1,0)</f>
        <v>#N/A</v>
      </c>
    </row>
    <row r="439" spans="1:9" hidden="1" x14ac:dyDescent="0.3">
      <c r="A439" s="2">
        <v>45638</v>
      </c>
      <c r="B439" s="3">
        <v>2024003070</v>
      </c>
      <c r="C439" s="3" t="s">
        <v>50</v>
      </c>
      <c r="D439" s="5">
        <v>7540000</v>
      </c>
      <c r="E439" s="3">
        <v>1151934571</v>
      </c>
      <c r="F439" s="3" t="s">
        <v>51</v>
      </c>
      <c r="G439" t="s">
        <v>763</v>
      </c>
      <c r="I439" t="e">
        <f>VLOOKUP(C439,[1]Hoja1!$A$2:$N$29,1,0)</f>
        <v>#N/A</v>
      </c>
    </row>
    <row r="440" spans="1:9" hidden="1" x14ac:dyDescent="0.3">
      <c r="A440" s="2">
        <v>45638</v>
      </c>
      <c r="B440" s="3">
        <v>2024003071</v>
      </c>
      <c r="C440" s="3" t="s">
        <v>631</v>
      </c>
      <c r="D440" s="5">
        <v>2733600</v>
      </c>
      <c r="E440" s="3">
        <v>59835376</v>
      </c>
      <c r="F440" s="3" t="s">
        <v>632</v>
      </c>
      <c r="G440" t="s">
        <v>763</v>
      </c>
      <c r="I440" t="e">
        <f>VLOOKUP(C440,[1]Hoja1!$A$2:$N$29,1,0)</f>
        <v>#N/A</v>
      </c>
    </row>
    <row r="441" spans="1:9" hidden="1" x14ac:dyDescent="0.3">
      <c r="A441" s="2">
        <v>45638</v>
      </c>
      <c r="B441" s="3">
        <v>2024003072</v>
      </c>
      <c r="C441" s="3" t="s">
        <v>164</v>
      </c>
      <c r="D441" s="5">
        <v>3000000</v>
      </c>
      <c r="E441" s="3">
        <v>27285974</v>
      </c>
      <c r="F441" s="3" t="s">
        <v>165</v>
      </c>
      <c r="G441" t="s">
        <v>763</v>
      </c>
      <c r="I441" t="e">
        <f>VLOOKUP(C441,[1]Hoja1!$A$2:$N$29,1,0)</f>
        <v>#N/A</v>
      </c>
    </row>
    <row r="442" spans="1:9" hidden="1" x14ac:dyDescent="0.3">
      <c r="A442" s="2">
        <v>45638</v>
      </c>
      <c r="B442" s="3">
        <v>2024003078</v>
      </c>
      <c r="C442" s="3" t="s">
        <v>633</v>
      </c>
      <c r="D442" s="5">
        <v>3000000</v>
      </c>
      <c r="E442" s="3">
        <v>1086222977</v>
      </c>
      <c r="F442" s="3" t="s">
        <v>634</v>
      </c>
      <c r="G442" t="s">
        <v>763</v>
      </c>
      <c r="I442" t="e">
        <f>VLOOKUP(C442,[1]Hoja1!$A$2:$N$29,1,0)</f>
        <v>#N/A</v>
      </c>
    </row>
    <row r="443" spans="1:9" hidden="1" x14ac:dyDescent="0.3">
      <c r="A443" s="2">
        <v>45638</v>
      </c>
      <c r="B443" s="3">
        <v>2024003079</v>
      </c>
      <c r="C443" s="3" t="s">
        <v>152</v>
      </c>
      <c r="D443" s="5">
        <v>2500000</v>
      </c>
      <c r="E443" s="3">
        <v>12974849</v>
      </c>
      <c r="F443" s="3" t="s">
        <v>153</v>
      </c>
      <c r="G443" t="s">
        <v>763</v>
      </c>
      <c r="I443" t="e">
        <f>VLOOKUP(C443,[1]Hoja1!$A$2:$N$29,1,0)</f>
        <v>#N/A</v>
      </c>
    </row>
    <row r="444" spans="1:9" hidden="1" x14ac:dyDescent="0.3">
      <c r="A444" s="2">
        <v>45638</v>
      </c>
      <c r="B444" s="3">
        <v>2024003080</v>
      </c>
      <c r="C444" s="3" t="s">
        <v>635</v>
      </c>
      <c r="D444" s="5">
        <v>3000000</v>
      </c>
      <c r="E444" s="3">
        <v>1085255829</v>
      </c>
      <c r="F444" s="3" t="s">
        <v>636</v>
      </c>
      <c r="G444" t="s">
        <v>763</v>
      </c>
      <c r="I444" t="e">
        <f>VLOOKUP(C444,[1]Hoja1!$A$2:$N$29,1,0)</f>
        <v>#N/A</v>
      </c>
    </row>
    <row r="445" spans="1:9" hidden="1" x14ac:dyDescent="0.3">
      <c r="A445" s="2">
        <v>45638</v>
      </c>
      <c r="B445" s="3">
        <v>2024003081</v>
      </c>
      <c r="C445" s="3" t="s">
        <v>637</v>
      </c>
      <c r="D445" s="5">
        <v>600000</v>
      </c>
      <c r="E445" s="3">
        <v>1085283703</v>
      </c>
      <c r="F445" s="3" t="s">
        <v>638</v>
      </c>
      <c r="G445" t="s">
        <v>763</v>
      </c>
      <c r="I445" t="e">
        <f>VLOOKUP(C445,[1]Hoja1!$A$2:$N$29,1,0)</f>
        <v>#N/A</v>
      </c>
    </row>
    <row r="446" spans="1:9" hidden="1" x14ac:dyDescent="0.3">
      <c r="A446" s="2">
        <v>45638</v>
      </c>
      <c r="B446" s="3">
        <v>2024003082</v>
      </c>
      <c r="C446" s="3" t="s">
        <v>251</v>
      </c>
      <c r="D446" s="5">
        <v>3000000</v>
      </c>
      <c r="E446" s="3">
        <v>1080046034</v>
      </c>
      <c r="F446" s="3" t="s">
        <v>252</v>
      </c>
      <c r="G446" t="s">
        <v>763</v>
      </c>
      <c r="I446" t="e">
        <f>VLOOKUP(C446,[1]Hoja1!$A$2:$N$29,1,0)</f>
        <v>#N/A</v>
      </c>
    </row>
    <row r="447" spans="1:9" hidden="1" x14ac:dyDescent="0.3">
      <c r="A447" s="2">
        <v>45638</v>
      </c>
      <c r="B447" s="3">
        <v>2024003083</v>
      </c>
      <c r="C447" s="3" t="s">
        <v>253</v>
      </c>
      <c r="D447" s="5">
        <v>4825000</v>
      </c>
      <c r="E447" s="3">
        <v>27088141</v>
      </c>
      <c r="F447" s="3" t="s">
        <v>254</v>
      </c>
      <c r="G447" t="s">
        <v>763</v>
      </c>
      <c r="I447" t="e">
        <f>VLOOKUP(C447,[1]Hoja1!$A$2:$N$29,1,0)</f>
        <v>#N/A</v>
      </c>
    </row>
    <row r="448" spans="1:9" hidden="1" x14ac:dyDescent="0.3">
      <c r="A448" s="2">
        <v>45638</v>
      </c>
      <c r="B448" s="3">
        <v>2024003084</v>
      </c>
      <c r="C448" s="3" t="s">
        <v>233</v>
      </c>
      <c r="D448" s="5">
        <v>3000000</v>
      </c>
      <c r="E448" s="3">
        <v>1086328142</v>
      </c>
      <c r="F448" s="3" t="s">
        <v>234</v>
      </c>
      <c r="G448" t="s">
        <v>763</v>
      </c>
      <c r="I448" t="e">
        <f>VLOOKUP(C448,[1]Hoja1!$A$2:$N$29,1,0)</f>
        <v>#N/A</v>
      </c>
    </row>
    <row r="449" spans="1:9" hidden="1" x14ac:dyDescent="0.3">
      <c r="A449" s="2">
        <v>45638</v>
      </c>
      <c r="B449" s="3">
        <v>2024003085</v>
      </c>
      <c r="C449" s="3" t="s">
        <v>363</v>
      </c>
      <c r="D449" s="5">
        <v>3000000</v>
      </c>
      <c r="E449" s="3">
        <v>59311295</v>
      </c>
      <c r="F449" s="3" t="s">
        <v>364</v>
      </c>
      <c r="G449" t="s">
        <v>763</v>
      </c>
      <c r="I449" t="e">
        <f>VLOOKUP(C449,[1]Hoja1!$A$2:$N$29,1,0)</f>
        <v>#N/A</v>
      </c>
    </row>
    <row r="450" spans="1:9" hidden="1" x14ac:dyDescent="0.3">
      <c r="A450" s="2">
        <v>45638</v>
      </c>
      <c r="B450" s="3">
        <v>2024003086</v>
      </c>
      <c r="C450" s="3" t="s">
        <v>255</v>
      </c>
      <c r="D450" s="5">
        <v>2500000</v>
      </c>
      <c r="E450" s="3">
        <v>1085314075</v>
      </c>
      <c r="F450" s="3" t="s">
        <v>256</v>
      </c>
      <c r="G450" t="s">
        <v>763</v>
      </c>
      <c r="I450" t="e">
        <f>VLOOKUP(C450,[1]Hoja1!$A$2:$N$29,1,0)</f>
        <v>#N/A</v>
      </c>
    </row>
    <row r="451" spans="1:9" hidden="1" x14ac:dyDescent="0.3">
      <c r="A451" s="2">
        <v>45638</v>
      </c>
      <c r="B451" s="3">
        <v>2024003087</v>
      </c>
      <c r="C451" s="3" t="s">
        <v>75</v>
      </c>
      <c r="D451" s="5">
        <v>6000000</v>
      </c>
      <c r="E451" s="3">
        <v>1082748420</v>
      </c>
      <c r="F451" s="3" t="s">
        <v>76</v>
      </c>
      <c r="G451" t="s">
        <v>763</v>
      </c>
      <c r="I451" t="e">
        <f>VLOOKUP(C451,[1]Hoja1!$A$2:$N$29,1,0)</f>
        <v>#N/A</v>
      </c>
    </row>
    <row r="452" spans="1:9" hidden="1" x14ac:dyDescent="0.3">
      <c r="A452" s="2">
        <v>45638</v>
      </c>
      <c r="B452" s="3">
        <v>2024003088</v>
      </c>
      <c r="C452" s="3" t="s">
        <v>91</v>
      </c>
      <c r="D452" s="5">
        <v>3000000</v>
      </c>
      <c r="E452" s="3">
        <v>1085271641</v>
      </c>
      <c r="F452" s="3" t="s">
        <v>92</v>
      </c>
      <c r="G452" t="s">
        <v>763</v>
      </c>
      <c r="I452" t="e">
        <f>VLOOKUP(C452,[1]Hoja1!$A$2:$N$29,1,0)</f>
        <v>#N/A</v>
      </c>
    </row>
    <row r="453" spans="1:9" hidden="1" x14ac:dyDescent="0.3">
      <c r="A453" s="2">
        <v>45638</v>
      </c>
      <c r="B453" s="3">
        <v>2024003089</v>
      </c>
      <c r="C453" s="3" t="s">
        <v>117</v>
      </c>
      <c r="D453" s="5">
        <v>3000000</v>
      </c>
      <c r="E453" s="3">
        <v>1004232508</v>
      </c>
      <c r="F453" s="3" t="s">
        <v>118</v>
      </c>
      <c r="G453" t="s">
        <v>763</v>
      </c>
      <c r="I453" t="e">
        <f>VLOOKUP(C453,[1]Hoja1!$A$2:$N$29,1,0)</f>
        <v>#N/A</v>
      </c>
    </row>
    <row r="454" spans="1:9" hidden="1" x14ac:dyDescent="0.3">
      <c r="A454" s="2">
        <v>45638</v>
      </c>
      <c r="B454" s="3">
        <v>2024003093</v>
      </c>
      <c r="C454" s="3" t="s">
        <v>560</v>
      </c>
      <c r="D454" s="5">
        <v>3000000</v>
      </c>
      <c r="E454" s="3">
        <v>1193218691</v>
      </c>
      <c r="F454" s="3" t="s">
        <v>561</v>
      </c>
      <c r="G454" t="s">
        <v>763</v>
      </c>
      <c r="I454" t="e">
        <f>VLOOKUP(C454,[1]Hoja1!$A$2:$N$29,1,0)</f>
        <v>#N/A</v>
      </c>
    </row>
    <row r="455" spans="1:9" hidden="1" x14ac:dyDescent="0.3">
      <c r="A455" s="2">
        <v>45638</v>
      </c>
      <c r="B455" s="3">
        <v>2024003094</v>
      </c>
      <c r="C455" s="3" t="s">
        <v>448</v>
      </c>
      <c r="D455" s="5">
        <v>3000000</v>
      </c>
      <c r="E455" s="3">
        <v>1004299312</v>
      </c>
      <c r="F455" s="3" t="s">
        <v>449</v>
      </c>
      <c r="G455" t="s">
        <v>763</v>
      </c>
      <c r="I455" t="e">
        <f>VLOOKUP(C455,[1]Hoja1!$A$2:$N$29,1,0)</f>
        <v>#N/A</v>
      </c>
    </row>
    <row r="456" spans="1:9" hidden="1" x14ac:dyDescent="0.3">
      <c r="A456" s="2">
        <v>45638</v>
      </c>
      <c r="B456" s="3">
        <v>2024003095</v>
      </c>
      <c r="C456" s="3" t="s">
        <v>484</v>
      </c>
      <c r="D456" s="5">
        <v>2500000</v>
      </c>
      <c r="E456" s="3">
        <v>1081273343</v>
      </c>
      <c r="F456" s="3" t="s">
        <v>485</v>
      </c>
      <c r="G456" t="s">
        <v>763</v>
      </c>
      <c r="I456" t="e">
        <f>VLOOKUP(C456,[1]Hoja1!$A$2:$N$29,1,0)</f>
        <v>#N/A</v>
      </c>
    </row>
    <row r="457" spans="1:9" hidden="1" x14ac:dyDescent="0.3">
      <c r="A457" s="2">
        <v>45638</v>
      </c>
      <c r="B457" s="3">
        <v>2024003097</v>
      </c>
      <c r="C457" s="3" t="s">
        <v>307</v>
      </c>
      <c r="D457" s="5">
        <v>7540000</v>
      </c>
      <c r="E457" s="3">
        <v>1006946167</v>
      </c>
      <c r="F457" s="3" t="s">
        <v>308</v>
      </c>
      <c r="G457" t="s">
        <v>763</v>
      </c>
      <c r="I457" t="e">
        <f>VLOOKUP(C457,[1]Hoja1!$A$2:$N$29,1,0)</f>
        <v>#N/A</v>
      </c>
    </row>
    <row r="458" spans="1:9" hidden="1" x14ac:dyDescent="0.3">
      <c r="A458" s="2">
        <v>45638</v>
      </c>
      <c r="B458" s="3">
        <v>2024003098</v>
      </c>
      <c r="C458" s="3" t="s">
        <v>349</v>
      </c>
      <c r="D458" s="5">
        <v>4750000</v>
      </c>
      <c r="E458" s="3">
        <v>1085324546</v>
      </c>
      <c r="F458" s="3" t="s">
        <v>350</v>
      </c>
      <c r="G458" t="s">
        <v>763</v>
      </c>
      <c r="I458" t="e">
        <f>VLOOKUP(C458,[1]Hoja1!$A$2:$N$29,1,0)</f>
        <v>#N/A</v>
      </c>
    </row>
    <row r="459" spans="1:9" hidden="1" x14ac:dyDescent="0.3">
      <c r="A459" s="2">
        <v>45638</v>
      </c>
      <c r="B459" s="3">
        <v>2024003099</v>
      </c>
      <c r="C459" s="3" t="s">
        <v>444</v>
      </c>
      <c r="D459" s="5">
        <v>4825000</v>
      </c>
      <c r="E459" s="3">
        <v>1085269530</v>
      </c>
      <c r="F459" s="3" t="s">
        <v>445</v>
      </c>
      <c r="G459" t="s">
        <v>763</v>
      </c>
      <c r="I459" t="e">
        <f>VLOOKUP(C459,[1]Hoja1!$A$2:$N$29,1,0)</f>
        <v>#N/A</v>
      </c>
    </row>
    <row r="460" spans="1:9" hidden="1" x14ac:dyDescent="0.3">
      <c r="A460" s="2">
        <v>45638</v>
      </c>
      <c r="B460" s="3">
        <v>2024003101</v>
      </c>
      <c r="C460" s="3" t="s">
        <v>319</v>
      </c>
      <c r="D460" s="5">
        <v>3000000</v>
      </c>
      <c r="E460" s="3">
        <v>59314601</v>
      </c>
      <c r="F460" s="3" t="s">
        <v>320</v>
      </c>
      <c r="G460" t="s">
        <v>763</v>
      </c>
      <c r="I460" t="e">
        <f>VLOOKUP(C460,[1]Hoja1!$A$2:$N$29,1,0)</f>
        <v>#N/A</v>
      </c>
    </row>
    <row r="461" spans="1:9" hidden="1" x14ac:dyDescent="0.3">
      <c r="A461" s="2">
        <v>45638</v>
      </c>
      <c r="B461" s="3">
        <v>2024003102</v>
      </c>
      <c r="C461" s="3" t="s">
        <v>93</v>
      </c>
      <c r="D461" s="5">
        <v>3000000</v>
      </c>
      <c r="E461" s="3">
        <v>1192717330</v>
      </c>
      <c r="F461" s="3" t="s">
        <v>94</v>
      </c>
      <c r="G461" t="s">
        <v>763</v>
      </c>
      <c r="I461" t="e">
        <f>VLOOKUP(C461,[1]Hoja1!$A$2:$N$29,1,0)</f>
        <v>#N/A</v>
      </c>
    </row>
    <row r="462" spans="1:9" hidden="1" x14ac:dyDescent="0.3">
      <c r="A462" s="2">
        <v>45638</v>
      </c>
      <c r="B462" s="3">
        <v>2024003103</v>
      </c>
      <c r="C462" s="3" t="s">
        <v>103</v>
      </c>
      <c r="D462" s="5">
        <v>7540000</v>
      </c>
      <c r="E462" s="3">
        <v>36950112</v>
      </c>
      <c r="F462" s="3" t="s">
        <v>104</v>
      </c>
      <c r="G462" t="s">
        <v>763</v>
      </c>
      <c r="I462" t="e">
        <f>VLOOKUP(C462,[1]Hoja1!$A$2:$N$29,1,0)</f>
        <v>#N/A</v>
      </c>
    </row>
    <row r="463" spans="1:9" hidden="1" x14ac:dyDescent="0.3">
      <c r="A463" s="2">
        <v>45638</v>
      </c>
      <c r="B463" s="3">
        <v>2024003104</v>
      </c>
      <c r="C463" s="3" t="s">
        <v>230</v>
      </c>
      <c r="D463" s="5">
        <v>3000000</v>
      </c>
      <c r="E463" s="3">
        <v>36758143</v>
      </c>
      <c r="F463" s="3" t="s">
        <v>231</v>
      </c>
      <c r="G463" t="s">
        <v>763</v>
      </c>
      <c r="I463" t="e">
        <f>VLOOKUP(C463,[1]Hoja1!$A$2:$N$29,1,0)</f>
        <v>#N/A</v>
      </c>
    </row>
    <row r="464" spans="1:9" hidden="1" x14ac:dyDescent="0.3">
      <c r="A464" s="2">
        <v>45638</v>
      </c>
      <c r="B464" s="3">
        <v>2024003105</v>
      </c>
      <c r="C464" s="3" t="s">
        <v>170</v>
      </c>
      <c r="D464" s="5">
        <v>3000000</v>
      </c>
      <c r="E464" s="3">
        <v>1137624011</v>
      </c>
      <c r="F464" s="3" t="s">
        <v>171</v>
      </c>
      <c r="G464" t="s">
        <v>763</v>
      </c>
      <c r="I464" t="e">
        <f>VLOOKUP(C464,[1]Hoja1!$A$2:$N$29,1,0)</f>
        <v>#N/A</v>
      </c>
    </row>
    <row r="465" spans="1:9" hidden="1" x14ac:dyDescent="0.3">
      <c r="A465" s="2">
        <v>45638</v>
      </c>
      <c r="B465" s="3">
        <v>2024003106</v>
      </c>
      <c r="C465" s="3" t="s">
        <v>292</v>
      </c>
      <c r="D465" s="5">
        <v>4750000</v>
      </c>
      <c r="E465" s="3">
        <v>1233192618</v>
      </c>
      <c r="F465" s="3" t="s">
        <v>293</v>
      </c>
      <c r="G465" t="s">
        <v>763</v>
      </c>
      <c r="I465" t="e">
        <f>VLOOKUP(C465,[1]Hoja1!$A$2:$N$29,1,0)</f>
        <v>#N/A</v>
      </c>
    </row>
    <row r="466" spans="1:9" hidden="1" x14ac:dyDescent="0.3">
      <c r="A466" s="2">
        <v>45638</v>
      </c>
      <c r="B466" s="3">
        <v>2024003107</v>
      </c>
      <c r="C466" s="3" t="s">
        <v>210</v>
      </c>
      <c r="D466" s="5">
        <v>7540000</v>
      </c>
      <c r="E466" s="3">
        <v>1085321192</v>
      </c>
      <c r="F466" s="3" t="s">
        <v>211</v>
      </c>
      <c r="G466" t="s">
        <v>763</v>
      </c>
      <c r="I466" t="e">
        <f>VLOOKUP(C466,[1]Hoja1!$A$2:$N$29,1,0)</f>
        <v>#N/A</v>
      </c>
    </row>
    <row r="467" spans="1:9" hidden="1" x14ac:dyDescent="0.3">
      <c r="A467" s="2">
        <v>45638</v>
      </c>
      <c r="B467" s="3">
        <v>2024003108</v>
      </c>
      <c r="C467" s="3" t="s">
        <v>282</v>
      </c>
      <c r="D467" s="5">
        <v>7540000</v>
      </c>
      <c r="E467" s="3">
        <v>1085345430</v>
      </c>
      <c r="F467" s="3" t="s">
        <v>283</v>
      </c>
      <c r="G467" t="s">
        <v>763</v>
      </c>
      <c r="I467" t="e">
        <f>VLOOKUP(C467,[1]Hoja1!$A$2:$N$29,1,0)</f>
        <v>#N/A</v>
      </c>
    </row>
    <row r="468" spans="1:9" hidden="1" x14ac:dyDescent="0.3">
      <c r="A468" s="2">
        <v>45638</v>
      </c>
      <c r="B468" s="3">
        <v>2024003109</v>
      </c>
      <c r="C468" s="3" t="s">
        <v>70</v>
      </c>
      <c r="D468" s="5">
        <v>4750000</v>
      </c>
      <c r="E468" s="3">
        <v>27087475</v>
      </c>
      <c r="F468" s="3" t="s">
        <v>9</v>
      </c>
      <c r="G468" t="s">
        <v>763</v>
      </c>
      <c r="I468" t="e">
        <f>VLOOKUP(C468,[1]Hoja1!$A$2:$N$29,1,0)</f>
        <v>#N/A</v>
      </c>
    </row>
    <row r="469" spans="1:9" hidden="1" x14ac:dyDescent="0.3">
      <c r="A469" s="2">
        <v>45638</v>
      </c>
      <c r="B469" s="3">
        <v>2024003110</v>
      </c>
      <c r="C469" s="3" t="s">
        <v>99</v>
      </c>
      <c r="D469" s="5">
        <v>6000000</v>
      </c>
      <c r="E469" s="3">
        <v>1085246134</v>
      </c>
      <c r="F469" s="3" t="s">
        <v>100</v>
      </c>
      <c r="G469" t="s">
        <v>763</v>
      </c>
      <c r="I469" t="e">
        <f>VLOOKUP(C469,[1]Hoja1!$A$2:$N$29,1,0)</f>
        <v>#N/A</v>
      </c>
    </row>
    <row r="470" spans="1:9" hidden="1" x14ac:dyDescent="0.3">
      <c r="A470" s="2">
        <v>45638</v>
      </c>
      <c r="B470" s="3">
        <v>2024003111</v>
      </c>
      <c r="C470" s="3" t="s">
        <v>408</v>
      </c>
      <c r="D470" s="5">
        <v>4750000</v>
      </c>
      <c r="E470" s="3">
        <v>59312865</v>
      </c>
      <c r="F470" s="3" t="s">
        <v>409</v>
      </c>
      <c r="G470" t="s">
        <v>763</v>
      </c>
      <c r="I470" t="e">
        <f>VLOOKUP(C470,[1]Hoja1!$A$2:$N$29,1,0)</f>
        <v>#N/A</v>
      </c>
    </row>
    <row r="471" spans="1:9" hidden="1" x14ac:dyDescent="0.3">
      <c r="A471" s="2">
        <v>45638</v>
      </c>
      <c r="B471" s="3">
        <v>2024003112</v>
      </c>
      <c r="C471" s="3" t="s">
        <v>156</v>
      </c>
      <c r="D471" s="5">
        <v>6000000</v>
      </c>
      <c r="E471" s="3">
        <v>1193223736</v>
      </c>
      <c r="F471" s="3" t="s">
        <v>157</v>
      </c>
      <c r="G471" t="s">
        <v>763</v>
      </c>
      <c r="I471" t="e">
        <f>VLOOKUP(C471,[1]Hoja1!$A$2:$N$29,1,0)</f>
        <v>#N/A</v>
      </c>
    </row>
    <row r="472" spans="1:9" hidden="1" x14ac:dyDescent="0.3">
      <c r="A472" s="2">
        <v>45638</v>
      </c>
      <c r="B472" s="3">
        <v>2024003113</v>
      </c>
      <c r="C472" s="3" t="s">
        <v>276</v>
      </c>
      <c r="D472" s="5">
        <v>6000000</v>
      </c>
      <c r="E472" s="3">
        <v>37013610</v>
      </c>
      <c r="F472" s="3" t="s">
        <v>277</v>
      </c>
      <c r="G472" t="s">
        <v>763</v>
      </c>
      <c r="I472" t="e">
        <f>VLOOKUP(C472,[1]Hoja1!$A$2:$N$29,1,0)</f>
        <v>#N/A</v>
      </c>
    </row>
    <row r="473" spans="1:9" hidden="1" x14ac:dyDescent="0.3">
      <c r="A473" s="2">
        <v>45638</v>
      </c>
      <c r="B473" s="3">
        <v>2024003114</v>
      </c>
      <c r="C473" s="3" t="s">
        <v>410</v>
      </c>
      <c r="D473" s="5">
        <v>4825000</v>
      </c>
      <c r="E473" s="3">
        <v>1085321943</v>
      </c>
      <c r="F473" s="3" t="s">
        <v>411</v>
      </c>
      <c r="G473" t="s">
        <v>763</v>
      </c>
      <c r="I473" t="e">
        <f>VLOOKUP(C473,[1]Hoja1!$A$2:$N$29,1,0)</f>
        <v>#N/A</v>
      </c>
    </row>
    <row r="474" spans="1:9" hidden="1" x14ac:dyDescent="0.3">
      <c r="A474" s="2">
        <v>45638</v>
      </c>
      <c r="B474" s="3">
        <v>2024003115</v>
      </c>
      <c r="C474" s="3" t="s">
        <v>270</v>
      </c>
      <c r="D474" s="5">
        <v>6000000</v>
      </c>
      <c r="E474" s="3">
        <v>1085248939</v>
      </c>
      <c r="F474" s="3" t="s">
        <v>271</v>
      </c>
      <c r="G474" t="s">
        <v>763</v>
      </c>
      <c r="I474" t="e">
        <f>VLOOKUP(C474,[1]Hoja1!$A$2:$N$29,1,0)</f>
        <v>#N/A</v>
      </c>
    </row>
    <row r="475" spans="1:9" hidden="1" x14ac:dyDescent="0.3">
      <c r="A475" s="2">
        <v>45638</v>
      </c>
      <c r="B475" s="3">
        <v>2024003116</v>
      </c>
      <c r="C475" s="3" t="s">
        <v>46</v>
      </c>
      <c r="D475" s="5">
        <v>6000000</v>
      </c>
      <c r="E475" s="3">
        <v>59820414</v>
      </c>
      <c r="F475" s="3" t="s">
        <v>47</v>
      </c>
      <c r="G475" t="s">
        <v>763</v>
      </c>
      <c r="I475" t="e">
        <f>VLOOKUP(C475,[1]Hoja1!$A$2:$N$29,1,0)</f>
        <v>#N/A</v>
      </c>
    </row>
    <row r="476" spans="1:9" hidden="1" x14ac:dyDescent="0.3">
      <c r="A476" s="2">
        <v>45638</v>
      </c>
      <c r="B476" s="3">
        <v>2024003117</v>
      </c>
      <c r="C476" s="3" t="s">
        <v>315</v>
      </c>
      <c r="D476" s="5">
        <v>2500000</v>
      </c>
      <c r="E476" s="3">
        <v>59821968</v>
      </c>
      <c r="F476" s="3" t="s">
        <v>316</v>
      </c>
      <c r="G476" t="s">
        <v>763</v>
      </c>
      <c r="I476" t="e">
        <f>VLOOKUP(C476,[1]Hoja1!$A$2:$N$29,1,0)</f>
        <v>#N/A</v>
      </c>
    </row>
    <row r="477" spans="1:9" hidden="1" x14ac:dyDescent="0.3">
      <c r="A477" s="2">
        <v>45638</v>
      </c>
      <c r="B477" s="3">
        <v>2024003118</v>
      </c>
      <c r="C477" s="3" t="s">
        <v>180</v>
      </c>
      <c r="D477" s="5">
        <v>3000000</v>
      </c>
      <c r="E477" s="3">
        <v>59310524</v>
      </c>
      <c r="F477" s="3" t="s">
        <v>639</v>
      </c>
      <c r="G477" t="s">
        <v>763</v>
      </c>
      <c r="I477" t="e">
        <f>VLOOKUP(C477,[1]Hoja1!$A$2:$N$29,1,0)</f>
        <v>#N/A</v>
      </c>
    </row>
    <row r="478" spans="1:9" hidden="1" x14ac:dyDescent="0.3">
      <c r="A478" s="2">
        <v>45639</v>
      </c>
      <c r="B478" s="3">
        <v>2024003120</v>
      </c>
      <c r="C478" s="3" t="s">
        <v>243</v>
      </c>
      <c r="D478" s="5">
        <v>2500000</v>
      </c>
      <c r="E478" s="3">
        <v>27094521</v>
      </c>
      <c r="F478" s="3" t="s">
        <v>244</v>
      </c>
      <c r="G478" t="s">
        <v>763</v>
      </c>
      <c r="I478" t="e">
        <f>VLOOKUP(C478,[1]Hoja1!$A$2:$N$29,1,0)</f>
        <v>#N/A</v>
      </c>
    </row>
    <row r="479" spans="1:9" hidden="1" x14ac:dyDescent="0.3">
      <c r="A479" s="2">
        <v>45639</v>
      </c>
      <c r="B479" s="3">
        <v>2024003121</v>
      </c>
      <c r="C479" s="3" t="s">
        <v>640</v>
      </c>
      <c r="D479" s="5">
        <v>3000000</v>
      </c>
      <c r="E479" s="3">
        <v>1004508436</v>
      </c>
      <c r="F479" s="3" t="s">
        <v>641</v>
      </c>
      <c r="G479" t="s">
        <v>763</v>
      </c>
      <c r="I479" t="e">
        <f>VLOOKUP(C479,[1]Hoja1!$A$2:$N$29,1,0)</f>
        <v>#N/A</v>
      </c>
    </row>
    <row r="480" spans="1:9" hidden="1" x14ac:dyDescent="0.3">
      <c r="A480" s="2">
        <v>45639</v>
      </c>
      <c r="B480" s="3">
        <v>2024003122</v>
      </c>
      <c r="C480" s="3" t="s">
        <v>642</v>
      </c>
      <c r="D480" s="5">
        <v>1416100</v>
      </c>
      <c r="E480" s="3">
        <v>1085312811</v>
      </c>
      <c r="F480" s="3" t="s">
        <v>643</v>
      </c>
      <c r="G480" t="s">
        <v>763</v>
      </c>
      <c r="I480" t="e">
        <f>VLOOKUP(C480,[1]Hoja1!$A$2:$N$29,1,0)</f>
        <v>#N/A</v>
      </c>
    </row>
    <row r="481" spans="1:9" hidden="1" x14ac:dyDescent="0.3">
      <c r="A481" s="2">
        <v>45639</v>
      </c>
      <c r="B481" s="3">
        <v>2024003123</v>
      </c>
      <c r="C481" s="3" t="s">
        <v>174</v>
      </c>
      <c r="D481" s="5">
        <v>3000000</v>
      </c>
      <c r="E481" s="3">
        <v>1085290651</v>
      </c>
      <c r="F481" s="3" t="s">
        <v>175</v>
      </c>
      <c r="G481" t="s">
        <v>763</v>
      </c>
      <c r="I481" t="e">
        <f>VLOOKUP(C481,[1]Hoja1!$A$2:$N$29,1,0)</f>
        <v>#N/A</v>
      </c>
    </row>
    <row r="482" spans="1:9" hidden="1" x14ac:dyDescent="0.3">
      <c r="A482" s="2">
        <v>45639</v>
      </c>
      <c r="B482" s="3">
        <v>2024003124</v>
      </c>
      <c r="C482" s="3" t="s">
        <v>644</v>
      </c>
      <c r="D482" s="5">
        <v>3000000</v>
      </c>
      <c r="E482" s="3">
        <v>98391531</v>
      </c>
      <c r="F482" s="3" t="s">
        <v>645</v>
      </c>
      <c r="G482" t="s">
        <v>763</v>
      </c>
      <c r="I482" t="e">
        <f>VLOOKUP(C482,[1]Hoja1!$A$2:$N$29,1,0)</f>
        <v>#N/A</v>
      </c>
    </row>
    <row r="483" spans="1:9" hidden="1" x14ac:dyDescent="0.3">
      <c r="A483" s="2">
        <v>45639</v>
      </c>
      <c r="B483" s="3">
        <v>2024003125</v>
      </c>
      <c r="C483" s="3" t="s">
        <v>646</v>
      </c>
      <c r="D483" s="5">
        <v>4750000</v>
      </c>
      <c r="E483" s="3">
        <v>1085264667</v>
      </c>
      <c r="F483" s="3" t="s">
        <v>647</v>
      </c>
      <c r="G483" t="s">
        <v>763</v>
      </c>
      <c r="I483" t="e">
        <f>VLOOKUP(C483,[1]Hoja1!$A$2:$N$29,1,0)</f>
        <v>#N/A</v>
      </c>
    </row>
    <row r="484" spans="1:9" hidden="1" x14ac:dyDescent="0.3">
      <c r="A484" s="2">
        <v>45639</v>
      </c>
      <c r="B484" s="3">
        <v>2024003126</v>
      </c>
      <c r="C484" s="3" t="s">
        <v>648</v>
      </c>
      <c r="D484" s="5">
        <v>2500000</v>
      </c>
      <c r="E484" s="3">
        <v>1085318898</v>
      </c>
      <c r="F484" s="3" t="s">
        <v>649</v>
      </c>
      <c r="G484" t="s">
        <v>763</v>
      </c>
      <c r="I484" t="e">
        <f>VLOOKUP(C484,[1]Hoja1!$A$2:$N$29,1,0)</f>
        <v>#N/A</v>
      </c>
    </row>
    <row r="485" spans="1:9" hidden="1" x14ac:dyDescent="0.3">
      <c r="A485" s="2">
        <v>45639</v>
      </c>
      <c r="B485" s="3">
        <v>2024003127</v>
      </c>
      <c r="C485" s="3" t="s">
        <v>650</v>
      </c>
      <c r="D485" s="5">
        <v>600000</v>
      </c>
      <c r="E485" s="3">
        <v>59313539</v>
      </c>
      <c r="F485" s="3" t="s">
        <v>651</v>
      </c>
      <c r="G485" t="s">
        <v>763</v>
      </c>
      <c r="I485" t="e">
        <f>VLOOKUP(C485,[1]Hoja1!$A$2:$N$29,1,0)</f>
        <v>#N/A</v>
      </c>
    </row>
    <row r="486" spans="1:9" hidden="1" x14ac:dyDescent="0.3">
      <c r="A486" s="2">
        <v>45639</v>
      </c>
      <c r="B486" s="3">
        <v>2024003128</v>
      </c>
      <c r="C486" s="3" t="s">
        <v>652</v>
      </c>
      <c r="D486" s="5">
        <v>3000000</v>
      </c>
      <c r="E486" s="3">
        <v>1081053820</v>
      </c>
      <c r="F486" s="3" t="s">
        <v>653</v>
      </c>
      <c r="G486" t="s">
        <v>763</v>
      </c>
      <c r="I486" t="e">
        <f>VLOOKUP(C486,[1]Hoja1!$A$2:$N$29,1,0)</f>
        <v>#N/A</v>
      </c>
    </row>
    <row r="487" spans="1:9" hidden="1" x14ac:dyDescent="0.3">
      <c r="A487" s="2">
        <v>45639</v>
      </c>
      <c r="B487" s="3">
        <v>2024003129</v>
      </c>
      <c r="C487" s="3" t="s">
        <v>212</v>
      </c>
      <c r="D487" s="5">
        <v>3000000</v>
      </c>
      <c r="E487" s="3">
        <v>1085315209</v>
      </c>
      <c r="F487" s="3" t="s">
        <v>213</v>
      </c>
      <c r="G487" t="s">
        <v>763</v>
      </c>
      <c r="I487" t="e">
        <f>VLOOKUP(C487,[1]Hoja1!$A$2:$N$29,1,0)</f>
        <v>#N/A</v>
      </c>
    </row>
    <row r="488" spans="1:9" hidden="1" x14ac:dyDescent="0.3">
      <c r="A488" s="2">
        <v>45639</v>
      </c>
      <c r="B488" s="3">
        <v>2024003130</v>
      </c>
      <c r="C488" s="3" t="s">
        <v>263</v>
      </c>
      <c r="D488" s="5">
        <v>2500000</v>
      </c>
      <c r="E488" s="3">
        <v>1131085946</v>
      </c>
      <c r="F488" s="3" t="s">
        <v>264</v>
      </c>
      <c r="G488" t="s">
        <v>763</v>
      </c>
      <c r="I488" t="e">
        <f>VLOOKUP(C488,[1]Hoja1!$A$2:$N$29,1,0)</f>
        <v>#N/A</v>
      </c>
    </row>
    <row r="489" spans="1:9" hidden="1" x14ac:dyDescent="0.3">
      <c r="A489" s="2">
        <v>45639</v>
      </c>
      <c r="B489" s="3">
        <v>2024003131</v>
      </c>
      <c r="C489" s="3" t="s">
        <v>654</v>
      </c>
      <c r="D489" s="5">
        <v>1082900</v>
      </c>
      <c r="E489" s="3">
        <v>36951530</v>
      </c>
      <c r="F489" s="3" t="s">
        <v>655</v>
      </c>
      <c r="G489" t="s">
        <v>763</v>
      </c>
      <c r="I489" t="e">
        <f>VLOOKUP(C489,[1]Hoja1!$A$2:$N$29,1,0)</f>
        <v>#N/A</v>
      </c>
    </row>
    <row r="490" spans="1:9" hidden="1" x14ac:dyDescent="0.3">
      <c r="A490" s="2">
        <v>45639</v>
      </c>
      <c r="B490" s="3">
        <v>2024003132</v>
      </c>
      <c r="C490" s="3" t="s">
        <v>438</v>
      </c>
      <c r="D490" s="5">
        <v>3000000</v>
      </c>
      <c r="E490" s="3">
        <v>1010085543</v>
      </c>
      <c r="F490" s="3" t="s">
        <v>439</v>
      </c>
      <c r="G490" t="s">
        <v>763</v>
      </c>
      <c r="I490" t="e">
        <f>VLOOKUP(C490,[1]Hoja1!$A$2:$N$29,1,0)</f>
        <v>#N/A</v>
      </c>
    </row>
    <row r="491" spans="1:9" hidden="1" x14ac:dyDescent="0.3">
      <c r="A491" s="2">
        <v>45639</v>
      </c>
      <c r="B491" s="3">
        <v>2024003134</v>
      </c>
      <c r="C491" s="3" t="s">
        <v>351</v>
      </c>
      <c r="D491" s="5">
        <v>3000000</v>
      </c>
      <c r="E491" s="3">
        <v>1193265360</v>
      </c>
      <c r="F491" s="3" t="s">
        <v>352</v>
      </c>
      <c r="G491" t="s">
        <v>763</v>
      </c>
      <c r="I491" t="e">
        <f>VLOOKUP(C491,[1]Hoja1!$A$2:$N$29,1,0)</f>
        <v>#N/A</v>
      </c>
    </row>
    <row r="492" spans="1:9" hidden="1" x14ac:dyDescent="0.3">
      <c r="A492" s="2">
        <v>45639</v>
      </c>
      <c r="B492" s="3">
        <v>2024003135</v>
      </c>
      <c r="C492" s="3" t="s">
        <v>428</v>
      </c>
      <c r="D492" s="5">
        <v>3000000</v>
      </c>
      <c r="E492" s="3">
        <v>1081276146</v>
      </c>
      <c r="F492" s="3" t="s">
        <v>429</v>
      </c>
      <c r="G492" t="s">
        <v>763</v>
      </c>
      <c r="I492" t="e">
        <f>VLOOKUP(C492,[1]Hoja1!$A$2:$N$29,1,0)</f>
        <v>#N/A</v>
      </c>
    </row>
    <row r="493" spans="1:9" hidden="1" x14ac:dyDescent="0.3">
      <c r="A493" s="2">
        <v>45639</v>
      </c>
      <c r="B493" s="3">
        <v>2024003136</v>
      </c>
      <c r="C493" s="3" t="s">
        <v>442</v>
      </c>
      <c r="D493" s="5">
        <v>6000000</v>
      </c>
      <c r="E493" s="3">
        <v>1085254153</v>
      </c>
      <c r="F493" s="3" t="s">
        <v>443</v>
      </c>
      <c r="G493" t="s">
        <v>763</v>
      </c>
      <c r="I493" t="e">
        <f>VLOOKUP(C493,[1]Hoja1!$A$2:$N$29,1,0)</f>
        <v>#N/A</v>
      </c>
    </row>
    <row r="494" spans="1:9" hidden="1" x14ac:dyDescent="0.3">
      <c r="A494" s="2">
        <v>45639</v>
      </c>
      <c r="B494" s="3">
        <v>2024003138</v>
      </c>
      <c r="C494" s="3" t="s">
        <v>584</v>
      </c>
      <c r="D494" s="5">
        <v>3000000</v>
      </c>
      <c r="E494" s="3">
        <v>59813323</v>
      </c>
      <c r="F494" s="3" t="s">
        <v>18</v>
      </c>
      <c r="G494" t="s">
        <v>763</v>
      </c>
      <c r="I494" t="e">
        <f>VLOOKUP(C494,[1]Hoja1!$A$2:$N$29,1,0)</f>
        <v>#N/A</v>
      </c>
    </row>
    <row r="495" spans="1:9" hidden="1" x14ac:dyDescent="0.3">
      <c r="A495" s="2">
        <v>45639</v>
      </c>
      <c r="B495" s="3">
        <v>2024003139</v>
      </c>
      <c r="C495" s="3" t="s">
        <v>146</v>
      </c>
      <c r="D495" s="5">
        <v>4750000</v>
      </c>
      <c r="E495" s="3">
        <v>1085303067</v>
      </c>
      <c r="F495" s="3" t="s">
        <v>147</v>
      </c>
      <c r="G495" t="s">
        <v>763</v>
      </c>
      <c r="I495" t="e">
        <f>VLOOKUP(C495,[1]Hoja1!$A$2:$N$29,1,0)</f>
        <v>#N/A</v>
      </c>
    </row>
    <row r="496" spans="1:9" hidden="1" x14ac:dyDescent="0.3">
      <c r="A496" s="2">
        <v>45639</v>
      </c>
      <c r="B496" s="3">
        <v>2024003140</v>
      </c>
      <c r="C496" s="3" t="s">
        <v>321</v>
      </c>
      <c r="D496" s="5">
        <v>3000000</v>
      </c>
      <c r="E496" s="3">
        <v>1089846829</v>
      </c>
      <c r="F496" s="3" t="s">
        <v>322</v>
      </c>
      <c r="G496" t="s">
        <v>763</v>
      </c>
      <c r="I496" t="e">
        <f>VLOOKUP(C496,[1]Hoja1!$A$2:$N$29,1,0)</f>
        <v>#N/A</v>
      </c>
    </row>
    <row r="497" spans="1:9" hidden="1" x14ac:dyDescent="0.3">
      <c r="A497" s="2">
        <v>45639</v>
      </c>
      <c r="B497" s="3">
        <v>2024003141</v>
      </c>
      <c r="C497" s="3" t="s">
        <v>261</v>
      </c>
      <c r="D497" s="5">
        <v>2500000</v>
      </c>
      <c r="E497" s="3">
        <v>1085335069</v>
      </c>
      <c r="F497" s="3" t="s">
        <v>262</v>
      </c>
      <c r="G497" t="s">
        <v>763</v>
      </c>
      <c r="I497" t="e">
        <f>VLOOKUP(C497,[1]Hoja1!$A$2:$N$29,1,0)</f>
        <v>#N/A</v>
      </c>
    </row>
    <row r="498" spans="1:9" hidden="1" x14ac:dyDescent="0.3">
      <c r="A498" s="2">
        <v>45639</v>
      </c>
      <c r="B498" s="3">
        <v>2024003142</v>
      </c>
      <c r="C498" s="3" t="s">
        <v>335</v>
      </c>
      <c r="D498" s="5">
        <v>3000000</v>
      </c>
      <c r="E498" s="3">
        <v>1144206777</v>
      </c>
      <c r="F498" s="3" t="s">
        <v>336</v>
      </c>
      <c r="G498" t="s">
        <v>763</v>
      </c>
      <c r="I498" t="e">
        <f>VLOOKUP(C498,[1]Hoja1!$A$2:$N$29,1,0)</f>
        <v>#N/A</v>
      </c>
    </row>
    <row r="499" spans="1:9" hidden="1" x14ac:dyDescent="0.3">
      <c r="A499" s="2">
        <v>45639</v>
      </c>
      <c r="B499" s="3">
        <v>2024003144</v>
      </c>
      <c r="C499" s="3" t="s">
        <v>176</v>
      </c>
      <c r="D499" s="5">
        <v>3000000</v>
      </c>
      <c r="E499" s="3">
        <v>1085325325</v>
      </c>
      <c r="F499" s="3" t="s">
        <v>177</v>
      </c>
      <c r="G499" t="s">
        <v>763</v>
      </c>
      <c r="I499" t="e">
        <f>VLOOKUP(C499,[1]Hoja1!$A$2:$N$29,1,0)</f>
        <v>#N/A</v>
      </c>
    </row>
    <row r="500" spans="1:9" hidden="1" x14ac:dyDescent="0.3">
      <c r="A500" s="2">
        <v>45639</v>
      </c>
      <c r="B500" s="3">
        <v>2024003145</v>
      </c>
      <c r="C500" s="3" t="s">
        <v>656</v>
      </c>
      <c r="D500" s="5">
        <v>6000000</v>
      </c>
      <c r="E500" s="3">
        <v>59825948</v>
      </c>
      <c r="F500" s="3" t="s">
        <v>657</v>
      </c>
      <c r="G500" t="s">
        <v>763</v>
      </c>
      <c r="I500" t="e">
        <f>VLOOKUP(C500,[1]Hoja1!$A$2:$N$29,1,0)</f>
        <v>#N/A</v>
      </c>
    </row>
    <row r="501" spans="1:9" hidden="1" x14ac:dyDescent="0.3">
      <c r="A501" s="2">
        <v>45639</v>
      </c>
      <c r="B501" s="3">
        <v>2024003146</v>
      </c>
      <c r="C501" s="3" t="s">
        <v>658</v>
      </c>
      <c r="D501" s="5">
        <v>1416100</v>
      </c>
      <c r="E501" s="3">
        <v>36754171</v>
      </c>
      <c r="F501" s="3" t="s">
        <v>659</v>
      </c>
      <c r="G501" t="s">
        <v>763</v>
      </c>
      <c r="I501" t="e">
        <f>VLOOKUP(C501,[1]Hoja1!$A$2:$N$29,1,0)</f>
        <v>#N/A</v>
      </c>
    </row>
    <row r="502" spans="1:9" hidden="1" x14ac:dyDescent="0.3">
      <c r="A502" s="2">
        <v>45639</v>
      </c>
      <c r="B502" s="3">
        <v>2024003147</v>
      </c>
      <c r="C502" s="3" t="s">
        <v>347</v>
      </c>
      <c r="D502" s="5">
        <v>3000000</v>
      </c>
      <c r="E502" s="3">
        <v>69028150</v>
      </c>
      <c r="F502" s="3" t="s">
        <v>348</v>
      </c>
      <c r="G502" t="s">
        <v>763</v>
      </c>
      <c r="I502" t="e">
        <f>VLOOKUP(C502,[1]Hoja1!$A$2:$N$29,1,0)</f>
        <v>#N/A</v>
      </c>
    </row>
    <row r="503" spans="1:9" hidden="1" x14ac:dyDescent="0.3">
      <c r="A503" s="2">
        <v>45639</v>
      </c>
      <c r="B503" s="3">
        <v>2024003148</v>
      </c>
      <c r="C503" s="3" t="s">
        <v>660</v>
      </c>
      <c r="D503" s="5">
        <v>3000000</v>
      </c>
      <c r="E503" s="3">
        <v>1085265947</v>
      </c>
      <c r="F503" s="3" t="s">
        <v>661</v>
      </c>
      <c r="G503" t="s">
        <v>763</v>
      </c>
      <c r="I503" t="e">
        <f>VLOOKUP(C503,[1]Hoja1!$A$2:$N$29,1,0)</f>
        <v>#N/A</v>
      </c>
    </row>
    <row r="504" spans="1:9" hidden="1" x14ac:dyDescent="0.3">
      <c r="A504" s="2">
        <v>45639</v>
      </c>
      <c r="B504" s="3">
        <v>2024003149</v>
      </c>
      <c r="C504" s="3" t="s">
        <v>662</v>
      </c>
      <c r="D504" s="5">
        <v>3000000</v>
      </c>
      <c r="E504" s="3">
        <v>1004131976</v>
      </c>
      <c r="F504" s="3" t="s">
        <v>663</v>
      </c>
      <c r="G504" t="s">
        <v>763</v>
      </c>
      <c r="I504" t="e">
        <f>VLOOKUP(C504,[1]Hoja1!$A$2:$N$29,1,0)</f>
        <v>#N/A</v>
      </c>
    </row>
    <row r="505" spans="1:9" hidden="1" x14ac:dyDescent="0.3">
      <c r="A505" s="2">
        <v>45639</v>
      </c>
      <c r="B505" s="3">
        <v>2024003150</v>
      </c>
      <c r="C505" s="3" t="s">
        <v>664</v>
      </c>
      <c r="D505" s="5">
        <v>4825000</v>
      </c>
      <c r="E505" s="3">
        <v>1085289539</v>
      </c>
      <c r="F505" s="3" t="s">
        <v>665</v>
      </c>
      <c r="G505" t="s">
        <v>763</v>
      </c>
      <c r="I505" t="e">
        <f>VLOOKUP(C505,[1]Hoja1!$A$2:$N$29,1,0)</f>
        <v>#N/A</v>
      </c>
    </row>
    <row r="506" spans="1:9" hidden="1" x14ac:dyDescent="0.3">
      <c r="A506" s="2">
        <v>45639</v>
      </c>
      <c r="B506" s="3">
        <v>2024003151</v>
      </c>
      <c r="C506" s="3" t="s">
        <v>313</v>
      </c>
      <c r="D506" s="5">
        <v>3000000</v>
      </c>
      <c r="E506" s="3">
        <v>36757213</v>
      </c>
      <c r="F506" s="3" t="s">
        <v>314</v>
      </c>
      <c r="G506" t="s">
        <v>763</v>
      </c>
      <c r="I506" t="e">
        <f>VLOOKUP(C506,[1]Hoja1!$A$2:$N$29,1,0)</f>
        <v>#N/A</v>
      </c>
    </row>
    <row r="507" spans="1:9" hidden="1" x14ac:dyDescent="0.3">
      <c r="A507" s="2">
        <v>45639</v>
      </c>
      <c r="B507" s="3">
        <v>2024003152</v>
      </c>
      <c r="C507" s="3" t="s">
        <v>148</v>
      </c>
      <c r="D507" s="5">
        <v>4750000</v>
      </c>
      <c r="E507" s="3">
        <v>59821282</v>
      </c>
      <c r="F507" s="3" t="s">
        <v>149</v>
      </c>
      <c r="G507" t="s">
        <v>763</v>
      </c>
      <c r="I507" t="e">
        <f>VLOOKUP(C507,[1]Hoja1!$A$2:$N$29,1,0)</f>
        <v>#N/A</v>
      </c>
    </row>
    <row r="508" spans="1:9" hidden="1" x14ac:dyDescent="0.3">
      <c r="A508" s="2">
        <v>45639</v>
      </c>
      <c r="B508" s="3">
        <v>2024003153</v>
      </c>
      <c r="C508" s="3" t="s">
        <v>460</v>
      </c>
      <c r="D508" s="5">
        <v>4750000</v>
      </c>
      <c r="E508" s="3">
        <v>1193383306</v>
      </c>
      <c r="F508" s="3" t="s">
        <v>461</v>
      </c>
      <c r="G508" t="s">
        <v>763</v>
      </c>
      <c r="I508" t="e">
        <f>VLOOKUP(C508,[1]Hoja1!$A$2:$N$29,1,0)</f>
        <v>#N/A</v>
      </c>
    </row>
    <row r="509" spans="1:9" hidden="1" x14ac:dyDescent="0.3">
      <c r="A509" s="2">
        <v>45639</v>
      </c>
      <c r="B509" s="3">
        <v>2024003154</v>
      </c>
      <c r="C509" s="3" t="s">
        <v>454</v>
      </c>
      <c r="D509" s="5">
        <v>2500000</v>
      </c>
      <c r="E509" s="3">
        <v>1085337465</v>
      </c>
      <c r="F509" s="3" t="s">
        <v>455</v>
      </c>
      <c r="G509" t="s">
        <v>763</v>
      </c>
      <c r="I509" t="e">
        <f>VLOOKUP(C509,[1]Hoja1!$A$2:$N$29,1,0)</f>
        <v>#N/A</v>
      </c>
    </row>
    <row r="510" spans="1:9" hidden="1" x14ac:dyDescent="0.3">
      <c r="A510" s="2">
        <v>45639</v>
      </c>
      <c r="B510" s="3">
        <v>2024003155</v>
      </c>
      <c r="C510" s="3" t="s">
        <v>138</v>
      </c>
      <c r="D510" s="5">
        <v>3000000</v>
      </c>
      <c r="E510" s="3">
        <v>59178610</v>
      </c>
      <c r="F510" s="3" t="s">
        <v>139</v>
      </c>
      <c r="G510" t="s">
        <v>763</v>
      </c>
      <c r="I510" t="e">
        <f>VLOOKUP(C510,[1]Hoja1!$A$2:$N$29,1,0)</f>
        <v>#N/A</v>
      </c>
    </row>
    <row r="511" spans="1:9" hidden="1" x14ac:dyDescent="0.3">
      <c r="A511" s="2">
        <v>45639</v>
      </c>
      <c r="B511" s="3">
        <v>2024003156</v>
      </c>
      <c r="C511" s="3" t="s">
        <v>172</v>
      </c>
      <c r="D511" s="5">
        <v>3000000</v>
      </c>
      <c r="E511" s="3">
        <v>36954407</v>
      </c>
      <c r="F511" s="3" t="s">
        <v>173</v>
      </c>
      <c r="G511" t="s">
        <v>763</v>
      </c>
      <c r="I511" t="e">
        <f>VLOOKUP(C511,[1]Hoja1!$A$2:$N$29,1,0)</f>
        <v>#N/A</v>
      </c>
    </row>
    <row r="512" spans="1:9" hidden="1" x14ac:dyDescent="0.3">
      <c r="A512" s="2">
        <v>45639</v>
      </c>
      <c r="B512" s="3">
        <v>2024003157</v>
      </c>
      <c r="C512" s="3" t="s">
        <v>401</v>
      </c>
      <c r="D512" s="5">
        <v>3000000</v>
      </c>
      <c r="E512" s="3">
        <v>27082649</v>
      </c>
      <c r="F512" s="3" t="s">
        <v>40</v>
      </c>
      <c r="G512" t="s">
        <v>763</v>
      </c>
      <c r="I512" t="e">
        <f>VLOOKUP(C512,[1]Hoja1!$A$2:$N$29,1,0)</f>
        <v>#N/A</v>
      </c>
    </row>
    <row r="513" spans="1:9" hidden="1" x14ac:dyDescent="0.3">
      <c r="A513" s="2">
        <v>45639</v>
      </c>
      <c r="B513" s="3">
        <v>2024003158</v>
      </c>
      <c r="C513" s="3" t="s">
        <v>572</v>
      </c>
      <c r="D513" s="5">
        <v>7540000</v>
      </c>
      <c r="E513" s="3">
        <v>1085296958</v>
      </c>
      <c r="F513" s="3" t="s">
        <v>573</v>
      </c>
      <c r="G513" t="s">
        <v>763</v>
      </c>
      <c r="I513" t="e">
        <f>VLOOKUP(C513,[1]Hoja1!$A$2:$N$29,1,0)</f>
        <v>#N/A</v>
      </c>
    </row>
    <row r="514" spans="1:9" hidden="1" x14ac:dyDescent="0.3">
      <c r="A514" s="2">
        <v>45642</v>
      </c>
      <c r="B514" s="3">
        <v>2024003159</v>
      </c>
      <c r="C514" s="3" t="s">
        <v>585</v>
      </c>
      <c r="D514" s="5">
        <v>4825000</v>
      </c>
      <c r="E514" s="3">
        <v>1085332406</v>
      </c>
      <c r="F514" s="3" t="s">
        <v>586</v>
      </c>
      <c r="G514" t="s">
        <v>763</v>
      </c>
      <c r="I514" t="e">
        <f>VLOOKUP(C514,[1]Hoja1!$A$2:$N$29,1,0)</f>
        <v>#N/A</v>
      </c>
    </row>
    <row r="515" spans="1:9" hidden="1" x14ac:dyDescent="0.3">
      <c r="A515" s="2">
        <v>45642</v>
      </c>
      <c r="B515" s="3">
        <v>2024003160</v>
      </c>
      <c r="C515" s="3" t="s">
        <v>666</v>
      </c>
      <c r="D515" s="5">
        <v>916300</v>
      </c>
      <c r="E515" s="3">
        <v>30736949</v>
      </c>
      <c r="F515" s="3" t="s">
        <v>667</v>
      </c>
      <c r="G515" t="s">
        <v>763</v>
      </c>
      <c r="I515" t="e">
        <f>VLOOKUP(C515,[1]Hoja1!$A$2:$N$29,1,0)</f>
        <v>#N/A</v>
      </c>
    </row>
    <row r="516" spans="1:9" hidden="1" x14ac:dyDescent="0.3">
      <c r="A516" s="2">
        <v>45642</v>
      </c>
      <c r="B516" s="3">
        <v>2024003161</v>
      </c>
      <c r="C516" s="3" t="s">
        <v>666</v>
      </c>
      <c r="D516" s="5">
        <v>2500000</v>
      </c>
      <c r="E516" s="3">
        <v>30736949</v>
      </c>
      <c r="F516" s="3" t="s">
        <v>667</v>
      </c>
      <c r="G516" t="s">
        <v>763</v>
      </c>
      <c r="I516" t="e">
        <f>VLOOKUP(C516,[1]Hoja1!$A$2:$N$29,1,0)</f>
        <v>#N/A</v>
      </c>
    </row>
    <row r="517" spans="1:9" hidden="1" x14ac:dyDescent="0.3">
      <c r="A517" s="2">
        <v>45642</v>
      </c>
      <c r="B517" s="3">
        <v>2024003162</v>
      </c>
      <c r="C517" s="3" t="s">
        <v>668</v>
      </c>
      <c r="D517" s="5">
        <v>804000</v>
      </c>
      <c r="E517" s="3">
        <v>1080900817</v>
      </c>
      <c r="F517" s="3" t="s">
        <v>669</v>
      </c>
      <c r="G517" t="s">
        <v>763</v>
      </c>
      <c r="I517" t="e">
        <f>VLOOKUP(C517,[1]Hoja1!$A$2:$N$29,1,0)</f>
        <v>#N/A</v>
      </c>
    </row>
    <row r="518" spans="1:9" hidden="1" x14ac:dyDescent="0.3">
      <c r="A518" s="2">
        <v>45642</v>
      </c>
      <c r="B518" s="3">
        <v>2024003163</v>
      </c>
      <c r="C518" s="3" t="s">
        <v>670</v>
      </c>
      <c r="D518" s="5">
        <v>7540000</v>
      </c>
      <c r="E518" s="3">
        <v>1193279435</v>
      </c>
      <c r="F518" s="3" t="s">
        <v>671</v>
      </c>
      <c r="G518" t="s">
        <v>763</v>
      </c>
      <c r="I518" t="str">
        <f>VLOOKUP(C518,[1]Hoja1!$A$2:$N$29,1,0)</f>
        <v>668-2024</v>
      </c>
    </row>
    <row r="519" spans="1:9" hidden="1" x14ac:dyDescent="0.3">
      <c r="A519" s="2">
        <v>45642</v>
      </c>
      <c r="B519" s="3">
        <v>2024003164</v>
      </c>
      <c r="C519" s="3" t="s">
        <v>568</v>
      </c>
      <c r="D519" s="5">
        <v>7540000</v>
      </c>
      <c r="E519" s="3">
        <v>87065647</v>
      </c>
      <c r="F519" s="3" t="s">
        <v>569</v>
      </c>
      <c r="G519" t="s">
        <v>763</v>
      </c>
      <c r="I519" t="e">
        <f>VLOOKUP(C519,[1]Hoja1!$A$2:$N$29,1,0)</f>
        <v>#N/A</v>
      </c>
    </row>
    <row r="520" spans="1:9" hidden="1" x14ac:dyDescent="0.3">
      <c r="A520" s="2">
        <v>45642</v>
      </c>
      <c r="B520" s="3">
        <v>2024003165</v>
      </c>
      <c r="C520" s="3" t="s">
        <v>373</v>
      </c>
      <c r="D520" s="5">
        <v>7540000</v>
      </c>
      <c r="E520" s="3">
        <v>80765093</v>
      </c>
      <c r="F520" s="3" t="s">
        <v>374</v>
      </c>
      <c r="G520" t="s">
        <v>763</v>
      </c>
      <c r="I520" t="e">
        <f>VLOOKUP(C520,[1]Hoja1!$A$2:$N$29,1,0)</f>
        <v>#N/A</v>
      </c>
    </row>
    <row r="521" spans="1:9" hidden="1" x14ac:dyDescent="0.3">
      <c r="A521" s="2">
        <v>45642</v>
      </c>
      <c r="B521" s="3">
        <v>2024003166</v>
      </c>
      <c r="C521" s="3" t="s">
        <v>286</v>
      </c>
      <c r="D521" s="5">
        <v>7540000</v>
      </c>
      <c r="E521" s="3">
        <v>1233191998</v>
      </c>
      <c r="F521" s="3" t="s">
        <v>287</v>
      </c>
      <c r="G521" t="s">
        <v>763</v>
      </c>
      <c r="I521" t="e">
        <f>VLOOKUP(C521,[1]Hoja1!$A$2:$N$29,1,0)</f>
        <v>#N/A</v>
      </c>
    </row>
    <row r="522" spans="1:9" hidden="1" x14ac:dyDescent="0.3">
      <c r="A522" s="2">
        <v>45642</v>
      </c>
      <c r="B522" s="3">
        <v>2024003167</v>
      </c>
      <c r="C522" s="3" t="s">
        <v>142</v>
      </c>
      <c r="D522" s="5">
        <v>6000000</v>
      </c>
      <c r="E522" s="3">
        <v>59837608</v>
      </c>
      <c r="F522" s="3" t="s">
        <v>143</v>
      </c>
      <c r="G522" t="s">
        <v>763</v>
      </c>
      <c r="I522" t="e">
        <f>VLOOKUP(C522,[1]Hoja1!$A$2:$N$29,1,0)</f>
        <v>#N/A</v>
      </c>
    </row>
    <row r="523" spans="1:9" hidden="1" x14ac:dyDescent="0.3">
      <c r="A523" s="2">
        <v>45642</v>
      </c>
      <c r="B523" s="3">
        <v>2024003168</v>
      </c>
      <c r="C523" s="3" t="s">
        <v>522</v>
      </c>
      <c r="D523" s="5">
        <v>6000000</v>
      </c>
      <c r="E523" s="3">
        <v>1085272491</v>
      </c>
      <c r="F523" s="3" t="s">
        <v>523</v>
      </c>
      <c r="G523" t="s">
        <v>763</v>
      </c>
      <c r="I523" t="e">
        <f>VLOOKUP(C523,[1]Hoja1!$A$2:$N$29,1,0)</f>
        <v>#N/A</v>
      </c>
    </row>
    <row r="524" spans="1:9" hidden="1" x14ac:dyDescent="0.3">
      <c r="A524" s="2">
        <v>45642</v>
      </c>
      <c r="B524" s="3">
        <v>2024003169</v>
      </c>
      <c r="C524" s="3" t="s">
        <v>548</v>
      </c>
      <c r="D524" s="5">
        <v>4750000</v>
      </c>
      <c r="E524" s="3">
        <v>36953206</v>
      </c>
      <c r="F524" s="3" t="s">
        <v>549</v>
      </c>
      <c r="G524" t="s">
        <v>763</v>
      </c>
      <c r="I524" t="e">
        <f>VLOOKUP(C524,[1]Hoja1!$A$2:$N$29,1,0)</f>
        <v>#N/A</v>
      </c>
    </row>
    <row r="525" spans="1:9" hidden="1" x14ac:dyDescent="0.3">
      <c r="A525" s="2">
        <v>45642</v>
      </c>
      <c r="B525" s="3">
        <v>2024003170</v>
      </c>
      <c r="C525" s="3" t="s">
        <v>108</v>
      </c>
      <c r="D525" s="5">
        <v>6000000</v>
      </c>
      <c r="E525" s="3">
        <v>1010010954</v>
      </c>
      <c r="F525" s="3" t="s">
        <v>109</v>
      </c>
      <c r="G525" t="s">
        <v>763</v>
      </c>
      <c r="I525" t="e">
        <f>VLOOKUP(C525,[1]Hoja1!$A$2:$N$29,1,0)</f>
        <v>#N/A</v>
      </c>
    </row>
    <row r="526" spans="1:9" hidden="1" x14ac:dyDescent="0.3">
      <c r="A526" s="2">
        <v>45642</v>
      </c>
      <c r="B526" s="3">
        <v>2024003171</v>
      </c>
      <c r="C526" s="3" t="s">
        <v>383</v>
      </c>
      <c r="D526" s="5">
        <v>3000000</v>
      </c>
      <c r="E526" s="3">
        <v>1085330237</v>
      </c>
      <c r="F526" s="3" t="s">
        <v>384</v>
      </c>
      <c r="G526" t="s">
        <v>763</v>
      </c>
      <c r="I526" t="e">
        <f>VLOOKUP(C526,[1]Hoja1!$A$2:$N$29,1,0)</f>
        <v>#N/A</v>
      </c>
    </row>
    <row r="527" spans="1:9" hidden="1" x14ac:dyDescent="0.3">
      <c r="A527" s="2">
        <v>45642</v>
      </c>
      <c r="B527" s="3">
        <v>2024003172</v>
      </c>
      <c r="C527" s="3" t="s">
        <v>377</v>
      </c>
      <c r="D527" s="5">
        <v>3000000</v>
      </c>
      <c r="E527" s="3">
        <v>59834953</v>
      </c>
      <c r="F527" s="3" t="s">
        <v>378</v>
      </c>
      <c r="G527" t="s">
        <v>763</v>
      </c>
      <c r="I527" t="e">
        <f>VLOOKUP(C527,[1]Hoja1!$A$2:$N$29,1,0)</f>
        <v>#N/A</v>
      </c>
    </row>
    <row r="528" spans="1:9" hidden="1" x14ac:dyDescent="0.3">
      <c r="A528" s="2">
        <v>45642</v>
      </c>
      <c r="B528" s="3">
        <v>2024003173</v>
      </c>
      <c r="C528" s="3" t="s">
        <v>387</v>
      </c>
      <c r="D528" s="5">
        <v>4825000</v>
      </c>
      <c r="E528" s="3">
        <v>1085337969</v>
      </c>
      <c r="F528" s="3" t="s">
        <v>388</v>
      </c>
      <c r="G528" t="s">
        <v>763</v>
      </c>
      <c r="I528" t="e">
        <f>VLOOKUP(C528,[1]Hoja1!$A$2:$N$29,1,0)</f>
        <v>#N/A</v>
      </c>
    </row>
    <row r="529" spans="1:9" hidden="1" x14ac:dyDescent="0.3">
      <c r="A529" s="2">
        <v>45642</v>
      </c>
      <c r="B529" s="3">
        <v>2024003174</v>
      </c>
      <c r="C529" s="3" t="s">
        <v>550</v>
      </c>
      <c r="D529" s="5">
        <v>4750000</v>
      </c>
      <c r="E529" s="3">
        <v>1018492767</v>
      </c>
      <c r="F529" s="3" t="s">
        <v>551</v>
      </c>
      <c r="G529" t="s">
        <v>763</v>
      </c>
      <c r="I529" t="e">
        <f>VLOOKUP(C529,[1]Hoja1!$A$2:$N$29,1,0)</f>
        <v>#N/A</v>
      </c>
    </row>
    <row r="530" spans="1:9" hidden="1" x14ac:dyDescent="0.3">
      <c r="A530" s="2">
        <v>45642</v>
      </c>
      <c r="B530" s="3">
        <v>2024003175</v>
      </c>
      <c r="C530" s="3" t="s">
        <v>672</v>
      </c>
      <c r="D530" s="5">
        <v>2500000</v>
      </c>
      <c r="E530" s="3">
        <v>1081052090</v>
      </c>
      <c r="F530" s="3" t="s">
        <v>24</v>
      </c>
      <c r="G530" t="s">
        <v>763</v>
      </c>
      <c r="I530" t="e">
        <f>VLOOKUP(C530,[1]Hoja1!$A$2:$N$29,1,0)</f>
        <v>#N/A</v>
      </c>
    </row>
    <row r="531" spans="1:9" hidden="1" x14ac:dyDescent="0.3">
      <c r="A531" s="2">
        <v>45642</v>
      </c>
      <c r="B531" s="3">
        <v>2024003176</v>
      </c>
      <c r="C531" s="3" t="s">
        <v>673</v>
      </c>
      <c r="D531" s="5">
        <v>1416100</v>
      </c>
      <c r="E531" s="3">
        <v>12990231</v>
      </c>
      <c r="F531" s="3" t="s">
        <v>674</v>
      </c>
      <c r="G531" t="s">
        <v>763</v>
      </c>
      <c r="I531" t="e">
        <f>VLOOKUP(C531,[1]Hoja1!$A$2:$N$29,1,0)</f>
        <v>#N/A</v>
      </c>
    </row>
    <row r="532" spans="1:9" hidden="1" x14ac:dyDescent="0.3">
      <c r="A532" s="2">
        <v>45642</v>
      </c>
      <c r="B532" s="3">
        <v>2024003177</v>
      </c>
      <c r="C532" s="3" t="s">
        <v>81</v>
      </c>
      <c r="D532" s="5">
        <v>4825000</v>
      </c>
      <c r="E532" s="3">
        <v>1085283723</v>
      </c>
      <c r="F532" s="3" t="s">
        <v>82</v>
      </c>
      <c r="G532" t="s">
        <v>763</v>
      </c>
      <c r="I532" t="e">
        <f>VLOOKUP(C532,[1]Hoja1!$A$2:$N$29,1,0)</f>
        <v>#N/A</v>
      </c>
    </row>
    <row r="533" spans="1:9" hidden="1" x14ac:dyDescent="0.3">
      <c r="A533" s="2">
        <v>45642</v>
      </c>
      <c r="B533" s="3">
        <v>2024003178</v>
      </c>
      <c r="C533" s="3" t="s">
        <v>532</v>
      </c>
      <c r="D533" s="5">
        <v>3000000</v>
      </c>
      <c r="E533" s="3">
        <v>1080043348</v>
      </c>
      <c r="F533" s="3" t="s">
        <v>533</v>
      </c>
      <c r="G533" t="s">
        <v>763</v>
      </c>
      <c r="I533" t="e">
        <f>VLOOKUP(C533,[1]Hoja1!$A$2:$N$29,1,0)</f>
        <v>#N/A</v>
      </c>
    </row>
    <row r="534" spans="1:9" hidden="1" x14ac:dyDescent="0.3">
      <c r="A534" s="2">
        <v>45642</v>
      </c>
      <c r="B534" s="3">
        <v>2024003179</v>
      </c>
      <c r="C534" s="3" t="s">
        <v>79</v>
      </c>
      <c r="D534" s="5">
        <v>4825000</v>
      </c>
      <c r="E534" s="3">
        <v>1085273986</v>
      </c>
      <c r="F534" s="3" t="s">
        <v>80</v>
      </c>
      <c r="G534" t="s">
        <v>763</v>
      </c>
      <c r="I534" t="e">
        <f>VLOOKUP(C534,[1]Hoja1!$A$2:$N$29,1,0)</f>
        <v>#N/A</v>
      </c>
    </row>
    <row r="535" spans="1:9" hidden="1" x14ac:dyDescent="0.3">
      <c r="A535" s="2">
        <v>45642</v>
      </c>
      <c r="B535" s="3">
        <v>2024003180</v>
      </c>
      <c r="C535" s="3" t="s">
        <v>508</v>
      </c>
      <c r="D535" s="5">
        <v>3000000</v>
      </c>
      <c r="E535" s="3">
        <v>37083086</v>
      </c>
      <c r="F535" s="3" t="s">
        <v>509</v>
      </c>
      <c r="G535" t="s">
        <v>763</v>
      </c>
      <c r="I535" t="e">
        <f>VLOOKUP(C535,[1]Hoja1!$A$2:$N$29,1,0)</f>
        <v>#N/A</v>
      </c>
    </row>
    <row r="536" spans="1:9" hidden="1" x14ac:dyDescent="0.3">
      <c r="A536" s="2">
        <v>45642</v>
      </c>
      <c r="B536" s="3">
        <v>2024003181</v>
      </c>
      <c r="C536" s="3" t="s">
        <v>89</v>
      </c>
      <c r="D536" s="5">
        <v>4825000</v>
      </c>
      <c r="E536" s="3">
        <v>1085338534</v>
      </c>
      <c r="F536" s="3" t="s">
        <v>90</v>
      </c>
      <c r="G536" t="s">
        <v>763</v>
      </c>
      <c r="I536" t="e">
        <f>VLOOKUP(C536,[1]Hoja1!$A$2:$N$29,1,0)</f>
        <v>#N/A</v>
      </c>
    </row>
    <row r="537" spans="1:9" hidden="1" x14ac:dyDescent="0.3">
      <c r="A537" s="2">
        <v>45642</v>
      </c>
      <c r="B537" s="3">
        <v>2024003182</v>
      </c>
      <c r="C537" s="3" t="s">
        <v>56</v>
      </c>
      <c r="D537" s="5">
        <v>3000000</v>
      </c>
      <c r="E537" s="3">
        <v>1085326198</v>
      </c>
      <c r="F537" s="3" t="s">
        <v>57</v>
      </c>
      <c r="G537" t="s">
        <v>763</v>
      </c>
      <c r="I537" t="e">
        <f>VLOOKUP(C537,[1]Hoja1!$A$2:$N$29,1,0)</f>
        <v>#N/A</v>
      </c>
    </row>
    <row r="538" spans="1:9" hidden="1" x14ac:dyDescent="0.3">
      <c r="A538" s="2">
        <v>45642</v>
      </c>
      <c r="B538" s="3">
        <v>2024003183</v>
      </c>
      <c r="C538" s="3" t="s">
        <v>534</v>
      </c>
      <c r="D538" s="5">
        <v>3000000</v>
      </c>
      <c r="E538" s="3">
        <v>1193224810</v>
      </c>
      <c r="F538" s="3" t="s">
        <v>535</v>
      </c>
      <c r="G538" t="s">
        <v>763</v>
      </c>
      <c r="I538" t="e">
        <f>VLOOKUP(C538,[1]Hoja1!$A$2:$N$29,1,0)</f>
        <v>#N/A</v>
      </c>
    </row>
    <row r="539" spans="1:9" hidden="1" x14ac:dyDescent="0.3">
      <c r="A539" s="2">
        <v>45642</v>
      </c>
      <c r="B539" s="3">
        <v>2024003184</v>
      </c>
      <c r="C539" s="3" t="s">
        <v>101</v>
      </c>
      <c r="D539" s="5">
        <v>6000000</v>
      </c>
      <c r="E539" s="3">
        <v>36951002</v>
      </c>
      <c r="F539" s="3" t="s">
        <v>102</v>
      </c>
      <c r="G539" t="s">
        <v>763</v>
      </c>
      <c r="I539" t="e">
        <f>VLOOKUP(C539,[1]Hoja1!$A$2:$N$29,1,0)</f>
        <v>#N/A</v>
      </c>
    </row>
    <row r="540" spans="1:9" hidden="1" x14ac:dyDescent="0.3">
      <c r="A540" s="2">
        <v>45642</v>
      </c>
      <c r="B540" s="3">
        <v>2024003186</v>
      </c>
      <c r="C540" s="3" t="s">
        <v>97</v>
      </c>
      <c r="D540" s="5">
        <v>3000000</v>
      </c>
      <c r="E540" s="3">
        <v>1004635031</v>
      </c>
      <c r="F540" s="3" t="s">
        <v>98</v>
      </c>
      <c r="G540" t="s">
        <v>763</v>
      </c>
      <c r="I540" t="e">
        <f>VLOOKUP(C540,[1]Hoja1!$A$2:$N$29,1,0)</f>
        <v>#N/A</v>
      </c>
    </row>
    <row r="541" spans="1:9" hidden="1" x14ac:dyDescent="0.3">
      <c r="A541" s="2">
        <v>45642</v>
      </c>
      <c r="B541" s="3">
        <v>2024003187</v>
      </c>
      <c r="C541" s="3" t="s">
        <v>192</v>
      </c>
      <c r="D541" s="5">
        <v>2500000</v>
      </c>
      <c r="E541" s="3">
        <v>1081595853</v>
      </c>
      <c r="F541" s="3" t="s">
        <v>193</v>
      </c>
      <c r="G541" t="s">
        <v>763</v>
      </c>
      <c r="I541" t="e">
        <f>VLOOKUP(C541,[1]Hoja1!$A$2:$N$29,1,0)</f>
        <v>#N/A</v>
      </c>
    </row>
    <row r="542" spans="1:9" hidden="1" x14ac:dyDescent="0.3">
      <c r="A542" s="2">
        <v>45642</v>
      </c>
      <c r="B542" s="3">
        <v>2024003188</v>
      </c>
      <c r="C542" s="3" t="s">
        <v>512</v>
      </c>
      <c r="D542" s="5">
        <v>3000000</v>
      </c>
      <c r="E542" s="3">
        <v>1004234290</v>
      </c>
      <c r="F542" s="3" t="s">
        <v>513</v>
      </c>
      <c r="G542" t="s">
        <v>763</v>
      </c>
      <c r="I542" t="e">
        <f>VLOOKUP(C542,[1]Hoja1!$A$2:$N$29,1,0)</f>
        <v>#N/A</v>
      </c>
    </row>
    <row r="543" spans="1:9" hidden="1" x14ac:dyDescent="0.3">
      <c r="A543" s="2">
        <v>45642</v>
      </c>
      <c r="B543" s="3">
        <v>2024003189</v>
      </c>
      <c r="C543" s="3" t="s">
        <v>458</v>
      </c>
      <c r="D543" s="5">
        <v>3000000</v>
      </c>
      <c r="E543" s="3">
        <v>1085266584</v>
      </c>
      <c r="F543" s="3" t="s">
        <v>459</v>
      </c>
      <c r="G543" t="s">
        <v>763</v>
      </c>
      <c r="I543" t="e">
        <f>VLOOKUP(C543,[1]Hoja1!$A$2:$N$29,1,0)</f>
        <v>#N/A</v>
      </c>
    </row>
    <row r="544" spans="1:9" hidden="1" x14ac:dyDescent="0.3">
      <c r="A544" s="2">
        <v>45642</v>
      </c>
      <c r="B544" s="3">
        <v>2024003190</v>
      </c>
      <c r="C544" s="3" t="s">
        <v>476</v>
      </c>
      <c r="D544" s="5">
        <v>2500000</v>
      </c>
      <c r="E544" s="3">
        <v>1085281545</v>
      </c>
      <c r="F544" s="3" t="s">
        <v>477</v>
      </c>
      <c r="G544" t="s">
        <v>763</v>
      </c>
      <c r="I544" t="e">
        <f>VLOOKUP(C544,[1]Hoja1!$A$2:$N$29,1,0)</f>
        <v>#N/A</v>
      </c>
    </row>
    <row r="545" spans="1:9" hidden="1" x14ac:dyDescent="0.3">
      <c r="A545" s="2">
        <v>45642</v>
      </c>
      <c r="B545" s="3">
        <v>2024003191</v>
      </c>
      <c r="C545" s="3" t="s">
        <v>432</v>
      </c>
      <c r="D545" s="5">
        <v>3000000</v>
      </c>
      <c r="E545" s="3">
        <v>59310433</v>
      </c>
      <c r="F545" s="3" t="s">
        <v>433</v>
      </c>
      <c r="G545" t="s">
        <v>763</v>
      </c>
      <c r="I545" t="e">
        <f>VLOOKUP(C545,[1]Hoja1!$A$2:$N$29,1,0)</f>
        <v>#N/A</v>
      </c>
    </row>
    <row r="546" spans="1:9" hidden="1" x14ac:dyDescent="0.3">
      <c r="A546" s="2">
        <v>45642</v>
      </c>
      <c r="B546" s="3">
        <v>2024003192</v>
      </c>
      <c r="C546" s="3" t="s">
        <v>675</v>
      </c>
      <c r="D546" s="5">
        <v>804000</v>
      </c>
      <c r="E546" s="3">
        <v>1085319572</v>
      </c>
      <c r="F546" s="3" t="s">
        <v>676</v>
      </c>
      <c r="G546" t="s">
        <v>763</v>
      </c>
      <c r="I546" t="e">
        <f>VLOOKUP(C546,[1]Hoja1!$A$2:$N$29,1,0)</f>
        <v>#N/A</v>
      </c>
    </row>
    <row r="547" spans="1:9" hidden="1" x14ac:dyDescent="0.3">
      <c r="A547" s="2">
        <v>45642</v>
      </c>
      <c r="B547" s="3">
        <v>2024003193</v>
      </c>
      <c r="C547" s="3" t="s">
        <v>259</v>
      </c>
      <c r="D547" s="5">
        <v>3000000</v>
      </c>
      <c r="E547" s="3">
        <v>1010113730</v>
      </c>
      <c r="F547" s="3" t="s">
        <v>260</v>
      </c>
      <c r="G547" t="s">
        <v>763</v>
      </c>
      <c r="I547" t="e">
        <f>VLOOKUP(C547,[1]Hoja1!$A$2:$N$29,1,0)</f>
        <v>#N/A</v>
      </c>
    </row>
    <row r="548" spans="1:9" hidden="1" x14ac:dyDescent="0.3">
      <c r="A548" s="2">
        <v>45645</v>
      </c>
      <c r="B548" s="3">
        <v>2024003420</v>
      </c>
      <c r="C548" s="3" t="s">
        <v>670</v>
      </c>
      <c r="D548" s="5">
        <v>7540000</v>
      </c>
      <c r="E548" s="3">
        <v>1193279435</v>
      </c>
      <c r="F548" s="3" t="s">
        <v>671</v>
      </c>
      <c r="G548" t="s">
        <v>763</v>
      </c>
      <c r="I548" t="str">
        <f>VLOOKUP(C548,[1]Hoja1!$A$2:$N$29,1,0)</f>
        <v>668-2024</v>
      </c>
    </row>
    <row r="549" spans="1:9" hidden="1" x14ac:dyDescent="0.3">
      <c r="A549" s="2">
        <v>45642</v>
      </c>
      <c r="B549" s="3">
        <v>2024003195</v>
      </c>
      <c r="C549" s="3" t="s">
        <v>381</v>
      </c>
      <c r="D549" s="5">
        <v>2500000</v>
      </c>
      <c r="E549" s="3">
        <v>37087268</v>
      </c>
      <c r="F549" s="3" t="s">
        <v>382</v>
      </c>
      <c r="G549" t="s">
        <v>763</v>
      </c>
      <c r="I549" t="e">
        <f>VLOOKUP(C549,[1]Hoja1!$A$2:$N$29,1,0)</f>
        <v>#N/A</v>
      </c>
    </row>
    <row r="550" spans="1:9" hidden="1" x14ac:dyDescent="0.3">
      <c r="A550" s="2">
        <v>45642</v>
      </c>
      <c r="B550" s="3">
        <v>2024003196</v>
      </c>
      <c r="C550" s="3" t="s">
        <v>406</v>
      </c>
      <c r="D550" s="5">
        <v>3000000</v>
      </c>
      <c r="E550" s="3">
        <v>98382500</v>
      </c>
      <c r="F550" s="3" t="s">
        <v>407</v>
      </c>
      <c r="G550" t="s">
        <v>763</v>
      </c>
      <c r="I550" t="e">
        <f>VLOOKUP(C550,[1]Hoja1!$A$2:$N$29,1,0)</f>
        <v>#N/A</v>
      </c>
    </row>
    <row r="551" spans="1:9" hidden="1" x14ac:dyDescent="0.3">
      <c r="A551" s="2">
        <v>45642</v>
      </c>
      <c r="B551" s="3">
        <v>2024003198</v>
      </c>
      <c r="C551" s="3" t="s">
        <v>232</v>
      </c>
      <c r="D551" s="5">
        <v>7540000</v>
      </c>
      <c r="E551" s="3">
        <v>1233192708</v>
      </c>
      <c r="F551" s="3" t="s">
        <v>34</v>
      </c>
      <c r="G551" t="s">
        <v>763</v>
      </c>
      <c r="I551" t="e">
        <f>VLOOKUP(C551,[1]Hoja1!$A$2:$N$29,1,0)</f>
        <v>#N/A</v>
      </c>
    </row>
    <row r="552" spans="1:9" hidden="1" x14ac:dyDescent="0.3">
      <c r="A552" s="2">
        <v>45642</v>
      </c>
      <c r="B552" s="3">
        <v>2024003199</v>
      </c>
      <c r="C552" s="3" t="s">
        <v>309</v>
      </c>
      <c r="D552" s="5">
        <v>2500000</v>
      </c>
      <c r="E552" s="3">
        <v>36757715</v>
      </c>
      <c r="F552" s="3" t="s">
        <v>310</v>
      </c>
      <c r="G552" t="s">
        <v>763</v>
      </c>
      <c r="I552" t="e">
        <f>VLOOKUP(C552,[1]Hoja1!$A$2:$N$29,1,0)</f>
        <v>#N/A</v>
      </c>
    </row>
    <row r="553" spans="1:9" hidden="1" x14ac:dyDescent="0.3">
      <c r="A553" s="2">
        <v>45642</v>
      </c>
      <c r="B553" s="3">
        <v>2024003200</v>
      </c>
      <c r="C553" s="3" t="s">
        <v>677</v>
      </c>
      <c r="D553" s="5">
        <v>2500000</v>
      </c>
      <c r="E553" s="3">
        <v>36757507</v>
      </c>
      <c r="F553" s="3" t="s">
        <v>678</v>
      </c>
      <c r="G553" t="s">
        <v>763</v>
      </c>
      <c r="I553" t="e">
        <f>VLOOKUP(C553,[1]Hoja1!$A$2:$N$29,1,0)</f>
        <v>#N/A</v>
      </c>
    </row>
    <row r="554" spans="1:9" hidden="1" x14ac:dyDescent="0.3">
      <c r="A554" s="2">
        <v>45642</v>
      </c>
      <c r="B554" s="3">
        <v>2024003201</v>
      </c>
      <c r="C554" s="3" t="s">
        <v>71</v>
      </c>
      <c r="D554" s="5">
        <v>6000000</v>
      </c>
      <c r="E554" s="3">
        <v>1085313872</v>
      </c>
      <c r="F554" s="3" t="s">
        <v>72</v>
      </c>
      <c r="G554" t="s">
        <v>763</v>
      </c>
      <c r="I554" t="e">
        <f>VLOOKUP(C554,[1]Hoja1!$A$2:$N$29,1,0)</f>
        <v>#N/A</v>
      </c>
    </row>
    <row r="555" spans="1:9" hidden="1" x14ac:dyDescent="0.3">
      <c r="A555" s="2">
        <v>45642</v>
      </c>
      <c r="B555" s="3">
        <v>2024003202</v>
      </c>
      <c r="C555" s="3" t="s">
        <v>679</v>
      </c>
      <c r="D555" s="5">
        <v>3000000</v>
      </c>
      <c r="E555" s="3">
        <v>37083324</v>
      </c>
      <c r="F555" s="3" t="s">
        <v>680</v>
      </c>
      <c r="G555" t="s">
        <v>763</v>
      </c>
      <c r="I555" t="e">
        <f>VLOOKUP(C555,[1]Hoja1!$A$2:$N$29,1,0)</f>
        <v>#N/A</v>
      </c>
    </row>
    <row r="556" spans="1:9" hidden="1" x14ac:dyDescent="0.3">
      <c r="A556" s="2">
        <v>45642</v>
      </c>
      <c r="B556" s="3">
        <v>2024003203</v>
      </c>
      <c r="C556" s="3" t="s">
        <v>436</v>
      </c>
      <c r="D556" s="5">
        <v>4825000</v>
      </c>
      <c r="E556" s="3">
        <v>1085265622</v>
      </c>
      <c r="F556" s="3" t="s">
        <v>437</v>
      </c>
      <c r="G556" t="s">
        <v>763</v>
      </c>
      <c r="I556" t="e">
        <f>VLOOKUP(C556,[1]Hoja1!$A$2:$N$29,1,0)</f>
        <v>#N/A</v>
      </c>
    </row>
    <row r="557" spans="1:9" hidden="1" x14ac:dyDescent="0.3">
      <c r="A557" s="2">
        <v>45642</v>
      </c>
      <c r="B557" s="3">
        <v>2024003204</v>
      </c>
      <c r="C557" s="3" t="s">
        <v>536</v>
      </c>
      <c r="D557" s="5">
        <v>3000000</v>
      </c>
      <c r="E557" s="3">
        <v>1085302942</v>
      </c>
      <c r="F557" s="3" t="s">
        <v>537</v>
      </c>
      <c r="G557" t="s">
        <v>763</v>
      </c>
      <c r="I557" t="e">
        <f>VLOOKUP(C557,[1]Hoja1!$A$2:$N$29,1,0)</f>
        <v>#N/A</v>
      </c>
    </row>
    <row r="558" spans="1:9" hidden="1" x14ac:dyDescent="0.3">
      <c r="A558" s="2">
        <v>45652</v>
      </c>
      <c r="B558" s="3">
        <v>2024003828</v>
      </c>
      <c r="C558" s="3" t="s">
        <v>670</v>
      </c>
      <c r="D558" s="5">
        <v>6283000</v>
      </c>
      <c r="E558" s="3">
        <v>1193279435</v>
      </c>
      <c r="F558" s="3" t="s">
        <v>671</v>
      </c>
      <c r="G558" t="s">
        <v>763</v>
      </c>
      <c r="I558" t="str">
        <f>VLOOKUP(C558,[1]Hoja1!$A$2:$N$29,1,0)</f>
        <v>668-2024</v>
      </c>
    </row>
    <row r="559" spans="1:9" hidden="1" x14ac:dyDescent="0.3">
      <c r="A559" s="2">
        <v>45642</v>
      </c>
      <c r="B559" s="3">
        <v>2024003207</v>
      </c>
      <c r="C559" s="3" t="s">
        <v>206</v>
      </c>
      <c r="D559" s="5">
        <v>7540000</v>
      </c>
      <c r="E559" s="3">
        <v>37087120</v>
      </c>
      <c r="F559" s="3" t="s">
        <v>207</v>
      </c>
      <c r="G559" t="s">
        <v>763</v>
      </c>
      <c r="I559" t="e">
        <f>VLOOKUP(C559,[1]Hoja1!$A$2:$N$29,1,0)</f>
        <v>#N/A</v>
      </c>
    </row>
    <row r="560" spans="1:9" hidden="1" x14ac:dyDescent="0.3">
      <c r="A560" s="2">
        <v>45642</v>
      </c>
      <c r="B560" s="3">
        <v>2024003208</v>
      </c>
      <c r="C560" s="3" t="s">
        <v>124</v>
      </c>
      <c r="D560" s="5">
        <v>4825000</v>
      </c>
      <c r="E560" s="3">
        <v>12748383</v>
      </c>
      <c r="F560" s="3" t="s">
        <v>125</v>
      </c>
      <c r="G560" t="s">
        <v>763</v>
      </c>
      <c r="I560" t="e">
        <f>VLOOKUP(C560,[1]Hoja1!$A$2:$N$29,1,0)</f>
        <v>#N/A</v>
      </c>
    </row>
    <row r="561" spans="1:9" hidden="1" x14ac:dyDescent="0.3">
      <c r="A561" s="2">
        <v>45642</v>
      </c>
      <c r="B561" s="3">
        <v>2024003209</v>
      </c>
      <c r="C561" s="3" t="s">
        <v>222</v>
      </c>
      <c r="D561" s="5">
        <v>3000000</v>
      </c>
      <c r="E561" s="3">
        <v>1085269090</v>
      </c>
      <c r="F561" s="3" t="s">
        <v>223</v>
      </c>
      <c r="G561" t="s">
        <v>763</v>
      </c>
      <c r="I561" t="e">
        <f>VLOOKUP(C561,[1]Hoja1!$A$2:$N$29,1,0)</f>
        <v>#N/A</v>
      </c>
    </row>
    <row r="562" spans="1:9" hidden="1" x14ac:dyDescent="0.3">
      <c r="A562" s="2">
        <v>45642</v>
      </c>
      <c r="B562" s="3">
        <v>2024003210</v>
      </c>
      <c r="C562" s="3" t="s">
        <v>681</v>
      </c>
      <c r="D562" s="5">
        <v>833000</v>
      </c>
      <c r="E562" s="3">
        <v>1085254615</v>
      </c>
      <c r="F562" s="3" t="s">
        <v>682</v>
      </c>
      <c r="G562" t="s">
        <v>763</v>
      </c>
      <c r="I562" t="e">
        <f>VLOOKUP(C562,[1]Hoja1!$A$2:$N$29,1,0)</f>
        <v>#N/A</v>
      </c>
    </row>
    <row r="563" spans="1:9" hidden="1" x14ac:dyDescent="0.3">
      <c r="A563" s="2">
        <v>45642</v>
      </c>
      <c r="B563" s="3">
        <v>2024003211</v>
      </c>
      <c r="C563" s="3" t="s">
        <v>296</v>
      </c>
      <c r="D563" s="5">
        <v>3000000</v>
      </c>
      <c r="E563" s="3">
        <v>1085272140</v>
      </c>
      <c r="F563" s="3" t="s">
        <v>297</v>
      </c>
      <c r="G563" t="s">
        <v>763</v>
      </c>
      <c r="I563" t="e">
        <f>VLOOKUP(C563,[1]Hoja1!$A$2:$N$29,1,0)</f>
        <v>#N/A</v>
      </c>
    </row>
    <row r="564" spans="1:9" hidden="1" x14ac:dyDescent="0.3">
      <c r="A564" s="2">
        <v>45642</v>
      </c>
      <c r="B564" s="3">
        <v>2024003212</v>
      </c>
      <c r="C564" s="3" t="s">
        <v>247</v>
      </c>
      <c r="D564" s="5">
        <v>2500000</v>
      </c>
      <c r="E564" s="3">
        <v>1004535115</v>
      </c>
      <c r="F564" s="3" t="s">
        <v>248</v>
      </c>
      <c r="G564" t="s">
        <v>763</v>
      </c>
      <c r="I564" t="e">
        <f>VLOOKUP(C564,[1]Hoja1!$A$2:$N$29,1,0)</f>
        <v>#N/A</v>
      </c>
    </row>
    <row r="565" spans="1:9" hidden="1" x14ac:dyDescent="0.3">
      <c r="A565" s="2">
        <v>45642</v>
      </c>
      <c r="B565" s="3">
        <v>2024003213</v>
      </c>
      <c r="C565" s="3" t="s">
        <v>367</v>
      </c>
      <c r="D565" s="5">
        <v>2500000</v>
      </c>
      <c r="E565" s="3">
        <v>1085320930</v>
      </c>
      <c r="F565" s="3" t="s">
        <v>368</v>
      </c>
      <c r="G565" t="s">
        <v>763</v>
      </c>
      <c r="I565" t="e">
        <f>VLOOKUP(C565,[1]Hoja1!$A$2:$N$29,1,0)</f>
        <v>#N/A</v>
      </c>
    </row>
    <row r="566" spans="1:9" hidden="1" x14ac:dyDescent="0.3">
      <c r="A566" s="2">
        <v>45642</v>
      </c>
      <c r="B566" s="3">
        <v>2024003214</v>
      </c>
      <c r="C566" s="3" t="s">
        <v>58</v>
      </c>
      <c r="D566" s="5">
        <v>3000000</v>
      </c>
      <c r="E566" s="3">
        <v>1088799034</v>
      </c>
      <c r="F566" s="3" t="s">
        <v>59</v>
      </c>
      <c r="G566" t="s">
        <v>763</v>
      </c>
      <c r="I566" t="e">
        <f>VLOOKUP(C566,[1]Hoja1!$A$2:$N$29,1,0)</f>
        <v>#N/A</v>
      </c>
    </row>
    <row r="567" spans="1:9" hidden="1" x14ac:dyDescent="0.3">
      <c r="A567" s="2">
        <v>45642</v>
      </c>
      <c r="B567" s="3">
        <v>2024003215</v>
      </c>
      <c r="C567" s="3" t="s">
        <v>504</v>
      </c>
      <c r="D567" s="5">
        <v>4750000</v>
      </c>
      <c r="E567" s="3">
        <v>1085318684</v>
      </c>
      <c r="F567" s="3" t="s">
        <v>505</v>
      </c>
      <c r="G567" t="s">
        <v>763</v>
      </c>
      <c r="I567" t="e">
        <f>VLOOKUP(C567,[1]Hoja1!$A$2:$N$29,1,0)</f>
        <v>#N/A</v>
      </c>
    </row>
    <row r="568" spans="1:9" hidden="1" x14ac:dyDescent="0.3">
      <c r="A568" s="2">
        <v>45642</v>
      </c>
      <c r="B568" s="3">
        <v>2024003217</v>
      </c>
      <c r="C568" s="3" t="s">
        <v>506</v>
      </c>
      <c r="D568" s="5">
        <v>3000000</v>
      </c>
      <c r="E568" s="3">
        <v>5930737</v>
      </c>
      <c r="F568" s="3" t="s">
        <v>507</v>
      </c>
      <c r="G568" t="s">
        <v>763</v>
      </c>
      <c r="I568" t="e">
        <f>VLOOKUP(C568,[1]Hoja1!$A$2:$N$29,1,0)</f>
        <v>#N/A</v>
      </c>
    </row>
    <row r="569" spans="1:9" hidden="1" x14ac:dyDescent="0.3">
      <c r="A569" s="2">
        <v>45642</v>
      </c>
      <c r="B569" s="3">
        <v>2024003218</v>
      </c>
      <c r="C569" s="3" t="s">
        <v>502</v>
      </c>
      <c r="D569" s="5">
        <v>3000000</v>
      </c>
      <c r="E569" s="3">
        <v>1085323101</v>
      </c>
      <c r="F569" s="3" t="s">
        <v>503</v>
      </c>
      <c r="G569" t="s">
        <v>763</v>
      </c>
      <c r="I569" t="e">
        <f>VLOOKUP(C569,[1]Hoja1!$A$2:$N$29,1,0)</f>
        <v>#N/A</v>
      </c>
    </row>
    <row r="570" spans="1:9" hidden="1" x14ac:dyDescent="0.3">
      <c r="A570" s="2">
        <v>45642</v>
      </c>
      <c r="B570" s="3">
        <v>2024003219</v>
      </c>
      <c r="C570" s="3" t="s">
        <v>496</v>
      </c>
      <c r="D570" s="5">
        <v>3000000</v>
      </c>
      <c r="E570" s="3">
        <v>87070661</v>
      </c>
      <c r="F570" s="3" t="s">
        <v>497</v>
      </c>
      <c r="G570" t="s">
        <v>763</v>
      </c>
      <c r="I570" t="e">
        <f>VLOOKUP(C570,[1]Hoja1!$A$2:$N$29,1,0)</f>
        <v>#N/A</v>
      </c>
    </row>
    <row r="571" spans="1:9" hidden="1" x14ac:dyDescent="0.3">
      <c r="A571" s="2">
        <v>45642</v>
      </c>
      <c r="B571" s="3">
        <v>2024003220</v>
      </c>
      <c r="C571" s="3" t="s">
        <v>500</v>
      </c>
      <c r="D571" s="5">
        <v>2500000</v>
      </c>
      <c r="E571" s="3">
        <v>30737741</v>
      </c>
      <c r="F571" s="3" t="s">
        <v>501</v>
      </c>
      <c r="G571" t="s">
        <v>763</v>
      </c>
      <c r="I571" t="e">
        <f>VLOOKUP(C571,[1]Hoja1!$A$2:$N$29,1,0)</f>
        <v>#N/A</v>
      </c>
    </row>
    <row r="572" spans="1:9" hidden="1" x14ac:dyDescent="0.3">
      <c r="A572" s="2">
        <v>45642</v>
      </c>
      <c r="B572" s="3">
        <v>2024003221</v>
      </c>
      <c r="C572" s="3" t="s">
        <v>194</v>
      </c>
      <c r="D572" s="5">
        <v>4825000</v>
      </c>
      <c r="E572" s="3">
        <v>1088730712</v>
      </c>
      <c r="F572" s="3" t="s">
        <v>195</v>
      </c>
      <c r="G572" t="s">
        <v>763</v>
      </c>
      <c r="I572" t="e">
        <f>VLOOKUP(C572,[1]Hoja1!$A$2:$N$29,1,0)</f>
        <v>#N/A</v>
      </c>
    </row>
    <row r="573" spans="1:9" hidden="1" x14ac:dyDescent="0.3">
      <c r="A573" s="2">
        <v>45642</v>
      </c>
      <c r="B573" s="3">
        <v>2024003222</v>
      </c>
      <c r="C573" s="3" t="s">
        <v>683</v>
      </c>
      <c r="D573" s="5">
        <v>1416100</v>
      </c>
      <c r="E573" s="3">
        <v>12996869</v>
      </c>
      <c r="F573" s="3" t="s">
        <v>684</v>
      </c>
      <c r="G573" t="s">
        <v>763</v>
      </c>
      <c r="I573" t="e">
        <f>VLOOKUP(C573,[1]Hoja1!$A$2:$N$29,1,0)</f>
        <v>#N/A</v>
      </c>
    </row>
    <row r="574" spans="1:9" hidden="1" x14ac:dyDescent="0.3">
      <c r="A574" s="2">
        <v>45642</v>
      </c>
      <c r="B574" s="3">
        <v>2024003223</v>
      </c>
      <c r="C574" s="3" t="s">
        <v>462</v>
      </c>
      <c r="D574" s="5">
        <v>2500000</v>
      </c>
      <c r="E574" s="3">
        <v>1086016308</v>
      </c>
      <c r="F574" s="3" t="s">
        <v>463</v>
      </c>
      <c r="G574" t="s">
        <v>763</v>
      </c>
      <c r="I574" t="e">
        <f>VLOOKUP(C574,[1]Hoja1!$A$2:$N$29,1,0)</f>
        <v>#N/A</v>
      </c>
    </row>
    <row r="575" spans="1:9" hidden="1" x14ac:dyDescent="0.3">
      <c r="A575" s="2">
        <v>45642</v>
      </c>
      <c r="B575" s="3">
        <v>2024003225</v>
      </c>
      <c r="C575" s="3" t="s">
        <v>300</v>
      </c>
      <c r="D575" s="5">
        <v>6000000</v>
      </c>
      <c r="E575" s="3">
        <v>36757221</v>
      </c>
      <c r="F575" s="3" t="s">
        <v>301</v>
      </c>
      <c r="G575" t="s">
        <v>763</v>
      </c>
      <c r="I575" t="e">
        <f>VLOOKUP(C575,[1]Hoja1!$A$2:$N$29,1,0)</f>
        <v>#N/A</v>
      </c>
    </row>
    <row r="576" spans="1:9" hidden="1" x14ac:dyDescent="0.3">
      <c r="A576" s="2">
        <v>45642</v>
      </c>
      <c r="B576" s="3">
        <v>2024003226</v>
      </c>
      <c r="C576" s="3" t="s">
        <v>365</v>
      </c>
      <c r="D576" s="5">
        <v>6000000</v>
      </c>
      <c r="E576" s="3">
        <v>27109314</v>
      </c>
      <c r="F576" s="3" t="s">
        <v>366</v>
      </c>
      <c r="G576" t="s">
        <v>763</v>
      </c>
      <c r="I576" t="e">
        <f>VLOOKUP(C576,[1]Hoja1!$A$2:$N$29,1,0)</f>
        <v>#N/A</v>
      </c>
    </row>
    <row r="577" spans="1:9" hidden="1" x14ac:dyDescent="0.3">
      <c r="A577" s="2">
        <v>45642</v>
      </c>
      <c r="B577" s="3">
        <v>2024003228</v>
      </c>
      <c r="C577" s="3" t="s">
        <v>77</v>
      </c>
      <c r="D577" s="5">
        <v>6000000</v>
      </c>
      <c r="E577" s="3">
        <v>1085320275</v>
      </c>
      <c r="F577" s="3" t="s">
        <v>78</v>
      </c>
      <c r="G577" t="s">
        <v>763</v>
      </c>
      <c r="I577" t="e">
        <f>VLOOKUP(C577,[1]Hoja1!$A$2:$N$29,1,0)</f>
        <v>#N/A</v>
      </c>
    </row>
    <row r="578" spans="1:9" hidden="1" x14ac:dyDescent="0.3">
      <c r="A578" s="2">
        <v>45642</v>
      </c>
      <c r="B578" s="3">
        <v>2024003229</v>
      </c>
      <c r="C578" s="3" t="s">
        <v>302</v>
      </c>
      <c r="D578" s="5">
        <v>3000000</v>
      </c>
      <c r="E578" s="3">
        <v>1085309422</v>
      </c>
      <c r="F578" s="3" t="s">
        <v>303</v>
      </c>
      <c r="G578" t="s">
        <v>763</v>
      </c>
      <c r="I578" t="e">
        <f>VLOOKUP(C578,[1]Hoja1!$A$2:$N$29,1,0)</f>
        <v>#N/A</v>
      </c>
    </row>
    <row r="579" spans="1:9" hidden="1" x14ac:dyDescent="0.3">
      <c r="A579" s="2">
        <v>45642</v>
      </c>
      <c r="B579" s="3">
        <v>2024003230</v>
      </c>
      <c r="C579" s="3" t="s">
        <v>95</v>
      </c>
      <c r="D579" s="5">
        <v>2500000</v>
      </c>
      <c r="E579" s="3">
        <v>27211504</v>
      </c>
      <c r="F579" s="3" t="s">
        <v>96</v>
      </c>
      <c r="G579" t="s">
        <v>763</v>
      </c>
      <c r="I579" t="e">
        <f>VLOOKUP(C579,[1]Hoja1!$A$2:$N$29,1,0)</f>
        <v>#N/A</v>
      </c>
    </row>
    <row r="580" spans="1:9" hidden="1" x14ac:dyDescent="0.3">
      <c r="A580" s="2">
        <v>45642</v>
      </c>
      <c r="B580" s="3">
        <v>2024003232</v>
      </c>
      <c r="C580" s="3" t="s">
        <v>114</v>
      </c>
      <c r="D580" s="5">
        <v>2500000</v>
      </c>
      <c r="E580" s="3">
        <v>1085251468</v>
      </c>
      <c r="F580" s="3" t="s">
        <v>115</v>
      </c>
      <c r="G580" t="s">
        <v>763</v>
      </c>
      <c r="I580" t="e">
        <f>VLOOKUP(C580,[1]Hoja1!$A$2:$N$29,1,0)</f>
        <v>#N/A</v>
      </c>
    </row>
    <row r="581" spans="1:9" hidden="1" x14ac:dyDescent="0.3">
      <c r="A581" s="2">
        <v>45642</v>
      </c>
      <c r="B581" s="3">
        <v>2024003233</v>
      </c>
      <c r="C581" s="3" t="s">
        <v>116</v>
      </c>
      <c r="D581" s="5">
        <v>6000000</v>
      </c>
      <c r="E581" s="3">
        <v>1085292185</v>
      </c>
      <c r="F581" s="3" t="s">
        <v>7</v>
      </c>
      <c r="G581" t="s">
        <v>763</v>
      </c>
      <c r="I581" t="e">
        <f>VLOOKUP(C581,[1]Hoja1!$A$2:$N$29,1,0)</f>
        <v>#N/A</v>
      </c>
    </row>
    <row r="582" spans="1:9" hidden="1" x14ac:dyDescent="0.3">
      <c r="A582" s="2">
        <v>45642</v>
      </c>
      <c r="B582" s="3">
        <v>2024003234</v>
      </c>
      <c r="C582" s="3" t="s">
        <v>578</v>
      </c>
      <c r="D582" s="5">
        <v>3000000</v>
      </c>
      <c r="E582" s="3">
        <v>59828916</v>
      </c>
      <c r="F582" s="3" t="s">
        <v>579</v>
      </c>
      <c r="G582" t="s">
        <v>763</v>
      </c>
      <c r="I582" t="e">
        <f>VLOOKUP(C582,[1]Hoja1!$A$2:$N$29,1,0)</f>
        <v>#N/A</v>
      </c>
    </row>
    <row r="583" spans="1:9" hidden="1" x14ac:dyDescent="0.3">
      <c r="A583" s="2">
        <v>45642</v>
      </c>
      <c r="B583" s="3">
        <v>2024003235</v>
      </c>
      <c r="C583" s="3" t="s">
        <v>530</v>
      </c>
      <c r="D583" s="5">
        <v>3000000</v>
      </c>
      <c r="E583" s="3">
        <v>1004235479</v>
      </c>
      <c r="F583" s="3" t="s">
        <v>531</v>
      </c>
      <c r="G583" t="s">
        <v>763</v>
      </c>
      <c r="I583" t="e">
        <f>VLOOKUP(C583,[1]Hoja1!$A$2:$N$29,1,0)</f>
        <v>#N/A</v>
      </c>
    </row>
    <row r="584" spans="1:9" hidden="1" x14ac:dyDescent="0.3">
      <c r="A584" s="2">
        <v>45642</v>
      </c>
      <c r="B584" s="3">
        <v>2024003236</v>
      </c>
      <c r="C584" s="3" t="s">
        <v>576</v>
      </c>
      <c r="D584" s="5">
        <v>4825000</v>
      </c>
      <c r="E584" s="3">
        <v>27087851</v>
      </c>
      <c r="F584" s="3" t="s">
        <v>577</v>
      </c>
      <c r="G584" t="s">
        <v>763</v>
      </c>
      <c r="I584" t="e">
        <f>VLOOKUP(C584,[1]Hoja1!$A$2:$N$29,1,0)</f>
        <v>#N/A</v>
      </c>
    </row>
    <row r="585" spans="1:9" hidden="1" x14ac:dyDescent="0.3">
      <c r="A585" s="2">
        <v>45642</v>
      </c>
      <c r="B585" s="3">
        <v>2024003237</v>
      </c>
      <c r="C585" s="3" t="s">
        <v>414</v>
      </c>
      <c r="D585" s="5">
        <v>2500000</v>
      </c>
      <c r="E585" s="3">
        <v>59311646</v>
      </c>
      <c r="F585" s="3" t="s">
        <v>415</v>
      </c>
      <c r="G585" t="s">
        <v>763</v>
      </c>
      <c r="I585" t="e">
        <f>VLOOKUP(C585,[1]Hoja1!$A$2:$N$29,1,0)</f>
        <v>#N/A</v>
      </c>
    </row>
    <row r="586" spans="1:9" hidden="1" x14ac:dyDescent="0.3">
      <c r="A586" s="2">
        <v>45643</v>
      </c>
      <c r="B586" s="3">
        <v>2024003240</v>
      </c>
      <c r="C586" s="3" t="s">
        <v>424</v>
      </c>
      <c r="D586" s="5">
        <v>3000000</v>
      </c>
      <c r="E586" s="3">
        <v>59311233</v>
      </c>
      <c r="F586" s="3" t="s">
        <v>425</v>
      </c>
      <c r="G586" t="s">
        <v>763</v>
      </c>
      <c r="I586" t="e">
        <f>VLOOKUP(C586,[1]Hoja1!$A$2:$N$29,1,0)</f>
        <v>#N/A</v>
      </c>
    </row>
    <row r="587" spans="1:9" hidden="1" x14ac:dyDescent="0.3">
      <c r="A587" s="2">
        <v>45643</v>
      </c>
      <c r="B587" s="3">
        <v>2024003241</v>
      </c>
      <c r="C587" s="3" t="s">
        <v>412</v>
      </c>
      <c r="D587" s="5">
        <v>3000000</v>
      </c>
      <c r="E587" s="3">
        <v>1085313463</v>
      </c>
      <c r="F587" s="3" t="s">
        <v>413</v>
      </c>
      <c r="G587" t="s">
        <v>763</v>
      </c>
      <c r="I587" t="e">
        <f>VLOOKUP(C587,[1]Hoja1!$A$2:$N$29,1,0)</f>
        <v>#N/A</v>
      </c>
    </row>
    <row r="588" spans="1:9" hidden="1" x14ac:dyDescent="0.3">
      <c r="A588" s="2">
        <v>45643</v>
      </c>
      <c r="B588" s="3">
        <v>2024003242</v>
      </c>
      <c r="C588" s="3" t="s">
        <v>542</v>
      </c>
      <c r="D588" s="5">
        <v>7540000</v>
      </c>
      <c r="E588" s="3">
        <v>1085312978</v>
      </c>
      <c r="F588" s="3" t="s">
        <v>543</v>
      </c>
      <c r="G588" t="s">
        <v>763</v>
      </c>
      <c r="I588" t="e">
        <f>VLOOKUP(C588,[1]Hoja1!$A$2:$N$29,1,0)</f>
        <v>#N/A</v>
      </c>
    </row>
    <row r="589" spans="1:9" hidden="1" x14ac:dyDescent="0.3">
      <c r="A589" s="2">
        <v>45643</v>
      </c>
      <c r="B589" s="3">
        <v>2024003243</v>
      </c>
      <c r="C589" s="3" t="s">
        <v>83</v>
      </c>
      <c r="D589" s="5">
        <v>4750000</v>
      </c>
      <c r="E589" s="3">
        <v>1085260497</v>
      </c>
      <c r="F589" s="3" t="s">
        <v>84</v>
      </c>
      <c r="G589" t="s">
        <v>763</v>
      </c>
      <c r="I589" t="e">
        <f>VLOOKUP(C589,[1]Hoja1!$A$2:$N$29,1,0)</f>
        <v>#N/A</v>
      </c>
    </row>
    <row r="590" spans="1:9" hidden="1" x14ac:dyDescent="0.3">
      <c r="A590" s="2">
        <v>45643</v>
      </c>
      <c r="B590" s="3">
        <v>2024003245</v>
      </c>
      <c r="C590" s="3" t="s">
        <v>305</v>
      </c>
      <c r="D590" s="5">
        <v>3000000</v>
      </c>
      <c r="E590" s="3">
        <v>1004535234</v>
      </c>
      <c r="F590" s="3" t="s">
        <v>306</v>
      </c>
      <c r="G590" t="s">
        <v>763</v>
      </c>
      <c r="I590" t="e">
        <f>VLOOKUP(C590,[1]Hoja1!$A$2:$N$29,1,0)</f>
        <v>#N/A</v>
      </c>
    </row>
    <row r="591" spans="1:9" hidden="1" x14ac:dyDescent="0.3">
      <c r="A591" s="2">
        <v>45643</v>
      </c>
      <c r="B591" s="3">
        <v>2024003246</v>
      </c>
      <c r="C591" s="3" t="s">
        <v>216</v>
      </c>
      <c r="D591" s="5">
        <v>3000000</v>
      </c>
      <c r="E591" s="3">
        <v>1233191675</v>
      </c>
      <c r="F591" s="3" t="s">
        <v>217</v>
      </c>
      <c r="G591" t="s">
        <v>763</v>
      </c>
      <c r="I591" t="e">
        <f>VLOOKUP(C591,[1]Hoja1!$A$2:$N$29,1,0)</f>
        <v>#N/A</v>
      </c>
    </row>
    <row r="592" spans="1:9" hidden="1" x14ac:dyDescent="0.3">
      <c r="A592" s="2">
        <v>45643</v>
      </c>
      <c r="B592" s="3">
        <v>2024003247</v>
      </c>
      <c r="C592" s="3" t="s">
        <v>341</v>
      </c>
      <c r="D592" s="5">
        <v>3000000</v>
      </c>
      <c r="E592" s="3">
        <v>59833899</v>
      </c>
      <c r="F592" s="3" t="s">
        <v>342</v>
      </c>
      <c r="G592" t="s">
        <v>763</v>
      </c>
      <c r="I592" t="e">
        <f>VLOOKUP(C592,[1]Hoja1!$A$2:$N$29,1,0)</f>
        <v>#N/A</v>
      </c>
    </row>
    <row r="593" spans="1:9" hidden="1" x14ac:dyDescent="0.3">
      <c r="A593" s="2">
        <v>45643</v>
      </c>
      <c r="B593" s="3">
        <v>2024003248</v>
      </c>
      <c r="C593" s="3" t="s">
        <v>158</v>
      </c>
      <c r="D593" s="5">
        <v>6000000</v>
      </c>
      <c r="E593" s="3">
        <v>1004213964</v>
      </c>
      <c r="F593" s="3" t="s">
        <v>159</v>
      </c>
      <c r="G593" t="s">
        <v>763</v>
      </c>
      <c r="I593" t="e">
        <f>VLOOKUP(C593,[1]Hoja1!$A$2:$N$29,1,0)</f>
        <v>#N/A</v>
      </c>
    </row>
    <row r="594" spans="1:9" hidden="1" x14ac:dyDescent="0.3">
      <c r="A594" s="2">
        <v>45643</v>
      </c>
      <c r="B594" s="3">
        <v>2024003249</v>
      </c>
      <c r="C594" s="3" t="s">
        <v>399</v>
      </c>
      <c r="D594" s="5">
        <v>3000000</v>
      </c>
      <c r="E594" s="3">
        <v>1085252263</v>
      </c>
      <c r="F594" s="3" t="s">
        <v>400</v>
      </c>
      <c r="G594" t="s">
        <v>763</v>
      </c>
      <c r="I594" t="e">
        <f>VLOOKUP(C594,[1]Hoja1!$A$2:$N$29,1,0)</f>
        <v>#N/A</v>
      </c>
    </row>
    <row r="595" spans="1:9" hidden="1" x14ac:dyDescent="0.3">
      <c r="A595" s="2">
        <v>45643</v>
      </c>
      <c r="B595" s="3">
        <v>2024003250</v>
      </c>
      <c r="C595" s="3" t="s">
        <v>298</v>
      </c>
      <c r="D595" s="5">
        <v>3000000</v>
      </c>
      <c r="E595" s="3">
        <v>1085347540</v>
      </c>
      <c r="F595" s="3" t="s">
        <v>299</v>
      </c>
      <c r="G595" t="s">
        <v>763</v>
      </c>
      <c r="I595" t="e">
        <f>VLOOKUP(C595,[1]Hoja1!$A$2:$N$29,1,0)</f>
        <v>#N/A</v>
      </c>
    </row>
    <row r="596" spans="1:9" hidden="1" x14ac:dyDescent="0.3">
      <c r="A596" s="2">
        <v>45643</v>
      </c>
      <c r="B596" s="3">
        <v>2024003251</v>
      </c>
      <c r="C596" s="3" t="s">
        <v>249</v>
      </c>
      <c r="D596" s="5">
        <v>3000000</v>
      </c>
      <c r="E596" s="3">
        <v>1086329609</v>
      </c>
      <c r="F596" s="3" t="s">
        <v>250</v>
      </c>
      <c r="G596" t="s">
        <v>763</v>
      </c>
      <c r="I596" t="e">
        <f>VLOOKUP(C596,[1]Hoja1!$A$2:$N$29,1,0)</f>
        <v>#N/A</v>
      </c>
    </row>
    <row r="597" spans="1:9" hidden="1" x14ac:dyDescent="0.3">
      <c r="A597" s="2">
        <v>45643</v>
      </c>
      <c r="B597" s="3">
        <v>2024003252</v>
      </c>
      <c r="C597" s="3" t="s">
        <v>440</v>
      </c>
      <c r="D597" s="5">
        <v>4825000</v>
      </c>
      <c r="E597" s="3">
        <v>1085321578</v>
      </c>
      <c r="F597" s="3" t="s">
        <v>441</v>
      </c>
      <c r="G597" t="s">
        <v>763</v>
      </c>
      <c r="I597" t="e">
        <f>VLOOKUP(C597,[1]Hoja1!$A$2:$N$29,1,0)</f>
        <v>#N/A</v>
      </c>
    </row>
    <row r="598" spans="1:9" hidden="1" x14ac:dyDescent="0.3">
      <c r="A598" s="2">
        <v>45643</v>
      </c>
      <c r="B598" s="3">
        <v>2024003253</v>
      </c>
      <c r="C598" s="3" t="s">
        <v>353</v>
      </c>
      <c r="D598" s="5">
        <v>3000000</v>
      </c>
      <c r="E598" s="3">
        <v>1086362994</v>
      </c>
      <c r="F598" s="3" t="s">
        <v>354</v>
      </c>
      <c r="G598" t="s">
        <v>763</v>
      </c>
      <c r="I598" t="e">
        <f>VLOOKUP(C598,[1]Hoja1!$A$2:$N$29,1,0)</f>
        <v>#N/A</v>
      </c>
    </row>
    <row r="599" spans="1:9" hidden="1" x14ac:dyDescent="0.3">
      <c r="A599" s="2">
        <v>45643</v>
      </c>
      <c r="B599" s="3">
        <v>2024003254</v>
      </c>
      <c r="C599" s="3" t="s">
        <v>538</v>
      </c>
      <c r="D599" s="5">
        <v>3000000</v>
      </c>
      <c r="E599" s="3">
        <v>1004216993</v>
      </c>
      <c r="F599" s="3" t="s">
        <v>539</v>
      </c>
      <c r="G599" t="s">
        <v>763</v>
      </c>
      <c r="I599" t="e">
        <f>VLOOKUP(C599,[1]Hoja1!$A$2:$N$29,1,0)</f>
        <v>#N/A</v>
      </c>
    </row>
    <row r="600" spans="1:9" hidden="1" x14ac:dyDescent="0.3">
      <c r="A600" s="2">
        <v>45643</v>
      </c>
      <c r="B600" s="3">
        <v>2024003255</v>
      </c>
      <c r="C600" s="3" t="s">
        <v>214</v>
      </c>
      <c r="D600" s="5">
        <v>4825000</v>
      </c>
      <c r="E600" s="3">
        <v>1085289739</v>
      </c>
      <c r="F600" s="3" t="s">
        <v>215</v>
      </c>
      <c r="G600" t="s">
        <v>763</v>
      </c>
      <c r="I600" t="e">
        <f>VLOOKUP(C600,[1]Hoja1!$A$2:$N$29,1,0)</f>
        <v>#N/A</v>
      </c>
    </row>
    <row r="601" spans="1:9" hidden="1" x14ac:dyDescent="0.3">
      <c r="A601" s="2">
        <v>45643</v>
      </c>
      <c r="B601" s="3">
        <v>2024003256</v>
      </c>
      <c r="C601" s="3" t="s">
        <v>685</v>
      </c>
      <c r="D601" s="5">
        <v>2090400</v>
      </c>
      <c r="E601" s="3">
        <v>1085322873</v>
      </c>
      <c r="F601" s="3" t="s">
        <v>686</v>
      </c>
      <c r="G601" t="s">
        <v>763</v>
      </c>
      <c r="I601" t="e">
        <f>VLOOKUP(C601,[1]Hoja1!$A$2:$N$29,1,0)</f>
        <v>#N/A</v>
      </c>
    </row>
    <row r="602" spans="1:9" hidden="1" x14ac:dyDescent="0.3">
      <c r="A602" s="2">
        <v>45643</v>
      </c>
      <c r="B602" s="3">
        <v>2024003257</v>
      </c>
      <c r="C602" s="3" t="s">
        <v>140</v>
      </c>
      <c r="D602" s="5">
        <v>7540000</v>
      </c>
      <c r="E602" s="3">
        <v>1085329230</v>
      </c>
      <c r="F602" s="3" t="s">
        <v>141</v>
      </c>
      <c r="G602" t="s">
        <v>763</v>
      </c>
      <c r="I602" t="e">
        <f>VLOOKUP(C602,[1]Hoja1!$A$2:$N$29,1,0)</f>
        <v>#N/A</v>
      </c>
    </row>
    <row r="603" spans="1:9" hidden="1" x14ac:dyDescent="0.3">
      <c r="A603" s="2">
        <v>45643</v>
      </c>
      <c r="B603" s="3">
        <v>2024003258</v>
      </c>
      <c r="C603" s="3" t="s">
        <v>486</v>
      </c>
      <c r="D603" s="5">
        <v>7540000</v>
      </c>
      <c r="E603" s="3">
        <v>12961407</v>
      </c>
      <c r="F603" s="3" t="s">
        <v>487</v>
      </c>
      <c r="G603" t="s">
        <v>763</v>
      </c>
      <c r="I603" t="e">
        <f>VLOOKUP(C603,[1]Hoja1!$A$2:$N$29,1,0)</f>
        <v>#N/A</v>
      </c>
    </row>
    <row r="604" spans="1:9" hidden="1" x14ac:dyDescent="0.3">
      <c r="A604" s="2">
        <v>45643</v>
      </c>
      <c r="B604" s="3">
        <v>2024003259</v>
      </c>
      <c r="C604" s="3" t="s">
        <v>687</v>
      </c>
      <c r="D604" s="5">
        <v>1700000</v>
      </c>
      <c r="E604" s="3">
        <v>1004598784</v>
      </c>
      <c r="F604" s="3" t="s">
        <v>688</v>
      </c>
      <c r="G604" t="s">
        <v>763</v>
      </c>
      <c r="I604" t="e">
        <f>VLOOKUP(C604,[1]Hoja1!$A$2:$N$29,1,0)</f>
        <v>#N/A</v>
      </c>
    </row>
    <row r="605" spans="1:9" hidden="1" x14ac:dyDescent="0.3">
      <c r="A605" s="2">
        <v>45643</v>
      </c>
      <c r="B605" s="3">
        <v>2024003260</v>
      </c>
      <c r="C605" s="3" t="s">
        <v>52</v>
      </c>
      <c r="D605" s="5">
        <v>6000000</v>
      </c>
      <c r="E605" s="3">
        <v>1085286476</v>
      </c>
      <c r="F605" s="3" t="s">
        <v>53</v>
      </c>
      <c r="G605" t="s">
        <v>763</v>
      </c>
      <c r="I605" t="e">
        <f>VLOOKUP(C605,[1]Hoja1!$A$2:$N$29,1,0)</f>
        <v>#N/A</v>
      </c>
    </row>
    <row r="606" spans="1:9" hidden="1" x14ac:dyDescent="0.3">
      <c r="A606" s="2">
        <v>45643</v>
      </c>
      <c r="B606" s="3">
        <v>2024003261</v>
      </c>
      <c r="C606" s="3" t="s">
        <v>355</v>
      </c>
      <c r="D606" s="5">
        <v>7540000</v>
      </c>
      <c r="E606" s="3">
        <v>1085329980</v>
      </c>
      <c r="F606" s="3" t="s">
        <v>356</v>
      </c>
      <c r="G606" t="s">
        <v>763</v>
      </c>
      <c r="I606" t="e">
        <f>VLOOKUP(C606,[1]Hoja1!$A$2:$N$29,1,0)</f>
        <v>#N/A</v>
      </c>
    </row>
    <row r="607" spans="1:9" hidden="1" x14ac:dyDescent="0.3">
      <c r="A607" s="2">
        <v>45643</v>
      </c>
      <c r="B607" s="3">
        <v>2024003262</v>
      </c>
      <c r="C607" s="3" t="s">
        <v>474</v>
      </c>
      <c r="D607" s="5">
        <v>7540000</v>
      </c>
      <c r="E607" s="3">
        <v>1085255870</v>
      </c>
      <c r="F607" s="3" t="s">
        <v>475</v>
      </c>
      <c r="G607" t="s">
        <v>763</v>
      </c>
      <c r="I607" t="e">
        <f>VLOOKUP(C607,[1]Hoja1!$A$2:$N$29,1,0)</f>
        <v>#N/A</v>
      </c>
    </row>
    <row r="608" spans="1:9" hidden="1" x14ac:dyDescent="0.3">
      <c r="A608" s="2">
        <v>45643</v>
      </c>
      <c r="B608" s="3">
        <v>2024003263</v>
      </c>
      <c r="C608" s="3" t="s">
        <v>528</v>
      </c>
      <c r="D608" s="5">
        <v>4750000</v>
      </c>
      <c r="E608" s="3">
        <v>36950073</v>
      </c>
      <c r="F608" s="3" t="s">
        <v>529</v>
      </c>
      <c r="G608" t="s">
        <v>763</v>
      </c>
      <c r="I608" t="e">
        <f>VLOOKUP(C608,[1]Hoja1!$A$2:$N$29,1,0)</f>
        <v>#N/A</v>
      </c>
    </row>
    <row r="609" spans="1:9" hidden="1" x14ac:dyDescent="0.3">
      <c r="A609" s="2">
        <v>45643</v>
      </c>
      <c r="B609" s="3">
        <v>2024003264</v>
      </c>
      <c r="C609" s="3" t="s">
        <v>369</v>
      </c>
      <c r="D609" s="5">
        <v>3000000</v>
      </c>
      <c r="E609" s="3">
        <v>59833702</v>
      </c>
      <c r="F609" s="3" t="s">
        <v>370</v>
      </c>
      <c r="G609" t="s">
        <v>763</v>
      </c>
      <c r="I609" t="e">
        <f>VLOOKUP(C609,[1]Hoja1!$A$2:$N$29,1,0)</f>
        <v>#N/A</v>
      </c>
    </row>
    <row r="610" spans="1:9" hidden="1" x14ac:dyDescent="0.3">
      <c r="A610" s="2">
        <v>45643</v>
      </c>
      <c r="B610" s="3">
        <v>2024003265</v>
      </c>
      <c r="C610" s="3" t="s">
        <v>430</v>
      </c>
      <c r="D610" s="5">
        <v>2500000</v>
      </c>
      <c r="E610" s="3">
        <v>27309586</v>
      </c>
      <c r="F610" s="3" t="s">
        <v>431</v>
      </c>
      <c r="G610" t="s">
        <v>763</v>
      </c>
      <c r="I610" t="e">
        <f>VLOOKUP(C610,[1]Hoja1!$A$2:$N$29,1,0)</f>
        <v>#N/A</v>
      </c>
    </row>
    <row r="611" spans="1:9" hidden="1" x14ac:dyDescent="0.3">
      <c r="A611" s="2">
        <v>45643</v>
      </c>
      <c r="B611" s="3">
        <v>2024003266</v>
      </c>
      <c r="C611" s="3" t="s">
        <v>87</v>
      </c>
      <c r="D611" s="5">
        <v>4750000</v>
      </c>
      <c r="E611" s="3">
        <v>1085263018</v>
      </c>
      <c r="F611" s="3" t="s">
        <v>88</v>
      </c>
      <c r="G611" t="s">
        <v>763</v>
      </c>
      <c r="I611" t="e">
        <f>VLOOKUP(C611,[1]Hoja1!$A$2:$N$29,1,0)</f>
        <v>#N/A</v>
      </c>
    </row>
    <row r="612" spans="1:9" hidden="1" x14ac:dyDescent="0.3">
      <c r="A612" s="2">
        <v>45643</v>
      </c>
      <c r="B612" s="3">
        <v>2024003267</v>
      </c>
      <c r="C612" s="3" t="s">
        <v>689</v>
      </c>
      <c r="D612" s="5">
        <v>1416100</v>
      </c>
      <c r="E612" s="3">
        <v>1088729401</v>
      </c>
      <c r="F612" s="3" t="s">
        <v>690</v>
      </c>
      <c r="G612" t="s">
        <v>763</v>
      </c>
      <c r="I612" t="e">
        <f>VLOOKUP(C612,[1]Hoja1!$A$2:$N$29,1,0)</f>
        <v>#N/A</v>
      </c>
    </row>
    <row r="613" spans="1:9" hidden="1" x14ac:dyDescent="0.3">
      <c r="A613" s="2">
        <v>45643</v>
      </c>
      <c r="B613" s="3">
        <v>2024003268</v>
      </c>
      <c r="C613" s="3" t="s">
        <v>644</v>
      </c>
      <c r="D613" s="5">
        <v>3000000</v>
      </c>
      <c r="E613" s="3">
        <v>98391531</v>
      </c>
      <c r="F613" s="3" t="s">
        <v>645</v>
      </c>
      <c r="G613" t="s">
        <v>763</v>
      </c>
      <c r="I613" t="e">
        <f>VLOOKUP(C613,[1]Hoja1!$A$2:$N$29,1,0)</f>
        <v>#N/A</v>
      </c>
    </row>
    <row r="614" spans="1:9" hidden="1" x14ac:dyDescent="0.3">
      <c r="A614" s="2">
        <v>45643</v>
      </c>
      <c r="B614" s="3">
        <v>2024003269</v>
      </c>
      <c r="C614" s="3" t="s">
        <v>691</v>
      </c>
      <c r="D614" s="5">
        <v>1700000</v>
      </c>
      <c r="E614" s="3">
        <v>1085297914</v>
      </c>
      <c r="F614" s="3" t="s">
        <v>692</v>
      </c>
      <c r="G614" t="s">
        <v>763</v>
      </c>
      <c r="I614" t="e">
        <f>VLOOKUP(C614,[1]Hoja1!$A$2:$N$29,1,0)</f>
        <v>#N/A</v>
      </c>
    </row>
    <row r="615" spans="1:9" hidden="1" x14ac:dyDescent="0.3">
      <c r="A615" s="2">
        <v>45643</v>
      </c>
      <c r="B615" s="3">
        <v>2024003270</v>
      </c>
      <c r="C615" s="3" t="s">
        <v>693</v>
      </c>
      <c r="D615" s="5">
        <v>3000000</v>
      </c>
      <c r="E615" s="3">
        <v>27388522</v>
      </c>
      <c r="F615" s="3" t="s">
        <v>694</v>
      </c>
      <c r="G615" t="s">
        <v>763</v>
      </c>
      <c r="I615" t="e">
        <f>VLOOKUP(C615,[1]Hoja1!$A$2:$N$29,1,0)</f>
        <v>#N/A</v>
      </c>
    </row>
    <row r="616" spans="1:9" hidden="1" x14ac:dyDescent="0.3">
      <c r="A616" s="2">
        <v>45643</v>
      </c>
      <c r="B616" s="3">
        <v>2024003271</v>
      </c>
      <c r="C616" s="3" t="s">
        <v>241</v>
      </c>
      <c r="D616" s="5">
        <v>3000000</v>
      </c>
      <c r="E616" s="3">
        <v>1007403454</v>
      </c>
      <c r="F616" s="3" t="s">
        <v>242</v>
      </c>
      <c r="G616" t="s">
        <v>763</v>
      </c>
      <c r="I616" t="e">
        <f>VLOOKUP(C616,[1]Hoja1!$A$2:$N$29,1,0)</f>
        <v>#N/A</v>
      </c>
    </row>
    <row r="617" spans="1:9" hidden="1" x14ac:dyDescent="0.3">
      <c r="A617" s="2">
        <v>45643</v>
      </c>
      <c r="B617" s="3">
        <v>2024003272</v>
      </c>
      <c r="C617" s="3" t="s">
        <v>695</v>
      </c>
      <c r="D617" s="5">
        <v>4750000</v>
      </c>
      <c r="E617" s="3">
        <v>1085325540</v>
      </c>
      <c r="F617" s="3" t="s">
        <v>696</v>
      </c>
      <c r="G617" t="s">
        <v>763</v>
      </c>
      <c r="I617" t="e">
        <f>VLOOKUP(C617,[1]Hoja1!$A$2:$N$29,1,0)</f>
        <v>#N/A</v>
      </c>
    </row>
    <row r="618" spans="1:9" hidden="1" x14ac:dyDescent="0.3">
      <c r="A618" s="2">
        <v>45643</v>
      </c>
      <c r="B618" s="3">
        <v>2024003273</v>
      </c>
      <c r="C618" s="3" t="s">
        <v>2</v>
      </c>
      <c r="D618" s="5">
        <v>1100000</v>
      </c>
      <c r="E618" s="3">
        <v>1193035720</v>
      </c>
      <c r="F618" s="3" t="s">
        <v>3</v>
      </c>
      <c r="G618" t="s">
        <v>763</v>
      </c>
      <c r="I618" t="e">
        <f>VLOOKUP(C618,[1]Hoja1!$A$2:$N$29,1,0)</f>
        <v>#N/A</v>
      </c>
    </row>
    <row r="619" spans="1:9" hidden="1" x14ac:dyDescent="0.3">
      <c r="A619" s="2">
        <v>45643</v>
      </c>
      <c r="B619" s="3">
        <v>2024003275</v>
      </c>
      <c r="C619" s="3" t="s">
        <v>595</v>
      </c>
      <c r="D619" s="5">
        <v>3000000</v>
      </c>
      <c r="E619" s="3">
        <v>1081272318</v>
      </c>
      <c r="F619" s="3" t="s">
        <v>596</v>
      </c>
      <c r="G619" t="s">
        <v>763</v>
      </c>
      <c r="I619" t="e">
        <f>VLOOKUP(C619,[1]Hoja1!$A$2:$N$29,1,0)</f>
        <v>#N/A</v>
      </c>
    </row>
    <row r="620" spans="1:9" hidden="1" x14ac:dyDescent="0.3">
      <c r="A620" s="2">
        <v>45643</v>
      </c>
      <c r="B620" s="3">
        <v>2024003277</v>
      </c>
      <c r="C620" s="3" t="s">
        <v>697</v>
      </c>
      <c r="D620" s="5">
        <v>4750000</v>
      </c>
      <c r="E620" s="3">
        <v>1087422930</v>
      </c>
      <c r="F620" s="3" t="s">
        <v>698</v>
      </c>
      <c r="G620" t="s">
        <v>763</v>
      </c>
      <c r="I620" t="e">
        <f>VLOOKUP(C620,[1]Hoja1!$A$2:$N$29,1,0)</f>
        <v>#N/A</v>
      </c>
    </row>
    <row r="621" spans="1:9" hidden="1" x14ac:dyDescent="0.3">
      <c r="A621" s="2">
        <v>45643</v>
      </c>
      <c r="B621" s="3">
        <v>2024003280</v>
      </c>
      <c r="C621" s="3" t="s">
        <v>697</v>
      </c>
      <c r="D621" s="5">
        <v>4750000</v>
      </c>
      <c r="E621" s="3">
        <v>1087422930</v>
      </c>
      <c r="F621" s="3" t="s">
        <v>698</v>
      </c>
      <c r="G621" t="s">
        <v>763</v>
      </c>
      <c r="I621" t="e">
        <f>VLOOKUP(C621,[1]Hoja1!$A$2:$N$29,1,0)</f>
        <v>#N/A</v>
      </c>
    </row>
    <row r="622" spans="1:9" hidden="1" x14ac:dyDescent="0.3">
      <c r="A622" s="2">
        <v>45643</v>
      </c>
      <c r="B622" s="3">
        <v>2024003286</v>
      </c>
      <c r="C622" s="3" t="s">
        <v>628</v>
      </c>
      <c r="D622" s="5">
        <v>6000000</v>
      </c>
      <c r="E622" s="3">
        <v>1233193716</v>
      </c>
      <c r="F622" s="3" t="s">
        <v>42</v>
      </c>
      <c r="G622" t="s">
        <v>763</v>
      </c>
      <c r="I622" t="e">
        <f>VLOOKUP(C622,[1]Hoja1!$A$2:$N$29,1,0)</f>
        <v>#N/A</v>
      </c>
    </row>
    <row r="623" spans="1:9" hidden="1" x14ac:dyDescent="0.3">
      <c r="A623" s="2">
        <v>45643</v>
      </c>
      <c r="B623" s="3">
        <v>2024003295</v>
      </c>
      <c r="C623" s="3" t="s">
        <v>208</v>
      </c>
      <c r="D623" s="5">
        <v>2500000</v>
      </c>
      <c r="E623" s="3">
        <v>36753698</v>
      </c>
      <c r="F623" s="3" t="s">
        <v>209</v>
      </c>
      <c r="G623" t="s">
        <v>763</v>
      </c>
      <c r="I623" t="e">
        <f>VLOOKUP(C623,[1]Hoja1!$A$2:$N$29,1,0)</f>
        <v>#N/A</v>
      </c>
    </row>
    <row r="624" spans="1:9" hidden="1" x14ac:dyDescent="0.3">
      <c r="A624" s="2">
        <v>45643</v>
      </c>
      <c r="B624" s="3">
        <v>2024003297</v>
      </c>
      <c r="C624" s="3" t="s">
        <v>699</v>
      </c>
      <c r="D624" s="5">
        <v>4750000</v>
      </c>
      <c r="E624" s="3">
        <v>1067940322</v>
      </c>
      <c r="F624" s="3" t="s">
        <v>700</v>
      </c>
      <c r="G624" t="s">
        <v>763</v>
      </c>
      <c r="I624" t="e">
        <f>VLOOKUP(C624,[1]Hoja1!$A$2:$N$29,1,0)</f>
        <v>#N/A</v>
      </c>
    </row>
    <row r="625" spans="1:9" hidden="1" x14ac:dyDescent="0.3">
      <c r="A625" s="2">
        <v>45643</v>
      </c>
      <c r="B625" s="3">
        <v>2024003299</v>
      </c>
      <c r="C625" s="3" t="s">
        <v>652</v>
      </c>
      <c r="D625" s="5">
        <v>3000000</v>
      </c>
      <c r="E625" s="3">
        <v>1081053820</v>
      </c>
      <c r="F625" s="3" t="s">
        <v>653</v>
      </c>
      <c r="G625" t="s">
        <v>763</v>
      </c>
      <c r="I625" t="e">
        <f>VLOOKUP(C625,[1]Hoja1!$A$2:$N$29,1,0)</f>
        <v>#N/A</v>
      </c>
    </row>
    <row r="626" spans="1:9" hidden="1" x14ac:dyDescent="0.3">
      <c r="A626" s="2">
        <v>45643</v>
      </c>
      <c r="B626" s="3">
        <v>2024003302</v>
      </c>
      <c r="C626" s="3" t="s">
        <v>85</v>
      </c>
      <c r="D626" s="5">
        <v>4825000</v>
      </c>
      <c r="E626" s="3">
        <v>37082349</v>
      </c>
      <c r="F626" s="3" t="s">
        <v>86</v>
      </c>
      <c r="G626" t="s">
        <v>763</v>
      </c>
      <c r="I626" t="e">
        <f>VLOOKUP(C626,[1]Hoja1!$A$2:$N$29,1,0)</f>
        <v>#N/A</v>
      </c>
    </row>
    <row r="627" spans="1:9" hidden="1" x14ac:dyDescent="0.3">
      <c r="A627" s="2">
        <v>45643</v>
      </c>
      <c r="B627" s="3">
        <v>2024003304</v>
      </c>
      <c r="C627" s="3" t="s">
        <v>488</v>
      </c>
      <c r="D627" s="5">
        <v>3000000</v>
      </c>
      <c r="E627" s="3">
        <v>1085250095</v>
      </c>
      <c r="F627" s="3" t="s">
        <v>489</v>
      </c>
      <c r="G627" t="s">
        <v>763</v>
      </c>
      <c r="I627" t="e">
        <f>VLOOKUP(C627,[1]Hoja1!$A$2:$N$29,1,0)</f>
        <v>#N/A</v>
      </c>
    </row>
    <row r="628" spans="1:9" hidden="1" x14ac:dyDescent="0.3">
      <c r="A628" s="2">
        <v>45643</v>
      </c>
      <c r="B628" s="3">
        <v>2024003307</v>
      </c>
      <c r="C628" s="3" t="s">
        <v>416</v>
      </c>
      <c r="D628" s="5">
        <v>6000000</v>
      </c>
      <c r="E628" s="3">
        <v>27097745</v>
      </c>
      <c r="F628" s="3" t="s">
        <v>417</v>
      </c>
      <c r="G628" t="s">
        <v>763</v>
      </c>
      <c r="I628" t="e">
        <f>VLOOKUP(C628,[1]Hoja1!$A$2:$N$29,1,0)</f>
        <v>#N/A</v>
      </c>
    </row>
    <row r="629" spans="1:9" hidden="1" x14ac:dyDescent="0.3">
      <c r="A629" s="2">
        <v>45643</v>
      </c>
      <c r="B629" s="3">
        <v>2024003309</v>
      </c>
      <c r="C629" s="3" t="s">
        <v>701</v>
      </c>
      <c r="D629" s="5">
        <v>1300000</v>
      </c>
      <c r="E629" s="3">
        <v>1088733625</v>
      </c>
      <c r="F629" s="3" t="s">
        <v>702</v>
      </c>
      <c r="G629" t="s">
        <v>763</v>
      </c>
      <c r="I629" t="e">
        <f>VLOOKUP(C629,[1]Hoja1!$A$2:$N$29,1,0)</f>
        <v>#N/A</v>
      </c>
    </row>
    <row r="630" spans="1:9" hidden="1" x14ac:dyDescent="0.3">
      <c r="A630" s="2">
        <v>45643</v>
      </c>
      <c r="B630" s="3">
        <v>2024003311</v>
      </c>
      <c r="C630" s="3" t="s">
        <v>345</v>
      </c>
      <c r="D630" s="5">
        <v>3000000</v>
      </c>
      <c r="E630" s="3">
        <v>1085319295</v>
      </c>
      <c r="F630" s="3" t="s">
        <v>346</v>
      </c>
      <c r="G630" t="s">
        <v>763</v>
      </c>
      <c r="I630" t="e">
        <f>VLOOKUP(C630,[1]Hoja1!$A$2:$N$29,1,0)</f>
        <v>#N/A</v>
      </c>
    </row>
    <row r="631" spans="1:9" hidden="1" x14ac:dyDescent="0.3">
      <c r="A631" s="2">
        <v>45643</v>
      </c>
      <c r="B631" s="3">
        <v>2024003355</v>
      </c>
      <c r="C631" s="3" t="s">
        <v>703</v>
      </c>
      <c r="D631" s="5">
        <v>4825000</v>
      </c>
      <c r="E631" s="3">
        <v>12983807</v>
      </c>
      <c r="F631" s="3" t="s">
        <v>704</v>
      </c>
      <c r="G631" t="s">
        <v>763</v>
      </c>
      <c r="I631" t="e">
        <f>VLOOKUP(C631,[1]Hoja1!$A$2:$N$29,1,0)</f>
        <v>#N/A</v>
      </c>
    </row>
    <row r="632" spans="1:9" hidden="1" x14ac:dyDescent="0.3">
      <c r="A632" s="2">
        <v>45615</v>
      </c>
      <c r="B632" s="3">
        <v>2024002469</v>
      </c>
      <c r="C632" s="3" t="s">
        <v>120</v>
      </c>
      <c r="D632" s="5">
        <v>7540000</v>
      </c>
      <c r="E632" s="3">
        <v>1085320661</v>
      </c>
      <c r="F632" s="3" t="s">
        <v>121</v>
      </c>
      <c r="G632" t="s">
        <v>763</v>
      </c>
      <c r="I632" t="str">
        <f>VLOOKUP(C632,[1]Hoja1!$A$2:$N$29,1,0)</f>
        <v>647-2024</v>
      </c>
    </row>
    <row r="633" spans="1:9" hidden="1" x14ac:dyDescent="0.3">
      <c r="A633" s="2">
        <v>45643</v>
      </c>
      <c r="B633" s="3">
        <v>2024003357</v>
      </c>
      <c r="C633" s="3" t="s">
        <v>452</v>
      </c>
      <c r="D633" s="5">
        <v>3000000</v>
      </c>
      <c r="E633" s="3">
        <v>1085344082</v>
      </c>
      <c r="F633" s="3" t="s">
        <v>453</v>
      </c>
      <c r="G633" t="s">
        <v>763</v>
      </c>
      <c r="I633" t="e">
        <f>VLOOKUP(C633,[1]Hoja1!$A$2:$N$29,1,0)</f>
        <v>#N/A</v>
      </c>
    </row>
    <row r="634" spans="1:9" hidden="1" x14ac:dyDescent="0.3">
      <c r="A634" s="2">
        <v>45643</v>
      </c>
      <c r="B634" s="3">
        <v>2024003358</v>
      </c>
      <c r="C634" s="3" t="s">
        <v>160</v>
      </c>
      <c r="D634" s="5">
        <v>4750000</v>
      </c>
      <c r="E634" s="3">
        <v>1087413951</v>
      </c>
      <c r="F634" s="3" t="s">
        <v>161</v>
      </c>
      <c r="G634" t="s">
        <v>763</v>
      </c>
      <c r="I634" t="e">
        <f>VLOOKUP(C634,[1]Hoja1!$A$2:$N$29,1,0)</f>
        <v>#N/A</v>
      </c>
    </row>
    <row r="635" spans="1:9" hidden="1" x14ac:dyDescent="0.3">
      <c r="A635" s="2">
        <v>45643</v>
      </c>
      <c r="B635" s="3">
        <v>2024003359</v>
      </c>
      <c r="C635" s="3" t="s">
        <v>707</v>
      </c>
      <c r="D635" s="5">
        <v>4750000</v>
      </c>
      <c r="E635" s="3">
        <v>1085326561</v>
      </c>
      <c r="F635" s="3" t="s">
        <v>708</v>
      </c>
      <c r="G635" t="s">
        <v>763</v>
      </c>
      <c r="I635" t="e">
        <f>VLOOKUP(C635,[1]Hoja1!$A$2:$N$29,1,0)</f>
        <v>#N/A</v>
      </c>
    </row>
    <row r="636" spans="1:9" hidden="1" x14ac:dyDescent="0.3">
      <c r="A636" s="2">
        <v>45642</v>
      </c>
      <c r="B636" s="3">
        <v>2024003205</v>
      </c>
      <c r="C636" s="3" t="s">
        <v>120</v>
      </c>
      <c r="D636" s="5">
        <v>7540000</v>
      </c>
      <c r="E636" s="3">
        <v>1085320661</v>
      </c>
      <c r="F636" s="3" t="s">
        <v>121</v>
      </c>
      <c r="G636" t="s">
        <v>763</v>
      </c>
      <c r="I636" t="str">
        <f>VLOOKUP(C636,[1]Hoja1!$A$2:$N$29,1,0)</f>
        <v>647-2024</v>
      </c>
    </row>
    <row r="637" spans="1:9" hidden="1" x14ac:dyDescent="0.3">
      <c r="A637" s="2">
        <v>45643</v>
      </c>
      <c r="B637" s="3">
        <v>2024003361</v>
      </c>
      <c r="C637" s="3" t="s">
        <v>450</v>
      </c>
      <c r="D637" s="5">
        <v>3000000</v>
      </c>
      <c r="E637" s="3">
        <v>1004215136</v>
      </c>
      <c r="F637" s="3" t="s">
        <v>451</v>
      </c>
      <c r="G637" t="s">
        <v>763</v>
      </c>
      <c r="I637" t="e">
        <f>VLOOKUP(C637,[1]Hoja1!$A$2:$N$29,1,0)</f>
        <v>#N/A</v>
      </c>
    </row>
    <row r="638" spans="1:9" hidden="1" x14ac:dyDescent="0.3">
      <c r="A638" s="2">
        <v>45643</v>
      </c>
      <c r="B638" s="3">
        <v>2024003362</v>
      </c>
      <c r="C638" s="3" t="s">
        <v>393</v>
      </c>
      <c r="D638" s="5">
        <v>6000000</v>
      </c>
      <c r="E638" s="3">
        <v>1131085780</v>
      </c>
      <c r="F638" s="3" t="s">
        <v>394</v>
      </c>
      <c r="G638" t="s">
        <v>763</v>
      </c>
      <c r="I638" t="e">
        <f>VLOOKUP(C638,[1]Hoja1!$A$2:$N$29,1,0)</f>
        <v>#N/A</v>
      </c>
    </row>
    <row r="639" spans="1:9" hidden="1" x14ac:dyDescent="0.3">
      <c r="A639" s="2">
        <v>45643</v>
      </c>
      <c r="B639" s="3">
        <v>2024003363</v>
      </c>
      <c r="C639" s="3" t="s">
        <v>709</v>
      </c>
      <c r="D639" s="5">
        <v>2500000</v>
      </c>
      <c r="E639" s="3">
        <v>1085324252</v>
      </c>
      <c r="F639" s="3" t="s">
        <v>710</v>
      </c>
      <c r="G639" t="s">
        <v>763</v>
      </c>
      <c r="I639" t="e">
        <f>VLOOKUP(C639,[1]Hoja1!$A$2:$N$29,1,0)</f>
        <v>#N/A</v>
      </c>
    </row>
    <row r="640" spans="1:9" hidden="1" x14ac:dyDescent="0.3">
      <c r="A640" s="2">
        <v>45643</v>
      </c>
      <c r="B640" s="3">
        <v>2024003364</v>
      </c>
      <c r="C640" s="3" t="s">
        <v>711</v>
      </c>
      <c r="D640" s="5">
        <v>4750000</v>
      </c>
      <c r="E640" s="3">
        <v>1085313870</v>
      </c>
      <c r="F640" s="3" t="s">
        <v>712</v>
      </c>
      <c r="G640" t="s">
        <v>763</v>
      </c>
      <c r="I640" t="e">
        <f>VLOOKUP(C640,[1]Hoja1!$A$2:$N$29,1,0)</f>
        <v>#N/A</v>
      </c>
    </row>
    <row r="641" spans="1:9" hidden="1" x14ac:dyDescent="0.3">
      <c r="A641" s="2">
        <v>45643</v>
      </c>
      <c r="B641" s="3">
        <v>2024003365</v>
      </c>
      <c r="C641" s="3" t="s">
        <v>713</v>
      </c>
      <c r="D641" s="5">
        <v>2691100</v>
      </c>
      <c r="E641" s="3">
        <v>1085334685</v>
      </c>
      <c r="F641" s="3" t="s">
        <v>714</v>
      </c>
      <c r="G641" t="s">
        <v>763</v>
      </c>
      <c r="I641" t="e">
        <f>VLOOKUP(C641,[1]Hoja1!$A$2:$N$29,1,0)</f>
        <v>#N/A</v>
      </c>
    </row>
    <row r="642" spans="1:9" hidden="1" x14ac:dyDescent="0.3">
      <c r="A642" s="2">
        <v>45643</v>
      </c>
      <c r="B642" s="3">
        <v>2024003366</v>
      </c>
      <c r="C642" s="3" t="s">
        <v>434</v>
      </c>
      <c r="D642" s="5">
        <v>3000000</v>
      </c>
      <c r="E642" s="3">
        <v>1233188273</v>
      </c>
      <c r="F642" s="3" t="s">
        <v>435</v>
      </c>
      <c r="G642" t="s">
        <v>763</v>
      </c>
      <c r="I642" t="e">
        <f>VLOOKUP(C642,[1]Hoja1!$A$2:$N$29,1,0)</f>
        <v>#N/A</v>
      </c>
    </row>
    <row r="643" spans="1:9" hidden="1" x14ac:dyDescent="0.3">
      <c r="A643" s="2">
        <v>45643</v>
      </c>
      <c r="B643" s="3">
        <v>2024003367</v>
      </c>
      <c r="C643" s="3" t="s">
        <v>498</v>
      </c>
      <c r="D643" s="5">
        <v>3000000</v>
      </c>
      <c r="E643" s="3">
        <v>1085338575</v>
      </c>
      <c r="F643" s="3" t="s">
        <v>499</v>
      </c>
      <c r="G643" t="s">
        <v>763</v>
      </c>
      <c r="I643" t="e">
        <f>VLOOKUP(C643,[1]Hoja1!$A$2:$N$29,1,0)</f>
        <v>#N/A</v>
      </c>
    </row>
    <row r="644" spans="1:9" hidden="1" x14ac:dyDescent="0.3">
      <c r="A644" s="2">
        <v>45643</v>
      </c>
      <c r="B644" s="3">
        <v>2024003368</v>
      </c>
      <c r="C644" s="3" t="s">
        <v>357</v>
      </c>
      <c r="D644" s="5">
        <v>6000000</v>
      </c>
      <c r="E644" s="3">
        <v>59588823</v>
      </c>
      <c r="F644" s="3" t="s">
        <v>358</v>
      </c>
      <c r="G644" t="s">
        <v>763</v>
      </c>
      <c r="I644" t="e">
        <f>VLOOKUP(C644,[1]Hoja1!$A$2:$N$29,1,0)</f>
        <v>#N/A</v>
      </c>
    </row>
    <row r="645" spans="1:9" hidden="1" x14ac:dyDescent="0.3">
      <c r="A645" s="2">
        <v>45643</v>
      </c>
      <c r="B645" s="3">
        <v>2024003369</v>
      </c>
      <c r="C645" s="3" t="s">
        <v>480</v>
      </c>
      <c r="D645" s="5">
        <v>4825000</v>
      </c>
      <c r="E645" s="3">
        <v>30733517</v>
      </c>
      <c r="F645" s="3" t="s">
        <v>481</v>
      </c>
      <c r="G645" t="s">
        <v>763</v>
      </c>
      <c r="I645" t="e">
        <f>VLOOKUP(C645,[1]Hoja1!$A$2:$N$29,1,0)</f>
        <v>#N/A</v>
      </c>
    </row>
    <row r="646" spans="1:9" hidden="1" x14ac:dyDescent="0.3">
      <c r="A646" s="2">
        <v>45643</v>
      </c>
      <c r="B646" s="3">
        <v>2024003370</v>
      </c>
      <c r="C646" s="3" t="s">
        <v>544</v>
      </c>
      <c r="D646" s="5">
        <v>2500000</v>
      </c>
      <c r="E646" s="3">
        <v>13072447</v>
      </c>
      <c r="F646" s="3" t="s">
        <v>545</v>
      </c>
      <c r="G646" t="s">
        <v>763</v>
      </c>
      <c r="I646" t="e">
        <f>VLOOKUP(C646,[1]Hoja1!$A$2:$N$29,1,0)</f>
        <v>#N/A</v>
      </c>
    </row>
    <row r="647" spans="1:9" hidden="1" x14ac:dyDescent="0.3">
      <c r="A647" s="2">
        <v>45643</v>
      </c>
      <c r="B647" s="3">
        <v>2024003371</v>
      </c>
      <c r="C647" s="3" t="s">
        <v>546</v>
      </c>
      <c r="D647" s="5">
        <v>2500000</v>
      </c>
      <c r="E647" s="3">
        <v>1085338135</v>
      </c>
      <c r="F647" s="3" t="s">
        <v>547</v>
      </c>
      <c r="G647" t="s">
        <v>763</v>
      </c>
      <c r="I647" t="e">
        <f>VLOOKUP(C647,[1]Hoja1!$A$2:$N$29,1,0)</f>
        <v>#N/A</v>
      </c>
    </row>
    <row r="648" spans="1:9" hidden="1" x14ac:dyDescent="0.3">
      <c r="A648" s="2">
        <v>45643</v>
      </c>
      <c r="B648" s="3">
        <v>2024003372</v>
      </c>
      <c r="C648" s="3" t="s">
        <v>524</v>
      </c>
      <c r="D648" s="5">
        <v>4825000</v>
      </c>
      <c r="E648" s="3">
        <v>59310622</v>
      </c>
      <c r="F648" s="3" t="s">
        <v>525</v>
      </c>
      <c r="G648" t="s">
        <v>763</v>
      </c>
      <c r="I648" t="e">
        <f>VLOOKUP(C648,[1]Hoja1!$A$2:$N$29,1,0)</f>
        <v>#N/A</v>
      </c>
    </row>
    <row r="649" spans="1:9" hidden="1" x14ac:dyDescent="0.3">
      <c r="A649" s="2">
        <v>45643</v>
      </c>
      <c r="B649" s="3">
        <v>2024003373</v>
      </c>
      <c r="C649" s="3" t="s">
        <v>620</v>
      </c>
      <c r="D649" s="5">
        <v>6000000</v>
      </c>
      <c r="E649" s="3">
        <v>79724257</v>
      </c>
      <c r="F649" s="3" t="s">
        <v>621</v>
      </c>
      <c r="G649" t="s">
        <v>763</v>
      </c>
      <c r="I649" t="e">
        <f>VLOOKUP(C649,[1]Hoja1!$A$2:$N$29,1,0)</f>
        <v>#N/A</v>
      </c>
    </row>
    <row r="650" spans="1:9" hidden="1" x14ac:dyDescent="0.3">
      <c r="A650" s="2">
        <v>45645</v>
      </c>
      <c r="B650" s="3">
        <v>2024003381</v>
      </c>
      <c r="C650" s="3" t="s">
        <v>576</v>
      </c>
      <c r="D650" s="5">
        <v>4825000</v>
      </c>
      <c r="E650" s="3">
        <v>27087851</v>
      </c>
      <c r="F650" s="3" t="s">
        <v>577</v>
      </c>
      <c r="G650" t="s">
        <v>763</v>
      </c>
      <c r="I650" t="e">
        <f>VLOOKUP(C650,[1]Hoja1!$A$2:$N$29,1,0)</f>
        <v>#N/A</v>
      </c>
    </row>
    <row r="651" spans="1:9" hidden="1" x14ac:dyDescent="0.3">
      <c r="A651" s="2">
        <v>45645</v>
      </c>
      <c r="B651" s="3">
        <v>2024003382</v>
      </c>
      <c r="C651" s="3" t="s">
        <v>190</v>
      </c>
      <c r="D651" s="5">
        <v>3000000</v>
      </c>
      <c r="E651" s="3">
        <v>1004135064</v>
      </c>
      <c r="F651" s="3" t="s">
        <v>191</v>
      </c>
      <c r="G651" t="s">
        <v>763</v>
      </c>
      <c r="I651" t="e">
        <f>VLOOKUP(C651,[1]Hoja1!$A$2:$N$29,1,0)</f>
        <v>#N/A</v>
      </c>
    </row>
    <row r="652" spans="1:9" hidden="1" x14ac:dyDescent="0.3">
      <c r="A652" s="2">
        <v>45645</v>
      </c>
      <c r="B652" s="3">
        <v>2024003383</v>
      </c>
      <c r="C652" s="3" t="s">
        <v>200</v>
      </c>
      <c r="D652" s="5">
        <v>2500000</v>
      </c>
      <c r="E652" s="3">
        <v>1085338232</v>
      </c>
      <c r="F652" s="3" t="s">
        <v>201</v>
      </c>
      <c r="G652" t="s">
        <v>763</v>
      </c>
      <c r="I652" t="e">
        <f>VLOOKUP(C652,[1]Hoja1!$A$2:$N$29,1,0)</f>
        <v>#N/A</v>
      </c>
    </row>
    <row r="653" spans="1:9" hidden="1" x14ac:dyDescent="0.3">
      <c r="A653" s="2">
        <v>45645</v>
      </c>
      <c r="B653" s="3">
        <v>2024003385</v>
      </c>
      <c r="C653" s="3" t="s">
        <v>204</v>
      </c>
      <c r="D653" s="5">
        <v>4825000</v>
      </c>
      <c r="E653" s="3">
        <v>59310145</v>
      </c>
      <c r="F653" s="3" t="s">
        <v>205</v>
      </c>
      <c r="G653" t="s">
        <v>763</v>
      </c>
      <c r="I653" t="e">
        <f>VLOOKUP(C653,[1]Hoja1!$A$2:$N$29,1,0)</f>
        <v>#N/A</v>
      </c>
    </row>
    <row r="654" spans="1:9" hidden="1" x14ac:dyDescent="0.3">
      <c r="A654" s="2">
        <v>45645</v>
      </c>
      <c r="B654" s="3">
        <v>2024003386</v>
      </c>
      <c r="C654" s="3" t="s">
        <v>178</v>
      </c>
      <c r="D654" s="5">
        <v>4825000</v>
      </c>
      <c r="E654" s="3">
        <v>1193385736</v>
      </c>
      <c r="F654" s="3" t="s">
        <v>179</v>
      </c>
      <c r="G654" t="s">
        <v>763</v>
      </c>
      <c r="I654" t="e">
        <f>VLOOKUP(C654,[1]Hoja1!$A$2:$N$29,1,0)</f>
        <v>#N/A</v>
      </c>
    </row>
    <row r="655" spans="1:9" hidden="1" x14ac:dyDescent="0.3">
      <c r="A655" s="2">
        <v>45645</v>
      </c>
      <c r="B655" s="3">
        <v>2024003387</v>
      </c>
      <c r="C655" s="3" t="s">
        <v>558</v>
      </c>
      <c r="D655" s="5">
        <v>7540000</v>
      </c>
      <c r="E655" s="3">
        <v>1085300619</v>
      </c>
      <c r="F655" s="3" t="s">
        <v>559</v>
      </c>
      <c r="G655" t="s">
        <v>763</v>
      </c>
      <c r="I655" t="e">
        <f>VLOOKUP(C655,[1]Hoja1!$A$2:$N$29,1,0)</f>
        <v>#N/A</v>
      </c>
    </row>
    <row r="656" spans="1:9" hidden="1" x14ac:dyDescent="0.3">
      <c r="A656" s="2">
        <v>45645</v>
      </c>
      <c r="B656" s="3">
        <v>2024003388</v>
      </c>
      <c r="C656" s="3" t="s">
        <v>566</v>
      </c>
      <c r="D656" s="5">
        <v>4750000</v>
      </c>
      <c r="E656" s="3">
        <v>1086332188</v>
      </c>
      <c r="F656" s="3" t="s">
        <v>567</v>
      </c>
      <c r="G656" t="s">
        <v>763</v>
      </c>
      <c r="I656" t="e">
        <f>VLOOKUP(C656,[1]Hoja1!$A$2:$N$29,1,0)</f>
        <v>#N/A</v>
      </c>
    </row>
    <row r="657" spans="1:9" hidden="1" x14ac:dyDescent="0.3">
      <c r="A657" s="2">
        <v>45645</v>
      </c>
      <c r="B657" s="3">
        <v>2024003390</v>
      </c>
      <c r="C657" s="3" t="s">
        <v>64</v>
      </c>
      <c r="D657" s="5">
        <v>6000000</v>
      </c>
      <c r="E657" s="3">
        <v>1085275879</v>
      </c>
      <c r="F657" s="3" t="s">
        <v>65</v>
      </c>
      <c r="G657" t="s">
        <v>763</v>
      </c>
      <c r="I657" t="e">
        <f>VLOOKUP(C657,[1]Hoja1!$A$2:$N$29,1,0)</f>
        <v>#N/A</v>
      </c>
    </row>
    <row r="658" spans="1:9" hidden="1" x14ac:dyDescent="0.3">
      <c r="A658" s="2">
        <v>45645</v>
      </c>
      <c r="B658" s="3">
        <v>2024003391</v>
      </c>
      <c r="C658" s="3" t="s">
        <v>454</v>
      </c>
      <c r="D658" s="5">
        <v>2500000</v>
      </c>
      <c r="E658" s="3">
        <v>1085337465</v>
      </c>
      <c r="F658" s="3" t="s">
        <v>455</v>
      </c>
      <c r="G658" t="s">
        <v>763</v>
      </c>
      <c r="I658" t="e">
        <f>VLOOKUP(C658,[1]Hoja1!$A$2:$N$29,1,0)</f>
        <v>#N/A</v>
      </c>
    </row>
    <row r="659" spans="1:9" hidden="1" x14ac:dyDescent="0.3">
      <c r="A659" s="2">
        <v>45645</v>
      </c>
      <c r="B659" s="3">
        <v>2024003392</v>
      </c>
      <c r="C659" s="3" t="s">
        <v>274</v>
      </c>
      <c r="D659" s="5">
        <v>2500000</v>
      </c>
      <c r="E659" s="3">
        <v>27090145</v>
      </c>
      <c r="F659" s="3" t="s">
        <v>275</v>
      </c>
      <c r="G659" t="s">
        <v>763</v>
      </c>
      <c r="I659" t="e">
        <f>VLOOKUP(C659,[1]Hoja1!$A$2:$N$29,1,0)</f>
        <v>#N/A</v>
      </c>
    </row>
    <row r="660" spans="1:9" hidden="1" x14ac:dyDescent="0.3">
      <c r="A660" s="2">
        <v>45645</v>
      </c>
      <c r="B660" s="3">
        <v>2024003393</v>
      </c>
      <c r="C660" s="3" t="s">
        <v>202</v>
      </c>
      <c r="D660" s="5">
        <v>3000000</v>
      </c>
      <c r="E660" s="3">
        <v>59837416</v>
      </c>
      <c r="F660" s="3" t="s">
        <v>203</v>
      </c>
      <c r="G660" t="s">
        <v>763</v>
      </c>
      <c r="I660" t="e">
        <f>VLOOKUP(C660,[1]Hoja1!$A$2:$N$29,1,0)</f>
        <v>#N/A</v>
      </c>
    </row>
    <row r="661" spans="1:9" hidden="1" x14ac:dyDescent="0.3">
      <c r="A661" s="2">
        <v>45645</v>
      </c>
      <c r="B661" s="3">
        <v>2024003394</v>
      </c>
      <c r="C661" s="3" t="s">
        <v>307</v>
      </c>
      <c r="D661" s="5">
        <v>7540000</v>
      </c>
      <c r="E661" s="3">
        <v>1006946167</v>
      </c>
      <c r="F661" s="3" t="s">
        <v>308</v>
      </c>
      <c r="G661" t="s">
        <v>763</v>
      </c>
      <c r="I661" t="e">
        <f>VLOOKUP(C661,[1]Hoja1!$A$2:$N$29,1,0)</f>
        <v>#N/A</v>
      </c>
    </row>
    <row r="662" spans="1:9" hidden="1" x14ac:dyDescent="0.3">
      <c r="A662" s="2">
        <v>45645</v>
      </c>
      <c r="B662" s="3">
        <v>2024003395</v>
      </c>
      <c r="C662" s="3" t="s">
        <v>446</v>
      </c>
      <c r="D662" s="5">
        <v>4825000</v>
      </c>
      <c r="E662" s="3">
        <v>1085324891</v>
      </c>
      <c r="F662" s="3" t="s">
        <v>447</v>
      </c>
      <c r="G662" t="s">
        <v>763</v>
      </c>
      <c r="I662" t="e">
        <f>VLOOKUP(C662,[1]Hoja1!$A$2:$N$29,1,0)</f>
        <v>#N/A</v>
      </c>
    </row>
    <row r="663" spans="1:9" hidden="1" x14ac:dyDescent="0.3">
      <c r="A663" s="2">
        <v>45645</v>
      </c>
      <c r="B663" s="3">
        <v>2024003396</v>
      </c>
      <c r="C663" s="3" t="s">
        <v>484</v>
      </c>
      <c r="D663" s="5">
        <v>2500000</v>
      </c>
      <c r="E663" s="3">
        <v>1081273343</v>
      </c>
      <c r="F663" s="3" t="s">
        <v>485</v>
      </c>
      <c r="G663" t="s">
        <v>763</v>
      </c>
      <c r="I663" t="e">
        <f>VLOOKUP(C663,[1]Hoja1!$A$2:$N$29,1,0)</f>
        <v>#N/A</v>
      </c>
    </row>
    <row r="664" spans="1:9" hidden="1" x14ac:dyDescent="0.3">
      <c r="A664" s="2">
        <v>45645</v>
      </c>
      <c r="B664" s="3">
        <v>2024003397</v>
      </c>
      <c r="C664" s="3" t="s">
        <v>715</v>
      </c>
      <c r="D664" s="5">
        <v>600000</v>
      </c>
      <c r="E664" s="3">
        <v>87030128</v>
      </c>
      <c r="F664" s="3" t="s">
        <v>716</v>
      </c>
      <c r="G664" t="s">
        <v>763</v>
      </c>
      <c r="I664" t="e">
        <f>VLOOKUP(C664,[1]Hoja1!$A$2:$N$29,1,0)</f>
        <v>#N/A</v>
      </c>
    </row>
    <row r="665" spans="1:9" hidden="1" x14ac:dyDescent="0.3">
      <c r="A665" s="2">
        <v>45645</v>
      </c>
      <c r="B665" s="3">
        <v>2024003398</v>
      </c>
      <c r="C665" s="3" t="s">
        <v>715</v>
      </c>
      <c r="D665" s="5">
        <v>3000000</v>
      </c>
      <c r="E665" s="3">
        <v>87030128</v>
      </c>
      <c r="F665" s="3" t="s">
        <v>716</v>
      </c>
      <c r="G665" t="s">
        <v>763</v>
      </c>
      <c r="I665" t="e">
        <f>VLOOKUP(C665,[1]Hoja1!$A$2:$N$29,1,0)</f>
        <v>#N/A</v>
      </c>
    </row>
    <row r="666" spans="1:9" hidden="1" x14ac:dyDescent="0.3">
      <c r="A666" s="2">
        <v>45645</v>
      </c>
      <c r="B666" s="3">
        <v>2024003399</v>
      </c>
      <c r="C666" s="3" t="s">
        <v>138</v>
      </c>
      <c r="D666" s="5">
        <v>3000000</v>
      </c>
      <c r="E666" s="3">
        <v>59178610</v>
      </c>
      <c r="F666" s="3" t="s">
        <v>139</v>
      </c>
      <c r="G666" t="s">
        <v>763</v>
      </c>
      <c r="I666" t="e">
        <f>VLOOKUP(C666,[1]Hoja1!$A$2:$N$29,1,0)</f>
        <v>#N/A</v>
      </c>
    </row>
    <row r="667" spans="1:9" hidden="1" x14ac:dyDescent="0.3">
      <c r="A667" s="2">
        <v>45645</v>
      </c>
      <c r="B667" s="3">
        <v>2024003400</v>
      </c>
      <c r="C667" s="3" t="s">
        <v>420</v>
      </c>
      <c r="D667" s="5">
        <v>2500000</v>
      </c>
      <c r="E667" s="3">
        <v>1085289798</v>
      </c>
      <c r="F667" s="3" t="s">
        <v>421</v>
      </c>
      <c r="G667" t="s">
        <v>763</v>
      </c>
      <c r="I667" t="e">
        <f>VLOOKUP(C667,[1]Hoja1!$A$2:$N$29,1,0)</f>
        <v>#N/A</v>
      </c>
    </row>
    <row r="668" spans="1:9" hidden="1" x14ac:dyDescent="0.3">
      <c r="A668" s="2">
        <v>45645</v>
      </c>
      <c r="B668" s="3">
        <v>2024003401</v>
      </c>
      <c r="C668" s="3" t="s">
        <v>168</v>
      </c>
      <c r="D668" s="5">
        <v>4750000</v>
      </c>
      <c r="E668" s="3">
        <v>1085293619</v>
      </c>
      <c r="F668" s="3" t="s">
        <v>169</v>
      </c>
      <c r="G668" t="s">
        <v>763</v>
      </c>
      <c r="I668" t="e">
        <f>VLOOKUP(C668,[1]Hoja1!$A$2:$N$29,1,0)</f>
        <v>#N/A</v>
      </c>
    </row>
    <row r="669" spans="1:9" hidden="1" x14ac:dyDescent="0.3">
      <c r="A669" s="2">
        <v>45645</v>
      </c>
      <c r="B669" s="3">
        <v>2024003402</v>
      </c>
      <c r="C669" s="3" t="s">
        <v>717</v>
      </c>
      <c r="D669" s="5">
        <v>1500000</v>
      </c>
      <c r="E669" s="3">
        <v>1085346528</v>
      </c>
      <c r="F669" s="3" t="s">
        <v>718</v>
      </c>
      <c r="G669" t="s">
        <v>763</v>
      </c>
      <c r="I669" t="e">
        <f>VLOOKUP(C669,[1]Hoja1!$A$2:$N$29,1,0)</f>
        <v>#N/A</v>
      </c>
    </row>
    <row r="670" spans="1:9" hidden="1" x14ac:dyDescent="0.3">
      <c r="A670" s="2">
        <v>45645</v>
      </c>
      <c r="B670" s="3">
        <v>2024003403</v>
      </c>
      <c r="C670" s="3" t="s">
        <v>717</v>
      </c>
      <c r="D670" s="5">
        <v>3000000</v>
      </c>
      <c r="E670" s="3">
        <v>1085346528</v>
      </c>
      <c r="F670" s="3" t="s">
        <v>718</v>
      </c>
      <c r="G670" t="s">
        <v>763</v>
      </c>
      <c r="I670" t="e">
        <f>VLOOKUP(C670,[1]Hoja1!$A$2:$N$29,1,0)</f>
        <v>#N/A</v>
      </c>
    </row>
    <row r="671" spans="1:9" hidden="1" x14ac:dyDescent="0.3">
      <c r="A671" s="2">
        <v>45645</v>
      </c>
      <c r="B671" s="3">
        <v>2024003404</v>
      </c>
      <c r="C671" s="3" t="s">
        <v>719</v>
      </c>
      <c r="D671" s="5">
        <v>1000000</v>
      </c>
      <c r="E671" s="3">
        <v>1004437571</v>
      </c>
      <c r="F671" s="3" t="s">
        <v>22</v>
      </c>
      <c r="G671" t="s">
        <v>763</v>
      </c>
      <c r="I671" t="e">
        <f>VLOOKUP(C671,[1]Hoja1!$A$2:$N$29,1,0)</f>
        <v>#N/A</v>
      </c>
    </row>
    <row r="672" spans="1:9" hidden="1" x14ac:dyDescent="0.3">
      <c r="A672" s="2">
        <v>45645</v>
      </c>
      <c r="B672" s="3">
        <v>2024003405</v>
      </c>
      <c r="C672" s="3" t="s">
        <v>605</v>
      </c>
      <c r="D672" s="5">
        <v>3000000</v>
      </c>
      <c r="E672" s="3">
        <v>1085286725</v>
      </c>
      <c r="F672" s="3" t="s">
        <v>13</v>
      </c>
      <c r="G672" t="s">
        <v>763</v>
      </c>
      <c r="I672" t="e">
        <f>VLOOKUP(C672,[1]Hoja1!$A$2:$N$29,1,0)</f>
        <v>#N/A</v>
      </c>
    </row>
    <row r="673" spans="1:9" hidden="1" x14ac:dyDescent="0.3">
      <c r="A673" s="2">
        <v>45645</v>
      </c>
      <c r="B673" s="3">
        <v>2024003406</v>
      </c>
      <c r="C673" s="3" t="s">
        <v>720</v>
      </c>
      <c r="D673" s="5">
        <v>4750000</v>
      </c>
      <c r="E673" s="3">
        <v>1085245714</v>
      </c>
      <c r="F673" s="3" t="s">
        <v>721</v>
      </c>
      <c r="G673" t="s">
        <v>763</v>
      </c>
      <c r="I673" t="e">
        <f>VLOOKUP(C673,[1]Hoja1!$A$2:$N$29,1,0)</f>
        <v>#N/A</v>
      </c>
    </row>
    <row r="674" spans="1:9" hidden="1" x14ac:dyDescent="0.3">
      <c r="A674" s="2">
        <v>45645</v>
      </c>
      <c r="B674" s="3">
        <v>2024003408</v>
      </c>
      <c r="C674" s="3" t="s">
        <v>402</v>
      </c>
      <c r="D674" s="5">
        <v>4825000</v>
      </c>
      <c r="E674" s="3">
        <v>1081595485</v>
      </c>
      <c r="F674" s="3" t="s">
        <v>403</v>
      </c>
      <c r="G674" t="s">
        <v>763</v>
      </c>
      <c r="I674" t="e">
        <f>VLOOKUP(C674,[1]Hoja1!$A$2:$N$29,1,0)</f>
        <v>#N/A</v>
      </c>
    </row>
    <row r="675" spans="1:9" hidden="1" x14ac:dyDescent="0.3">
      <c r="A675" s="2">
        <v>45645</v>
      </c>
      <c r="B675" s="3">
        <v>2024003410</v>
      </c>
      <c r="C675" s="3" t="s">
        <v>580</v>
      </c>
      <c r="D675" s="5">
        <v>7540000</v>
      </c>
      <c r="E675" s="3">
        <v>79800150</v>
      </c>
      <c r="F675" s="3" t="s">
        <v>581</v>
      </c>
      <c r="G675" t="s">
        <v>763</v>
      </c>
      <c r="I675" t="e">
        <f>VLOOKUP(C675,[1]Hoja1!$A$2:$N$29,1,0)</f>
        <v>#N/A</v>
      </c>
    </row>
    <row r="676" spans="1:9" hidden="1" x14ac:dyDescent="0.3">
      <c r="A676" s="2">
        <v>45645</v>
      </c>
      <c r="B676" s="3">
        <v>2024003412</v>
      </c>
      <c r="C676" s="3" t="s">
        <v>722</v>
      </c>
      <c r="D676" s="5">
        <v>600000</v>
      </c>
      <c r="E676" s="3">
        <v>13069881</v>
      </c>
      <c r="F676" s="3" t="s">
        <v>723</v>
      </c>
      <c r="G676" t="s">
        <v>763</v>
      </c>
      <c r="I676" t="e">
        <f>VLOOKUP(C676,[1]Hoja1!$A$2:$N$29,1,0)</f>
        <v>#N/A</v>
      </c>
    </row>
    <row r="677" spans="1:9" hidden="1" x14ac:dyDescent="0.3">
      <c r="A677" s="2">
        <v>45645</v>
      </c>
      <c r="B677" s="3">
        <v>2024003414</v>
      </c>
      <c r="C677" s="3" t="s">
        <v>395</v>
      </c>
      <c r="D677" s="5">
        <v>6000000</v>
      </c>
      <c r="E677" s="3">
        <v>59836926</v>
      </c>
      <c r="F677" s="3" t="s">
        <v>396</v>
      </c>
      <c r="G677" t="s">
        <v>763</v>
      </c>
      <c r="I677" t="e">
        <f>VLOOKUP(C677,[1]Hoja1!$A$2:$N$29,1,0)</f>
        <v>#N/A</v>
      </c>
    </row>
    <row r="678" spans="1:9" hidden="1" x14ac:dyDescent="0.3">
      <c r="A678" s="2">
        <v>45645</v>
      </c>
      <c r="B678" s="3">
        <v>2024003416</v>
      </c>
      <c r="C678" s="3" t="s">
        <v>672</v>
      </c>
      <c r="D678" s="5">
        <v>2500000</v>
      </c>
      <c r="E678" s="3">
        <v>1081052090</v>
      </c>
      <c r="F678" s="3" t="s">
        <v>24</v>
      </c>
      <c r="G678" t="s">
        <v>763</v>
      </c>
      <c r="I678" t="e">
        <f>VLOOKUP(C678,[1]Hoja1!$A$2:$N$29,1,0)</f>
        <v>#N/A</v>
      </c>
    </row>
    <row r="679" spans="1:9" hidden="1" x14ac:dyDescent="0.3">
      <c r="A679" s="2">
        <v>45645</v>
      </c>
      <c r="B679" s="3">
        <v>2024003418</v>
      </c>
      <c r="C679" s="3" t="s">
        <v>724</v>
      </c>
      <c r="D679" s="5">
        <v>1200000</v>
      </c>
      <c r="E679" s="3">
        <v>1084228089</v>
      </c>
      <c r="F679" s="3" t="s">
        <v>725</v>
      </c>
      <c r="G679" t="s">
        <v>763</v>
      </c>
      <c r="I679" t="e">
        <f>VLOOKUP(C679,[1]Hoja1!$A$2:$N$29,1,0)</f>
        <v>#N/A</v>
      </c>
    </row>
    <row r="680" spans="1:9" hidden="1" x14ac:dyDescent="0.3">
      <c r="A680" s="2">
        <v>45645</v>
      </c>
      <c r="B680" s="3">
        <v>2024003419</v>
      </c>
      <c r="C680" s="3" t="s">
        <v>554</v>
      </c>
      <c r="D680" s="5">
        <v>7540000</v>
      </c>
      <c r="E680" s="3">
        <v>87940284</v>
      </c>
      <c r="F680" s="3" t="s">
        <v>555</v>
      </c>
      <c r="G680" t="s">
        <v>763</v>
      </c>
      <c r="I680" t="e">
        <f>VLOOKUP(C680,[1]Hoja1!$A$2:$N$29,1,0)</f>
        <v>#N/A</v>
      </c>
    </row>
    <row r="681" spans="1:9" hidden="1" x14ac:dyDescent="0.3">
      <c r="A681" s="2">
        <v>45650</v>
      </c>
      <c r="B681" s="3">
        <v>2024003649</v>
      </c>
      <c r="C681" s="3" t="s">
        <v>120</v>
      </c>
      <c r="D681" s="5">
        <v>7540000</v>
      </c>
      <c r="E681" s="3">
        <v>1085320661</v>
      </c>
      <c r="F681" s="3" t="s">
        <v>121</v>
      </c>
      <c r="G681" t="s">
        <v>763</v>
      </c>
      <c r="I681" t="str">
        <f>VLOOKUP(C681,[1]Hoja1!$A$2:$N$29,1,0)</f>
        <v>647-2024</v>
      </c>
    </row>
    <row r="682" spans="1:9" hidden="1" x14ac:dyDescent="0.3">
      <c r="A682" s="2">
        <v>45646</v>
      </c>
      <c r="B682" s="3">
        <v>2024003433</v>
      </c>
      <c r="C682" s="3" t="s">
        <v>304</v>
      </c>
      <c r="D682" s="5">
        <v>6000000</v>
      </c>
      <c r="E682" s="3">
        <v>1085253062</v>
      </c>
      <c r="F682" s="3" t="s">
        <v>38</v>
      </c>
      <c r="G682" t="s">
        <v>763</v>
      </c>
      <c r="I682" t="e">
        <f>VLOOKUP(C682,[1]Hoja1!$A$2:$N$29,1,0)</f>
        <v>#N/A</v>
      </c>
    </row>
    <row r="683" spans="1:9" hidden="1" x14ac:dyDescent="0.3">
      <c r="A683" s="2">
        <v>45646</v>
      </c>
      <c r="B683" s="3">
        <v>2024003435</v>
      </c>
      <c r="C683" s="3" t="s">
        <v>112</v>
      </c>
      <c r="D683" s="5">
        <v>3000000</v>
      </c>
      <c r="E683" s="3">
        <v>1004592366</v>
      </c>
      <c r="F683" s="3" t="s">
        <v>113</v>
      </c>
      <c r="G683" t="s">
        <v>763</v>
      </c>
      <c r="I683" t="e">
        <f>VLOOKUP(C683,[1]Hoja1!$A$2:$N$29,1,0)</f>
        <v>#N/A</v>
      </c>
    </row>
    <row r="684" spans="1:9" hidden="1" x14ac:dyDescent="0.3">
      <c r="A684" s="2">
        <v>45646</v>
      </c>
      <c r="B684" s="3">
        <v>2024003439</v>
      </c>
      <c r="C684" s="3" t="s">
        <v>117</v>
      </c>
      <c r="D684" s="5">
        <v>3000000</v>
      </c>
      <c r="E684" s="3">
        <v>1004232508</v>
      </c>
      <c r="F684" s="3" t="s">
        <v>118</v>
      </c>
      <c r="G684" t="s">
        <v>763</v>
      </c>
      <c r="I684" t="e">
        <f>VLOOKUP(C684,[1]Hoja1!$A$2:$N$29,1,0)</f>
        <v>#N/A</v>
      </c>
    </row>
    <row r="685" spans="1:9" hidden="1" x14ac:dyDescent="0.3">
      <c r="A685" s="2">
        <v>45646</v>
      </c>
      <c r="B685" s="3">
        <v>2024003443</v>
      </c>
      <c r="C685" s="3" t="s">
        <v>574</v>
      </c>
      <c r="D685" s="5">
        <v>3000000</v>
      </c>
      <c r="E685" s="3">
        <v>1085325718</v>
      </c>
      <c r="F685" s="3" t="s">
        <v>575</v>
      </c>
      <c r="G685" t="s">
        <v>763</v>
      </c>
      <c r="I685" t="e">
        <f>VLOOKUP(C685,[1]Hoja1!$A$2:$N$29,1,0)</f>
        <v>#N/A</v>
      </c>
    </row>
    <row r="686" spans="1:9" hidden="1" x14ac:dyDescent="0.3">
      <c r="A686" s="2">
        <v>45646</v>
      </c>
      <c r="B686" s="3">
        <v>2024003446</v>
      </c>
      <c r="C686" s="3" t="s">
        <v>458</v>
      </c>
      <c r="D686" s="5">
        <v>3000000</v>
      </c>
      <c r="E686" s="3">
        <v>1085266584</v>
      </c>
      <c r="F686" s="3" t="s">
        <v>459</v>
      </c>
      <c r="G686" t="s">
        <v>763</v>
      </c>
      <c r="I686" t="e">
        <f>VLOOKUP(C686,[1]Hoja1!$A$2:$N$29,1,0)</f>
        <v>#N/A</v>
      </c>
    </row>
    <row r="687" spans="1:9" hidden="1" x14ac:dyDescent="0.3">
      <c r="A687" s="2">
        <v>45646</v>
      </c>
      <c r="B687" s="3">
        <v>2024003449</v>
      </c>
      <c r="C687" s="3" t="s">
        <v>66</v>
      </c>
      <c r="D687" s="5">
        <v>6000000</v>
      </c>
      <c r="E687" s="3">
        <v>1085254626</v>
      </c>
      <c r="F687" s="3" t="s">
        <v>67</v>
      </c>
      <c r="G687" t="s">
        <v>763</v>
      </c>
      <c r="I687" t="e">
        <f>VLOOKUP(C687,[1]Hoja1!$A$2:$N$29,1,0)</f>
        <v>#N/A</v>
      </c>
    </row>
    <row r="688" spans="1:9" hidden="1" x14ac:dyDescent="0.3">
      <c r="A688" s="2">
        <v>45646</v>
      </c>
      <c r="B688" s="3">
        <v>2024003453</v>
      </c>
      <c r="C688" s="3" t="s">
        <v>662</v>
      </c>
      <c r="D688" s="5">
        <v>3000000</v>
      </c>
      <c r="E688" s="3">
        <v>1004131976</v>
      </c>
      <c r="F688" s="3" t="s">
        <v>663</v>
      </c>
      <c r="G688" t="s">
        <v>763</v>
      </c>
      <c r="I688" t="e">
        <f>VLOOKUP(C688,[1]Hoja1!$A$2:$N$29,1,0)</f>
        <v>#N/A</v>
      </c>
    </row>
    <row r="689" spans="1:9" hidden="1" x14ac:dyDescent="0.3">
      <c r="A689" s="2">
        <v>45649</v>
      </c>
      <c r="B689" s="3">
        <v>2024003483</v>
      </c>
      <c r="C689" s="3" t="s">
        <v>707</v>
      </c>
      <c r="D689" s="5">
        <v>4750000</v>
      </c>
      <c r="E689" s="3">
        <v>1085326561</v>
      </c>
      <c r="F689" s="3" t="s">
        <v>708</v>
      </c>
      <c r="G689" t="s">
        <v>763</v>
      </c>
      <c r="I689" t="e">
        <f>VLOOKUP(C689,[1]Hoja1!$A$2:$N$29,1,0)</f>
        <v>#N/A</v>
      </c>
    </row>
    <row r="690" spans="1:9" hidden="1" x14ac:dyDescent="0.3">
      <c r="A690" s="2">
        <v>45649</v>
      </c>
      <c r="B690" s="3">
        <v>2024003484</v>
      </c>
      <c r="C690" s="3" t="s">
        <v>286</v>
      </c>
      <c r="D690" s="5">
        <v>7540000</v>
      </c>
      <c r="E690" s="3">
        <v>1233191998</v>
      </c>
      <c r="F690" s="3" t="s">
        <v>287</v>
      </c>
      <c r="G690" t="s">
        <v>763</v>
      </c>
      <c r="I690" t="e">
        <f>VLOOKUP(C690,[1]Hoja1!$A$2:$N$29,1,0)</f>
        <v>#N/A</v>
      </c>
    </row>
    <row r="691" spans="1:9" hidden="1" x14ac:dyDescent="0.3">
      <c r="A691" s="2">
        <v>45649</v>
      </c>
      <c r="B691" s="3">
        <v>2024003485</v>
      </c>
      <c r="C691" s="3" t="s">
        <v>552</v>
      </c>
      <c r="D691" s="5">
        <v>3000000</v>
      </c>
      <c r="E691" s="3">
        <v>30743783</v>
      </c>
      <c r="F691" s="3" t="s">
        <v>553</v>
      </c>
      <c r="G691" t="s">
        <v>763</v>
      </c>
      <c r="I691" t="e">
        <f>VLOOKUP(C691,[1]Hoja1!$A$2:$N$29,1,0)</f>
        <v>#N/A</v>
      </c>
    </row>
    <row r="692" spans="1:9" hidden="1" x14ac:dyDescent="0.3">
      <c r="A692" s="2">
        <v>45649</v>
      </c>
      <c r="B692" s="3">
        <v>2024003486</v>
      </c>
      <c r="C692" s="3" t="s">
        <v>699</v>
      </c>
      <c r="D692" s="5">
        <v>4750000</v>
      </c>
      <c r="E692" s="3">
        <v>1067940322</v>
      </c>
      <c r="F692" s="3" t="s">
        <v>700</v>
      </c>
      <c r="G692" t="s">
        <v>763</v>
      </c>
      <c r="I692" t="e">
        <f>VLOOKUP(C692,[1]Hoja1!$A$2:$N$29,1,0)</f>
        <v>#N/A</v>
      </c>
    </row>
    <row r="693" spans="1:9" hidden="1" x14ac:dyDescent="0.3">
      <c r="A693" s="2">
        <v>45649</v>
      </c>
      <c r="B693" s="3">
        <v>2024003487</v>
      </c>
      <c r="C693" s="3" t="s">
        <v>468</v>
      </c>
      <c r="D693" s="5">
        <v>6000000</v>
      </c>
      <c r="E693" s="3">
        <v>1085337232</v>
      </c>
      <c r="F693" s="3" t="s">
        <v>469</v>
      </c>
      <c r="G693" t="s">
        <v>763</v>
      </c>
      <c r="I693" t="e">
        <f>VLOOKUP(C693,[1]Hoja1!$A$2:$N$29,1,0)</f>
        <v>#N/A</v>
      </c>
    </row>
    <row r="694" spans="1:9" hidden="1" x14ac:dyDescent="0.3">
      <c r="A694" s="2">
        <v>45649</v>
      </c>
      <c r="B694" s="3">
        <v>2024003488</v>
      </c>
      <c r="C694" s="3" t="s">
        <v>470</v>
      </c>
      <c r="D694" s="5">
        <v>3000000</v>
      </c>
      <c r="E694" s="3">
        <v>1193271854</v>
      </c>
      <c r="F694" s="3" t="s">
        <v>471</v>
      </c>
      <c r="G694" t="s">
        <v>763</v>
      </c>
      <c r="I694" t="e">
        <f>VLOOKUP(C694,[1]Hoja1!$A$2:$N$29,1,0)</f>
        <v>#N/A</v>
      </c>
    </row>
    <row r="695" spans="1:9" hidden="1" x14ac:dyDescent="0.3">
      <c r="A695" s="2">
        <v>45649</v>
      </c>
      <c r="B695" s="3">
        <v>2024003490</v>
      </c>
      <c r="C695" s="3" t="s">
        <v>142</v>
      </c>
      <c r="D695" s="5">
        <v>6000000</v>
      </c>
      <c r="E695" s="3">
        <v>59837608</v>
      </c>
      <c r="F695" s="3" t="s">
        <v>143</v>
      </c>
      <c r="G695" t="s">
        <v>763</v>
      </c>
      <c r="I695" t="e">
        <f>VLOOKUP(C695,[1]Hoja1!$A$2:$N$29,1,0)</f>
        <v>#N/A</v>
      </c>
    </row>
    <row r="696" spans="1:9" hidden="1" x14ac:dyDescent="0.3">
      <c r="A696" s="2">
        <v>45649</v>
      </c>
      <c r="B696" s="3">
        <v>2024003492</v>
      </c>
      <c r="C696" s="3" t="s">
        <v>562</v>
      </c>
      <c r="D696" s="5">
        <v>3000000</v>
      </c>
      <c r="E696" s="3">
        <v>1085310350</v>
      </c>
      <c r="F696" s="3" t="s">
        <v>563</v>
      </c>
      <c r="G696" t="s">
        <v>763</v>
      </c>
      <c r="I696" t="e">
        <f>VLOOKUP(C696,[1]Hoja1!$A$2:$N$29,1,0)</f>
        <v>#N/A</v>
      </c>
    </row>
    <row r="697" spans="1:9" hidden="1" x14ac:dyDescent="0.3">
      <c r="A697" s="2">
        <v>45649</v>
      </c>
      <c r="B697" s="3">
        <v>2024003494</v>
      </c>
      <c r="C697" s="3" t="s">
        <v>606</v>
      </c>
      <c r="D697" s="5">
        <v>4750000</v>
      </c>
      <c r="E697" s="3">
        <v>1233188873</v>
      </c>
      <c r="F697" s="3" t="s">
        <v>607</v>
      </c>
      <c r="G697" t="s">
        <v>763</v>
      </c>
      <c r="I697" t="e">
        <f>VLOOKUP(C697,[1]Hoja1!$A$2:$N$29,1,0)</f>
        <v>#N/A</v>
      </c>
    </row>
    <row r="698" spans="1:9" hidden="1" x14ac:dyDescent="0.3">
      <c r="A698" s="2">
        <v>45649</v>
      </c>
      <c r="B698" s="3">
        <v>2024003495</v>
      </c>
      <c r="C698" s="3" t="s">
        <v>188</v>
      </c>
      <c r="D698" s="5">
        <v>3000000</v>
      </c>
      <c r="E698" s="3">
        <v>1010082397</v>
      </c>
      <c r="F698" s="3" t="s">
        <v>189</v>
      </c>
      <c r="G698" t="s">
        <v>763</v>
      </c>
      <c r="I698" t="e">
        <f>VLOOKUP(C698,[1]Hoja1!$A$2:$N$29,1,0)</f>
        <v>#N/A</v>
      </c>
    </row>
    <row r="699" spans="1:9" hidden="1" x14ac:dyDescent="0.3">
      <c r="A699" s="2">
        <v>45649</v>
      </c>
      <c r="B699" s="3">
        <v>2024003497</v>
      </c>
      <c r="C699" s="3" t="s">
        <v>46</v>
      </c>
      <c r="D699" s="5">
        <v>6000000</v>
      </c>
      <c r="E699" s="3">
        <v>59820414</v>
      </c>
      <c r="F699" s="3" t="s">
        <v>47</v>
      </c>
      <c r="G699" t="s">
        <v>763</v>
      </c>
      <c r="I699" t="e">
        <f>VLOOKUP(C699,[1]Hoja1!$A$2:$N$29,1,0)</f>
        <v>#N/A</v>
      </c>
    </row>
    <row r="700" spans="1:9" hidden="1" x14ac:dyDescent="0.3">
      <c r="A700" s="2">
        <v>45649</v>
      </c>
      <c r="B700" s="3">
        <v>2024003498</v>
      </c>
      <c r="C700" s="3" t="s">
        <v>689</v>
      </c>
      <c r="D700" s="5">
        <v>2500000</v>
      </c>
      <c r="E700" s="3">
        <v>1088729401</v>
      </c>
      <c r="F700" s="3" t="s">
        <v>690</v>
      </c>
      <c r="G700" t="s">
        <v>763</v>
      </c>
      <c r="I700" t="e">
        <f>VLOOKUP(C700,[1]Hoja1!$A$2:$N$29,1,0)</f>
        <v>#N/A</v>
      </c>
    </row>
    <row r="701" spans="1:9" hidden="1" x14ac:dyDescent="0.3">
      <c r="A701" s="2">
        <v>45649</v>
      </c>
      <c r="B701" s="3">
        <v>2024003500</v>
      </c>
      <c r="C701" s="3" t="s">
        <v>313</v>
      </c>
      <c r="D701" s="5">
        <v>3000000</v>
      </c>
      <c r="E701" s="3">
        <v>36757213</v>
      </c>
      <c r="F701" s="3" t="s">
        <v>314</v>
      </c>
      <c r="G701" t="s">
        <v>763</v>
      </c>
      <c r="I701" t="e">
        <f>VLOOKUP(C701,[1]Hoja1!$A$2:$N$29,1,0)</f>
        <v>#N/A</v>
      </c>
    </row>
    <row r="702" spans="1:9" hidden="1" x14ac:dyDescent="0.3">
      <c r="A702" s="2">
        <v>45649</v>
      </c>
      <c r="B702" s="3">
        <v>2024003501</v>
      </c>
      <c r="C702" s="3" t="s">
        <v>166</v>
      </c>
      <c r="D702" s="5">
        <v>3000000</v>
      </c>
      <c r="E702" s="3">
        <v>59830040</v>
      </c>
      <c r="F702" s="3" t="s">
        <v>167</v>
      </c>
      <c r="G702" t="s">
        <v>763</v>
      </c>
      <c r="I702" t="e">
        <f>VLOOKUP(C702,[1]Hoja1!$A$2:$N$29,1,0)</f>
        <v>#N/A</v>
      </c>
    </row>
    <row r="703" spans="1:9" hidden="1" x14ac:dyDescent="0.3">
      <c r="A703" s="2">
        <v>45649</v>
      </c>
      <c r="B703" s="3">
        <v>2024003502</v>
      </c>
      <c r="C703" s="3" t="s">
        <v>164</v>
      </c>
      <c r="D703" s="5">
        <v>3000000</v>
      </c>
      <c r="E703" s="3">
        <v>27285974</v>
      </c>
      <c r="F703" s="3" t="s">
        <v>165</v>
      </c>
      <c r="G703" t="s">
        <v>763</v>
      </c>
      <c r="I703" t="e">
        <f>VLOOKUP(C703,[1]Hoja1!$A$2:$N$29,1,0)</f>
        <v>#N/A</v>
      </c>
    </row>
    <row r="704" spans="1:9" hidden="1" x14ac:dyDescent="0.3">
      <c r="A704" s="2">
        <v>45649</v>
      </c>
      <c r="B704" s="3">
        <v>2024003504</v>
      </c>
      <c r="C704" s="3" t="s">
        <v>438</v>
      </c>
      <c r="D704" s="5">
        <v>3000000</v>
      </c>
      <c r="E704" s="3">
        <v>1010085543</v>
      </c>
      <c r="F704" s="3" t="s">
        <v>439</v>
      </c>
      <c r="G704" t="s">
        <v>763</v>
      </c>
      <c r="I704" t="e">
        <f>VLOOKUP(C704,[1]Hoja1!$A$2:$N$29,1,0)</f>
        <v>#N/A</v>
      </c>
    </row>
    <row r="705" spans="1:9" hidden="1" x14ac:dyDescent="0.3">
      <c r="A705" s="2">
        <v>45649</v>
      </c>
      <c r="B705" s="3">
        <v>2024003505</v>
      </c>
      <c r="C705" s="3" t="s">
        <v>184</v>
      </c>
      <c r="D705" s="5">
        <v>3000000</v>
      </c>
      <c r="E705" s="3">
        <v>1085288636</v>
      </c>
      <c r="F705" s="3" t="s">
        <v>185</v>
      </c>
      <c r="G705" t="s">
        <v>763</v>
      </c>
      <c r="I705" t="e">
        <f>VLOOKUP(C705,[1]Hoja1!$A$2:$N$29,1,0)</f>
        <v>#N/A</v>
      </c>
    </row>
    <row r="706" spans="1:9" hidden="1" x14ac:dyDescent="0.3">
      <c r="A706" s="2">
        <v>45649</v>
      </c>
      <c r="B706" s="3">
        <v>2024003506</v>
      </c>
      <c r="C706" s="3" t="s">
        <v>335</v>
      </c>
      <c r="D706" s="5">
        <v>3000000</v>
      </c>
      <c r="E706" s="3">
        <v>1144206777</v>
      </c>
      <c r="F706" s="3" t="s">
        <v>336</v>
      </c>
      <c r="G706" t="s">
        <v>763</v>
      </c>
      <c r="I706" t="e">
        <f>VLOOKUP(C706,[1]Hoja1!$A$2:$N$29,1,0)</f>
        <v>#N/A</v>
      </c>
    </row>
    <row r="707" spans="1:9" hidden="1" x14ac:dyDescent="0.3">
      <c r="A707" s="2">
        <v>45649</v>
      </c>
      <c r="B707" s="3">
        <v>2024003507</v>
      </c>
      <c r="C707" s="3" t="s">
        <v>618</v>
      </c>
      <c r="D707" s="5">
        <v>4750000</v>
      </c>
      <c r="E707" s="3">
        <v>59824800</v>
      </c>
      <c r="F707" s="3" t="s">
        <v>619</v>
      </c>
      <c r="G707" t="s">
        <v>763</v>
      </c>
      <c r="I707" t="e">
        <f>VLOOKUP(C707,[1]Hoja1!$A$2:$N$29,1,0)</f>
        <v>#N/A</v>
      </c>
    </row>
    <row r="708" spans="1:9" hidden="1" x14ac:dyDescent="0.3">
      <c r="A708" s="2">
        <v>45649</v>
      </c>
      <c r="B708" s="3">
        <v>2024003509</v>
      </c>
      <c r="C708" s="3" t="s">
        <v>321</v>
      </c>
      <c r="D708" s="5">
        <v>3000000</v>
      </c>
      <c r="E708" s="3">
        <v>1089846829</v>
      </c>
      <c r="F708" s="3" t="s">
        <v>322</v>
      </c>
      <c r="G708" t="s">
        <v>763</v>
      </c>
      <c r="I708" t="e">
        <f>VLOOKUP(C708,[1]Hoja1!$A$2:$N$29,1,0)</f>
        <v>#N/A</v>
      </c>
    </row>
    <row r="709" spans="1:9" hidden="1" x14ac:dyDescent="0.3">
      <c r="A709" s="2">
        <v>45649</v>
      </c>
      <c r="B709" s="3">
        <v>2024003510</v>
      </c>
      <c r="C709" s="3" t="s">
        <v>401</v>
      </c>
      <c r="D709" s="5">
        <v>3000000</v>
      </c>
      <c r="E709" s="3">
        <v>27082649</v>
      </c>
      <c r="F709" s="3" t="s">
        <v>40</v>
      </c>
      <c r="G709" t="s">
        <v>763</v>
      </c>
      <c r="I709" t="e">
        <f>VLOOKUP(C709,[1]Hoja1!$A$2:$N$29,1,0)</f>
        <v>#N/A</v>
      </c>
    </row>
    <row r="710" spans="1:9" hidden="1" x14ac:dyDescent="0.3">
      <c r="A710" s="2">
        <v>45649</v>
      </c>
      <c r="B710" s="3">
        <v>2024003512</v>
      </c>
      <c r="C710" s="3" t="s">
        <v>230</v>
      </c>
      <c r="D710" s="5">
        <v>3000000</v>
      </c>
      <c r="E710" s="3">
        <v>36758143</v>
      </c>
      <c r="F710" s="3" t="s">
        <v>231</v>
      </c>
      <c r="G710" t="s">
        <v>763</v>
      </c>
      <c r="I710" t="e">
        <f>VLOOKUP(C710,[1]Hoja1!$A$2:$N$29,1,0)</f>
        <v>#N/A</v>
      </c>
    </row>
    <row r="711" spans="1:9" hidden="1" x14ac:dyDescent="0.3">
      <c r="A711" s="2">
        <v>45649</v>
      </c>
      <c r="B711" s="3">
        <v>2024003514</v>
      </c>
      <c r="C711" s="3" t="s">
        <v>478</v>
      </c>
      <c r="D711" s="5">
        <v>4825000</v>
      </c>
      <c r="E711" s="3">
        <v>1085291221</v>
      </c>
      <c r="F711" s="3" t="s">
        <v>479</v>
      </c>
      <c r="G711" t="s">
        <v>763</v>
      </c>
      <c r="I711" t="e">
        <f>VLOOKUP(C711,[1]Hoja1!$A$2:$N$29,1,0)</f>
        <v>#N/A</v>
      </c>
    </row>
    <row r="712" spans="1:9" hidden="1" x14ac:dyDescent="0.3">
      <c r="A712" s="2">
        <v>45649</v>
      </c>
      <c r="B712" s="3">
        <v>2024003516</v>
      </c>
      <c r="C712" s="3" t="s">
        <v>108</v>
      </c>
      <c r="D712" s="5">
        <v>6000000</v>
      </c>
      <c r="E712" s="3">
        <v>1010010954</v>
      </c>
      <c r="F712" s="3" t="s">
        <v>109</v>
      </c>
      <c r="G712" t="s">
        <v>763</v>
      </c>
      <c r="I712" t="e">
        <f>VLOOKUP(C712,[1]Hoja1!$A$2:$N$29,1,0)</f>
        <v>#N/A</v>
      </c>
    </row>
    <row r="713" spans="1:9" hidden="1" x14ac:dyDescent="0.3">
      <c r="A713" s="2">
        <v>45649</v>
      </c>
      <c r="B713" s="3">
        <v>2024003518</v>
      </c>
      <c r="C713" s="3" t="s">
        <v>375</v>
      </c>
      <c r="D713" s="5">
        <v>3000000</v>
      </c>
      <c r="E713" s="3">
        <v>1089243630</v>
      </c>
      <c r="F713" s="3" t="s">
        <v>376</v>
      </c>
      <c r="G713" t="s">
        <v>763</v>
      </c>
      <c r="I713" t="e">
        <f>VLOOKUP(C713,[1]Hoja1!$A$2:$N$29,1,0)</f>
        <v>#N/A</v>
      </c>
    </row>
    <row r="714" spans="1:9" hidden="1" x14ac:dyDescent="0.3">
      <c r="A714" s="2">
        <v>45649</v>
      </c>
      <c r="B714" s="3">
        <v>2024003520</v>
      </c>
      <c r="C714" s="3" t="s">
        <v>162</v>
      </c>
      <c r="D714" s="5">
        <v>2500000</v>
      </c>
      <c r="E714" s="3">
        <v>12750863</v>
      </c>
      <c r="F714" s="3" t="s">
        <v>163</v>
      </c>
      <c r="G714" t="s">
        <v>763</v>
      </c>
      <c r="I714" t="e">
        <f>VLOOKUP(C714,[1]Hoja1!$A$2:$N$29,1,0)</f>
        <v>#N/A</v>
      </c>
    </row>
    <row r="715" spans="1:9" hidden="1" x14ac:dyDescent="0.3">
      <c r="A715" s="2">
        <v>45649</v>
      </c>
      <c r="B715" s="3">
        <v>2024003521</v>
      </c>
      <c r="C715" s="3" t="s">
        <v>186</v>
      </c>
      <c r="D715" s="5">
        <v>3000000</v>
      </c>
      <c r="E715" s="3">
        <v>1080040858</v>
      </c>
      <c r="F715" s="3" t="s">
        <v>187</v>
      </c>
      <c r="G715" t="s">
        <v>763</v>
      </c>
      <c r="I715" t="e">
        <f>VLOOKUP(C715,[1]Hoja1!$A$2:$N$29,1,0)</f>
        <v>#N/A</v>
      </c>
    </row>
    <row r="716" spans="1:9" hidden="1" x14ac:dyDescent="0.3">
      <c r="A716" s="2">
        <v>45649</v>
      </c>
      <c r="B716" s="3">
        <v>2024003522</v>
      </c>
      <c r="C716" s="3" t="s">
        <v>520</v>
      </c>
      <c r="D716" s="5">
        <v>6000000</v>
      </c>
      <c r="E716" s="3">
        <v>97470681</v>
      </c>
      <c r="F716" s="3" t="s">
        <v>521</v>
      </c>
      <c r="G716" t="s">
        <v>763</v>
      </c>
      <c r="I716" t="e">
        <f>VLOOKUP(C716,[1]Hoja1!$A$2:$N$29,1,0)</f>
        <v>#N/A</v>
      </c>
    </row>
    <row r="717" spans="1:9" hidden="1" x14ac:dyDescent="0.3">
      <c r="A717" s="2">
        <v>45649</v>
      </c>
      <c r="B717" s="3">
        <v>2024003523</v>
      </c>
      <c r="C717" s="3" t="s">
        <v>460</v>
      </c>
      <c r="D717" s="5">
        <v>4750000</v>
      </c>
      <c r="E717" s="3">
        <v>1193383306</v>
      </c>
      <c r="F717" s="3" t="s">
        <v>461</v>
      </c>
      <c r="G717" t="s">
        <v>763</v>
      </c>
      <c r="I717" t="e">
        <f>VLOOKUP(C717,[1]Hoja1!$A$2:$N$29,1,0)</f>
        <v>#N/A</v>
      </c>
    </row>
    <row r="718" spans="1:9" hidden="1" x14ac:dyDescent="0.3">
      <c r="A718" s="2">
        <v>45649</v>
      </c>
      <c r="B718" s="3">
        <v>2024003524</v>
      </c>
      <c r="C718" s="3" t="s">
        <v>317</v>
      </c>
      <c r="D718" s="5">
        <v>4750000</v>
      </c>
      <c r="E718" s="3">
        <v>59651018</v>
      </c>
      <c r="F718" s="3" t="s">
        <v>318</v>
      </c>
      <c r="G718" t="s">
        <v>763</v>
      </c>
      <c r="I718" t="e">
        <f>VLOOKUP(C718,[1]Hoja1!$A$2:$N$29,1,0)</f>
        <v>#N/A</v>
      </c>
    </row>
    <row r="719" spans="1:9" hidden="1" x14ac:dyDescent="0.3">
      <c r="A719" s="2">
        <v>45649</v>
      </c>
      <c r="B719" s="3">
        <v>2024003528</v>
      </c>
      <c r="C719" s="3" t="s">
        <v>548</v>
      </c>
      <c r="D719" s="5">
        <v>4750000</v>
      </c>
      <c r="E719" s="3">
        <v>36953206</v>
      </c>
      <c r="F719" s="3" t="s">
        <v>549</v>
      </c>
      <c r="G719" t="s">
        <v>763</v>
      </c>
      <c r="I719" t="e">
        <f>VLOOKUP(C719,[1]Hoja1!$A$2:$N$29,1,0)</f>
        <v>#N/A</v>
      </c>
    </row>
    <row r="720" spans="1:9" hidden="1" x14ac:dyDescent="0.3">
      <c r="A720" s="2">
        <v>45649</v>
      </c>
      <c r="B720" s="3">
        <v>2024003531</v>
      </c>
      <c r="C720" s="3" t="s">
        <v>79</v>
      </c>
      <c r="D720" s="5">
        <v>4825000</v>
      </c>
      <c r="E720" s="3">
        <v>1085273986</v>
      </c>
      <c r="F720" s="3" t="s">
        <v>80</v>
      </c>
      <c r="G720" t="s">
        <v>763</v>
      </c>
      <c r="I720" t="e">
        <f>VLOOKUP(C720,[1]Hoja1!$A$2:$N$29,1,0)</f>
        <v>#N/A</v>
      </c>
    </row>
    <row r="721" spans="1:9" hidden="1" x14ac:dyDescent="0.3">
      <c r="A721" s="2">
        <v>45649</v>
      </c>
      <c r="B721" s="3">
        <v>2024003533</v>
      </c>
      <c r="C721" s="3" t="s">
        <v>99</v>
      </c>
      <c r="D721" s="5">
        <v>6000000</v>
      </c>
      <c r="E721" s="3">
        <v>1085246134</v>
      </c>
      <c r="F721" s="3" t="s">
        <v>100</v>
      </c>
      <c r="G721" t="s">
        <v>763</v>
      </c>
      <c r="I721" t="e">
        <f>VLOOKUP(C721,[1]Hoja1!$A$2:$N$29,1,0)</f>
        <v>#N/A</v>
      </c>
    </row>
    <row r="722" spans="1:9" hidden="1" x14ac:dyDescent="0.3">
      <c r="A722" s="2">
        <v>45649</v>
      </c>
      <c r="B722" s="3">
        <v>2024003534</v>
      </c>
      <c r="C722" s="3" t="s">
        <v>150</v>
      </c>
      <c r="D722" s="5">
        <v>3000000</v>
      </c>
      <c r="E722" s="3">
        <v>1085327701</v>
      </c>
      <c r="F722" s="3" t="s">
        <v>151</v>
      </c>
      <c r="G722" t="s">
        <v>763</v>
      </c>
      <c r="I722" t="e">
        <f>VLOOKUP(C722,[1]Hoja1!$A$2:$N$29,1,0)</f>
        <v>#N/A</v>
      </c>
    </row>
    <row r="723" spans="1:9" hidden="1" x14ac:dyDescent="0.3">
      <c r="A723" s="2">
        <v>45649</v>
      </c>
      <c r="B723" s="3">
        <v>2024003535</v>
      </c>
      <c r="C723" s="3" t="s">
        <v>81</v>
      </c>
      <c r="D723" s="5">
        <v>4825000</v>
      </c>
      <c r="E723" s="3">
        <v>1085283723</v>
      </c>
      <c r="F723" s="3" t="s">
        <v>82</v>
      </c>
      <c r="G723" t="s">
        <v>763</v>
      </c>
      <c r="I723" t="e">
        <f>VLOOKUP(C723,[1]Hoja1!$A$2:$N$29,1,0)</f>
        <v>#N/A</v>
      </c>
    </row>
    <row r="724" spans="1:9" hidden="1" x14ac:dyDescent="0.3">
      <c r="A724" s="2">
        <v>45649</v>
      </c>
      <c r="B724" s="3">
        <v>2024003536</v>
      </c>
      <c r="C724" s="3" t="s">
        <v>353</v>
      </c>
      <c r="D724" s="5">
        <v>3000000</v>
      </c>
      <c r="E724" s="3">
        <v>1086362994</v>
      </c>
      <c r="F724" s="3" t="s">
        <v>354</v>
      </c>
      <c r="G724" t="s">
        <v>763</v>
      </c>
      <c r="I724" t="e">
        <f>VLOOKUP(C724,[1]Hoja1!$A$2:$N$29,1,0)</f>
        <v>#N/A</v>
      </c>
    </row>
    <row r="725" spans="1:9" hidden="1" x14ac:dyDescent="0.3">
      <c r="A725" s="2">
        <v>45649</v>
      </c>
      <c r="B725" s="3">
        <v>2024003537</v>
      </c>
      <c r="C725" s="3" t="s">
        <v>377</v>
      </c>
      <c r="D725" s="5">
        <v>3000000</v>
      </c>
      <c r="E725" s="3">
        <v>59834953</v>
      </c>
      <c r="F725" s="3" t="s">
        <v>378</v>
      </c>
      <c r="G725" t="s">
        <v>763</v>
      </c>
      <c r="I725" t="e">
        <f>VLOOKUP(C725,[1]Hoja1!$A$2:$N$29,1,0)</f>
        <v>#N/A</v>
      </c>
    </row>
    <row r="726" spans="1:9" hidden="1" x14ac:dyDescent="0.3">
      <c r="A726" s="2">
        <v>45649</v>
      </c>
      <c r="B726" s="3">
        <v>2024003538</v>
      </c>
      <c r="C726" s="3" t="s">
        <v>480</v>
      </c>
      <c r="D726" s="5">
        <v>4825000</v>
      </c>
      <c r="E726" s="3">
        <v>30733517</v>
      </c>
      <c r="F726" s="3" t="s">
        <v>481</v>
      </c>
      <c r="G726" t="s">
        <v>763</v>
      </c>
      <c r="I726" t="e">
        <f>VLOOKUP(C726,[1]Hoja1!$A$2:$N$29,1,0)</f>
        <v>#N/A</v>
      </c>
    </row>
    <row r="727" spans="1:9" hidden="1" x14ac:dyDescent="0.3">
      <c r="A727" s="2">
        <v>45649</v>
      </c>
      <c r="B727" s="3">
        <v>2024003539</v>
      </c>
      <c r="C727" s="3" t="s">
        <v>333</v>
      </c>
      <c r="D727" s="5">
        <v>3000000</v>
      </c>
      <c r="E727" s="3">
        <v>1233189234</v>
      </c>
      <c r="F727" s="3" t="s">
        <v>334</v>
      </c>
      <c r="G727" t="s">
        <v>763</v>
      </c>
      <c r="I727" t="e">
        <f>VLOOKUP(C727,[1]Hoja1!$A$2:$N$29,1,0)</f>
        <v>#N/A</v>
      </c>
    </row>
    <row r="728" spans="1:9" hidden="1" x14ac:dyDescent="0.3">
      <c r="A728" s="2">
        <v>45649</v>
      </c>
      <c r="B728" s="3">
        <v>2024003540</v>
      </c>
      <c r="C728" s="3" t="s">
        <v>616</v>
      </c>
      <c r="D728" s="5">
        <v>7540000</v>
      </c>
      <c r="E728" s="3">
        <v>1085317791</v>
      </c>
      <c r="F728" s="3" t="s">
        <v>617</v>
      </c>
      <c r="G728" t="s">
        <v>763</v>
      </c>
      <c r="I728" t="e">
        <f>VLOOKUP(C728,[1]Hoja1!$A$2:$N$29,1,0)</f>
        <v>#N/A</v>
      </c>
    </row>
    <row r="729" spans="1:9" hidden="1" x14ac:dyDescent="0.3">
      <c r="A729" s="2">
        <v>45649</v>
      </c>
      <c r="B729" s="3">
        <v>2024003541</v>
      </c>
      <c r="C729" s="3" t="s">
        <v>331</v>
      </c>
      <c r="D729" s="5">
        <v>3000000</v>
      </c>
      <c r="E729" s="3">
        <v>1193385397</v>
      </c>
      <c r="F729" s="3" t="s">
        <v>332</v>
      </c>
      <c r="G729" t="s">
        <v>763</v>
      </c>
      <c r="I729" t="e">
        <f>VLOOKUP(C729,[1]Hoja1!$A$2:$N$29,1,0)</f>
        <v>#N/A</v>
      </c>
    </row>
    <row r="730" spans="1:9" hidden="1" x14ac:dyDescent="0.3">
      <c r="A730" s="2">
        <v>45649</v>
      </c>
      <c r="B730" s="3">
        <v>2024003542</v>
      </c>
      <c r="C730" s="3" t="s">
        <v>228</v>
      </c>
      <c r="D730" s="5">
        <v>3000000</v>
      </c>
      <c r="E730" s="3">
        <v>37084285</v>
      </c>
      <c r="F730" s="3" t="s">
        <v>229</v>
      </c>
      <c r="G730" t="s">
        <v>763</v>
      </c>
      <c r="I730" t="e">
        <f>VLOOKUP(C730,[1]Hoja1!$A$2:$N$29,1,0)</f>
        <v>#N/A</v>
      </c>
    </row>
    <row r="731" spans="1:9" hidden="1" x14ac:dyDescent="0.3">
      <c r="A731" s="2">
        <v>45649</v>
      </c>
      <c r="B731" s="3">
        <v>2024003543</v>
      </c>
      <c r="C731" s="3" t="s">
        <v>601</v>
      </c>
      <c r="D731" s="5">
        <v>2500000</v>
      </c>
      <c r="E731" s="3">
        <v>36950441</v>
      </c>
      <c r="F731" s="3" t="s">
        <v>602</v>
      </c>
      <c r="G731" t="s">
        <v>763</v>
      </c>
      <c r="I731" t="e">
        <f>VLOOKUP(C731,[1]Hoja1!$A$2:$N$29,1,0)</f>
        <v>#N/A</v>
      </c>
    </row>
    <row r="732" spans="1:9" hidden="1" x14ac:dyDescent="0.3">
      <c r="A732" s="2">
        <v>45649</v>
      </c>
      <c r="B732" s="3">
        <v>2024003544</v>
      </c>
      <c r="C732" s="3" t="s">
        <v>726</v>
      </c>
      <c r="D732" s="5">
        <v>6000000</v>
      </c>
      <c r="E732" s="3">
        <v>27321605</v>
      </c>
      <c r="F732" s="3" t="s">
        <v>727</v>
      </c>
      <c r="G732" t="s">
        <v>763</v>
      </c>
      <c r="I732" t="e">
        <f>VLOOKUP(C732,[1]Hoja1!$A$2:$N$29,1,0)</f>
        <v>#N/A</v>
      </c>
    </row>
    <row r="733" spans="1:9" hidden="1" x14ac:dyDescent="0.3">
      <c r="A733" s="2">
        <v>45649</v>
      </c>
      <c r="B733" s="3">
        <v>2024003545</v>
      </c>
      <c r="C733" s="3" t="s">
        <v>290</v>
      </c>
      <c r="D733" s="5">
        <v>7540000</v>
      </c>
      <c r="E733" s="3">
        <v>7603662</v>
      </c>
      <c r="F733" s="3" t="s">
        <v>291</v>
      </c>
      <c r="G733" t="s">
        <v>763</v>
      </c>
      <c r="I733" t="e">
        <f>VLOOKUP(C733,[1]Hoja1!$A$2:$N$29,1,0)</f>
        <v>#N/A</v>
      </c>
    </row>
    <row r="734" spans="1:9" hidden="1" x14ac:dyDescent="0.3">
      <c r="A734" s="2">
        <v>45649</v>
      </c>
      <c r="B734" s="3">
        <v>2024003546</v>
      </c>
      <c r="C734" s="3" t="s">
        <v>728</v>
      </c>
      <c r="D734" s="5">
        <v>499800</v>
      </c>
      <c r="E734" s="3">
        <v>1085321176</v>
      </c>
      <c r="F734" s="3" t="s">
        <v>729</v>
      </c>
      <c r="G734" t="s">
        <v>763</v>
      </c>
      <c r="I734" t="e">
        <f>VLOOKUP(C734,[1]Hoja1!$A$2:$N$29,1,0)</f>
        <v>#N/A</v>
      </c>
    </row>
    <row r="735" spans="1:9" hidden="1" x14ac:dyDescent="0.3">
      <c r="A735" s="2">
        <v>45649</v>
      </c>
      <c r="B735" s="3">
        <v>2024003547</v>
      </c>
      <c r="C735" s="3" t="s">
        <v>728</v>
      </c>
      <c r="D735" s="5">
        <v>2500000</v>
      </c>
      <c r="E735" s="3">
        <v>1085321176</v>
      </c>
      <c r="F735" s="3" t="s">
        <v>729</v>
      </c>
      <c r="G735" t="s">
        <v>763</v>
      </c>
      <c r="I735" t="e">
        <f>VLOOKUP(C735,[1]Hoja1!$A$2:$N$29,1,0)</f>
        <v>#N/A</v>
      </c>
    </row>
    <row r="736" spans="1:9" hidden="1" x14ac:dyDescent="0.3">
      <c r="A736" s="2">
        <v>45621</v>
      </c>
      <c r="B736" s="3">
        <v>2024002542</v>
      </c>
      <c r="C736" s="3" t="s">
        <v>220</v>
      </c>
      <c r="D736" s="5">
        <v>7500000</v>
      </c>
      <c r="E736" s="3">
        <v>1088599676</v>
      </c>
      <c r="F736" s="3" t="s">
        <v>221</v>
      </c>
      <c r="G736" t="s">
        <v>763</v>
      </c>
      <c r="I736" t="str">
        <f>VLOOKUP(C736,[1]Hoja1!$A$2:$N$29,1,0)</f>
        <v>641-2024</v>
      </c>
    </row>
    <row r="737" spans="1:9" hidden="1" x14ac:dyDescent="0.3">
      <c r="A737" s="2">
        <v>45649</v>
      </c>
      <c r="B737" s="3">
        <v>2024003549</v>
      </c>
      <c r="C737" s="3" t="s">
        <v>158</v>
      </c>
      <c r="D737" s="5">
        <v>6000000</v>
      </c>
      <c r="E737" s="3">
        <v>1004213964</v>
      </c>
      <c r="F737" s="3" t="s">
        <v>159</v>
      </c>
      <c r="G737" t="s">
        <v>763</v>
      </c>
      <c r="I737" t="e">
        <f>VLOOKUP(C737,[1]Hoja1!$A$2:$N$29,1,0)</f>
        <v>#N/A</v>
      </c>
    </row>
    <row r="738" spans="1:9" hidden="1" x14ac:dyDescent="0.3">
      <c r="A738" s="2">
        <v>45649</v>
      </c>
      <c r="B738" s="3">
        <v>2024003550</v>
      </c>
      <c r="C738" s="3" t="s">
        <v>170</v>
      </c>
      <c r="D738" s="5">
        <v>3000000</v>
      </c>
      <c r="E738" s="3">
        <v>1137624011</v>
      </c>
      <c r="F738" s="3" t="s">
        <v>171</v>
      </c>
      <c r="G738" t="s">
        <v>763</v>
      </c>
      <c r="I738" t="e">
        <f>VLOOKUP(C738,[1]Hoja1!$A$2:$N$29,1,0)</f>
        <v>#N/A</v>
      </c>
    </row>
    <row r="739" spans="1:9" hidden="1" x14ac:dyDescent="0.3">
      <c r="A739" s="2">
        <v>45649</v>
      </c>
      <c r="B739" s="3">
        <v>2024003551</v>
      </c>
      <c r="C739" s="3" t="s">
        <v>387</v>
      </c>
      <c r="D739" s="5">
        <v>4825000</v>
      </c>
      <c r="E739" s="3">
        <v>1085337969</v>
      </c>
      <c r="F739" s="3" t="s">
        <v>388</v>
      </c>
      <c r="G739" t="s">
        <v>763</v>
      </c>
      <c r="I739" t="e">
        <f>VLOOKUP(C739,[1]Hoja1!$A$2:$N$29,1,0)</f>
        <v>#N/A</v>
      </c>
    </row>
    <row r="740" spans="1:9" hidden="1" x14ac:dyDescent="0.3">
      <c r="A740" s="2">
        <v>45649</v>
      </c>
      <c r="B740" s="3">
        <v>2024003552</v>
      </c>
      <c r="C740" s="3" t="s">
        <v>325</v>
      </c>
      <c r="D740" s="5">
        <v>3000000</v>
      </c>
      <c r="E740" s="3">
        <v>1081592303</v>
      </c>
      <c r="F740" s="3" t="s">
        <v>326</v>
      </c>
      <c r="G740" t="s">
        <v>763</v>
      </c>
      <c r="I740" t="e">
        <f>VLOOKUP(C740,[1]Hoja1!$A$2:$N$29,1,0)</f>
        <v>#N/A</v>
      </c>
    </row>
    <row r="741" spans="1:9" hidden="1" x14ac:dyDescent="0.3">
      <c r="A741" s="2">
        <v>45649</v>
      </c>
      <c r="B741" s="3">
        <v>2024003553</v>
      </c>
      <c r="C741" s="3" t="s">
        <v>629</v>
      </c>
      <c r="D741" s="5">
        <v>7540000</v>
      </c>
      <c r="E741" s="3">
        <v>1085262570</v>
      </c>
      <c r="F741" s="3" t="s">
        <v>630</v>
      </c>
      <c r="G741" t="s">
        <v>763</v>
      </c>
      <c r="I741" t="e">
        <f>VLOOKUP(C741,[1]Hoja1!$A$2:$N$29,1,0)</f>
        <v>#N/A</v>
      </c>
    </row>
    <row r="742" spans="1:9" hidden="1" x14ac:dyDescent="0.3">
      <c r="A742" s="2">
        <v>45649</v>
      </c>
      <c r="B742" s="3">
        <v>2024003554</v>
      </c>
      <c r="C742" s="3" t="s">
        <v>685</v>
      </c>
      <c r="D742" s="5">
        <v>4825000</v>
      </c>
      <c r="E742" s="3">
        <v>1085322873</v>
      </c>
      <c r="F742" s="3" t="s">
        <v>686</v>
      </c>
      <c r="G742" t="s">
        <v>763</v>
      </c>
      <c r="I742" t="e">
        <f>VLOOKUP(C742,[1]Hoja1!$A$2:$N$29,1,0)</f>
        <v>#N/A</v>
      </c>
    </row>
    <row r="743" spans="1:9" hidden="1" x14ac:dyDescent="0.3">
      <c r="A743" s="2">
        <v>45649</v>
      </c>
      <c r="B743" s="3">
        <v>2024003555</v>
      </c>
      <c r="C743" s="3" t="s">
        <v>732</v>
      </c>
      <c r="D743" s="5">
        <v>7540000</v>
      </c>
      <c r="E743" s="3">
        <v>10859376713</v>
      </c>
      <c r="F743" s="3" t="s">
        <v>733</v>
      </c>
      <c r="G743" t="s">
        <v>763</v>
      </c>
      <c r="I743" t="e">
        <f>VLOOKUP(C743,[1]Hoja1!$A$2:$N$29,1,0)</f>
        <v>#N/A</v>
      </c>
    </row>
    <row r="744" spans="1:9" hidden="1" x14ac:dyDescent="0.3">
      <c r="A744" s="2">
        <v>45636</v>
      </c>
      <c r="B744" s="3">
        <v>2024002999</v>
      </c>
      <c r="C744" s="3" t="s">
        <v>220</v>
      </c>
      <c r="D744" s="5">
        <v>7500000</v>
      </c>
      <c r="E744" s="3">
        <v>1088599676</v>
      </c>
      <c r="F744" s="3" t="s">
        <v>221</v>
      </c>
      <c r="G744" t="s">
        <v>763</v>
      </c>
      <c r="I744" t="str">
        <f>VLOOKUP(C744,[1]Hoja1!$A$2:$N$29,1,0)</f>
        <v>641-2024</v>
      </c>
    </row>
    <row r="745" spans="1:9" hidden="1" x14ac:dyDescent="0.3">
      <c r="A745" s="2">
        <v>45649</v>
      </c>
      <c r="B745" s="3">
        <v>2024003557</v>
      </c>
      <c r="C745" s="3" t="s">
        <v>373</v>
      </c>
      <c r="D745" s="5">
        <v>7540000</v>
      </c>
      <c r="E745" s="3">
        <v>80765093</v>
      </c>
      <c r="F745" s="3" t="s">
        <v>374</v>
      </c>
      <c r="G745" t="s">
        <v>763</v>
      </c>
      <c r="I745" t="e">
        <f>VLOOKUP(C745,[1]Hoja1!$A$2:$N$29,1,0)</f>
        <v>#N/A</v>
      </c>
    </row>
    <row r="746" spans="1:9" hidden="1" x14ac:dyDescent="0.3">
      <c r="A746" s="2">
        <v>45649</v>
      </c>
      <c r="B746" s="3">
        <v>2024003558</v>
      </c>
      <c r="C746" s="3" t="s">
        <v>658</v>
      </c>
      <c r="D746" s="5">
        <v>2500000</v>
      </c>
      <c r="E746" s="3">
        <v>36754171</v>
      </c>
      <c r="F746" s="3" t="s">
        <v>659</v>
      </c>
      <c r="G746" t="s">
        <v>763</v>
      </c>
      <c r="I746" t="e">
        <f>VLOOKUP(C746,[1]Hoja1!$A$2:$N$29,1,0)</f>
        <v>#N/A</v>
      </c>
    </row>
    <row r="747" spans="1:9" hidden="1" x14ac:dyDescent="0.3">
      <c r="A747" s="2">
        <v>45649</v>
      </c>
      <c r="B747" s="3">
        <v>2024003559</v>
      </c>
      <c r="C747" s="3" t="s">
        <v>136</v>
      </c>
      <c r="D747" s="5">
        <v>3000000</v>
      </c>
      <c r="E747" s="3">
        <v>1081052746</v>
      </c>
      <c r="F747" s="3" t="s">
        <v>137</v>
      </c>
      <c r="G747" t="s">
        <v>763</v>
      </c>
      <c r="I747" t="e">
        <f>VLOOKUP(C747,[1]Hoja1!$A$2:$N$29,1,0)</f>
        <v>#N/A</v>
      </c>
    </row>
    <row r="748" spans="1:9" hidden="1" x14ac:dyDescent="0.3">
      <c r="A748" s="2">
        <v>45649</v>
      </c>
      <c r="B748" s="3">
        <v>2024003561</v>
      </c>
      <c r="C748" s="3" t="s">
        <v>510</v>
      </c>
      <c r="D748" s="5">
        <v>3000000</v>
      </c>
      <c r="E748" s="3">
        <v>1084224968</v>
      </c>
      <c r="F748" s="3" t="s">
        <v>511</v>
      </c>
      <c r="G748" t="s">
        <v>763</v>
      </c>
      <c r="I748" t="e">
        <f>VLOOKUP(C748,[1]Hoja1!$A$2:$N$29,1,0)</f>
        <v>#N/A</v>
      </c>
    </row>
    <row r="749" spans="1:9" hidden="1" x14ac:dyDescent="0.3">
      <c r="A749" s="2">
        <v>45649</v>
      </c>
      <c r="B749" s="3">
        <v>2024003562</v>
      </c>
      <c r="C749" s="3" t="s">
        <v>599</v>
      </c>
      <c r="D749" s="5">
        <v>6000000</v>
      </c>
      <c r="E749" s="3">
        <v>1087420025</v>
      </c>
      <c r="F749" s="3" t="s">
        <v>600</v>
      </c>
      <c r="G749" t="s">
        <v>763</v>
      </c>
      <c r="I749" t="e">
        <f>VLOOKUP(C749,[1]Hoja1!$A$2:$N$29,1,0)</f>
        <v>#N/A</v>
      </c>
    </row>
    <row r="750" spans="1:9" hidden="1" x14ac:dyDescent="0.3">
      <c r="A750" s="2">
        <v>45649</v>
      </c>
      <c r="B750" s="3">
        <v>2024003563</v>
      </c>
      <c r="C750" s="3" t="s">
        <v>263</v>
      </c>
      <c r="D750" s="5">
        <v>2500000</v>
      </c>
      <c r="E750" s="3">
        <v>1131085946</v>
      </c>
      <c r="F750" s="3" t="s">
        <v>264</v>
      </c>
      <c r="G750" t="s">
        <v>763</v>
      </c>
      <c r="I750" t="e">
        <f>VLOOKUP(C750,[1]Hoja1!$A$2:$N$29,1,0)</f>
        <v>#N/A</v>
      </c>
    </row>
    <row r="751" spans="1:9" hidden="1" x14ac:dyDescent="0.3">
      <c r="A751" s="2">
        <v>45649</v>
      </c>
      <c r="B751" s="3">
        <v>2024003564</v>
      </c>
      <c r="C751" s="3" t="s">
        <v>379</v>
      </c>
      <c r="D751" s="5">
        <v>4750000</v>
      </c>
      <c r="E751" s="3">
        <v>1085345772</v>
      </c>
      <c r="F751" s="3" t="s">
        <v>380</v>
      </c>
      <c r="G751" t="s">
        <v>763</v>
      </c>
      <c r="I751" t="e">
        <f>VLOOKUP(C751,[1]Hoja1!$A$2:$N$29,1,0)</f>
        <v>#N/A</v>
      </c>
    </row>
    <row r="752" spans="1:9" hidden="1" x14ac:dyDescent="0.3">
      <c r="A752" s="2">
        <v>45649</v>
      </c>
      <c r="B752" s="3">
        <v>2024003565</v>
      </c>
      <c r="C752" s="3" t="s">
        <v>280</v>
      </c>
      <c r="D752" s="5">
        <v>3000000</v>
      </c>
      <c r="E752" s="3">
        <v>1004709928</v>
      </c>
      <c r="F752" s="3" t="s">
        <v>281</v>
      </c>
      <c r="G752" t="s">
        <v>763</v>
      </c>
      <c r="I752" t="e">
        <f>VLOOKUP(C752,[1]Hoja1!$A$2:$N$29,1,0)</f>
        <v>#N/A</v>
      </c>
    </row>
    <row r="753" spans="1:9" hidden="1" x14ac:dyDescent="0.3">
      <c r="A753" s="2">
        <v>45649</v>
      </c>
      <c r="B753" s="3">
        <v>2024003566</v>
      </c>
      <c r="C753" s="3" t="s">
        <v>734</v>
      </c>
      <c r="D753" s="5">
        <v>2500000</v>
      </c>
      <c r="E753" s="3">
        <v>1085314334</v>
      </c>
      <c r="F753" s="3" t="s">
        <v>28</v>
      </c>
      <c r="G753" t="s">
        <v>763</v>
      </c>
      <c r="I753" t="e">
        <f>VLOOKUP(C753,[1]Hoja1!$A$2:$N$29,1,0)</f>
        <v>#N/A</v>
      </c>
    </row>
    <row r="754" spans="1:9" hidden="1" x14ac:dyDescent="0.3">
      <c r="A754" s="2">
        <v>45649</v>
      </c>
      <c r="B754" s="3">
        <v>2024003567</v>
      </c>
      <c r="C754" s="3" t="s">
        <v>261</v>
      </c>
      <c r="D754" s="5">
        <v>2500000</v>
      </c>
      <c r="E754" s="3">
        <v>1085335069</v>
      </c>
      <c r="F754" s="3" t="s">
        <v>262</v>
      </c>
      <c r="G754" t="s">
        <v>763</v>
      </c>
      <c r="I754" t="e">
        <f>VLOOKUP(C754,[1]Hoja1!$A$2:$N$29,1,0)</f>
        <v>#N/A</v>
      </c>
    </row>
    <row r="755" spans="1:9" hidden="1" x14ac:dyDescent="0.3">
      <c r="A755" s="2">
        <v>45649</v>
      </c>
      <c r="B755" s="3">
        <v>2024003568</v>
      </c>
      <c r="C755" s="3" t="s">
        <v>103</v>
      </c>
      <c r="D755" s="5">
        <v>7540000</v>
      </c>
      <c r="E755" s="3">
        <v>36950112</v>
      </c>
      <c r="F755" s="3" t="s">
        <v>104</v>
      </c>
      <c r="G755" t="s">
        <v>763</v>
      </c>
      <c r="I755" t="e">
        <f>VLOOKUP(C755,[1]Hoja1!$A$2:$N$29,1,0)</f>
        <v>#N/A</v>
      </c>
    </row>
    <row r="756" spans="1:9" hidden="1" x14ac:dyDescent="0.3">
      <c r="A756" s="2">
        <v>45649</v>
      </c>
      <c r="B756" s="3">
        <v>2024003569</v>
      </c>
      <c r="C756" s="3" t="s">
        <v>512</v>
      </c>
      <c r="D756" s="5">
        <v>3000000</v>
      </c>
      <c r="E756" s="3">
        <v>1004234290</v>
      </c>
      <c r="F756" s="3" t="s">
        <v>513</v>
      </c>
      <c r="G756" t="s">
        <v>763</v>
      </c>
      <c r="I756" t="e">
        <f>VLOOKUP(C756,[1]Hoja1!$A$2:$N$29,1,0)</f>
        <v>#N/A</v>
      </c>
    </row>
    <row r="757" spans="1:9" hidden="1" x14ac:dyDescent="0.3">
      <c r="A757" s="2">
        <v>45649</v>
      </c>
      <c r="B757" s="3">
        <v>2024003570</v>
      </c>
      <c r="C757" s="3" t="s">
        <v>735</v>
      </c>
      <c r="D757" s="5">
        <v>6000000</v>
      </c>
      <c r="E757" s="3">
        <v>1007254154</v>
      </c>
      <c r="F757" s="3" t="s">
        <v>736</v>
      </c>
      <c r="G757" t="s">
        <v>763</v>
      </c>
      <c r="I757" t="e">
        <f>VLOOKUP(C757,[1]Hoja1!$A$2:$N$29,1,0)</f>
        <v>#N/A</v>
      </c>
    </row>
    <row r="758" spans="1:9" hidden="1" x14ac:dyDescent="0.3">
      <c r="A758" s="2">
        <v>45649</v>
      </c>
      <c r="B758" s="3">
        <v>2024003571</v>
      </c>
      <c r="C758" s="3" t="s">
        <v>172</v>
      </c>
      <c r="D758" s="5">
        <v>3000000</v>
      </c>
      <c r="E758" s="3">
        <v>36954407</v>
      </c>
      <c r="F758" s="3" t="s">
        <v>173</v>
      </c>
      <c r="G758" t="s">
        <v>763</v>
      </c>
      <c r="I758" t="e">
        <f>VLOOKUP(C758,[1]Hoja1!$A$2:$N$29,1,0)</f>
        <v>#N/A</v>
      </c>
    </row>
    <row r="759" spans="1:9" hidden="1" x14ac:dyDescent="0.3">
      <c r="A759" s="2">
        <v>45649</v>
      </c>
      <c r="B759" s="3">
        <v>2024003572</v>
      </c>
      <c r="C759" s="3" t="s">
        <v>212</v>
      </c>
      <c r="D759" s="5">
        <v>3000000</v>
      </c>
      <c r="E759" s="3">
        <v>1085315209</v>
      </c>
      <c r="F759" s="3" t="s">
        <v>213</v>
      </c>
      <c r="G759" t="s">
        <v>763</v>
      </c>
      <c r="I759" t="e">
        <f>VLOOKUP(C759,[1]Hoja1!$A$2:$N$29,1,0)</f>
        <v>#N/A</v>
      </c>
    </row>
    <row r="760" spans="1:9" hidden="1" x14ac:dyDescent="0.3">
      <c r="A760" s="2">
        <v>45649</v>
      </c>
      <c r="B760" s="3">
        <v>2024003573</v>
      </c>
      <c r="C760" s="3" t="s">
        <v>466</v>
      </c>
      <c r="D760" s="5">
        <v>3000000</v>
      </c>
      <c r="E760" s="3">
        <v>1014857280</v>
      </c>
      <c r="F760" s="3" t="s">
        <v>467</v>
      </c>
      <c r="G760" t="s">
        <v>763</v>
      </c>
      <c r="I760" t="e">
        <f>VLOOKUP(C760,[1]Hoja1!$A$2:$N$29,1,0)</f>
        <v>#N/A</v>
      </c>
    </row>
    <row r="761" spans="1:9" hidden="1" x14ac:dyDescent="0.3">
      <c r="A761" s="2">
        <v>45649</v>
      </c>
      <c r="B761" s="3">
        <v>2024003574</v>
      </c>
      <c r="C761" s="3" t="s">
        <v>389</v>
      </c>
      <c r="D761" s="5">
        <v>3000000</v>
      </c>
      <c r="E761" s="3">
        <v>1085296353</v>
      </c>
      <c r="F761" s="3" t="s">
        <v>390</v>
      </c>
      <c r="G761" t="s">
        <v>763</v>
      </c>
      <c r="I761" t="e">
        <f>VLOOKUP(C761,[1]Hoja1!$A$2:$N$29,1,0)</f>
        <v>#N/A</v>
      </c>
    </row>
    <row r="762" spans="1:9" hidden="1" x14ac:dyDescent="0.3">
      <c r="A762" s="2">
        <v>45649</v>
      </c>
      <c r="B762" s="3">
        <v>2024003575</v>
      </c>
      <c r="C762" s="3" t="s">
        <v>426</v>
      </c>
      <c r="D762" s="5">
        <v>7540000</v>
      </c>
      <c r="E762" s="3">
        <v>1085335767</v>
      </c>
      <c r="F762" s="3" t="s">
        <v>427</v>
      </c>
      <c r="G762" t="s">
        <v>763</v>
      </c>
      <c r="I762" t="e">
        <f>VLOOKUP(C762,[1]Hoja1!$A$2:$N$29,1,0)</f>
        <v>#N/A</v>
      </c>
    </row>
    <row r="763" spans="1:9" hidden="1" x14ac:dyDescent="0.3">
      <c r="A763" s="2">
        <v>45649</v>
      </c>
      <c r="B763" s="3">
        <v>2024003576</v>
      </c>
      <c r="C763" s="3" t="s">
        <v>462</v>
      </c>
      <c r="D763" s="5">
        <v>2500000</v>
      </c>
      <c r="E763" s="3">
        <v>1086016308</v>
      </c>
      <c r="F763" s="3" t="s">
        <v>463</v>
      </c>
      <c r="G763" t="s">
        <v>763</v>
      </c>
      <c r="I763" t="e">
        <f>VLOOKUP(C763,[1]Hoja1!$A$2:$N$29,1,0)</f>
        <v>#N/A</v>
      </c>
    </row>
    <row r="764" spans="1:9" hidden="1" x14ac:dyDescent="0.3">
      <c r="A764" s="2">
        <v>45649</v>
      </c>
      <c r="B764" s="3">
        <v>2024003577</v>
      </c>
      <c r="C764" s="3" t="s">
        <v>737</v>
      </c>
      <c r="D764" s="5">
        <v>2500000</v>
      </c>
      <c r="E764" s="3">
        <v>30709681</v>
      </c>
      <c r="F764" s="3" t="s">
        <v>738</v>
      </c>
      <c r="G764" t="s">
        <v>763</v>
      </c>
      <c r="I764" t="e">
        <f>VLOOKUP(C764,[1]Hoja1!$A$2:$N$29,1,0)</f>
        <v>#N/A</v>
      </c>
    </row>
    <row r="765" spans="1:9" hidden="1" x14ac:dyDescent="0.3">
      <c r="A765" s="2">
        <v>45649</v>
      </c>
      <c r="B765" s="3">
        <v>2024003578</v>
      </c>
      <c r="C765" s="3" t="s">
        <v>620</v>
      </c>
      <c r="D765" s="5">
        <v>6000000</v>
      </c>
      <c r="E765" s="3">
        <v>79724257</v>
      </c>
      <c r="F765" s="3" t="s">
        <v>621</v>
      </c>
      <c r="G765" t="s">
        <v>763</v>
      </c>
      <c r="I765" t="e">
        <f>VLOOKUP(C765,[1]Hoja1!$A$2:$N$29,1,0)</f>
        <v>#N/A</v>
      </c>
    </row>
    <row r="766" spans="1:9" hidden="1" x14ac:dyDescent="0.3">
      <c r="A766" s="2">
        <v>45649</v>
      </c>
      <c r="B766" s="3">
        <v>2024003579</v>
      </c>
      <c r="C766" s="3" t="s">
        <v>214</v>
      </c>
      <c r="D766" s="5">
        <v>4825000</v>
      </c>
      <c r="E766" s="3">
        <v>1085289739</v>
      </c>
      <c r="F766" s="3" t="s">
        <v>215</v>
      </c>
      <c r="G766" t="s">
        <v>763</v>
      </c>
      <c r="I766" t="e">
        <f>VLOOKUP(C766,[1]Hoja1!$A$2:$N$29,1,0)</f>
        <v>#N/A</v>
      </c>
    </row>
    <row r="767" spans="1:9" hidden="1" x14ac:dyDescent="0.3">
      <c r="A767" s="2">
        <v>45649</v>
      </c>
      <c r="B767" s="3">
        <v>2024003580</v>
      </c>
      <c r="C767" s="3" t="s">
        <v>278</v>
      </c>
      <c r="D767" s="5">
        <v>3000000</v>
      </c>
      <c r="E767" s="3">
        <v>1085317833</v>
      </c>
      <c r="F767" s="3" t="s">
        <v>279</v>
      </c>
      <c r="G767" t="s">
        <v>763</v>
      </c>
      <c r="I767" t="e">
        <f>VLOOKUP(C767,[1]Hoja1!$A$2:$N$29,1,0)</f>
        <v>#N/A</v>
      </c>
    </row>
    <row r="768" spans="1:9" hidden="1" x14ac:dyDescent="0.3">
      <c r="A768" s="2">
        <v>45649</v>
      </c>
      <c r="B768" s="3">
        <v>2024003581</v>
      </c>
      <c r="C768" s="3" t="s">
        <v>456</v>
      </c>
      <c r="D768" s="5">
        <v>4825000</v>
      </c>
      <c r="E768" s="3">
        <v>1087643211</v>
      </c>
      <c r="F768" s="3" t="s">
        <v>457</v>
      </c>
      <c r="G768" t="s">
        <v>763</v>
      </c>
      <c r="I768" t="e">
        <f>VLOOKUP(C768,[1]Hoja1!$A$2:$N$29,1,0)</f>
        <v>#N/A</v>
      </c>
    </row>
    <row r="769" spans="1:9" hidden="1" x14ac:dyDescent="0.3">
      <c r="A769" s="2">
        <v>45649</v>
      </c>
      <c r="B769" s="3">
        <v>2024003582</v>
      </c>
      <c r="C769" s="3" t="s">
        <v>257</v>
      </c>
      <c r="D769" s="5">
        <v>2500000</v>
      </c>
      <c r="E769" s="3">
        <v>1085310465</v>
      </c>
      <c r="F769" s="3" t="s">
        <v>258</v>
      </c>
      <c r="G769" t="s">
        <v>763</v>
      </c>
      <c r="I769" t="e">
        <f>VLOOKUP(C769,[1]Hoja1!$A$2:$N$29,1,0)</f>
        <v>#N/A</v>
      </c>
    </row>
    <row r="770" spans="1:9" hidden="1" x14ac:dyDescent="0.3">
      <c r="A770" s="2">
        <v>45649</v>
      </c>
      <c r="B770" s="3">
        <v>2024003583</v>
      </c>
      <c r="C770" s="3" t="s">
        <v>568</v>
      </c>
      <c r="D770" s="5">
        <v>7540000</v>
      </c>
      <c r="E770" s="3">
        <v>87065647</v>
      </c>
      <c r="F770" s="3" t="s">
        <v>569</v>
      </c>
      <c r="G770" t="s">
        <v>763</v>
      </c>
      <c r="I770" t="e">
        <f>VLOOKUP(C770,[1]Hoja1!$A$2:$N$29,1,0)</f>
        <v>#N/A</v>
      </c>
    </row>
    <row r="771" spans="1:9" hidden="1" x14ac:dyDescent="0.3">
      <c r="A771" s="2">
        <v>45649</v>
      </c>
      <c r="B771" s="3">
        <v>2024003584</v>
      </c>
      <c r="C771" s="3" t="s">
        <v>196</v>
      </c>
      <c r="D771" s="5">
        <v>3000000</v>
      </c>
      <c r="E771" s="3">
        <v>1030606749</v>
      </c>
      <c r="F771" s="3" t="s">
        <v>197</v>
      </c>
      <c r="G771" t="s">
        <v>763</v>
      </c>
      <c r="I771" t="e">
        <f>VLOOKUP(C771,[1]Hoja1!$A$2:$N$29,1,0)</f>
        <v>#N/A</v>
      </c>
    </row>
    <row r="772" spans="1:9" hidden="1" x14ac:dyDescent="0.3">
      <c r="A772" s="2">
        <v>45649</v>
      </c>
      <c r="B772" s="3">
        <v>2024003585</v>
      </c>
      <c r="C772" s="3" t="s">
        <v>385</v>
      </c>
      <c r="D772" s="5">
        <v>2500000</v>
      </c>
      <c r="E772" s="3">
        <v>59830219</v>
      </c>
      <c r="F772" s="3" t="s">
        <v>386</v>
      </c>
      <c r="G772" t="s">
        <v>763</v>
      </c>
      <c r="I772" t="e">
        <f>VLOOKUP(C772,[1]Hoja1!$A$2:$N$29,1,0)</f>
        <v>#N/A</v>
      </c>
    </row>
    <row r="773" spans="1:9" hidden="1" x14ac:dyDescent="0.3">
      <c r="A773" s="2">
        <v>45649</v>
      </c>
      <c r="B773" s="3">
        <v>2024003586</v>
      </c>
      <c r="C773" s="3" t="s">
        <v>245</v>
      </c>
      <c r="D773" s="5">
        <v>4825000</v>
      </c>
      <c r="E773" s="3">
        <v>87062845</v>
      </c>
      <c r="F773" s="3" t="s">
        <v>246</v>
      </c>
      <c r="G773" t="s">
        <v>763</v>
      </c>
      <c r="I773" t="e">
        <f>VLOOKUP(C773,[1]Hoja1!$A$2:$N$29,1,0)</f>
        <v>#N/A</v>
      </c>
    </row>
    <row r="774" spans="1:9" hidden="1" x14ac:dyDescent="0.3">
      <c r="A774" s="2">
        <v>45649</v>
      </c>
      <c r="B774" s="3">
        <v>2024003587</v>
      </c>
      <c r="C774" s="3" t="s">
        <v>626</v>
      </c>
      <c r="D774" s="5">
        <v>4825000</v>
      </c>
      <c r="E774" s="3">
        <v>1085306723</v>
      </c>
      <c r="F774" s="3" t="s">
        <v>627</v>
      </c>
      <c r="G774" t="s">
        <v>763</v>
      </c>
      <c r="I774" t="e">
        <f>VLOOKUP(C774,[1]Hoja1!$A$2:$N$29,1,0)</f>
        <v>#N/A</v>
      </c>
    </row>
    <row r="775" spans="1:9" hidden="1" x14ac:dyDescent="0.3">
      <c r="A775" s="2">
        <v>45649</v>
      </c>
      <c r="B775" s="3">
        <v>2024003588</v>
      </c>
      <c r="C775" s="3" t="s">
        <v>612</v>
      </c>
      <c r="D775" s="5">
        <v>7540000</v>
      </c>
      <c r="E775" s="3">
        <v>1085315800</v>
      </c>
      <c r="F775" s="3" t="s">
        <v>613</v>
      </c>
      <c r="G775" t="s">
        <v>763</v>
      </c>
      <c r="I775" t="e">
        <f>VLOOKUP(C775,[1]Hoja1!$A$2:$N$29,1,0)</f>
        <v>#N/A</v>
      </c>
    </row>
    <row r="776" spans="1:9" hidden="1" x14ac:dyDescent="0.3">
      <c r="A776" s="2">
        <v>45649</v>
      </c>
      <c r="B776" s="3">
        <v>2024003589</v>
      </c>
      <c r="C776" s="3" t="s">
        <v>44</v>
      </c>
      <c r="D776" s="5">
        <v>7540000</v>
      </c>
      <c r="E776" s="3">
        <v>1085304670</v>
      </c>
      <c r="F776" s="3" t="s">
        <v>45</v>
      </c>
      <c r="G776" t="s">
        <v>763</v>
      </c>
      <c r="I776" t="e">
        <f>VLOOKUP(C776,[1]Hoja1!$A$2:$N$29,1,0)</f>
        <v>#N/A</v>
      </c>
    </row>
    <row r="777" spans="1:9" hidden="1" x14ac:dyDescent="0.3">
      <c r="A777" s="2">
        <v>45649</v>
      </c>
      <c r="B777" s="3">
        <v>2024003590</v>
      </c>
      <c r="C777" s="3" t="s">
        <v>337</v>
      </c>
      <c r="D777" s="5">
        <v>3000000</v>
      </c>
      <c r="E777" s="3">
        <v>1085324685</v>
      </c>
      <c r="F777" s="3" t="s">
        <v>338</v>
      </c>
      <c r="G777" t="s">
        <v>763</v>
      </c>
      <c r="I777" t="e">
        <f>VLOOKUP(C777,[1]Hoja1!$A$2:$N$29,1,0)</f>
        <v>#N/A</v>
      </c>
    </row>
    <row r="778" spans="1:9" hidden="1" x14ac:dyDescent="0.3">
      <c r="A778" s="2">
        <v>45649</v>
      </c>
      <c r="B778" s="3">
        <v>2024003591</v>
      </c>
      <c r="C778" s="3" t="s">
        <v>198</v>
      </c>
      <c r="D778" s="5">
        <v>3000000</v>
      </c>
      <c r="E778" s="3">
        <v>1085275473</v>
      </c>
      <c r="F778" s="3" t="s">
        <v>199</v>
      </c>
      <c r="G778" t="s">
        <v>763</v>
      </c>
      <c r="I778" t="e">
        <f>VLOOKUP(C778,[1]Hoja1!$A$2:$N$29,1,0)</f>
        <v>#N/A</v>
      </c>
    </row>
    <row r="779" spans="1:9" hidden="1" x14ac:dyDescent="0.3">
      <c r="A779" s="2">
        <v>45649</v>
      </c>
      <c r="B779" s="3">
        <v>2024003592</v>
      </c>
      <c r="C779" s="3" t="s">
        <v>516</v>
      </c>
      <c r="D779" s="5">
        <v>3000000</v>
      </c>
      <c r="E779" s="3">
        <v>1085277516</v>
      </c>
      <c r="F779" s="3" t="s">
        <v>517</v>
      </c>
      <c r="G779" t="s">
        <v>763</v>
      </c>
      <c r="I779" t="e">
        <f>VLOOKUP(C779,[1]Hoja1!$A$2:$N$29,1,0)</f>
        <v>#N/A</v>
      </c>
    </row>
    <row r="780" spans="1:9" hidden="1" x14ac:dyDescent="0.3">
      <c r="A780" s="2">
        <v>45649</v>
      </c>
      <c r="B780" s="3">
        <v>2024003593</v>
      </c>
      <c r="C780" s="3" t="s">
        <v>144</v>
      </c>
      <c r="D780" s="5">
        <v>2500000</v>
      </c>
      <c r="E780" s="3">
        <v>1085330079</v>
      </c>
      <c r="F780" s="3" t="s">
        <v>145</v>
      </c>
      <c r="G780" t="s">
        <v>763</v>
      </c>
      <c r="I780" t="e">
        <f>VLOOKUP(C780,[1]Hoja1!$A$2:$N$29,1,0)</f>
        <v>#N/A</v>
      </c>
    </row>
    <row r="781" spans="1:9" hidden="1" x14ac:dyDescent="0.3">
      <c r="A781" s="2">
        <v>45649</v>
      </c>
      <c r="B781" s="3">
        <v>2024003594</v>
      </c>
      <c r="C781" s="3" t="s">
        <v>589</v>
      </c>
      <c r="D781" s="5">
        <v>2500000</v>
      </c>
      <c r="E781" s="3">
        <v>36759281</v>
      </c>
      <c r="F781" s="3" t="s">
        <v>590</v>
      </c>
      <c r="G781" t="s">
        <v>763</v>
      </c>
      <c r="I781" t="e">
        <f>VLOOKUP(C781,[1]Hoja1!$A$2:$N$29,1,0)</f>
        <v>#N/A</v>
      </c>
    </row>
    <row r="782" spans="1:9" hidden="1" x14ac:dyDescent="0.3">
      <c r="A782" s="2">
        <v>45649</v>
      </c>
      <c r="B782" s="3">
        <v>2024003595</v>
      </c>
      <c r="C782" s="3" t="s">
        <v>494</v>
      </c>
      <c r="D782" s="5">
        <v>4825000</v>
      </c>
      <c r="E782" s="3">
        <v>59314451</v>
      </c>
      <c r="F782" s="3" t="s">
        <v>495</v>
      </c>
      <c r="G782" t="s">
        <v>763</v>
      </c>
      <c r="I782" t="e">
        <f>VLOOKUP(C782,[1]Hoja1!$A$2:$N$29,1,0)</f>
        <v>#N/A</v>
      </c>
    </row>
    <row r="783" spans="1:9" hidden="1" x14ac:dyDescent="0.3">
      <c r="A783" s="2">
        <v>45649</v>
      </c>
      <c r="B783" s="3">
        <v>2024003596</v>
      </c>
      <c r="C783" s="3" t="s">
        <v>406</v>
      </c>
      <c r="D783" s="5">
        <v>3000000</v>
      </c>
      <c r="E783" s="3">
        <v>98382500</v>
      </c>
      <c r="F783" s="3" t="s">
        <v>407</v>
      </c>
      <c r="G783" t="s">
        <v>763</v>
      </c>
      <c r="I783" t="e">
        <f>VLOOKUP(C783,[1]Hoja1!$A$2:$N$29,1,0)</f>
        <v>#N/A</v>
      </c>
    </row>
    <row r="784" spans="1:9" hidden="1" x14ac:dyDescent="0.3">
      <c r="A784" s="2">
        <v>45649</v>
      </c>
      <c r="B784" s="3">
        <v>2024003597</v>
      </c>
      <c r="C784" s="3" t="s">
        <v>397</v>
      </c>
      <c r="D784" s="5">
        <v>4750000</v>
      </c>
      <c r="E784" s="3">
        <v>87060703</v>
      </c>
      <c r="F784" s="3" t="s">
        <v>398</v>
      </c>
      <c r="G784" t="s">
        <v>763</v>
      </c>
      <c r="I784" t="e">
        <f>VLOOKUP(C784,[1]Hoja1!$A$2:$N$29,1,0)</f>
        <v>#N/A</v>
      </c>
    </row>
    <row r="785" spans="1:9" hidden="1" x14ac:dyDescent="0.3">
      <c r="A785" s="2">
        <v>45649</v>
      </c>
      <c r="B785" s="3">
        <v>2024003599</v>
      </c>
      <c r="C785" s="3" t="s">
        <v>642</v>
      </c>
      <c r="D785" s="5">
        <v>2500000</v>
      </c>
      <c r="E785" s="3">
        <v>1085312811</v>
      </c>
      <c r="F785" s="3" t="s">
        <v>643</v>
      </c>
      <c r="G785" t="s">
        <v>763</v>
      </c>
      <c r="I785" t="e">
        <f>VLOOKUP(C785,[1]Hoja1!$A$2:$N$29,1,0)</f>
        <v>#N/A</v>
      </c>
    </row>
    <row r="786" spans="1:9" hidden="1" x14ac:dyDescent="0.3">
      <c r="A786" s="2">
        <v>45649</v>
      </c>
      <c r="B786" s="3">
        <v>2024003600</v>
      </c>
      <c r="C786" s="3" t="s">
        <v>210</v>
      </c>
      <c r="D786" s="5">
        <v>7540000</v>
      </c>
      <c r="E786" s="3">
        <v>1085321192</v>
      </c>
      <c r="F786" s="3" t="s">
        <v>211</v>
      </c>
      <c r="G786" t="s">
        <v>763</v>
      </c>
      <c r="I786" t="e">
        <f>VLOOKUP(C786,[1]Hoja1!$A$2:$N$29,1,0)</f>
        <v>#N/A</v>
      </c>
    </row>
    <row r="787" spans="1:9" hidden="1" x14ac:dyDescent="0.3">
      <c r="A787" s="2">
        <v>45649</v>
      </c>
      <c r="B787" s="3">
        <v>2024003601</v>
      </c>
      <c r="C787" s="3" t="s">
        <v>691</v>
      </c>
      <c r="D787" s="5">
        <v>3000000</v>
      </c>
      <c r="E787" s="3">
        <v>1085297914</v>
      </c>
      <c r="F787" s="3" t="s">
        <v>692</v>
      </c>
      <c r="G787" t="s">
        <v>763</v>
      </c>
      <c r="I787" t="e">
        <f>VLOOKUP(C787,[1]Hoja1!$A$2:$N$29,1,0)</f>
        <v>#N/A</v>
      </c>
    </row>
    <row r="788" spans="1:9" hidden="1" x14ac:dyDescent="0.3">
      <c r="A788" s="2">
        <v>45649</v>
      </c>
      <c r="B788" s="3">
        <v>2024003602</v>
      </c>
      <c r="C788" s="3" t="s">
        <v>351</v>
      </c>
      <c r="D788" s="5">
        <v>3000000</v>
      </c>
      <c r="E788" s="3">
        <v>1193265360</v>
      </c>
      <c r="F788" s="3" t="s">
        <v>352</v>
      </c>
      <c r="G788" t="s">
        <v>763</v>
      </c>
      <c r="I788" t="e">
        <f>VLOOKUP(C788,[1]Hoja1!$A$2:$N$29,1,0)</f>
        <v>#N/A</v>
      </c>
    </row>
    <row r="789" spans="1:9" hidden="1" x14ac:dyDescent="0.3">
      <c r="A789" s="2">
        <v>45649</v>
      </c>
      <c r="B789" s="3">
        <v>2024003603</v>
      </c>
      <c r="C789" s="3" t="s">
        <v>656</v>
      </c>
      <c r="D789" s="5">
        <v>6000000</v>
      </c>
      <c r="E789" s="3">
        <v>59825948</v>
      </c>
      <c r="F789" s="3" t="s">
        <v>657</v>
      </c>
      <c r="G789" t="s">
        <v>763</v>
      </c>
      <c r="I789" t="e">
        <f>VLOOKUP(C789,[1]Hoja1!$A$2:$N$29,1,0)</f>
        <v>#N/A</v>
      </c>
    </row>
    <row r="790" spans="1:9" hidden="1" x14ac:dyDescent="0.3">
      <c r="A790" s="2">
        <v>45649</v>
      </c>
      <c r="B790" s="3">
        <v>2024003604</v>
      </c>
      <c r="C790" s="3" t="s">
        <v>734</v>
      </c>
      <c r="D790" s="5">
        <v>2500000</v>
      </c>
      <c r="E790" s="3">
        <v>1085314334</v>
      </c>
      <c r="F790" s="3" t="s">
        <v>28</v>
      </c>
      <c r="G790" t="s">
        <v>763</v>
      </c>
      <c r="I790" t="e">
        <f>VLOOKUP(C790,[1]Hoja1!$A$2:$N$29,1,0)</f>
        <v>#N/A</v>
      </c>
    </row>
    <row r="791" spans="1:9" hidden="1" x14ac:dyDescent="0.3">
      <c r="A791" s="2">
        <v>45649</v>
      </c>
      <c r="B791" s="3">
        <v>2024003605</v>
      </c>
      <c r="C791" s="3" t="s">
        <v>566</v>
      </c>
      <c r="D791" s="5">
        <v>4750000</v>
      </c>
      <c r="E791" s="3">
        <v>1086332188</v>
      </c>
      <c r="F791" s="3" t="s">
        <v>567</v>
      </c>
      <c r="G791" t="s">
        <v>763</v>
      </c>
      <c r="I791" t="e">
        <f>VLOOKUP(C791,[1]Hoja1!$A$2:$N$29,1,0)</f>
        <v>#N/A</v>
      </c>
    </row>
    <row r="792" spans="1:9" hidden="1" x14ac:dyDescent="0.3">
      <c r="A792" s="2">
        <v>45649</v>
      </c>
      <c r="B792" s="3">
        <v>2024003606</v>
      </c>
      <c r="C792" s="3" t="s">
        <v>654</v>
      </c>
      <c r="D792" s="5">
        <v>2500000</v>
      </c>
      <c r="E792" s="3">
        <v>36951530</v>
      </c>
      <c r="F792" s="3" t="s">
        <v>655</v>
      </c>
      <c r="G792" t="s">
        <v>763</v>
      </c>
      <c r="I792" t="e">
        <f>VLOOKUP(C792,[1]Hoja1!$A$2:$N$29,1,0)</f>
        <v>#N/A</v>
      </c>
    </row>
    <row r="793" spans="1:9" s="9" customFormat="1" hidden="1" x14ac:dyDescent="0.3">
      <c r="A793" s="2">
        <v>45649</v>
      </c>
      <c r="B793" s="3">
        <v>2024003556</v>
      </c>
      <c r="C793" s="3" t="s">
        <v>220</v>
      </c>
      <c r="D793" s="5">
        <v>7500000</v>
      </c>
      <c r="E793" s="3">
        <v>1088599676</v>
      </c>
      <c r="F793" s="3" t="s">
        <v>221</v>
      </c>
      <c r="G793" t="s">
        <v>763</v>
      </c>
      <c r="H793"/>
      <c r="I793" t="str">
        <f>VLOOKUP(C793,[1]Hoja1!$A$2:$N$29,1,0)</f>
        <v>641-2024</v>
      </c>
    </row>
    <row r="794" spans="1:9" hidden="1" x14ac:dyDescent="0.3">
      <c r="A794" s="2">
        <v>45649</v>
      </c>
      <c r="B794" s="3">
        <v>2024003608</v>
      </c>
      <c r="C794" s="3" t="s">
        <v>140</v>
      </c>
      <c r="D794" s="5">
        <v>7540000</v>
      </c>
      <c r="E794" s="3">
        <v>1085329230</v>
      </c>
      <c r="F794" s="3" t="s">
        <v>141</v>
      </c>
      <c r="G794" t="s">
        <v>763</v>
      </c>
      <c r="I794" t="e">
        <f>VLOOKUP(C794,[1]Hoja1!$A$2:$N$29,1,0)</f>
        <v>#N/A</v>
      </c>
    </row>
    <row r="795" spans="1:9" hidden="1" x14ac:dyDescent="0.3">
      <c r="A795" s="2">
        <v>45649</v>
      </c>
      <c r="B795" s="3">
        <v>2024003609</v>
      </c>
      <c r="C795" s="3" t="s">
        <v>148</v>
      </c>
      <c r="D795" s="5">
        <v>4750000</v>
      </c>
      <c r="E795" s="3">
        <v>59821282</v>
      </c>
      <c r="F795" s="3" t="s">
        <v>149</v>
      </c>
      <c r="G795" t="s">
        <v>763</v>
      </c>
      <c r="I795" t="e">
        <f>VLOOKUP(C795,[1]Hoja1!$A$2:$N$29,1,0)</f>
        <v>#N/A</v>
      </c>
    </row>
    <row r="796" spans="1:9" hidden="1" x14ac:dyDescent="0.3">
      <c r="A796" s="2">
        <v>45649</v>
      </c>
      <c r="B796" s="3">
        <v>2024003610</v>
      </c>
      <c r="C796" s="3" t="s">
        <v>608</v>
      </c>
      <c r="D796" s="5">
        <v>3000000</v>
      </c>
      <c r="E796" s="3">
        <v>1081272656</v>
      </c>
      <c r="F796" s="3" t="s">
        <v>609</v>
      </c>
      <c r="G796" t="s">
        <v>763</v>
      </c>
      <c r="I796" t="e">
        <f>VLOOKUP(C796,[1]Hoja1!$A$2:$N$29,1,0)</f>
        <v>#N/A</v>
      </c>
    </row>
    <row r="797" spans="1:9" hidden="1" x14ac:dyDescent="0.3">
      <c r="A797" s="2">
        <v>45649</v>
      </c>
      <c r="B797" s="3">
        <v>2024003611</v>
      </c>
      <c r="C797" s="3" t="s">
        <v>452</v>
      </c>
      <c r="D797" s="5">
        <v>3000000</v>
      </c>
      <c r="E797" s="3">
        <v>1085344082</v>
      </c>
      <c r="F797" s="3" t="s">
        <v>453</v>
      </c>
      <c r="G797" t="s">
        <v>763</v>
      </c>
      <c r="I797" t="e">
        <f>VLOOKUP(C797,[1]Hoja1!$A$2:$N$29,1,0)</f>
        <v>#N/A</v>
      </c>
    </row>
    <row r="798" spans="1:9" hidden="1" x14ac:dyDescent="0.3">
      <c r="A798" s="2">
        <v>45649</v>
      </c>
      <c r="B798" s="3">
        <v>2024003612</v>
      </c>
      <c r="C798" s="3" t="s">
        <v>176</v>
      </c>
      <c r="D798" s="5">
        <v>3000000</v>
      </c>
      <c r="E798" s="3">
        <v>1085325325</v>
      </c>
      <c r="F798" s="3" t="s">
        <v>177</v>
      </c>
      <c r="G798" t="s">
        <v>763</v>
      </c>
      <c r="I798" t="e">
        <f>VLOOKUP(C798,[1]Hoja1!$A$2:$N$29,1,0)</f>
        <v>#N/A</v>
      </c>
    </row>
    <row r="799" spans="1:9" hidden="1" x14ac:dyDescent="0.3">
      <c r="A799" s="2">
        <v>45649</v>
      </c>
      <c r="B799" s="3">
        <v>2024003613</v>
      </c>
      <c r="C799" s="3" t="s">
        <v>492</v>
      </c>
      <c r="D799" s="5">
        <v>3000000</v>
      </c>
      <c r="E799" s="3">
        <v>27088197</v>
      </c>
      <c r="F799" s="3" t="s">
        <v>493</v>
      </c>
      <c r="G799" t="s">
        <v>763</v>
      </c>
      <c r="I799" t="e">
        <f>VLOOKUP(C799,[1]Hoja1!$A$2:$N$29,1,0)</f>
        <v>#N/A</v>
      </c>
    </row>
    <row r="800" spans="1:9" hidden="1" x14ac:dyDescent="0.3">
      <c r="A800" s="2">
        <v>45649</v>
      </c>
      <c r="B800" s="3">
        <v>2024003614</v>
      </c>
      <c r="C800" s="3" t="s">
        <v>329</v>
      </c>
      <c r="D800" s="5">
        <v>3000000</v>
      </c>
      <c r="E800" s="3">
        <v>1081272025</v>
      </c>
      <c r="F800" s="3" t="s">
        <v>330</v>
      </c>
      <c r="G800" t="s">
        <v>763</v>
      </c>
      <c r="I800" t="e">
        <f>VLOOKUP(C800,[1]Hoja1!$A$2:$N$29,1,0)</f>
        <v>#N/A</v>
      </c>
    </row>
    <row r="801" spans="1:9" hidden="1" x14ac:dyDescent="0.3">
      <c r="A801" s="2">
        <v>45649</v>
      </c>
      <c r="B801" s="3">
        <v>2024003615</v>
      </c>
      <c r="C801" s="3" t="s">
        <v>442</v>
      </c>
      <c r="D801" s="5">
        <v>6000000</v>
      </c>
      <c r="E801" s="3">
        <v>1085254153</v>
      </c>
      <c r="F801" s="3" t="s">
        <v>443</v>
      </c>
      <c r="G801" t="s">
        <v>763</v>
      </c>
      <c r="I801" t="e">
        <f>VLOOKUP(C801,[1]Hoja1!$A$2:$N$29,1,0)</f>
        <v>#N/A</v>
      </c>
    </row>
    <row r="802" spans="1:9" hidden="1" x14ac:dyDescent="0.3">
      <c r="A802" s="2">
        <v>45649</v>
      </c>
      <c r="B802" s="3">
        <v>2024003616</v>
      </c>
      <c r="C802" s="3" t="s">
        <v>508</v>
      </c>
      <c r="D802" s="5">
        <v>3000000</v>
      </c>
      <c r="E802" s="3">
        <v>37083086</v>
      </c>
      <c r="F802" s="3" t="s">
        <v>509</v>
      </c>
      <c r="G802" t="s">
        <v>763</v>
      </c>
      <c r="I802" t="e">
        <f>VLOOKUP(C802,[1]Hoja1!$A$2:$N$29,1,0)</f>
        <v>#N/A</v>
      </c>
    </row>
    <row r="803" spans="1:9" hidden="1" x14ac:dyDescent="0.3">
      <c r="A803" s="2">
        <v>45649</v>
      </c>
      <c r="B803" s="3">
        <v>2024003617</v>
      </c>
      <c r="C803" s="3" t="s">
        <v>660</v>
      </c>
      <c r="D803" s="5">
        <v>3000000</v>
      </c>
      <c r="E803" s="3">
        <v>1085265947</v>
      </c>
      <c r="F803" s="3" t="s">
        <v>661</v>
      </c>
      <c r="G803" t="s">
        <v>763</v>
      </c>
      <c r="I803" t="e">
        <f>VLOOKUP(C803,[1]Hoja1!$A$2:$N$29,1,0)</f>
        <v>#N/A</v>
      </c>
    </row>
    <row r="804" spans="1:9" hidden="1" x14ac:dyDescent="0.3">
      <c r="A804" s="2">
        <v>45649</v>
      </c>
      <c r="B804" s="3">
        <v>2024003618</v>
      </c>
      <c r="C804" s="3" t="s">
        <v>70</v>
      </c>
      <c r="D804" s="5">
        <v>4750000</v>
      </c>
      <c r="E804" s="3">
        <v>27087475</v>
      </c>
      <c r="F804" s="3" t="s">
        <v>9</v>
      </c>
      <c r="G804" t="s">
        <v>763</v>
      </c>
      <c r="I804" t="e">
        <f>VLOOKUP(C804,[1]Hoja1!$A$2:$N$29,1,0)</f>
        <v>#N/A</v>
      </c>
    </row>
    <row r="805" spans="1:9" hidden="1" x14ac:dyDescent="0.3">
      <c r="A805" s="2">
        <v>45649</v>
      </c>
      <c r="B805" s="3">
        <v>2024003619</v>
      </c>
      <c r="C805" s="3" t="s">
        <v>77</v>
      </c>
      <c r="D805" s="5">
        <v>6000000</v>
      </c>
      <c r="E805" s="3">
        <v>1085320275</v>
      </c>
      <c r="F805" s="3" t="s">
        <v>78</v>
      </c>
      <c r="G805" t="s">
        <v>763</v>
      </c>
      <c r="I805" t="e">
        <f>VLOOKUP(C805,[1]Hoja1!$A$2:$N$29,1,0)</f>
        <v>#N/A</v>
      </c>
    </row>
    <row r="806" spans="1:9" hidden="1" x14ac:dyDescent="0.3">
      <c r="A806" s="2">
        <v>45649</v>
      </c>
      <c r="B806" s="3">
        <v>2024003620</v>
      </c>
      <c r="C806" s="3" t="s">
        <v>343</v>
      </c>
      <c r="D806" s="5">
        <v>2500000</v>
      </c>
      <c r="E806" s="3">
        <v>1233189896</v>
      </c>
      <c r="F806" s="3" t="s">
        <v>344</v>
      </c>
      <c r="G806" t="s">
        <v>763</v>
      </c>
      <c r="I806" t="e">
        <f>VLOOKUP(C806,[1]Hoja1!$A$2:$N$29,1,0)</f>
        <v>#N/A</v>
      </c>
    </row>
    <row r="807" spans="1:9" hidden="1" x14ac:dyDescent="0.3">
      <c r="A807" s="2">
        <v>45649</v>
      </c>
      <c r="B807" s="3">
        <v>2024003621</v>
      </c>
      <c r="C807" s="3" t="s">
        <v>327</v>
      </c>
      <c r="D807" s="5">
        <v>4825000</v>
      </c>
      <c r="E807" s="3">
        <v>1085267184</v>
      </c>
      <c r="F807" s="3" t="s">
        <v>328</v>
      </c>
      <c r="G807" t="s">
        <v>763</v>
      </c>
      <c r="I807" t="e">
        <f>VLOOKUP(C807,[1]Hoja1!$A$2:$N$29,1,0)</f>
        <v>#N/A</v>
      </c>
    </row>
    <row r="808" spans="1:9" hidden="1" x14ac:dyDescent="0.3">
      <c r="A808" s="2">
        <v>45649</v>
      </c>
      <c r="B808" s="3">
        <v>2024003622</v>
      </c>
      <c r="C808" s="3" t="s">
        <v>146</v>
      </c>
      <c r="D808" s="5">
        <v>4750000</v>
      </c>
      <c r="E808" s="3">
        <v>1085303067</v>
      </c>
      <c r="F808" s="3" t="s">
        <v>147</v>
      </c>
      <c r="G808" t="s">
        <v>763</v>
      </c>
      <c r="I808" t="e">
        <f>VLOOKUP(C808,[1]Hoja1!$A$2:$N$29,1,0)</f>
        <v>#N/A</v>
      </c>
    </row>
    <row r="809" spans="1:9" hidden="1" x14ac:dyDescent="0.3">
      <c r="A809" s="2">
        <v>45649</v>
      </c>
      <c r="B809" s="3">
        <v>2024003623</v>
      </c>
      <c r="C809" s="3" t="s">
        <v>288</v>
      </c>
      <c r="D809" s="5">
        <v>7540000</v>
      </c>
      <c r="E809" s="3">
        <v>1085344794</v>
      </c>
      <c r="F809" s="3" t="s">
        <v>289</v>
      </c>
      <c r="G809" t="s">
        <v>763</v>
      </c>
      <c r="I809" t="e">
        <f>VLOOKUP(C809,[1]Hoja1!$A$2:$N$29,1,0)</f>
        <v>#N/A</v>
      </c>
    </row>
    <row r="810" spans="1:9" hidden="1" x14ac:dyDescent="0.3">
      <c r="A810" s="2">
        <v>45649</v>
      </c>
      <c r="B810" s="3">
        <v>2024003624</v>
      </c>
      <c r="C810" s="3" t="s">
        <v>68</v>
      </c>
      <c r="D810" s="5">
        <v>3000000</v>
      </c>
      <c r="E810" s="3">
        <v>1085261053</v>
      </c>
      <c r="F810" s="3" t="s">
        <v>69</v>
      </c>
      <c r="G810" t="s">
        <v>763</v>
      </c>
      <c r="I810" t="e">
        <f>VLOOKUP(C810,[1]Hoja1!$A$2:$N$29,1,0)</f>
        <v>#N/A</v>
      </c>
    </row>
    <row r="811" spans="1:9" hidden="1" x14ac:dyDescent="0.3">
      <c r="A811" s="2">
        <v>45649</v>
      </c>
      <c r="B811" s="3">
        <v>2024003625</v>
      </c>
      <c r="C811" s="3" t="s">
        <v>110</v>
      </c>
      <c r="D811" s="5">
        <v>3000000</v>
      </c>
      <c r="E811" s="3">
        <v>36757522</v>
      </c>
      <c r="F811" s="3" t="s">
        <v>111</v>
      </c>
      <c r="G811" t="s">
        <v>763</v>
      </c>
      <c r="I811" t="e">
        <f>VLOOKUP(C811,[1]Hoja1!$A$2:$N$29,1,0)</f>
        <v>#N/A</v>
      </c>
    </row>
    <row r="812" spans="1:9" hidden="1" x14ac:dyDescent="0.3">
      <c r="A812" s="2">
        <v>45649</v>
      </c>
      <c r="B812" s="3">
        <v>2024003626</v>
      </c>
      <c r="C812" s="3" t="s">
        <v>717</v>
      </c>
      <c r="D812" s="5">
        <v>3000000</v>
      </c>
      <c r="E812" s="3">
        <v>1085346528</v>
      </c>
      <c r="F812" s="3" t="s">
        <v>718</v>
      </c>
      <c r="G812" t="s">
        <v>763</v>
      </c>
      <c r="I812" t="e">
        <f>VLOOKUP(C812,[1]Hoja1!$A$2:$N$29,1,0)</f>
        <v>#N/A</v>
      </c>
    </row>
    <row r="813" spans="1:9" hidden="1" x14ac:dyDescent="0.3">
      <c r="A813" s="2">
        <v>45649</v>
      </c>
      <c r="B813" s="3">
        <v>2024003627</v>
      </c>
      <c r="C813" s="3" t="s">
        <v>359</v>
      </c>
      <c r="D813" s="5">
        <v>7540000</v>
      </c>
      <c r="E813" s="3">
        <v>1193202097</v>
      </c>
      <c r="F813" s="3" t="s">
        <v>360</v>
      </c>
      <c r="G813" t="s">
        <v>763</v>
      </c>
      <c r="I813" t="e">
        <f>VLOOKUP(C813,[1]Hoja1!$A$2:$N$29,1,0)</f>
        <v>#N/A</v>
      </c>
    </row>
    <row r="814" spans="1:9" hidden="1" x14ac:dyDescent="0.3">
      <c r="A814" s="2">
        <v>45649</v>
      </c>
      <c r="B814" s="3">
        <v>2024003628</v>
      </c>
      <c r="C814" s="3" t="s">
        <v>224</v>
      </c>
      <c r="D814" s="5">
        <v>4750000</v>
      </c>
      <c r="E814" s="3">
        <v>1085330309</v>
      </c>
      <c r="F814" s="3" t="s">
        <v>225</v>
      </c>
      <c r="G814" t="s">
        <v>763</v>
      </c>
      <c r="I814" t="e">
        <f>VLOOKUP(C814,[1]Hoja1!$A$2:$N$29,1,0)</f>
        <v>#N/A</v>
      </c>
    </row>
    <row r="815" spans="1:9" hidden="1" x14ac:dyDescent="0.3">
      <c r="A815" s="2">
        <v>45649</v>
      </c>
      <c r="B815" s="3">
        <v>2024003629</v>
      </c>
      <c r="C815" s="3" t="s">
        <v>247</v>
      </c>
      <c r="D815" s="5">
        <v>2500000</v>
      </c>
      <c r="E815" s="3">
        <v>1004535115</v>
      </c>
      <c r="F815" s="3" t="s">
        <v>248</v>
      </c>
      <c r="G815" t="s">
        <v>763</v>
      </c>
      <c r="I815" t="e">
        <f>VLOOKUP(C815,[1]Hoja1!$A$2:$N$29,1,0)</f>
        <v>#N/A</v>
      </c>
    </row>
    <row r="816" spans="1:9" hidden="1" x14ac:dyDescent="0.3">
      <c r="A816" s="2">
        <v>45649</v>
      </c>
      <c r="B816" s="3">
        <v>2024003630</v>
      </c>
      <c r="C816" s="3" t="s">
        <v>315</v>
      </c>
      <c r="D816" s="5">
        <v>2500000</v>
      </c>
      <c r="E816" s="3">
        <v>59821968</v>
      </c>
      <c r="F816" s="3" t="s">
        <v>316</v>
      </c>
      <c r="G816" t="s">
        <v>763</v>
      </c>
      <c r="I816" t="e">
        <f>VLOOKUP(C816,[1]Hoja1!$A$2:$N$29,1,0)</f>
        <v>#N/A</v>
      </c>
    </row>
    <row r="817" spans="1:9" hidden="1" x14ac:dyDescent="0.3">
      <c r="A817" s="2">
        <v>45649</v>
      </c>
      <c r="B817" s="3">
        <v>2024003631</v>
      </c>
      <c r="C817" s="3" t="s">
        <v>126</v>
      </c>
      <c r="D817" s="5">
        <v>4825000</v>
      </c>
      <c r="E817" s="3">
        <v>30732782</v>
      </c>
      <c r="F817" s="3" t="s">
        <v>127</v>
      </c>
      <c r="G817" t="s">
        <v>763</v>
      </c>
      <c r="I817" t="e">
        <f>VLOOKUP(C817,[1]Hoja1!$A$2:$N$29,1,0)</f>
        <v>#N/A</v>
      </c>
    </row>
    <row r="818" spans="1:9" hidden="1" x14ac:dyDescent="0.3">
      <c r="A818" s="2">
        <v>45649</v>
      </c>
      <c r="B818" s="3">
        <v>2024003632</v>
      </c>
      <c r="C818" s="3" t="s">
        <v>464</v>
      </c>
      <c r="D818" s="5">
        <v>2500000</v>
      </c>
      <c r="E818" s="3">
        <v>37082480</v>
      </c>
      <c r="F818" s="3" t="s">
        <v>465</v>
      </c>
      <c r="G818" t="s">
        <v>763</v>
      </c>
      <c r="I818" t="e">
        <f>VLOOKUP(C818,[1]Hoja1!$A$2:$N$29,1,0)</f>
        <v>#N/A</v>
      </c>
    </row>
    <row r="819" spans="1:9" hidden="1" x14ac:dyDescent="0.3">
      <c r="A819" s="2">
        <v>45649</v>
      </c>
      <c r="B819" s="3">
        <v>2024003633</v>
      </c>
      <c r="C819" s="3" t="s">
        <v>347</v>
      </c>
      <c r="D819" s="5">
        <v>3000000</v>
      </c>
      <c r="E819" s="3">
        <v>69028150</v>
      </c>
      <c r="F819" s="3" t="s">
        <v>348</v>
      </c>
      <c r="G819" t="s">
        <v>763</v>
      </c>
      <c r="I819" t="e">
        <f>VLOOKUP(C819,[1]Hoja1!$A$2:$N$29,1,0)</f>
        <v>#N/A</v>
      </c>
    </row>
    <row r="820" spans="1:9" hidden="1" x14ac:dyDescent="0.3">
      <c r="A820" s="2">
        <v>45649</v>
      </c>
      <c r="B820" s="3">
        <v>2024003634</v>
      </c>
      <c r="C820" s="3" t="s">
        <v>323</v>
      </c>
      <c r="D820" s="5">
        <v>2500000</v>
      </c>
      <c r="E820" s="3">
        <v>1085327836</v>
      </c>
      <c r="F820" s="3" t="s">
        <v>324</v>
      </c>
      <c r="G820" t="s">
        <v>763</v>
      </c>
      <c r="I820" t="e">
        <f>VLOOKUP(C820,[1]Hoja1!$A$2:$N$29,1,0)</f>
        <v>#N/A</v>
      </c>
    </row>
    <row r="821" spans="1:9" hidden="1" x14ac:dyDescent="0.3">
      <c r="A821" s="2">
        <v>45649</v>
      </c>
      <c r="B821" s="3">
        <v>2024003635</v>
      </c>
      <c r="C821" s="3" t="s">
        <v>311</v>
      </c>
      <c r="D821" s="5">
        <v>3000000</v>
      </c>
      <c r="E821" s="3">
        <v>36752202</v>
      </c>
      <c r="F821" s="3" t="s">
        <v>312</v>
      </c>
      <c r="G821" t="s">
        <v>763</v>
      </c>
      <c r="I821" t="e">
        <f>VLOOKUP(C821,[1]Hoja1!$A$2:$N$29,1,0)</f>
        <v>#N/A</v>
      </c>
    </row>
    <row r="822" spans="1:9" hidden="1" x14ac:dyDescent="0.3">
      <c r="A822" s="2">
        <v>45649</v>
      </c>
      <c r="B822" s="3">
        <v>2024003636</v>
      </c>
      <c r="C822" s="3" t="s">
        <v>472</v>
      </c>
      <c r="D822" s="5">
        <v>3000000</v>
      </c>
      <c r="E822" s="3">
        <v>1085300095</v>
      </c>
      <c r="F822" s="3" t="s">
        <v>473</v>
      </c>
      <c r="G822" t="s">
        <v>763</v>
      </c>
      <c r="I822" t="e">
        <f>VLOOKUP(C822,[1]Hoja1!$A$2:$N$29,1,0)</f>
        <v>#N/A</v>
      </c>
    </row>
    <row r="823" spans="1:9" hidden="1" x14ac:dyDescent="0.3">
      <c r="A823" s="2">
        <v>45649</v>
      </c>
      <c r="B823" s="3">
        <v>2024003637</v>
      </c>
      <c r="C823" s="3" t="s">
        <v>603</v>
      </c>
      <c r="D823" s="5">
        <v>4825000</v>
      </c>
      <c r="E823" s="3">
        <v>31324345</v>
      </c>
      <c r="F823" s="3" t="s">
        <v>604</v>
      </c>
      <c r="G823" t="s">
        <v>763</v>
      </c>
      <c r="I823" t="e">
        <f>VLOOKUP(C823,[1]Hoja1!$A$2:$N$29,1,0)</f>
        <v>#N/A</v>
      </c>
    </row>
    <row r="824" spans="1:9" hidden="1" x14ac:dyDescent="0.3">
      <c r="A824" s="2">
        <v>45649</v>
      </c>
      <c r="B824" s="3">
        <v>2024003638</v>
      </c>
      <c r="C824" s="3" t="s">
        <v>556</v>
      </c>
      <c r="D824" s="5">
        <v>3000000</v>
      </c>
      <c r="E824" s="3">
        <v>1085260568</v>
      </c>
      <c r="F824" s="3" t="s">
        <v>557</v>
      </c>
      <c r="G824" t="s">
        <v>763</v>
      </c>
      <c r="I824" t="e">
        <f>VLOOKUP(C824,[1]Hoja1!$A$2:$N$29,1,0)</f>
        <v>#N/A</v>
      </c>
    </row>
    <row r="825" spans="1:9" hidden="1" x14ac:dyDescent="0.3">
      <c r="A825" s="2">
        <v>45649</v>
      </c>
      <c r="B825" s="3">
        <v>2024003639</v>
      </c>
      <c r="C825" s="3" t="s">
        <v>668</v>
      </c>
      <c r="D825" s="5">
        <v>4825000</v>
      </c>
      <c r="E825" s="3">
        <v>1080900817</v>
      </c>
      <c r="F825" s="3" t="s">
        <v>669</v>
      </c>
      <c r="G825" t="s">
        <v>763</v>
      </c>
      <c r="I825" t="e">
        <f>VLOOKUP(C825,[1]Hoja1!$A$2:$N$29,1,0)</f>
        <v>#N/A</v>
      </c>
    </row>
    <row r="826" spans="1:9" hidden="1" x14ac:dyDescent="0.3">
      <c r="A826" s="2">
        <v>45650</v>
      </c>
      <c r="B826" s="3">
        <v>2024003640</v>
      </c>
      <c r="C826" s="3" t="s">
        <v>218</v>
      </c>
      <c r="D826" s="5">
        <v>4750000</v>
      </c>
      <c r="E826" s="3">
        <v>36759759</v>
      </c>
      <c r="F826" s="3" t="s">
        <v>219</v>
      </c>
      <c r="G826" t="s">
        <v>763</v>
      </c>
      <c r="I826" t="e">
        <f>VLOOKUP(C826,[1]Hoja1!$A$2:$N$29,1,0)</f>
        <v>#N/A</v>
      </c>
    </row>
    <row r="827" spans="1:9" hidden="1" x14ac:dyDescent="0.3">
      <c r="A827" s="2">
        <v>45650</v>
      </c>
      <c r="B827" s="3">
        <v>2024003641</v>
      </c>
      <c r="C827" s="3" t="s">
        <v>522</v>
      </c>
      <c r="D827" s="5">
        <v>6000000</v>
      </c>
      <c r="E827" s="3">
        <v>1085272491</v>
      </c>
      <c r="F827" s="3" t="s">
        <v>523</v>
      </c>
      <c r="G827" t="s">
        <v>763</v>
      </c>
      <c r="I827" t="e">
        <f>VLOOKUP(C827,[1]Hoja1!$A$2:$N$29,1,0)</f>
        <v>#N/A</v>
      </c>
    </row>
    <row r="828" spans="1:9" hidden="1" x14ac:dyDescent="0.3">
      <c r="A828" s="2">
        <v>45650</v>
      </c>
      <c r="B828" s="3">
        <v>2024003643</v>
      </c>
      <c r="C828" s="3" t="s">
        <v>300</v>
      </c>
      <c r="D828" s="5">
        <v>6000000</v>
      </c>
      <c r="E828" s="3">
        <v>36757221</v>
      </c>
      <c r="F828" s="3" t="s">
        <v>301</v>
      </c>
      <c r="G828" t="s">
        <v>763</v>
      </c>
      <c r="I828" t="e">
        <f>VLOOKUP(C828,[1]Hoja1!$A$2:$N$29,1,0)</f>
        <v>#N/A</v>
      </c>
    </row>
    <row r="829" spans="1:9" hidden="1" x14ac:dyDescent="0.3">
      <c r="A829" s="2">
        <v>45650</v>
      </c>
      <c r="B829" s="3">
        <v>2024003645</v>
      </c>
      <c r="C829" s="3" t="s">
        <v>270</v>
      </c>
      <c r="D829" s="5">
        <v>6000000</v>
      </c>
      <c r="E829" s="3">
        <v>1085248939</v>
      </c>
      <c r="F829" s="3" t="s">
        <v>271</v>
      </c>
      <c r="G829" t="s">
        <v>763</v>
      </c>
      <c r="I829" t="e">
        <f>VLOOKUP(C829,[1]Hoja1!$A$2:$N$29,1,0)</f>
        <v>#N/A</v>
      </c>
    </row>
    <row r="830" spans="1:9" hidden="1" x14ac:dyDescent="0.3">
      <c r="A830" s="2">
        <v>45650</v>
      </c>
      <c r="B830" s="3">
        <v>2024003646</v>
      </c>
      <c r="C830" s="3" t="s">
        <v>226</v>
      </c>
      <c r="D830" s="5">
        <v>4750000</v>
      </c>
      <c r="E830" s="3">
        <v>1087414586</v>
      </c>
      <c r="F830" s="3" t="s">
        <v>227</v>
      </c>
      <c r="G830" t="s">
        <v>763</v>
      </c>
      <c r="I830" t="e">
        <f>VLOOKUP(C830,[1]Hoja1!$A$2:$N$29,1,0)</f>
        <v>#N/A</v>
      </c>
    </row>
    <row r="831" spans="1:9" hidden="1" x14ac:dyDescent="0.3">
      <c r="A831" s="2">
        <v>45650</v>
      </c>
      <c r="B831" s="3">
        <v>2024003647</v>
      </c>
      <c r="C831" s="3" t="s">
        <v>180</v>
      </c>
      <c r="D831" s="5">
        <v>3000000</v>
      </c>
      <c r="E831" s="3">
        <v>59310524</v>
      </c>
      <c r="F831" s="3" t="s">
        <v>639</v>
      </c>
      <c r="G831" t="s">
        <v>763</v>
      </c>
      <c r="I831" t="e">
        <f>VLOOKUP(C831,[1]Hoja1!$A$2:$N$29,1,0)</f>
        <v>#N/A</v>
      </c>
    </row>
    <row r="832" spans="1:9" hidden="1" x14ac:dyDescent="0.3">
      <c r="A832" s="2">
        <v>45650</v>
      </c>
      <c r="B832" s="3">
        <v>2024003648</v>
      </c>
      <c r="C832" s="3" t="s">
        <v>122</v>
      </c>
      <c r="D832" s="5">
        <v>7540000</v>
      </c>
      <c r="E832" s="3">
        <v>1085332934</v>
      </c>
      <c r="F832" s="3" t="s">
        <v>123</v>
      </c>
      <c r="G832" t="s">
        <v>763</v>
      </c>
      <c r="I832" t="e">
        <f>VLOOKUP(C832,[1]Hoja1!$A$2:$N$29,1,0)</f>
        <v>#N/A</v>
      </c>
    </row>
    <row r="833" spans="1:9" hidden="1" x14ac:dyDescent="0.3">
      <c r="A833" s="1">
        <v>45797</v>
      </c>
      <c r="B833">
        <v>2025000755</v>
      </c>
      <c r="C833" t="s">
        <v>10</v>
      </c>
      <c r="D833" s="4">
        <v>80825000</v>
      </c>
      <c r="E833">
        <v>900633448</v>
      </c>
      <c r="F833" t="s">
        <v>11</v>
      </c>
      <c r="G833" t="s">
        <v>763</v>
      </c>
      <c r="I833" t="str">
        <f>VLOOKUP(C833,[1]Hoja1!$A$2:$N$29,1,0)</f>
        <v>292-2025</v>
      </c>
    </row>
    <row r="834" spans="1:9" hidden="1" x14ac:dyDescent="0.3">
      <c r="A834" s="2">
        <v>45650</v>
      </c>
      <c r="B834" s="3">
        <v>2024003651</v>
      </c>
      <c r="C834" s="3" t="s">
        <v>124</v>
      </c>
      <c r="D834" s="5">
        <v>4825000</v>
      </c>
      <c r="E834" s="3">
        <v>12748383</v>
      </c>
      <c r="F834" s="3" t="s">
        <v>125</v>
      </c>
      <c r="G834" t="s">
        <v>763</v>
      </c>
      <c r="I834" t="e">
        <f>VLOOKUP(C834,[1]Hoja1!$A$2:$N$29,1,0)</f>
        <v>#N/A</v>
      </c>
    </row>
    <row r="835" spans="1:9" hidden="1" x14ac:dyDescent="0.3">
      <c r="A835" s="2">
        <v>45650</v>
      </c>
      <c r="B835" s="3">
        <v>2024003652</v>
      </c>
      <c r="C835" s="3" t="s">
        <v>305</v>
      </c>
      <c r="D835" s="5">
        <v>3000000</v>
      </c>
      <c r="E835" s="3">
        <v>1004535234</v>
      </c>
      <c r="F835" s="3" t="s">
        <v>306</v>
      </c>
      <c r="G835" t="s">
        <v>763</v>
      </c>
      <c r="I835" t="e">
        <f>VLOOKUP(C835,[1]Hoja1!$A$2:$N$29,1,0)</f>
        <v>#N/A</v>
      </c>
    </row>
    <row r="836" spans="1:9" hidden="1" x14ac:dyDescent="0.3">
      <c r="A836" s="2">
        <v>45650</v>
      </c>
      <c r="B836" s="3">
        <v>2024003653</v>
      </c>
      <c r="C836" s="3" t="s">
        <v>637</v>
      </c>
      <c r="D836" s="5">
        <v>3000000</v>
      </c>
      <c r="E836" s="3">
        <v>1085283703</v>
      </c>
      <c r="F836" s="3" t="s">
        <v>638</v>
      </c>
      <c r="G836" t="s">
        <v>763</v>
      </c>
      <c r="I836" t="e">
        <f>VLOOKUP(C836,[1]Hoja1!$A$2:$N$29,1,0)</f>
        <v>#N/A</v>
      </c>
    </row>
    <row r="837" spans="1:9" hidden="1" x14ac:dyDescent="0.3">
      <c r="A837" s="2">
        <v>45650</v>
      </c>
      <c r="B837" s="3">
        <v>2024003655</v>
      </c>
      <c r="C837" s="3" t="s">
        <v>160</v>
      </c>
      <c r="D837" s="5">
        <v>4750000</v>
      </c>
      <c r="E837" s="3">
        <v>1087413951</v>
      </c>
      <c r="F837" s="3" t="s">
        <v>161</v>
      </c>
      <c r="G837" t="s">
        <v>763</v>
      </c>
      <c r="I837" t="e">
        <f>VLOOKUP(C837,[1]Hoja1!$A$2:$N$29,1,0)</f>
        <v>#N/A</v>
      </c>
    </row>
    <row r="838" spans="1:9" hidden="1" x14ac:dyDescent="0.3">
      <c r="A838" s="2">
        <v>45650</v>
      </c>
      <c r="B838" s="3">
        <v>2024003656</v>
      </c>
      <c r="C838" s="3" t="s">
        <v>345</v>
      </c>
      <c r="D838" s="5">
        <v>3000000</v>
      </c>
      <c r="E838" s="3">
        <v>1085319295</v>
      </c>
      <c r="F838" s="3" t="s">
        <v>346</v>
      </c>
      <c r="G838" t="s">
        <v>763</v>
      </c>
      <c r="I838" t="e">
        <f>VLOOKUP(C838,[1]Hoja1!$A$2:$N$29,1,0)</f>
        <v>#N/A</v>
      </c>
    </row>
    <row r="839" spans="1:9" hidden="1" x14ac:dyDescent="0.3">
      <c r="A839" s="2">
        <v>45650</v>
      </c>
      <c r="B839" s="3">
        <v>2024003657</v>
      </c>
      <c r="C839" s="3" t="s">
        <v>282</v>
      </c>
      <c r="D839" s="5">
        <v>7540000</v>
      </c>
      <c r="E839" s="3">
        <v>1085345430</v>
      </c>
      <c r="F839" s="3" t="s">
        <v>283</v>
      </c>
      <c r="G839" t="s">
        <v>763</v>
      </c>
      <c r="I839" t="e">
        <f>VLOOKUP(C839,[1]Hoja1!$A$2:$N$29,1,0)</f>
        <v>#N/A</v>
      </c>
    </row>
    <row r="840" spans="1:9" hidden="1" x14ac:dyDescent="0.3">
      <c r="A840" s="2">
        <v>45650</v>
      </c>
      <c r="B840" s="3">
        <v>2024003658</v>
      </c>
      <c r="C840" s="3" t="s">
        <v>640</v>
      </c>
      <c r="D840" s="5">
        <v>3000000</v>
      </c>
      <c r="E840" s="3">
        <v>1004508436</v>
      </c>
      <c r="F840" s="3" t="s">
        <v>641</v>
      </c>
      <c r="G840" t="s">
        <v>763</v>
      </c>
      <c r="I840" t="e">
        <f>VLOOKUP(C840,[1]Hoja1!$A$2:$N$29,1,0)</f>
        <v>#N/A</v>
      </c>
    </row>
    <row r="841" spans="1:9" hidden="1" x14ac:dyDescent="0.3">
      <c r="A841" s="2">
        <v>45650</v>
      </c>
      <c r="B841" s="3">
        <v>2024003659</v>
      </c>
      <c r="C841" s="3" t="s">
        <v>587</v>
      </c>
      <c r="D841" s="5">
        <v>4825000</v>
      </c>
      <c r="E841" s="3">
        <v>1086755334</v>
      </c>
      <c r="F841" s="3" t="s">
        <v>588</v>
      </c>
      <c r="G841" t="s">
        <v>763</v>
      </c>
      <c r="I841" t="e">
        <f>VLOOKUP(C841,[1]Hoja1!$A$2:$N$29,1,0)</f>
        <v>#N/A</v>
      </c>
    </row>
    <row r="842" spans="1:9" hidden="1" x14ac:dyDescent="0.3">
      <c r="A842" s="2">
        <v>45650</v>
      </c>
      <c r="B842" s="3">
        <v>2024003660</v>
      </c>
      <c r="C842" s="3" t="s">
        <v>722</v>
      </c>
      <c r="D842" s="5">
        <v>3000000</v>
      </c>
      <c r="E842" s="3">
        <v>13069881</v>
      </c>
      <c r="F842" s="3" t="s">
        <v>723</v>
      </c>
      <c r="G842" t="s">
        <v>763</v>
      </c>
      <c r="I842" t="e">
        <f>VLOOKUP(C842,[1]Hoja1!$A$2:$N$29,1,0)</f>
        <v>#N/A</v>
      </c>
    </row>
    <row r="843" spans="1:9" hidden="1" x14ac:dyDescent="0.3">
      <c r="A843" s="2">
        <v>45650</v>
      </c>
      <c r="B843" s="3">
        <v>2024003661</v>
      </c>
      <c r="C843" s="3" t="s">
        <v>524</v>
      </c>
      <c r="D843" s="5">
        <v>4825000</v>
      </c>
      <c r="E843" s="3">
        <v>59310622</v>
      </c>
      <c r="F843" s="3" t="s">
        <v>525</v>
      </c>
      <c r="G843" t="s">
        <v>763</v>
      </c>
      <c r="I843" t="e">
        <f>VLOOKUP(C843,[1]Hoja1!$A$2:$N$29,1,0)</f>
        <v>#N/A</v>
      </c>
    </row>
    <row r="844" spans="1:9" hidden="1" x14ac:dyDescent="0.3">
      <c r="A844" s="2">
        <v>45650</v>
      </c>
      <c r="B844" s="3">
        <v>2024003662</v>
      </c>
      <c r="C844" s="3" t="s">
        <v>572</v>
      </c>
      <c r="D844" s="5">
        <v>7540000</v>
      </c>
      <c r="E844" s="3">
        <v>1085296958</v>
      </c>
      <c r="F844" s="3" t="s">
        <v>573</v>
      </c>
      <c r="G844" t="s">
        <v>763</v>
      </c>
      <c r="I844" t="e">
        <f>VLOOKUP(C844,[1]Hoja1!$A$2:$N$29,1,0)</f>
        <v>#N/A</v>
      </c>
    </row>
    <row r="845" spans="1:9" hidden="1" x14ac:dyDescent="0.3">
      <c r="A845" s="2">
        <v>45650</v>
      </c>
      <c r="B845" s="3">
        <v>2024003663</v>
      </c>
      <c r="C845" s="3" t="s">
        <v>284</v>
      </c>
      <c r="D845" s="5">
        <v>7540000</v>
      </c>
      <c r="E845" s="3">
        <v>1085293105</v>
      </c>
      <c r="F845" s="3" t="s">
        <v>285</v>
      </c>
      <c r="G845" t="s">
        <v>763</v>
      </c>
      <c r="I845" t="e">
        <f>VLOOKUP(C845,[1]Hoja1!$A$2:$N$29,1,0)</f>
        <v>#N/A</v>
      </c>
    </row>
    <row r="846" spans="1:9" hidden="1" x14ac:dyDescent="0.3">
      <c r="A846" s="2">
        <v>45650</v>
      </c>
      <c r="B846" s="3">
        <v>2024003664</v>
      </c>
      <c r="C846" s="3" t="s">
        <v>272</v>
      </c>
      <c r="D846" s="5">
        <v>3000000</v>
      </c>
      <c r="E846" s="3">
        <v>1004726758</v>
      </c>
      <c r="F846" s="3" t="s">
        <v>273</v>
      </c>
      <c r="G846" t="s">
        <v>763</v>
      </c>
      <c r="I846" t="e">
        <f>VLOOKUP(C846,[1]Hoja1!$A$2:$N$29,1,0)</f>
        <v>#N/A</v>
      </c>
    </row>
    <row r="847" spans="1:9" hidden="1" x14ac:dyDescent="0.3">
      <c r="A847" s="2">
        <v>45650</v>
      </c>
      <c r="B847" s="3">
        <v>2024003665</v>
      </c>
      <c r="C847" s="3" t="s">
        <v>664</v>
      </c>
      <c r="D847" s="5">
        <v>4825000</v>
      </c>
      <c r="E847" s="3">
        <v>1085289539</v>
      </c>
      <c r="F847" s="3" t="s">
        <v>665</v>
      </c>
      <c r="G847" t="s">
        <v>763</v>
      </c>
      <c r="I847" t="e">
        <f>VLOOKUP(C847,[1]Hoja1!$A$2:$N$29,1,0)</f>
        <v>#N/A</v>
      </c>
    </row>
    <row r="848" spans="1:9" hidden="1" x14ac:dyDescent="0.3">
      <c r="A848" s="2">
        <v>45650</v>
      </c>
      <c r="B848" s="3">
        <v>2024003666</v>
      </c>
      <c r="C848" s="3" t="s">
        <v>75</v>
      </c>
      <c r="D848" s="5">
        <v>6000000</v>
      </c>
      <c r="E848" s="3">
        <v>1082748420</v>
      </c>
      <c r="F848" s="3" t="s">
        <v>76</v>
      </c>
      <c r="G848" t="s">
        <v>763</v>
      </c>
      <c r="I848" t="e">
        <f>VLOOKUP(C848,[1]Hoja1!$A$2:$N$29,1,0)</f>
        <v>#N/A</v>
      </c>
    </row>
    <row r="849" spans="1:9" hidden="1" x14ac:dyDescent="0.3">
      <c r="A849" s="2">
        <v>45650</v>
      </c>
      <c r="B849" s="3">
        <v>2024003667</v>
      </c>
      <c r="C849" s="3" t="s">
        <v>584</v>
      </c>
      <c r="D849" s="5">
        <v>3000000</v>
      </c>
      <c r="E849" s="3">
        <v>59813323</v>
      </c>
      <c r="F849" s="3" t="s">
        <v>18</v>
      </c>
      <c r="G849" t="s">
        <v>763</v>
      </c>
      <c r="I849" t="e">
        <f>VLOOKUP(C849,[1]Hoja1!$A$2:$N$29,1,0)</f>
        <v>#N/A</v>
      </c>
    </row>
    <row r="850" spans="1:9" x14ac:dyDescent="0.3">
      <c r="A850" s="1">
        <v>45847</v>
      </c>
      <c r="B850">
        <v>2025001198</v>
      </c>
      <c r="C850" t="s">
        <v>10</v>
      </c>
      <c r="D850" s="4">
        <v>82375000</v>
      </c>
      <c r="E850">
        <v>900633448</v>
      </c>
      <c r="F850" t="s">
        <v>11</v>
      </c>
      <c r="G850" t="s">
        <v>763</v>
      </c>
      <c r="H850" t="s">
        <v>765</v>
      </c>
      <c r="I850" t="str">
        <f>VLOOKUP(C850,[1]Hoja1!$A$2:$N$29,1,0)</f>
        <v>292-2025</v>
      </c>
    </row>
    <row r="851" spans="1:9" hidden="1" x14ac:dyDescent="0.3">
      <c r="A851" s="2">
        <v>45650</v>
      </c>
      <c r="B851" s="3">
        <v>2024003669</v>
      </c>
      <c r="C851" s="3" t="s">
        <v>719</v>
      </c>
      <c r="D851" s="5">
        <v>3000000</v>
      </c>
      <c r="E851" s="3">
        <v>1004437571</v>
      </c>
      <c r="F851" s="3" t="s">
        <v>22</v>
      </c>
      <c r="G851" t="s">
        <v>763</v>
      </c>
      <c r="I851" t="e">
        <f>VLOOKUP(C851,[1]Hoja1!$A$2:$N$29,1,0)</f>
        <v>#N/A</v>
      </c>
    </row>
    <row r="852" spans="1:9" hidden="1" x14ac:dyDescent="0.3">
      <c r="A852" s="2">
        <v>45650</v>
      </c>
      <c r="B852" s="3">
        <v>2024003670</v>
      </c>
      <c r="C852" s="3" t="s">
        <v>174</v>
      </c>
      <c r="D852" s="5">
        <v>3000000</v>
      </c>
      <c r="E852" s="3">
        <v>1085290651</v>
      </c>
      <c r="F852" s="3" t="s">
        <v>175</v>
      </c>
      <c r="G852" t="s">
        <v>763</v>
      </c>
      <c r="I852" t="e">
        <f>VLOOKUP(C852,[1]Hoja1!$A$2:$N$29,1,0)</f>
        <v>#N/A</v>
      </c>
    </row>
    <row r="853" spans="1:9" hidden="1" x14ac:dyDescent="0.3">
      <c r="A853" s="2">
        <v>45650</v>
      </c>
      <c r="B853" s="3">
        <v>2024003671</v>
      </c>
      <c r="C853" s="3" t="s">
        <v>249</v>
      </c>
      <c r="D853" s="5">
        <v>3000000</v>
      </c>
      <c r="E853" s="3">
        <v>1086329609</v>
      </c>
      <c r="F853" s="3" t="s">
        <v>250</v>
      </c>
      <c r="G853" t="s">
        <v>763</v>
      </c>
      <c r="I853" t="e">
        <f>VLOOKUP(C853,[1]Hoja1!$A$2:$N$29,1,0)</f>
        <v>#N/A</v>
      </c>
    </row>
    <row r="854" spans="1:9" hidden="1" x14ac:dyDescent="0.3">
      <c r="A854" s="2">
        <v>45650</v>
      </c>
      <c r="B854" s="3">
        <v>2024003672</v>
      </c>
      <c r="C854" s="3" t="s">
        <v>156</v>
      </c>
      <c r="D854" s="5">
        <v>6000000</v>
      </c>
      <c r="E854" s="3">
        <v>1193223736</v>
      </c>
      <c r="F854" s="3" t="s">
        <v>157</v>
      </c>
      <c r="G854" t="s">
        <v>763</v>
      </c>
      <c r="I854" t="e">
        <f>VLOOKUP(C854,[1]Hoja1!$A$2:$N$29,1,0)</f>
        <v>#N/A</v>
      </c>
    </row>
    <row r="855" spans="1:9" hidden="1" x14ac:dyDescent="0.3">
      <c r="A855" s="2">
        <v>45650</v>
      </c>
      <c r="B855" s="3">
        <v>2024003673</v>
      </c>
      <c r="C855" s="3" t="s">
        <v>292</v>
      </c>
      <c r="D855" s="5">
        <v>4750000</v>
      </c>
      <c r="E855" s="3">
        <v>1233192618</v>
      </c>
      <c r="F855" s="3" t="s">
        <v>293</v>
      </c>
      <c r="G855" t="s">
        <v>763</v>
      </c>
      <c r="I855" t="e">
        <f>VLOOKUP(C855,[1]Hoja1!$A$2:$N$29,1,0)</f>
        <v>#N/A</v>
      </c>
    </row>
    <row r="856" spans="1:9" hidden="1" x14ac:dyDescent="0.3">
      <c r="A856" s="2">
        <v>45650</v>
      </c>
      <c r="B856" s="3">
        <v>2024003674</v>
      </c>
      <c r="C856" s="3" t="s">
        <v>697</v>
      </c>
      <c r="D856" s="5">
        <v>4750000</v>
      </c>
      <c r="E856" s="3">
        <v>1087422930</v>
      </c>
      <c r="F856" s="3" t="s">
        <v>698</v>
      </c>
      <c r="G856" t="s">
        <v>763</v>
      </c>
      <c r="I856" t="e">
        <f>VLOOKUP(C856,[1]Hoja1!$A$2:$N$29,1,0)</f>
        <v>#N/A</v>
      </c>
    </row>
    <row r="857" spans="1:9" hidden="1" x14ac:dyDescent="0.3">
      <c r="A857" s="2">
        <v>45650</v>
      </c>
      <c r="B857" s="3">
        <v>2024003675</v>
      </c>
      <c r="C857" s="3" t="s">
        <v>701</v>
      </c>
      <c r="D857" s="5">
        <v>3000000</v>
      </c>
      <c r="E857" s="3">
        <v>1088733625</v>
      </c>
      <c r="F857" s="3" t="s">
        <v>702</v>
      </c>
      <c r="G857" t="s">
        <v>763</v>
      </c>
      <c r="I857" t="e">
        <f>VLOOKUP(C857,[1]Hoja1!$A$2:$N$29,1,0)</f>
        <v>#N/A</v>
      </c>
    </row>
    <row r="858" spans="1:9" hidden="1" x14ac:dyDescent="0.3">
      <c r="A858" s="2">
        <v>45650</v>
      </c>
      <c r="B858" s="3">
        <v>2024003676</v>
      </c>
      <c r="C858" s="3" t="s">
        <v>610</v>
      </c>
      <c r="D858" s="5">
        <v>7540000</v>
      </c>
      <c r="E858" s="3">
        <v>1085291725</v>
      </c>
      <c r="F858" s="3" t="s">
        <v>611</v>
      </c>
      <c r="G858" t="s">
        <v>763</v>
      </c>
      <c r="I858" t="e">
        <f>VLOOKUP(C858,[1]Hoja1!$A$2:$N$29,1,0)</f>
        <v>#N/A</v>
      </c>
    </row>
    <row r="859" spans="1:9" hidden="1" x14ac:dyDescent="0.3">
      <c r="A859" s="2">
        <v>45650</v>
      </c>
      <c r="B859" s="3">
        <v>2024003677</v>
      </c>
      <c r="C859" s="3" t="s">
        <v>494</v>
      </c>
      <c r="D859" s="5">
        <v>4825000</v>
      </c>
      <c r="E859" s="3">
        <v>59314451</v>
      </c>
      <c r="F859" s="3" t="s">
        <v>495</v>
      </c>
      <c r="G859" t="s">
        <v>763</v>
      </c>
      <c r="I859" t="e">
        <f>VLOOKUP(C859,[1]Hoja1!$A$2:$N$29,1,0)</f>
        <v>#N/A</v>
      </c>
    </row>
    <row r="860" spans="1:9" hidden="1" x14ac:dyDescent="0.3">
      <c r="A860" s="2">
        <v>45650</v>
      </c>
      <c r="B860" s="3">
        <v>2024003678</v>
      </c>
      <c r="C860" s="3" t="s">
        <v>235</v>
      </c>
      <c r="D860" s="5">
        <v>4750000</v>
      </c>
      <c r="E860" s="3">
        <v>59824313</v>
      </c>
      <c r="F860" s="3" t="s">
        <v>236</v>
      </c>
      <c r="G860" t="s">
        <v>763</v>
      </c>
      <c r="I860" t="e">
        <f>VLOOKUP(C860,[1]Hoja1!$A$2:$N$29,1,0)</f>
        <v>#N/A</v>
      </c>
    </row>
    <row r="861" spans="1:9" hidden="1" x14ac:dyDescent="0.3">
      <c r="A861" s="2">
        <v>45650</v>
      </c>
      <c r="B861" s="3">
        <v>2024003679</v>
      </c>
      <c r="C861" s="3" t="s">
        <v>97</v>
      </c>
      <c r="D861" s="5">
        <v>3000000</v>
      </c>
      <c r="E861" s="3">
        <v>1004635031</v>
      </c>
      <c r="F861" s="3" t="s">
        <v>98</v>
      </c>
      <c r="G861" t="s">
        <v>763</v>
      </c>
      <c r="I861" t="e">
        <f>VLOOKUP(C861,[1]Hoja1!$A$2:$N$29,1,0)</f>
        <v>#N/A</v>
      </c>
    </row>
    <row r="862" spans="1:9" hidden="1" x14ac:dyDescent="0.3">
      <c r="A862" s="2">
        <v>45650</v>
      </c>
      <c r="B862" s="3">
        <v>2024003680</v>
      </c>
      <c r="C862" s="3" t="s">
        <v>546</v>
      </c>
      <c r="D862" s="5">
        <v>2500000</v>
      </c>
      <c r="E862" s="3">
        <v>1085338135</v>
      </c>
      <c r="F862" s="3" t="s">
        <v>547</v>
      </c>
      <c r="G862" t="s">
        <v>763</v>
      </c>
      <c r="I862" t="e">
        <f>VLOOKUP(C862,[1]Hoja1!$A$2:$N$29,1,0)</f>
        <v>#N/A</v>
      </c>
    </row>
    <row r="863" spans="1:9" hidden="1" x14ac:dyDescent="0.3">
      <c r="A863" s="2">
        <v>45650</v>
      </c>
      <c r="B863" s="3">
        <v>2024003681</v>
      </c>
      <c r="C863" s="3" t="s">
        <v>182</v>
      </c>
      <c r="D863" s="5">
        <v>6000000</v>
      </c>
      <c r="E863" s="3">
        <v>1089242085</v>
      </c>
      <c r="F863" s="3" t="s">
        <v>183</v>
      </c>
      <c r="G863" t="s">
        <v>763</v>
      </c>
      <c r="I863" t="e">
        <f>VLOOKUP(C863,[1]Hoja1!$A$2:$N$29,1,0)</f>
        <v>#N/A</v>
      </c>
    </row>
    <row r="864" spans="1:9" hidden="1" x14ac:dyDescent="0.3">
      <c r="A864" s="2">
        <v>45650</v>
      </c>
      <c r="B864" s="3">
        <v>2024003682</v>
      </c>
      <c r="C864" s="3" t="s">
        <v>339</v>
      </c>
      <c r="D864" s="5">
        <v>4825000</v>
      </c>
      <c r="E864" s="3">
        <v>1085311814</v>
      </c>
      <c r="F864" s="3" t="s">
        <v>340</v>
      </c>
      <c r="G864" t="s">
        <v>763</v>
      </c>
      <c r="I864" t="e">
        <f>VLOOKUP(C864,[1]Hoja1!$A$2:$N$29,1,0)</f>
        <v>#N/A</v>
      </c>
    </row>
    <row r="865" spans="1:9" hidden="1" x14ac:dyDescent="0.3">
      <c r="A865" s="2">
        <v>45650</v>
      </c>
      <c r="B865" s="3">
        <v>2024003683</v>
      </c>
      <c r="C865" s="3" t="s">
        <v>585</v>
      </c>
      <c r="D865" s="5">
        <v>4825000</v>
      </c>
      <c r="E865" s="3">
        <v>1085332406</v>
      </c>
      <c r="F865" s="3" t="s">
        <v>586</v>
      </c>
      <c r="G865" t="s">
        <v>763</v>
      </c>
      <c r="I865" t="e">
        <f>VLOOKUP(C865,[1]Hoja1!$A$2:$N$29,1,0)</f>
        <v>#N/A</v>
      </c>
    </row>
    <row r="866" spans="1:9" hidden="1" x14ac:dyDescent="0.3">
      <c r="A866" s="2">
        <v>45650</v>
      </c>
      <c r="B866" s="3">
        <v>2024003684</v>
      </c>
      <c r="C866" s="3" t="s">
        <v>739</v>
      </c>
      <c r="D866" s="5">
        <v>3000000</v>
      </c>
      <c r="E866" s="3">
        <v>1193273142</v>
      </c>
      <c r="F866" s="3" t="s">
        <v>740</v>
      </c>
      <c r="G866" t="s">
        <v>763</v>
      </c>
      <c r="I866" t="e">
        <f>VLOOKUP(C866,[1]Hoja1!$A$2:$N$29,1,0)</f>
        <v>#N/A</v>
      </c>
    </row>
    <row r="867" spans="1:9" hidden="1" x14ac:dyDescent="0.3">
      <c r="A867" s="2">
        <v>45650</v>
      </c>
      <c r="B867" s="3">
        <v>2024003685</v>
      </c>
      <c r="C867" s="3" t="s">
        <v>233</v>
      </c>
      <c r="D867" s="5">
        <v>3000000</v>
      </c>
      <c r="E867" s="3">
        <v>1086328142</v>
      </c>
      <c r="F867" s="3" t="s">
        <v>234</v>
      </c>
      <c r="G867" t="s">
        <v>763</v>
      </c>
      <c r="I867" t="e">
        <f>VLOOKUP(C867,[1]Hoja1!$A$2:$N$29,1,0)</f>
        <v>#N/A</v>
      </c>
    </row>
    <row r="868" spans="1:9" hidden="1" x14ac:dyDescent="0.3">
      <c r="A868" s="2">
        <v>45650</v>
      </c>
      <c r="B868" s="3">
        <v>2024003686</v>
      </c>
      <c r="C868" s="3" t="s">
        <v>267</v>
      </c>
      <c r="D868" s="5">
        <v>4750000</v>
      </c>
      <c r="E868" s="3">
        <v>1085343783</v>
      </c>
      <c r="F868" s="3" t="s">
        <v>268</v>
      </c>
      <c r="G868" t="s">
        <v>763</v>
      </c>
      <c r="I868" t="e">
        <f>VLOOKUP(C868,[1]Hoja1!$A$2:$N$29,1,0)</f>
        <v>#N/A</v>
      </c>
    </row>
    <row r="869" spans="1:9" hidden="1" x14ac:dyDescent="0.3">
      <c r="A869" s="2">
        <v>45650</v>
      </c>
      <c r="B869" s="3">
        <v>2024003687</v>
      </c>
      <c r="C869" s="3" t="s">
        <v>440</v>
      </c>
      <c r="D869" s="5">
        <v>4825000</v>
      </c>
      <c r="E869" s="3">
        <v>1085321578</v>
      </c>
      <c r="F869" s="3" t="s">
        <v>441</v>
      </c>
      <c r="G869" t="s">
        <v>763</v>
      </c>
      <c r="I869" t="e">
        <f>VLOOKUP(C869,[1]Hoja1!$A$2:$N$29,1,0)</f>
        <v>#N/A</v>
      </c>
    </row>
    <row r="870" spans="1:9" hidden="1" x14ac:dyDescent="0.3">
      <c r="A870" s="2">
        <v>45650</v>
      </c>
      <c r="B870" s="3">
        <v>2024003688</v>
      </c>
      <c r="C870" s="3" t="s">
        <v>253</v>
      </c>
      <c r="D870" s="5">
        <v>4825000</v>
      </c>
      <c r="E870" s="3">
        <v>27088141</v>
      </c>
      <c r="F870" s="3" t="s">
        <v>254</v>
      </c>
      <c r="G870" t="s">
        <v>763</v>
      </c>
      <c r="I870" t="e">
        <f>VLOOKUP(C870,[1]Hoja1!$A$2:$N$29,1,0)</f>
        <v>#N/A</v>
      </c>
    </row>
    <row r="871" spans="1:9" hidden="1" x14ac:dyDescent="0.3">
      <c r="A871" s="2">
        <v>45650</v>
      </c>
      <c r="B871" s="3">
        <v>2024003689</v>
      </c>
      <c r="C871" s="3" t="s">
        <v>265</v>
      </c>
      <c r="D871" s="5">
        <v>3000000</v>
      </c>
      <c r="E871" s="3">
        <v>1085327677</v>
      </c>
      <c r="F871" s="3" t="s">
        <v>266</v>
      </c>
      <c r="G871" t="s">
        <v>763</v>
      </c>
      <c r="I871" t="e">
        <f>VLOOKUP(C871,[1]Hoja1!$A$2:$N$29,1,0)</f>
        <v>#N/A</v>
      </c>
    </row>
    <row r="872" spans="1:9" x14ac:dyDescent="0.3">
      <c r="A872" s="1">
        <v>45805</v>
      </c>
      <c r="B872">
        <v>2025000793</v>
      </c>
      <c r="C872" t="s">
        <v>16</v>
      </c>
      <c r="D872" s="4">
        <v>53823767</v>
      </c>
      <c r="E872">
        <v>900994364</v>
      </c>
      <c r="F872" t="s">
        <v>15</v>
      </c>
      <c r="G872" t="s">
        <v>763</v>
      </c>
      <c r="H872" t="s">
        <v>765</v>
      </c>
      <c r="I872" t="str">
        <f>VLOOKUP(C872,[1]Hoja1!$A$2:$N$29,1,0)</f>
        <v>260-2025</v>
      </c>
    </row>
    <row r="873" spans="1:9" hidden="1" x14ac:dyDescent="0.3">
      <c r="A873" s="2">
        <v>45650</v>
      </c>
      <c r="B873" s="3">
        <v>2024003691</v>
      </c>
      <c r="C873" s="3" t="s">
        <v>597</v>
      </c>
      <c r="D873" s="5">
        <v>7540000</v>
      </c>
      <c r="E873" s="3">
        <v>1085251158</v>
      </c>
      <c r="F873" s="3" t="s">
        <v>598</v>
      </c>
      <c r="G873" t="s">
        <v>763</v>
      </c>
      <c r="I873" t="e">
        <f>VLOOKUP(C873,[1]Hoja1!$A$2:$N$29,1,0)</f>
        <v>#N/A</v>
      </c>
    </row>
    <row r="874" spans="1:9" hidden="1" x14ac:dyDescent="0.3">
      <c r="A874" s="2">
        <v>45650</v>
      </c>
      <c r="B874" s="3">
        <v>2024003692</v>
      </c>
      <c r="C874" s="3" t="s">
        <v>560</v>
      </c>
      <c r="D874" s="5">
        <v>3000000</v>
      </c>
      <c r="E874" s="3">
        <v>1193218691</v>
      </c>
      <c r="F874" s="3" t="s">
        <v>561</v>
      </c>
      <c r="G874" t="s">
        <v>763</v>
      </c>
      <c r="I874" t="e">
        <f>VLOOKUP(C874,[1]Hoja1!$A$2:$N$29,1,0)</f>
        <v>#N/A</v>
      </c>
    </row>
    <row r="875" spans="1:9" hidden="1" x14ac:dyDescent="0.3">
      <c r="A875" s="2">
        <v>45650</v>
      </c>
      <c r="B875" s="3">
        <v>2024003693</v>
      </c>
      <c r="C875" s="3" t="s">
        <v>237</v>
      </c>
      <c r="D875" s="5">
        <v>3000000</v>
      </c>
      <c r="E875" s="3">
        <v>1085318688</v>
      </c>
      <c r="F875" s="3" t="s">
        <v>238</v>
      </c>
      <c r="G875" t="s">
        <v>763</v>
      </c>
      <c r="I875" t="e">
        <f>VLOOKUP(C875,[1]Hoja1!$A$2:$N$29,1,0)</f>
        <v>#N/A</v>
      </c>
    </row>
    <row r="876" spans="1:9" hidden="1" x14ac:dyDescent="0.3">
      <c r="A876" s="2">
        <v>45650</v>
      </c>
      <c r="B876" s="3">
        <v>2024003694</v>
      </c>
      <c r="C876" s="3" t="s">
        <v>540</v>
      </c>
      <c r="D876" s="5">
        <v>6000000</v>
      </c>
      <c r="E876" s="3">
        <v>1004131723</v>
      </c>
      <c r="F876" s="3" t="s">
        <v>541</v>
      </c>
      <c r="G876" t="s">
        <v>763</v>
      </c>
      <c r="I876" t="e">
        <f>VLOOKUP(C876,[1]Hoja1!$A$2:$N$29,1,0)</f>
        <v>#N/A</v>
      </c>
    </row>
    <row r="877" spans="1:9" hidden="1" x14ac:dyDescent="0.3">
      <c r="A877" s="2">
        <v>45650</v>
      </c>
      <c r="B877" s="3">
        <v>2024003695</v>
      </c>
      <c r="C877" s="3" t="s">
        <v>514</v>
      </c>
      <c r="D877" s="5">
        <v>7540000</v>
      </c>
      <c r="E877" s="3">
        <v>1233193882</v>
      </c>
      <c r="F877" s="3" t="s">
        <v>515</v>
      </c>
      <c r="G877" t="s">
        <v>763</v>
      </c>
      <c r="I877" t="e">
        <f>VLOOKUP(C877,[1]Hoja1!$A$2:$N$29,1,0)</f>
        <v>#N/A</v>
      </c>
    </row>
    <row r="878" spans="1:9" hidden="1" x14ac:dyDescent="0.3">
      <c r="A878" s="2">
        <v>45650</v>
      </c>
      <c r="B878" s="3">
        <v>2024003696</v>
      </c>
      <c r="C878" s="3" t="s">
        <v>239</v>
      </c>
      <c r="D878" s="5">
        <v>3000000</v>
      </c>
      <c r="E878" s="3">
        <v>1085339190</v>
      </c>
      <c r="F878" s="3" t="s">
        <v>240</v>
      </c>
      <c r="G878" t="s">
        <v>763</v>
      </c>
      <c r="I878" t="e">
        <f>VLOOKUP(C878,[1]Hoja1!$A$2:$N$29,1,0)</f>
        <v>#N/A</v>
      </c>
    </row>
    <row r="879" spans="1:9" hidden="1" x14ac:dyDescent="0.3">
      <c r="A879" s="2">
        <v>45650</v>
      </c>
      <c r="B879" s="3">
        <v>2024003697</v>
      </c>
      <c r="C879" s="3" t="s">
        <v>383</v>
      </c>
      <c r="D879" s="5">
        <v>3000000</v>
      </c>
      <c r="E879" s="3">
        <v>1085330237</v>
      </c>
      <c r="F879" s="3" t="s">
        <v>384</v>
      </c>
      <c r="G879" t="s">
        <v>763</v>
      </c>
      <c r="I879" t="e">
        <f>VLOOKUP(C879,[1]Hoja1!$A$2:$N$29,1,0)</f>
        <v>#N/A</v>
      </c>
    </row>
    <row r="880" spans="1:9" hidden="1" x14ac:dyDescent="0.3">
      <c r="A880" s="2">
        <v>45650</v>
      </c>
      <c r="B880" s="3">
        <v>2024003699</v>
      </c>
      <c r="C880" s="3" t="s">
        <v>444</v>
      </c>
      <c r="D880" s="5">
        <v>4825000</v>
      </c>
      <c r="E880" s="3">
        <v>1085269530</v>
      </c>
      <c r="F880" s="3" t="s">
        <v>445</v>
      </c>
      <c r="G880" t="s">
        <v>763</v>
      </c>
      <c r="I880" t="e">
        <f>VLOOKUP(C880,[1]Hoja1!$A$2:$N$29,1,0)</f>
        <v>#N/A</v>
      </c>
    </row>
    <row r="881" spans="1:9" hidden="1" x14ac:dyDescent="0.3">
      <c r="A881" s="2">
        <v>45650</v>
      </c>
      <c r="B881" s="3">
        <v>2024003701</v>
      </c>
      <c r="C881" s="3" t="s">
        <v>622</v>
      </c>
      <c r="D881" s="5">
        <v>2500000</v>
      </c>
      <c r="E881" s="3">
        <v>1085268450</v>
      </c>
      <c r="F881" s="3" t="s">
        <v>623</v>
      </c>
      <c r="G881" t="s">
        <v>763</v>
      </c>
      <c r="I881" t="e">
        <f>VLOOKUP(C881,[1]Hoja1!$A$2:$N$29,1,0)</f>
        <v>#N/A</v>
      </c>
    </row>
    <row r="882" spans="1:9" hidden="1" x14ac:dyDescent="0.3">
      <c r="A882" s="2">
        <v>45650</v>
      </c>
      <c r="B882" s="3">
        <v>2024003702</v>
      </c>
      <c r="C882" s="3" t="s">
        <v>628</v>
      </c>
      <c r="D882" s="5">
        <v>6000000</v>
      </c>
      <c r="E882" s="3">
        <v>1233193716</v>
      </c>
      <c r="F882" s="3" t="s">
        <v>42</v>
      </c>
      <c r="G882" t="s">
        <v>763</v>
      </c>
      <c r="I882" t="e">
        <f>VLOOKUP(C882,[1]Hoja1!$A$2:$N$29,1,0)</f>
        <v>#N/A</v>
      </c>
    </row>
    <row r="883" spans="1:9" hidden="1" x14ac:dyDescent="0.3">
      <c r="A883" s="2">
        <v>45650</v>
      </c>
      <c r="B883" s="3">
        <v>2024003703</v>
      </c>
      <c r="C883" s="3" t="s">
        <v>614</v>
      </c>
      <c r="D883" s="5">
        <v>7540000</v>
      </c>
      <c r="E883" s="3">
        <v>1085327344</v>
      </c>
      <c r="F883" s="3" t="s">
        <v>615</v>
      </c>
      <c r="G883" t="s">
        <v>763</v>
      </c>
      <c r="I883" t="e">
        <f>VLOOKUP(C883,[1]Hoja1!$A$2:$N$29,1,0)</f>
        <v>#N/A</v>
      </c>
    </row>
    <row r="884" spans="1:9" hidden="1" x14ac:dyDescent="0.3">
      <c r="A884" s="2">
        <v>45650</v>
      </c>
      <c r="B884" s="3">
        <v>2024003704</v>
      </c>
      <c r="C884" s="3" t="s">
        <v>741</v>
      </c>
      <c r="D884" s="5">
        <v>195005000</v>
      </c>
      <c r="E884" s="3">
        <v>900994364</v>
      </c>
      <c r="F884" s="3" t="s">
        <v>15</v>
      </c>
      <c r="G884" t="s">
        <v>763</v>
      </c>
      <c r="I884" t="e">
        <f>VLOOKUP(C884,[1]Hoja1!$A$2:$N$29,1,0)</f>
        <v>#N/A</v>
      </c>
    </row>
    <row r="885" spans="1:9" hidden="1" x14ac:dyDescent="0.3">
      <c r="A885" s="2">
        <v>45650</v>
      </c>
      <c r="B885" s="3">
        <v>2024003705</v>
      </c>
      <c r="C885" s="3" t="s">
        <v>309</v>
      </c>
      <c r="D885" s="5">
        <v>2500000</v>
      </c>
      <c r="E885" s="3">
        <v>36757715</v>
      </c>
      <c r="F885" s="3" t="s">
        <v>310</v>
      </c>
      <c r="G885" t="s">
        <v>763</v>
      </c>
      <c r="I885" t="e">
        <f>VLOOKUP(C885,[1]Hoja1!$A$2:$N$29,1,0)</f>
        <v>#N/A</v>
      </c>
    </row>
    <row r="886" spans="1:9" hidden="1" x14ac:dyDescent="0.3">
      <c r="A886" s="2">
        <v>45650</v>
      </c>
      <c r="B886" s="3">
        <v>2024003706</v>
      </c>
      <c r="C886" s="3" t="s">
        <v>742</v>
      </c>
      <c r="D886" s="5">
        <v>2500000</v>
      </c>
      <c r="E886" s="3">
        <v>37083937</v>
      </c>
      <c r="F886" s="3" t="s">
        <v>743</v>
      </c>
      <c r="G886" t="s">
        <v>763</v>
      </c>
      <c r="I886" t="e">
        <f>VLOOKUP(C886,[1]Hoja1!$A$2:$N$29,1,0)</f>
        <v>#N/A</v>
      </c>
    </row>
    <row r="887" spans="1:9" hidden="1" x14ac:dyDescent="0.3">
      <c r="A887" s="2">
        <v>45650</v>
      </c>
      <c r="B887" s="3">
        <v>2024003707</v>
      </c>
      <c r="C887" s="3" t="s">
        <v>255</v>
      </c>
      <c r="D887" s="5">
        <v>2500000</v>
      </c>
      <c r="E887" s="3">
        <v>1085314075</v>
      </c>
      <c r="F887" s="3" t="s">
        <v>256</v>
      </c>
      <c r="G887" t="s">
        <v>763</v>
      </c>
      <c r="I887" t="e">
        <f>VLOOKUP(C887,[1]Hoja1!$A$2:$N$29,1,0)</f>
        <v>#N/A</v>
      </c>
    </row>
    <row r="888" spans="1:9" hidden="1" x14ac:dyDescent="0.3">
      <c r="A888" s="2">
        <v>45650</v>
      </c>
      <c r="B888" s="3">
        <v>2024003708</v>
      </c>
      <c r="C888" s="3" t="s">
        <v>720</v>
      </c>
      <c r="D888" s="5">
        <v>4750000</v>
      </c>
      <c r="E888" s="3">
        <v>1085245714</v>
      </c>
      <c r="F888" s="3" t="s">
        <v>721</v>
      </c>
      <c r="G888" t="s">
        <v>763</v>
      </c>
      <c r="I888" t="e">
        <f>VLOOKUP(C888,[1]Hoja1!$A$2:$N$29,1,0)</f>
        <v>#N/A</v>
      </c>
    </row>
    <row r="889" spans="1:9" hidden="1" x14ac:dyDescent="0.3">
      <c r="A889" s="2">
        <v>45650</v>
      </c>
      <c r="B889" s="3">
        <v>2024003709</v>
      </c>
      <c r="C889" s="3" t="s">
        <v>243</v>
      </c>
      <c r="D889" s="5">
        <v>2500000</v>
      </c>
      <c r="E889" s="3">
        <v>27094521</v>
      </c>
      <c r="F889" s="3" t="s">
        <v>244</v>
      </c>
      <c r="G889" t="s">
        <v>763</v>
      </c>
      <c r="I889" t="e">
        <f>VLOOKUP(C889,[1]Hoja1!$A$2:$N$29,1,0)</f>
        <v>#N/A</v>
      </c>
    </row>
    <row r="890" spans="1:9" hidden="1" x14ac:dyDescent="0.3">
      <c r="A890" s="2">
        <v>45650</v>
      </c>
      <c r="B890" s="3">
        <v>2024003711</v>
      </c>
      <c r="C890" s="3" t="s">
        <v>363</v>
      </c>
      <c r="D890" s="5">
        <v>3000000</v>
      </c>
      <c r="E890" s="3">
        <v>59311295</v>
      </c>
      <c r="F890" s="3" t="s">
        <v>364</v>
      </c>
      <c r="G890" t="s">
        <v>763</v>
      </c>
      <c r="I890" t="e">
        <f>VLOOKUP(C890,[1]Hoja1!$A$2:$N$29,1,0)</f>
        <v>#N/A</v>
      </c>
    </row>
    <row r="891" spans="1:9" hidden="1" x14ac:dyDescent="0.3">
      <c r="A891" s="2">
        <v>45650</v>
      </c>
      <c r="B891" s="3">
        <v>2024003712</v>
      </c>
      <c r="C891" s="3" t="s">
        <v>486</v>
      </c>
      <c r="D891" s="5">
        <v>7540000</v>
      </c>
      <c r="E891" s="3">
        <v>12961407</v>
      </c>
      <c r="F891" s="3" t="s">
        <v>487</v>
      </c>
      <c r="G891" t="s">
        <v>763</v>
      </c>
      <c r="I891" t="e">
        <f>VLOOKUP(C891,[1]Hoja1!$A$2:$N$29,1,0)</f>
        <v>#N/A</v>
      </c>
    </row>
    <row r="892" spans="1:9" hidden="1" x14ac:dyDescent="0.3">
      <c r="A892" s="2">
        <v>45650</v>
      </c>
      <c r="B892" s="3">
        <v>2024003713</v>
      </c>
      <c r="C892" s="3" t="s">
        <v>622</v>
      </c>
      <c r="D892" s="5">
        <v>2500000</v>
      </c>
      <c r="E892" s="3">
        <v>1085268450</v>
      </c>
      <c r="F892" s="3" t="s">
        <v>623</v>
      </c>
      <c r="G892" t="s">
        <v>763</v>
      </c>
      <c r="I892" t="e">
        <f>VLOOKUP(C892,[1]Hoja1!$A$2:$N$29,1,0)</f>
        <v>#N/A</v>
      </c>
    </row>
    <row r="893" spans="1:9" hidden="1" x14ac:dyDescent="0.3">
      <c r="A893" s="2">
        <v>45650</v>
      </c>
      <c r="B893" s="3">
        <v>2024003715</v>
      </c>
      <c r="C893" s="3" t="s">
        <v>518</v>
      </c>
      <c r="D893" s="5">
        <v>3000000</v>
      </c>
      <c r="E893" s="3">
        <v>13070330</v>
      </c>
      <c r="F893" s="3" t="s">
        <v>519</v>
      </c>
      <c r="G893" t="s">
        <v>763</v>
      </c>
      <c r="I893" t="e">
        <f>VLOOKUP(C893,[1]Hoja1!$A$2:$N$29,1,0)</f>
        <v>#N/A</v>
      </c>
    </row>
    <row r="894" spans="1:9" hidden="1" x14ac:dyDescent="0.3">
      <c r="A894" s="2">
        <v>45650</v>
      </c>
      <c r="B894" s="3">
        <v>2024003716</v>
      </c>
      <c r="C894" s="3" t="s">
        <v>251</v>
      </c>
      <c r="D894" s="5">
        <v>3000000</v>
      </c>
      <c r="E894" s="3">
        <v>1080046034</v>
      </c>
      <c r="F894" s="3" t="s">
        <v>252</v>
      </c>
      <c r="G894" t="s">
        <v>763</v>
      </c>
      <c r="I894" t="e">
        <f>VLOOKUP(C894,[1]Hoja1!$A$2:$N$29,1,0)</f>
        <v>#N/A</v>
      </c>
    </row>
    <row r="895" spans="1:9" hidden="1" x14ac:dyDescent="0.3">
      <c r="A895" s="2">
        <v>45650</v>
      </c>
      <c r="B895" s="3">
        <v>2024003717</v>
      </c>
      <c r="C895" s="3" t="s">
        <v>371</v>
      </c>
      <c r="D895" s="5">
        <v>2500000</v>
      </c>
      <c r="E895" s="3">
        <v>12994466</v>
      </c>
      <c r="F895" s="3" t="s">
        <v>372</v>
      </c>
      <c r="G895" t="s">
        <v>763</v>
      </c>
      <c r="I895" t="e">
        <f>VLOOKUP(C895,[1]Hoja1!$A$2:$N$29,1,0)</f>
        <v>#N/A</v>
      </c>
    </row>
    <row r="896" spans="1:9" hidden="1" x14ac:dyDescent="0.3">
      <c r="A896" s="2">
        <v>45650</v>
      </c>
      <c r="B896" s="3">
        <v>2024003718</v>
      </c>
      <c r="C896" s="3" t="s">
        <v>349</v>
      </c>
      <c r="D896" s="5">
        <v>4750000</v>
      </c>
      <c r="E896" s="3">
        <v>1085324546</v>
      </c>
      <c r="F896" s="3" t="s">
        <v>350</v>
      </c>
      <c r="G896" t="s">
        <v>763</v>
      </c>
      <c r="I896" t="e">
        <f>VLOOKUP(C896,[1]Hoja1!$A$2:$N$29,1,0)</f>
        <v>#N/A</v>
      </c>
    </row>
    <row r="897" spans="1:9" hidden="1" x14ac:dyDescent="0.3">
      <c r="A897" s="2">
        <v>45650</v>
      </c>
      <c r="B897" s="3">
        <v>2024003719</v>
      </c>
      <c r="C897" s="3" t="s">
        <v>633</v>
      </c>
      <c r="D897" s="5">
        <v>3000000</v>
      </c>
      <c r="E897" s="3">
        <v>1086222977</v>
      </c>
      <c r="F897" s="3" t="s">
        <v>634</v>
      </c>
      <c r="G897" t="s">
        <v>763</v>
      </c>
      <c r="I897" t="e">
        <f>VLOOKUP(C897,[1]Hoja1!$A$2:$N$29,1,0)</f>
        <v>#N/A</v>
      </c>
    </row>
    <row r="898" spans="1:9" hidden="1" x14ac:dyDescent="0.3">
      <c r="A898" s="2">
        <v>45650</v>
      </c>
      <c r="B898" s="3">
        <v>2024003720</v>
      </c>
      <c r="C898" s="3" t="s">
        <v>294</v>
      </c>
      <c r="D898" s="5">
        <v>7540000</v>
      </c>
      <c r="E898" s="3">
        <v>1233189066</v>
      </c>
      <c r="F898" s="3" t="s">
        <v>295</v>
      </c>
      <c r="G898" t="s">
        <v>763</v>
      </c>
      <c r="I898" t="e">
        <f>VLOOKUP(C898,[1]Hoja1!$A$2:$N$29,1,0)</f>
        <v>#N/A</v>
      </c>
    </row>
    <row r="899" spans="1:9" hidden="1" x14ac:dyDescent="0.3">
      <c r="A899" s="2">
        <v>45650</v>
      </c>
      <c r="B899" s="3">
        <v>2024003721</v>
      </c>
      <c r="C899" s="3" t="s">
        <v>526</v>
      </c>
      <c r="D899" s="5">
        <v>4750000</v>
      </c>
      <c r="E899" s="3">
        <v>1085325342</v>
      </c>
      <c r="F899" s="3" t="s">
        <v>527</v>
      </c>
      <c r="G899" t="s">
        <v>763</v>
      </c>
      <c r="I899" t="e">
        <f>VLOOKUP(C899,[1]Hoja1!$A$2:$N$29,1,0)</f>
        <v>#N/A</v>
      </c>
    </row>
    <row r="900" spans="1:9" hidden="1" x14ac:dyDescent="0.3">
      <c r="A900" s="2">
        <v>45650</v>
      </c>
      <c r="B900" s="3">
        <v>2024003723</v>
      </c>
      <c r="C900" s="3" t="s">
        <v>526</v>
      </c>
      <c r="D900" s="5">
        <v>4750000</v>
      </c>
      <c r="E900" s="3">
        <v>1085325342</v>
      </c>
      <c r="F900" s="3" t="s">
        <v>527</v>
      </c>
      <c r="G900" t="s">
        <v>763</v>
      </c>
      <c r="I900" t="e">
        <f>VLOOKUP(C900,[1]Hoja1!$A$2:$N$29,1,0)</f>
        <v>#N/A</v>
      </c>
    </row>
    <row r="901" spans="1:9" hidden="1" x14ac:dyDescent="0.3">
      <c r="A901" s="2">
        <v>45650</v>
      </c>
      <c r="B901" s="3">
        <v>2024003724</v>
      </c>
      <c r="C901" s="3" t="s">
        <v>520</v>
      </c>
      <c r="D901" s="5">
        <v>6000000</v>
      </c>
      <c r="E901" s="3">
        <v>97470681</v>
      </c>
      <c r="F901" s="3" t="s">
        <v>521</v>
      </c>
      <c r="G901" t="s">
        <v>763</v>
      </c>
      <c r="I901" t="e">
        <f>VLOOKUP(C901,[1]Hoja1!$A$2:$N$29,1,0)</f>
        <v>#N/A</v>
      </c>
    </row>
    <row r="902" spans="1:9" hidden="1" x14ac:dyDescent="0.3">
      <c r="A902" s="2">
        <v>45650</v>
      </c>
      <c r="B902" s="3">
        <v>2024003725</v>
      </c>
      <c r="C902" s="3" t="s">
        <v>635</v>
      </c>
      <c r="D902" s="5">
        <v>3000000</v>
      </c>
      <c r="E902" s="3">
        <v>1085255829</v>
      </c>
      <c r="F902" s="3" t="s">
        <v>636</v>
      </c>
      <c r="G902" t="s">
        <v>763</v>
      </c>
      <c r="I902" t="e">
        <f>VLOOKUP(C902,[1]Hoja1!$A$2:$N$29,1,0)</f>
        <v>#N/A</v>
      </c>
    </row>
    <row r="903" spans="1:9" hidden="1" x14ac:dyDescent="0.3">
      <c r="A903" s="2">
        <v>45650</v>
      </c>
      <c r="B903" s="3">
        <v>2024003726</v>
      </c>
      <c r="C903" s="3" t="s">
        <v>269</v>
      </c>
      <c r="D903" s="5">
        <v>6000000</v>
      </c>
      <c r="E903" s="3">
        <v>36954410</v>
      </c>
      <c r="F903" s="3" t="s">
        <v>36</v>
      </c>
      <c r="G903" t="s">
        <v>763</v>
      </c>
      <c r="I903" t="e">
        <f>VLOOKUP(C903,[1]Hoja1!$A$2:$N$29,1,0)</f>
        <v>#N/A</v>
      </c>
    </row>
    <row r="904" spans="1:9" hidden="1" x14ac:dyDescent="0.3">
      <c r="A904" s="2">
        <v>45650</v>
      </c>
      <c r="B904" s="3">
        <v>2024003732</v>
      </c>
      <c r="C904" s="3" t="s">
        <v>208</v>
      </c>
      <c r="D904" s="5">
        <v>2500000</v>
      </c>
      <c r="E904" s="3">
        <v>36753698</v>
      </c>
      <c r="F904" s="3" t="s">
        <v>209</v>
      </c>
      <c r="G904" t="s">
        <v>763</v>
      </c>
      <c r="I904" t="e">
        <f>VLOOKUP(C904,[1]Hoja1!$A$2:$N$29,1,0)</f>
        <v>#N/A</v>
      </c>
    </row>
    <row r="905" spans="1:9" hidden="1" x14ac:dyDescent="0.3">
      <c r="A905" s="2">
        <v>45650</v>
      </c>
      <c r="B905" s="3">
        <v>2024003733</v>
      </c>
      <c r="C905" s="3" t="s">
        <v>2</v>
      </c>
      <c r="D905" s="5">
        <v>3000000</v>
      </c>
      <c r="E905" s="3">
        <v>1193035720</v>
      </c>
      <c r="F905" s="3" t="s">
        <v>3</v>
      </c>
      <c r="G905" t="s">
        <v>763</v>
      </c>
      <c r="I905" t="e">
        <f>VLOOKUP(C905,[1]Hoja1!$A$2:$N$29,1,0)</f>
        <v>#N/A</v>
      </c>
    </row>
    <row r="906" spans="1:9" hidden="1" x14ac:dyDescent="0.3">
      <c r="A906" s="2">
        <v>45650</v>
      </c>
      <c r="B906" s="3">
        <v>2024003735</v>
      </c>
      <c r="C906" s="3" t="s">
        <v>357</v>
      </c>
      <c r="D906" s="5">
        <v>6000000</v>
      </c>
      <c r="E906" s="3">
        <v>59588823</v>
      </c>
      <c r="F906" s="3" t="s">
        <v>358</v>
      </c>
      <c r="G906" t="s">
        <v>763</v>
      </c>
      <c r="I906" t="e">
        <f>VLOOKUP(C906,[1]Hoja1!$A$2:$N$29,1,0)</f>
        <v>#N/A</v>
      </c>
    </row>
    <row r="907" spans="1:9" hidden="1" x14ac:dyDescent="0.3">
      <c r="A907" s="2">
        <v>45650</v>
      </c>
      <c r="B907" s="3">
        <v>2024003736</v>
      </c>
      <c r="C907" s="3" t="s">
        <v>570</v>
      </c>
      <c r="D907" s="5">
        <v>3000000</v>
      </c>
      <c r="E907" s="3">
        <v>1085322676</v>
      </c>
      <c r="F907" s="3" t="s">
        <v>571</v>
      </c>
      <c r="G907" t="s">
        <v>763</v>
      </c>
      <c r="I907" t="e">
        <f>VLOOKUP(C907,[1]Hoja1!$A$2:$N$29,1,0)</f>
        <v>#N/A</v>
      </c>
    </row>
    <row r="908" spans="1:9" hidden="1" x14ac:dyDescent="0.3">
      <c r="A908" s="2">
        <v>45650</v>
      </c>
      <c r="B908" s="3">
        <v>2024003737</v>
      </c>
      <c r="C908" s="3" t="s">
        <v>662</v>
      </c>
      <c r="D908" s="5">
        <v>3000000</v>
      </c>
      <c r="E908" s="3">
        <v>1004131976</v>
      </c>
      <c r="F908" s="3" t="s">
        <v>663</v>
      </c>
      <c r="G908" t="s">
        <v>763</v>
      </c>
      <c r="I908" t="e">
        <f>VLOOKUP(C908,[1]Hoja1!$A$2:$N$29,1,0)</f>
        <v>#N/A</v>
      </c>
    </row>
    <row r="909" spans="1:9" hidden="1" x14ac:dyDescent="0.3">
      <c r="A909" s="2">
        <v>45650</v>
      </c>
      <c r="B909" s="3">
        <v>2024003738</v>
      </c>
      <c r="C909" s="3" t="s">
        <v>222</v>
      </c>
      <c r="D909" s="5">
        <v>3000000</v>
      </c>
      <c r="E909" s="3">
        <v>1085269090</v>
      </c>
      <c r="F909" s="3" t="s">
        <v>223</v>
      </c>
      <c r="G909" t="s">
        <v>763</v>
      </c>
      <c r="I909" t="e">
        <f>VLOOKUP(C909,[1]Hoja1!$A$2:$N$29,1,0)</f>
        <v>#N/A</v>
      </c>
    </row>
    <row r="910" spans="1:9" hidden="1" x14ac:dyDescent="0.3">
      <c r="A910" s="2">
        <v>45650</v>
      </c>
      <c r="B910" s="3">
        <v>2024003739</v>
      </c>
      <c r="C910" s="3" t="s">
        <v>542</v>
      </c>
      <c r="D910" s="5">
        <v>7540000</v>
      </c>
      <c r="E910" s="3">
        <v>1085312978</v>
      </c>
      <c r="F910" s="3" t="s">
        <v>543</v>
      </c>
      <c r="G910" t="s">
        <v>763</v>
      </c>
      <c r="I910" t="e">
        <f>VLOOKUP(C910,[1]Hoja1!$A$2:$N$29,1,0)</f>
        <v>#N/A</v>
      </c>
    </row>
    <row r="911" spans="1:9" hidden="1" x14ac:dyDescent="0.3">
      <c r="A911" s="2">
        <v>45650</v>
      </c>
      <c r="B911" s="3">
        <v>2024003740</v>
      </c>
      <c r="C911" s="3" t="s">
        <v>341</v>
      </c>
      <c r="D911" s="5">
        <v>3000000</v>
      </c>
      <c r="E911" s="3">
        <v>59833899</v>
      </c>
      <c r="F911" s="3" t="s">
        <v>342</v>
      </c>
      <c r="G911" t="s">
        <v>763</v>
      </c>
      <c r="I911" t="e">
        <f>VLOOKUP(C911,[1]Hoja1!$A$2:$N$29,1,0)</f>
        <v>#N/A</v>
      </c>
    </row>
    <row r="912" spans="1:9" hidden="1" x14ac:dyDescent="0.3">
      <c r="A912" s="2">
        <v>45650</v>
      </c>
      <c r="B912" s="3">
        <v>2024003741</v>
      </c>
      <c r="C912" s="3" t="s">
        <v>550</v>
      </c>
      <c r="D912" s="5">
        <v>4750000</v>
      </c>
      <c r="E912" s="3">
        <v>1018492767</v>
      </c>
      <c r="F912" s="3" t="s">
        <v>551</v>
      </c>
      <c r="G912" t="s">
        <v>763</v>
      </c>
      <c r="I912" t="e">
        <f>VLOOKUP(C912,[1]Hoja1!$A$2:$N$29,1,0)</f>
        <v>#N/A</v>
      </c>
    </row>
    <row r="913" spans="1:9" hidden="1" x14ac:dyDescent="0.3">
      <c r="A913" s="2">
        <v>45650</v>
      </c>
      <c r="B913" s="3">
        <v>2024003742</v>
      </c>
      <c r="C913" s="3" t="s">
        <v>192</v>
      </c>
      <c r="D913" s="5">
        <v>2500000</v>
      </c>
      <c r="E913" s="3">
        <v>1081595853</v>
      </c>
      <c r="F913" s="3" t="s">
        <v>193</v>
      </c>
      <c r="G913" t="s">
        <v>763</v>
      </c>
      <c r="I913" t="e">
        <f>VLOOKUP(C913,[1]Hoja1!$A$2:$N$29,1,0)</f>
        <v>#N/A</v>
      </c>
    </row>
    <row r="914" spans="1:9" hidden="1" x14ac:dyDescent="0.3">
      <c r="A914" s="2">
        <v>45650</v>
      </c>
      <c r="B914" s="3">
        <v>2024003743</v>
      </c>
      <c r="C914" s="3" t="s">
        <v>428</v>
      </c>
      <c r="D914" s="5">
        <v>3000000</v>
      </c>
      <c r="E914" s="3">
        <v>1081276146</v>
      </c>
      <c r="F914" s="3" t="s">
        <v>429</v>
      </c>
      <c r="G914" t="s">
        <v>763</v>
      </c>
      <c r="I914" t="e">
        <f>VLOOKUP(C914,[1]Hoja1!$A$2:$N$29,1,0)</f>
        <v>#N/A</v>
      </c>
    </row>
    <row r="915" spans="1:9" hidden="1" x14ac:dyDescent="0.3">
      <c r="A915" s="2">
        <v>45650</v>
      </c>
      <c r="B915" s="3">
        <v>2024003744</v>
      </c>
      <c r="C915" s="3" t="s">
        <v>83</v>
      </c>
      <c r="D915" s="5">
        <v>4750000</v>
      </c>
      <c r="E915" s="3">
        <v>1085260497</v>
      </c>
      <c r="F915" s="3" t="s">
        <v>84</v>
      </c>
      <c r="G915" t="s">
        <v>763</v>
      </c>
      <c r="I915" t="e">
        <f>VLOOKUP(C915,[1]Hoja1!$A$2:$N$29,1,0)</f>
        <v>#N/A</v>
      </c>
    </row>
    <row r="916" spans="1:9" hidden="1" x14ac:dyDescent="0.3">
      <c r="A916" s="2">
        <v>45650</v>
      </c>
      <c r="B916" s="3">
        <v>2024003745</v>
      </c>
      <c r="C916" s="3" t="s">
        <v>319</v>
      </c>
      <c r="D916" s="5">
        <v>3000000</v>
      </c>
      <c r="E916" s="3">
        <v>59314601</v>
      </c>
      <c r="F916" s="3" t="s">
        <v>320</v>
      </c>
      <c r="G916" t="s">
        <v>763</v>
      </c>
      <c r="I916" t="e">
        <f>VLOOKUP(C916,[1]Hoja1!$A$2:$N$29,1,0)</f>
        <v>#N/A</v>
      </c>
    </row>
    <row r="917" spans="1:9" hidden="1" x14ac:dyDescent="0.3">
      <c r="A917" s="2">
        <v>45650</v>
      </c>
      <c r="B917" s="3">
        <v>2024003746</v>
      </c>
      <c r="C917" s="3" t="s">
        <v>580</v>
      </c>
      <c r="D917" s="5">
        <v>7540000</v>
      </c>
      <c r="E917" s="3">
        <v>79800150</v>
      </c>
      <c r="F917" s="3" t="s">
        <v>581</v>
      </c>
      <c r="G917" t="s">
        <v>763</v>
      </c>
      <c r="I917" t="e">
        <f>VLOOKUP(C917,[1]Hoja1!$A$2:$N$29,1,0)</f>
        <v>#N/A</v>
      </c>
    </row>
    <row r="918" spans="1:9" hidden="1" x14ac:dyDescent="0.3">
      <c r="A918" s="2">
        <v>45650</v>
      </c>
      <c r="B918" s="3">
        <v>2024003747</v>
      </c>
      <c r="C918" s="3" t="s">
        <v>683</v>
      </c>
      <c r="D918" s="5">
        <v>2500000</v>
      </c>
      <c r="E918" s="3">
        <v>12996869</v>
      </c>
      <c r="F918" s="3" t="s">
        <v>684</v>
      </c>
      <c r="G918" t="s">
        <v>763</v>
      </c>
      <c r="I918" t="e">
        <f>VLOOKUP(C918,[1]Hoja1!$A$2:$N$29,1,0)</f>
        <v>#N/A</v>
      </c>
    </row>
    <row r="919" spans="1:9" hidden="1" x14ac:dyDescent="0.3">
      <c r="A919" s="2">
        <v>45650</v>
      </c>
      <c r="B919" s="3">
        <v>2024003748</v>
      </c>
      <c r="C919" s="3" t="s">
        <v>91</v>
      </c>
      <c r="D919" s="5">
        <v>3000000</v>
      </c>
      <c r="E919" s="3">
        <v>1085271641</v>
      </c>
      <c r="F919" s="3" t="s">
        <v>92</v>
      </c>
      <c r="G919" t="s">
        <v>763</v>
      </c>
      <c r="I919" t="e">
        <f>VLOOKUP(C919,[1]Hoja1!$A$2:$N$29,1,0)</f>
        <v>#N/A</v>
      </c>
    </row>
    <row r="920" spans="1:9" hidden="1" x14ac:dyDescent="0.3">
      <c r="A920" s="2">
        <v>45650</v>
      </c>
      <c r="B920" s="3">
        <v>2024003749</v>
      </c>
      <c r="C920" s="3" t="s">
        <v>677</v>
      </c>
      <c r="D920" s="5">
        <v>2500000</v>
      </c>
      <c r="E920" s="3">
        <v>36757507</v>
      </c>
      <c r="F920" s="3" t="s">
        <v>678</v>
      </c>
      <c r="G920" t="s">
        <v>763</v>
      </c>
      <c r="I920" t="e">
        <f>VLOOKUP(C920,[1]Hoja1!$A$2:$N$29,1,0)</f>
        <v>#N/A</v>
      </c>
    </row>
    <row r="921" spans="1:9" hidden="1" x14ac:dyDescent="0.3">
      <c r="A921" s="2">
        <v>45650</v>
      </c>
      <c r="B921" s="3">
        <v>2024003750</v>
      </c>
      <c r="C921" s="3" t="s">
        <v>744</v>
      </c>
      <c r="D921" s="5">
        <v>4825000</v>
      </c>
      <c r="E921" s="3">
        <v>1122783646</v>
      </c>
      <c r="F921" s="3" t="s">
        <v>745</v>
      </c>
      <c r="G921" t="s">
        <v>763</v>
      </c>
      <c r="I921" t="e">
        <f>VLOOKUP(C921,[1]Hoja1!$A$2:$N$29,1,0)</f>
        <v>#N/A</v>
      </c>
    </row>
    <row r="922" spans="1:9" hidden="1" x14ac:dyDescent="0.3">
      <c r="A922" s="2">
        <v>45650</v>
      </c>
      <c r="B922" s="3">
        <v>2024003751</v>
      </c>
      <c r="C922" s="3" t="s">
        <v>703</v>
      </c>
      <c r="D922" s="5">
        <v>4825000</v>
      </c>
      <c r="E922" s="3">
        <v>12983807</v>
      </c>
      <c r="F922" s="3" t="s">
        <v>704</v>
      </c>
      <c r="G922" t="s">
        <v>763</v>
      </c>
      <c r="I922" t="e">
        <f>VLOOKUP(C922,[1]Hoja1!$A$2:$N$29,1,0)</f>
        <v>#N/A</v>
      </c>
    </row>
    <row r="923" spans="1:9" hidden="1" x14ac:dyDescent="0.3">
      <c r="A923" s="2">
        <v>45650</v>
      </c>
      <c r="B923" s="3">
        <v>2024003752</v>
      </c>
      <c r="C923" s="3" t="s">
        <v>355</v>
      </c>
      <c r="D923" s="5">
        <v>7540000</v>
      </c>
      <c r="E923" s="3">
        <v>1085329980</v>
      </c>
      <c r="F923" s="3" t="s">
        <v>356</v>
      </c>
      <c r="G923" t="s">
        <v>763</v>
      </c>
      <c r="I923" t="e">
        <f>VLOOKUP(C923,[1]Hoja1!$A$2:$N$29,1,0)</f>
        <v>#N/A</v>
      </c>
    </row>
    <row r="924" spans="1:9" hidden="1" x14ac:dyDescent="0.3">
      <c r="A924" s="2">
        <v>45650</v>
      </c>
      <c r="B924" s="3">
        <v>2024003753</v>
      </c>
      <c r="C924" s="3" t="s">
        <v>506</v>
      </c>
      <c r="D924" s="5">
        <v>3000000</v>
      </c>
      <c r="E924" s="3">
        <v>5930737</v>
      </c>
      <c r="F924" s="3" t="s">
        <v>507</v>
      </c>
      <c r="G924" t="s">
        <v>763</v>
      </c>
      <c r="I924" t="e">
        <f>VLOOKUP(C924,[1]Hoja1!$A$2:$N$29,1,0)</f>
        <v>#N/A</v>
      </c>
    </row>
    <row r="925" spans="1:9" hidden="1" x14ac:dyDescent="0.3">
      <c r="A925" s="2">
        <v>45650</v>
      </c>
      <c r="B925" s="3">
        <v>2024003754</v>
      </c>
      <c r="C925" s="3" t="s">
        <v>744</v>
      </c>
      <c r="D925" s="5">
        <v>4825000</v>
      </c>
      <c r="E925" s="3">
        <v>1122783646</v>
      </c>
      <c r="F925" s="3" t="s">
        <v>745</v>
      </c>
      <c r="G925" t="s">
        <v>763</v>
      </c>
      <c r="I925" t="e">
        <f>VLOOKUP(C925,[1]Hoja1!$A$2:$N$29,1,0)</f>
        <v>#N/A</v>
      </c>
    </row>
    <row r="926" spans="1:9" hidden="1" x14ac:dyDescent="0.3">
      <c r="A926" s="2">
        <v>45650</v>
      </c>
      <c r="B926" s="3">
        <v>2024003755</v>
      </c>
      <c r="C926" s="3" t="s">
        <v>430</v>
      </c>
      <c r="D926" s="5">
        <v>2500000</v>
      </c>
      <c r="E926" s="3">
        <v>27309586</v>
      </c>
      <c r="F926" s="3" t="s">
        <v>431</v>
      </c>
      <c r="G926" t="s">
        <v>763</v>
      </c>
      <c r="I926" t="e">
        <f>VLOOKUP(C926,[1]Hoja1!$A$2:$N$29,1,0)</f>
        <v>#N/A</v>
      </c>
    </row>
    <row r="927" spans="1:9" hidden="1" x14ac:dyDescent="0.3">
      <c r="A927" s="2">
        <v>45650</v>
      </c>
      <c r="B927" s="3">
        <v>2024003756</v>
      </c>
      <c r="C927" s="3" t="s">
        <v>746</v>
      </c>
      <c r="D927" s="5">
        <v>6000000</v>
      </c>
      <c r="E927" s="3">
        <v>1085277976</v>
      </c>
      <c r="F927" s="3" t="s">
        <v>747</v>
      </c>
      <c r="G927" t="s">
        <v>763</v>
      </c>
      <c r="I927" t="e">
        <f>VLOOKUP(C927,[1]Hoja1!$A$2:$N$29,1,0)</f>
        <v>#N/A</v>
      </c>
    </row>
    <row r="928" spans="1:9" hidden="1" x14ac:dyDescent="0.3">
      <c r="A928" s="2">
        <v>45650</v>
      </c>
      <c r="B928" s="3">
        <v>2024003757</v>
      </c>
      <c r="C928" s="3" t="s">
        <v>532</v>
      </c>
      <c r="D928" s="5">
        <v>3000000</v>
      </c>
      <c r="E928" s="3">
        <v>1080043348</v>
      </c>
      <c r="F928" s="3" t="s">
        <v>533</v>
      </c>
      <c r="G928" t="s">
        <v>763</v>
      </c>
      <c r="I928" t="e">
        <f>VLOOKUP(C928,[1]Hoja1!$A$2:$N$29,1,0)</f>
        <v>#N/A</v>
      </c>
    </row>
    <row r="929" spans="1:9" hidden="1" x14ac:dyDescent="0.3">
      <c r="A929" s="2">
        <v>45650</v>
      </c>
      <c r="B929" s="3">
        <v>2024003758</v>
      </c>
      <c r="C929" s="3" t="s">
        <v>424</v>
      </c>
      <c r="D929" s="5">
        <v>3000000</v>
      </c>
      <c r="E929" s="3">
        <v>59311233</v>
      </c>
      <c r="F929" s="3" t="s">
        <v>425</v>
      </c>
      <c r="G929" t="s">
        <v>763</v>
      </c>
      <c r="I929" t="e">
        <f>VLOOKUP(C929,[1]Hoja1!$A$2:$N$29,1,0)</f>
        <v>#N/A</v>
      </c>
    </row>
    <row r="930" spans="1:9" hidden="1" x14ac:dyDescent="0.3">
      <c r="A930" s="2">
        <v>45650</v>
      </c>
      <c r="B930" s="3">
        <v>2024003759</v>
      </c>
      <c r="C930" s="3" t="s">
        <v>62</v>
      </c>
      <c r="D930" s="5">
        <v>3000000</v>
      </c>
      <c r="E930" s="3">
        <v>1085331508</v>
      </c>
      <c r="F930" s="3" t="s">
        <v>63</v>
      </c>
      <c r="G930" t="s">
        <v>763</v>
      </c>
      <c r="I930" t="e">
        <f>VLOOKUP(C930,[1]Hoja1!$A$2:$N$29,1,0)</f>
        <v>#N/A</v>
      </c>
    </row>
    <row r="931" spans="1:9" hidden="1" x14ac:dyDescent="0.3">
      <c r="A931" s="2">
        <v>45650</v>
      </c>
      <c r="B931" s="3">
        <v>2024003760</v>
      </c>
      <c r="C931" s="3" t="s">
        <v>395</v>
      </c>
      <c r="D931" s="5">
        <v>6000000</v>
      </c>
      <c r="E931" s="3">
        <v>59836926</v>
      </c>
      <c r="F931" s="3" t="s">
        <v>396</v>
      </c>
      <c r="G931" t="s">
        <v>763</v>
      </c>
      <c r="I931" t="e">
        <f>VLOOKUP(C931,[1]Hoja1!$A$2:$N$29,1,0)</f>
        <v>#N/A</v>
      </c>
    </row>
    <row r="932" spans="1:9" hidden="1" x14ac:dyDescent="0.3">
      <c r="A932" s="2">
        <v>45650</v>
      </c>
      <c r="B932" s="3">
        <v>2024003761</v>
      </c>
      <c r="C932" s="3" t="s">
        <v>114</v>
      </c>
      <c r="D932" s="5">
        <v>2500000</v>
      </c>
      <c r="E932" s="3">
        <v>1085251468</v>
      </c>
      <c r="F932" s="3" t="s">
        <v>115</v>
      </c>
      <c r="G932" t="s">
        <v>763</v>
      </c>
      <c r="I932" t="e">
        <f>VLOOKUP(C932,[1]Hoja1!$A$2:$N$29,1,0)</f>
        <v>#N/A</v>
      </c>
    </row>
    <row r="933" spans="1:9" hidden="1" x14ac:dyDescent="0.3">
      <c r="A933" s="2">
        <v>45650</v>
      </c>
      <c r="B933" s="3">
        <v>2024003762</v>
      </c>
      <c r="C933" s="3" t="s">
        <v>369</v>
      </c>
      <c r="D933" s="5">
        <v>3000000</v>
      </c>
      <c r="E933" s="3">
        <v>59833702</v>
      </c>
      <c r="F933" s="3" t="s">
        <v>370</v>
      </c>
      <c r="G933" t="s">
        <v>763</v>
      </c>
      <c r="I933" t="e">
        <f>VLOOKUP(C933,[1]Hoja1!$A$2:$N$29,1,0)</f>
        <v>#N/A</v>
      </c>
    </row>
    <row r="934" spans="1:9" hidden="1" x14ac:dyDescent="0.3">
      <c r="A934" s="2">
        <v>45650</v>
      </c>
      <c r="B934" s="3">
        <v>2024003763</v>
      </c>
      <c r="C934" s="3" t="s">
        <v>116</v>
      </c>
      <c r="D934" s="5">
        <v>6000000</v>
      </c>
      <c r="E934" s="3">
        <v>1085292185</v>
      </c>
      <c r="F934" s="3" t="s">
        <v>7</v>
      </c>
      <c r="G934" t="s">
        <v>763</v>
      </c>
      <c r="I934" t="e">
        <f>VLOOKUP(C934,[1]Hoja1!$A$2:$N$29,1,0)</f>
        <v>#N/A</v>
      </c>
    </row>
    <row r="935" spans="1:9" hidden="1" x14ac:dyDescent="0.3">
      <c r="A935" s="2">
        <v>45650</v>
      </c>
      <c r="B935" s="3">
        <v>2024003764</v>
      </c>
      <c r="C935" s="3" t="s">
        <v>536</v>
      </c>
      <c r="D935" s="5">
        <v>3000000</v>
      </c>
      <c r="E935" s="3">
        <v>1085302942</v>
      </c>
      <c r="F935" s="3" t="s">
        <v>537</v>
      </c>
      <c r="G935" t="s">
        <v>763</v>
      </c>
      <c r="I935" t="e">
        <f>VLOOKUP(C935,[1]Hoja1!$A$2:$N$29,1,0)</f>
        <v>#N/A</v>
      </c>
    </row>
    <row r="936" spans="1:9" hidden="1" x14ac:dyDescent="0.3">
      <c r="A936" s="2">
        <v>45650</v>
      </c>
      <c r="B936" s="3">
        <v>2024003765</v>
      </c>
      <c r="C936" s="3" t="s">
        <v>474</v>
      </c>
      <c r="D936" s="5">
        <v>7540000</v>
      </c>
      <c r="E936" s="3">
        <v>1085255870</v>
      </c>
      <c r="F936" s="3" t="s">
        <v>475</v>
      </c>
      <c r="G936" t="s">
        <v>763</v>
      </c>
      <c r="I936" t="e">
        <f>VLOOKUP(C936,[1]Hoja1!$A$2:$N$29,1,0)</f>
        <v>#N/A</v>
      </c>
    </row>
    <row r="937" spans="1:9" hidden="1" x14ac:dyDescent="0.3">
      <c r="A937" s="2">
        <v>45650</v>
      </c>
      <c r="B937" s="3">
        <v>2024003766</v>
      </c>
      <c r="C937" s="3" t="s">
        <v>711</v>
      </c>
      <c r="D937" s="5">
        <v>4750000</v>
      </c>
      <c r="E937" s="3">
        <v>1085313870</v>
      </c>
      <c r="F937" s="3" t="s">
        <v>712</v>
      </c>
      <c r="G937" t="s">
        <v>763</v>
      </c>
      <c r="I937" t="e">
        <f>VLOOKUP(C937,[1]Hoja1!$A$2:$N$29,1,0)</f>
        <v>#N/A</v>
      </c>
    </row>
    <row r="938" spans="1:9" hidden="1" x14ac:dyDescent="0.3">
      <c r="A938" s="2">
        <v>45650</v>
      </c>
      <c r="B938" s="3">
        <v>2024003767</v>
      </c>
      <c r="C938" s="3" t="s">
        <v>476</v>
      </c>
      <c r="D938" s="5">
        <v>2500000</v>
      </c>
      <c r="E938" s="3">
        <v>1085281545</v>
      </c>
      <c r="F938" s="3" t="s">
        <v>477</v>
      </c>
      <c r="G938" t="s">
        <v>763</v>
      </c>
      <c r="I938" t="e">
        <f>VLOOKUP(C938,[1]Hoja1!$A$2:$N$29,1,0)</f>
        <v>#N/A</v>
      </c>
    </row>
    <row r="939" spans="1:9" hidden="1" x14ac:dyDescent="0.3">
      <c r="A939" s="2">
        <v>45650</v>
      </c>
      <c r="B939" s="3">
        <v>2024003768</v>
      </c>
      <c r="C939" s="3" t="s">
        <v>95</v>
      </c>
      <c r="D939" s="5">
        <v>2500000</v>
      </c>
      <c r="E939" s="3">
        <v>27211504</v>
      </c>
      <c r="F939" s="3" t="s">
        <v>96</v>
      </c>
      <c r="G939" t="s">
        <v>763</v>
      </c>
      <c r="I939" t="e">
        <f>VLOOKUP(C939,[1]Hoja1!$A$2:$N$29,1,0)</f>
        <v>#N/A</v>
      </c>
    </row>
    <row r="940" spans="1:9" hidden="1" x14ac:dyDescent="0.3">
      <c r="A940" s="2">
        <v>45650</v>
      </c>
      <c r="B940" s="3">
        <v>2024003769</v>
      </c>
      <c r="C940" s="3" t="s">
        <v>732</v>
      </c>
      <c r="D940" s="5">
        <v>7540000</v>
      </c>
      <c r="E940" s="3">
        <v>10859376713</v>
      </c>
      <c r="F940" s="3" t="s">
        <v>733</v>
      </c>
      <c r="G940" t="s">
        <v>763</v>
      </c>
      <c r="I940" t="e">
        <f>VLOOKUP(C940,[1]Hoja1!$A$2:$N$29,1,0)</f>
        <v>#N/A</v>
      </c>
    </row>
    <row r="941" spans="1:9" hidden="1" x14ac:dyDescent="0.3">
      <c r="A941" s="2">
        <v>45650</v>
      </c>
      <c r="B941" s="3">
        <v>2024003770</v>
      </c>
      <c r="C941" s="3" t="s">
        <v>393</v>
      </c>
      <c r="D941" s="5">
        <v>6000000</v>
      </c>
      <c r="E941" s="3">
        <v>1131085780</v>
      </c>
      <c r="F941" s="3" t="s">
        <v>394</v>
      </c>
      <c r="G941" t="s">
        <v>763</v>
      </c>
      <c r="I941" t="e">
        <f>VLOOKUP(C941,[1]Hoja1!$A$2:$N$29,1,0)</f>
        <v>#N/A</v>
      </c>
    </row>
    <row r="942" spans="1:9" hidden="1" x14ac:dyDescent="0.3">
      <c r="A942" s="2">
        <v>45650</v>
      </c>
      <c r="B942" s="3">
        <v>2024003771</v>
      </c>
      <c r="C942" s="3" t="s">
        <v>434</v>
      </c>
      <c r="D942" s="5">
        <v>3000000</v>
      </c>
      <c r="E942" s="3">
        <v>1233188273</v>
      </c>
      <c r="F942" s="3" t="s">
        <v>435</v>
      </c>
      <c r="G942" t="s">
        <v>763</v>
      </c>
      <c r="I942" t="e">
        <f>VLOOKUP(C942,[1]Hoja1!$A$2:$N$29,1,0)</f>
        <v>#N/A</v>
      </c>
    </row>
    <row r="943" spans="1:9" hidden="1" x14ac:dyDescent="0.3">
      <c r="A943" s="2">
        <v>45650</v>
      </c>
      <c r="B943" s="3">
        <v>2024003772</v>
      </c>
      <c r="C943" s="3" t="s">
        <v>695</v>
      </c>
      <c r="D943" s="5">
        <v>4750000</v>
      </c>
      <c r="E943" s="3">
        <v>1085325540</v>
      </c>
      <c r="F943" s="3" t="s">
        <v>696</v>
      </c>
      <c r="G943" t="s">
        <v>763</v>
      </c>
      <c r="I943" t="e">
        <f>VLOOKUP(C943,[1]Hoja1!$A$2:$N$29,1,0)</f>
        <v>#N/A</v>
      </c>
    </row>
    <row r="944" spans="1:9" hidden="1" x14ac:dyDescent="0.3">
      <c r="A944" s="2">
        <v>45650</v>
      </c>
      <c r="B944" s="3">
        <v>2024003773</v>
      </c>
      <c r="C944" s="3" t="s">
        <v>241</v>
      </c>
      <c r="D944" s="5">
        <v>3000000</v>
      </c>
      <c r="E944" s="3">
        <v>1007403454</v>
      </c>
      <c r="F944" s="3" t="s">
        <v>242</v>
      </c>
      <c r="G944" t="s">
        <v>763</v>
      </c>
      <c r="I944" t="e">
        <f>VLOOKUP(C944,[1]Hoja1!$A$2:$N$29,1,0)</f>
        <v>#N/A</v>
      </c>
    </row>
    <row r="945" spans="1:9" hidden="1" x14ac:dyDescent="0.3">
      <c r="A945" s="2">
        <v>45650</v>
      </c>
      <c r="B945" s="3">
        <v>2024003774</v>
      </c>
      <c r="C945" s="3" t="s">
        <v>679</v>
      </c>
      <c r="D945" s="5">
        <v>3000000</v>
      </c>
      <c r="E945" s="3">
        <v>37083324</v>
      </c>
      <c r="F945" s="3" t="s">
        <v>680</v>
      </c>
      <c r="G945" t="s">
        <v>763</v>
      </c>
      <c r="I945" t="e">
        <f>VLOOKUP(C945,[1]Hoja1!$A$2:$N$29,1,0)</f>
        <v>#N/A</v>
      </c>
    </row>
    <row r="946" spans="1:9" hidden="1" x14ac:dyDescent="0.3">
      <c r="A946" s="2">
        <v>45650</v>
      </c>
      <c r="B946" s="3">
        <v>2024003775</v>
      </c>
      <c r="C946" s="3" t="s">
        <v>399</v>
      </c>
      <c r="D946" s="5">
        <v>3000000</v>
      </c>
      <c r="E946" s="3">
        <v>1085252263</v>
      </c>
      <c r="F946" s="3" t="s">
        <v>400</v>
      </c>
      <c r="G946" t="s">
        <v>763</v>
      </c>
      <c r="I946" t="e">
        <f>VLOOKUP(C946,[1]Hoja1!$A$2:$N$29,1,0)</f>
        <v>#N/A</v>
      </c>
    </row>
    <row r="947" spans="1:9" hidden="1" x14ac:dyDescent="0.3">
      <c r="A947" s="2">
        <v>45650</v>
      </c>
      <c r="B947" s="3">
        <v>2024003776</v>
      </c>
      <c r="C947" s="3" t="s">
        <v>693</v>
      </c>
      <c r="D947" s="5">
        <v>3000000</v>
      </c>
      <c r="E947" s="3">
        <v>27388522</v>
      </c>
      <c r="F947" s="3" t="s">
        <v>694</v>
      </c>
      <c r="G947" t="s">
        <v>763</v>
      </c>
      <c r="I947" t="e">
        <f>VLOOKUP(C947,[1]Hoja1!$A$2:$N$29,1,0)</f>
        <v>#N/A</v>
      </c>
    </row>
    <row r="948" spans="1:9" hidden="1" x14ac:dyDescent="0.3">
      <c r="A948" s="2">
        <v>45650</v>
      </c>
      <c r="B948" s="3">
        <v>2024003777</v>
      </c>
      <c r="C948" s="3" t="s">
        <v>450</v>
      </c>
      <c r="D948" s="5">
        <v>3000000</v>
      </c>
      <c r="E948" s="3">
        <v>1004215136</v>
      </c>
      <c r="F948" s="3" t="s">
        <v>451</v>
      </c>
      <c r="G948" t="s">
        <v>763</v>
      </c>
      <c r="I948" t="e">
        <f>VLOOKUP(C948,[1]Hoja1!$A$2:$N$29,1,0)</f>
        <v>#N/A</v>
      </c>
    </row>
    <row r="949" spans="1:9" hidden="1" x14ac:dyDescent="0.3">
      <c r="A949" s="2">
        <v>45650</v>
      </c>
      <c r="B949" s="3">
        <v>2024003778</v>
      </c>
      <c r="C949" s="3" t="s">
        <v>448</v>
      </c>
      <c r="D949" s="5">
        <v>3000000</v>
      </c>
      <c r="E949" s="3">
        <v>1004299312</v>
      </c>
      <c r="F949" s="3" t="s">
        <v>449</v>
      </c>
      <c r="G949" t="s">
        <v>763</v>
      </c>
      <c r="I949" t="e">
        <f>VLOOKUP(C949,[1]Hoja1!$A$2:$N$29,1,0)</f>
        <v>#N/A</v>
      </c>
    </row>
    <row r="950" spans="1:9" hidden="1" x14ac:dyDescent="0.3">
      <c r="A950" s="2">
        <v>45650</v>
      </c>
      <c r="B950" s="3">
        <v>2024003779</v>
      </c>
      <c r="C950" s="3" t="s">
        <v>412</v>
      </c>
      <c r="D950" s="5">
        <v>3000000</v>
      </c>
      <c r="E950" s="3">
        <v>1085313463</v>
      </c>
      <c r="F950" s="3" t="s">
        <v>413</v>
      </c>
      <c r="G950" t="s">
        <v>763</v>
      </c>
      <c r="I950" t="e">
        <f>VLOOKUP(C950,[1]Hoja1!$A$2:$N$29,1,0)</f>
        <v>#N/A</v>
      </c>
    </row>
    <row r="951" spans="1:9" hidden="1" x14ac:dyDescent="0.3">
      <c r="A951" s="2">
        <v>45650</v>
      </c>
      <c r="B951" s="3">
        <v>2024003780</v>
      </c>
      <c r="C951" s="3" t="s">
        <v>709</v>
      </c>
      <c r="D951" s="5">
        <v>2500000</v>
      </c>
      <c r="E951" s="3">
        <v>1085324252</v>
      </c>
      <c r="F951" s="3" t="s">
        <v>710</v>
      </c>
      <c r="G951" t="s">
        <v>763</v>
      </c>
      <c r="I951" t="e">
        <f>VLOOKUP(C951,[1]Hoja1!$A$2:$N$29,1,0)</f>
        <v>#N/A</v>
      </c>
    </row>
    <row r="952" spans="1:9" hidden="1" x14ac:dyDescent="0.3">
      <c r="A952" s="2">
        <v>45650</v>
      </c>
      <c r="B952" s="3">
        <v>2024003781</v>
      </c>
      <c r="C952" s="3" t="s">
        <v>381</v>
      </c>
      <c r="D952" s="5">
        <v>2500000</v>
      </c>
      <c r="E952" s="3">
        <v>37087268</v>
      </c>
      <c r="F952" s="3" t="s">
        <v>382</v>
      </c>
      <c r="G952" t="s">
        <v>763</v>
      </c>
      <c r="I952" t="e">
        <f>VLOOKUP(C952,[1]Hoja1!$A$2:$N$29,1,0)</f>
        <v>#N/A</v>
      </c>
    </row>
    <row r="953" spans="1:9" hidden="1" x14ac:dyDescent="0.3">
      <c r="A953" s="2">
        <v>45650</v>
      </c>
      <c r="B953" s="3">
        <v>2024003782</v>
      </c>
      <c r="C953" s="3" t="s">
        <v>640</v>
      </c>
      <c r="D953" s="5">
        <v>3000000</v>
      </c>
      <c r="E953" s="3">
        <v>1004508436</v>
      </c>
      <c r="F953" s="3" t="s">
        <v>641</v>
      </c>
      <c r="G953" t="s">
        <v>763</v>
      </c>
      <c r="I953" t="e">
        <f>VLOOKUP(C953,[1]Hoja1!$A$2:$N$29,1,0)</f>
        <v>#N/A</v>
      </c>
    </row>
    <row r="954" spans="1:9" hidden="1" x14ac:dyDescent="0.3">
      <c r="A954" s="2">
        <v>45650</v>
      </c>
      <c r="B954" s="3">
        <v>2024003783</v>
      </c>
      <c r="C954" s="3" t="s">
        <v>687</v>
      </c>
      <c r="D954" s="5">
        <v>3000000</v>
      </c>
      <c r="E954" s="3">
        <v>1004598784</v>
      </c>
      <c r="F954" s="3" t="s">
        <v>688</v>
      </c>
      <c r="G954" t="s">
        <v>763</v>
      </c>
      <c r="I954" t="e">
        <f>VLOOKUP(C954,[1]Hoja1!$A$2:$N$29,1,0)</f>
        <v>#N/A</v>
      </c>
    </row>
    <row r="955" spans="1:9" hidden="1" x14ac:dyDescent="0.3">
      <c r="A955" s="2">
        <v>45650</v>
      </c>
      <c r="B955" s="3">
        <v>2024003784</v>
      </c>
      <c r="C955" s="3" t="s">
        <v>93</v>
      </c>
      <c r="D955" s="5">
        <v>3000000</v>
      </c>
      <c r="E955" s="3">
        <v>1192717330</v>
      </c>
      <c r="F955" s="3" t="s">
        <v>94</v>
      </c>
      <c r="G955" t="s">
        <v>763</v>
      </c>
      <c r="I955" t="e">
        <f>VLOOKUP(C955,[1]Hoja1!$A$2:$N$29,1,0)</f>
        <v>#N/A</v>
      </c>
    </row>
    <row r="956" spans="1:9" hidden="1" x14ac:dyDescent="0.3">
      <c r="A956" s="2">
        <v>45650</v>
      </c>
      <c r="B956" s="3">
        <v>2024003785</v>
      </c>
      <c r="C956" s="3" t="s">
        <v>530</v>
      </c>
      <c r="D956" s="5">
        <v>3000000</v>
      </c>
      <c r="E956" s="3">
        <v>1004235479</v>
      </c>
      <c r="F956" s="3" t="s">
        <v>531</v>
      </c>
      <c r="G956" t="s">
        <v>763</v>
      </c>
      <c r="I956" t="e">
        <f>VLOOKUP(C956,[1]Hoja1!$A$2:$N$29,1,0)</f>
        <v>#N/A</v>
      </c>
    </row>
    <row r="957" spans="1:9" hidden="1" x14ac:dyDescent="0.3">
      <c r="A957" s="2">
        <v>45650</v>
      </c>
      <c r="B957" s="3">
        <v>2024003786</v>
      </c>
      <c r="C957" s="3" t="s">
        <v>432</v>
      </c>
      <c r="D957" s="5">
        <v>3000000</v>
      </c>
      <c r="E957" s="3">
        <v>59310433</v>
      </c>
      <c r="F957" s="3" t="s">
        <v>433</v>
      </c>
      <c r="G957" t="s">
        <v>763</v>
      </c>
      <c r="I957" t="e">
        <f>VLOOKUP(C957,[1]Hoja1!$A$2:$N$29,1,0)</f>
        <v>#N/A</v>
      </c>
    </row>
    <row r="958" spans="1:9" hidden="1" x14ac:dyDescent="0.3">
      <c r="A958" s="2">
        <v>45652</v>
      </c>
      <c r="B958" s="3">
        <v>2024003787</v>
      </c>
      <c r="C958" s="3" t="s">
        <v>71</v>
      </c>
      <c r="D958" s="5">
        <v>6000000</v>
      </c>
      <c r="E958" s="3">
        <v>1085313872</v>
      </c>
      <c r="F958" s="3" t="s">
        <v>72</v>
      </c>
      <c r="G958" t="s">
        <v>763</v>
      </c>
      <c r="I958" t="e">
        <f>VLOOKUP(C958,[1]Hoja1!$A$2:$N$29,1,0)</f>
        <v>#N/A</v>
      </c>
    </row>
    <row r="959" spans="1:9" hidden="1" x14ac:dyDescent="0.3">
      <c r="A959" s="2">
        <v>45652</v>
      </c>
      <c r="B959" s="3">
        <v>2024003788</v>
      </c>
      <c r="C959" s="3" t="s">
        <v>410</v>
      </c>
      <c r="D959" s="5">
        <v>4825000</v>
      </c>
      <c r="E959" s="3">
        <v>1085321943</v>
      </c>
      <c r="F959" s="3" t="s">
        <v>411</v>
      </c>
      <c r="G959" t="s">
        <v>763</v>
      </c>
      <c r="I959" t="e">
        <f>VLOOKUP(C959,[1]Hoja1!$A$2:$N$29,1,0)</f>
        <v>#N/A</v>
      </c>
    </row>
    <row r="960" spans="1:9" hidden="1" x14ac:dyDescent="0.3">
      <c r="A960" s="2">
        <v>45652</v>
      </c>
      <c r="B960" s="3">
        <v>2024003789</v>
      </c>
      <c r="C960" s="3" t="s">
        <v>408</v>
      </c>
      <c r="D960" s="5">
        <v>4750000</v>
      </c>
      <c r="E960" s="3">
        <v>59312865</v>
      </c>
      <c r="F960" s="3" t="s">
        <v>409</v>
      </c>
      <c r="G960" t="s">
        <v>763</v>
      </c>
      <c r="I960" t="e">
        <f>VLOOKUP(C960,[1]Hoja1!$A$2:$N$29,1,0)</f>
        <v>#N/A</v>
      </c>
    </row>
    <row r="961" spans="1:9" hidden="1" x14ac:dyDescent="0.3">
      <c r="A961" s="2">
        <v>45652</v>
      </c>
      <c r="B961" s="3">
        <v>2024003790</v>
      </c>
      <c r="C961" s="3" t="s">
        <v>206</v>
      </c>
      <c r="D961" s="5">
        <v>7540000</v>
      </c>
      <c r="E961" s="3">
        <v>37087120</v>
      </c>
      <c r="F961" s="3" t="s">
        <v>207</v>
      </c>
      <c r="G961" t="s">
        <v>763</v>
      </c>
      <c r="I961" t="e">
        <f>VLOOKUP(C961,[1]Hoja1!$A$2:$N$29,1,0)</f>
        <v>#N/A</v>
      </c>
    </row>
    <row r="962" spans="1:9" hidden="1" x14ac:dyDescent="0.3">
      <c r="A962" s="2">
        <v>45652</v>
      </c>
      <c r="B962" s="3">
        <v>2024003791</v>
      </c>
      <c r="C962" s="3" t="s">
        <v>259</v>
      </c>
      <c r="D962" s="5">
        <v>3000000</v>
      </c>
      <c r="E962" s="3">
        <v>1010113730</v>
      </c>
      <c r="F962" s="3" t="s">
        <v>260</v>
      </c>
      <c r="G962" t="s">
        <v>763</v>
      </c>
      <c r="I962" t="e">
        <f>VLOOKUP(C962,[1]Hoja1!$A$2:$N$29,1,0)</f>
        <v>#N/A</v>
      </c>
    </row>
    <row r="963" spans="1:9" hidden="1" x14ac:dyDescent="0.3">
      <c r="A963" s="2">
        <v>45652</v>
      </c>
      <c r="B963" s="3">
        <v>2024003792</v>
      </c>
      <c r="C963" s="3" t="s">
        <v>502</v>
      </c>
      <c r="D963" s="5">
        <v>3000000</v>
      </c>
      <c r="E963" s="3">
        <v>1085323101</v>
      </c>
      <c r="F963" s="3" t="s">
        <v>503</v>
      </c>
      <c r="G963" t="s">
        <v>763</v>
      </c>
      <c r="I963" t="e">
        <f>VLOOKUP(C963,[1]Hoja1!$A$2:$N$29,1,0)</f>
        <v>#N/A</v>
      </c>
    </row>
    <row r="964" spans="1:9" hidden="1" x14ac:dyDescent="0.3">
      <c r="A964" s="2">
        <v>45652</v>
      </c>
      <c r="B964" s="3">
        <v>2024003793</v>
      </c>
      <c r="C964" s="3" t="s">
        <v>52</v>
      </c>
      <c r="D964" s="5">
        <v>6000000</v>
      </c>
      <c r="E964" s="3">
        <v>1085286476</v>
      </c>
      <c r="F964" s="3" t="s">
        <v>53</v>
      </c>
      <c r="G964" t="s">
        <v>763</v>
      </c>
      <c r="I964" t="e">
        <f>VLOOKUP(C964,[1]Hoja1!$A$2:$N$29,1,0)</f>
        <v>#N/A</v>
      </c>
    </row>
    <row r="965" spans="1:9" hidden="1" x14ac:dyDescent="0.3">
      <c r="A965" s="2">
        <v>45652</v>
      </c>
      <c r="B965" s="3">
        <v>2024003794</v>
      </c>
      <c r="C965" s="3" t="s">
        <v>365</v>
      </c>
      <c r="D965" s="5">
        <v>6000000</v>
      </c>
      <c r="E965" s="3">
        <v>27109314</v>
      </c>
      <c r="F965" s="3" t="s">
        <v>366</v>
      </c>
      <c r="G965" t="s">
        <v>763</v>
      </c>
      <c r="I965" t="e">
        <f>VLOOKUP(C965,[1]Hoja1!$A$2:$N$29,1,0)</f>
        <v>#N/A</v>
      </c>
    </row>
    <row r="966" spans="1:9" hidden="1" x14ac:dyDescent="0.3">
      <c r="A966" s="2">
        <v>45652</v>
      </c>
      <c r="B966" s="3">
        <v>2024003795</v>
      </c>
      <c r="C966" s="3" t="s">
        <v>391</v>
      </c>
      <c r="D966" s="5">
        <v>4750000</v>
      </c>
      <c r="E966" s="3">
        <v>59816986</v>
      </c>
      <c r="F966" s="3" t="s">
        <v>392</v>
      </c>
      <c r="G966" t="s">
        <v>763</v>
      </c>
      <c r="I966" t="e">
        <f>VLOOKUP(C966,[1]Hoja1!$A$2:$N$29,1,0)</f>
        <v>#N/A</v>
      </c>
    </row>
    <row r="967" spans="1:9" hidden="1" x14ac:dyDescent="0.3">
      <c r="A967" s="2">
        <v>45652</v>
      </c>
      <c r="B967" s="3">
        <v>2024003796</v>
      </c>
      <c r="C967" s="3" t="s">
        <v>58</v>
      </c>
      <c r="D967" s="5">
        <v>3000000</v>
      </c>
      <c r="E967" s="3">
        <v>1088799034</v>
      </c>
      <c r="F967" s="3" t="s">
        <v>59</v>
      </c>
      <c r="G967" t="s">
        <v>763</v>
      </c>
      <c r="I967" t="e">
        <f>VLOOKUP(C967,[1]Hoja1!$A$2:$N$29,1,0)</f>
        <v>#N/A</v>
      </c>
    </row>
    <row r="968" spans="1:9" hidden="1" x14ac:dyDescent="0.3">
      <c r="A968" s="2">
        <v>45652</v>
      </c>
      <c r="B968" s="3">
        <v>2024003797</v>
      </c>
      <c r="C968" s="3" t="s">
        <v>298</v>
      </c>
      <c r="D968" s="5">
        <v>3000000</v>
      </c>
      <c r="E968" s="3">
        <v>1085347540</v>
      </c>
      <c r="F968" s="3" t="s">
        <v>299</v>
      </c>
      <c r="G968" t="s">
        <v>763</v>
      </c>
      <c r="I968" t="e">
        <f>VLOOKUP(C968,[1]Hoja1!$A$2:$N$29,1,0)</f>
        <v>#N/A</v>
      </c>
    </row>
    <row r="969" spans="1:9" hidden="1" x14ac:dyDescent="0.3">
      <c r="A969" s="2">
        <v>45652</v>
      </c>
      <c r="B969" s="3">
        <v>2024003798</v>
      </c>
      <c r="C969" s="3" t="s">
        <v>101</v>
      </c>
      <c r="D969" s="5">
        <v>6000000</v>
      </c>
      <c r="E969" s="3">
        <v>36951002</v>
      </c>
      <c r="F969" s="3" t="s">
        <v>102</v>
      </c>
      <c r="G969" t="s">
        <v>763</v>
      </c>
      <c r="I969" t="e">
        <f>VLOOKUP(C969,[1]Hoja1!$A$2:$N$29,1,0)</f>
        <v>#N/A</v>
      </c>
    </row>
    <row r="970" spans="1:9" hidden="1" x14ac:dyDescent="0.3">
      <c r="A970" s="2">
        <v>45652</v>
      </c>
      <c r="B970" s="3">
        <v>2024003799</v>
      </c>
      <c r="C970" s="3" t="s">
        <v>60</v>
      </c>
      <c r="D970" s="5">
        <v>3000000</v>
      </c>
      <c r="E970" s="3">
        <v>1085295383</v>
      </c>
      <c r="F970" s="3" t="s">
        <v>61</v>
      </c>
      <c r="G970" t="s">
        <v>763</v>
      </c>
      <c r="I970" t="e">
        <f>VLOOKUP(C970,[1]Hoja1!$A$2:$N$29,1,0)</f>
        <v>#N/A</v>
      </c>
    </row>
    <row r="971" spans="1:9" hidden="1" x14ac:dyDescent="0.3">
      <c r="A971" s="2">
        <v>45652</v>
      </c>
      <c r="B971" s="3">
        <v>2024003801</v>
      </c>
      <c r="C971" s="3" t="s">
        <v>54</v>
      </c>
      <c r="D971" s="5">
        <v>7540000</v>
      </c>
      <c r="E971" s="3">
        <v>1085336362</v>
      </c>
      <c r="F971" s="3" t="s">
        <v>55</v>
      </c>
      <c r="G971" t="s">
        <v>763</v>
      </c>
      <c r="I971" t="e">
        <f>VLOOKUP(C971,[1]Hoja1!$A$2:$N$29,1,0)</f>
        <v>#N/A</v>
      </c>
    </row>
    <row r="972" spans="1:9" hidden="1" x14ac:dyDescent="0.3">
      <c r="A972" s="2">
        <v>45652</v>
      </c>
      <c r="B972" s="3">
        <v>2024003803</v>
      </c>
      <c r="C972" s="3" t="s">
        <v>89</v>
      </c>
      <c r="D972" s="5">
        <v>4825000</v>
      </c>
      <c r="E972" s="3">
        <v>1085338534</v>
      </c>
      <c r="F972" s="3" t="s">
        <v>90</v>
      </c>
      <c r="G972" t="s">
        <v>763</v>
      </c>
      <c r="I972" t="e">
        <f>VLOOKUP(C972,[1]Hoja1!$A$2:$N$29,1,0)</f>
        <v>#N/A</v>
      </c>
    </row>
    <row r="973" spans="1:9" hidden="1" x14ac:dyDescent="0.3">
      <c r="A973" s="2">
        <v>45652</v>
      </c>
      <c r="B973" s="3">
        <v>2024003805</v>
      </c>
      <c r="C973" s="3" t="s">
        <v>50</v>
      </c>
      <c r="D973" s="5">
        <v>7540000</v>
      </c>
      <c r="E973" s="3">
        <v>1151934571</v>
      </c>
      <c r="F973" s="3" t="s">
        <v>51</v>
      </c>
      <c r="G973" t="s">
        <v>763</v>
      </c>
      <c r="I973" t="e">
        <f>VLOOKUP(C973,[1]Hoja1!$A$2:$N$29,1,0)</f>
        <v>#N/A</v>
      </c>
    </row>
    <row r="974" spans="1:9" hidden="1" x14ac:dyDescent="0.3">
      <c r="A974" s="2">
        <v>45652</v>
      </c>
      <c r="B974" s="3">
        <v>2024003806</v>
      </c>
      <c r="C974" s="3" t="s">
        <v>422</v>
      </c>
      <c r="D974" s="5">
        <v>3000000</v>
      </c>
      <c r="E974" s="3">
        <v>27087122</v>
      </c>
      <c r="F974" s="3" t="s">
        <v>423</v>
      </c>
      <c r="G974" t="s">
        <v>763</v>
      </c>
      <c r="I974" t="e">
        <f>VLOOKUP(C974,[1]Hoja1!$A$2:$N$29,1,0)</f>
        <v>#N/A</v>
      </c>
    </row>
    <row r="975" spans="1:9" hidden="1" x14ac:dyDescent="0.3">
      <c r="A975" s="2">
        <v>45652</v>
      </c>
      <c r="B975" s="3">
        <v>2024003807</v>
      </c>
      <c r="C975" s="3" t="s">
        <v>605</v>
      </c>
      <c r="D975" s="5">
        <v>3000000</v>
      </c>
      <c r="E975" s="3">
        <v>1085286725</v>
      </c>
      <c r="F975" s="3" t="s">
        <v>13</v>
      </c>
      <c r="G975" t="s">
        <v>763</v>
      </c>
      <c r="I975" t="e">
        <f>VLOOKUP(C975,[1]Hoja1!$A$2:$N$29,1,0)</f>
        <v>#N/A</v>
      </c>
    </row>
    <row r="976" spans="1:9" hidden="1" x14ac:dyDescent="0.3">
      <c r="A976" s="2">
        <v>45652</v>
      </c>
      <c r="B976" s="3">
        <v>2024003808</v>
      </c>
      <c r="C976" s="3" t="s">
        <v>48</v>
      </c>
      <c r="D976" s="5">
        <v>6000000</v>
      </c>
      <c r="E976" s="3">
        <v>27097289</v>
      </c>
      <c r="F976" s="3" t="s">
        <v>49</v>
      </c>
      <c r="G976" t="s">
        <v>763</v>
      </c>
      <c r="I976" t="e">
        <f>VLOOKUP(C976,[1]Hoja1!$A$2:$N$29,1,0)</f>
        <v>#N/A</v>
      </c>
    </row>
    <row r="977" spans="1:9" hidden="1" x14ac:dyDescent="0.3">
      <c r="A977" s="2">
        <v>45652</v>
      </c>
      <c r="B977" s="3">
        <v>2024003809</v>
      </c>
      <c r="C977" s="3" t="s">
        <v>361</v>
      </c>
      <c r="D977" s="5">
        <v>3000000</v>
      </c>
      <c r="E977" s="3">
        <v>1007356378</v>
      </c>
      <c r="F977" s="3" t="s">
        <v>362</v>
      </c>
      <c r="G977" t="s">
        <v>763</v>
      </c>
      <c r="I977" t="e">
        <f>VLOOKUP(C977,[1]Hoja1!$A$2:$N$29,1,0)</f>
        <v>#N/A</v>
      </c>
    </row>
    <row r="978" spans="1:9" hidden="1" x14ac:dyDescent="0.3">
      <c r="A978" s="2">
        <v>45652</v>
      </c>
      <c r="B978" s="3">
        <v>2024003810</v>
      </c>
      <c r="C978" s="3" t="s">
        <v>482</v>
      </c>
      <c r="D978" s="5">
        <v>3000000</v>
      </c>
      <c r="E978" s="3">
        <v>1004410201</v>
      </c>
      <c r="F978" s="3" t="s">
        <v>483</v>
      </c>
      <c r="G978" t="s">
        <v>763</v>
      </c>
      <c r="I978" t="e">
        <f>VLOOKUP(C978,[1]Hoja1!$A$2:$N$29,1,0)</f>
        <v>#N/A</v>
      </c>
    </row>
    <row r="979" spans="1:9" hidden="1" x14ac:dyDescent="0.3">
      <c r="A979" s="2">
        <v>45652</v>
      </c>
      <c r="B979" s="3">
        <v>2024003811</v>
      </c>
      <c r="C979" s="3" t="s">
        <v>544</v>
      </c>
      <c r="D979" s="5">
        <v>2500000</v>
      </c>
      <c r="E979" s="3">
        <v>13072447</v>
      </c>
      <c r="F979" s="3" t="s">
        <v>545</v>
      </c>
      <c r="G979" t="s">
        <v>763</v>
      </c>
      <c r="I979" t="e">
        <f>VLOOKUP(C979,[1]Hoja1!$A$2:$N$29,1,0)</f>
        <v>#N/A</v>
      </c>
    </row>
    <row r="980" spans="1:9" hidden="1" x14ac:dyDescent="0.3">
      <c r="A980" s="2">
        <v>45652</v>
      </c>
      <c r="B980" s="3">
        <v>2024003812</v>
      </c>
      <c r="C980" s="3" t="s">
        <v>672</v>
      </c>
      <c r="D980" s="5">
        <v>2500000</v>
      </c>
      <c r="E980" s="3">
        <v>1081052090</v>
      </c>
      <c r="F980" s="3" t="s">
        <v>24</v>
      </c>
      <c r="G980" t="s">
        <v>763</v>
      </c>
      <c r="I980" t="e">
        <f>VLOOKUP(C980,[1]Hoja1!$A$2:$N$29,1,0)</f>
        <v>#N/A</v>
      </c>
    </row>
    <row r="981" spans="1:9" hidden="1" x14ac:dyDescent="0.3">
      <c r="A981" s="2">
        <v>45652</v>
      </c>
      <c r="B981" s="3">
        <v>2024003813</v>
      </c>
      <c r="C981" s="3" t="s">
        <v>391</v>
      </c>
      <c r="D981" s="5">
        <v>4750000</v>
      </c>
      <c r="E981" s="3">
        <v>59816986</v>
      </c>
      <c r="F981" s="3" t="s">
        <v>392</v>
      </c>
      <c r="G981" t="s">
        <v>763</v>
      </c>
      <c r="I981" t="e">
        <f>VLOOKUP(C981,[1]Hoja1!$A$2:$N$29,1,0)</f>
        <v>#N/A</v>
      </c>
    </row>
    <row r="982" spans="1:9" hidden="1" x14ac:dyDescent="0.3">
      <c r="A982" s="2">
        <v>45652</v>
      </c>
      <c r="B982" s="3">
        <v>2024003814</v>
      </c>
      <c r="C982" s="3" t="s">
        <v>673</v>
      </c>
      <c r="D982" s="5">
        <v>2499900</v>
      </c>
      <c r="E982" s="3">
        <v>12990231</v>
      </c>
      <c r="F982" s="3" t="s">
        <v>674</v>
      </c>
      <c r="G982" t="s">
        <v>763</v>
      </c>
      <c r="I982" t="e">
        <f>VLOOKUP(C982,[1]Hoja1!$A$2:$N$29,1,0)</f>
        <v>#N/A</v>
      </c>
    </row>
    <row r="983" spans="1:9" hidden="1" x14ac:dyDescent="0.3">
      <c r="A983" s="2">
        <v>45652</v>
      </c>
      <c r="B983" s="3">
        <v>2024003815</v>
      </c>
      <c r="C983" s="3" t="s">
        <v>339</v>
      </c>
      <c r="D983" s="5">
        <v>4825000</v>
      </c>
      <c r="E983" s="3">
        <v>1085311814</v>
      </c>
      <c r="F983" s="3" t="s">
        <v>340</v>
      </c>
      <c r="G983" t="s">
        <v>763</v>
      </c>
      <c r="I983" t="e">
        <f>VLOOKUP(C983,[1]Hoja1!$A$2:$N$29,1,0)</f>
        <v>#N/A</v>
      </c>
    </row>
    <row r="984" spans="1:9" hidden="1" x14ac:dyDescent="0.3">
      <c r="A984" s="2">
        <v>45652</v>
      </c>
      <c r="B984" s="3">
        <v>2024003816</v>
      </c>
      <c r="C984" s="3" t="s">
        <v>666</v>
      </c>
      <c r="D984" s="5">
        <v>2500000</v>
      </c>
      <c r="E984" s="3">
        <v>30736949</v>
      </c>
      <c r="F984" s="3" t="s">
        <v>667</v>
      </c>
      <c r="G984" t="s">
        <v>763</v>
      </c>
      <c r="I984" t="e">
        <f>VLOOKUP(C984,[1]Hoja1!$A$2:$N$29,1,0)</f>
        <v>#N/A</v>
      </c>
    </row>
    <row r="985" spans="1:9" hidden="1" x14ac:dyDescent="0.3">
      <c r="A985" s="2">
        <v>45652</v>
      </c>
      <c r="B985" s="3">
        <v>2024003817</v>
      </c>
      <c r="C985" s="3" t="s">
        <v>56</v>
      </c>
      <c r="D985" s="5">
        <v>3000000</v>
      </c>
      <c r="E985" s="3">
        <v>1085326198</v>
      </c>
      <c r="F985" s="3" t="s">
        <v>57</v>
      </c>
      <c r="G985" t="s">
        <v>763</v>
      </c>
      <c r="I985" t="e">
        <f>VLOOKUP(C985,[1]Hoja1!$A$2:$N$29,1,0)</f>
        <v>#N/A</v>
      </c>
    </row>
    <row r="986" spans="1:9" hidden="1" x14ac:dyDescent="0.3">
      <c r="A986" s="2">
        <v>45652</v>
      </c>
      <c r="B986" s="3">
        <v>2024003818</v>
      </c>
      <c r="C986" s="3" t="s">
        <v>232</v>
      </c>
      <c r="D986" s="5">
        <v>7540000</v>
      </c>
      <c r="E986" s="3">
        <v>1233192708</v>
      </c>
      <c r="F986" s="3" t="s">
        <v>34</v>
      </c>
      <c r="G986" t="s">
        <v>763</v>
      </c>
      <c r="I986" t="e">
        <f>VLOOKUP(C986,[1]Hoja1!$A$2:$N$29,1,0)</f>
        <v>#N/A</v>
      </c>
    </row>
    <row r="987" spans="1:9" hidden="1" x14ac:dyDescent="0.3">
      <c r="A987" s="2">
        <v>45652</v>
      </c>
      <c r="B987" s="3">
        <v>2024003819</v>
      </c>
      <c r="C987" s="3" t="s">
        <v>646</v>
      </c>
      <c r="D987" s="5">
        <v>4750000</v>
      </c>
      <c r="E987" s="3">
        <v>1085264667</v>
      </c>
      <c r="F987" s="3" t="s">
        <v>647</v>
      </c>
      <c r="G987" t="s">
        <v>763</v>
      </c>
      <c r="I987" t="e">
        <f>VLOOKUP(C987,[1]Hoja1!$A$2:$N$29,1,0)</f>
        <v>#N/A</v>
      </c>
    </row>
    <row r="988" spans="1:9" hidden="1" x14ac:dyDescent="0.3">
      <c r="A988" s="2">
        <v>45652</v>
      </c>
      <c r="B988" s="3">
        <v>2024003820</v>
      </c>
      <c r="C988" s="3" t="s">
        <v>402</v>
      </c>
      <c r="D988" s="5">
        <v>4825000</v>
      </c>
      <c r="E988" s="3">
        <v>1081595485</v>
      </c>
      <c r="F988" s="3" t="s">
        <v>403</v>
      </c>
      <c r="G988" t="s">
        <v>763</v>
      </c>
      <c r="I988" t="e">
        <f>VLOOKUP(C988,[1]Hoja1!$A$2:$N$29,1,0)</f>
        <v>#N/A</v>
      </c>
    </row>
    <row r="989" spans="1:9" hidden="1" x14ac:dyDescent="0.3">
      <c r="A989" s="2">
        <v>45652</v>
      </c>
      <c r="B989" s="3">
        <v>2024003821</v>
      </c>
      <c r="C989" s="3" t="s">
        <v>194</v>
      </c>
      <c r="D989" s="5">
        <v>4825000</v>
      </c>
      <c r="E989" s="3">
        <v>1088730712</v>
      </c>
      <c r="F989" s="3" t="s">
        <v>195</v>
      </c>
      <c r="G989" t="s">
        <v>763</v>
      </c>
      <c r="I989" t="e">
        <f>VLOOKUP(C989,[1]Hoja1!$A$2:$N$29,1,0)</f>
        <v>#N/A</v>
      </c>
    </row>
    <row r="990" spans="1:9" hidden="1" x14ac:dyDescent="0.3">
      <c r="A990" s="2">
        <v>45652</v>
      </c>
      <c r="B990" s="3">
        <v>2024003822</v>
      </c>
      <c r="C990" s="3" t="s">
        <v>644</v>
      </c>
      <c r="D990" s="5">
        <v>3000000</v>
      </c>
      <c r="E990" s="3">
        <v>98391531</v>
      </c>
      <c r="F990" s="3" t="s">
        <v>645</v>
      </c>
      <c r="G990" t="s">
        <v>763</v>
      </c>
      <c r="I990" t="e">
        <f>VLOOKUP(C990,[1]Hoja1!$A$2:$N$29,1,0)</f>
        <v>#N/A</v>
      </c>
    </row>
    <row r="991" spans="1:9" hidden="1" x14ac:dyDescent="0.3">
      <c r="A991" s="2">
        <v>45652</v>
      </c>
      <c r="B991" s="3">
        <v>2024003823</v>
      </c>
      <c r="C991" s="3" t="s">
        <v>302</v>
      </c>
      <c r="D991" s="5">
        <v>3000000</v>
      </c>
      <c r="E991" s="3">
        <v>1085309422</v>
      </c>
      <c r="F991" s="3" t="s">
        <v>303</v>
      </c>
      <c r="G991" t="s">
        <v>763</v>
      </c>
      <c r="I991" t="e">
        <f>VLOOKUP(C991,[1]Hoja1!$A$2:$N$29,1,0)</f>
        <v>#N/A</v>
      </c>
    </row>
    <row r="992" spans="1:9" hidden="1" x14ac:dyDescent="0.3">
      <c r="A992" s="2">
        <v>45652</v>
      </c>
      <c r="B992" s="3">
        <v>2024003824</v>
      </c>
      <c r="C992" s="3" t="s">
        <v>296</v>
      </c>
      <c r="D992" s="5">
        <v>3000000</v>
      </c>
      <c r="E992" s="3">
        <v>1085272140</v>
      </c>
      <c r="F992" s="3" t="s">
        <v>297</v>
      </c>
      <c r="G992" t="s">
        <v>763</v>
      </c>
      <c r="I992" t="e">
        <f>VLOOKUP(C992,[1]Hoja1!$A$2:$N$29,1,0)</f>
        <v>#N/A</v>
      </c>
    </row>
    <row r="993" spans="1:9" hidden="1" x14ac:dyDescent="0.3">
      <c r="A993" s="2">
        <v>45652</v>
      </c>
      <c r="B993" s="3">
        <v>2024003826</v>
      </c>
      <c r="C993" s="3" t="s">
        <v>367</v>
      </c>
      <c r="D993" s="5">
        <v>2500000</v>
      </c>
      <c r="E993" s="3">
        <v>1085320930</v>
      </c>
      <c r="F993" s="3" t="s">
        <v>368</v>
      </c>
      <c r="G993" t="s">
        <v>763</v>
      </c>
      <c r="I993" t="e">
        <f>VLOOKUP(C993,[1]Hoja1!$A$2:$N$29,1,0)</f>
        <v>#N/A</v>
      </c>
    </row>
    <row r="994" spans="1:9" hidden="1" x14ac:dyDescent="0.3">
      <c r="A994" s="2">
        <v>45652</v>
      </c>
      <c r="B994" s="3">
        <v>2024003827</v>
      </c>
      <c r="C994" s="3" t="s">
        <v>85</v>
      </c>
      <c r="D994" s="5">
        <v>4825000</v>
      </c>
      <c r="E994" s="3">
        <v>37082349</v>
      </c>
      <c r="F994" s="3" t="s">
        <v>86</v>
      </c>
      <c r="G994" t="s">
        <v>763</v>
      </c>
      <c r="I994" t="e">
        <f>VLOOKUP(C994,[1]Hoja1!$A$2:$N$29,1,0)</f>
        <v>#N/A</v>
      </c>
    </row>
    <row r="995" spans="1:9" hidden="1" x14ac:dyDescent="0.3">
      <c r="A995" s="1">
        <v>45826</v>
      </c>
      <c r="B995">
        <v>2025000972</v>
      </c>
      <c r="C995" t="s">
        <v>16</v>
      </c>
      <c r="D995" s="4">
        <v>53181733</v>
      </c>
      <c r="E995">
        <v>900994364</v>
      </c>
      <c r="F995" t="s">
        <v>15</v>
      </c>
      <c r="G995" t="s">
        <v>763</v>
      </c>
      <c r="I995" t="str">
        <f>VLOOKUP(C995,[1]Hoja1!$A$2:$N$29,1,0)</f>
        <v>260-2025</v>
      </c>
    </row>
    <row r="996" spans="1:9" hidden="1" x14ac:dyDescent="0.3">
      <c r="A996" s="2">
        <v>45652</v>
      </c>
      <c r="B996" s="3">
        <v>2024003829</v>
      </c>
      <c r="C996" s="3" t="s">
        <v>276</v>
      </c>
      <c r="D996" s="5">
        <v>6000000</v>
      </c>
      <c r="E996" s="3">
        <v>37013610</v>
      </c>
      <c r="F996" s="3" t="s">
        <v>277</v>
      </c>
      <c r="G996" t="s">
        <v>763</v>
      </c>
      <c r="I996" t="e">
        <f>VLOOKUP(C996,[1]Hoja1!$A$2:$N$29,1,0)</f>
        <v>#N/A</v>
      </c>
    </row>
    <row r="997" spans="1:9" hidden="1" x14ac:dyDescent="0.3">
      <c r="A997" s="2">
        <v>45652</v>
      </c>
      <c r="B997" s="3">
        <v>2024003830</v>
      </c>
      <c r="C997" s="3" t="s">
        <v>748</v>
      </c>
      <c r="D997" s="5">
        <v>500000</v>
      </c>
      <c r="E997" s="3">
        <v>1080690337</v>
      </c>
      <c r="F997" s="3" t="s">
        <v>749</v>
      </c>
      <c r="G997" t="s">
        <v>763</v>
      </c>
      <c r="I997" t="e">
        <f>VLOOKUP(C997,[1]Hoja1!$A$2:$N$29,1,0)</f>
        <v>#N/A</v>
      </c>
    </row>
    <row r="998" spans="1:9" hidden="1" x14ac:dyDescent="0.3">
      <c r="A998" s="2">
        <v>45652</v>
      </c>
      <c r="B998" s="3">
        <v>2024003831</v>
      </c>
      <c r="C998" s="3" t="s">
        <v>748</v>
      </c>
      <c r="D998" s="5">
        <v>3000000</v>
      </c>
      <c r="E998" s="3">
        <v>1080690337</v>
      </c>
      <c r="F998" s="3" t="s">
        <v>749</v>
      </c>
      <c r="G998" t="s">
        <v>763</v>
      </c>
      <c r="I998" t="e">
        <f>VLOOKUP(C998,[1]Hoja1!$A$2:$N$29,1,0)</f>
        <v>#N/A</v>
      </c>
    </row>
    <row r="999" spans="1:9" hidden="1" x14ac:dyDescent="0.3">
      <c r="A999" s="2">
        <v>45652</v>
      </c>
      <c r="B999" s="3">
        <v>2024003833</v>
      </c>
      <c r="C999" s="3" t="s">
        <v>488</v>
      </c>
      <c r="D999" s="5">
        <v>3000000</v>
      </c>
      <c r="E999" s="3">
        <v>1085250095</v>
      </c>
      <c r="F999" s="3" t="s">
        <v>489</v>
      </c>
      <c r="G999" t="s">
        <v>763</v>
      </c>
      <c r="I999" t="e">
        <f>VLOOKUP(C999,[1]Hoja1!$A$2:$N$29,1,0)</f>
        <v>#N/A</v>
      </c>
    </row>
    <row r="1000" spans="1:9" hidden="1" x14ac:dyDescent="0.3">
      <c r="A1000" s="2">
        <v>45652</v>
      </c>
      <c r="B1000" s="3">
        <v>2024003834</v>
      </c>
      <c r="C1000" s="3" t="s">
        <v>554</v>
      </c>
      <c r="D1000" s="5">
        <v>7540000</v>
      </c>
      <c r="E1000" s="3">
        <v>87940284</v>
      </c>
      <c r="F1000" s="3" t="s">
        <v>555</v>
      </c>
      <c r="G1000" t="s">
        <v>763</v>
      </c>
      <c r="I1000" t="e">
        <f>VLOOKUP(C1000,[1]Hoja1!$A$2:$N$29,1,0)</f>
        <v>#N/A</v>
      </c>
    </row>
    <row r="1001" spans="1:9" hidden="1" x14ac:dyDescent="0.3">
      <c r="A1001" s="2">
        <v>45652</v>
      </c>
      <c r="B1001" s="3">
        <v>2024003836</v>
      </c>
      <c r="C1001" s="3" t="s">
        <v>534</v>
      </c>
      <c r="D1001" s="5">
        <v>3000000</v>
      </c>
      <c r="E1001" s="3">
        <v>1193224810</v>
      </c>
      <c r="F1001" s="3" t="s">
        <v>535</v>
      </c>
      <c r="G1001" t="s">
        <v>763</v>
      </c>
      <c r="I1001" t="e">
        <f>VLOOKUP(C1001,[1]Hoja1!$A$2:$N$29,1,0)</f>
        <v>#N/A</v>
      </c>
    </row>
    <row r="1002" spans="1:9" hidden="1" x14ac:dyDescent="0.3">
      <c r="A1002" s="2">
        <v>45652</v>
      </c>
      <c r="B1002" s="3">
        <v>2024003837</v>
      </c>
      <c r="C1002" s="3" t="s">
        <v>650</v>
      </c>
      <c r="D1002" s="5">
        <v>3000000</v>
      </c>
      <c r="E1002" s="3">
        <v>59313539</v>
      </c>
      <c r="F1002" s="3" t="s">
        <v>651</v>
      </c>
      <c r="G1002" t="s">
        <v>763</v>
      </c>
      <c r="I1002" t="e">
        <f>VLOOKUP(C1002,[1]Hoja1!$A$2:$N$29,1,0)</f>
        <v>#N/A</v>
      </c>
    </row>
    <row r="1003" spans="1:9" hidden="1" x14ac:dyDescent="0.3">
      <c r="A1003" s="2">
        <v>45652</v>
      </c>
      <c r="B1003" s="3">
        <v>2024003838</v>
      </c>
      <c r="C1003" s="3" t="s">
        <v>681</v>
      </c>
      <c r="D1003" s="5">
        <v>2500000</v>
      </c>
      <c r="E1003" s="3">
        <v>1085254615</v>
      </c>
      <c r="F1003" s="3" t="s">
        <v>682</v>
      </c>
      <c r="G1003" t="s">
        <v>763</v>
      </c>
      <c r="I1003" t="e">
        <f>VLOOKUP(C1003,[1]Hoja1!$A$2:$N$29,1,0)</f>
        <v>#N/A</v>
      </c>
    </row>
    <row r="1004" spans="1:9" hidden="1" x14ac:dyDescent="0.3">
      <c r="A1004" s="2">
        <v>45652</v>
      </c>
      <c r="B1004" s="3">
        <v>2024003839</v>
      </c>
      <c r="C1004" s="3" t="s">
        <v>416</v>
      </c>
      <c r="D1004" s="5">
        <v>6000000</v>
      </c>
      <c r="E1004" s="3">
        <v>27097745</v>
      </c>
      <c r="F1004" s="3" t="s">
        <v>417</v>
      </c>
      <c r="G1004" t="s">
        <v>763</v>
      </c>
      <c r="I1004" t="e">
        <f>VLOOKUP(C1004,[1]Hoja1!$A$2:$N$29,1,0)</f>
        <v>#N/A</v>
      </c>
    </row>
    <row r="1005" spans="1:9" hidden="1" x14ac:dyDescent="0.3">
      <c r="A1005" s="2">
        <v>45652</v>
      </c>
      <c r="B1005" s="3">
        <v>2024003840</v>
      </c>
      <c r="C1005" s="3" t="s">
        <v>498</v>
      </c>
      <c r="D1005" s="5">
        <v>3000000</v>
      </c>
      <c r="E1005" s="3">
        <v>1085338575</v>
      </c>
      <c r="F1005" s="3" t="s">
        <v>499</v>
      </c>
      <c r="G1005" t="s">
        <v>763</v>
      </c>
      <c r="I1005" t="e">
        <f>VLOOKUP(C1005,[1]Hoja1!$A$2:$N$29,1,0)</f>
        <v>#N/A</v>
      </c>
    </row>
    <row r="1006" spans="1:9" hidden="1" x14ac:dyDescent="0.3">
      <c r="A1006" s="2">
        <v>45652</v>
      </c>
      <c r="B1006" s="3">
        <v>2024003841</v>
      </c>
      <c r="C1006" s="3" t="s">
        <v>528</v>
      </c>
      <c r="D1006" s="5">
        <v>4750000</v>
      </c>
      <c r="E1006" s="3">
        <v>36950073</v>
      </c>
      <c r="F1006" s="3" t="s">
        <v>529</v>
      </c>
      <c r="G1006" t="s">
        <v>763</v>
      </c>
      <c r="I1006" t="e">
        <f>VLOOKUP(C1006,[1]Hoja1!$A$2:$N$29,1,0)</f>
        <v>#N/A</v>
      </c>
    </row>
    <row r="1007" spans="1:9" hidden="1" x14ac:dyDescent="0.3">
      <c r="A1007" s="2">
        <v>45652</v>
      </c>
      <c r="B1007" s="3">
        <v>2024003843</v>
      </c>
      <c r="C1007" s="3" t="s">
        <v>404</v>
      </c>
      <c r="D1007" s="5">
        <v>3000000</v>
      </c>
      <c r="E1007" s="3">
        <v>1085255972</v>
      </c>
      <c r="F1007" s="3" t="s">
        <v>405</v>
      </c>
      <c r="G1007" t="s">
        <v>763</v>
      </c>
      <c r="I1007" t="e">
        <f>VLOOKUP(C1007,[1]Hoja1!$A$2:$N$29,1,0)</f>
        <v>#N/A</v>
      </c>
    </row>
    <row r="1008" spans="1:9" hidden="1" x14ac:dyDescent="0.3">
      <c r="A1008" s="2">
        <v>45652</v>
      </c>
      <c r="B1008" s="3">
        <v>2024003844</v>
      </c>
      <c r="C1008" s="3" t="s">
        <v>436</v>
      </c>
      <c r="D1008" s="5">
        <v>4825000</v>
      </c>
      <c r="E1008" s="3">
        <v>1085265622</v>
      </c>
      <c r="F1008" s="3" t="s">
        <v>437</v>
      </c>
      <c r="G1008" t="s">
        <v>763</v>
      </c>
      <c r="I1008" t="e">
        <f>VLOOKUP(C1008,[1]Hoja1!$A$2:$N$29,1,0)</f>
        <v>#N/A</v>
      </c>
    </row>
    <row r="1009" spans="1:9" hidden="1" x14ac:dyDescent="0.3">
      <c r="A1009" s="2">
        <v>45652</v>
      </c>
      <c r="B1009" s="3">
        <v>2024003845</v>
      </c>
      <c r="C1009" s="3" t="s">
        <v>496</v>
      </c>
      <c r="D1009" s="5">
        <v>3000000</v>
      </c>
      <c r="E1009" s="3">
        <v>87070661</v>
      </c>
      <c r="F1009" s="3" t="s">
        <v>497</v>
      </c>
      <c r="G1009" t="s">
        <v>763</v>
      </c>
      <c r="I1009" t="e">
        <f>VLOOKUP(C1009,[1]Hoja1!$A$2:$N$29,1,0)</f>
        <v>#N/A</v>
      </c>
    </row>
    <row r="1010" spans="1:9" hidden="1" x14ac:dyDescent="0.3">
      <c r="A1010" s="2">
        <v>45652</v>
      </c>
      <c r="B1010" s="3">
        <v>2024003846</v>
      </c>
      <c r="C1010" s="3" t="s">
        <v>216</v>
      </c>
      <c r="D1010" s="5">
        <v>3000000</v>
      </c>
      <c r="E1010" s="3">
        <v>1233191675</v>
      </c>
      <c r="F1010" s="3" t="s">
        <v>217</v>
      </c>
      <c r="G1010" t="s">
        <v>763</v>
      </c>
      <c r="I1010" t="e">
        <f>VLOOKUP(C1010,[1]Hoja1!$A$2:$N$29,1,0)</f>
        <v>#N/A</v>
      </c>
    </row>
    <row r="1011" spans="1:9" hidden="1" x14ac:dyDescent="0.3">
      <c r="A1011" s="2">
        <v>45652</v>
      </c>
      <c r="B1011" s="3">
        <v>2024003848</v>
      </c>
      <c r="C1011" s="3" t="s">
        <v>652</v>
      </c>
      <c r="D1011" s="5">
        <v>3000000</v>
      </c>
      <c r="E1011" s="3">
        <v>1081053820</v>
      </c>
      <c r="F1011" s="3" t="s">
        <v>653</v>
      </c>
      <c r="G1011" t="s">
        <v>763</v>
      </c>
      <c r="I1011" t="e">
        <f>VLOOKUP(C1011,[1]Hoja1!$A$2:$N$29,1,0)</f>
        <v>#N/A</v>
      </c>
    </row>
    <row r="1012" spans="1:9" hidden="1" x14ac:dyDescent="0.3">
      <c r="A1012" s="2">
        <v>45652</v>
      </c>
      <c r="B1012" s="3">
        <v>2024003849</v>
      </c>
      <c r="C1012" s="3" t="s">
        <v>624</v>
      </c>
      <c r="D1012" s="5">
        <v>4825000</v>
      </c>
      <c r="E1012" s="3">
        <v>59177204</v>
      </c>
      <c r="F1012" s="3" t="s">
        <v>625</v>
      </c>
      <c r="G1012" t="s">
        <v>763</v>
      </c>
      <c r="I1012" t="e">
        <f>VLOOKUP(C1012,[1]Hoja1!$A$2:$N$29,1,0)</f>
        <v>#N/A</v>
      </c>
    </row>
    <row r="1013" spans="1:9" hidden="1" x14ac:dyDescent="0.3">
      <c r="A1013" s="2">
        <v>45652</v>
      </c>
      <c r="B1013" s="3">
        <v>2024003850</v>
      </c>
      <c r="C1013" s="3" t="s">
        <v>152</v>
      </c>
      <c r="D1013" s="5">
        <v>2500000</v>
      </c>
      <c r="E1013" s="3">
        <v>12974849</v>
      </c>
      <c r="F1013" s="3" t="s">
        <v>153</v>
      </c>
      <c r="G1013" t="s">
        <v>763</v>
      </c>
      <c r="I1013" t="e">
        <f>VLOOKUP(C1013,[1]Hoja1!$A$2:$N$29,1,0)</f>
        <v>#N/A</v>
      </c>
    </row>
    <row r="1014" spans="1:9" hidden="1" x14ac:dyDescent="0.3">
      <c r="A1014" s="2">
        <v>45652</v>
      </c>
      <c r="B1014" s="3">
        <v>2024003851</v>
      </c>
      <c r="C1014" s="3" t="s">
        <v>87</v>
      </c>
      <c r="D1014" s="5">
        <v>4750000</v>
      </c>
      <c r="E1014" s="3">
        <v>1085263018</v>
      </c>
      <c r="F1014" s="3" t="s">
        <v>88</v>
      </c>
      <c r="G1014" t="s">
        <v>763</v>
      </c>
      <c r="I1014" t="e">
        <f>VLOOKUP(C1014,[1]Hoja1!$A$2:$N$29,1,0)</f>
        <v>#N/A</v>
      </c>
    </row>
    <row r="1015" spans="1:9" hidden="1" x14ac:dyDescent="0.3">
      <c r="A1015" s="2">
        <v>45652</v>
      </c>
      <c r="B1015" s="3">
        <v>2024003852</v>
      </c>
      <c r="C1015" s="3" t="s">
        <v>578</v>
      </c>
      <c r="D1015" s="5">
        <v>3000000</v>
      </c>
      <c r="E1015" s="3">
        <v>59828916</v>
      </c>
      <c r="F1015" s="3" t="s">
        <v>579</v>
      </c>
      <c r="G1015" t="s">
        <v>763</v>
      </c>
      <c r="I1015" t="e">
        <f>VLOOKUP(C1015,[1]Hoja1!$A$2:$N$29,1,0)</f>
        <v>#N/A</v>
      </c>
    </row>
    <row r="1016" spans="1:9" hidden="1" x14ac:dyDescent="0.3">
      <c r="A1016" s="2">
        <v>45652</v>
      </c>
      <c r="B1016" s="3">
        <v>2024003854</v>
      </c>
      <c r="C1016" s="3" t="s">
        <v>500</v>
      </c>
      <c r="D1016" s="5">
        <v>2500000</v>
      </c>
      <c r="E1016" s="3">
        <v>30737741</v>
      </c>
      <c r="F1016" s="3" t="s">
        <v>501</v>
      </c>
      <c r="G1016" t="s">
        <v>763</v>
      </c>
      <c r="I1016" t="e">
        <f>VLOOKUP(C1016,[1]Hoja1!$A$2:$N$29,1,0)</f>
        <v>#N/A</v>
      </c>
    </row>
    <row r="1017" spans="1:9" hidden="1" x14ac:dyDescent="0.3">
      <c r="A1017" s="2">
        <v>45652</v>
      </c>
      <c r="B1017" s="3">
        <v>2024003855</v>
      </c>
      <c r="C1017" s="3" t="s">
        <v>504</v>
      </c>
      <c r="D1017" s="5">
        <v>4750000</v>
      </c>
      <c r="E1017" s="3">
        <v>1085318684</v>
      </c>
      <c r="F1017" s="3" t="s">
        <v>505</v>
      </c>
      <c r="G1017" t="s">
        <v>763</v>
      </c>
      <c r="I1017" t="e">
        <f>VLOOKUP(C1017,[1]Hoja1!$A$2:$N$29,1,0)</f>
        <v>#N/A</v>
      </c>
    </row>
    <row r="1018" spans="1:9" hidden="1" x14ac:dyDescent="0.3">
      <c r="A1018" s="2">
        <v>45652</v>
      </c>
      <c r="B1018" s="3">
        <v>2024003856</v>
      </c>
      <c r="C1018" s="3" t="s">
        <v>595</v>
      </c>
      <c r="D1018" s="5">
        <v>3000000</v>
      </c>
      <c r="E1018" s="3">
        <v>1081272318</v>
      </c>
      <c r="F1018" s="3" t="s">
        <v>596</v>
      </c>
      <c r="G1018" t="s">
        <v>763</v>
      </c>
      <c r="I1018" t="e">
        <f>VLOOKUP(C1018,[1]Hoja1!$A$2:$N$29,1,0)</f>
        <v>#N/A</v>
      </c>
    </row>
    <row r="1019" spans="1:9" hidden="1" x14ac:dyDescent="0.3">
      <c r="A1019" s="2">
        <v>45652</v>
      </c>
      <c r="B1019" s="3">
        <v>2024003857</v>
      </c>
      <c r="C1019" s="3" t="s">
        <v>648</v>
      </c>
      <c r="D1019" s="5">
        <v>2500000</v>
      </c>
      <c r="E1019" s="3">
        <v>1085318898</v>
      </c>
      <c r="F1019" s="3" t="s">
        <v>649</v>
      </c>
      <c r="G1019" t="s">
        <v>763</v>
      </c>
      <c r="I1019" t="e">
        <f>VLOOKUP(C1019,[1]Hoja1!$A$2:$N$29,1,0)</f>
        <v>#N/A</v>
      </c>
    </row>
    <row r="1020" spans="1:9" hidden="1" x14ac:dyDescent="0.3">
      <c r="A1020" s="2">
        <v>45652</v>
      </c>
      <c r="B1020" s="3">
        <v>2024003858</v>
      </c>
      <c r="C1020" s="3" t="s">
        <v>490</v>
      </c>
      <c r="D1020" s="5">
        <v>4750000</v>
      </c>
      <c r="E1020" s="3">
        <v>1085318201</v>
      </c>
      <c r="F1020" s="3" t="s">
        <v>491</v>
      </c>
      <c r="G1020" t="s">
        <v>763</v>
      </c>
      <c r="I1020" t="e">
        <f>VLOOKUP(C1020,[1]Hoja1!$A$2:$N$29,1,0)</f>
        <v>#N/A</v>
      </c>
    </row>
    <row r="1021" spans="1:9" hidden="1" x14ac:dyDescent="0.3">
      <c r="A1021" s="2">
        <v>45652</v>
      </c>
      <c r="B1021" s="3">
        <v>2024003859</v>
      </c>
      <c r="C1021" s="3" t="s">
        <v>750</v>
      </c>
      <c r="D1021" s="5">
        <v>2691100</v>
      </c>
      <c r="E1021" s="3">
        <v>59830379</v>
      </c>
      <c r="F1021" s="3" t="s">
        <v>751</v>
      </c>
      <c r="G1021" t="s">
        <v>763</v>
      </c>
      <c r="I1021" t="e">
        <f>VLOOKUP(C1021,[1]Hoja1!$A$2:$N$29,1,0)</f>
        <v>#N/A</v>
      </c>
    </row>
    <row r="1022" spans="1:9" hidden="1" x14ac:dyDescent="0.3">
      <c r="A1022" s="2">
        <v>45652</v>
      </c>
      <c r="B1022" s="3">
        <v>2024003860</v>
      </c>
      <c r="C1022" s="3" t="s">
        <v>414</v>
      </c>
      <c r="D1022" s="5">
        <v>2500000</v>
      </c>
      <c r="E1022" s="3">
        <v>59311646</v>
      </c>
      <c r="F1022" s="3" t="s">
        <v>415</v>
      </c>
      <c r="G1022" t="s">
        <v>763</v>
      </c>
      <c r="I1022" t="e">
        <f>VLOOKUP(C1022,[1]Hoja1!$A$2:$N$29,1,0)</f>
        <v>#N/A</v>
      </c>
    </row>
    <row r="1023" spans="1:9" hidden="1" x14ac:dyDescent="0.3">
      <c r="A1023" s="2">
        <v>45652</v>
      </c>
      <c r="B1023" s="3">
        <v>2024003861</v>
      </c>
      <c r="C1023" s="3" t="s">
        <v>490</v>
      </c>
      <c r="D1023" s="5">
        <v>4750000</v>
      </c>
      <c r="E1023" s="3">
        <v>1085318201</v>
      </c>
      <c r="F1023" s="3" t="s">
        <v>491</v>
      </c>
      <c r="G1023" t="s">
        <v>763</v>
      </c>
      <c r="I1023" t="e">
        <f>VLOOKUP(C1023,[1]Hoja1!$A$2:$N$29,1,0)</f>
        <v>#N/A</v>
      </c>
    </row>
    <row r="1024" spans="1:9" hidden="1" x14ac:dyDescent="0.3">
      <c r="A1024" s="2">
        <v>45652</v>
      </c>
      <c r="B1024" s="3">
        <v>2024003862</v>
      </c>
      <c r="C1024" s="3" t="s">
        <v>675</v>
      </c>
      <c r="D1024" s="5">
        <v>4825000</v>
      </c>
      <c r="E1024" s="3">
        <v>1085319572</v>
      </c>
      <c r="F1024" s="3" t="s">
        <v>676</v>
      </c>
      <c r="G1024" t="s">
        <v>763</v>
      </c>
      <c r="I1024" t="e">
        <f>VLOOKUP(C1024,[1]Hoja1!$A$2:$N$29,1,0)</f>
        <v>#N/A</v>
      </c>
    </row>
    <row r="1025" spans="1:9" hidden="1" x14ac:dyDescent="0.3">
      <c r="A1025" s="2">
        <v>45652</v>
      </c>
      <c r="B1025" s="3">
        <v>2024003863</v>
      </c>
      <c r="C1025" s="3" t="s">
        <v>750</v>
      </c>
      <c r="D1025" s="5">
        <v>4750000</v>
      </c>
      <c r="E1025" s="3">
        <v>59830379</v>
      </c>
      <c r="F1025" s="3" t="s">
        <v>751</v>
      </c>
      <c r="G1025" t="s">
        <v>763</v>
      </c>
      <c r="I1025" t="e">
        <f>VLOOKUP(C1025,[1]Hoja1!$A$2:$N$29,1,0)</f>
        <v>#N/A</v>
      </c>
    </row>
    <row r="1026" spans="1:9" hidden="1" x14ac:dyDescent="0.3">
      <c r="A1026" s="2">
        <v>45652</v>
      </c>
      <c r="B1026" s="3">
        <v>2024003864</v>
      </c>
      <c r="C1026" s="3" t="s">
        <v>582</v>
      </c>
      <c r="D1026" s="5">
        <v>4825000</v>
      </c>
      <c r="E1026" s="3">
        <v>52048780</v>
      </c>
      <c r="F1026" s="3" t="s">
        <v>583</v>
      </c>
      <c r="G1026" t="s">
        <v>763</v>
      </c>
      <c r="I1026" t="e">
        <f>VLOOKUP(C1026,[1]Hoja1!$A$2:$N$29,1,0)</f>
        <v>#N/A</v>
      </c>
    </row>
    <row r="1027" spans="1:9" hidden="1" x14ac:dyDescent="0.3">
      <c r="A1027" s="2">
        <v>45652</v>
      </c>
      <c r="B1027" s="3">
        <v>2024003865</v>
      </c>
      <c r="C1027" s="3" t="s">
        <v>564</v>
      </c>
      <c r="D1027" s="5">
        <v>4825000</v>
      </c>
      <c r="E1027" s="3">
        <v>1004508471</v>
      </c>
      <c r="F1027" s="3" t="s">
        <v>565</v>
      </c>
      <c r="G1027" t="s">
        <v>763</v>
      </c>
      <c r="I1027" t="e">
        <f>VLOOKUP(C1027,[1]Hoja1!$A$2:$N$29,1,0)</f>
        <v>#N/A</v>
      </c>
    </row>
    <row r="1028" spans="1:9" hidden="1" x14ac:dyDescent="0.3">
      <c r="A1028" s="2">
        <v>45653</v>
      </c>
      <c r="B1028" s="3">
        <v>2024003935</v>
      </c>
      <c r="C1028" s="3" t="s">
        <v>713</v>
      </c>
      <c r="D1028" s="5">
        <v>4750000</v>
      </c>
      <c r="E1028" s="3">
        <v>1085334685</v>
      </c>
      <c r="F1028" s="3" t="s">
        <v>714</v>
      </c>
      <c r="G1028" t="s">
        <v>763</v>
      </c>
      <c r="I1028" t="e">
        <f>VLOOKUP(C1028,[1]Hoja1!$A$2:$N$29,1,0)</f>
        <v>#N/A</v>
      </c>
    </row>
    <row r="1029" spans="1:9" hidden="1" x14ac:dyDescent="0.3">
      <c r="A1029" s="2">
        <v>45653</v>
      </c>
      <c r="B1029" s="3">
        <v>2024003936</v>
      </c>
      <c r="C1029" s="3" t="s">
        <v>724</v>
      </c>
      <c r="D1029" s="5">
        <v>6000000</v>
      </c>
      <c r="E1029" s="3">
        <v>1084228089</v>
      </c>
      <c r="F1029" s="3" t="s">
        <v>725</v>
      </c>
      <c r="G1029" t="s">
        <v>763</v>
      </c>
      <c r="I1029" t="e">
        <f>VLOOKUP(C1029,[1]Hoja1!$A$2:$N$29,1,0)</f>
        <v>#N/A</v>
      </c>
    </row>
    <row r="1030" spans="1:9" hidden="1" x14ac:dyDescent="0.3">
      <c r="A1030" s="2">
        <v>45653</v>
      </c>
      <c r="B1030" s="3">
        <v>2024003938</v>
      </c>
      <c r="C1030" s="3" t="s">
        <v>631</v>
      </c>
      <c r="D1030" s="5">
        <v>4825000</v>
      </c>
      <c r="E1030" s="3">
        <v>59835376</v>
      </c>
      <c r="F1030" s="3" t="s">
        <v>632</v>
      </c>
      <c r="G1030" t="s">
        <v>763</v>
      </c>
      <c r="I1030" t="e">
        <f>VLOOKUP(C1030,[1]Hoja1!$A$2:$N$29,1,0)</f>
        <v>#N/A</v>
      </c>
    </row>
    <row r="1031" spans="1:9" hidden="1" x14ac:dyDescent="0.3">
      <c r="A1031" s="2">
        <v>45653</v>
      </c>
      <c r="B1031" s="3">
        <v>2024003939</v>
      </c>
      <c r="C1031" s="3" t="s">
        <v>538</v>
      </c>
      <c r="D1031" s="5">
        <v>3000000</v>
      </c>
      <c r="E1031" s="3">
        <v>1004216993</v>
      </c>
      <c r="F1031" s="3" t="s">
        <v>539</v>
      </c>
      <c r="G1031" t="s">
        <v>763</v>
      </c>
      <c r="I1031" t="e">
        <f>VLOOKUP(C1031,[1]Hoja1!$A$2:$N$29,1,0)</f>
        <v>#N/A</v>
      </c>
    </row>
    <row r="1032" spans="1:9" hidden="1" x14ac:dyDescent="0.3">
      <c r="A1032" s="2">
        <v>45653</v>
      </c>
      <c r="B1032" s="3">
        <v>2024003942</v>
      </c>
      <c r="C1032" s="3" t="s">
        <v>752</v>
      </c>
      <c r="D1032" s="5">
        <v>20049120</v>
      </c>
      <c r="E1032" s="3">
        <v>900441119</v>
      </c>
      <c r="F1032" s="3" t="s">
        <v>131</v>
      </c>
      <c r="G1032" t="s">
        <v>763</v>
      </c>
      <c r="I1032" t="e">
        <f>VLOOKUP(C1032,[1]Hoja1!$A$2:$N$29,1,0)</f>
        <v>#N/A</v>
      </c>
    </row>
    <row r="1033" spans="1:9" hidden="1" x14ac:dyDescent="0.3">
      <c r="A1033" s="2">
        <v>45653</v>
      </c>
      <c r="B1033" s="3">
        <v>2024003943</v>
      </c>
      <c r="C1033" s="3" t="s">
        <v>753</v>
      </c>
      <c r="D1033" s="5">
        <v>33001556</v>
      </c>
      <c r="E1033" s="3">
        <v>12746875</v>
      </c>
      <c r="F1033" s="3" t="s">
        <v>754</v>
      </c>
      <c r="G1033" t="s">
        <v>763</v>
      </c>
      <c r="I1033" t="e">
        <f>VLOOKUP(C1033,[1]Hoja1!$A$2:$N$29,1,0)</f>
        <v>#N/A</v>
      </c>
    </row>
    <row r="1034" spans="1:9" hidden="1" x14ac:dyDescent="0.3">
      <c r="A1034" s="1">
        <v>45805</v>
      </c>
      <c r="B1034">
        <v>2025000792</v>
      </c>
      <c r="C1034" t="s">
        <v>14</v>
      </c>
      <c r="D1034" s="4">
        <v>73000000</v>
      </c>
      <c r="E1034">
        <v>900994364</v>
      </c>
      <c r="F1034" t="s">
        <v>15</v>
      </c>
      <c r="G1034" t="s">
        <v>763</v>
      </c>
      <c r="I1034" t="str">
        <f>VLOOKUP(C1034,[1]Hoja1!$A$2:$N$29,1,0)</f>
        <v>259-2025</v>
      </c>
    </row>
    <row r="1035" spans="1:9" x14ac:dyDescent="0.3">
      <c r="A1035" s="1">
        <v>45828</v>
      </c>
      <c r="B1035">
        <v>2025001006</v>
      </c>
      <c r="C1035" t="s">
        <v>14</v>
      </c>
      <c r="D1035" s="4">
        <v>73000000</v>
      </c>
      <c r="E1035">
        <v>900994364</v>
      </c>
      <c r="F1035" t="s">
        <v>15</v>
      </c>
      <c r="G1035" t="s">
        <v>763</v>
      </c>
      <c r="H1035" t="s">
        <v>765</v>
      </c>
      <c r="I1035" t="str">
        <f>VLOOKUP(C1035,[1]Hoja1!$A$2:$N$29,1,0)</f>
        <v>259-2025</v>
      </c>
    </row>
    <row r="1036" spans="1:9" hidden="1" x14ac:dyDescent="0.3">
      <c r="A1036" s="2">
        <v>45643</v>
      </c>
      <c r="B1036" s="3">
        <v>2024003356</v>
      </c>
      <c r="C1036" s="3" t="s">
        <v>705</v>
      </c>
      <c r="D1036" s="5">
        <v>1082900</v>
      </c>
      <c r="E1036" s="3">
        <v>30722194</v>
      </c>
      <c r="F1036" s="3" t="s">
        <v>706</v>
      </c>
      <c r="G1036" t="s">
        <v>763</v>
      </c>
      <c r="I1036" t="str">
        <f>VLOOKUP(C1036,[1]Hoja1!$A$2:$N$29,1,0)</f>
        <v>1033-2024</v>
      </c>
    </row>
    <row r="1037" spans="1:9" x14ac:dyDescent="0.3">
      <c r="A1037" s="6">
        <v>45649</v>
      </c>
      <c r="B1037" s="7">
        <v>2024003607</v>
      </c>
      <c r="C1037" s="7" t="s">
        <v>705</v>
      </c>
      <c r="D1037" s="8">
        <v>2491000</v>
      </c>
      <c r="E1037" s="7">
        <v>30722194</v>
      </c>
      <c r="F1037" s="7" t="s">
        <v>706</v>
      </c>
      <c r="G1037" s="9" t="s">
        <v>763</v>
      </c>
      <c r="H1037" s="9" t="s">
        <v>765</v>
      </c>
      <c r="I1037" t="str">
        <f>VLOOKUP(C1037,[1]Hoja1!$A$2:$N$29,1,0)</f>
        <v>1033-2024</v>
      </c>
    </row>
    <row r="1038" spans="1:9" x14ac:dyDescent="0.3">
      <c r="A1038" s="2">
        <v>45653</v>
      </c>
      <c r="B1038" s="3">
        <v>2024003944</v>
      </c>
      <c r="C1038" s="3" t="s">
        <v>755</v>
      </c>
      <c r="D1038" s="5">
        <v>25704000</v>
      </c>
      <c r="E1038" s="3">
        <v>830004892</v>
      </c>
      <c r="F1038" s="3" t="s">
        <v>74</v>
      </c>
      <c r="G1038" t="s">
        <v>763</v>
      </c>
      <c r="H1038" t="s">
        <v>765</v>
      </c>
      <c r="I1038" t="str">
        <f>VLOOKUP(C1038,[1]Hoja1!$A$2:$N$29,1,0)</f>
        <v>1022-2024</v>
      </c>
    </row>
  </sheetData>
  <autoFilter ref="A1:I1038" xr:uid="{00000000-0001-0000-0000-000000000000}">
    <filterColumn colId="7">
      <customFilters>
        <customFilter operator="notEqual" val=" "/>
      </customFilters>
    </filterColumn>
    <filterColumn colId="8">
      <filters>
        <filter val="1022-2024"/>
        <filter val="1033-2024"/>
        <filter val="259-2025"/>
        <filter val="260-2025"/>
        <filter val="292-2025"/>
        <filter val="641-2024"/>
        <filter val="647-2024"/>
        <filter val="668-2024"/>
        <filter val="701-2024"/>
        <filter val="704-2024"/>
        <filter val="779-2024"/>
        <filter val="875-2024"/>
        <filter val="888-2024"/>
        <filter val="889-2024"/>
        <filter val="890-2024"/>
        <filter val="891-2024"/>
        <filter val="921-2024"/>
        <filter val="964-2024"/>
        <filter val="967-2024"/>
        <filter val="978-2024"/>
      </filters>
    </filterColumn>
    <sortState xmlns:xlrd2="http://schemas.microsoft.com/office/spreadsheetml/2017/richdata2" ref="A2:I1038">
      <sortCondition descending="1" ref="C1:C1038"/>
    </sortState>
  </autoFilter>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borrar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JULIANA NO TENGO LOPEZ BURBANO</cp:lastModifiedBy>
  <dcterms:created xsi:type="dcterms:W3CDTF">2015-06-05T18:19:34Z</dcterms:created>
  <dcterms:modified xsi:type="dcterms:W3CDTF">2025-12-15T14:42:25Z</dcterms:modified>
</cp:coreProperties>
</file>