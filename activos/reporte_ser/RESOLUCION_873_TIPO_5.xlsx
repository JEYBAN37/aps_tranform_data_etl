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1373998A-EE52-4F9E-B59A-2CB4DDD5E099}" xr6:coauthVersionLast="47" xr6:coauthVersionMax="47" xr10:uidLastSave="{00000000-0000-0000-0000-000000000000}"/>
  <bookViews>
    <workbookView xWindow="28680" yWindow="-120" windowWidth="29040" windowHeight="15720" xr2:uid="{00000000-000D-0000-FFFF-FFFF00000000}"/>
  </bookViews>
  <sheets>
    <sheet name="CARGAR" sheetId="2" r:id="rId1"/>
    <sheet name="Hoja1" sheetId="1" r:id="rId2"/>
  </sheets>
  <externalReferences>
    <externalReference r:id="rId3"/>
  </externalReferences>
  <definedNames>
    <definedName name="_xlnm._FilterDatabase" localSheetId="1" hidden="1">Hoja1!$A$1:$J$321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7" i="1" l="1"/>
  <c r="H318" i="1"/>
  <c r="H319" i="1"/>
  <c r="H316" i="1"/>
  <c r="H320" i="1"/>
  <c r="H321" i="1"/>
  <c r="H171" i="1"/>
  <c r="H11" i="1"/>
  <c r="H260" i="1"/>
  <c r="H257" i="1"/>
  <c r="H273" i="1"/>
  <c r="H227" i="1"/>
  <c r="H187"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5" i="1"/>
  <c r="H280" i="1"/>
  <c r="H276" i="1" l="1"/>
  <c r="H274" i="1"/>
  <c r="H270" i="1"/>
  <c r="H271" i="1"/>
  <c r="H266" i="1"/>
  <c r="H265" i="1"/>
  <c r="H272" i="1"/>
  <c r="H268" i="1"/>
  <c r="H269" i="1"/>
  <c r="H275" i="1"/>
  <c r="H278" i="1"/>
  <c r="H3" i="1"/>
  <c r="H4" i="1"/>
  <c r="H5" i="1"/>
  <c r="H6" i="1"/>
  <c r="H7" i="1"/>
  <c r="H8" i="1"/>
  <c r="H9" i="1"/>
  <c r="H10"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126"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55"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86" i="1"/>
  <c r="H156" i="1"/>
  <c r="H157" i="1"/>
  <c r="H158" i="1"/>
  <c r="H159" i="1"/>
  <c r="H160" i="1"/>
  <c r="H161" i="1"/>
  <c r="H162" i="1"/>
  <c r="H163" i="1"/>
  <c r="H279" i="1"/>
  <c r="H165" i="1"/>
  <c r="H166" i="1"/>
  <c r="H167" i="1"/>
  <c r="H168" i="1"/>
  <c r="H169" i="1"/>
  <c r="H170" i="1"/>
  <c r="H85" i="1"/>
  <c r="H172" i="1"/>
  <c r="H173" i="1"/>
  <c r="H174" i="1"/>
  <c r="H175" i="1"/>
  <c r="H176" i="1"/>
  <c r="H177" i="1"/>
  <c r="H178" i="1"/>
  <c r="H179" i="1"/>
  <c r="H180" i="1"/>
  <c r="H181" i="1"/>
  <c r="H182" i="1"/>
  <c r="H183" i="1"/>
  <c r="H184" i="1"/>
  <c r="H185" i="1"/>
  <c r="H196" i="1"/>
  <c r="H188" i="1"/>
  <c r="H189" i="1"/>
  <c r="H190" i="1"/>
  <c r="H191" i="1"/>
  <c r="H192" i="1"/>
  <c r="H193" i="1"/>
  <c r="H194" i="1"/>
  <c r="H195" i="1"/>
  <c r="H199" i="1"/>
  <c r="H197" i="1"/>
  <c r="H229" i="1"/>
  <c r="H246" i="1"/>
  <c r="H201" i="1"/>
  <c r="H202" i="1"/>
  <c r="H203" i="1"/>
  <c r="H204" i="1"/>
  <c r="H205" i="1"/>
  <c r="H206" i="1"/>
  <c r="H207" i="1"/>
  <c r="H208" i="1"/>
  <c r="H209" i="1"/>
  <c r="H210" i="1"/>
  <c r="H211" i="1"/>
  <c r="H200" i="1"/>
  <c r="H213" i="1"/>
  <c r="H214" i="1"/>
  <c r="H215" i="1"/>
  <c r="H216" i="1"/>
  <c r="H217" i="1"/>
  <c r="H218" i="1"/>
  <c r="H219" i="1"/>
  <c r="H220" i="1"/>
  <c r="H212" i="1"/>
  <c r="H221" i="1"/>
  <c r="H224" i="1"/>
  <c r="H222" i="1"/>
  <c r="H226" i="1"/>
  <c r="H223" i="1"/>
  <c r="H225" i="1"/>
  <c r="H164" i="1"/>
  <c r="H230" i="1"/>
  <c r="H231" i="1"/>
  <c r="H232" i="1"/>
  <c r="H233" i="1"/>
  <c r="H234" i="1"/>
  <c r="H235" i="1"/>
  <c r="H236" i="1"/>
  <c r="H237" i="1"/>
  <c r="H238" i="1"/>
  <c r="H239" i="1"/>
  <c r="H240" i="1"/>
  <c r="H228" i="1"/>
  <c r="H242" i="1"/>
  <c r="H243" i="1"/>
  <c r="H244" i="1"/>
  <c r="H245" i="1"/>
  <c r="H241" i="1"/>
  <c r="H247" i="1"/>
  <c r="H248" i="1"/>
  <c r="H249" i="1"/>
  <c r="H250" i="1"/>
  <c r="H251" i="1"/>
  <c r="H252" i="1"/>
  <c r="H253" i="1"/>
  <c r="H254" i="1"/>
  <c r="H255" i="1"/>
  <c r="H256" i="1"/>
  <c r="H281" i="1"/>
  <c r="H258" i="1"/>
  <c r="H259" i="1"/>
  <c r="H198" i="1"/>
  <c r="H261" i="1"/>
  <c r="H262" i="1"/>
  <c r="H263" i="1"/>
  <c r="H264" i="1"/>
  <c r="H314" i="1"/>
  <c r="H267" i="1"/>
  <c r="H2" i="1"/>
</calcChain>
</file>

<file path=xl/sharedStrings.xml><?xml version="1.0" encoding="utf-8"?>
<sst xmlns="http://schemas.openxmlformats.org/spreadsheetml/2006/main" count="3987" uniqueCount="1333">
  <si>
    <t>fecha</t>
  </si>
  <si>
    <t>orden</t>
  </si>
  <si>
    <t>numero_contrato</t>
  </si>
  <si>
    <t>valor</t>
  </si>
  <si>
    <t>nit</t>
  </si>
  <si>
    <t>razon</t>
  </si>
  <si>
    <t>id_recurso</t>
  </si>
  <si>
    <t>375-2025</t>
  </si>
  <si>
    <t>ANA MILENA JACANMIJOY TREJO</t>
  </si>
  <si>
    <t>466-2025</t>
  </si>
  <si>
    <t>NICOLAS ALEJANDRO ROSERO MORILLO</t>
  </si>
  <si>
    <t>450-2025</t>
  </si>
  <si>
    <t>LEYDI GISELLA BENAVIDES LÒPEZ</t>
  </si>
  <si>
    <t>442-2025</t>
  </si>
  <si>
    <t>ANA GLAIR ESTRADA CASTILLO</t>
  </si>
  <si>
    <t>471-2025</t>
  </si>
  <si>
    <t>MARIA  CAMILA JURADO PAZ</t>
  </si>
  <si>
    <t>443-2025</t>
  </si>
  <si>
    <t>MARIA ISABEL VELASCOS ROSERO</t>
  </si>
  <si>
    <t>494-2025</t>
  </si>
  <si>
    <t>NEIRA JIMENA CASTILLO ARMERO</t>
  </si>
  <si>
    <t>452-2025</t>
  </si>
  <si>
    <t>ISABELA CATALINA CALDERON MERA</t>
  </si>
  <si>
    <t>474-2025</t>
  </si>
  <si>
    <t>NICOLAS EMILIO MENA  JOJOA</t>
  </si>
  <si>
    <t>501-2025</t>
  </si>
  <si>
    <t>FUNDACIÓN CALIDAD DE VIDA Y ESPERANZA</t>
  </si>
  <si>
    <t>464-2025</t>
  </si>
  <si>
    <t>ELIANA STEPHANIE CAICEDO ALVAREZ</t>
  </si>
  <si>
    <t>459-2025</t>
  </si>
  <si>
    <t>LYNN JANINA ORTIZ PAZ</t>
  </si>
  <si>
    <t>454-2025</t>
  </si>
  <si>
    <t>FRANCISCO  RAFAEL ORTÍZ BENÌTEZ</t>
  </si>
  <si>
    <t>507-2025</t>
  </si>
  <si>
    <t>ANYI NATALY FARINANGO CHAVEZ</t>
  </si>
  <si>
    <t>467-2025</t>
  </si>
  <si>
    <t>PAULA ANDREA ROCHA DELGADO</t>
  </si>
  <si>
    <t>461-2025</t>
  </si>
  <si>
    <t>ANA VICTORIA ORTEGA GOMEZ</t>
  </si>
  <si>
    <t>510-2025</t>
  </si>
  <si>
    <t>PAULA ANDREA PRADO ACOSTA</t>
  </si>
  <si>
    <t>473-2025</t>
  </si>
  <si>
    <t>JUANITA MAYLIN VELASQUEZ REVELO</t>
  </si>
  <si>
    <t>468-2025</t>
  </si>
  <si>
    <t>DIANA MARIA ERASO ALAVA</t>
  </si>
  <si>
    <t>490-2025</t>
  </si>
  <si>
    <t>MARILYN  ZAMBRANO OBANDO</t>
  </si>
  <si>
    <t>453-2025</t>
  </si>
  <si>
    <t>DANIELA ALEXANDRA DIAZ GUERRERO</t>
  </si>
  <si>
    <t>491-2025</t>
  </si>
  <si>
    <t>MARIA ISABEL ALVAREZ CAICEDO</t>
  </si>
  <si>
    <t>543-2025</t>
  </si>
  <si>
    <t>YULLI KAROLINA CASTILLO PAZ</t>
  </si>
  <si>
    <t>458-2025</t>
  </si>
  <si>
    <t>MARIBEL DEL CARMEN MAIGUAL MUÑOZ</t>
  </si>
  <si>
    <t>539-2025</t>
  </si>
  <si>
    <t>CAROL  SUVANY HERRERA ERAZO</t>
  </si>
  <si>
    <t>493-2025</t>
  </si>
  <si>
    <t>CAMILO JAVIER OÑATE BUCHELI</t>
  </si>
  <si>
    <t>524-2025</t>
  </si>
  <si>
    <t>SOFIA ESMERALDA MEJIA ORTÍZ</t>
  </si>
  <si>
    <t>477-2025</t>
  </si>
  <si>
    <t>LIZETH MARCELA ORTÌZ MUÑOZ</t>
  </si>
  <si>
    <t>499-2025</t>
  </si>
  <si>
    <t>ANGIE VIVIANA SACANAMBUY PAZ</t>
  </si>
  <si>
    <t>455-2025</t>
  </si>
  <si>
    <t>JUAN ESTEBAN OBANDO ORDOÑEZ</t>
  </si>
  <si>
    <t>518-2025</t>
  </si>
  <si>
    <t>KAROL DAYANA TONGUINO TORO</t>
  </si>
  <si>
    <t>476-2025</t>
  </si>
  <si>
    <t>LAUREN AZENITH CORAL SAMUDIO</t>
  </si>
  <si>
    <t>537-2025</t>
  </si>
  <si>
    <t>JESSICA GRACE HERNANDEZ RIASCOS</t>
  </si>
  <si>
    <t>517-2025</t>
  </si>
  <si>
    <t>JOSE JAVIER PINTA YAQUENO</t>
  </si>
  <si>
    <t>513-2025</t>
  </si>
  <si>
    <t>PATRICIA YOLANDA PAZ  DELGADO</t>
  </si>
  <si>
    <t>516-2025</t>
  </si>
  <si>
    <t>JAQUELINE CAMILA GENOY VILLOTA</t>
  </si>
  <si>
    <t>495-2025</t>
  </si>
  <si>
    <t>PAOLA VIVIANA HIDALGO MARCILLO</t>
  </si>
  <si>
    <t>536-2025</t>
  </si>
  <si>
    <t>CLARA INES APRAEZ GOMEZ</t>
  </si>
  <si>
    <t>521-2025</t>
  </si>
  <si>
    <t>ALBA DENIS ARGOTY SANTACRUZ</t>
  </si>
  <si>
    <t>509-2025</t>
  </si>
  <si>
    <t xml:space="preserve">CLARA MARIA ACOSTA </t>
  </si>
  <si>
    <t>472-2025</t>
  </si>
  <si>
    <t xml:space="preserve">JOHANA KATERINE GONZALEZ </t>
  </si>
  <si>
    <t>489-2025</t>
  </si>
  <si>
    <t>EVELYN  FERNANDA ACOSTA CHICAIZA</t>
  </si>
  <si>
    <t>465-2025</t>
  </si>
  <si>
    <t>JAVIER FERNANDO CHILANGUAD CABRERA</t>
  </si>
  <si>
    <t>478-2025</t>
  </si>
  <si>
    <t>PABLO ERNESTO RIOBAMBA IPIALES</t>
  </si>
  <si>
    <t>527-2025</t>
  </si>
  <si>
    <t>JANETH EMILSE DIAZ  ARCINIEGAS</t>
  </si>
  <si>
    <t>480-2025</t>
  </si>
  <si>
    <t>NATHALY STEPHANIE MARTINEZ MARTINEZ</t>
  </si>
  <si>
    <t>482-2025</t>
  </si>
  <si>
    <t>JULIE ANDREA FREIRE MIER</t>
  </si>
  <si>
    <t>483-2025</t>
  </si>
  <si>
    <t>LISSETH MARISOL CUASTUMAL  CASTRO</t>
  </si>
  <si>
    <t>573-2025</t>
  </si>
  <si>
    <t>BRIGIT ESNIT GARCIA MANCHABAJOY</t>
  </si>
  <si>
    <t>568-2025</t>
  </si>
  <si>
    <t>CRISTIAN FABIAN CRIOLLO RIVERA</t>
  </si>
  <si>
    <t>572-2025</t>
  </si>
  <si>
    <t>DANIELA FERNANDA ERASO VALENCIA</t>
  </si>
  <si>
    <t>552-2025</t>
  </si>
  <si>
    <t>FHALOM CAROLINA ROSERO TORRES</t>
  </si>
  <si>
    <t>504-2025</t>
  </si>
  <si>
    <t>LADY CAROLINA TIBAQUIRA BALLESTEROS</t>
  </si>
  <si>
    <t>592-2025</t>
  </si>
  <si>
    <t>ZAMBRANO ONOFRE MYRIAM ADRIANA</t>
  </si>
  <si>
    <t>606-2025</t>
  </si>
  <si>
    <t>JEFFERSON RIGO LEITON RODRIGUEZ</t>
  </si>
  <si>
    <t>565-2025</t>
  </si>
  <si>
    <t>EDIER ERNEY CORDOBA ROJAS</t>
  </si>
  <si>
    <t>498-2025</t>
  </si>
  <si>
    <t>ANGIE GABRIELA ENRIQUEZ TACAN</t>
  </si>
  <si>
    <t>575-2025</t>
  </si>
  <si>
    <t>ANA ALEJANDRA SALAZAR  RAMIREZ</t>
  </si>
  <si>
    <t>607-2025</t>
  </si>
  <si>
    <t>JERSON LEODAN LEITON TORO</t>
  </si>
  <si>
    <t>462-2025</t>
  </si>
  <si>
    <t>ALEXANDRA  GONZALEZ HORTA</t>
  </si>
  <si>
    <t>500-2025</t>
  </si>
  <si>
    <t>MIRYAM  ELIZABETH POPAYAN PASCUAZA</t>
  </si>
  <si>
    <t>514-2025</t>
  </si>
  <si>
    <t>KELLY YURANY JOJOA BOTINA</t>
  </si>
  <si>
    <t>502-2025</t>
  </si>
  <si>
    <t>VANESSA KATHERINE JOJOA ARIAS</t>
  </si>
  <si>
    <t>541-2025</t>
  </si>
  <si>
    <t>FERNANDO TEOFILO ROSERO PATIÑO</t>
  </si>
  <si>
    <t>463-2025</t>
  </si>
  <si>
    <t>FANNY MARIELA CORDOBA MORENO</t>
  </si>
  <si>
    <t>550-2025</t>
  </si>
  <si>
    <t>TATIANA  ANDREA CRIOLLO GENOY</t>
  </si>
  <si>
    <t>545-2025</t>
  </si>
  <si>
    <t>CARMEN PATRICIA CORDOBA ARTEAGA</t>
  </si>
  <si>
    <t>533-2025</t>
  </si>
  <si>
    <t>MARGARITA ANDREA BENAVIDES NASPIRAN</t>
  </si>
  <si>
    <t>540-2025</t>
  </si>
  <si>
    <t>LAURA CATALINA MUÑOZ LUNA</t>
  </si>
  <si>
    <t>576-2025</t>
  </si>
  <si>
    <t>HAROLD CAMILO QUINTERO  GUEVARA</t>
  </si>
  <si>
    <t>608-2025</t>
  </si>
  <si>
    <t>CARLOS EDUARDO BASTIDAS OBANDO</t>
  </si>
  <si>
    <t>605-2025</t>
  </si>
  <si>
    <t>DOLLY DIGNA DAVILA</t>
  </si>
  <si>
    <t>615-2025</t>
  </si>
  <si>
    <t>JULIET ELIANA MORENO LOPEZ</t>
  </si>
  <si>
    <t>594-2025</t>
  </si>
  <si>
    <t>LORENA DEL CARMEN  OJEDA VAZQUEZ</t>
  </si>
  <si>
    <t>557-2025</t>
  </si>
  <si>
    <t>DIANA MARCELA RODRIGUEZ MORA</t>
  </si>
  <si>
    <t>515-2025</t>
  </si>
  <si>
    <t>VERONICA SOFIA HUERTAS ARCINIEGAS</t>
  </si>
  <si>
    <t>635-2025</t>
  </si>
  <si>
    <t>GRUPO JANER SAS</t>
  </si>
  <si>
    <t>667-2025</t>
  </si>
  <si>
    <t>ANGELA EDITH GONZALEZ PIANDA</t>
  </si>
  <si>
    <t>497-2025</t>
  </si>
  <si>
    <t>DIANA CAROLINA ORTEGA CAICEDO</t>
  </si>
  <si>
    <t>503-2025</t>
  </si>
  <si>
    <t>NUVI GRACIELA CHAMORRO CORAL</t>
  </si>
  <si>
    <t>457-2025</t>
  </si>
  <si>
    <t>MAGDA YAMILE MIDEROS MUÐOZ</t>
  </si>
  <si>
    <t>520-2025</t>
  </si>
  <si>
    <t>NATALIA ANDREA LATORRE RUANO</t>
  </si>
  <si>
    <t>547-2025</t>
  </si>
  <si>
    <t>JOHANA CAROLINA CAICEDO GOYES</t>
  </si>
  <si>
    <t>496-2025</t>
  </si>
  <si>
    <t>CALVACHE MARTINEZ CLAUDIA LUCY</t>
  </si>
  <si>
    <t>554-2025</t>
  </si>
  <si>
    <t>JEISSON STEVEN BASANTE ERAZO</t>
  </si>
  <si>
    <t>535-2025</t>
  </si>
  <si>
    <t>OLIVA ORTIZ LILIANA ANDREA</t>
  </si>
  <si>
    <t>553-2025</t>
  </si>
  <si>
    <t>ORFELINA DEL CARMEN OSORIO GUERRERO</t>
  </si>
  <si>
    <t>548-2025</t>
  </si>
  <si>
    <t>DEISY JOHANNA BASTIDAS JOJOA</t>
  </si>
  <si>
    <t>544-2025</t>
  </si>
  <si>
    <t>ADRIANA GABRIELA DIAZ MONTENEGRO</t>
  </si>
  <si>
    <t>479-2025</t>
  </si>
  <si>
    <t>AIDE CAROLINA RIASCOS ECHEVERRY</t>
  </si>
  <si>
    <t>481-2025</t>
  </si>
  <si>
    <t>YOLLDY LIZETH CABRERA FUERTES</t>
  </si>
  <si>
    <t>564-2025</t>
  </si>
  <si>
    <t>LUCIA  PATRICIA URBANO VALLEJO</t>
  </si>
  <si>
    <t>484-2025</t>
  </si>
  <si>
    <t>ALEXANDRA MARIA ORTEGA ROSERO</t>
  </si>
  <si>
    <t>637-2025</t>
  </si>
  <si>
    <t>YAMILE ALEJANDRA BOTINA RODRIGUEZ</t>
  </si>
  <si>
    <t>556-2025</t>
  </si>
  <si>
    <t>TANIA KARINA CUERO CASANOVA</t>
  </si>
  <si>
    <t>633-2025</t>
  </si>
  <si>
    <t>IBONNE ALEJANDRA SILVA ARAUJO</t>
  </si>
  <si>
    <t>654-2025</t>
  </si>
  <si>
    <t>MARIA ALEJANDRA BENAVIDES AYALA</t>
  </si>
  <si>
    <t>525-2025</t>
  </si>
  <si>
    <t>EDUARDO  MAURICIO NARVAEZ GUERRA</t>
  </si>
  <si>
    <t>655-2025</t>
  </si>
  <si>
    <t>ISABEL CRISTINA SANTACRUZ MUÑOZ</t>
  </si>
  <si>
    <t>549-2025</t>
  </si>
  <si>
    <t>MARIA EUGENIA ESTRADA ZAMBRANO</t>
  </si>
  <si>
    <t>590-2025</t>
  </si>
  <si>
    <t>MIRIAN SUVANY DAVID NARVAEZ</t>
  </si>
  <si>
    <t>660-2025</t>
  </si>
  <si>
    <t>JENIFFER  ARCOS GIL</t>
  </si>
  <si>
    <t>601-2025</t>
  </si>
  <si>
    <t>NATHALIA  ROSERO RODRIGUEZ</t>
  </si>
  <si>
    <t>522-2025</t>
  </si>
  <si>
    <t>CARLOS ANDRES PANTOJA BENAVIDES</t>
  </si>
  <si>
    <t>487-2025</t>
  </si>
  <si>
    <t>GUIDO DUVAN RECALDE AREVALO</t>
  </si>
  <si>
    <t>530-2025</t>
  </si>
  <si>
    <t>TRANSPORTES ESPECIALES ACAR LTDA</t>
  </si>
  <si>
    <t>614-2025</t>
  </si>
  <si>
    <t>ADRIANA YESENIA BOTINA GUACAS</t>
  </si>
  <si>
    <t>643-2025</t>
  </si>
  <si>
    <t>NORA  VIVEROS BRAVO</t>
  </si>
  <si>
    <t>569-2025</t>
  </si>
  <si>
    <t>YULI SUSANA CULCHA CUPACAN</t>
  </si>
  <si>
    <t>488-2025</t>
  </si>
  <si>
    <t>NIKOLE CAROLAY IBAÑEZ ALVAREZ</t>
  </si>
  <si>
    <t>532-2025</t>
  </si>
  <si>
    <t xml:space="preserve">DOLORES BERTINA BASANTE </t>
  </si>
  <si>
    <t>642-2025</t>
  </si>
  <si>
    <t>VIVIAN ROXANA JURADO BANDA</t>
  </si>
  <si>
    <t>609-2025</t>
  </si>
  <si>
    <t>ANGY ELISABETH ROSERO LOPEZ</t>
  </si>
  <si>
    <t>631-2025</t>
  </si>
  <si>
    <t>LILIANA MAYER BOTINA CRIOLLO</t>
  </si>
  <si>
    <t>475-2025</t>
  </si>
  <si>
    <t>LEYDI DEL ROSARIO CUACEZ NOGUERA</t>
  </si>
  <si>
    <t>580-2025</t>
  </si>
  <si>
    <t>PAULA ANDREA MANOSALVA UNIGARRO</t>
  </si>
  <si>
    <t>470-2025</t>
  </si>
  <si>
    <t>LAURA CAROLINA DELGADO BASTIDAS</t>
  </si>
  <si>
    <t>663-2025</t>
  </si>
  <si>
    <t>KARINA MARIBEL LUNA LOPEZ</t>
  </si>
  <si>
    <t>574-2025</t>
  </si>
  <si>
    <t>LUZ AMPARO ROMAN GUANCHA</t>
  </si>
  <si>
    <t>492-2025</t>
  </si>
  <si>
    <t>DOLY MAYBRI TIMANA GUACAN</t>
  </si>
  <si>
    <t>688-2025</t>
  </si>
  <si>
    <t>DIANA SOFIA PANTOJA RISUEÑO</t>
  </si>
  <si>
    <t>659-2025</t>
  </si>
  <si>
    <t>ANDRES ERNESTO BRAVO  ALMEIDA</t>
  </si>
  <si>
    <t>689-2025</t>
  </si>
  <si>
    <t xml:space="preserve">ESPINOSA BURBANO PAOLA ANDREA   </t>
  </si>
  <si>
    <t>682-2025</t>
  </si>
  <si>
    <t>624-2025</t>
  </si>
  <si>
    <t>MARITZA ROCIO OLIVA CUZ</t>
  </si>
  <si>
    <t>579-2025</t>
  </si>
  <si>
    <t>PAOLA ANDREA MENESES ERAZO</t>
  </si>
  <si>
    <t>658-2025</t>
  </si>
  <si>
    <t>GARCIA JOJOA EDITH CRISTINA</t>
  </si>
  <si>
    <t>678-2025</t>
  </si>
  <si>
    <t>ANGELA ESTEFANYA NASPIRAN  JOJOA</t>
  </si>
  <si>
    <t>685-2025</t>
  </si>
  <si>
    <t>ANDREA LILIANA LAGUNA  RUALES</t>
  </si>
  <si>
    <t>674-2025</t>
  </si>
  <si>
    <t>EMILY  ROMERO MENDOZA</t>
  </si>
  <si>
    <t>683-2025</t>
  </si>
  <si>
    <t>AYDA ISABEL MATABANCHOY BENAVIDES</t>
  </si>
  <si>
    <t>511-2025</t>
  </si>
  <si>
    <t>RAMIREZ LOPEZ EDGAR ALBERTO</t>
  </si>
  <si>
    <t>546-2025</t>
  </si>
  <si>
    <t>LICETH YAMIL TIMANA CAEZ</t>
  </si>
  <si>
    <t>679-2025</t>
  </si>
  <si>
    <t>ANA CLEMENCIA BASTIDAS CERON</t>
  </si>
  <si>
    <t>604-2025</t>
  </si>
  <si>
    <t>ROBERT IVAN ORTEGA INSUASTY</t>
  </si>
  <si>
    <t>661-2025</t>
  </si>
  <si>
    <t xml:space="preserve">ROCIO DEL PILAR RIVERA </t>
  </si>
  <si>
    <t>662-2025</t>
  </si>
  <si>
    <t>CARMEN LILIANA ARMERO RUIZ</t>
  </si>
  <si>
    <t>588-2025</t>
  </si>
  <si>
    <t>ANGIE DANIELA JURADO NAVARRO</t>
  </si>
  <si>
    <t>636-2025</t>
  </si>
  <si>
    <t>LEIDY JOHANA MERA CONDE</t>
  </si>
  <si>
    <t>534-2025</t>
  </si>
  <si>
    <t>RITA GUADALUPE CAICEDO NOGUERA</t>
  </si>
  <si>
    <t>542-2025</t>
  </si>
  <si>
    <t>LILIAN  SOLARTE GONZALEZ</t>
  </si>
  <si>
    <t>680-2025</t>
  </si>
  <si>
    <t>ZULY MARINA HIDALGO JOJOA</t>
  </si>
  <si>
    <t>ID2197624614</t>
  </si>
  <si>
    <t>I</t>
  </si>
  <si>
    <t>A</t>
  </si>
  <si>
    <t>indicador</t>
  </si>
  <si>
    <t>427-2025</t>
  </si>
  <si>
    <t>BOTINA VALLEJO SANDRA YANETH</t>
  </si>
  <si>
    <t>428-2025</t>
  </si>
  <si>
    <t>PAOLA ANDREA ROSAS MORA</t>
  </si>
  <si>
    <t>430-2025</t>
  </si>
  <si>
    <t>SANDRA PATRICIA GOMEZ SANCHEZ</t>
  </si>
  <si>
    <t>431-2025</t>
  </si>
  <si>
    <t>FANNY MIREYA LIMAS CUNDAR</t>
  </si>
  <si>
    <t>432-2025</t>
  </si>
  <si>
    <t>CARLOS ADRIAN MEDINA GUERRERO</t>
  </si>
  <si>
    <t>433-2025</t>
  </si>
  <si>
    <t>TABLA ANDRADE OLIVA ESPERANZA</t>
  </si>
  <si>
    <t>434-2025</t>
  </si>
  <si>
    <t>YANCARLO YAMIT PUCHANA RAMOS</t>
  </si>
  <si>
    <t>436-2025</t>
  </si>
  <si>
    <t>438-2025</t>
  </si>
  <si>
    <t>USAMA TATICUAN LUZ EMILIA</t>
  </si>
  <si>
    <t>439-2025</t>
  </si>
  <si>
    <t>DIANA CAROLINA CORAL LOPEZ</t>
  </si>
  <si>
    <t>440-2025</t>
  </si>
  <si>
    <t>MONICA ALEXANDRA ORTIZ CABRERA</t>
  </si>
  <si>
    <t>441-2025</t>
  </si>
  <si>
    <t xml:space="preserve">MORILLO SANTACRUZ ANGELA MARIA   </t>
  </si>
  <si>
    <t>444-2025</t>
  </si>
  <si>
    <t>BUITRAGO ALZATE JERSON ALBEIRO</t>
  </si>
  <si>
    <t>446-2025</t>
  </si>
  <si>
    <t>YULY MARCELA MORALES LOPEZ</t>
  </si>
  <si>
    <t>447-2025</t>
  </si>
  <si>
    <t>CAROL SILVANA PATIÑO VALENCIA</t>
  </si>
  <si>
    <t>448-2025</t>
  </si>
  <si>
    <t>IVAN ALEXANDER BEJARANO RAMIREZ</t>
  </si>
  <si>
    <t>449-2025</t>
  </si>
  <si>
    <t>RUBY STELLA AREVALO BASTIDAS</t>
  </si>
  <si>
    <t>456-2025</t>
  </si>
  <si>
    <t>LUZ  ANGELICA CHILES CABRERA</t>
  </si>
  <si>
    <t>611-2025</t>
  </si>
  <si>
    <t>JHONATTAN ALEXANDER CASTELLANOS ANDRADE</t>
  </si>
  <si>
    <t>486-2025</t>
  </si>
  <si>
    <t>CARLOS ALBERTO ZAMBRANO VARGAS</t>
  </si>
  <si>
    <t>555-2025</t>
  </si>
  <si>
    <t>RENE MARTINEZ MARTINEZ</t>
  </si>
  <si>
    <t>566-2025</t>
  </si>
  <si>
    <t>567-2025</t>
  </si>
  <si>
    <t>691-2025</t>
  </si>
  <si>
    <t>ANYELY ROCIO LOPEZ ROSERO</t>
  </si>
  <si>
    <t>CAROLINA ISABEL PORTILLA TEPUD</t>
  </si>
  <si>
    <t>ALEXANDRA GONZALEZ HORTA</t>
  </si>
  <si>
    <t>790-2025</t>
  </si>
  <si>
    <t>JAQUELINE  MELO MOSQUERA</t>
  </si>
  <si>
    <t>ID2087325712</t>
  </si>
  <si>
    <t>806-2025</t>
  </si>
  <si>
    <t>LUISA MARIA CERON RIVERA</t>
  </si>
  <si>
    <t>887-2025</t>
  </si>
  <si>
    <t>MARIA ALEJANDRA BOLAÐOS ACOSTA</t>
  </si>
  <si>
    <t>761-2025</t>
  </si>
  <si>
    <t>829-2025</t>
  </si>
  <si>
    <t>904-2025</t>
  </si>
  <si>
    <t>714-2025</t>
  </si>
  <si>
    <t>MARIA  DE LOS ANGELES ACOSTA ROSERO</t>
  </si>
  <si>
    <t>696-2025</t>
  </si>
  <si>
    <t>862-2025</t>
  </si>
  <si>
    <t>SULEIDY YARITZA GOMEZ GARCIA</t>
  </si>
  <si>
    <t>810-2025</t>
  </si>
  <si>
    <t>872-2025</t>
  </si>
  <si>
    <t>GLORIA JANETH BOTINA BURBANO</t>
  </si>
  <si>
    <t>850-2025</t>
  </si>
  <si>
    <t>832-2025</t>
  </si>
  <si>
    <t>DELGADO BUCHELY GENNY MILENA</t>
  </si>
  <si>
    <t>817-2025</t>
  </si>
  <si>
    <t>MARIA ALEJANDRA REALPE ALVEAR</t>
  </si>
  <si>
    <t>783-2025</t>
  </si>
  <si>
    <t>886-2025</t>
  </si>
  <si>
    <t>DEYBI GIOVANNI ESTRELLA ARMERO</t>
  </si>
  <si>
    <t>798-2025</t>
  </si>
  <si>
    <t>BRIGIT VERONICA ORDOÑEZ BURBANO</t>
  </si>
  <si>
    <t>765-2025</t>
  </si>
  <si>
    <t>876-2025</t>
  </si>
  <si>
    <t>BASTIDAS MORA MYRIAM JANNETH</t>
  </si>
  <si>
    <t>808-2025</t>
  </si>
  <si>
    <t>DIANA SOFIA PANTOJA RUANO</t>
  </si>
  <si>
    <t>789-2025</t>
  </si>
  <si>
    <t>812-2025</t>
  </si>
  <si>
    <t>821-2025</t>
  </si>
  <si>
    <t xml:space="preserve">PATRICIA MARIBEL MARTINEZ </t>
  </si>
  <si>
    <t>869-2025</t>
  </si>
  <si>
    <t>865-2025</t>
  </si>
  <si>
    <t>781-2025</t>
  </si>
  <si>
    <t>JULIANA VALENTINA MENDEZ ORTÍZ</t>
  </si>
  <si>
    <t>787-2025</t>
  </si>
  <si>
    <t>795-2025</t>
  </si>
  <si>
    <t>804-2025</t>
  </si>
  <si>
    <t>ALISSON STEF ROSERO RODRIGUEZ</t>
  </si>
  <si>
    <t>827-2025</t>
  </si>
  <si>
    <t>773-2025</t>
  </si>
  <si>
    <t>920-2025</t>
  </si>
  <si>
    <t>MARIA FERNANDA BUCHELI TRUJILLO</t>
  </si>
  <si>
    <t>784-2025</t>
  </si>
  <si>
    <t>848-2025</t>
  </si>
  <si>
    <t>849-2025</t>
  </si>
  <si>
    <t>877-2025</t>
  </si>
  <si>
    <t>MARCELA JAZMIN TIMANA MAIGUAL</t>
  </si>
  <si>
    <t>816-2025</t>
  </si>
  <si>
    <t>910-2025</t>
  </si>
  <si>
    <t>774-2025</t>
  </si>
  <si>
    <t>888-2025</t>
  </si>
  <si>
    <t>LAURA ALEJANDRA BELALCAZAR NAVARRO</t>
  </si>
  <si>
    <t>906-2025</t>
  </si>
  <si>
    <t>KAREN TATIANA CIFUENTES CHAMORRO</t>
  </si>
  <si>
    <t>929-2025</t>
  </si>
  <si>
    <t>KARLA ALEJANDRA GAVILANES SANTACRUZ</t>
  </si>
  <si>
    <t>913-2025</t>
  </si>
  <si>
    <t>YOHANA KATERING PANTOJA MELO</t>
  </si>
  <si>
    <t>908-2025</t>
  </si>
  <si>
    <t>VALERIA VALENTINA PEREZ ROSERO</t>
  </si>
  <si>
    <t>916-2025</t>
  </si>
  <si>
    <t>GLORIA PATRICIA RAMOS ESPAÑA</t>
  </si>
  <si>
    <t>912-2025</t>
  </si>
  <si>
    <t>BRILLYD MAYERLI PEREZ LUCANO</t>
  </si>
  <si>
    <t>793-2025</t>
  </si>
  <si>
    <t>DIANA SOFIA AYALA DIAZ</t>
  </si>
  <si>
    <t>759-2025</t>
  </si>
  <si>
    <t>815-2025</t>
  </si>
  <si>
    <t>LUISA CAROLINA SANTACRUZ SANTACRUZ</t>
  </si>
  <si>
    <t>839-2025</t>
  </si>
  <si>
    <t>LADY VIVIANA CASTRO GUAUÑA</t>
  </si>
  <si>
    <t>818-2025</t>
  </si>
  <si>
    <t>ROSA MARITZA UNIGARRO MONTILLA</t>
  </si>
  <si>
    <t>833-2025</t>
  </si>
  <si>
    <t>GERALDINE  VIVIANA VILLOTA ARTEAGA</t>
  </si>
  <si>
    <t>794-2025</t>
  </si>
  <si>
    <t>925-2025</t>
  </si>
  <si>
    <t>KEILY VANESSA ENRIQUEZ PINTA</t>
  </si>
  <si>
    <t>831-2025</t>
  </si>
  <si>
    <t>LIDA TATIANA BURBANO MUÑOZ</t>
  </si>
  <si>
    <t>811-2025</t>
  </si>
  <si>
    <t>834-2025</t>
  </si>
  <si>
    <t>SILVIA MATILDE GAVIRIA BENAVIDES</t>
  </si>
  <si>
    <t>826-2025</t>
  </si>
  <si>
    <t>749-2025</t>
  </si>
  <si>
    <t>RAYSSA CONSTANZA FRANCO ERASO</t>
  </si>
  <si>
    <t>775-2025</t>
  </si>
  <si>
    <t>JINNETH PAOLA LOPEZ AGUIRRE</t>
  </si>
  <si>
    <t>726-2025</t>
  </si>
  <si>
    <t>744-2025</t>
  </si>
  <si>
    <t>DAVID  ALEJANDRO VILLACORTE BARCO</t>
  </si>
  <si>
    <t>859-2025</t>
  </si>
  <si>
    <t>MARIA ALEJANDRA DIAZ BURGOS</t>
  </si>
  <si>
    <t>822-2025</t>
  </si>
  <si>
    <t>853-2025</t>
  </si>
  <si>
    <t>ALBA LIGIA CIFUENTES ROSERO</t>
  </si>
  <si>
    <t>856-2025</t>
  </si>
  <si>
    <t>BOLAÑOS BOTINA JULY ADRIANA</t>
  </si>
  <si>
    <t>711-2025</t>
  </si>
  <si>
    <t>748-2025</t>
  </si>
  <si>
    <t>JOSE FERNANDO CHAÑA QUENGUAN</t>
  </si>
  <si>
    <t>772-2025</t>
  </si>
  <si>
    <t>ANGIE VALERIA PAZ PAZ</t>
  </si>
  <si>
    <t>770-2025</t>
  </si>
  <si>
    <t>JENIFER  AREVALO CRIOLLO</t>
  </si>
  <si>
    <t>788-2025</t>
  </si>
  <si>
    <t>LEIDY PAOLA CANCHALA LOPEZ</t>
  </si>
  <si>
    <t>737-2025</t>
  </si>
  <si>
    <t>754-2025</t>
  </si>
  <si>
    <t>838-2025</t>
  </si>
  <si>
    <t>DAMARIS ROXANA BENAVIDES CAEZ</t>
  </si>
  <si>
    <t>807-2025</t>
  </si>
  <si>
    <t>723-2025</t>
  </si>
  <si>
    <t>785-2025</t>
  </si>
  <si>
    <t>ERIKA LIZETH CORDOBA ROSERO</t>
  </si>
  <si>
    <t>813-2025</t>
  </si>
  <si>
    <t>ESLENY  ERASO ARTEAGA</t>
  </si>
  <si>
    <t>803-2025</t>
  </si>
  <si>
    <t>DORANI VANESA BURBANO ANDRADE</t>
  </si>
  <si>
    <t>732-2025</t>
  </si>
  <si>
    <t>762-2025</t>
  </si>
  <si>
    <t>730-2025</t>
  </si>
  <si>
    <t>MAYERLY NORIDIA ASMAZA GETIAL</t>
  </si>
  <si>
    <t>786-2025</t>
  </si>
  <si>
    <t>CARLOS MARIO ALVARADO ORDOÑEZ</t>
  </si>
  <si>
    <t>782-2025</t>
  </si>
  <si>
    <t>DORIS DEL CARMEN GOMEZ OVIEDO</t>
  </si>
  <si>
    <t>755-2025</t>
  </si>
  <si>
    <t>855-2025</t>
  </si>
  <si>
    <t>JULIETH CAROLINA DIAZ FIGUEROA</t>
  </si>
  <si>
    <t>894-2025</t>
  </si>
  <si>
    <t>840-2025</t>
  </si>
  <si>
    <t>MARIA CAMILA PAREDEZ TIMANA</t>
  </si>
  <si>
    <t>830-2025</t>
  </si>
  <si>
    <t>ANDREA DEL ROSARIO BUESAQUILLO MIRAMAG</t>
  </si>
  <si>
    <t>864-2025</t>
  </si>
  <si>
    <t>JESSICA ALEXANDRA GUERRERO LARREA</t>
  </si>
  <si>
    <t>757-2025</t>
  </si>
  <si>
    <t>DAYANA VANESSA CHAPAL MALLAMA</t>
  </si>
  <si>
    <t>871-2025</t>
  </si>
  <si>
    <t xml:space="preserve">MARTHA CECILIA TELLO </t>
  </si>
  <si>
    <t>742-2025</t>
  </si>
  <si>
    <t>KAROL LIZETH TREJO ZAMBRANO</t>
  </si>
  <si>
    <t>854-2025</t>
  </si>
  <si>
    <t>747-2025</t>
  </si>
  <si>
    <t>GUERRERO GARZON ANGIE PAOLA</t>
  </si>
  <si>
    <t>836-2025</t>
  </si>
  <si>
    <t>NAYIBE JACQUELINE TULCAN GAMBOA</t>
  </si>
  <si>
    <t>846-2025</t>
  </si>
  <si>
    <t>LUCIA DEL SOCORRO TULCAN MUÑOZ</t>
  </si>
  <si>
    <t>896-2025</t>
  </si>
  <si>
    <t>HERIKA VIVIANA VILLOTA VILLOTA</t>
  </si>
  <si>
    <t>828-2025</t>
  </si>
  <si>
    <t>YEZICA ALEJANDRA RIVAS PORTILLA</t>
  </si>
  <si>
    <t>843-2025</t>
  </si>
  <si>
    <t>860-2025</t>
  </si>
  <si>
    <t>ESTEFANIA  CORREA GUERRERO</t>
  </si>
  <si>
    <t>823-2025</t>
  </si>
  <si>
    <t>763-2025</t>
  </si>
  <si>
    <t>ADRIANA MARIA HIDALGO ENRIQUEZ</t>
  </si>
  <si>
    <t>767-2025</t>
  </si>
  <si>
    <t>797-2025</t>
  </si>
  <si>
    <t>LUCERITO DEL CARMEN REVELO BENAVIDES</t>
  </si>
  <si>
    <t>771-2025</t>
  </si>
  <si>
    <t>706-2025</t>
  </si>
  <si>
    <t>741-2025</t>
  </si>
  <si>
    <t>764-2025</t>
  </si>
  <si>
    <t>802-2025</t>
  </si>
  <si>
    <t>837-2025</t>
  </si>
  <si>
    <t>868-2025</t>
  </si>
  <si>
    <t>778-2025</t>
  </si>
  <si>
    <t>824-2025</t>
  </si>
  <si>
    <t>890-2025</t>
  </si>
  <si>
    <t>905-2025</t>
  </si>
  <si>
    <t>RUTH CAROLINE CORTES ORTIZ</t>
  </si>
  <si>
    <t>792-2025</t>
  </si>
  <si>
    <t>INGRID RAQUEL MONCAYO  NARVAEZ</t>
  </si>
  <si>
    <t>858-2025</t>
  </si>
  <si>
    <t>ANA MARIA INSUASTY FAJARDO</t>
  </si>
  <si>
    <t>875-2025</t>
  </si>
  <si>
    <t>YADDY  ALEJANDRA SOLARTE BASTIDAS</t>
  </si>
  <si>
    <t>805-2025</t>
  </si>
  <si>
    <t>847-2025</t>
  </si>
  <si>
    <t>YURANI NATALI BURBANO DIAZ</t>
  </si>
  <si>
    <t>899-2025</t>
  </si>
  <si>
    <t>ADRIANA MILENA DE LA CRUZ ROJAS</t>
  </si>
  <si>
    <t>819-2025</t>
  </si>
  <si>
    <t>JESSICA STEFANNY FRANCO ERASO</t>
  </si>
  <si>
    <t>885-2025</t>
  </si>
  <si>
    <t>MARIA ALEJANDRA GOMEZ OJEDA</t>
  </si>
  <si>
    <t>750-2025</t>
  </si>
  <si>
    <t>YULI NATHALIA CALI RODRIGUEZ</t>
  </si>
  <si>
    <t>745-2025</t>
  </si>
  <si>
    <t>768-2025</t>
  </si>
  <si>
    <t>DANNY ALEXANDER SANCHEZ ESTRADA</t>
  </si>
  <si>
    <t>897-2025</t>
  </si>
  <si>
    <t>MARIA MILDRED MORENO MINDA</t>
  </si>
  <si>
    <t>740-2025</t>
  </si>
  <si>
    <t>FANY LUCELY RODRIGUEZ CRIOLLO</t>
  </si>
  <si>
    <t>898-2025</t>
  </si>
  <si>
    <t>ANGIE DANIELA RIASCOS ASCUNTAR</t>
  </si>
  <si>
    <t>743-2025</t>
  </si>
  <si>
    <t>921-2025</t>
  </si>
  <si>
    <t>AYDA MARGOTH QUENORAN QUENORAN</t>
  </si>
  <si>
    <t>777-2025</t>
  </si>
  <si>
    <t>844-2025</t>
  </si>
  <si>
    <t>SILVIA MARGENYS ENRIQUEZ RODRIGUEZ</t>
  </si>
  <si>
    <t>809-2025</t>
  </si>
  <si>
    <t>NATHALY NICOLE CHAPUES PAZ</t>
  </si>
  <si>
    <t>766-2025</t>
  </si>
  <si>
    <t>YULIANA  RODRIGUEZ GUAITARILLA</t>
  </si>
  <si>
    <t>842-2025</t>
  </si>
  <si>
    <t>NAYIBI ALEJANDRA TORRES ROSERO</t>
  </si>
  <si>
    <t>873-2025</t>
  </si>
  <si>
    <t>ELVIA DEL ROSARIO JUAJINOY NARVAEZ</t>
  </si>
  <si>
    <t>883-2025</t>
  </si>
  <si>
    <t>YARY ESTEPHANIA BOLAÑOS LUNA</t>
  </si>
  <si>
    <t>841-2025</t>
  </si>
  <si>
    <t>MARLY EMILY ORDOÑEZ MORCILLO</t>
  </si>
  <si>
    <t>861-2025</t>
  </si>
  <si>
    <t>JESSICA ANDREA NARVAEZ NOGUERA</t>
  </si>
  <si>
    <t>878-2025</t>
  </si>
  <si>
    <t>SANDRA  JULIETH  GOMEZ GOMEZ</t>
  </si>
  <si>
    <t>752-2025</t>
  </si>
  <si>
    <t>LUIS ALONSO GUEVARA DE LOS RIOS</t>
  </si>
  <si>
    <t>780-2025</t>
  </si>
  <si>
    <t>KAREN MARGARITA LOPEZ BRAND</t>
  </si>
  <si>
    <t>857-2025</t>
  </si>
  <si>
    <t>EDISON FAVER MARTINEZ LUNA</t>
  </si>
  <si>
    <t>791-2025</t>
  </si>
  <si>
    <t>JEIMY TATIANA RODRIGUEZ RODRIGUEZ</t>
  </si>
  <si>
    <t>927-2025</t>
  </si>
  <si>
    <t>MARCELA ALEJANDRA ZAMBRANO REVELO</t>
  </si>
  <si>
    <t>901-2025</t>
  </si>
  <si>
    <t>ANGIE ALEXANDRA MORILLO PANTOJA</t>
  </si>
  <si>
    <t>919-2025</t>
  </si>
  <si>
    <t>ANGIE SHIRLEY LOPEZ BOTINA</t>
  </si>
  <si>
    <t>923-2025</t>
  </si>
  <si>
    <t>GABRIELA ESTEFANIA PABON ORTIZ</t>
  </si>
  <si>
    <t>903-2025</t>
  </si>
  <si>
    <t>907-2025</t>
  </si>
  <si>
    <t>751-2025</t>
  </si>
  <si>
    <t>769-2025</t>
  </si>
  <si>
    <t>731-2025</t>
  </si>
  <si>
    <t>760-2025</t>
  </si>
  <si>
    <t>835-2025</t>
  </si>
  <si>
    <t>ALEXANDER GEOVANNI YELA ENRIQUEZ</t>
  </si>
  <si>
    <t>926-2025</t>
  </si>
  <si>
    <t>KAROL IVONNE BURBANO ROSERO</t>
  </si>
  <si>
    <t>779-2025</t>
  </si>
  <si>
    <t>DANIELA FERNANDA BASTIDAS VILLOTA</t>
  </si>
  <si>
    <t>820-2025</t>
  </si>
  <si>
    <t>NORALY CECILIA PASUY PANTOJA</t>
  </si>
  <si>
    <t>909-2025</t>
  </si>
  <si>
    <t>DEISY ANDREA MARTÍNEZ NARVAEZ</t>
  </si>
  <si>
    <t>851-2025</t>
  </si>
  <si>
    <t>YORLENY VALERIA CABRERA RIVERA</t>
  </si>
  <si>
    <t>924-2025</t>
  </si>
  <si>
    <t>JULIANA ANDREA PAZ JOJOA</t>
  </si>
  <si>
    <t>928-2025</t>
  </si>
  <si>
    <t>SIRLEY DANIELA GAMBOA CHAVEZ</t>
  </si>
  <si>
    <t>776-2025</t>
  </si>
  <si>
    <t>JAZMIN ELIZABETH ARCE CALDERON</t>
  </si>
  <si>
    <t>917-2025</t>
  </si>
  <si>
    <t>DARY LORENA YASCUAL NARVAEZ</t>
  </si>
  <si>
    <t>900-2025</t>
  </si>
  <si>
    <t>MARIA JOSE ARMERO DIAZ</t>
  </si>
  <si>
    <t>1076-2025</t>
  </si>
  <si>
    <t>BIOPTICAS DE COLOMBIA SAS</t>
  </si>
  <si>
    <t>2025002555</t>
  </si>
  <si>
    <t>756-2025</t>
  </si>
  <si>
    <t>1087414586</t>
  </si>
  <si>
    <t>2025002631</t>
  </si>
  <si>
    <t>739-2025</t>
  </si>
  <si>
    <t>59312865</t>
  </si>
  <si>
    <t>DIANA CAROLINA CORTES TAPIA</t>
  </si>
  <si>
    <t>2025002677</t>
  </si>
  <si>
    <t>900994364</t>
  </si>
  <si>
    <t>2025002687</t>
  </si>
  <si>
    <t>1085286476</t>
  </si>
  <si>
    <t>2025002688</t>
  </si>
  <si>
    <t>1005829176</t>
  </si>
  <si>
    <t>2025002689</t>
  </si>
  <si>
    <t>1233189234</t>
  </si>
  <si>
    <t>2025002690</t>
  </si>
  <si>
    <t>1087006717</t>
  </si>
  <si>
    <t>2025002691</t>
  </si>
  <si>
    <t>69028150</t>
  </si>
  <si>
    <t>2025002692</t>
  </si>
  <si>
    <t>36752202</t>
  </si>
  <si>
    <t>2025002699</t>
  </si>
  <si>
    <t>1081272025</t>
  </si>
  <si>
    <t>2025002700</t>
  </si>
  <si>
    <t>1085343154</t>
  </si>
  <si>
    <t>2025002703</t>
  </si>
  <si>
    <t>1004547484</t>
  </si>
  <si>
    <t>2025002704</t>
  </si>
  <si>
    <t>1193424771</t>
  </si>
  <si>
    <t>2025002706</t>
  </si>
  <si>
    <t>1085347312</t>
  </si>
  <si>
    <t>2025002707</t>
  </si>
  <si>
    <t>1084552063</t>
  </si>
  <si>
    <t>2025002708</t>
  </si>
  <si>
    <t>59837608</t>
  </si>
  <si>
    <t>2025002709</t>
  </si>
  <si>
    <t>37083086</t>
  </si>
  <si>
    <t>2025002710</t>
  </si>
  <si>
    <t>1087644986</t>
  </si>
  <si>
    <t>2025002711</t>
  </si>
  <si>
    <t>36757491</t>
  </si>
  <si>
    <t>2025002712</t>
  </si>
  <si>
    <t>1082749295</t>
  </si>
  <si>
    <t>2025002714</t>
  </si>
  <si>
    <t>1085317226</t>
  </si>
  <si>
    <t>2025002715</t>
  </si>
  <si>
    <t>1193292339</t>
  </si>
  <si>
    <t>2025002728</t>
  </si>
  <si>
    <t>845-2025</t>
  </si>
  <si>
    <t>1085333467</t>
  </si>
  <si>
    <t>CAMILO ALBERTO BURGOS GOYES</t>
  </si>
  <si>
    <t>2025002729</t>
  </si>
  <si>
    <t>1085300095</t>
  </si>
  <si>
    <t>2025002731</t>
  </si>
  <si>
    <t>1082749648</t>
  </si>
  <si>
    <t>2025002732</t>
  </si>
  <si>
    <t>1086329609</t>
  </si>
  <si>
    <t>2025002733</t>
  </si>
  <si>
    <t>1089458048</t>
  </si>
  <si>
    <t>2025002734</t>
  </si>
  <si>
    <t>1193224810</t>
  </si>
  <si>
    <t>2025002735</t>
  </si>
  <si>
    <t>1085340885</t>
  </si>
  <si>
    <t>2025002736</t>
  </si>
  <si>
    <t>1084552048</t>
  </si>
  <si>
    <t>2025002737</t>
  </si>
  <si>
    <t>1082748420</t>
  </si>
  <si>
    <t>2025002738</t>
  </si>
  <si>
    <t>874-2025</t>
  </si>
  <si>
    <t>805021222</t>
  </si>
  <si>
    <t>2025002742</t>
  </si>
  <si>
    <t>1022426162</t>
  </si>
  <si>
    <t>2025002743</t>
  </si>
  <si>
    <t>1084227101</t>
  </si>
  <si>
    <t>2025002744</t>
  </si>
  <si>
    <t>1087960258</t>
  </si>
  <si>
    <t>2025002745</t>
  </si>
  <si>
    <t>1021-2025</t>
  </si>
  <si>
    <t>1004217048</t>
  </si>
  <si>
    <t>MELANY CATALINA CADENA YAMA</t>
  </si>
  <si>
    <t>2025002746</t>
  </si>
  <si>
    <t>960-2025</t>
  </si>
  <si>
    <t>1085304308</t>
  </si>
  <si>
    <t>2025002747</t>
  </si>
  <si>
    <t>1087006619</t>
  </si>
  <si>
    <t>2025002748</t>
  </si>
  <si>
    <t>1087645341</t>
  </si>
  <si>
    <t>2025002749</t>
  </si>
  <si>
    <t>1087413951</t>
  </si>
  <si>
    <t>2025002750</t>
  </si>
  <si>
    <t>1085296068</t>
  </si>
  <si>
    <t>2025002751</t>
  </si>
  <si>
    <t>1085318684</t>
  </si>
  <si>
    <t>2025002768</t>
  </si>
  <si>
    <t>37087120</t>
  </si>
  <si>
    <t>2025002773</t>
  </si>
  <si>
    <t>1085335033</t>
  </si>
  <si>
    <t>2025002774</t>
  </si>
  <si>
    <t>59313711</t>
  </si>
  <si>
    <t>2025002778</t>
  </si>
  <si>
    <t>1085336362</t>
  </si>
  <si>
    <t>2025002779</t>
  </si>
  <si>
    <t>1085269090</t>
  </si>
  <si>
    <t>2025002780</t>
  </si>
  <si>
    <t>1053793750</t>
  </si>
  <si>
    <t>2025002781</t>
  </si>
  <si>
    <t>1085286725</t>
  </si>
  <si>
    <t>2025002782</t>
  </si>
  <si>
    <t>1085302942</t>
  </si>
  <si>
    <t>2025002783</t>
  </si>
  <si>
    <t>1010082397</t>
  </si>
  <si>
    <t>2025002784</t>
  </si>
  <si>
    <t>1233193882</t>
  </si>
  <si>
    <t>2025002785</t>
  </si>
  <si>
    <t>1085264667</t>
  </si>
  <si>
    <t>2025002786</t>
  </si>
  <si>
    <t>1085315013</t>
  </si>
  <si>
    <t>2025002787</t>
  </si>
  <si>
    <t>1085299577</t>
  </si>
  <si>
    <t>2025002789</t>
  </si>
  <si>
    <t>1233193769</t>
  </si>
  <si>
    <t>2025002790</t>
  </si>
  <si>
    <t>1086361969</t>
  </si>
  <si>
    <t>2025002791</t>
  </si>
  <si>
    <t>1085275473</t>
  </si>
  <si>
    <t>2025002792</t>
  </si>
  <si>
    <t>1085339190</t>
  </si>
  <si>
    <t>2025002793</t>
  </si>
  <si>
    <t>27146489</t>
  </si>
  <si>
    <t>2025002794</t>
  </si>
  <si>
    <t>1006946167</t>
  </si>
  <si>
    <t>2025002795</t>
  </si>
  <si>
    <t>1085288636</t>
  </si>
  <si>
    <t>2025002799</t>
  </si>
  <si>
    <t>1137624011</t>
  </si>
  <si>
    <t>2025002800</t>
  </si>
  <si>
    <t>1086358836</t>
  </si>
  <si>
    <t>2025002802</t>
  </si>
  <si>
    <t>1233193191</t>
  </si>
  <si>
    <t>2025002803</t>
  </si>
  <si>
    <t>1082747438</t>
  </si>
  <si>
    <t>2025002804</t>
  </si>
  <si>
    <t>1085267332</t>
  </si>
  <si>
    <t>2025002805</t>
  </si>
  <si>
    <t>1084224761</t>
  </si>
  <si>
    <t>2025002806</t>
  </si>
  <si>
    <t>1004236159</t>
  </si>
  <si>
    <t>2025002807</t>
  </si>
  <si>
    <t>1085247449</t>
  </si>
  <si>
    <t>2025002808</t>
  </si>
  <si>
    <t>1084228089</t>
  </si>
  <si>
    <t>2025002809</t>
  </si>
  <si>
    <t>1085334279</t>
  </si>
  <si>
    <t>2025002810</t>
  </si>
  <si>
    <t>1081053045</t>
  </si>
  <si>
    <t>2025002811</t>
  </si>
  <si>
    <t>1089291166</t>
  </si>
  <si>
    <t>2025002812</t>
  </si>
  <si>
    <t>1083814276</t>
  </si>
  <si>
    <t>2025002813</t>
  </si>
  <si>
    <t>97470681</t>
  </si>
  <si>
    <t>2025002814</t>
  </si>
  <si>
    <t>27090399</t>
  </si>
  <si>
    <t>2025002815</t>
  </si>
  <si>
    <t>1233188295</t>
  </si>
  <si>
    <t>2025002816</t>
  </si>
  <si>
    <t>1089846684</t>
  </si>
  <si>
    <t>2025002817</t>
  </si>
  <si>
    <t>1085274300</t>
  </si>
  <si>
    <t>2025002818</t>
  </si>
  <si>
    <t>1110594073</t>
  </si>
  <si>
    <t>2025002819</t>
  </si>
  <si>
    <t>1004564013</t>
  </si>
  <si>
    <t>2025002820</t>
  </si>
  <si>
    <t>27444591</t>
  </si>
  <si>
    <t>2025002821</t>
  </si>
  <si>
    <t>1085275879</t>
  </si>
  <si>
    <t>2025002823</t>
  </si>
  <si>
    <t>1085343783</t>
  </si>
  <si>
    <t>2025002824</t>
  </si>
  <si>
    <t>37084285</t>
  </si>
  <si>
    <t>2025002825</t>
  </si>
  <si>
    <t>1089458776</t>
  </si>
  <si>
    <t>2025002826</t>
  </si>
  <si>
    <t>1086224204</t>
  </si>
  <si>
    <t>2025002828</t>
  </si>
  <si>
    <t>1193383306</t>
  </si>
  <si>
    <t>2025002830</t>
  </si>
  <si>
    <t>1039-2025</t>
  </si>
  <si>
    <t>1080040525</t>
  </si>
  <si>
    <t>SARA DANIELA ALAVA BURBANO</t>
  </si>
  <si>
    <t>2025002833</t>
  </si>
  <si>
    <t>1027-2025</t>
  </si>
  <si>
    <t>1233188221</t>
  </si>
  <si>
    <t>JENIFER ALEJANDRA ORTIZ CHATES</t>
  </si>
  <si>
    <t>2025002835</t>
  </si>
  <si>
    <t>1032-2025</t>
  </si>
  <si>
    <t>1085334752</t>
  </si>
  <si>
    <t>MARIA ALEJANDRA MORILLO LASSO</t>
  </si>
  <si>
    <t>2025002837</t>
  </si>
  <si>
    <t>1086330124</t>
  </si>
  <si>
    <t>2025002840</t>
  </si>
  <si>
    <t>1085329980</t>
  </si>
  <si>
    <t>2025002842</t>
  </si>
  <si>
    <t>1085284997</t>
  </si>
  <si>
    <t>2025002844</t>
  </si>
  <si>
    <t>1085260497</t>
  </si>
  <si>
    <t>2025002846</t>
  </si>
  <si>
    <t>1087960287</t>
  </si>
  <si>
    <t>2025002849</t>
  </si>
  <si>
    <t>1003-2025</t>
  </si>
  <si>
    <t>12990231</t>
  </si>
  <si>
    <t>2025002851</t>
  </si>
  <si>
    <t>1081272656</t>
  </si>
  <si>
    <t>2025002852</t>
  </si>
  <si>
    <t>1066-2025</t>
  </si>
  <si>
    <t>27252200</t>
  </si>
  <si>
    <t>MONICA LORENA VILLOTA NARVAEZ</t>
  </si>
  <si>
    <t>2025002853</t>
  </si>
  <si>
    <t>1085265947</t>
  </si>
  <si>
    <t>2025002854</t>
  </si>
  <si>
    <t>27088197</t>
  </si>
  <si>
    <t>2025002855</t>
  </si>
  <si>
    <t>1081572043</t>
  </si>
  <si>
    <t>2025002856</t>
  </si>
  <si>
    <t>1028-2025</t>
  </si>
  <si>
    <t>1137089036</t>
  </si>
  <si>
    <t>KAROL VALENTINA TULCAN CRIOLLO</t>
  </si>
  <si>
    <t>2025002857</t>
  </si>
  <si>
    <t>1049-2025</t>
  </si>
  <si>
    <t>1080693240</t>
  </si>
  <si>
    <t>SHARON CAMILA MINA GUSTIN</t>
  </si>
  <si>
    <t>2025002858</t>
  </si>
  <si>
    <t>30743783</t>
  </si>
  <si>
    <t>2025002859</t>
  </si>
  <si>
    <t>80765093</t>
  </si>
  <si>
    <t>2025002860</t>
  </si>
  <si>
    <t>1063-2025</t>
  </si>
  <si>
    <t>36950892</t>
  </si>
  <si>
    <t>ADRIANA LORENA DIAZ MARTINEZ</t>
  </si>
  <si>
    <t>2025002882</t>
  </si>
  <si>
    <t>1085323163</t>
  </si>
  <si>
    <t>2025002883</t>
  </si>
  <si>
    <t>1014212900</t>
  </si>
  <si>
    <t>2025002885</t>
  </si>
  <si>
    <t>59310524</t>
  </si>
  <si>
    <t>2025002886</t>
  </si>
  <si>
    <t>36756149</t>
  </si>
  <si>
    <t>2025002888</t>
  </si>
  <si>
    <t>1043-2025</t>
  </si>
  <si>
    <t>1004343043</t>
  </si>
  <si>
    <t>NICOL GEOVANNA GOMEZ CUMBAL</t>
  </si>
  <si>
    <t>2025002889</t>
  </si>
  <si>
    <t>1004131976</t>
  </si>
  <si>
    <t>2025002890</t>
  </si>
  <si>
    <t>1086328063</t>
  </si>
  <si>
    <t>2025002891</t>
  </si>
  <si>
    <t>37082272</t>
  </si>
  <si>
    <t>2025002892</t>
  </si>
  <si>
    <t>1086137686</t>
  </si>
  <si>
    <t>2025002893</t>
  </si>
  <si>
    <t>1012-2025</t>
  </si>
  <si>
    <t>1085248939</t>
  </si>
  <si>
    <t>2025002894</t>
  </si>
  <si>
    <t>1011-2025</t>
  </si>
  <si>
    <t>59829440</t>
  </si>
  <si>
    <t xml:space="preserve">MARTHA CECILIA ROA </t>
  </si>
  <si>
    <t>2025002895</t>
  </si>
  <si>
    <t>1005-2025</t>
  </si>
  <si>
    <t>36933095</t>
  </si>
  <si>
    <t>AURA VIRGINIA RIASCOS MORIANO</t>
  </si>
  <si>
    <t>2025002896</t>
  </si>
  <si>
    <t>1004709928</t>
  </si>
  <si>
    <t>2025002898</t>
  </si>
  <si>
    <t>1004235479</t>
  </si>
  <si>
    <t>2025002899</t>
  </si>
  <si>
    <t>1085263018</t>
  </si>
  <si>
    <t>2025002900</t>
  </si>
  <si>
    <t>1088734182</t>
  </si>
  <si>
    <t>2025002901</t>
  </si>
  <si>
    <t>1081052746</t>
  </si>
  <si>
    <t>2025002902</t>
  </si>
  <si>
    <t>36953590</t>
  </si>
  <si>
    <t>2025002903</t>
  </si>
  <si>
    <t>59310056</t>
  </si>
  <si>
    <t>2025002904</t>
  </si>
  <si>
    <t>27276869</t>
  </si>
  <si>
    <t>2025002905</t>
  </si>
  <si>
    <t>991-2025</t>
  </si>
  <si>
    <t>1081592742</t>
  </si>
  <si>
    <t xml:space="preserve">ANA MILENA MUÑOZ </t>
  </si>
  <si>
    <t>2025002906</t>
  </si>
  <si>
    <t>37087117</t>
  </si>
  <si>
    <t>2025002907</t>
  </si>
  <si>
    <t>1004543161</t>
  </si>
  <si>
    <t>2025002909</t>
  </si>
  <si>
    <t>59836480</t>
  </si>
  <si>
    <t>2025002910</t>
  </si>
  <si>
    <t>1000-2025</t>
  </si>
  <si>
    <t>12974849</t>
  </si>
  <si>
    <t>2025002911</t>
  </si>
  <si>
    <t>1085293105</t>
  </si>
  <si>
    <t>2025002912</t>
  </si>
  <si>
    <t>1089483067</t>
  </si>
  <si>
    <t>2025002913</t>
  </si>
  <si>
    <t>993-2025</t>
  </si>
  <si>
    <t>1123327071</t>
  </si>
  <si>
    <t>JULY VANESSA OYOLA LOPEZ</t>
  </si>
  <si>
    <t>2025002914</t>
  </si>
  <si>
    <t>1193202097</t>
  </si>
  <si>
    <t>2025002915</t>
  </si>
  <si>
    <t>1030-2025</t>
  </si>
  <si>
    <t>87060188</t>
  </si>
  <si>
    <t>JHONN ALEJANDRO CORAL GARCIA</t>
  </si>
  <si>
    <t>2025002916</t>
  </si>
  <si>
    <t>934-2025</t>
  </si>
  <si>
    <t>1085346528</t>
  </si>
  <si>
    <t>JUDDY GABRIELA PIANDA PISCAL</t>
  </si>
  <si>
    <t>2025002917</t>
  </si>
  <si>
    <t>27082649</t>
  </si>
  <si>
    <t>2025002918</t>
  </si>
  <si>
    <t>59311295</t>
  </si>
  <si>
    <t>2025002919</t>
  </si>
  <si>
    <t>1004508406</t>
  </si>
  <si>
    <t>2025002920</t>
  </si>
  <si>
    <t>36758143</t>
  </si>
  <si>
    <t>2025002921</t>
  </si>
  <si>
    <t>1020-2025</t>
  </si>
  <si>
    <t>1233190640</t>
  </si>
  <si>
    <t>DEYSI KATHERINE JOJOA JOJOA</t>
  </si>
  <si>
    <t>2025002922</t>
  </si>
  <si>
    <t>1081592303</t>
  </si>
  <si>
    <t>2025002923</t>
  </si>
  <si>
    <t>1085277976</t>
  </si>
  <si>
    <t>2025002924</t>
  </si>
  <si>
    <t>59820414</t>
  </si>
  <si>
    <t>2025002926</t>
  </si>
  <si>
    <t>992-2025</t>
  </si>
  <si>
    <t>1004213964</t>
  </si>
  <si>
    <t>2025002927</t>
  </si>
  <si>
    <t>1025-2025</t>
  </si>
  <si>
    <t>1085253462</t>
  </si>
  <si>
    <t>MARTHA ELIZABETH MIRAMAG CADENA</t>
  </si>
  <si>
    <t>2025002928</t>
  </si>
  <si>
    <t>1061-2025</t>
  </si>
  <si>
    <t>1086329800</t>
  </si>
  <si>
    <t>DAYRA JANNETH BOLAÑOS INSUASTY</t>
  </si>
  <si>
    <t>2025002929</t>
  </si>
  <si>
    <t>852-2025</t>
  </si>
  <si>
    <t>1088730615</t>
  </si>
  <si>
    <t>DANIELA CAROLINA NARVAEZ TORO</t>
  </si>
  <si>
    <t>2025002930</t>
  </si>
  <si>
    <t>1058-2025</t>
  </si>
  <si>
    <t>1085278004</t>
  </si>
  <si>
    <t>MARTHA YOLANDA ZAMBRANO OÑATE</t>
  </si>
  <si>
    <t>2025002931</t>
  </si>
  <si>
    <t>1053-2025</t>
  </si>
  <si>
    <t>1061794455</t>
  </si>
  <si>
    <t>PAOLA ANDREA MARTINEZ FLOREZ</t>
  </si>
  <si>
    <t>2025002932</t>
  </si>
  <si>
    <t>1047-2025</t>
  </si>
  <si>
    <t>98398376</t>
  </si>
  <si>
    <t>JOSE EDUARDO RUIZ PORTILLO</t>
  </si>
  <si>
    <t>2025002933</t>
  </si>
  <si>
    <t>1048-2025</t>
  </si>
  <si>
    <t>1137089268</t>
  </si>
  <si>
    <t>ANYELY VANESA BUESAQUILLO MATABANCHOY</t>
  </si>
  <si>
    <t>2025002934</t>
  </si>
  <si>
    <t>1065-2025</t>
  </si>
  <si>
    <t>1193405962</t>
  </si>
  <si>
    <t>EVELIN GISETH CONSTAIN LASSO</t>
  </si>
  <si>
    <t>2025002936</t>
  </si>
  <si>
    <t>1004134014</t>
  </si>
  <si>
    <t>2025002938</t>
  </si>
  <si>
    <t>1085315209</t>
  </si>
  <si>
    <t>2025002939</t>
  </si>
  <si>
    <t>983-2025</t>
  </si>
  <si>
    <t>1081272318</t>
  </si>
  <si>
    <t>JONATHAN DAVID NARVAEZ MUYUY</t>
  </si>
  <si>
    <t>2025002940</t>
  </si>
  <si>
    <t>1085252263</t>
  </si>
  <si>
    <t>2025002941</t>
  </si>
  <si>
    <t>959-2025</t>
  </si>
  <si>
    <t>1085275400</t>
  </si>
  <si>
    <t>SANDRA PATRICIA MALLAMA BOTINA</t>
  </si>
  <si>
    <t>2025002942</t>
  </si>
  <si>
    <t>968-2025</t>
  </si>
  <si>
    <t>37084258</t>
  </si>
  <si>
    <t>JANNETH ALEXANDRA BETANCOURT NARVAEZ</t>
  </si>
  <si>
    <t>2025002943</t>
  </si>
  <si>
    <t>970-2025</t>
  </si>
  <si>
    <t>1085293619</t>
  </si>
  <si>
    <t>JERALDINE  BASTIDAS OCAÑA</t>
  </si>
  <si>
    <t>2025002944</t>
  </si>
  <si>
    <t>59651018</t>
  </si>
  <si>
    <t>2025002945</t>
  </si>
  <si>
    <t>27087475</t>
  </si>
  <si>
    <t>2025002946</t>
  </si>
  <si>
    <t>948-2025</t>
  </si>
  <si>
    <t>1085313870</t>
  </si>
  <si>
    <t>2025002947</t>
  </si>
  <si>
    <t>2025002948</t>
  </si>
  <si>
    <t>59825948</t>
  </si>
  <si>
    <t>2025002949</t>
  </si>
  <si>
    <t>59310853</t>
  </si>
  <si>
    <t>2025002950</t>
  </si>
  <si>
    <t>1233192708</t>
  </si>
  <si>
    <t>2025002951</t>
  </si>
  <si>
    <t>1085283868</t>
  </si>
  <si>
    <t>2025002952</t>
  </si>
  <si>
    <t>98382500</t>
  </si>
  <si>
    <t>2025002953</t>
  </si>
  <si>
    <t>966-2025</t>
  </si>
  <si>
    <t>1085331301</t>
  </si>
  <si>
    <t>ALBA  MONTENEGRO TERAN</t>
  </si>
  <si>
    <t>2025002958</t>
  </si>
  <si>
    <t>945-2025</t>
  </si>
  <si>
    <t>1193271485</t>
  </si>
  <si>
    <t>NATHALIA ESTEFANIA PANTOJA JACOME</t>
  </si>
  <si>
    <t>2025002959</t>
  </si>
  <si>
    <t>1085295583</t>
  </si>
  <si>
    <t>2025002960</t>
  </si>
  <si>
    <t>1193383314</t>
  </si>
  <si>
    <t>2025002961</t>
  </si>
  <si>
    <t>1087645723</t>
  </si>
  <si>
    <t>2025002962</t>
  </si>
  <si>
    <t>59314458</t>
  </si>
  <si>
    <t>2025002963</t>
  </si>
  <si>
    <t>27456421</t>
  </si>
  <si>
    <t>2025002964</t>
  </si>
  <si>
    <t>1233189066</t>
  </si>
  <si>
    <t>2025002965</t>
  </si>
  <si>
    <t>1004726621</t>
  </si>
  <si>
    <t>2025002966</t>
  </si>
  <si>
    <t>1085255829</t>
  </si>
  <si>
    <t>2025002967</t>
  </si>
  <si>
    <t>36759759</t>
  </si>
  <si>
    <t>2025002968</t>
  </si>
  <si>
    <t>1005977438</t>
  </si>
  <si>
    <t>2025002973</t>
  </si>
  <si>
    <t>1041-2025</t>
  </si>
  <si>
    <t>2025002974</t>
  </si>
  <si>
    <t>2025002977</t>
  </si>
  <si>
    <t>1055-2025</t>
  </si>
  <si>
    <t>27285974</t>
  </si>
  <si>
    <t>LUZDARI  JARAMILLO NOGUERA</t>
  </si>
  <si>
    <t>2025002979</t>
  </si>
  <si>
    <t>953-2025</t>
  </si>
  <si>
    <t>27105277</t>
  </si>
  <si>
    <t>MARYBELL LUCIA BENITEZ ROSERO</t>
  </si>
  <si>
    <t>2025002980</t>
  </si>
  <si>
    <t>1004-2025</t>
  </si>
  <si>
    <t>1085317085</t>
  </si>
  <si>
    <t>EDILIA ROSARIO ROSERO DELGADO</t>
  </si>
  <si>
    <t>2025002981</t>
  </si>
  <si>
    <t>1064-2025</t>
  </si>
  <si>
    <t>1085327677</t>
  </si>
  <si>
    <t>JINETH VANESA CONSTAIN LASSO</t>
  </si>
  <si>
    <t>2025002982</t>
  </si>
  <si>
    <t>1192717330</t>
  </si>
  <si>
    <t>2025002983</t>
  </si>
  <si>
    <t>982-2025</t>
  </si>
  <si>
    <t>27222016</t>
  </si>
  <si>
    <t>ALBA JULIA RODRIGUEZ MORA</t>
  </si>
  <si>
    <t>2025002984</t>
  </si>
  <si>
    <t>1040-2025</t>
  </si>
  <si>
    <t>87065647</t>
  </si>
  <si>
    <t>JHON JAIME LOPEZ GUERRERO</t>
  </si>
  <si>
    <t>2025002985</t>
  </si>
  <si>
    <t>1010010954</t>
  </si>
  <si>
    <t>2025002986</t>
  </si>
  <si>
    <t>36757221</t>
  </si>
  <si>
    <t>2025002987</t>
  </si>
  <si>
    <t>999-2025</t>
  </si>
  <si>
    <t>1081052090</t>
  </si>
  <si>
    <t>DIANA CAROLINA TISOY CHASOY</t>
  </si>
  <si>
    <t>2025002994</t>
  </si>
  <si>
    <t>977-2025</t>
  </si>
  <si>
    <t>1085261053</t>
  </si>
  <si>
    <t>2025002995</t>
  </si>
  <si>
    <t>59122805</t>
  </si>
  <si>
    <t>2025002999</t>
  </si>
  <si>
    <t>1084551863</t>
  </si>
  <si>
    <t>2025003000</t>
  </si>
  <si>
    <t>976-2025</t>
  </si>
  <si>
    <t>1004190984</t>
  </si>
  <si>
    <t>FERNANDA NATALY CRIOLLO OJEDA</t>
  </si>
  <si>
    <t>2025003002</t>
  </si>
  <si>
    <t>936-2025</t>
  </si>
  <si>
    <t>1082748032</t>
  </si>
  <si>
    <t>DAYRA ROCIO FLOREZ BETANCOUR</t>
  </si>
  <si>
    <t>2025003004</t>
  </si>
  <si>
    <t>895-2025</t>
  </si>
  <si>
    <t>27087122</t>
  </si>
  <si>
    <t>2025003006</t>
  </si>
  <si>
    <t>1144172704</t>
  </si>
  <si>
    <t>2025003007</t>
  </si>
  <si>
    <t>1081594639</t>
  </si>
  <si>
    <t>2025003008</t>
  </si>
  <si>
    <t>1085330309</t>
  </si>
  <si>
    <t>2025003010</t>
  </si>
  <si>
    <t>2025003011</t>
  </si>
  <si>
    <t>1033-2025</t>
  </si>
  <si>
    <t>1085313195</t>
  </si>
  <si>
    <t>DIANA MILENA BOTINA JOSA</t>
  </si>
  <si>
    <t>2025003013</t>
  </si>
  <si>
    <t>59310291</t>
  </si>
  <si>
    <t>2025003014</t>
  </si>
  <si>
    <t>952-2025</t>
  </si>
  <si>
    <t>1081053820</t>
  </si>
  <si>
    <t>ANDREA  CATALINA CUASTUMAL ESCOBAR</t>
  </si>
  <si>
    <t>2025003061</t>
  </si>
  <si>
    <t>1026-2025</t>
  </si>
  <si>
    <t>27082650</t>
  </si>
  <si>
    <t>MARILU  CHAVEZ CHAVES</t>
  </si>
  <si>
    <t>2025003062</t>
  </si>
  <si>
    <t>1015-2025</t>
  </si>
  <si>
    <t>59314118</t>
  </si>
  <si>
    <t>MARIA ANACELI ROSERO RIAÑO</t>
  </si>
  <si>
    <t>2025003063</t>
  </si>
  <si>
    <t>1085271641</t>
  </si>
  <si>
    <t>2025003064</t>
  </si>
  <si>
    <t>1022-2025</t>
  </si>
  <si>
    <t>1081282855</t>
  </si>
  <si>
    <t>MARIA SOFIA CHAVEZ JOJOA</t>
  </si>
  <si>
    <t>2025003066</t>
  </si>
  <si>
    <t>951-2025</t>
  </si>
  <si>
    <t>37085864</t>
  </si>
  <si>
    <t>ANA VIVIANA BENAVIDES MORENO</t>
  </si>
  <si>
    <t>2025003067</t>
  </si>
  <si>
    <t>1050-2025</t>
  </si>
  <si>
    <t>1088975658</t>
  </si>
  <si>
    <t>ANYIE CAMILA CASTRO ARCOS</t>
  </si>
  <si>
    <t>2025003068</t>
  </si>
  <si>
    <t>1034-2025</t>
  </si>
  <si>
    <t>59313273</t>
  </si>
  <si>
    <t>AURA INES CHACHINOY POTOSI</t>
  </si>
  <si>
    <t>2025003069</t>
  </si>
  <si>
    <t>1080690337</t>
  </si>
  <si>
    <t>2025003089</t>
  </si>
  <si>
    <t>27549931</t>
  </si>
  <si>
    <t>2025003144</t>
  </si>
  <si>
    <t>901329717</t>
  </si>
  <si>
    <t>2025003169</t>
  </si>
  <si>
    <t>965-2025</t>
  </si>
  <si>
    <t>1081052779</t>
  </si>
  <si>
    <t>ALISSON YULIANA VELASCO CALDERON</t>
  </si>
  <si>
    <t>2025003171</t>
  </si>
  <si>
    <t>946-2025</t>
  </si>
  <si>
    <t>59816986</t>
  </si>
  <si>
    <t>INÉS MERCEDES LÓPEZ TORRES</t>
  </si>
  <si>
    <t>2025003173</t>
  </si>
  <si>
    <t>1004437571</t>
  </si>
  <si>
    <t>2025003174</t>
  </si>
  <si>
    <t>59824313</t>
  </si>
  <si>
    <t>2025003176</t>
  </si>
  <si>
    <t>1038-2025</t>
  </si>
  <si>
    <t>27388522</t>
  </si>
  <si>
    <t>2025003178</t>
  </si>
  <si>
    <t>1042-2025</t>
  </si>
  <si>
    <t>87030128</t>
  </si>
  <si>
    <t>YONATAN  MENA GRIJALBA</t>
  </si>
  <si>
    <t>2025003179</t>
  </si>
  <si>
    <t>1069-2025</t>
  </si>
  <si>
    <t>59834953</t>
  </si>
  <si>
    <t>2025003181</t>
  </si>
  <si>
    <t>1007-2025</t>
  </si>
  <si>
    <t>1085334831</t>
  </si>
  <si>
    <t>ANTONY EDGARDO ACHICANOY NUPAN</t>
  </si>
  <si>
    <t>2025003183</t>
  </si>
  <si>
    <t>1031-2025</t>
  </si>
  <si>
    <t>87070742</t>
  </si>
  <si>
    <t>DAVID ANDRES BOTINA CRIOLLO</t>
  </si>
  <si>
    <t>2025003184</t>
  </si>
  <si>
    <t>963-2025</t>
  </si>
  <si>
    <t>1004592366</t>
  </si>
  <si>
    <t>2025003185</t>
  </si>
  <si>
    <t>930-2025</t>
  </si>
  <si>
    <t>27097745</t>
  </si>
  <si>
    <t>2025003188</t>
  </si>
  <si>
    <t>1029-2025</t>
  </si>
  <si>
    <t>1233191675</t>
  </si>
  <si>
    <t>2025003189</t>
  </si>
  <si>
    <t>889-2025</t>
  </si>
  <si>
    <t>5930737</t>
  </si>
  <si>
    <t>KARELIS NATALY ZHENG MONSALVE</t>
  </si>
  <si>
    <t>2025003191</t>
  </si>
  <si>
    <t>958-2025</t>
  </si>
  <si>
    <t>36861874</t>
  </si>
  <si>
    <t>2025003193</t>
  </si>
  <si>
    <t>1062-2025</t>
  </si>
  <si>
    <t>1085335069</t>
  </si>
  <si>
    <t>CARINA DEL CARMEN PASICHANA YAQUENO</t>
  </si>
  <si>
    <t>2025003195</t>
  </si>
  <si>
    <t>987-2025</t>
  </si>
  <si>
    <t>1233190311</t>
  </si>
  <si>
    <t>LINDA KATHERYNE ROSERO CARRILLO</t>
  </si>
  <si>
    <t>2025003197</t>
  </si>
  <si>
    <t>949-2025</t>
  </si>
  <si>
    <t>1085253062</t>
  </si>
  <si>
    <t>2025003199</t>
  </si>
  <si>
    <t>1013-2025</t>
  </si>
  <si>
    <t>1085310465</t>
  </si>
  <si>
    <t>2025003201</t>
  </si>
  <si>
    <t>938-2025</t>
  </si>
  <si>
    <t>1081572042</t>
  </si>
  <si>
    <t>ANGIE CAROLINA YAQUENO CRIOLLO</t>
  </si>
  <si>
    <t>2025003204</t>
  </si>
  <si>
    <t>998-2025</t>
  </si>
  <si>
    <t>1030606749</t>
  </si>
  <si>
    <t>2025003206</t>
  </si>
  <si>
    <t>1060-2025</t>
  </si>
  <si>
    <t>27253636</t>
  </si>
  <si>
    <t>GENITH CARMENZA CUASAPUD CUNDAR</t>
  </si>
  <si>
    <t>2025003246</t>
  </si>
  <si>
    <t>1085318201</t>
  </si>
  <si>
    <t>2025003247</t>
  </si>
  <si>
    <t>1086360022</t>
  </si>
  <si>
    <t>2025003249</t>
  </si>
  <si>
    <t>36950073</t>
  </si>
  <si>
    <t>2025003252</t>
  </si>
  <si>
    <t>2025003254</t>
  </si>
  <si>
    <t>2025003255</t>
  </si>
  <si>
    <t>2025003256</t>
  </si>
  <si>
    <t>2025003257</t>
  </si>
  <si>
    <t>2025003258</t>
  </si>
  <si>
    <t>2025003261</t>
  </si>
  <si>
    <t>2025003262</t>
  </si>
  <si>
    <t>2025003263</t>
  </si>
  <si>
    <t>2025003264</t>
  </si>
  <si>
    <t>2025003265</t>
  </si>
  <si>
    <t>2025003266</t>
  </si>
  <si>
    <t>2025003267</t>
  </si>
  <si>
    <t>2025003268</t>
  </si>
  <si>
    <t>2025003269</t>
  </si>
  <si>
    <t>2025003270</t>
  </si>
  <si>
    <t>2025003272</t>
  </si>
  <si>
    <t>2025003273</t>
  </si>
  <si>
    <t>2025003275</t>
  </si>
  <si>
    <t>2025003276</t>
  </si>
  <si>
    <t>2025003278</t>
  </si>
  <si>
    <t>2025003279</t>
  </si>
  <si>
    <t>2025003280</t>
  </si>
  <si>
    <t>2025003282</t>
  </si>
  <si>
    <t>2025003283</t>
  </si>
  <si>
    <t>2025003284</t>
  </si>
  <si>
    <t>2025003285</t>
  </si>
  <si>
    <t>933-2025</t>
  </si>
  <si>
    <t>52381227</t>
  </si>
  <si>
    <t xml:space="preserve">SANDRA MARCELA DOMINGUEZ </t>
  </si>
  <si>
    <t>2025003286</t>
  </si>
  <si>
    <t>937-2025</t>
  </si>
  <si>
    <t>1085323338</t>
  </si>
  <si>
    <t>JULIANA  BURBANO PAEZ</t>
  </si>
  <si>
    <t>2025003290</t>
  </si>
  <si>
    <t>931-2025</t>
  </si>
  <si>
    <t>1086360087</t>
  </si>
  <si>
    <t>JOHANA MARICELA MATABAJOY CABRERA</t>
  </si>
  <si>
    <t>2025003291</t>
  </si>
  <si>
    <t>939-2025</t>
  </si>
  <si>
    <t>1086361622</t>
  </si>
  <si>
    <t>MARIA ALEJANDRA DIAZ ORTEGA</t>
  </si>
  <si>
    <t>2025003292</t>
  </si>
  <si>
    <t>1010-2025</t>
  </si>
  <si>
    <t>59313415</t>
  </si>
  <si>
    <t>AURA NATALIA MAIGUAL TIMARAN</t>
  </si>
  <si>
    <t>2025003293</t>
  </si>
  <si>
    <t>962-2025</t>
  </si>
  <si>
    <t>1233188033</t>
  </si>
  <si>
    <t>JONATAN RICARDO ORTEGA ORTEGA</t>
  </si>
  <si>
    <t>2025003294</t>
  </si>
  <si>
    <t>2025003295</t>
  </si>
  <si>
    <t>2025003296</t>
  </si>
  <si>
    <t>2025003297</t>
  </si>
  <si>
    <t>1085272491</t>
  </si>
  <si>
    <t>2025003298</t>
  </si>
  <si>
    <t>980-2025</t>
  </si>
  <si>
    <t>1085317094</t>
  </si>
  <si>
    <t>DAISSY JOHANA YAQUENO YAQUENO</t>
  </si>
  <si>
    <t>2025003299</t>
  </si>
  <si>
    <t>955-2025</t>
  </si>
  <si>
    <t>1085298800</t>
  </si>
  <si>
    <t>BRENDA MICAELA PUENTE GONZALES</t>
  </si>
  <si>
    <t>2025003300</t>
  </si>
  <si>
    <t>2025003301</t>
  </si>
  <si>
    <t>2025003302</t>
  </si>
  <si>
    <t>2025003304</t>
  </si>
  <si>
    <t>2025003305</t>
  </si>
  <si>
    <t>2025003306</t>
  </si>
  <si>
    <t>2025003308</t>
  </si>
  <si>
    <t>2025003309</t>
  </si>
  <si>
    <t>2025003310</t>
  </si>
  <si>
    <t>1107-2025</t>
  </si>
  <si>
    <t>1081274779</t>
  </si>
  <si>
    <t>DENNYS DUBERNEY BUESAQUILLO CRIOLLO</t>
  </si>
  <si>
    <t>2025003311</t>
  </si>
  <si>
    <t>1167-2025</t>
  </si>
  <si>
    <t>1085317833</t>
  </si>
  <si>
    <t>2025003312</t>
  </si>
  <si>
    <t>2025003314</t>
  </si>
  <si>
    <t>2025003316</t>
  </si>
  <si>
    <t>2025003318</t>
  </si>
  <si>
    <t>2025003320</t>
  </si>
  <si>
    <t>2025003322</t>
  </si>
  <si>
    <t>1067-2025</t>
  </si>
  <si>
    <t>59813323</t>
  </si>
  <si>
    <t>2025003323</t>
  </si>
  <si>
    <t>2025003324</t>
  </si>
  <si>
    <t>1009-2025</t>
  </si>
  <si>
    <t>27086745</t>
  </si>
  <si>
    <t>CARMEN  PATIÑO DE BENAVIDES</t>
  </si>
  <si>
    <t>2025003325</t>
  </si>
  <si>
    <t>2025003326</t>
  </si>
  <si>
    <t>1164-2025</t>
  </si>
  <si>
    <t>1085287296</t>
  </si>
  <si>
    <t>LILIANA LUCIA MAIGUAL MAIGUAL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</si>
</sst>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00"/>
    <numFmt numFmtId="166" formatCode="yyyy\-mm\-dd;@"/>
  </numFmts>
  <fonts count="6"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sz val="11"/>
      <color theme="1"/>
      <name val="Calibri"/>
      <scheme val="minor"/>
    </font>
    <font>
      <sz val="8"/>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3" fillId="0" borderId="0" xfId="0" applyNumberFormat="1" applyFont="1"/>
    <xf numFmtId="0" fontId="4" fillId="0" borderId="0" xfId="0" applyFont="1"/>
    <xf numFmtId="165" fontId="3" fillId="0" borderId="0" xfId="0" applyNumberFormat="1" applyFont="1"/>
    <xf numFmtId="0" fontId="3" fillId="0" borderId="0" xfId="0" applyFont="1"/>
    <xf numFmtId="166" fontId="0" fillId="0" borderId="0" xfId="0" applyNumberFormat="1"/>
    <xf numFmtId="165" fontId="0" fillId="0" borderId="0" xfId="0" applyNumberFormat="1"/>
    <xf numFmtId="0" fontId="2" fillId="0" borderId="0" xfId="0" applyFont="1"/>
    <xf numFmtId="0" fontId="1" fillId="0" borderId="0" xfId="0" applyFont="1"/>
    <xf numFmtId="1" fontId="3" fillId="0" borderId="0" xfId="0" applyNumberFormat="1" applyFont="1"/>
    <xf numFmtId="1"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cer\Desktop\Esteban%20Trabajo\cargue_archivos_finacieros\actualizacion%20RES\RESOLUCION_873_actualizacion_TIPO_3.xlsx" TargetMode="External"/><Relationship Id="rId1" Type="http://schemas.openxmlformats.org/officeDocument/2006/relationships/externalLinkPath" Target="file:///C:\Users\acer\Desktop\Esteban%20Trabajo\cargue_archivos_finacieros\actualizacion%20RES\RESOLUCION_873_actualizacion_TIPO_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 CARGAR"/>
    </sheetNames>
    <sheetDataSet>
      <sheetData sheetId="0">
        <row r="2">
          <cell r="A2" t="str">
            <v>1102-2025</v>
          </cell>
          <cell r="B2" t="str">
            <v>I</v>
          </cell>
          <cell r="C2">
            <v>45965</v>
          </cell>
          <cell r="D2">
            <v>46022</v>
          </cell>
          <cell r="E2"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2" t="str">
            <v>CC</v>
          </cell>
          <cell r="G2">
            <v>1086328142</v>
          </cell>
          <cell r="H2" t="str">
            <v>ZULY MARINA HIDALGO JOJOA</v>
          </cell>
          <cell r="I2">
            <v>43624414</v>
          </cell>
          <cell r="J2" t="str">
            <v>CC</v>
          </cell>
          <cell r="K2" t="str">
            <v>MARY ALEXANDRA ROSERO BENAVIDES</v>
          </cell>
          <cell r="L2">
            <v>0</v>
          </cell>
          <cell r="M2">
            <v>6300000</v>
          </cell>
          <cell r="N2" t="str">
            <v>ID2087325712</v>
          </cell>
          <cell r="O2">
            <v>6300000</v>
          </cell>
        </row>
        <row r="3">
          <cell r="A3" t="str">
            <v>847-2025</v>
          </cell>
          <cell r="B3" t="str">
            <v>I</v>
          </cell>
          <cell r="C3">
            <v>45910</v>
          </cell>
          <cell r="D3">
            <v>46022</v>
          </cell>
          <cell r="E3"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3" t="str">
            <v>CC</v>
          </cell>
          <cell r="G3">
            <v>1086360022</v>
          </cell>
          <cell r="H3" t="str">
            <v>YURANI NATALI BURBANO DIAZ</v>
          </cell>
          <cell r="I3">
            <v>98333941</v>
          </cell>
          <cell r="J3" t="str">
            <v>CC</v>
          </cell>
          <cell r="K3" t="str">
            <v>RIGOBERTO MELO ZAMBRANO</v>
          </cell>
          <cell r="L3">
            <v>9460000</v>
          </cell>
          <cell r="M3">
            <v>18920000</v>
          </cell>
          <cell r="N3" t="str">
            <v>ID2087325712</v>
          </cell>
          <cell r="O3">
            <v>9460000</v>
          </cell>
        </row>
        <row r="4">
          <cell r="A4" t="str">
            <v>756-2025</v>
          </cell>
          <cell r="B4" t="str">
            <v>I</v>
          </cell>
          <cell r="C4">
            <v>45904</v>
          </cell>
          <cell r="D4">
            <v>46022</v>
          </cell>
          <cell r="E4" t="str">
            <v>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4" t="str">
            <v>CC</v>
          </cell>
          <cell r="G4">
            <v>1087414586</v>
          </cell>
          <cell r="H4" t="str">
            <v>YULY MARCELA MORALES LOPEZ</v>
          </cell>
          <cell r="I4">
            <v>43624414</v>
          </cell>
          <cell r="J4" t="str">
            <v>CC</v>
          </cell>
          <cell r="K4" t="str">
            <v>MARY ALEXANDRA ROSERO BENAVIDES</v>
          </cell>
          <cell r="L4">
            <v>9460000</v>
          </cell>
          <cell r="M4">
            <v>18920000</v>
          </cell>
          <cell r="N4" t="str">
            <v>ID2087325712</v>
          </cell>
          <cell r="O4">
            <v>9460000</v>
          </cell>
        </row>
        <row r="5">
          <cell r="A5" t="str">
            <v>754-2025</v>
          </cell>
          <cell r="B5" t="str">
            <v>I</v>
          </cell>
          <cell r="C5">
            <v>45904</v>
          </cell>
          <cell r="D5">
            <v>46022</v>
          </cell>
          <cell r="E5"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v>
          </cell>
          <cell r="F5" t="str">
            <v>CC</v>
          </cell>
          <cell r="G5">
            <v>1233189234</v>
          </cell>
          <cell r="H5" t="str">
            <v>YULLI KAROLINA CASTILLO PAZ</v>
          </cell>
          <cell r="I5">
            <v>59836926</v>
          </cell>
          <cell r="J5" t="str">
            <v>CC</v>
          </cell>
          <cell r="K5" t="str">
            <v>DEYANIRA BADOS DAZA</v>
          </cell>
          <cell r="L5">
            <v>9450000</v>
          </cell>
          <cell r="M5">
            <v>12600000</v>
          </cell>
          <cell r="N5" t="str">
            <v>ID2087325712</v>
          </cell>
          <cell r="O5">
            <v>3150000</v>
          </cell>
        </row>
        <row r="6">
          <cell r="A6" t="str">
            <v>766-2025</v>
          </cell>
          <cell r="B6" t="str">
            <v>I</v>
          </cell>
          <cell r="C6">
            <v>45905</v>
          </cell>
          <cell r="D6">
            <v>46022</v>
          </cell>
          <cell r="E6" t="str">
            <v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F6" t="str">
            <v>CC</v>
          </cell>
          <cell r="G6">
            <v>1193424771</v>
          </cell>
          <cell r="H6" t="str">
            <v>YULIANA RODRIGUEZ GUAITARILLA</v>
          </cell>
          <cell r="I6">
            <v>98333941</v>
          </cell>
          <cell r="J6" t="str">
            <v>CC</v>
          </cell>
          <cell r="K6" t="str">
            <v>RIGOBERTO MELO ZAMBRANO</v>
          </cell>
          <cell r="L6">
            <v>9460000</v>
          </cell>
          <cell r="M6">
            <v>18920000</v>
          </cell>
          <cell r="N6" t="str">
            <v>ID2087325712</v>
          </cell>
          <cell r="O6">
            <v>9460000</v>
          </cell>
        </row>
        <row r="7">
          <cell r="A7" t="str">
            <v>750-2025</v>
          </cell>
          <cell r="B7" t="str">
            <v>I</v>
          </cell>
          <cell r="C7">
            <v>45904</v>
          </cell>
          <cell r="D7">
            <v>46022</v>
          </cell>
          <cell r="E7"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7" t="str">
            <v>CC</v>
          </cell>
          <cell r="G7">
            <v>1233193882</v>
          </cell>
          <cell r="H7" t="str">
            <v>YULI NATHALIA CALI RODRIGUEZ</v>
          </cell>
          <cell r="I7">
            <v>98390119</v>
          </cell>
          <cell r="J7" t="str">
            <v>CC</v>
          </cell>
          <cell r="K7" t="str">
            <v>RODRIGO DE JESUS VITERI MORENO</v>
          </cell>
          <cell r="L7">
            <v>15600000</v>
          </cell>
          <cell r="M7">
            <v>31200000</v>
          </cell>
          <cell r="N7" t="str">
            <v>ID2087325712</v>
          </cell>
          <cell r="O7">
            <v>15600000</v>
          </cell>
        </row>
        <row r="8">
          <cell r="A8" t="str">
            <v>851-2025</v>
          </cell>
          <cell r="B8" t="str">
            <v>I</v>
          </cell>
          <cell r="C8">
            <v>45910</v>
          </cell>
          <cell r="D8">
            <v>46022</v>
          </cell>
          <cell r="E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8" t="str">
            <v>CC</v>
          </cell>
          <cell r="G8">
            <v>1004543161</v>
          </cell>
          <cell r="H8" t="str">
            <v xml:space="preserve">YORLENY VALERIA CABRERA RIVERA </v>
          </cell>
          <cell r="I8">
            <v>98333941</v>
          </cell>
          <cell r="J8" t="str">
            <v>CC</v>
          </cell>
          <cell r="K8" t="str">
            <v>RIGOBERTO MELO ZAMBRANO</v>
          </cell>
          <cell r="L8">
            <v>6300000</v>
          </cell>
          <cell r="M8">
            <v>12600000</v>
          </cell>
          <cell r="N8" t="str">
            <v>ID2087325712</v>
          </cell>
          <cell r="O8">
            <v>6300000</v>
          </cell>
        </row>
        <row r="9">
          <cell r="A9" t="str">
            <v>1042-2025</v>
          </cell>
          <cell r="B9" t="str">
            <v>I</v>
          </cell>
          <cell r="C9">
            <v>45945</v>
          </cell>
          <cell r="D9">
            <v>46022</v>
          </cell>
          <cell r="E9" t="str">
            <v>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v>
          </cell>
          <cell r="F9" t="str">
            <v>CC</v>
          </cell>
          <cell r="G9">
            <v>87030128</v>
          </cell>
          <cell r="H9" t="str">
            <v>YONATAN MENA GRIJALBA</v>
          </cell>
          <cell r="I9">
            <v>98390119</v>
          </cell>
          <cell r="J9" t="str">
            <v>CC</v>
          </cell>
          <cell r="K9" t="str">
            <v>RODRIGO DE JESUS VITERI MORENO</v>
          </cell>
          <cell r="L9">
            <v>1575000</v>
          </cell>
          <cell r="M9">
            <v>7875000</v>
          </cell>
          <cell r="N9" t="str">
            <v>ID2087325712</v>
          </cell>
          <cell r="O9">
            <v>6300000</v>
          </cell>
        </row>
        <row r="10">
          <cell r="A10" t="str">
            <v>913-2025</v>
          </cell>
          <cell r="B10" t="str">
            <v>I</v>
          </cell>
          <cell r="C10">
            <v>45923</v>
          </cell>
          <cell r="D10">
            <v>46022</v>
          </cell>
          <cell r="E10"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10" t="str">
            <v>CC</v>
          </cell>
          <cell r="G10">
            <v>1089846684</v>
          </cell>
          <cell r="H10" t="str">
            <v>YOHANA KATERING PANTOJA MELO</v>
          </cell>
          <cell r="I10">
            <v>98390119</v>
          </cell>
          <cell r="J10" t="str">
            <v>CC</v>
          </cell>
          <cell r="K10" t="str">
            <v>RODRIGO DE JESUS VITERI MORENO</v>
          </cell>
          <cell r="L10">
            <v>11700000</v>
          </cell>
          <cell r="M10">
            <v>27300000</v>
          </cell>
          <cell r="N10" t="str">
            <v>ID2087325712</v>
          </cell>
          <cell r="O10">
            <v>15600000</v>
          </cell>
        </row>
        <row r="11">
          <cell r="A11" t="str">
            <v>828-2025</v>
          </cell>
          <cell r="B11" t="str">
            <v>I</v>
          </cell>
          <cell r="C11">
            <v>45909</v>
          </cell>
          <cell r="D11">
            <v>46022</v>
          </cell>
          <cell r="E11"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11" t="str">
            <v>CC</v>
          </cell>
          <cell r="G11">
            <v>59310056</v>
          </cell>
          <cell r="H11" t="str">
            <v>YEZICA ALEJANDRA RIVAS PORTILLA</v>
          </cell>
          <cell r="I11">
            <v>98333941</v>
          </cell>
          <cell r="J11" t="str">
            <v>CC</v>
          </cell>
          <cell r="K11" t="str">
            <v>RIGOBERTO MELO ZAMBRANO</v>
          </cell>
          <cell r="L11">
            <v>6300000</v>
          </cell>
          <cell r="M11">
            <v>12600000</v>
          </cell>
          <cell r="N11" t="str">
            <v>ID2087325712</v>
          </cell>
          <cell r="O11">
            <v>6300000</v>
          </cell>
        </row>
        <row r="12">
          <cell r="A12" t="str">
            <v>1016-2025</v>
          </cell>
          <cell r="B12" t="str">
            <v>I</v>
          </cell>
          <cell r="C12">
            <v>45940</v>
          </cell>
          <cell r="D12">
            <v>46022</v>
          </cell>
          <cell r="E12" t="str">
            <v>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v>
          </cell>
          <cell r="F12" t="str">
            <v>NI</v>
          </cell>
          <cell r="G12">
            <v>900752343</v>
          </cell>
          <cell r="H12" t="str">
            <v>TRANSPORTES ESPECIALES GALERAS EXPRESS SAS</v>
          </cell>
          <cell r="I12">
            <v>17658216</v>
          </cell>
          <cell r="J12" t="str">
            <v>CC</v>
          </cell>
          <cell r="K12" t="str">
            <v>JUAN PABLO LLANOS</v>
          </cell>
          <cell r="L12">
            <v>0</v>
          </cell>
          <cell r="M12">
            <v>284000000</v>
          </cell>
          <cell r="N12" t="str">
            <v>ID2087325712</v>
          </cell>
          <cell r="O12">
            <v>284000000</v>
          </cell>
        </row>
        <row r="13">
          <cell r="A13" t="str">
            <v>883-2025</v>
          </cell>
          <cell r="B13" t="str">
            <v>I</v>
          </cell>
          <cell r="C13">
            <v>45917</v>
          </cell>
          <cell r="D13">
            <v>46022</v>
          </cell>
          <cell r="E13"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13" t="str">
            <v>CC</v>
          </cell>
          <cell r="G13">
            <v>1004547484</v>
          </cell>
          <cell r="H13" t="str">
            <v>YARY ESTEPHANIA BOLAÑOS LUNA</v>
          </cell>
          <cell r="I13">
            <v>98333941</v>
          </cell>
          <cell r="J13" t="str">
            <v>CC</v>
          </cell>
          <cell r="K13" t="str">
            <v>RIGOBERTO MELO ZAMBRANO</v>
          </cell>
          <cell r="L13">
            <v>6300000</v>
          </cell>
          <cell r="M13">
            <v>12600000</v>
          </cell>
          <cell r="N13" t="str">
            <v>ID2087325712</v>
          </cell>
          <cell r="O13">
            <v>6300000</v>
          </cell>
        </row>
        <row r="14">
          <cell r="A14" t="str">
            <v>1013-2025</v>
          </cell>
          <cell r="B14" t="str">
            <v>I</v>
          </cell>
          <cell r="C14">
            <v>45940</v>
          </cell>
          <cell r="D14">
            <v>46022</v>
          </cell>
          <cell r="E14"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v>
          </cell>
          <cell r="F14" t="str">
            <v>CC</v>
          </cell>
          <cell r="G14">
            <v>1085310465</v>
          </cell>
          <cell r="H14" t="str">
            <v>YAMILE ALEJANDRA BOTINA RODRIGUEZ</v>
          </cell>
          <cell r="I14">
            <v>98390119</v>
          </cell>
          <cell r="J14" t="str">
            <v>CC</v>
          </cell>
          <cell r="K14" t="str">
            <v>RODRIGO DE JESUS VITERI MORENO</v>
          </cell>
          <cell r="L14">
            <v>2000000</v>
          </cell>
          <cell r="M14">
            <v>6000000</v>
          </cell>
          <cell r="N14" t="str">
            <v>ID2087325712</v>
          </cell>
          <cell r="O14">
            <v>4000000</v>
          </cell>
        </row>
        <row r="15">
          <cell r="A15" t="str">
            <v>875-2025</v>
          </cell>
          <cell r="B15" t="str">
            <v>I</v>
          </cell>
          <cell r="C15">
            <v>45915</v>
          </cell>
          <cell r="D15">
            <v>46022</v>
          </cell>
          <cell r="E15"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15" t="str">
            <v>CC</v>
          </cell>
          <cell r="G15">
            <v>1086361969</v>
          </cell>
          <cell r="H15" t="str">
            <v>YADDY ALEJANDRA SOLARTE BASTIDAS</v>
          </cell>
          <cell r="I15">
            <v>98333941</v>
          </cell>
          <cell r="J15" t="str">
            <v>CC</v>
          </cell>
          <cell r="K15" t="str">
            <v>RIGOBERTO MELO ZAMBRANO</v>
          </cell>
          <cell r="L15">
            <v>15600000</v>
          </cell>
          <cell r="M15">
            <v>31200000</v>
          </cell>
          <cell r="N15" t="str">
            <v>ID2087325712</v>
          </cell>
          <cell r="O15">
            <v>15600000</v>
          </cell>
        </row>
        <row r="16">
          <cell r="A16" t="str">
            <v>957-2025</v>
          </cell>
          <cell r="B16" t="str">
            <v>I</v>
          </cell>
          <cell r="C16">
            <v>45931</v>
          </cell>
          <cell r="D16">
            <v>46022</v>
          </cell>
          <cell r="E16"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16" t="str">
            <v>CC</v>
          </cell>
          <cell r="G16">
            <v>1004217101</v>
          </cell>
          <cell r="H16" t="str">
            <v>WEIMAR ARMANDO LOPEZ DELGADO</v>
          </cell>
          <cell r="I16">
            <v>98390119</v>
          </cell>
          <cell r="J16" t="str">
            <v>CC</v>
          </cell>
          <cell r="K16" t="str">
            <v>RODRIGO DE JESUS VITERI MORENO</v>
          </cell>
          <cell r="L16">
            <v>0</v>
          </cell>
          <cell r="M16">
            <v>9450000</v>
          </cell>
          <cell r="N16" t="str">
            <v>ID2087325712</v>
          </cell>
          <cell r="O16">
            <v>9450000</v>
          </cell>
        </row>
        <row r="17">
          <cell r="A17" t="str">
            <v>1100-2025</v>
          </cell>
          <cell r="B17" t="str">
            <v>I</v>
          </cell>
          <cell r="C17">
            <v>45965</v>
          </cell>
          <cell r="D17">
            <v>46022</v>
          </cell>
          <cell r="E1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17" t="str">
            <v>CC</v>
          </cell>
          <cell r="G17">
            <v>1084224968</v>
          </cell>
          <cell r="H17" t="str">
            <v>VIVIAN ROXANA JURADO BANDA</v>
          </cell>
          <cell r="I17">
            <v>98390119</v>
          </cell>
          <cell r="J17" t="str">
            <v>CC</v>
          </cell>
          <cell r="K17" t="str">
            <v>RODRIGO DE JESUS VITERI MORENO</v>
          </cell>
          <cell r="L17">
            <v>0</v>
          </cell>
          <cell r="M17">
            <v>6300000</v>
          </cell>
          <cell r="N17" t="str">
            <v>ID2087325712</v>
          </cell>
          <cell r="O17">
            <v>6300000</v>
          </cell>
        </row>
        <row r="18">
          <cell r="A18" t="str">
            <v>706-2025</v>
          </cell>
          <cell r="B18" t="str">
            <v>I</v>
          </cell>
          <cell r="C18">
            <v>45901</v>
          </cell>
          <cell r="D18">
            <v>46022</v>
          </cell>
          <cell r="E18"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18" t="str">
            <v>CC</v>
          </cell>
          <cell r="G18">
            <v>1193202097</v>
          </cell>
          <cell r="H18" t="str">
            <v>VERONICA SOFIA HUERTAS ARCINIEGAS</v>
          </cell>
          <cell r="I18">
            <v>43624414</v>
          </cell>
          <cell r="J18" t="str">
            <v>CC</v>
          </cell>
          <cell r="K18" t="str">
            <v>MARY ALEXANDRA ROSERO BENAVIDES</v>
          </cell>
          <cell r="L18">
            <v>15600000</v>
          </cell>
          <cell r="M18">
            <v>31200000</v>
          </cell>
          <cell r="N18" t="str">
            <v>ID2087325712</v>
          </cell>
          <cell r="O18">
            <v>15600000</v>
          </cell>
        </row>
        <row r="19">
          <cell r="A19" t="str">
            <v>1092-2025</v>
          </cell>
          <cell r="B19" t="str">
            <v>I</v>
          </cell>
          <cell r="C19">
            <v>45965</v>
          </cell>
          <cell r="D19">
            <v>46022</v>
          </cell>
          <cell r="E19"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19" t="str">
            <v>CC</v>
          </cell>
          <cell r="G19">
            <v>1085286742</v>
          </cell>
          <cell r="H19" t="str">
            <v>VANESSA KATHERINE JOJOA ARIAS</v>
          </cell>
          <cell r="I19">
            <v>98390119</v>
          </cell>
          <cell r="J19" t="str">
            <v>CC</v>
          </cell>
          <cell r="K19" t="str">
            <v>RODRIGO DE JESUS VITERI MORENO</v>
          </cell>
          <cell r="L19">
            <v>0</v>
          </cell>
          <cell r="M19">
            <v>6300000</v>
          </cell>
          <cell r="N19" t="str">
            <v>ID2087325712</v>
          </cell>
          <cell r="O19">
            <v>6300000</v>
          </cell>
        </row>
        <row r="20">
          <cell r="A20" t="str">
            <v>908-2025</v>
          </cell>
          <cell r="B20" t="str">
            <v>I</v>
          </cell>
          <cell r="C20">
            <v>45922</v>
          </cell>
          <cell r="D20">
            <v>46022</v>
          </cell>
          <cell r="E20" t="str">
            <v>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20" t="str">
            <v>CC</v>
          </cell>
          <cell r="G20">
            <v>1193383314</v>
          </cell>
          <cell r="H20" t="str">
            <v>VALERIA VALENTINA PEREZ ROSERO</v>
          </cell>
          <cell r="I20">
            <v>98390119</v>
          </cell>
          <cell r="J20" t="str">
            <v>CC</v>
          </cell>
          <cell r="K20" t="str">
            <v>RODRIGO DE JESUS VITERI MORENO</v>
          </cell>
          <cell r="L20">
            <v>9450000</v>
          </cell>
          <cell r="M20">
            <v>22050000</v>
          </cell>
          <cell r="N20" t="str">
            <v>ID2087325712</v>
          </cell>
          <cell r="O20">
            <v>12600000</v>
          </cell>
        </row>
        <row r="21">
          <cell r="A21" t="str">
            <v>849-2025</v>
          </cell>
          <cell r="B21" t="str">
            <v>I</v>
          </cell>
          <cell r="C21">
            <v>45910</v>
          </cell>
          <cell r="D21">
            <v>46022</v>
          </cell>
          <cell r="E21"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21" t="str">
            <v>CC</v>
          </cell>
          <cell r="G21">
            <v>1081572043</v>
          </cell>
          <cell r="H21" t="str">
            <v>TATIANA ANDREA CRIOLLO GENOY</v>
          </cell>
          <cell r="I21">
            <v>59836926</v>
          </cell>
          <cell r="J21" t="str">
            <v>CC</v>
          </cell>
          <cell r="K21" t="str">
            <v>DEYANIRA BADOS DAZA</v>
          </cell>
          <cell r="L21">
            <v>6300000</v>
          </cell>
          <cell r="M21">
            <v>12600000</v>
          </cell>
          <cell r="N21" t="str">
            <v>ID2087325712</v>
          </cell>
          <cell r="O21">
            <v>6300000</v>
          </cell>
        </row>
        <row r="22">
          <cell r="A22" t="str">
            <v>811-2025</v>
          </cell>
          <cell r="B22" t="str">
            <v>I</v>
          </cell>
          <cell r="C22">
            <v>45908</v>
          </cell>
          <cell r="D22">
            <v>46022</v>
          </cell>
          <cell r="E22"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22" t="str">
            <v>CC</v>
          </cell>
          <cell r="G22">
            <v>1004235479</v>
          </cell>
          <cell r="H22" t="str">
            <v>TANIA KARINA CUERO CASANOVA</v>
          </cell>
          <cell r="I22">
            <v>98333941</v>
          </cell>
          <cell r="J22" t="str">
            <v>CC</v>
          </cell>
          <cell r="K22" t="str">
            <v>RIGOBERTO MELO ZAMBRANO</v>
          </cell>
          <cell r="L22">
            <v>9450000</v>
          </cell>
          <cell r="M22">
            <v>12600000</v>
          </cell>
          <cell r="N22" t="str">
            <v>ID2087325712</v>
          </cell>
          <cell r="O22">
            <v>3150000</v>
          </cell>
        </row>
        <row r="23">
          <cell r="A23" t="str">
            <v>862-2025</v>
          </cell>
          <cell r="B23" t="str">
            <v>I</v>
          </cell>
          <cell r="C23">
            <v>45911</v>
          </cell>
          <cell r="D23">
            <v>46022</v>
          </cell>
          <cell r="E23"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F23" t="str">
            <v>CC</v>
          </cell>
          <cell r="G23">
            <v>1085347312</v>
          </cell>
          <cell r="H23" t="str">
            <v>SULEIDY YARITZA GOMEZ GARCIA</v>
          </cell>
          <cell r="I23">
            <v>98333941</v>
          </cell>
          <cell r="J23" t="str">
            <v>CC</v>
          </cell>
          <cell r="K23" t="str">
            <v>RIGOBERTO MELO ZAMBRANO</v>
          </cell>
          <cell r="L23">
            <v>12600000</v>
          </cell>
          <cell r="M23">
            <v>25200000</v>
          </cell>
          <cell r="N23" t="str">
            <v>ID2087325712</v>
          </cell>
          <cell r="O23">
            <v>12600000</v>
          </cell>
        </row>
        <row r="24">
          <cell r="A24" t="str">
            <v>935-2025</v>
          </cell>
          <cell r="B24" t="str">
            <v>I</v>
          </cell>
          <cell r="C24">
            <v>45929</v>
          </cell>
          <cell r="D24">
            <v>46022</v>
          </cell>
          <cell r="E24"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24" t="str">
            <v>CC</v>
          </cell>
          <cell r="G24">
            <v>1004666616</v>
          </cell>
          <cell r="H24" t="str">
            <v>SONIA MARIBEL GELPUD MAYA</v>
          </cell>
          <cell r="I24">
            <v>98390119</v>
          </cell>
          <cell r="J24" t="str">
            <v>CC</v>
          </cell>
          <cell r="K24" t="str">
            <v>RODRIGO DE JESUS VITERI MORENO</v>
          </cell>
          <cell r="L24">
            <v>0</v>
          </cell>
          <cell r="M24">
            <v>9450000</v>
          </cell>
          <cell r="N24" t="str">
            <v>ID2087325712</v>
          </cell>
          <cell r="O24">
            <v>9450000</v>
          </cell>
        </row>
        <row r="25">
          <cell r="A25" t="str">
            <v>1098-2025</v>
          </cell>
          <cell r="B25" t="str">
            <v>I</v>
          </cell>
          <cell r="C25">
            <v>45965</v>
          </cell>
          <cell r="D25">
            <v>46022</v>
          </cell>
          <cell r="E25"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v>
          </cell>
          <cell r="F25" t="str">
            <v>CC</v>
          </cell>
          <cell r="G25">
            <v>36757715</v>
          </cell>
          <cell r="H25" t="str">
            <v>SONIA DEL ROCIO GOMEZ NARVAEZ</v>
          </cell>
          <cell r="I25">
            <v>98390119</v>
          </cell>
          <cell r="J25" t="str">
            <v>CC</v>
          </cell>
          <cell r="K25" t="str">
            <v>RODRIGO DE JESUS VITERI MORENO</v>
          </cell>
          <cell r="L25">
            <v>0</v>
          </cell>
          <cell r="M25">
            <v>4000000</v>
          </cell>
          <cell r="N25" t="str">
            <v>ID2087325712</v>
          </cell>
          <cell r="O25">
            <v>4000000</v>
          </cell>
        </row>
        <row r="26">
          <cell r="A26" t="str">
            <v>711-2025</v>
          </cell>
          <cell r="B26" t="str">
            <v>I</v>
          </cell>
          <cell r="C26">
            <v>45901</v>
          </cell>
          <cell r="D26">
            <v>46022</v>
          </cell>
          <cell r="E26"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26" t="str">
            <v>CC</v>
          </cell>
          <cell r="G26">
            <v>1085336362</v>
          </cell>
          <cell r="H26" t="str">
            <v>SOFIA ESMERALDA MEJIA ORTIZ</v>
          </cell>
          <cell r="I26">
            <v>98333941</v>
          </cell>
          <cell r="J26" t="str">
            <v>CC</v>
          </cell>
          <cell r="K26" t="str">
            <v>RIGOBERTO MELO ZAMBRANO</v>
          </cell>
          <cell r="L26">
            <v>23400000</v>
          </cell>
          <cell r="M26">
            <v>31200000</v>
          </cell>
          <cell r="N26" t="str">
            <v>ID2087325712</v>
          </cell>
          <cell r="O26">
            <v>7800000</v>
          </cell>
        </row>
        <row r="27">
          <cell r="A27" t="str">
            <v>928-2025</v>
          </cell>
          <cell r="B27" t="str">
            <v>I</v>
          </cell>
          <cell r="C27">
            <v>45925</v>
          </cell>
          <cell r="D27">
            <v>46022</v>
          </cell>
          <cell r="E2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27" t="str">
            <v>CC</v>
          </cell>
          <cell r="G27">
            <v>1005977438</v>
          </cell>
          <cell r="H27" t="str">
            <v>SIRLEY DANIELA GAMBOA CHAVEZ</v>
          </cell>
          <cell r="I27">
            <v>98390119</v>
          </cell>
          <cell r="J27" t="str">
            <v>CC</v>
          </cell>
          <cell r="K27" t="str">
            <v>RODRIGO DE JESUS VITERI MORENO</v>
          </cell>
          <cell r="L27">
            <v>4725000</v>
          </cell>
          <cell r="M27">
            <v>11025000</v>
          </cell>
          <cell r="N27" t="str">
            <v>ID2087325712</v>
          </cell>
          <cell r="O27">
            <v>6300000</v>
          </cell>
        </row>
        <row r="28">
          <cell r="A28" t="str">
            <v>834-2025</v>
          </cell>
          <cell r="B28" t="str">
            <v>I</v>
          </cell>
          <cell r="C28">
            <v>45909</v>
          </cell>
          <cell r="D28">
            <v>46022</v>
          </cell>
          <cell r="E28"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F28" t="str">
            <v>CC</v>
          </cell>
          <cell r="G28">
            <v>59310291</v>
          </cell>
          <cell r="H28" t="str">
            <v>SILVIA MATILDE GAVIRIA BENAVIDES</v>
          </cell>
          <cell r="I28">
            <v>98333941</v>
          </cell>
          <cell r="J28" t="str">
            <v>CC</v>
          </cell>
          <cell r="K28" t="str">
            <v>RIGOBERTO MELO ZAMBRANO</v>
          </cell>
          <cell r="L28">
            <v>12600000</v>
          </cell>
          <cell r="M28">
            <v>25200000</v>
          </cell>
          <cell r="N28" t="str">
            <v>ID2087325712</v>
          </cell>
          <cell r="O28">
            <v>12600000</v>
          </cell>
        </row>
        <row r="29">
          <cell r="A29" t="str">
            <v>844-2025</v>
          </cell>
          <cell r="B29" t="str">
            <v>I</v>
          </cell>
          <cell r="C29">
            <v>45910</v>
          </cell>
          <cell r="D29">
            <v>46022</v>
          </cell>
          <cell r="E29"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29" t="str">
            <v>CC</v>
          </cell>
          <cell r="G29">
            <v>1086016304</v>
          </cell>
          <cell r="H29" t="str">
            <v>SILVIA MARGENYS ENRIQUEZ RODRIGUEZ</v>
          </cell>
          <cell r="I29">
            <v>98333941</v>
          </cell>
          <cell r="J29" t="str">
            <v>CC</v>
          </cell>
          <cell r="K29" t="str">
            <v>RIGOBERTO MELO ZAMBRANO</v>
          </cell>
          <cell r="L29">
            <v>3150000</v>
          </cell>
          <cell r="M29">
            <v>12600000</v>
          </cell>
          <cell r="N29" t="str">
            <v>ID2087325712</v>
          </cell>
          <cell r="O29">
            <v>9450000</v>
          </cell>
        </row>
        <row r="30">
          <cell r="A30" t="str">
            <v>1049-2025</v>
          </cell>
          <cell r="B30" t="str">
            <v>I</v>
          </cell>
          <cell r="C30">
            <v>45946</v>
          </cell>
          <cell r="D30">
            <v>46022</v>
          </cell>
          <cell r="E30"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30" t="str">
            <v>CC</v>
          </cell>
          <cell r="G30">
            <v>1080693240</v>
          </cell>
          <cell r="H30" t="str">
            <v>SHARON CAMILA MINA GUSTIN</v>
          </cell>
          <cell r="I30">
            <v>59836926</v>
          </cell>
          <cell r="J30" t="str">
            <v>CC</v>
          </cell>
          <cell r="K30" t="str">
            <v>DEYANIRA BADOS DAZA</v>
          </cell>
          <cell r="L30">
            <v>1575000</v>
          </cell>
          <cell r="M30">
            <v>7875000</v>
          </cell>
          <cell r="N30" t="str">
            <v>ID2087325712</v>
          </cell>
          <cell r="O30">
            <v>6300000</v>
          </cell>
        </row>
        <row r="31">
          <cell r="A31" t="str">
            <v>1017-2025</v>
          </cell>
          <cell r="B31" t="str">
            <v>I</v>
          </cell>
          <cell r="C31">
            <v>45940</v>
          </cell>
          <cell r="D31">
            <v>46022</v>
          </cell>
          <cell r="E31" t="str">
            <v>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v>
          </cell>
          <cell r="F31" t="str">
            <v>NI</v>
          </cell>
          <cell r="G31">
            <v>900752343</v>
          </cell>
          <cell r="H31" t="str">
            <v>TRANSPORTES ESPECIALES GALERAS EXPRESS SAS</v>
          </cell>
          <cell r="I31">
            <v>17658216</v>
          </cell>
          <cell r="J31" t="str">
            <v>CC</v>
          </cell>
          <cell r="K31" t="str">
            <v>JUAN PABLO LLANOS</v>
          </cell>
          <cell r="L31">
            <v>0</v>
          </cell>
          <cell r="M31">
            <v>283000000</v>
          </cell>
          <cell r="N31" t="str">
            <v>ID2087325712</v>
          </cell>
          <cell r="O31">
            <v>283000000</v>
          </cell>
        </row>
        <row r="32">
          <cell r="A32" t="str">
            <v>1039-2025</v>
          </cell>
          <cell r="B32" t="str">
            <v>I</v>
          </cell>
          <cell r="C32">
            <v>45945</v>
          </cell>
          <cell r="D32">
            <v>46022</v>
          </cell>
          <cell r="E32"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v>
          </cell>
          <cell r="F32" t="str">
            <v>CC</v>
          </cell>
          <cell r="G32">
            <v>1080040525</v>
          </cell>
          <cell r="H32" t="str">
            <v>SARA DANIELA ALAVA BURBANO</v>
          </cell>
          <cell r="I32">
            <v>98333941</v>
          </cell>
          <cell r="J32" t="str">
            <v>CC</v>
          </cell>
          <cell r="K32" t="str">
            <v>RIGOBERTO MELO ZAMBRANO</v>
          </cell>
          <cell r="L32">
            <v>2000000</v>
          </cell>
          <cell r="M32">
            <v>6000000</v>
          </cell>
          <cell r="N32" t="str">
            <v>ID2087325712</v>
          </cell>
          <cell r="O32">
            <v>4000000</v>
          </cell>
        </row>
        <row r="33">
          <cell r="A33" t="str">
            <v>959-2025</v>
          </cell>
          <cell r="B33" t="str">
            <v>I</v>
          </cell>
          <cell r="C33">
            <v>45931</v>
          </cell>
          <cell r="D33">
            <v>46022</v>
          </cell>
          <cell r="E33" t="str">
            <v>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33" t="str">
            <v>CC</v>
          </cell>
          <cell r="G33">
            <v>1085275400</v>
          </cell>
          <cell r="H33" t="str">
            <v>SANDRA PATRICIA MALLAMA BOTINA</v>
          </cell>
          <cell r="I33">
            <v>43624414</v>
          </cell>
          <cell r="J33" t="str">
            <v>CC</v>
          </cell>
          <cell r="K33" t="str">
            <v>MARY ALEXANDRA ROSERO BENAVIDES</v>
          </cell>
          <cell r="L33">
            <v>3150000</v>
          </cell>
          <cell r="M33">
            <v>9450000</v>
          </cell>
          <cell r="N33" t="str">
            <v>ID2087325712</v>
          </cell>
          <cell r="O33">
            <v>6300000</v>
          </cell>
        </row>
        <row r="34">
          <cell r="A34" t="str">
            <v>933-2025</v>
          </cell>
          <cell r="B34" t="str">
            <v>I</v>
          </cell>
          <cell r="C34">
            <v>45929</v>
          </cell>
          <cell r="D34">
            <v>46022</v>
          </cell>
          <cell r="E34"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F34" t="str">
            <v>CC</v>
          </cell>
          <cell r="G34">
            <v>52381227</v>
          </cell>
          <cell r="H34" t="str">
            <v>SANDRA MARCELA DOMINGUEZ VARGAS</v>
          </cell>
          <cell r="I34">
            <v>98390119</v>
          </cell>
          <cell r="J34" t="str">
            <v>CC</v>
          </cell>
          <cell r="K34" t="str">
            <v>RODRIGO DE JESUS VITERI MORENO</v>
          </cell>
          <cell r="L34">
            <v>4730000</v>
          </cell>
          <cell r="M34">
            <v>14190000</v>
          </cell>
          <cell r="N34" t="str">
            <v>ID2087325712</v>
          </cell>
          <cell r="O34">
            <v>9460000</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4E22-5B75-48FE-8295-42DA4DA42DA1}">
  <dimension ref="A1:I470"/>
  <sheetViews>
    <sheetView tabSelected="1" workbookViewId="0">
      <selection activeCell="G2" sqref="G2"/>
    </sheetView>
  </sheetViews>
  <sheetFormatPr baseColWidth="10" defaultRowHeight="15" x14ac:dyDescent="0.25"/>
  <cols>
    <col min="4" max="4" width="15" style="10" bestFit="1" customWidth="1"/>
    <col min="7" max="7" width="12.85546875" bestFit="1" customWidth="1"/>
  </cols>
  <sheetData>
    <row r="1" spans="1:9" x14ac:dyDescent="0.25">
      <c r="A1" s="1" t="s">
        <v>0</v>
      </c>
      <c r="B1" s="2" t="s">
        <v>1</v>
      </c>
      <c r="C1" s="2" t="s">
        <v>2</v>
      </c>
      <c r="D1" s="9" t="s">
        <v>3</v>
      </c>
      <c r="E1" s="2" t="s">
        <v>4</v>
      </c>
      <c r="F1" s="2" t="s">
        <v>5</v>
      </c>
      <c r="G1" s="2" t="s">
        <v>6</v>
      </c>
      <c r="I1" t="s">
        <v>293</v>
      </c>
    </row>
    <row r="2" spans="1:9" x14ac:dyDescent="0.25">
      <c r="A2" s="5">
        <v>45944</v>
      </c>
      <c r="B2">
        <v>2025002229</v>
      </c>
      <c r="C2" t="s">
        <v>341</v>
      </c>
      <c r="D2" s="10">
        <v>3150000</v>
      </c>
      <c r="E2">
        <v>30743783</v>
      </c>
      <c r="F2" t="s">
        <v>342</v>
      </c>
      <c r="G2" t="s">
        <v>343</v>
      </c>
      <c r="H2" t="s">
        <v>341</v>
      </c>
      <c r="I2" s="8" t="s">
        <v>291</v>
      </c>
    </row>
    <row r="3" spans="1:9" x14ac:dyDescent="0.25">
      <c r="A3" s="5">
        <v>45944</v>
      </c>
      <c r="B3">
        <v>2025002236</v>
      </c>
      <c r="C3" t="s">
        <v>344</v>
      </c>
      <c r="D3" s="10">
        <v>3150000</v>
      </c>
      <c r="E3">
        <v>1081053045</v>
      </c>
      <c r="F3" t="s">
        <v>345</v>
      </c>
      <c r="G3" t="s">
        <v>343</v>
      </c>
      <c r="H3" t="s">
        <v>344</v>
      </c>
      <c r="I3" s="8" t="s">
        <v>291</v>
      </c>
    </row>
    <row r="4" spans="1:9" x14ac:dyDescent="0.25">
      <c r="A4" s="5">
        <v>45944</v>
      </c>
      <c r="B4">
        <v>2025002237</v>
      </c>
      <c r="C4" t="s">
        <v>346</v>
      </c>
      <c r="D4" s="10">
        <v>1575000</v>
      </c>
      <c r="E4">
        <v>1085317226</v>
      </c>
      <c r="F4" t="s">
        <v>347</v>
      </c>
      <c r="G4" t="s">
        <v>343</v>
      </c>
      <c r="H4" t="s">
        <v>346</v>
      </c>
      <c r="I4" s="8" t="s">
        <v>291</v>
      </c>
    </row>
    <row r="5" spans="1:9" x14ac:dyDescent="0.25">
      <c r="A5" s="5">
        <v>45944</v>
      </c>
      <c r="B5">
        <v>2025002242</v>
      </c>
      <c r="C5" t="s">
        <v>348</v>
      </c>
      <c r="D5" s="10">
        <v>3150000</v>
      </c>
      <c r="E5">
        <v>1085269090</v>
      </c>
      <c r="F5" t="s">
        <v>110</v>
      </c>
      <c r="G5" t="s">
        <v>343</v>
      </c>
      <c r="H5" t="s">
        <v>348</v>
      </c>
      <c r="I5" s="8" t="s">
        <v>291</v>
      </c>
    </row>
    <row r="6" spans="1:9" x14ac:dyDescent="0.25">
      <c r="A6" s="5">
        <v>45944</v>
      </c>
      <c r="B6">
        <v>2025002243</v>
      </c>
      <c r="C6" t="s">
        <v>349</v>
      </c>
      <c r="D6" s="10">
        <v>3150000</v>
      </c>
      <c r="E6">
        <v>1086329609</v>
      </c>
      <c r="F6" t="s">
        <v>154</v>
      </c>
      <c r="G6" t="s">
        <v>343</v>
      </c>
      <c r="H6" t="s">
        <v>349</v>
      </c>
      <c r="I6" s="8" t="s">
        <v>291</v>
      </c>
    </row>
    <row r="7" spans="1:9" x14ac:dyDescent="0.25">
      <c r="A7" s="5">
        <v>45944</v>
      </c>
      <c r="B7">
        <v>2025002244</v>
      </c>
      <c r="C7" t="s">
        <v>350</v>
      </c>
      <c r="D7" s="10">
        <v>3150000</v>
      </c>
      <c r="E7">
        <v>59837608</v>
      </c>
      <c r="F7" t="s">
        <v>84</v>
      </c>
      <c r="G7" t="s">
        <v>343</v>
      </c>
      <c r="H7" t="s">
        <v>350</v>
      </c>
      <c r="I7" s="8" t="s">
        <v>291</v>
      </c>
    </row>
    <row r="8" spans="1:9" x14ac:dyDescent="0.25">
      <c r="A8" s="5">
        <v>45944</v>
      </c>
      <c r="B8">
        <v>2025002247</v>
      </c>
      <c r="C8" t="s">
        <v>351</v>
      </c>
      <c r="D8" s="10">
        <v>4730000</v>
      </c>
      <c r="E8">
        <v>1193383306</v>
      </c>
      <c r="F8" t="s">
        <v>352</v>
      </c>
      <c r="G8" t="s">
        <v>343</v>
      </c>
      <c r="H8" t="s">
        <v>351</v>
      </c>
      <c r="I8" s="8" t="s">
        <v>291</v>
      </c>
    </row>
    <row r="9" spans="1:9" x14ac:dyDescent="0.25">
      <c r="A9" s="5">
        <v>45945</v>
      </c>
      <c r="B9">
        <v>2025002254</v>
      </c>
      <c r="C9" t="s">
        <v>353</v>
      </c>
      <c r="D9" s="10">
        <v>151250000</v>
      </c>
      <c r="E9">
        <v>900994364</v>
      </c>
      <c r="F9" t="s">
        <v>26</v>
      </c>
      <c r="G9" t="s">
        <v>343</v>
      </c>
      <c r="H9" t="s">
        <v>353</v>
      </c>
      <c r="I9" s="8" t="s">
        <v>291</v>
      </c>
    </row>
    <row r="10" spans="1:9" x14ac:dyDescent="0.25">
      <c r="A10" s="5">
        <v>45945</v>
      </c>
      <c r="B10">
        <v>2025002255</v>
      </c>
      <c r="C10" t="s">
        <v>354</v>
      </c>
      <c r="D10" s="10">
        <v>6300000</v>
      </c>
      <c r="E10">
        <v>1085347312</v>
      </c>
      <c r="F10" t="s">
        <v>355</v>
      </c>
      <c r="G10" t="s">
        <v>343</v>
      </c>
      <c r="H10" t="s">
        <v>354</v>
      </c>
      <c r="I10" s="8" t="s">
        <v>291</v>
      </c>
    </row>
    <row r="11" spans="1:9" x14ac:dyDescent="0.25">
      <c r="A11" s="5">
        <v>45945</v>
      </c>
      <c r="B11">
        <v>2025002256</v>
      </c>
      <c r="C11" t="s">
        <v>356</v>
      </c>
      <c r="D11" s="10">
        <v>3150000</v>
      </c>
      <c r="E11">
        <v>37084285</v>
      </c>
      <c r="F11" t="s">
        <v>100</v>
      </c>
      <c r="G11" t="s">
        <v>343</v>
      </c>
      <c r="H11" t="s">
        <v>356</v>
      </c>
      <c r="I11" s="8" t="s">
        <v>291</v>
      </c>
    </row>
    <row r="12" spans="1:9" x14ac:dyDescent="0.25">
      <c r="A12" s="5">
        <v>45945</v>
      </c>
      <c r="B12">
        <v>2025002257</v>
      </c>
      <c r="C12" t="s">
        <v>357</v>
      </c>
      <c r="D12" s="10">
        <v>3150000</v>
      </c>
      <c r="E12">
        <v>59122805</v>
      </c>
      <c r="F12" t="s">
        <v>358</v>
      </c>
      <c r="G12" t="s">
        <v>343</v>
      </c>
      <c r="H12" t="s">
        <v>357</v>
      </c>
      <c r="I12" s="8" t="s">
        <v>291</v>
      </c>
    </row>
    <row r="13" spans="1:9" x14ac:dyDescent="0.25">
      <c r="A13" s="5">
        <v>45945</v>
      </c>
      <c r="B13">
        <v>2025002258</v>
      </c>
      <c r="C13" t="s">
        <v>359</v>
      </c>
      <c r="D13" s="10">
        <v>6300000</v>
      </c>
      <c r="E13">
        <v>97470681</v>
      </c>
      <c r="F13" t="s">
        <v>134</v>
      </c>
      <c r="G13" t="s">
        <v>343</v>
      </c>
      <c r="H13" t="s">
        <v>359</v>
      </c>
      <c r="I13" s="8" t="s">
        <v>291</v>
      </c>
    </row>
    <row r="14" spans="1:9" x14ac:dyDescent="0.25">
      <c r="A14" s="5">
        <v>45945</v>
      </c>
      <c r="B14">
        <v>2025002259</v>
      </c>
      <c r="C14" t="s">
        <v>360</v>
      </c>
      <c r="D14" s="10">
        <v>3150000</v>
      </c>
      <c r="E14">
        <v>36953590</v>
      </c>
      <c r="F14" t="s">
        <v>361</v>
      </c>
      <c r="G14" t="s">
        <v>343</v>
      </c>
      <c r="H14" t="s">
        <v>360</v>
      </c>
      <c r="I14" s="8" t="s">
        <v>291</v>
      </c>
    </row>
    <row r="15" spans="1:9" x14ac:dyDescent="0.25">
      <c r="A15" s="5">
        <v>45945</v>
      </c>
      <c r="B15">
        <v>2025002260</v>
      </c>
      <c r="C15" t="s">
        <v>362</v>
      </c>
      <c r="D15" s="10">
        <v>6300000</v>
      </c>
      <c r="E15">
        <v>1053793750</v>
      </c>
      <c r="F15" t="s">
        <v>363</v>
      </c>
      <c r="G15" t="s">
        <v>343</v>
      </c>
      <c r="H15" t="s">
        <v>362</v>
      </c>
      <c r="I15" s="8" t="s">
        <v>291</v>
      </c>
    </row>
    <row r="16" spans="1:9" x14ac:dyDescent="0.25">
      <c r="A16" s="5">
        <v>45945</v>
      </c>
      <c r="B16">
        <v>2025002261</v>
      </c>
      <c r="C16" t="s">
        <v>364</v>
      </c>
      <c r="D16" s="10">
        <v>3150000</v>
      </c>
      <c r="E16">
        <v>1193224810</v>
      </c>
      <c r="F16" t="s">
        <v>90</v>
      </c>
      <c r="G16" t="s">
        <v>343</v>
      </c>
      <c r="H16" t="s">
        <v>364</v>
      </c>
      <c r="I16" s="8" t="s">
        <v>291</v>
      </c>
    </row>
    <row r="17" spans="1:9" x14ac:dyDescent="0.25">
      <c r="A17" s="5">
        <v>45945</v>
      </c>
      <c r="B17">
        <v>2025002262</v>
      </c>
      <c r="C17" t="s">
        <v>365</v>
      </c>
      <c r="D17" s="10">
        <v>1575000</v>
      </c>
      <c r="E17">
        <v>1082749295</v>
      </c>
      <c r="F17" t="s">
        <v>366</v>
      </c>
      <c r="G17" t="s">
        <v>343</v>
      </c>
      <c r="H17" t="s">
        <v>365</v>
      </c>
      <c r="I17" s="8" t="s">
        <v>291</v>
      </c>
    </row>
    <row r="18" spans="1:9" x14ac:dyDescent="0.25">
      <c r="A18" s="5">
        <v>45946</v>
      </c>
      <c r="B18">
        <v>2025002278</v>
      </c>
      <c r="C18" t="s">
        <v>367</v>
      </c>
      <c r="D18" s="10">
        <v>3150000</v>
      </c>
      <c r="E18">
        <v>1085343154</v>
      </c>
      <c r="F18" t="s">
        <v>368</v>
      </c>
      <c r="G18" t="s">
        <v>343</v>
      </c>
      <c r="H18" t="s">
        <v>367</v>
      </c>
      <c r="I18" s="8" t="s">
        <v>291</v>
      </c>
    </row>
    <row r="19" spans="1:9" x14ac:dyDescent="0.25">
      <c r="A19" s="5">
        <v>45946</v>
      </c>
      <c r="B19">
        <v>2025002279</v>
      </c>
      <c r="C19" t="s">
        <v>369</v>
      </c>
      <c r="D19" s="10">
        <v>3150000</v>
      </c>
      <c r="E19">
        <v>98382500</v>
      </c>
      <c r="F19" t="s">
        <v>74</v>
      </c>
      <c r="G19" t="s">
        <v>343</v>
      </c>
      <c r="H19" t="s">
        <v>369</v>
      </c>
      <c r="I19" s="8" t="s">
        <v>291</v>
      </c>
    </row>
    <row r="20" spans="1:9" x14ac:dyDescent="0.25">
      <c r="A20" s="5">
        <v>45946</v>
      </c>
      <c r="B20">
        <v>2025002280</v>
      </c>
      <c r="C20" t="s">
        <v>370</v>
      </c>
      <c r="D20" s="10">
        <v>3150000</v>
      </c>
      <c r="E20">
        <v>59311295</v>
      </c>
      <c r="F20" t="s">
        <v>371</v>
      </c>
      <c r="G20" t="s">
        <v>343</v>
      </c>
      <c r="H20" t="s">
        <v>370</v>
      </c>
      <c r="I20" s="8" t="s">
        <v>291</v>
      </c>
    </row>
    <row r="21" spans="1:9" x14ac:dyDescent="0.25">
      <c r="A21" s="5">
        <v>45946</v>
      </c>
      <c r="B21">
        <v>2025002281</v>
      </c>
      <c r="C21" t="s">
        <v>372</v>
      </c>
      <c r="D21" s="10">
        <v>7800000</v>
      </c>
      <c r="E21">
        <v>1233192708</v>
      </c>
      <c r="F21" t="s">
        <v>373</v>
      </c>
      <c r="G21" t="s">
        <v>343</v>
      </c>
      <c r="H21" t="s">
        <v>372</v>
      </c>
      <c r="I21" s="8" t="s">
        <v>291</v>
      </c>
    </row>
    <row r="22" spans="1:9" x14ac:dyDescent="0.25">
      <c r="A22" s="5">
        <v>45946</v>
      </c>
      <c r="B22">
        <v>2025002282</v>
      </c>
      <c r="C22" t="s">
        <v>374</v>
      </c>
      <c r="D22" s="10">
        <v>6300000</v>
      </c>
      <c r="E22">
        <v>59836480</v>
      </c>
      <c r="F22" t="s">
        <v>178</v>
      </c>
      <c r="G22" t="s">
        <v>343</v>
      </c>
      <c r="H22" t="s">
        <v>374</v>
      </c>
      <c r="I22" s="8" t="s">
        <v>291</v>
      </c>
    </row>
    <row r="23" spans="1:9" x14ac:dyDescent="0.25">
      <c r="A23" s="5">
        <v>45946</v>
      </c>
      <c r="B23">
        <v>2025002283</v>
      </c>
      <c r="C23" t="s">
        <v>375</v>
      </c>
      <c r="D23" s="10">
        <v>3150000</v>
      </c>
      <c r="E23">
        <v>1192717330</v>
      </c>
      <c r="F23" t="s">
        <v>106</v>
      </c>
      <c r="G23" t="s">
        <v>343</v>
      </c>
      <c r="H23" t="s">
        <v>375</v>
      </c>
      <c r="I23" s="8" t="s">
        <v>291</v>
      </c>
    </row>
    <row r="24" spans="1:9" x14ac:dyDescent="0.25">
      <c r="A24" s="5">
        <v>45946</v>
      </c>
      <c r="B24">
        <v>2025002284</v>
      </c>
      <c r="C24" t="s">
        <v>376</v>
      </c>
      <c r="D24" s="10">
        <v>3150000</v>
      </c>
      <c r="E24">
        <v>27082649</v>
      </c>
      <c r="F24" t="s">
        <v>377</v>
      </c>
      <c r="G24" t="s">
        <v>343</v>
      </c>
      <c r="H24" t="s">
        <v>376</v>
      </c>
      <c r="I24" s="8" t="s">
        <v>291</v>
      </c>
    </row>
    <row r="25" spans="1:9" x14ac:dyDescent="0.25">
      <c r="A25" s="5">
        <v>45946</v>
      </c>
      <c r="B25">
        <v>2025002298</v>
      </c>
      <c r="C25" t="s">
        <v>378</v>
      </c>
      <c r="D25" s="10">
        <v>3150000</v>
      </c>
      <c r="E25">
        <v>1085252263</v>
      </c>
      <c r="F25" t="s">
        <v>182</v>
      </c>
      <c r="G25" t="s">
        <v>343</v>
      </c>
      <c r="H25" t="s">
        <v>378</v>
      </c>
      <c r="I25" s="8" t="s">
        <v>291</v>
      </c>
    </row>
    <row r="26" spans="1:9" x14ac:dyDescent="0.25">
      <c r="A26" s="5">
        <v>45946</v>
      </c>
      <c r="B26">
        <v>2025002301</v>
      </c>
      <c r="C26" t="s">
        <v>379</v>
      </c>
      <c r="D26" s="10">
        <v>6300000</v>
      </c>
      <c r="E26">
        <v>59825948</v>
      </c>
      <c r="F26" t="s">
        <v>174</v>
      </c>
      <c r="G26" t="s">
        <v>343</v>
      </c>
      <c r="H26" t="s">
        <v>379</v>
      </c>
      <c r="I26" s="8" t="s">
        <v>291</v>
      </c>
    </row>
    <row r="27" spans="1:9" x14ac:dyDescent="0.25">
      <c r="A27" s="5">
        <v>45946</v>
      </c>
      <c r="B27">
        <v>2025002306</v>
      </c>
      <c r="C27" t="s">
        <v>380</v>
      </c>
      <c r="D27" s="10">
        <v>6300000</v>
      </c>
      <c r="E27">
        <v>1010010954</v>
      </c>
      <c r="F27" t="s">
        <v>381</v>
      </c>
      <c r="G27" t="s">
        <v>343</v>
      </c>
      <c r="H27" t="s">
        <v>380</v>
      </c>
      <c r="I27" s="8" t="s">
        <v>291</v>
      </c>
    </row>
    <row r="28" spans="1:9" x14ac:dyDescent="0.25">
      <c r="A28" s="5">
        <v>45947</v>
      </c>
      <c r="B28">
        <v>2025002314</v>
      </c>
      <c r="C28" t="s">
        <v>382</v>
      </c>
      <c r="D28" s="10">
        <v>4730000</v>
      </c>
      <c r="E28">
        <v>1085343783</v>
      </c>
      <c r="F28" t="s">
        <v>48</v>
      </c>
      <c r="G28" t="s">
        <v>343</v>
      </c>
      <c r="H28" t="s">
        <v>382</v>
      </c>
      <c r="I28" s="8" t="s">
        <v>291</v>
      </c>
    </row>
    <row r="29" spans="1:9" x14ac:dyDescent="0.25">
      <c r="A29" s="5">
        <v>45947</v>
      </c>
      <c r="B29">
        <v>2025002315</v>
      </c>
      <c r="C29" t="s">
        <v>383</v>
      </c>
      <c r="D29" s="10">
        <v>3150000</v>
      </c>
      <c r="E29">
        <v>1085300095</v>
      </c>
      <c r="F29" t="s">
        <v>186</v>
      </c>
      <c r="G29" t="s">
        <v>343</v>
      </c>
      <c r="H29" t="s">
        <v>383</v>
      </c>
      <c r="I29" s="8" t="s">
        <v>291</v>
      </c>
    </row>
    <row r="30" spans="1:9" x14ac:dyDescent="0.25">
      <c r="A30" s="5">
        <v>45947</v>
      </c>
      <c r="B30">
        <v>2025002316</v>
      </c>
      <c r="C30" t="s">
        <v>384</v>
      </c>
      <c r="D30" s="10">
        <v>3150000</v>
      </c>
      <c r="E30">
        <v>1081272656</v>
      </c>
      <c r="F30" t="s">
        <v>385</v>
      </c>
      <c r="G30" t="s">
        <v>343</v>
      </c>
      <c r="H30" t="s">
        <v>384</v>
      </c>
      <c r="I30" s="8" t="s">
        <v>291</v>
      </c>
    </row>
    <row r="31" spans="1:9" x14ac:dyDescent="0.25">
      <c r="A31" s="5">
        <v>45947</v>
      </c>
      <c r="B31">
        <v>2025002317</v>
      </c>
      <c r="C31" t="s">
        <v>386</v>
      </c>
      <c r="D31" s="10">
        <v>3150000</v>
      </c>
      <c r="E31">
        <v>27088197</v>
      </c>
      <c r="F31" t="s">
        <v>238</v>
      </c>
      <c r="G31" t="s">
        <v>343</v>
      </c>
      <c r="H31" t="s">
        <v>386</v>
      </c>
      <c r="I31" s="8" t="s">
        <v>291</v>
      </c>
    </row>
    <row r="32" spans="1:9" x14ac:dyDescent="0.25">
      <c r="A32" s="5">
        <v>45947</v>
      </c>
      <c r="B32">
        <v>2025002318</v>
      </c>
      <c r="C32" t="s">
        <v>387</v>
      </c>
      <c r="D32" s="10">
        <v>6300000</v>
      </c>
      <c r="E32">
        <v>1085286476</v>
      </c>
      <c r="F32" t="s">
        <v>28</v>
      </c>
      <c r="G32" t="s">
        <v>343</v>
      </c>
      <c r="H32" t="s">
        <v>387</v>
      </c>
      <c r="I32" s="8" t="s">
        <v>291</v>
      </c>
    </row>
    <row r="33" spans="1:9" x14ac:dyDescent="0.25">
      <c r="A33" s="5">
        <v>45947</v>
      </c>
      <c r="B33">
        <v>2025002319</v>
      </c>
      <c r="C33" t="s">
        <v>388</v>
      </c>
      <c r="D33" s="10">
        <v>3150000</v>
      </c>
      <c r="E33">
        <v>36952916</v>
      </c>
      <c r="F33" t="s">
        <v>389</v>
      </c>
      <c r="G33" t="s">
        <v>343</v>
      </c>
      <c r="H33" t="s">
        <v>388</v>
      </c>
      <c r="I33" s="8" t="s">
        <v>291</v>
      </c>
    </row>
    <row r="34" spans="1:9" x14ac:dyDescent="0.25">
      <c r="A34" s="5">
        <v>45947</v>
      </c>
      <c r="B34">
        <v>2025002320</v>
      </c>
      <c r="C34" t="s">
        <v>390</v>
      </c>
      <c r="D34" s="10">
        <v>3150000</v>
      </c>
      <c r="E34">
        <v>1081272025</v>
      </c>
      <c r="F34" t="s">
        <v>120</v>
      </c>
      <c r="G34" t="s">
        <v>343</v>
      </c>
      <c r="H34" t="s">
        <v>390</v>
      </c>
      <c r="I34" s="8" t="s">
        <v>291</v>
      </c>
    </row>
    <row r="35" spans="1:9" x14ac:dyDescent="0.25">
      <c r="A35" s="5">
        <v>45947</v>
      </c>
      <c r="B35">
        <v>2025002321</v>
      </c>
      <c r="C35" t="s">
        <v>391</v>
      </c>
      <c r="D35" s="10">
        <v>3150000</v>
      </c>
      <c r="E35">
        <v>1080690337</v>
      </c>
      <c r="F35" t="s">
        <v>328</v>
      </c>
      <c r="G35" t="s">
        <v>343</v>
      </c>
      <c r="H35" t="s">
        <v>391</v>
      </c>
      <c r="I35" s="8" t="s">
        <v>291</v>
      </c>
    </row>
    <row r="36" spans="1:9" x14ac:dyDescent="0.25">
      <c r="A36" s="5">
        <v>45947</v>
      </c>
      <c r="B36">
        <v>2025002322</v>
      </c>
      <c r="C36" t="s">
        <v>392</v>
      </c>
      <c r="D36" s="10">
        <v>3150000</v>
      </c>
      <c r="E36">
        <v>1081572043</v>
      </c>
      <c r="F36" t="s">
        <v>138</v>
      </c>
      <c r="G36" t="s">
        <v>343</v>
      </c>
      <c r="H36" t="s">
        <v>392</v>
      </c>
      <c r="I36" s="8" t="s">
        <v>291</v>
      </c>
    </row>
    <row r="37" spans="1:9" x14ac:dyDescent="0.25">
      <c r="A37" s="5">
        <v>45947</v>
      </c>
      <c r="B37">
        <v>2025002323</v>
      </c>
      <c r="C37" t="s">
        <v>393</v>
      </c>
      <c r="D37" s="10">
        <v>3150000</v>
      </c>
      <c r="E37">
        <v>1085265947</v>
      </c>
      <c r="F37" t="s">
        <v>394</v>
      </c>
      <c r="G37" t="s">
        <v>343</v>
      </c>
      <c r="H37" t="s">
        <v>393</v>
      </c>
      <c r="I37" s="8" t="s">
        <v>291</v>
      </c>
    </row>
    <row r="38" spans="1:9" x14ac:dyDescent="0.25">
      <c r="A38" s="5">
        <v>45950</v>
      </c>
      <c r="B38">
        <v>2025002328</v>
      </c>
      <c r="C38" t="s">
        <v>395</v>
      </c>
      <c r="D38" s="10">
        <v>3150000</v>
      </c>
      <c r="E38">
        <v>1085339190</v>
      </c>
      <c r="F38" t="s">
        <v>130</v>
      </c>
      <c r="G38" t="s">
        <v>343</v>
      </c>
      <c r="H38" t="s">
        <v>395</v>
      </c>
      <c r="I38" s="8" t="s">
        <v>291</v>
      </c>
    </row>
    <row r="39" spans="1:9" x14ac:dyDescent="0.25">
      <c r="A39" s="5">
        <v>45950</v>
      </c>
      <c r="B39">
        <v>2025002329</v>
      </c>
      <c r="C39" t="s">
        <v>396</v>
      </c>
      <c r="D39" s="10">
        <v>3150000</v>
      </c>
      <c r="E39">
        <v>59314458</v>
      </c>
      <c r="F39" t="s">
        <v>236</v>
      </c>
      <c r="G39" t="s">
        <v>343</v>
      </c>
      <c r="H39" t="s">
        <v>396</v>
      </c>
      <c r="I39" s="8" t="s">
        <v>291</v>
      </c>
    </row>
    <row r="40" spans="1:9" x14ac:dyDescent="0.25">
      <c r="A40" s="5">
        <v>45950</v>
      </c>
      <c r="B40">
        <v>2025002330</v>
      </c>
      <c r="C40" t="s">
        <v>397</v>
      </c>
      <c r="D40" s="10">
        <v>3150000</v>
      </c>
      <c r="E40">
        <v>1085315013</v>
      </c>
      <c r="F40" t="s">
        <v>122</v>
      </c>
      <c r="G40" t="s">
        <v>343</v>
      </c>
      <c r="H40" t="s">
        <v>397</v>
      </c>
      <c r="I40" s="8" t="s">
        <v>291</v>
      </c>
    </row>
    <row r="41" spans="1:9" x14ac:dyDescent="0.25">
      <c r="A41" s="5">
        <v>45950</v>
      </c>
      <c r="B41">
        <v>2025002331</v>
      </c>
      <c r="C41" t="s">
        <v>398</v>
      </c>
      <c r="D41" s="10">
        <v>3900000</v>
      </c>
      <c r="E41">
        <v>1233193769</v>
      </c>
      <c r="F41" t="s">
        <v>399</v>
      </c>
      <c r="G41" t="s">
        <v>343</v>
      </c>
      <c r="H41" t="s">
        <v>398</v>
      </c>
      <c r="I41" s="8" t="s">
        <v>291</v>
      </c>
    </row>
    <row r="42" spans="1:9" x14ac:dyDescent="0.25">
      <c r="A42" s="5">
        <v>45950</v>
      </c>
      <c r="B42">
        <v>2025002332</v>
      </c>
      <c r="C42" t="s">
        <v>400</v>
      </c>
      <c r="D42" s="10">
        <v>3900000</v>
      </c>
      <c r="E42">
        <v>1085274300</v>
      </c>
      <c r="F42" t="s">
        <v>401</v>
      </c>
      <c r="G42" t="s">
        <v>343</v>
      </c>
      <c r="H42" t="s">
        <v>400</v>
      </c>
      <c r="I42" s="8" t="s">
        <v>291</v>
      </c>
    </row>
    <row r="43" spans="1:9" x14ac:dyDescent="0.25">
      <c r="A43" s="5">
        <v>45950</v>
      </c>
      <c r="B43">
        <v>2025002339</v>
      </c>
      <c r="C43" t="s">
        <v>402</v>
      </c>
      <c r="D43" s="10">
        <v>3900000</v>
      </c>
      <c r="E43">
        <v>1233188295</v>
      </c>
      <c r="F43" t="s">
        <v>403</v>
      </c>
      <c r="G43" t="s">
        <v>343</v>
      </c>
      <c r="H43" t="s">
        <v>402</v>
      </c>
      <c r="I43" s="8" t="s">
        <v>291</v>
      </c>
    </row>
    <row r="44" spans="1:9" x14ac:dyDescent="0.25">
      <c r="A44" s="5">
        <v>45950</v>
      </c>
      <c r="B44">
        <v>2025002340</v>
      </c>
      <c r="C44" t="s">
        <v>404</v>
      </c>
      <c r="D44" s="10">
        <v>3900000</v>
      </c>
      <c r="E44">
        <v>1089846684</v>
      </c>
      <c r="F44" t="s">
        <v>405</v>
      </c>
      <c r="G44" t="s">
        <v>343</v>
      </c>
      <c r="H44" t="s">
        <v>404</v>
      </c>
      <c r="I44" s="8" t="s">
        <v>291</v>
      </c>
    </row>
    <row r="45" spans="1:9" x14ac:dyDescent="0.25">
      <c r="A45" s="5">
        <v>45950</v>
      </c>
      <c r="B45">
        <v>2025002342</v>
      </c>
      <c r="C45" t="s">
        <v>406</v>
      </c>
      <c r="D45" s="10">
        <v>3150000</v>
      </c>
      <c r="E45">
        <v>1193383314</v>
      </c>
      <c r="F45" t="s">
        <v>407</v>
      </c>
      <c r="G45" t="s">
        <v>343</v>
      </c>
      <c r="H45" t="s">
        <v>406</v>
      </c>
      <c r="I45" s="8" t="s">
        <v>291</v>
      </c>
    </row>
    <row r="46" spans="1:9" x14ac:dyDescent="0.25">
      <c r="A46" s="5">
        <v>45950</v>
      </c>
      <c r="B46">
        <v>2025002343</v>
      </c>
      <c r="C46" t="s">
        <v>408</v>
      </c>
      <c r="D46" s="10">
        <v>1575000</v>
      </c>
      <c r="E46">
        <v>37082272</v>
      </c>
      <c r="F46" t="s">
        <v>409</v>
      </c>
      <c r="G46" t="s">
        <v>343</v>
      </c>
      <c r="H46" t="s">
        <v>408</v>
      </c>
      <c r="I46" s="8" t="s">
        <v>291</v>
      </c>
    </row>
    <row r="47" spans="1:9" x14ac:dyDescent="0.25">
      <c r="A47" s="5">
        <v>45950</v>
      </c>
      <c r="B47">
        <v>2025002344</v>
      </c>
      <c r="C47" t="s">
        <v>410</v>
      </c>
      <c r="D47" s="10">
        <v>1575000</v>
      </c>
      <c r="E47">
        <v>1085323163</v>
      </c>
      <c r="F47" t="s">
        <v>411</v>
      </c>
      <c r="G47" t="s">
        <v>343</v>
      </c>
      <c r="H47" t="s">
        <v>410</v>
      </c>
      <c r="I47" s="8" t="s">
        <v>291</v>
      </c>
    </row>
    <row r="48" spans="1:9" x14ac:dyDescent="0.25">
      <c r="A48" s="5">
        <v>45950</v>
      </c>
      <c r="B48">
        <v>2025002345</v>
      </c>
      <c r="C48" t="s">
        <v>412</v>
      </c>
      <c r="D48" s="10">
        <v>3150000</v>
      </c>
      <c r="E48">
        <v>1085288636</v>
      </c>
      <c r="F48" t="s">
        <v>413</v>
      </c>
      <c r="G48" t="s">
        <v>343</v>
      </c>
      <c r="H48" t="s">
        <v>412</v>
      </c>
      <c r="I48" s="8" t="s">
        <v>291</v>
      </c>
    </row>
    <row r="49" spans="1:9" x14ac:dyDescent="0.25">
      <c r="A49" s="5">
        <v>45950</v>
      </c>
      <c r="B49">
        <v>2025002349</v>
      </c>
      <c r="C49" t="s">
        <v>414</v>
      </c>
      <c r="D49" s="10">
        <v>3150000</v>
      </c>
      <c r="E49">
        <v>1085255829</v>
      </c>
      <c r="F49" t="s">
        <v>88</v>
      </c>
      <c r="G49" t="s">
        <v>343</v>
      </c>
      <c r="H49" t="s">
        <v>414</v>
      </c>
      <c r="I49" s="8" t="s">
        <v>291</v>
      </c>
    </row>
    <row r="50" spans="1:9" x14ac:dyDescent="0.25">
      <c r="A50" s="5">
        <v>45950</v>
      </c>
      <c r="B50">
        <v>2025002351</v>
      </c>
      <c r="C50" t="s">
        <v>415</v>
      </c>
      <c r="D50" s="10">
        <v>3150000</v>
      </c>
      <c r="E50">
        <v>1004131976</v>
      </c>
      <c r="F50" t="s">
        <v>416</v>
      </c>
      <c r="G50" t="s">
        <v>343</v>
      </c>
      <c r="H50" t="s">
        <v>415</v>
      </c>
      <c r="I50" s="8" t="s">
        <v>291</v>
      </c>
    </row>
    <row r="51" spans="1:9" x14ac:dyDescent="0.25">
      <c r="A51" s="5">
        <v>45950</v>
      </c>
      <c r="B51">
        <v>2025002353</v>
      </c>
      <c r="C51" t="s">
        <v>417</v>
      </c>
      <c r="D51" s="10">
        <v>3150000</v>
      </c>
      <c r="E51">
        <v>1085275473</v>
      </c>
      <c r="F51" t="s">
        <v>418</v>
      </c>
      <c r="G51" t="s">
        <v>343</v>
      </c>
      <c r="H51" t="s">
        <v>417</v>
      </c>
      <c r="I51" s="8" t="s">
        <v>291</v>
      </c>
    </row>
    <row r="52" spans="1:9" x14ac:dyDescent="0.25">
      <c r="A52" s="5">
        <v>45951</v>
      </c>
      <c r="B52">
        <v>2025002357</v>
      </c>
      <c r="C52" t="s">
        <v>419</v>
      </c>
      <c r="D52" s="10">
        <v>4730000</v>
      </c>
      <c r="E52">
        <v>36756149</v>
      </c>
      <c r="F52" t="s">
        <v>420</v>
      </c>
      <c r="G52" t="s">
        <v>343</v>
      </c>
      <c r="H52" t="s">
        <v>419</v>
      </c>
      <c r="I52" s="8" t="s">
        <v>291</v>
      </c>
    </row>
    <row r="53" spans="1:9" x14ac:dyDescent="0.25">
      <c r="A53" s="5">
        <v>45951</v>
      </c>
      <c r="B53">
        <v>2025002361</v>
      </c>
      <c r="C53" t="s">
        <v>421</v>
      </c>
      <c r="D53" s="10">
        <v>7800000</v>
      </c>
      <c r="E53">
        <v>1233189066</v>
      </c>
      <c r="F53" t="s">
        <v>422</v>
      </c>
      <c r="G53" t="s">
        <v>343</v>
      </c>
      <c r="H53" t="s">
        <v>421</v>
      </c>
      <c r="I53" s="8" t="s">
        <v>291</v>
      </c>
    </row>
    <row r="54" spans="1:9" x14ac:dyDescent="0.25">
      <c r="A54" s="5">
        <v>45951</v>
      </c>
      <c r="B54">
        <v>2025002363</v>
      </c>
      <c r="C54" t="s">
        <v>423</v>
      </c>
      <c r="D54" s="10">
        <v>3150000</v>
      </c>
      <c r="E54">
        <v>1137624011</v>
      </c>
      <c r="F54" t="s">
        <v>68</v>
      </c>
      <c r="G54" t="s">
        <v>343</v>
      </c>
      <c r="H54" t="s">
        <v>423</v>
      </c>
      <c r="I54" s="8" t="s">
        <v>291</v>
      </c>
    </row>
    <row r="55" spans="1:9" x14ac:dyDescent="0.25">
      <c r="A55" s="5">
        <v>45951</v>
      </c>
      <c r="B55">
        <v>2025002365</v>
      </c>
      <c r="C55" t="s">
        <v>424</v>
      </c>
      <c r="D55" s="10">
        <v>1575000</v>
      </c>
      <c r="E55">
        <v>1086330124</v>
      </c>
      <c r="F55" t="s">
        <v>425</v>
      </c>
      <c r="G55" t="s">
        <v>343</v>
      </c>
      <c r="H55" t="s">
        <v>424</v>
      </c>
      <c r="I55" s="8" t="s">
        <v>291</v>
      </c>
    </row>
    <row r="56" spans="1:9" x14ac:dyDescent="0.25">
      <c r="A56" s="5">
        <v>45951</v>
      </c>
      <c r="B56">
        <v>2025002366</v>
      </c>
      <c r="C56" t="s">
        <v>426</v>
      </c>
      <c r="D56" s="10">
        <v>7800000</v>
      </c>
      <c r="E56">
        <v>1084552063</v>
      </c>
      <c r="F56" t="s">
        <v>427</v>
      </c>
      <c r="G56" t="s">
        <v>343</v>
      </c>
      <c r="H56" t="s">
        <v>426</v>
      </c>
      <c r="I56" s="8" t="s">
        <v>291</v>
      </c>
    </row>
    <row r="57" spans="1:9" x14ac:dyDescent="0.25">
      <c r="A57" s="5">
        <v>45951</v>
      </c>
      <c r="B57">
        <v>2025002367</v>
      </c>
      <c r="C57" t="s">
        <v>428</v>
      </c>
      <c r="D57" s="10">
        <v>3150000</v>
      </c>
      <c r="E57">
        <v>1004235479</v>
      </c>
      <c r="F57" t="s">
        <v>196</v>
      </c>
      <c r="G57" t="s">
        <v>343</v>
      </c>
      <c r="H57" t="s">
        <v>428</v>
      </c>
      <c r="I57" s="8" t="s">
        <v>291</v>
      </c>
    </row>
    <row r="58" spans="1:9" x14ac:dyDescent="0.25">
      <c r="A58" s="5">
        <v>45951</v>
      </c>
      <c r="B58">
        <v>2025002369</v>
      </c>
      <c r="C58" t="s">
        <v>429</v>
      </c>
      <c r="D58" s="10">
        <v>6300000</v>
      </c>
      <c r="E58">
        <v>59310291</v>
      </c>
      <c r="F58" t="s">
        <v>430</v>
      </c>
      <c r="G58" t="s">
        <v>343</v>
      </c>
      <c r="H58" t="s">
        <v>429</v>
      </c>
      <c r="I58" s="8" t="s">
        <v>291</v>
      </c>
    </row>
    <row r="59" spans="1:9" x14ac:dyDescent="0.25">
      <c r="A59" s="5">
        <v>45951</v>
      </c>
      <c r="B59">
        <v>2025002370</v>
      </c>
      <c r="C59" t="s">
        <v>431</v>
      </c>
      <c r="D59" s="10">
        <v>3150000</v>
      </c>
      <c r="E59">
        <v>1085286725</v>
      </c>
      <c r="F59" t="s">
        <v>164</v>
      </c>
      <c r="G59" t="s">
        <v>343</v>
      </c>
      <c r="H59" t="s">
        <v>431</v>
      </c>
      <c r="I59" s="8" t="s">
        <v>291</v>
      </c>
    </row>
    <row r="60" spans="1:9" x14ac:dyDescent="0.25">
      <c r="A60" s="5">
        <v>45951</v>
      </c>
      <c r="B60">
        <v>2025002372</v>
      </c>
      <c r="C60" t="s">
        <v>432</v>
      </c>
      <c r="D60" s="10">
        <v>4730000</v>
      </c>
      <c r="E60">
        <v>36757491</v>
      </c>
      <c r="F60" t="s">
        <v>433</v>
      </c>
      <c r="G60" t="s">
        <v>343</v>
      </c>
      <c r="H60" t="s">
        <v>432</v>
      </c>
      <c r="I60" s="8" t="s">
        <v>291</v>
      </c>
    </row>
    <row r="61" spans="1:9" x14ac:dyDescent="0.25">
      <c r="A61" s="5">
        <v>45951</v>
      </c>
      <c r="B61">
        <v>2025002373</v>
      </c>
      <c r="C61" t="s">
        <v>434</v>
      </c>
      <c r="D61" s="10">
        <v>6300000</v>
      </c>
      <c r="E61">
        <v>1084228089</v>
      </c>
      <c r="F61" t="s">
        <v>435</v>
      </c>
      <c r="G61" t="s">
        <v>343</v>
      </c>
      <c r="H61" t="s">
        <v>434</v>
      </c>
      <c r="I61" s="8" t="s">
        <v>291</v>
      </c>
    </row>
    <row r="62" spans="1:9" x14ac:dyDescent="0.25">
      <c r="A62" s="5">
        <v>45951</v>
      </c>
      <c r="B62">
        <v>2025002374</v>
      </c>
      <c r="C62" t="s">
        <v>436</v>
      </c>
      <c r="D62" s="10">
        <v>4730000</v>
      </c>
      <c r="E62">
        <v>1085340885</v>
      </c>
      <c r="F62" t="s">
        <v>92</v>
      </c>
      <c r="G62" t="s">
        <v>343</v>
      </c>
      <c r="H62" t="s">
        <v>436</v>
      </c>
      <c r="I62" s="8" t="s">
        <v>291</v>
      </c>
    </row>
    <row r="63" spans="1:9" x14ac:dyDescent="0.25">
      <c r="A63" s="5">
        <v>45951</v>
      </c>
      <c r="B63">
        <v>2025002375</v>
      </c>
      <c r="C63" t="s">
        <v>437</v>
      </c>
      <c r="D63" s="10">
        <v>7800000</v>
      </c>
      <c r="E63">
        <v>1085334279</v>
      </c>
      <c r="F63" t="s">
        <v>438</v>
      </c>
      <c r="G63" t="s">
        <v>343</v>
      </c>
      <c r="H63" t="s">
        <v>437</v>
      </c>
      <c r="I63" s="8" t="s">
        <v>291</v>
      </c>
    </row>
    <row r="64" spans="1:9" x14ac:dyDescent="0.25">
      <c r="A64" s="5">
        <v>45951</v>
      </c>
      <c r="B64">
        <v>2025002376</v>
      </c>
      <c r="C64" t="s">
        <v>439</v>
      </c>
      <c r="D64" s="10">
        <v>3150000</v>
      </c>
      <c r="E64">
        <v>1089458776</v>
      </c>
      <c r="F64" t="s">
        <v>440</v>
      </c>
      <c r="G64" t="s">
        <v>343</v>
      </c>
      <c r="H64" t="s">
        <v>439</v>
      </c>
      <c r="I64" s="8" t="s">
        <v>291</v>
      </c>
    </row>
    <row r="65" spans="1:9" x14ac:dyDescent="0.25">
      <c r="A65" s="5">
        <v>45951</v>
      </c>
      <c r="B65">
        <v>2025002377</v>
      </c>
      <c r="C65" t="s">
        <v>441</v>
      </c>
      <c r="D65" s="10">
        <v>7800000</v>
      </c>
      <c r="E65">
        <v>37087120</v>
      </c>
      <c r="F65" t="s">
        <v>172</v>
      </c>
      <c r="G65" t="s">
        <v>343</v>
      </c>
      <c r="H65" t="s">
        <v>441</v>
      </c>
      <c r="I65" s="8" t="s">
        <v>291</v>
      </c>
    </row>
    <row r="66" spans="1:9" x14ac:dyDescent="0.25">
      <c r="A66" s="5">
        <v>45951</v>
      </c>
      <c r="B66">
        <v>2025002378</v>
      </c>
      <c r="C66" t="s">
        <v>442</v>
      </c>
      <c r="D66" s="10">
        <v>6300000</v>
      </c>
      <c r="E66">
        <v>1084551863</v>
      </c>
      <c r="F66" t="s">
        <v>443</v>
      </c>
      <c r="G66" t="s">
        <v>343</v>
      </c>
      <c r="H66" t="s">
        <v>442</v>
      </c>
      <c r="I66" s="8" t="s">
        <v>291</v>
      </c>
    </row>
    <row r="67" spans="1:9" x14ac:dyDescent="0.25">
      <c r="A67" s="5">
        <v>45951</v>
      </c>
      <c r="B67">
        <v>2025002379</v>
      </c>
      <c r="C67" t="s">
        <v>444</v>
      </c>
      <c r="D67" s="10">
        <v>6300000</v>
      </c>
      <c r="E67">
        <v>27090399</v>
      </c>
      <c r="F67" t="s">
        <v>445</v>
      </c>
      <c r="G67" t="s">
        <v>343</v>
      </c>
      <c r="H67" t="s">
        <v>444</v>
      </c>
      <c r="I67" s="8" t="s">
        <v>291</v>
      </c>
    </row>
    <row r="68" spans="1:9" x14ac:dyDescent="0.25">
      <c r="A68" s="5">
        <v>45951</v>
      </c>
      <c r="B68">
        <v>2025002380</v>
      </c>
      <c r="C68" t="s">
        <v>446</v>
      </c>
      <c r="D68" s="10">
        <v>7800000</v>
      </c>
      <c r="E68">
        <v>1085336362</v>
      </c>
      <c r="F68" t="s">
        <v>60</v>
      </c>
      <c r="G68" t="s">
        <v>343</v>
      </c>
      <c r="H68" t="s">
        <v>446</v>
      </c>
      <c r="I68" s="8" t="s">
        <v>291</v>
      </c>
    </row>
    <row r="69" spans="1:9" x14ac:dyDescent="0.25">
      <c r="A69" s="5">
        <v>45951</v>
      </c>
      <c r="B69">
        <v>2025002381</v>
      </c>
      <c r="C69" t="s">
        <v>447</v>
      </c>
      <c r="D69" s="10">
        <v>4730000</v>
      </c>
      <c r="E69">
        <v>1085260497</v>
      </c>
      <c r="F69" t="s">
        <v>448</v>
      </c>
      <c r="G69" t="s">
        <v>343</v>
      </c>
      <c r="H69" t="s">
        <v>447</v>
      </c>
      <c r="I69" s="8" t="s">
        <v>291</v>
      </c>
    </row>
    <row r="70" spans="1:9" x14ac:dyDescent="0.25">
      <c r="A70" s="5">
        <v>45951</v>
      </c>
      <c r="B70">
        <v>2025002382</v>
      </c>
      <c r="C70" t="s">
        <v>449</v>
      </c>
      <c r="D70" s="10">
        <v>7800000</v>
      </c>
      <c r="E70">
        <v>1193292339</v>
      </c>
      <c r="F70" t="s">
        <v>450</v>
      </c>
      <c r="G70" t="s">
        <v>343</v>
      </c>
      <c r="H70" t="s">
        <v>449</v>
      </c>
      <c r="I70" s="8" t="s">
        <v>291</v>
      </c>
    </row>
    <row r="71" spans="1:9" x14ac:dyDescent="0.25">
      <c r="A71" s="5">
        <v>45951</v>
      </c>
      <c r="B71">
        <v>2025002384</v>
      </c>
      <c r="C71" t="s">
        <v>451</v>
      </c>
      <c r="D71" s="10">
        <v>4730000</v>
      </c>
      <c r="E71">
        <v>1085318684</v>
      </c>
      <c r="F71" t="s">
        <v>452</v>
      </c>
      <c r="G71" t="s">
        <v>343</v>
      </c>
      <c r="H71" t="s">
        <v>451</v>
      </c>
      <c r="I71" s="8" t="s">
        <v>291</v>
      </c>
    </row>
    <row r="72" spans="1:9" x14ac:dyDescent="0.25">
      <c r="A72" s="5">
        <v>45951</v>
      </c>
      <c r="B72">
        <v>2025002385</v>
      </c>
      <c r="C72" t="s">
        <v>453</v>
      </c>
      <c r="D72" s="10">
        <v>6300000</v>
      </c>
      <c r="E72">
        <v>37086513</v>
      </c>
      <c r="F72" t="s">
        <v>454</v>
      </c>
      <c r="G72" t="s">
        <v>343</v>
      </c>
      <c r="H72" t="s">
        <v>453</v>
      </c>
      <c r="I72" s="8" t="s">
        <v>291</v>
      </c>
    </row>
    <row r="73" spans="1:9" x14ac:dyDescent="0.25">
      <c r="A73" s="5">
        <v>45951</v>
      </c>
      <c r="B73">
        <v>2025002386</v>
      </c>
      <c r="C73" t="s">
        <v>455</v>
      </c>
      <c r="D73" s="10">
        <v>3150000</v>
      </c>
      <c r="E73">
        <v>1087006717</v>
      </c>
      <c r="F73" t="s">
        <v>128</v>
      </c>
      <c r="G73" t="s">
        <v>343</v>
      </c>
      <c r="H73" t="s">
        <v>455</v>
      </c>
      <c r="I73" s="8" t="s">
        <v>291</v>
      </c>
    </row>
    <row r="74" spans="1:9" x14ac:dyDescent="0.25">
      <c r="A74" s="5">
        <v>45951</v>
      </c>
      <c r="B74">
        <v>2025002388</v>
      </c>
      <c r="C74" t="s">
        <v>456</v>
      </c>
      <c r="D74" s="10">
        <v>3150000</v>
      </c>
      <c r="E74">
        <v>1233189234</v>
      </c>
      <c r="F74" t="s">
        <v>52</v>
      </c>
      <c r="G74" t="s">
        <v>343</v>
      </c>
      <c r="H74" t="s">
        <v>456</v>
      </c>
      <c r="I74" s="8" t="s">
        <v>291</v>
      </c>
    </row>
    <row r="75" spans="1:9" x14ac:dyDescent="0.25">
      <c r="A75" s="5">
        <v>45952</v>
      </c>
      <c r="B75">
        <v>2025002389</v>
      </c>
      <c r="C75" t="s">
        <v>457</v>
      </c>
      <c r="D75" s="10">
        <v>4730000</v>
      </c>
      <c r="E75">
        <v>1087960287</v>
      </c>
      <c r="F75" t="s">
        <v>458</v>
      </c>
      <c r="G75" t="s">
        <v>343</v>
      </c>
      <c r="H75" t="s">
        <v>457</v>
      </c>
      <c r="I75" s="8" t="s">
        <v>291</v>
      </c>
    </row>
    <row r="76" spans="1:9" x14ac:dyDescent="0.25">
      <c r="A76" s="5">
        <v>45952</v>
      </c>
      <c r="B76">
        <v>2025002390</v>
      </c>
      <c r="C76" t="s">
        <v>459</v>
      </c>
      <c r="D76" s="10">
        <v>7800000</v>
      </c>
      <c r="E76">
        <v>80765093</v>
      </c>
      <c r="F76" t="s">
        <v>32</v>
      </c>
      <c r="G76" t="s">
        <v>343</v>
      </c>
      <c r="H76" t="s">
        <v>459</v>
      </c>
      <c r="I76" s="8" t="s">
        <v>291</v>
      </c>
    </row>
    <row r="77" spans="1:9" x14ac:dyDescent="0.25">
      <c r="A77" s="5">
        <v>45952</v>
      </c>
      <c r="B77">
        <v>2025002393</v>
      </c>
      <c r="C77" t="s">
        <v>460</v>
      </c>
      <c r="D77" s="10">
        <v>7800000</v>
      </c>
      <c r="E77">
        <v>1006946167</v>
      </c>
      <c r="F77" t="s">
        <v>62</v>
      </c>
      <c r="G77" t="s">
        <v>343</v>
      </c>
      <c r="H77" t="s">
        <v>460</v>
      </c>
      <c r="I77" s="8" t="s">
        <v>291</v>
      </c>
    </row>
    <row r="78" spans="1:9" x14ac:dyDescent="0.25">
      <c r="A78" s="5">
        <v>45952</v>
      </c>
      <c r="B78">
        <v>2025002394</v>
      </c>
      <c r="C78" t="s">
        <v>461</v>
      </c>
      <c r="D78" s="10">
        <v>6300000</v>
      </c>
      <c r="E78">
        <v>1085284997</v>
      </c>
      <c r="F78" t="s">
        <v>462</v>
      </c>
      <c r="G78" t="s">
        <v>343</v>
      </c>
      <c r="H78" t="s">
        <v>461</v>
      </c>
      <c r="I78" s="8" t="s">
        <v>291</v>
      </c>
    </row>
    <row r="79" spans="1:9" x14ac:dyDescent="0.25">
      <c r="A79" s="5">
        <v>45952</v>
      </c>
      <c r="B79">
        <v>2025002395</v>
      </c>
      <c r="C79" t="s">
        <v>463</v>
      </c>
      <c r="D79" s="10">
        <v>3150000</v>
      </c>
      <c r="E79">
        <v>1089458048</v>
      </c>
      <c r="F79" t="s">
        <v>464</v>
      </c>
      <c r="G79" t="s">
        <v>343</v>
      </c>
      <c r="H79" t="s">
        <v>463</v>
      </c>
      <c r="I79" s="8" t="s">
        <v>291</v>
      </c>
    </row>
    <row r="80" spans="1:9" x14ac:dyDescent="0.25">
      <c r="A80" s="5">
        <v>45952</v>
      </c>
      <c r="B80">
        <v>2025002396</v>
      </c>
      <c r="C80" t="s">
        <v>465</v>
      </c>
      <c r="D80" s="10">
        <v>3150000</v>
      </c>
      <c r="E80">
        <v>1086358836</v>
      </c>
      <c r="F80" t="s">
        <v>466</v>
      </c>
      <c r="G80" t="s">
        <v>343</v>
      </c>
      <c r="H80" t="s">
        <v>465</v>
      </c>
      <c r="I80" s="8" t="s">
        <v>291</v>
      </c>
    </row>
    <row r="81" spans="1:9" x14ac:dyDescent="0.25">
      <c r="A81" s="5">
        <v>45952</v>
      </c>
      <c r="B81">
        <v>2025002397</v>
      </c>
      <c r="C81" t="s">
        <v>467</v>
      </c>
      <c r="D81" s="10">
        <v>3150000</v>
      </c>
      <c r="E81">
        <v>36752202</v>
      </c>
      <c r="F81" t="s">
        <v>36</v>
      </c>
      <c r="G81" t="s">
        <v>343</v>
      </c>
      <c r="H81" t="s">
        <v>467</v>
      </c>
      <c r="I81" s="8" t="s">
        <v>291</v>
      </c>
    </row>
    <row r="82" spans="1:9" x14ac:dyDescent="0.25">
      <c r="A82" s="5">
        <v>45952</v>
      </c>
      <c r="B82">
        <v>2025002399</v>
      </c>
      <c r="C82" t="s">
        <v>468</v>
      </c>
      <c r="D82" s="10">
        <v>7800000</v>
      </c>
      <c r="E82">
        <v>1085329980</v>
      </c>
      <c r="F82" t="s">
        <v>16</v>
      </c>
      <c r="G82" t="s">
        <v>343</v>
      </c>
      <c r="H82" t="s">
        <v>468</v>
      </c>
      <c r="I82" s="8" t="s">
        <v>291</v>
      </c>
    </row>
    <row r="83" spans="1:9" x14ac:dyDescent="0.25">
      <c r="A83" s="5">
        <v>45952</v>
      </c>
      <c r="B83">
        <v>2025002400</v>
      </c>
      <c r="C83" t="s">
        <v>469</v>
      </c>
      <c r="D83" s="10">
        <v>4730000</v>
      </c>
      <c r="E83">
        <v>1087413951</v>
      </c>
      <c r="F83" t="s">
        <v>470</v>
      </c>
      <c r="G83" t="s">
        <v>343</v>
      </c>
      <c r="H83" t="s">
        <v>469</v>
      </c>
      <c r="I83" s="8" t="s">
        <v>291</v>
      </c>
    </row>
    <row r="84" spans="1:9" x14ac:dyDescent="0.25">
      <c r="A84" s="5">
        <v>45952</v>
      </c>
      <c r="B84">
        <v>2025002401</v>
      </c>
      <c r="C84" t="s">
        <v>471</v>
      </c>
      <c r="D84" s="10">
        <v>7800000</v>
      </c>
      <c r="E84">
        <v>1083814276</v>
      </c>
      <c r="F84" t="s">
        <v>472</v>
      </c>
      <c r="G84" t="s">
        <v>343</v>
      </c>
      <c r="H84" t="s">
        <v>471</v>
      </c>
      <c r="I84" s="8" t="s">
        <v>291</v>
      </c>
    </row>
    <row r="85" spans="1:9" x14ac:dyDescent="0.25">
      <c r="A85" s="5">
        <v>45952</v>
      </c>
      <c r="B85">
        <v>2025002402</v>
      </c>
      <c r="C85" t="s">
        <v>473</v>
      </c>
      <c r="D85" s="10">
        <v>3150000</v>
      </c>
      <c r="E85">
        <v>1087644986</v>
      </c>
      <c r="F85" t="s">
        <v>474</v>
      </c>
      <c r="G85" t="s">
        <v>343</v>
      </c>
      <c r="H85" t="s">
        <v>473</v>
      </c>
      <c r="I85" s="8" t="s">
        <v>291</v>
      </c>
    </row>
    <row r="86" spans="1:9" x14ac:dyDescent="0.25">
      <c r="A86" s="5">
        <v>45952</v>
      </c>
      <c r="B86">
        <v>2025002403</v>
      </c>
      <c r="C86" t="s">
        <v>475</v>
      </c>
      <c r="D86" s="10">
        <v>7800000</v>
      </c>
      <c r="E86">
        <v>1087006619</v>
      </c>
      <c r="F86" t="s">
        <v>216</v>
      </c>
      <c r="G86" t="s">
        <v>343</v>
      </c>
      <c r="H86" t="s">
        <v>475</v>
      </c>
      <c r="I86" s="8" t="s">
        <v>291</v>
      </c>
    </row>
    <row r="87" spans="1:9" x14ac:dyDescent="0.25">
      <c r="A87" s="5">
        <v>45952</v>
      </c>
      <c r="B87">
        <v>2025002404</v>
      </c>
      <c r="C87" t="s">
        <v>476</v>
      </c>
      <c r="D87" s="10">
        <v>3150000</v>
      </c>
      <c r="E87">
        <v>1081052746</v>
      </c>
      <c r="F87" t="s">
        <v>477</v>
      </c>
      <c r="G87" t="s">
        <v>343</v>
      </c>
      <c r="H87" t="s">
        <v>476</v>
      </c>
      <c r="I87" s="8" t="s">
        <v>291</v>
      </c>
    </row>
    <row r="88" spans="1:9" x14ac:dyDescent="0.25">
      <c r="A88" s="5">
        <v>45952</v>
      </c>
      <c r="B88">
        <v>2025002405</v>
      </c>
      <c r="C88" t="s">
        <v>478</v>
      </c>
      <c r="D88" s="10">
        <v>1575000</v>
      </c>
      <c r="E88">
        <v>1084552048</v>
      </c>
      <c r="F88" t="s">
        <v>232</v>
      </c>
      <c r="G88" t="s">
        <v>343</v>
      </c>
      <c r="H88" t="s">
        <v>478</v>
      </c>
      <c r="I88" s="8" t="s">
        <v>291</v>
      </c>
    </row>
    <row r="89" spans="1:9" x14ac:dyDescent="0.25">
      <c r="A89" s="5">
        <v>45952</v>
      </c>
      <c r="B89">
        <v>2025002406</v>
      </c>
      <c r="C89" t="s">
        <v>479</v>
      </c>
      <c r="D89" s="10">
        <v>3150000</v>
      </c>
      <c r="E89">
        <v>1085302942</v>
      </c>
      <c r="F89" t="s">
        <v>480</v>
      </c>
      <c r="G89" t="s">
        <v>343</v>
      </c>
      <c r="H89" t="s">
        <v>479</v>
      </c>
      <c r="I89" s="8" t="s">
        <v>291</v>
      </c>
    </row>
    <row r="90" spans="1:9" x14ac:dyDescent="0.25">
      <c r="A90" s="5">
        <v>45952</v>
      </c>
      <c r="B90">
        <v>2025002407</v>
      </c>
      <c r="C90" t="s">
        <v>481</v>
      </c>
      <c r="D90" s="10">
        <v>3150000</v>
      </c>
      <c r="E90">
        <v>1085335033</v>
      </c>
      <c r="F90" t="s">
        <v>482</v>
      </c>
      <c r="G90" t="s">
        <v>343</v>
      </c>
      <c r="H90" t="s">
        <v>481</v>
      </c>
      <c r="I90" s="8" t="s">
        <v>291</v>
      </c>
    </row>
    <row r="91" spans="1:9" x14ac:dyDescent="0.25">
      <c r="A91" s="5">
        <v>45952</v>
      </c>
      <c r="B91">
        <v>2025002408</v>
      </c>
      <c r="C91" t="s">
        <v>483</v>
      </c>
      <c r="D91" s="10">
        <v>3150000</v>
      </c>
      <c r="E91">
        <v>1085267332</v>
      </c>
      <c r="F91" t="s">
        <v>484</v>
      </c>
      <c r="G91" t="s">
        <v>343</v>
      </c>
      <c r="H91" t="s">
        <v>483</v>
      </c>
      <c r="I91" s="8" t="s">
        <v>291</v>
      </c>
    </row>
    <row r="92" spans="1:9" x14ac:dyDescent="0.25">
      <c r="A92" s="5">
        <v>45952</v>
      </c>
      <c r="B92">
        <v>2025002409</v>
      </c>
      <c r="C92" t="s">
        <v>485</v>
      </c>
      <c r="D92" s="10">
        <v>6300000</v>
      </c>
      <c r="E92">
        <v>1085296068</v>
      </c>
      <c r="F92" t="s">
        <v>486</v>
      </c>
      <c r="G92" t="s">
        <v>343</v>
      </c>
      <c r="H92" t="s">
        <v>485</v>
      </c>
      <c r="I92" s="8" t="s">
        <v>291</v>
      </c>
    </row>
    <row r="93" spans="1:9" x14ac:dyDescent="0.25">
      <c r="A93" s="5">
        <v>45952</v>
      </c>
      <c r="B93">
        <v>2025002410</v>
      </c>
      <c r="C93" t="s">
        <v>487</v>
      </c>
      <c r="D93" s="10">
        <v>3150000</v>
      </c>
      <c r="E93">
        <v>27549931</v>
      </c>
      <c r="F93" t="s">
        <v>488</v>
      </c>
      <c r="G93" t="s">
        <v>343</v>
      </c>
      <c r="H93" t="s">
        <v>487</v>
      </c>
      <c r="I93" s="8" t="s">
        <v>291</v>
      </c>
    </row>
    <row r="94" spans="1:9" x14ac:dyDescent="0.25">
      <c r="A94" s="5">
        <v>45952</v>
      </c>
      <c r="B94">
        <v>2025002412</v>
      </c>
      <c r="C94" t="s">
        <v>489</v>
      </c>
      <c r="D94" s="10">
        <v>4730000</v>
      </c>
      <c r="E94">
        <v>1084227101</v>
      </c>
      <c r="F94" t="s">
        <v>490</v>
      </c>
      <c r="G94" t="s">
        <v>343</v>
      </c>
      <c r="H94" t="s">
        <v>489</v>
      </c>
      <c r="I94" s="8" t="s">
        <v>291</v>
      </c>
    </row>
    <row r="95" spans="1:9" x14ac:dyDescent="0.25">
      <c r="A95" s="5">
        <v>45952</v>
      </c>
      <c r="B95">
        <v>2025002413</v>
      </c>
      <c r="C95" t="s">
        <v>491</v>
      </c>
      <c r="D95" s="10">
        <v>3150000</v>
      </c>
      <c r="E95">
        <v>1082747438</v>
      </c>
      <c r="F95" t="s">
        <v>257</v>
      </c>
      <c r="G95" t="s">
        <v>343</v>
      </c>
      <c r="H95" t="s">
        <v>491</v>
      </c>
      <c r="I95" s="8" t="s">
        <v>291</v>
      </c>
    </row>
    <row r="96" spans="1:9" x14ac:dyDescent="0.25">
      <c r="A96" s="5">
        <v>45952</v>
      </c>
      <c r="B96">
        <v>2025002414</v>
      </c>
      <c r="C96" t="s">
        <v>492</v>
      </c>
      <c r="D96" s="10">
        <v>4730000</v>
      </c>
      <c r="E96">
        <v>1082749648</v>
      </c>
      <c r="F96" t="s">
        <v>493</v>
      </c>
      <c r="G96" t="s">
        <v>343</v>
      </c>
      <c r="H96" t="s">
        <v>492</v>
      </c>
      <c r="I96" s="8" t="s">
        <v>291</v>
      </c>
    </row>
    <row r="97" spans="1:9" x14ac:dyDescent="0.25">
      <c r="A97" s="5">
        <v>45952</v>
      </c>
      <c r="B97">
        <v>2025002415</v>
      </c>
      <c r="C97" t="s">
        <v>494</v>
      </c>
      <c r="D97" s="10">
        <v>3150000</v>
      </c>
      <c r="E97">
        <v>37087117</v>
      </c>
      <c r="F97" t="s">
        <v>495</v>
      </c>
      <c r="G97" t="s">
        <v>343</v>
      </c>
      <c r="H97" t="s">
        <v>494</v>
      </c>
      <c r="I97" s="8" t="s">
        <v>291</v>
      </c>
    </row>
    <row r="98" spans="1:9" x14ac:dyDescent="0.25">
      <c r="A98" s="5">
        <v>45952</v>
      </c>
      <c r="B98">
        <v>2025002416</v>
      </c>
      <c r="C98" t="s">
        <v>496</v>
      </c>
      <c r="D98" s="10">
        <v>3150000</v>
      </c>
      <c r="E98">
        <v>27276869</v>
      </c>
      <c r="F98" t="s">
        <v>497</v>
      </c>
      <c r="G98" t="s">
        <v>343</v>
      </c>
      <c r="H98" t="s">
        <v>496</v>
      </c>
      <c r="I98" s="8" t="s">
        <v>291</v>
      </c>
    </row>
    <row r="99" spans="1:9" x14ac:dyDescent="0.25">
      <c r="A99" s="5">
        <v>45952</v>
      </c>
      <c r="B99">
        <v>2025002417</v>
      </c>
      <c r="C99" t="s">
        <v>498</v>
      </c>
      <c r="D99" s="10">
        <v>1575000</v>
      </c>
      <c r="E99">
        <v>1086224204</v>
      </c>
      <c r="F99" t="s">
        <v>499</v>
      </c>
      <c r="G99" t="s">
        <v>343</v>
      </c>
      <c r="H99" t="s">
        <v>498</v>
      </c>
      <c r="I99" s="8" t="s">
        <v>291</v>
      </c>
    </row>
    <row r="100" spans="1:9" x14ac:dyDescent="0.25">
      <c r="A100" s="5">
        <v>45952</v>
      </c>
      <c r="B100">
        <v>2025002418</v>
      </c>
      <c r="C100" t="s">
        <v>500</v>
      </c>
      <c r="D100" s="10">
        <v>3150000</v>
      </c>
      <c r="E100">
        <v>59310056</v>
      </c>
      <c r="F100" t="s">
        <v>501</v>
      </c>
      <c r="G100" t="s">
        <v>343</v>
      </c>
      <c r="H100" t="s">
        <v>500</v>
      </c>
      <c r="I100" s="8" t="s">
        <v>291</v>
      </c>
    </row>
    <row r="101" spans="1:9" x14ac:dyDescent="0.25">
      <c r="A101" s="5">
        <v>45952</v>
      </c>
      <c r="B101">
        <v>2025002419</v>
      </c>
      <c r="C101" t="s">
        <v>502</v>
      </c>
      <c r="D101" s="10">
        <v>6300000</v>
      </c>
      <c r="E101">
        <v>1082748420</v>
      </c>
      <c r="F101" t="s">
        <v>212</v>
      </c>
      <c r="G101" t="s">
        <v>343</v>
      </c>
      <c r="H101" t="s">
        <v>502</v>
      </c>
      <c r="I101" s="8" t="s">
        <v>291</v>
      </c>
    </row>
    <row r="102" spans="1:9" x14ac:dyDescent="0.25">
      <c r="A102" s="5">
        <v>45952</v>
      </c>
      <c r="B102">
        <v>2025002426</v>
      </c>
      <c r="C102" t="s">
        <v>503</v>
      </c>
      <c r="D102" s="10">
        <v>4730000</v>
      </c>
      <c r="E102">
        <v>1005829176</v>
      </c>
      <c r="F102" t="s">
        <v>504</v>
      </c>
      <c r="G102" t="s">
        <v>343</v>
      </c>
      <c r="H102" t="s">
        <v>503</v>
      </c>
      <c r="I102" s="8" t="s">
        <v>291</v>
      </c>
    </row>
    <row r="103" spans="1:9" x14ac:dyDescent="0.25">
      <c r="A103" s="5">
        <v>45952</v>
      </c>
      <c r="B103">
        <v>2025002427</v>
      </c>
      <c r="C103" t="s">
        <v>505</v>
      </c>
      <c r="D103" s="10">
        <v>6300000</v>
      </c>
      <c r="E103">
        <v>1014212900</v>
      </c>
      <c r="F103" t="s">
        <v>112</v>
      </c>
      <c r="G103" t="s">
        <v>343</v>
      </c>
      <c r="H103" t="s">
        <v>505</v>
      </c>
      <c r="I103" s="8" t="s">
        <v>291</v>
      </c>
    </row>
    <row r="104" spans="1:9" x14ac:dyDescent="0.25">
      <c r="A104" s="5">
        <v>45953</v>
      </c>
      <c r="B104">
        <v>2025002429</v>
      </c>
      <c r="C104" t="s">
        <v>506</v>
      </c>
      <c r="D104" s="10">
        <v>6300000</v>
      </c>
      <c r="E104">
        <v>1085277976</v>
      </c>
      <c r="F104" t="s">
        <v>507</v>
      </c>
      <c r="G104" t="s">
        <v>343</v>
      </c>
      <c r="H104" t="s">
        <v>506</v>
      </c>
      <c r="I104" s="8" t="s">
        <v>291</v>
      </c>
    </row>
    <row r="105" spans="1:9" x14ac:dyDescent="0.25">
      <c r="A105" s="5">
        <v>45953</v>
      </c>
      <c r="B105">
        <v>2025002430</v>
      </c>
      <c r="C105" t="s">
        <v>508</v>
      </c>
      <c r="D105" s="10">
        <v>7800000</v>
      </c>
      <c r="E105">
        <v>1085293105</v>
      </c>
      <c r="F105" t="s">
        <v>58</v>
      </c>
      <c r="G105" t="s">
        <v>343</v>
      </c>
      <c r="H105" t="s">
        <v>508</v>
      </c>
      <c r="I105" s="8" t="s">
        <v>291</v>
      </c>
    </row>
    <row r="106" spans="1:9" x14ac:dyDescent="0.25">
      <c r="A106" s="5">
        <v>45953</v>
      </c>
      <c r="B106">
        <v>2025002431</v>
      </c>
      <c r="C106" t="s">
        <v>509</v>
      </c>
      <c r="D106" s="10">
        <v>3150000</v>
      </c>
      <c r="E106">
        <v>36758143</v>
      </c>
      <c r="F106" t="s">
        <v>510</v>
      </c>
      <c r="G106" t="s">
        <v>343</v>
      </c>
      <c r="H106" t="s">
        <v>509</v>
      </c>
      <c r="I106" s="8" t="s">
        <v>291</v>
      </c>
    </row>
    <row r="107" spans="1:9" x14ac:dyDescent="0.25">
      <c r="A107" s="5">
        <v>45953</v>
      </c>
      <c r="B107">
        <v>2025002434</v>
      </c>
      <c r="C107" t="s">
        <v>511</v>
      </c>
      <c r="D107" s="10">
        <v>4730000</v>
      </c>
      <c r="E107">
        <v>36953206</v>
      </c>
      <c r="F107" t="s">
        <v>170</v>
      </c>
      <c r="G107" t="s">
        <v>343</v>
      </c>
      <c r="H107" t="s">
        <v>511</v>
      </c>
      <c r="I107" s="8" t="s">
        <v>291</v>
      </c>
    </row>
    <row r="108" spans="1:9" x14ac:dyDescent="0.25">
      <c r="A108" s="5">
        <v>45953</v>
      </c>
      <c r="B108">
        <v>2025002435</v>
      </c>
      <c r="C108" t="s">
        <v>512</v>
      </c>
      <c r="D108" s="10">
        <v>7800000</v>
      </c>
      <c r="E108">
        <v>1193202097</v>
      </c>
      <c r="F108" t="s">
        <v>158</v>
      </c>
      <c r="G108" t="s">
        <v>343</v>
      </c>
      <c r="H108" t="s">
        <v>512</v>
      </c>
      <c r="I108" s="8" t="s">
        <v>291</v>
      </c>
    </row>
    <row r="109" spans="1:9" x14ac:dyDescent="0.25">
      <c r="A109" s="5">
        <v>45953</v>
      </c>
      <c r="B109">
        <v>2025002436</v>
      </c>
      <c r="C109" t="s">
        <v>513</v>
      </c>
      <c r="D109" s="10">
        <v>6300000</v>
      </c>
      <c r="E109">
        <v>59820414</v>
      </c>
      <c r="F109" t="s">
        <v>140</v>
      </c>
      <c r="G109" t="s">
        <v>343</v>
      </c>
      <c r="H109" t="s">
        <v>513</v>
      </c>
      <c r="I109" s="8" t="s">
        <v>291</v>
      </c>
    </row>
    <row r="110" spans="1:9" x14ac:dyDescent="0.25">
      <c r="A110" s="5">
        <v>45953</v>
      </c>
      <c r="B110">
        <v>2025002437</v>
      </c>
      <c r="C110" t="s">
        <v>514</v>
      </c>
      <c r="D110" s="10">
        <v>4730000</v>
      </c>
      <c r="E110">
        <v>59651018</v>
      </c>
      <c r="F110" t="s">
        <v>44</v>
      </c>
      <c r="G110" t="s">
        <v>343</v>
      </c>
      <c r="H110" t="s">
        <v>514</v>
      </c>
      <c r="I110" s="8" t="s">
        <v>291</v>
      </c>
    </row>
    <row r="111" spans="1:9" x14ac:dyDescent="0.25">
      <c r="A111" s="5">
        <v>45953</v>
      </c>
      <c r="B111">
        <v>2025002438</v>
      </c>
      <c r="C111" t="s">
        <v>515</v>
      </c>
      <c r="D111" s="10">
        <v>3150000</v>
      </c>
      <c r="E111">
        <v>1085271641</v>
      </c>
      <c r="F111" t="s">
        <v>102</v>
      </c>
      <c r="G111" t="s">
        <v>343</v>
      </c>
      <c r="H111" t="s">
        <v>515</v>
      </c>
      <c r="I111" s="8" t="s">
        <v>291</v>
      </c>
    </row>
    <row r="112" spans="1:9" x14ac:dyDescent="0.25">
      <c r="A112" s="5">
        <v>45954</v>
      </c>
      <c r="B112">
        <v>2025002439</v>
      </c>
      <c r="C112" t="s">
        <v>516</v>
      </c>
      <c r="D112" s="10">
        <v>3150000</v>
      </c>
      <c r="E112">
        <v>59310853</v>
      </c>
      <c r="F112" t="s">
        <v>190</v>
      </c>
      <c r="G112" t="s">
        <v>343</v>
      </c>
      <c r="H112" t="s">
        <v>516</v>
      </c>
      <c r="I112" s="8" t="s">
        <v>291</v>
      </c>
    </row>
    <row r="113" spans="1:9" x14ac:dyDescent="0.25">
      <c r="A113" s="5">
        <v>45954</v>
      </c>
      <c r="B113">
        <v>2025002442</v>
      </c>
      <c r="C113" t="s">
        <v>517</v>
      </c>
      <c r="D113" s="10">
        <v>7800000</v>
      </c>
      <c r="E113">
        <v>1089483067</v>
      </c>
      <c r="F113" t="s">
        <v>287</v>
      </c>
      <c r="G113" t="s">
        <v>343</v>
      </c>
      <c r="H113" t="s">
        <v>517</v>
      </c>
      <c r="I113" s="8" t="s">
        <v>291</v>
      </c>
    </row>
    <row r="114" spans="1:9" x14ac:dyDescent="0.25">
      <c r="A114" s="5">
        <v>45954</v>
      </c>
      <c r="B114">
        <v>2025002443</v>
      </c>
      <c r="C114" t="s">
        <v>518</v>
      </c>
      <c r="D114" s="10">
        <v>6300000</v>
      </c>
      <c r="E114">
        <v>1085299577</v>
      </c>
      <c r="F114" t="s">
        <v>156</v>
      </c>
      <c r="G114" t="s">
        <v>343</v>
      </c>
      <c r="H114" t="s">
        <v>518</v>
      </c>
      <c r="I114" s="8" t="s">
        <v>291</v>
      </c>
    </row>
    <row r="115" spans="1:9" x14ac:dyDescent="0.25">
      <c r="A115" s="5">
        <v>45954</v>
      </c>
      <c r="B115">
        <v>2025002444</v>
      </c>
      <c r="C115" t="s">
        <v>519</v>
      </c>
      <c r="D115" s="10">
        <v>3150000</v>
      </c>
      <c r="E115">
        <v>59310524</v>
      </c>
      <c r="F115" t="s">
        <v>54</v>
      </c>
      <c r="G115" t="s">
        <v>343</v>
      </c>
      <c r="H115" t="s">
        <v>519</v>
      </c>
      <c r="I115" s="8" t="s">
        <v>291</v>
      </c>
    </row>
    <row r="116" spans="1:9" x14ac:dyDescent="0.25">
      <c r="A116" s="5">
        <v>45954</v>
      </c>
      <c r="B116">
        <v>2025002445</v>
      </c>
      <c r="C116" t="s">
        <v>520</v>
      </c>
      <c r="D116" s="10">
        <v>3150000</v>
      </c>
      <c r="E116">
        <v>1085275879</v>
      </c>
      <c r="F116" t="s">
        <v>108</v>
      </c>
      <c r="G116" t="s">
        <v>343</v>
      </c>
      <c r="H116" t="s">
        <v>520</v>
      </c>
      <c r="I116" s="8" t="s">
        <v>291</v>
      </c>
    </row>
    <row r="117" spans="1:9" x14ac:dyDescent="0.25">
      <c r="A117" s="5">
        <v>45954</v>
      </c>
      <c r="B117">
        <v>2025002446</v>
      </c>
      <c r="C117" t="s">
        <v>521</v>
      </c>
      <c r="D117" s="10">
        <v>3900000</v>
      </c>
      <c r="E117">
        <v>1087645723</v>
      </c>
      <c r="F117" t="s">
        <v>522</v>
      </c>
      <c r="G117" t="s">
        <v>343</v>
      </c>
      <c r="H117" t="s">
        <v>521</v>
      </c>
      <c r="I117" s="8" t="s">
        <v>291</v>
      </c>
    </row>
    <row r="118" spans="1:9" x14ac:dyDescent="0.25">
      <c r="A118" s="5">
        <v>45954</v>
      </c>
      <c r="B118">
        <v>2025002447</v>
      </c>
      <c r="C118" t="s">
        <v>523</v>
      </c>
      <c r="D118" s="10">
        <v>4730000</v>
      </c>
      <c r="E118">
        <v>36950073</v>
      </c>
      <c r="F118" t="s">
        <v>524</v>
      </c>
      <c r="G118" t="s">
        <v>343</v>
      </c>
      <c r="H118" t="s">
        <v>523</v>
      </c>
      <c r="I118" s="8" t="s">
        <v>291</v>
      </c>
    </row>
    <row r="119" spans="1:9" x14ac:dyDescent="0.25">
      <c r="A119" s="5">
        <v>45954</v>
      </c>
      <c r="B119">
        <v>2025002448</v>
      </c>
      <c r="C119" t="s">
        <v>525</v>
      </c>
      <c r="D119" s="10">
        <v>4730000</v>
      </c>
      <c r="E119">
        <v>1086137686</v>
      </c>
      <c r="F119" t="s">
        <v>526</v>
      </c>
      <c r="G119" t="s">
        <v>343</v>
      </c>
      <c r="H119" t="s">
        <v>525</v>
      </c>
      <c r="I119" s="8" t="s">
        <v>291</v>
      </c>
    </row>
    <row r="120" spans="1:9" x14ac:dyDescent="0.25">
      <c r="A120" s="5">
        <v>45954</v>
      </c>
      <c r="B120">
        <v>2025002449</v>
      </c>
      <c r="C120" t="s">
        <v>527</v>
      </c>
      <c r="D120" s="10">
        <v>7800000</v>
      </c>
      <c r="E120">
        <v>1086361969</v>
      </c>
      <c r="F120" t="s">
        <v>528</v>
      </c>
      <c r="G120" t="s">
        <v>343</v>
      </c>
      <c r="H120" t="s">
        <v>527</v>
      </c>
      <c r="I120" s="8" t="s">
        <v>291</v>
      </c>
    </row>
    <row r="121" spans="1:9" x14ac:dyDescent="0.25">
      <c r="A121" s="5">
        <v>45954</v>
      </c>
      <c r="B121">
        <v>2025002450</v>
      </c>
      <c r="C121" t="s">
        <v>529</v>
      </c>
      <c r="D121" s="10">
        <v>6300000</v>
      </c>
      <c r="E121">
        <v>27146489</v>
      </c>
      <c r="F121" t="s">
        <v>20</v>
      </c>
      <c r="G121" t="s">
        <v>343</v>
      </c>
      <c r="H121" t="s">
        <v>529</v>
      </c>
      <c r="I121" s="8" t="s">
        <v>291</v>
      </c>
    </row>
    <row r="122" spans="1:9" x14ac:dyDescent="0.25">
      <c r="A122" s="5">
        <v>45954</v>
      </c>
      <c r="B122">
        <v>2025002451</v>
      </c>
      <c r="C122" t="s">
        <v>530</v>
      </c>
      <c r="D122" s="10">
        <v>4730000</v>
      </c>
      <c r="E122">
        <v>1086360022</v>
      </c>
      <c r="F122" t="s">
        <v>531</v>
      </c>
      <c r="G122" t="s">
        <v>343</v>
      </c>
      <c r="H122" t="s">
        <v>530</v>
      </c>
      <c r="I122" s="8" t="s">
        <v>291</v>
      </c>
    </row>
    <row r="123" spans="1:9" x14ac:dyDescent="0.25">
      <c r="A123" s="5">
        <v>45954</v>
      </c>
      <c r="B123">
        <v>2025002452</v>
      </c>
      <c r="C123" t="s">
        <v>532</v>
      </c>
      <c r="D123" s="10">
        <v>1575000</v>
      </c>
      <c r="E123">
        <v>1085295583</v>
      </c>
      <c r="F123" t="s">
        <v>533</v>
      </c>
      <c r="G123" t="s">
        <v>343</v>
      </c>
      <c r="H123" t="s">
        <v>532</v>
      </c>
      <c r="I123" s="8" t="s">
        <v>291</v>
      </c>
    </row>
    <row r="124" spans="1:9" x14ac:dyDescent="0.25">
      <c r="A124" s="5">
        <v>45954</v>
      </c>
      <c r="B124">
        <v>2025002453</v>
      </c>
      <c r="C124" t="s">
        <v>534</v>
      </c>
      <c r="D124" s="10">
        <v>6300000</v>
      </c>
      <c r="E124">
        <v>1085272491</v>
      </c>
      <c r="F124" t="s">
        <v>535</v>
      </c>
      <c r="G124" t="s">
        <v>343</v>
      </c>
      <c r="H124" t="s">
        <v>534</v>
      </c>
      <c r="I124" s="8" t="s">
        <v>291</v>
      </c>
    </row>
    <row r="125" spans="1:9" x14ac:dyDescent="0.25">
      <c r="A125" s="5">
        <v>45954</v>
      </c>
      <c r="B125">
        <v>2025002455</v>
      </c>
      <c r="C125" t="s">
        <v>536</v>
      </c>
      <c r="D125" s="10">
        <v>1575000</v>
      </c>
      <c r="E125">
        <v>1086328063</v>
      </c>
      <c r="F125" t="s">
        <v>537</v>
      </c>
      <c r="G125" t="s">
        <v>343</v>
      </c>
      <c r="H125" t="s">
        <v>536</v>
      </c>
      <c r="I125" s="8" t="s">
        <v>291</v>
      </c>
    </row>
    <row r="126" spans="1:9" x14ac:dyDescent="0.25">
      <c r="A126" s="5">
        <v>45954</v>
      </c>
      <c r="B126">
        <v>2025002457</v>
      </c>
      <c r="C126" t="s">
        <v>538</v>
      </c>
      <c r="D126" s="10">
        <v>7800000</v>
      </c>
      <c r="E126">
        <v>1233193882</v>
      </c>
      <c r="F126" t="s">
        <v>539</v>
      </c>
      <c r="G126" t="s">
        <v>343</v>
      </c>
      <c r="H126" t="s">
        <v>538</v>
      </c>
      <c r="I126" s="8" t="s">
        <v>291</v>
      </c>
    </row>
    <row r="127" spans="1:9" x14ac:dyDescent="0.25">
      <c r="A127" s="5">
        <v>45954</v>
      </c>
      <c r="B127">
        <v>2025002459</v>
      </c>
      <c r="C127" t="s">
        <v>540</v>
      </c>
      <c r="D127" s="10">
        <v>4730000</v>
      </c>
      <c r="E127">
        <v>36759759</v>
      </c>
      <c r="F127" t="s">
        <v>70</v>
      </c>
      <c r="G127" t="s">
        <v>343</v>
      </c>
      <c r="H127" t="s">
        <v>540</v>
      </c>
      <c r="I127" s="8" t="s">
        <v>291</v>
      </c>
    </row>
    <row r="128" spans="1:9" x14ac:dyDescent="0.25">
      <c r="A128" s="5">
        <v>45954</v>
      </c>
      <c r="B128">
        <v>2025002460</v>
      </c>
      <c r="C128" t="s">
        <v>541</v>
      </c>
      <c r="D128" s="10">
        <v>4730000</v>
      </c>
      <c r="E128">
        <v>1085264667</v>
      </c>
      <c r="F128" t="s">
        <v>542</v>
      </c>
      <c r="G128" t="s">
        <v>343</v>
      </c>
      <c r="H128" t="s">
        <v>541</v>
      </c>
      <c r="I128" s="8" t="s">
        <v>291</v>
      </c>
    </row>
    <row r="129" spans="1:9" x14ac:dyDescent="0.25">
      <c r="A129" s="5">
        <v>45954</v>
      </c>
      <c r="B129">
        <v>2025002461</v>
      </c>
      <c r="C129" t="s">
        <v>543</v>
      </c>
      <c r="D129" s="10">
        <v>1575000</v>
      </c>
      <c r="E129">
        <v>27444591</v>
      </c>
      <c r="F129" t="s">
        <v>544</v>
      </c>
      <c r="G129" t="s">
        <v>343</v>
      </c>
      <c r="H129" t="s">
        <v>543</v>
      </c>
      <c r="I129" s="8" t="s">
        <v>291</v>
      </c>
    </row>
    <row r="130" spans="1:9" x14ac:dyDescent="0.25">
      <c r="A130" s="5">
        <v>45954</v>
      </c>
      <c r="B130">
        <v>2025002462</v>
      </c>
      <c r="C130" t="s">
        <v>545</v>
      </c>
      <c r="D130" s="10">
        <v>4730000</v>
      </c>
      <c r="E130">
        <v>59824313</v>
      </c>
      <c r="F130" t="s">
        <v>546</v>
      </c>
      <c r="G130" t="s">
        <v>343</v>
      </c>
      <c r="H130" t="s">
        <v>545</v>
      </c>
      <c r="I130" s="8" t="s">
        <v>291</v>
      </c>
    </row>
    <row r="131" spans="1:9" x14ac:dyDescent="0.25">
      <c r="A131" s="5">
        <v>45954</v>
      </c>
      <c r="B131">
        <v>2025002463</v>
      </c>
      <c r="C131" t="s">
        <v>547</v>
      </c>
      <c r="D131" s="10">
        <v>3150000</v>
      </c>
      <c r="E131">
        <v>1004564013</v>
      </c>
      <c r="F131" t="s">
        <v>548</v>
      </c>
      <c r="G131" t="s">
        <v>343</v>
      </c>
      <c r="H131" t="s">
        <v>547</v>
      </c>
      <c r="I131" s="8" t="s">
        <v>291</v>
      </c>
    </row>
    <row r="132" spans="1:9" x14ac:dyDescent="0.25">
      <c r="A132" s="5">
        <v>45954</v>
      </c>
      <c r="B132">
        <v>2025002464</v>
      </c>
      <c r="C132" t="s">
        <v>549</v>
      </c>
      <c r="D132" s="10">
        <v>3150000</v>
      </c>
      <c r="E132">
        <v>1010082397</v>
      </c>
      <c r="F132" t="s">
        <v>78</v>
      </c>
      <c r="G132" t="s">
        <v>343</v>
      </c>
      <c r="H132" t="s">
        <v>549</v>
      </c>
      <c r="I132" s="8" t="s">
        <v>291</v>
      </c>
    </row>
    <row r="133" spans="1:9" x14ac:dyDescent="0.25">
      <c r="A133" s="5">
        <v>45954</v>
      </c>
      <c r="B133">
        <v>2025002465</v>
      </c>
      <c r="C133" t="s">
        <v>550</v>
      </c>
      <c r="D133" s="10">
        <v>3150000</v>
      </c>
      <c r="E133">
        <v>27456421</v>
      </c>
      <c r="F133" t="s">
        <v>551</v>
      </c>
      <c r="G133" t="s">
        <v>343</v>
      </c>
      <c r="H133" t="s">
        <v>550</v>
      </c>
      <c r="I133" s="8" t="s">
        <v>291</v>
      </c>
    </row>
    <row r="134" spans="1:9" x14ac:dyDescent="0.25">
      <c r="A134" s="5">
        <v>45957</v>
      </c>
      <c r="B134">
        <v>2025002466</v>
      </c>
      <c r="C134" t="s">
        <v>552</v>
      </c>
      <c r="D134" s="10">
        <v>3150000</v>
      </c>
      <c r="E134">
        <v>69028150</v>
      </c>
      <c r="F134" t="s">
        <v>30</v>
      </c>
      <c r="G134" t="s">
        <v>343</v>
      </c>
      <c r="H134" t="s">
        <v>552</v>
      </c>
      <c r="I134" s="8" t="s">
        <v>291</v>
      </c>
    </row>
    <row r="135" spans="1:9" x14ac:dyDescent="0.25">
      <c r="A135" s="5">
        <v>45957</v>
      </c>
      <c r="B135">
        <v>2025002467</v>
      </c>
      <c r="C135" t="s">
        <v>553</v>
      </c>
      <c r="D135" s="10">
        <v>3150000</v>
      </c>
      <c r="E135">
        <v>1086016304</v>
      </c>
      <c r="F135" t="s">
        <v>554</v>
      </c>
      <c r="G135" t="s">
        <v>343</v>
      </c>
      <c r="H135" t="s">
        <v>553</v>
      </c>
      <c r="I135" s="8" t="s">
        <v>291</v>
      </c>
    </row>
    <row r="136" spans="1:9" x14ac:dyDescent="0.25">
      <c r="A136" s="5">
        <v>45957</v>
      </c>
      <c r="B136">
        <v>2025002468</v>
      </c>
      <c r="C136" t="s">
        <v>555</v>
      </c>
      <c r="D136" s="10">
        <v>3150000</v>
      </c>
      <c r="E136">
        <v>1004236159</v>
      </c>
      <c r="F136" t="s">
        <v>556</v>
      </c>
      <c r="G136" t="s">
        <v>343</v>
      </c>
      <c r="H136" t="s">
        <v>555</v>
      </c>
      <c r="I136" s="8" t="s">
        <v>291</v>
      </c>
    </row>
    <row r="137" spans="1:9" x14ac:dyDescent="0.25">
      <c r="A137" s="5">
        <v>45957</v>
      </c>
      <c r="B137">
        <v>2025002470</v>
      </c>
      <c r="C137" t="s">
        <v>557</v>
      </c>
      <c r="D137" s="10">
        <v>4730000</v>
      </c>
      <c r="E137">
        <v>1193424771</v>
      </c>
      <c r="F137" t="s">
        <v>558</v>
      </c>
      <c r="G137" t="s">
        <v>343</v>
      </c>
      <c r="H137" t="s">
        <v>557</v>
      </c>
      <c r="I137" s="8" t="s">
        <v>291</v>
      </c>
    </row>
    <row r="138" spans="1:9" x14ac:dyDescent="0.25">
      <c r="A138" s="5">
        <v>45957</v>
      </c>
      <c r="B138">
        <v>2025002471</v>
      </c>
      <c r="C138" t="s">
        <v>559</v>
      </c>
      <c r="D138" s="10">
        <v>3150000</v>
      </c>
      <c r="E138">
        <v>1233193191</v>
      </c>
      <c r="F138" t="s">
        <v>560</v>
      </c>
      <c r="G138" t="s">
        <v>343</v>
      </c>
      <c r="H138" t="s">
        <v>559</v>
      </c>
      <c r="I138" s="8" t="s">
        <v>291</v>
      </c>
    </row>
    <row r="139" spans="1:9" x14ac:dyDescent="0.25">
      <c r="A139" s="5">
        <v>45957</v>
      </c>
      <c r="B139">
        <v>2025002472</v>
      </c>
      <c r="C139" t="s">
        <v>561</v>
      </c>
      <c r="D139" s="10">
        <v>3150000</v>
      </c>
      <c r="E139">
        <v>1085247449</v>
      </c>
      <c r="F139" t="s">
        <v>562</v>
      </c>
      <c r="G139" t="s">
        <v>343</v>
      </c>
      <c r="H139" t="s">
        <v>561</v>
      </c>
      <c r="I139" s="8" t="s">
        <v>291</v>
      </c>
    </row>
    <row r="140" spans="1:9" x14ac:dyDescent="0.25">
      <c r="A140" s="5">
        <v>45957</v>
      </c>
      <c r="B140">
        <v>2025002473</v>
      </c>
      <c r="C140" t="s">
        <v>563</v>
      </c>
      <c r="D140" s="10">
        <v>3150000</v>
      </c>
      <c r="E140">
        <v>1004547484</v>
      </c>
      <c r="F140" t="s">
        <v>564</v>
      </c>
      <c r="G140" t="s">
        <v>343</v>
      </c>
      <c r="H140" t="s">
        <v>563</v>
      </c>
      <c r="I140" s="8" t="s">
        <v>291</v>
      </c>
    </row>
    <row r="141" spans="1:9" x14ac:dyDescent="0.25">
      <c r="A141" s="5">
        <v>45957</v>
      </c>
      <c r="B141">
        <v>2025002474</v>
      </c>
      <c r="C141" t="s">
        <v>565</v>
      </c>
      <c r="D141" s="10">
        <v>3150000</v>
      </c>
      <c r="E141">
        <v>59313711</v>
      </c>
      <c r="F141" t="s">
        <v>566</v>
      </c>
      <c r="G141" t="s">
        <v>343</v>
      </c>
      <c r="H141" t="s">
        <v>565</v>
      </c>
      <c r="I141" s="8" t="s">
        <v>291</v>
      </c>
    </row>
    <row r="142" spans="1:9" x14ac:dyDescent="0.25">
      <c r="A142" s="5">
        <v>45957</v>
      </c>
      <c r="B142">
        <v>2025002476</v>
      </c>
      <c r="C142" t="s">
        <v>567</v>
      </c>
      <c r="D142" s="10">
        <v>7800000</v>
      </c>
      <c r="E142">
        <v>1085246871</v>
      </c>
      <c r="F142" t="s">
        <v>568</v>
      </c>
      <c r="G142" t="s">
        <v>343</v>
      </c>
      <c r="H142" t="s">
        <v>567</v>
      </c>
      <c r="I142" s="8" t="s">
        <v>291</v>
      </c>
    </row>
    <row r="143" spans="1:9" x14ac:dyDescent="0.25">
      <c r="A143" s="5">
        <v>45957</v>
      </c>
      <c r="B143">
        <v>2025002477</v>
      </c>
      <c r="C143" t="s">
        <v>569</v>
      </c>
      <c r="D143" s="10">
        <v>3150000</v>
      </c>
      <c r="E143">
        <v>1087645341</v>
      </c>
      <c r="F143" t="s">
        <v>570</v>
      </c>
      <c r="G143" t="s">
        <v>343</v>
      </c>
      <c r="H143" t="s">
        <v>569</v>
      </c>
      <c r="I143" s="8" t="s">
        <v>291</v>
      </c>
    </row>
    <row r="144" spans="1:9" x14ac:dyDescent="0.25">
      <c r="A144" s="5">
        <v>45957</v>
      </c>
      <c r="B144">
        <v>2025002478</v>
      </c>
      <c r="C144" t="s">
        <v>571</v>
      </c>
      <c r="D144" s="10">
        <v>4730000</v>
      </c>
      <c r="E144">
        <v>1085263018</v>
      </c>
      <c r="F144" t="s">
        <v>572</v>
      </c>
      <c r="G144" t="s">
        <v>343</v>
      </c>
      <c r="H144" t="s">
        <v>571</v>
      </c>
      <c r="I144" s="8" t="s">
        <v>291</v>
      </c>
    </row>
    <row r="145" spans="1:9" x14ac:dyDescent="0.25">
      <c r="A145" s="5">
        <v>45957</v>
      </c>
      <c r="B145">
        <v>2025002479</v>
      </c>
      <c r="C145" t="s">
        <v>573</v>
      </c>
      <c r="D145" s="10">
        <v>7800000</v>
      </c>
      <c r="E145">
        <v>1022426162</v>
      </c>
      <c r="F145" t="s">
        <v>574</v>
      </c>
      <c r="G145" t="s">
        <v>343</v>
      </c>
      <c r="H145" t="s">
        <v>573</v>
      </c>
      <c r="I145" s="8" t="s">
        <v>291</v>
      </c>
    </row>
    <row r="146" spans="1:9" x14ac:dyDescent="0.25">
      <c r="A146" s="5">
        <v>45957</v>
      </c>
      <c r="B146">
        <v>2025002480</v>
      </c>
      <c r="C146" t="s">
        <v>575</v>
      </c>
      <c r="D146" s="10">
        <v>6300000</v>
      </c>
      <c r="E146">
        <v>1084224761</v>
      </c>
      <c r="F146" t="s">
        <v>576</v>
      </c>
      <c r="G146" t="s">
        <v>343</v>
      </c>
      <c r="H146" t="s">
        <v>575</v>
      </c>
      <c r="I146" s="8" t="s">
        <v>291</v>
      </c>
    </row>
    <row r="147" spans="1:9" x14ac:dyDescent="0.25">
      <c r="A147" s="5">
        <v>45957</v>
      </c>
      <c r="B147">
        <v>2025002481</v>
      </c>
      <c r="C147" t="s">
        <v>577</v>
      </c>
      <c r="D147" s="10">
        <v>3150000</v>
      </c>
      <c r="E147">
        <v>1089291166</v>
      </c>
      <c r="F147" t="s">
        <v>578</v>
      </c>
      <c r="G147" t="s">
        <v>343</v>
      </c>
      <c r="H147" t="s">
        <v>577</v>
      </c>
      <c r="I147" s="8" t="s">
        <v>291</v>
      </c>
    </row>
    <row r="148" spans="1:9" x14ac:dyDescent="0.25">
      <c r="A148" s="5">
        <v>45959</v>
      </c>
      <c r="B148">
        <v>2025002500</v>
      </c>
      <c r="C148" t="s">
        <v>579</v>
      </c>
      <c r="D148" s="10">
        <v>3900000</v>
      </c>
      <c r="E148">
        <v>1144172704</v>
      </c>
      <c r="F148" t="s">
        <v>580</v>
      </c>
      <c r="G148" t="s">
        <v>343</v>
      </c>
      <c r="H148" t="s">
        <v>579</v>
      </c>
      <c r="I148" s="8" t="s">
        <v>291</v>
      </c>
    </row>
    <row r="149" spans="1:9" x14ac:dyDescent="0.25">
      <c r="A149" s="5">
        <v>45959</v>
      </c>
      <c r="B149">
        <v>2025002501</v>
      </c>
      <c r="C149" t="s">
        <v>581</v>
      </c>
      <c r="D149" s="10">
        <v>1575000</v>
      </c>
      <c r="E149">
        <v>1085315209</v>
      </c>
      <c r="F149" t="s">
        <v>582</v>
      </c>
      <c r="G149" t="s">
        <v>343</v>
      </c>
      <c r="H149" t="s">
        <v>581</v>
      </c>
      <c r="I149" s="8" t="s">
        <v>291</v>
      </c>
    </row>
    <row r="150" spans="1:9" x14ac:dyDescent="0.25">
      <c r="A150" s="5">
        <v>45959</v>
      </c>
      <c r="B150">
        <v>2025002502</v>
      </c>
      <c r="C150" t="s">
        <v>583</v>
      </c>
      <c r="D150" s="10">
        <v>1575000</v>
      </c>
      <c r="E150">
        <v>1004134014</v>
      </c>
      <c r="F150" t="s">
        <v>584</v>
      </c>
      <c r="G150" t="s">
        <v>343</v>
      </c>
      <c r="H150" t="s">
        <v>583</v>
      </c>
      <c r="I150" s="8" t="s">
        <v>291</v>
      </c>
    </row>
    <row r="151" spans="1:9" x14ac:dyDescent="0.25">
      <c r="A151" s="5">
        <v>45959</v>
      </c>
      <c r="B151">
        <v>2025002503</v>
      </c>
      <c r="C151" t="s">
        <v>585</v>
      </c>
      <c r="D151" s="10">
        <v>1575000</v>
      </c>
      <c r="E151">
        <v>1004508406</v>
      </c>
      <c r="F151" t="s">
        <v>586</v>
      </c>
      <c r="G151" t="s">
        <v>343</v>
      </c>
      <c r="H151" t="s">
        <v>585</v>
      </c>
      <c r="I151" s="8" t="s">
        <v>291</v>
      </c>
    </row>
    <row r="152" spans="1:9" x14ac:dyDescent="0.25">
      <c r="A152" s="5">
        <v>45959</v>
      </c>
      <c r="B152">
        <v>2025002504</v>
      </c>
      <c r="C152" t="s">
        <v>587</v>
      </c>
      <c r="D152" s="10">
        <v>1575000</v>
      </c>
      <c r="E152">
        <v>1081594639</v>
      </c>
      <c r="F152" t="s">
        <v>34</v>
      </c>
      <c r="G152" t="s">
        <v>343</v>
      </c>
      <c r="H152" t="s">
        <v>587</v>
      </c>
      <c r="I152" s="8" t="s">
        <v>291</v>
      </c>
    </row>
    <row r="153" spans="1:9" x14ac:dyDescent="0.25">
      <c r="A153" s="5">
        <v>45959</v>
      </c>
      <c r="B153">
        <v>2025002505</v>
      </c>
      <c r="C153" t="s">
        <v>588</v>
      </c>
      <c r="D153" s="10">
        <v>1575000</v>
      </c>
      <c r="E153">
        <v>1081592303</v>
      </c>
      <c r="F153" t="s">
        <v>46</v>
      </c>
      <c r="G153" t="s">
        <v>343</v>
      </c>
      <c r="H153" t="s">
        <v>588</v>
      </c>
      <c r="I153" s="8" t="s">
        <v>291</v>
      </c>
    </row>
    <row r="154" spans="1:9" x14ac:dyDescent="0.25">
      <c r="A154" s="5">
        <v>45959</v>
      </c>
      <c r="B154">
        <v>2025002506</v>
      </c>
      <c r="C154" t="s">
        <v>589</v>
      </c>
      <c r="D154" s="10">
        <v>6300000</v>
      </c>
      <c r="E154">
        <v>36757221</v>
      </c>
      <c r="F154" t="s">
        <v>136</v>
      </c>
      <c r="G154" t="s">
        <v>343</v>
      </c>
      <c r="H154" t="s">
        <v>589</v>
      </c>
      <c r="I154" s="8" t="s">
        <v>291</v>
      </c>
    </row>
    <row r="155" spans="1:9" x14ac:dyDescent="0.25">
      <c r="A155" s="5">
        <v>45959</v>
      </c>
      <c r="B155">
        <v>2025002507</v>
      </c>
      <c r="C155" t="s">
        <v>590</v>
      </c>
      <c r="D155" s="10">
        <v>4730000</v>
      </c>
      <c r="E155">
        <v>27087475</v>
      </c>
      <c r="F155" t="s">
        <v>96</v>
      </c>
      <c r="G155" t="s">
        <v>343</v>
      </c>
      <c r="H155" t="s">
        <v>590</v>
      </c>
      <c r="I155" s="8" t="s">
        <v>291</v>
      </c>
    </row>
    <row r="156" spans="1:9" x14ac:dyDescent="0.25">
      <c r="A156" s="5">
        <v>45959</v>
      </c>
      <c r="B156">
        <v>2025002508</v>
      </c>
      <c r="C156" t="s">
        <v>591</v>
      </c>
      <c r="D156" s="10">
        <v>4730000</v>
      </c>
      <c r="E156">
        <v>1085330309</v>
      </c>
      <c r="F156" t="s">
        <v>12</v>
      </c>
      <c r="G156" t="s">
        <v>343</v>
      </c>
      <c r="H156" t="s">
        <v>591</v>
      </c>
      <c r="I156" s="8" t="s">
        <v>291</v>
      </c>
    </row>
    <row r="157" spans="1:9" x14ac:dyDescent="0.25">
      <c r="A157" s="5">
        <v>45959</v>
      </c>
      <c r="B157">
        <v>2025002509</v>
      </c>
      <c r="C157" t="s">
        <v>592</v>
      </c>
      <c r="D157" s="10">
        <v>6300000</v>
      </c>
      <c r="E157">
        <v>1085283868</v>
      </c>
      <c r="F157" t="s">
        <v>72</v>
      </c>
      <c r="G157" t="s">
        <v>343</v>
      </c>
      <c r="H157" t="s">
        <v>592</v>
      </c>
      <c r="I157" s="8" t="s">
        <v>291</v>
      </c>
    </row>
    <row r="158" spans="1:9" x14ac:dyDescent="0.25">
      <c r="A158" s="5">
        <v>45960</v>
      </c>
      <c r="B158">
        <v>2025002517</v>
      </c>
      <c r="C158" t="s">
        <v>593</v>
      </c>
      <c r="D158" s="10">
        <v>3900000</v>
      </c>
      <c r="E158">
        <v>1085244624</v>
      </c>
      <c r="F158" t="s">
        <v>594</v>
      </c>
      <c r="G158" t="s">
        <v>343</v>
      </c>
      <c r="H158" t="s">
        <v>593</v>
      </c>
      <c r="I158" s="8" t="s">
        <v>291</v>
      </c>
    </row>
    <row r="159" spans="1:9" x14ac:dyDescent="0.25">
      <c r="A159" s="5">
        <v>45960</v>
      </c>
      <c r="B159">
        <v>2025002518</v>
      </c>
      <c r="C159" t="s">
        <v>595</v>
      </c>
      <c r="D159" s="10">
        <v>1575000</v>
      </c>
      <c r="E159">
        <v>37083086</v>
      </c>
      <c r="F159" t="s">
        <v>596</v>
      </c>
      <c r="G159" t="s">
        <v>343</v>
      </c>
      <c r="H159" t="s">
        <v>595</v>
      </c>
      <c r="I159" s="8" t="s">
        <v>291</v>
      </c>
    </row>
    <row r="160" spans="1:9" x14ac:dyDescent="0.25">
      <c r="A160" s="5">
        <v>45960</v>
      </c>
      <c r="B160">
        <v>2025002519</v>
      </c>
      <c r="C160" t="s">
        <v>597</v>
      </c>
      <c r="D160" s="10">
        <v>7800000</v>
      </c>
      <c r="E160">
        <v>1088734182</v>
      </c>
      <c r="F160" t="s">
        <v>598</v>
      </c>
      <c r="G160" t="s">
        <v>343</v>
      </c>
      <c r="H160" t="s">
        <v>597</v>
      </c>
      <c r="I160" s="8" t="s">
        <v>291</v>
      </c>
    </row>
    <row r="161" spans="1:9" x14ac:dyDescent="0.25">
      <c r="A161" s="5">
        <v>45960</v>
      </c>
      <c r="B161">
        <v>2025002521</v>
      </c>
      <c r="C161" t="s">
        <v>599</v>
      </c>
      <c r="D161" s="10">
        <v>3150000</v>
      </c>
      <c r="E161">
        <v>1087960258</v>
      </c>
      <c r="F161" t="s">
        <v>600</v>
      </c>
      <c r="G161" t="s">
        <v>343</v>
      </c>
      <c r="H161" t="s">
        <v>599</v>
      </c>
      <c r="I161" s="8" t="s">
        <v>291</v>
      </c>
    </row>
    <row r="162" spans="1:9" x14ac:dyDescent="0.25">
      <c r="A162" s="5">
        <v>45960</v>
      </c>
      <c r="B162">
        <v>2025002522</v>
      </c>
      <c r="C162" t="s">
        <v>601</v>
      </c>
      <c r="D162" s="10">
        <v>1575000</v>
      </c>
      <c r="E162">
        <v>1004709928</v>
      </c>
      <c r="F162" t="s">
        <v>602</v>
      </c>
      <c r="G162" t="s">
        <v>343</v>
      </c>
      <c r="H162" t="s">
        <v>601</v>
      </c>
      <c r="I162" s="8" t="s">
        <v>291</v>
      </c>
    </row>
    <row r="163" spans="1:9" x14ac:dyDescent="0.25">
      <c r="A163" s="5">
        <v>45960</v>
      </c>
      <c r="B163">
        <v>2025002524</v>
      </c>
      <c r="C163" t="s">
        <v>603</v>
      </c>
      <c r="D163" s="10">
        <v>3150000</v>
      </c>
      <c r="E163">
        <v>1004543161</v>
      </c>
      <c r="F163" t="s">
        <v>604</v>
      </c>
      <c r="G163" t="s">
        <v>343</v>
      </c>
      <c r="H163" t="s">
        <v>603</v>
      </c>
      <c r="I163" s="8" t="s">
        <v>291</v>
      </c>
    </row>
    <row r="164" spans="1:9" x14ac:dyDescent="0.25">
      <c r="A164" s="5">
        <v>45960</v>
      </c>
      <c r="B164">
        <v>2025002526</v>
      </c>
      <c r="C164" t="s">
        <v>605</v>
      </c>
      <c r="D164" s="10">
        <v>1575000</v>
      </c>
      <c r="E164">
        <v>1004437571</v>
      </c>
      <c r="F164" t="s">
        <v>606</v>
      </c>
      <c r="G164" t="s">
        <v>343</v>
      </c>
      <c r="H164" t="s">
        <v>605</v>
      </c>
      <c r="I164" s="8" t="s">
        <v>291</v>
      </c>
    </row>
    <row r="165" spans="1:9" x14ac:dyDescent="0.25">
      <c r="A165" s="5">
        <v>45960</v>
      </c>
      <c r="B165">
        <v>2025002527</v>
      </c>
      <c r="C165" t="s">
        <v>607</v>
      </c>
      <c r="D165" s="10">
        <v>1575000</v>
      </c>
      <c r="E165">
        <v>1005977438</v>
      </c>
      <c r="F165" t="s">
        <v>608</v>
      </c>
      <c r="G165" t="s">
        <v>343</v>
      </c>
      <c r="H165" t="s">
        <v>607</v>
      </c>
      <c r="I165" s="8" t="s">
        <v>291</v>
      </c>
    </row>
    <row r="166" spans="1:9" x14ac:dyDescent="0.25">
      <c r="A166" s="5">
        <v>45960</v>
      </c>
      <c r="B166">
        <v>2025002528</v>
      </c>
      <c r="C166" t="s">
        <v>609</v>
      </c>
      <c r="D166" s="10">
        <v>4730000</v>
      </c>
      <c r="E166">
        <v>1085318201</v>
      </c>
      <c r="F166" t="s">
        <v>610</v>
      </c>
      <c r="G166" t="s">
        <v>343</v>
      </c>
      <c r="H166" t="s">
        <v>609</v>
      </c>
      <c r="I166" s="8" t="s">
        <v>291</v>
      </c>
    </row>
    <row r="167" spans="1:9" x14ac:dyDescent="0.25">
      <c r="A167" s="5">
        <v>45960</v>
      </c>
      <c r="B167">
        <v>2025002529</v>
      </c>
      <c r="C167" t="s">
        <v>611</v>
      </c>
      <c r="D167" s="10">
        <v>1575000</v>
      </c>
      <c r="E167">
        <v>1004726621</v>
      </c>
      <c r="F167" t="s">
        <v>612</v>
      </c>
      <c r="G167" t="s">
        <v>343</v>
      </c>
      <c r="H167" t="s">
        <v>611</v>
      </c>
      <c r="I167" s="8" t="s">
        <v>291</v>
      </c>
    </row>
    <row r="168" spans="1:9" x14ac:dyDescent="0.25">
      <c r="A168" s="5">
        <v>45960</v>
      </c>
      <c r="B168">
        <v>2025002530</v>
      </c>
      <c r="C168" t="s">
        <v>613</v>
      </c>
      <c r="D168" s="10">
        <v>3900000</v>
      </c>
      <c r="E168">
        <v>1110594073</v>
      </c>
      <c r="F168" t="s">
        <v>614</v>
      </c>
      <c r="G168" t="s">
        <v>343</v>
      </c>
      <c r="H168" t="s">
        <v>613</v>
      </c>
      <c r="I168" s="8" t="s">
        <v>291</v>
      </c>
    </row>
    <row r="169" spans="1:9" x14ac:dyDescent="0.25">
      <c r="A169" s="5">
        <v>45961</v>
      </c>
      <c r="B169">
        <v>2025002535</v>
      </c>
      <c r="C169" t="s">
        <v>615</v>
      </c>
      <c r="D169" s="10">
        <v>72218841.359999999</v>
      </c>
      <c r="E169">
        <v>901329717</v>
      </c>
      <c r="F169" t="s">
        <v>616</v>
      </c>
      <c r="G169" t="s">
        <v>343</v>
      </c>
      <c r="H169" t="s">
        <v>615</v>
      </c>
      <c r="I169" s="8" t="s">
        <v>291</v>
      </c>
    </row>
    <row r="170" spans="1:9" x14ac:dyDescent="0.25">
      <c r="A170" s="5">
        <v>45965.400694444397</v>
      </c>
      <c r="B170" t="s">
        <v>617</v>
      </c>
      <c r="C170" t="s">
        <v>618</v>
      </c>
      <c r="D170" s="10">
        <v>4730000</v>
      </c>
      <c r="E170" s="11" t="s">
        <v>619</v>
      </c>
      <c r="F170" t="s">
        <v>320</v>
      </c>
      <c r="G170" t="s">
        <v>343</v>
      </c>
      <c r="H170" t="s">
        <v>618</v>
      </c>
      <c r="I170" s="8" t="s">
        <v>291</v>
      </c>
    </row>
    <row r="171" spans="1:9" x14ac:dyDescent="0.25">
      <c r="A171" s="5">
        <v>45967.729861111096</v>
      </c>
      <c r="B171" t="s">
        <v>620</v>
      </c>
      <c r="C171" t="s">
        <v>621</v>
      </c>
      <c r="D171" s="10">
        <v>3153000</v>
      </c>
      <c r="E171" s="11" t="s">
        <v>622</v>
      </c>
      <c r="F171" t="s">
        <v>623</v>
      </c>
      <c r="G171" t="s">
        <v>343</v>
      </c>
      <c r="H171" t="s">
        <v>621</v>
      </c>
      <c r="I171" s="8" t="s">
        <v>291</v>
      </c>
    </row>
    <row r="172" spans="1:9" x14ac:dyDescent="0.25">
      <c r="A172" s="5">
        <v>45972.429166666698</v>
      </c>
      <c r="B172" t="s">
        <v>624</v>
      </c>
      <c r="C172" t="s">
        <v>353</v>
      </c>
      <c r="D172" s="10">
        <v>150342500</v>
      </c>
      <c r="E172" s="11" t="s">
        <v>625</v>
      </c>
      <c r="F172" t="s">
        <v>26</v>
      </c>
      <c r="G172" t="s">
        <v>343</v>
      </c>
      <c r="H172" t="s">
        <v>353</v>
      </c>
      <c r="I172" s="8" t="s">
        <v>291</v>
      </c>
    </row>
    <row r="173" spans="1:9" x14ac:dyDescent="0.25">
      <c r="A173" s="5">
        <v>45973.394444444399</v>
      </c>
      <c r="B173" t="s">
        <v>626</v>
      </c>
      <c r="C173" t="s">
        <v>387</v>
      </c>
      <c r="D173" s="10">
        <v>6300000</v>
      </c>
      <c r="E173" s="11" t="s">
        <v>627</v>
      </c>
      <c r="F173" t="s">
        <v>28</v>
      </c>
      <c r="G173" t="s">
        <v>343</v>
      </c>
      <c r="H173" t="s">
        <v>387</v>
      </c>
      <c r="I173" s="8" t="s">
        <v>291</v>
      </c>
    </row>
    <row r="174" spans="1:9" x14ac:dyDescent="0.25">
      <c r="A174" s="5">
        <v>45973.397916666698</v>
      </c>
      <c r="B174" t="s">
        <v>628</v>
      </c>
      <c r="C174" t="s">
        <v>503</v>
      </c>
      <c r="D174" s="10">
        <v>4730000</v>
      </c>
      <c r="E174" s="11" t="s">
        <v>629</v>
      </c>
      <c r="F174" t="s">
        <v>504</v>
      </c>
      <c r="G174" t="s">
        <v>343</v>
      </c>
      <c r="H174" t="s">
        <v>503</v>
      </c>
      <c r="I174" s="8" t="s">
        <v>291</v>
      </c>
    </row>
    <row r="175" spans="1:9" x14ac:dyDescent="0.25">
      <c r="A175" s="5">
        <v>45973.4</v>
      </c>
      <c r="B175" t="s">
        <v>630</v>
      </c>
      <c r="C175" t="s">
        <v>456</v>
      </c>
      <c r="D175" s="10">
        <v>3150000</v>
      </c>
      <c r="E175" s="11" t="s">
        <v>631</v>
      </c>
      <c r="F175" t="s">
        <v>52</v>
      </c>
      <c r="G175" t="s">
        <v>343</v>
      </c>
      <c r="H175" t="s">
        <v>456</v>
      </c>
      <c r="I175" s="8" t="s">
        <v>291</v>
      </c>
    </row>
    <row r="176" spans="1:9" x14ac:dyDescent="0.25">
      <c r="A176" s="5">
        <v>45973.402777777803</v>
      </c>
      <c r="B176" t="s">
        <v>632</v>
      </c>
      <c r="C176" t="s">
        <v>455</v>
      </c>
      <c r="D176" s="10">
        <v>3150000</v>
      </c>
      <c r="E176" s="11" t="s">
        <v>633</v>
      </c>
      <c r="F176" t="s">
        <v>128</v>
      </c>
      <c r="G176" t="s">
        <v>343</v>
      </c>
      <c r="H176" t="s">
        <v>455</v>
      </c>
      <c r="I176" s="8" t="s">
        <v>291</v>
      </c>
    </row>
    <row r="177" spans="1:9" x14ac:dyDescent="0.25">
      <c r="A177" s="5">
        <v>45973.404861111099</v>
      </c>
      <c r="B177" t="s">
        <v>634</v>
      </c>
      <c r="C177" t="s">
        <v>552</v>
      </c>
      <c r="D177" s="10">
        <v>3150000</v>
      </c>
      <c r="E177" s="11" t="s">
        <v>635</v>
      </c>
      <c r="F177" t="s">
        <v>30</v>
      </c>
      <c r="G177" t="s">
        <v>343</v>
      </c>
      <c r="H177" t="s">
        <v>552</v>
      </c>
      <c r="I177" s="8" t="s">
        <v>291</v>
      </c>
    </row>
    <row r="178" spans="1:9" x14ac:dyDescent="0.25">
      <c r="A178" s="5">
        <v>45973.406944444403</v>
      </c>
      <c r="B178" t="s">
        <v>636</v>
      </c>
      <c r="C178" t="s">
        <v>467</v>
      </c>
      <c r="D178" s="10">
        <v>3150000</v>
      </c>
      <c r="E178" s="11" t="s">
        <v>637</v>
      </c>
      <c r="F178" t="s">
        <v>36</v>
      </c>
      <c r="G178" t="s">
        <v>343</v>
      </c>
      <c r="H178" t="s">
        <v>467</v>
      </c>
      <c r="I178" s="8" t="s">
        <v>291</v>
      </c>
    </row>
    <row r="179" spans="1:9" x14ac:dyDescent="0.25">
      <c r="A179" s="5">
        <v>45974.409722222197</v>
      </c>
      <c r="B179" t="s">
        <v>638</v>
      </c>
      <c r="C179" t="s">
        <v>390</v>
      </c>
      <c r="D179" s="10">
        <v>3150000</v>
      </c>
      <c r="E179" s="11" t="s">
        <v>639</v>
      </c>
      <c r="F179" t="s">
        <v>120</v>
      </c>
      <c r="G179" t="s">
        <v>343</v>
      </c>
      <c r="H179" t="s">
        <v>390</v>
      </c>
      <c r="I179" s="8" t="s">
        <v>291</v>
      </c>
    </row>
    <row r="180" spans="1:9" x14ac:dyDescent="0.25">
      <c r="A180" s="5">
        <v>45974.418055555601</v>
      </c>
      <c r="B180" t="s">
        <v>640</v>
      </c>
      <c r="C180" t="s">
        <v>367</v>
      </c>
      <c r="D180" s="10">
        <v>3150000</v>
      </c>
      <c r="E180" s="11" t="s">
        <v>641</v>
      </c>
      <c r="F180" t="s">
        <v>368</v>
      </c>
      <c r="G180" t="s">
        <v>343</v>
      </c>
      <c r="H180" t="s">
        <v>367</v>
      </c>
      <c r="I180" s="8" t="s">
        <v>291</v>
      </c>
    </row>
    <row r="181" spans="1:9" x14ac:dyDescent="0.25">
      <c r="A181" s="5">
        <v>45974.420833333301</v>
      </c>
      <c r="B181" t="s">
        <v>642</v>
      </c>
      <c r="C181" t="s">
        <v>563</v>
      </c>
      <c r="D181" s="10">
        <v>3150000</v>
      </c>
      <c r="E181" s="11" t="s">
        <v>643</v>
      </c>
      <c r="F181" t="s">
        <v>564</v>
      </c>
      <c r="G181" t="s">
        <v>343</v>
      </c>
      <c r="H181" t="s">
        <v>563</v>
      </c>
      <c r="I181" s="8" t="s">
        <v>291</v>
      </c>
    </row>
    <row r="182" spans="1:9" x14ac:dyDescent="0.25">
      <c r="A182" s="5">
        <v>45974.422916666699</v>
      </c>
      <c r="B182" t="s">
        <v>644</v>
      </c>
      <c r="C182" t="s">
        <v>557</v>
      </c>
      <c r="D182" s="10">
        <v>4730000</v>
      </c>
      <c r="E182" s="11" t="s">
        <v>645</v>
      </c>
      <c r="F182" t="s">
        <v>558</v>
      </c>
      <c r="G182" t="s">
        <v>343</v>
      </c>
      <c r="H182" t="s">
        <v>557</v>
      </c>
      <c r="I182" s="8" t="s">
        <v>291</v>
      </c>
    </row>
    <row r="183" spans="1:9" x14ac:dyDescent="0.25">
      <c r="A183" s="5">
        <v>45974.427083333299</v>
      </c>
      <c r="B183" t="s">
        <v>646</v>
      </c>
      <c r="C183" t="s">
        <v>354</v>
      </c>
      <c r="D183" s="10">
        <v>6300000</v>
      </c>
      <c r="E183" s="11" t="s">
        <v>647</v>
      </c>
      <c r="F183" t="s">
        <v>355</v>
      </c>
      <c r="G183" t="s">
        <v>343</v>
      </c>
      <c r="H183" t="s">
        <v>354</v>
      </c>
      <c r="I183" s="8" t="s">
        <v>291</v>
      </c>
    </row>
    <row r="184" spans="1:9" x14ac:dyDescent="0.25">
      <c r="A184" s="5">
        <v>45974.431250000001</v>
      </c>
      <c r="B184" t="s">
        <v>648</v>
      </c>
      <c r="C184" t="s">
        <v>426</v>
      </c>
      <c r="D184" s="10">
        <v>7800000</v>
      </c>
      <c r="E184" s="11" t="s">
        <v>649</v>
      </c>
      <c r="F184" t="s">
        <v>427</v>
      </c>
      <c r="G184" t="s">
        <v>343</v>
      </c>
      <c r="H184" t="s">
        <v>426</v>
      </c>
      <c r="I184" s="8" t="s">
        <v>291</v>
      </c>
    </row>
    <row r="185" spans="1:9" x14ac:dyDescent="0.25">
      <c r="A185" s="5">
        <v>45974.433333333298</v>
      </c>
      <c r="B185" t="s">
        <v>650</v>
      </c>
      <c r="C185" t="s">
        <v>350</v>
      </c>
      <c r="D185" s="10">
        <v>6300000</v>
      </c>
      <c r="E185" s="11" t="s">
        <v>651</v>
      </c>
      <c r="F185" t="s">
        <v>84</v>
      </c>
      <c r="G185" t="s">
        <v>343</v>
      </c>
      <c r="H185" t="s">
        <v>350</v>
      </c>
      <c r="I185" s="8" t="s">
        <v>291</v>
      </c>
    </row>
    <row r="186" spans="1:9" x14ac:dyDescent="0.25">
      <c r="A186" s="5">
        <v>45974.435416666704</v>
      </c>
      <c r="B186" t="s">
        <v>652</v>
      </c>
      <c r="C186" t="s">
        <v>595</v>
      </c>
      <c r="D186" s="10">
        <v>3150000</v>
      </c>
      <c r="E186" s="11" t="s">
        <v>653</v>
      </c>
      <c r="F186" t="s">
        <v>596</v>
      </c>
      <c r="G186" t="s">
        <v>343</v>
      </c>
      <c r="H186" t="s">
        <v>595</v>
      </c>
      <c r="I186" s="8" t="s">
        <v>291</v>
      </c>
    </row>
    <row r="187" spans="1:9" x14ac:dyDescent="0.25">
      <c r="A187" s="5">
        <v>45974.4375</v>
      </c>
      <c r="B187" t="s">
        <v>654</v>
      </c>
      <c r="C187" t="s">
        <v>473</v>
      </c>
      <c r="D187" s="10">
        <v>3150000</v>
      </c>
      <c r="E187" s="11" t="s">
        <v>655</v>
      </c>
      <c r="F187" t="s">
        <v>474</v>
      </c>
      <c r="G187" t="s">
        <v>343</v>
      </c>
      <c r="H187" t="s">
        <v>473</v>
      </c>
      <c r="I187" s="8" t="s">
        <v>291</v>
      </c>
    </row>
    <row r="188" spans="1:9" x14ac:dyDescent="0.25">
      <c r="A188" s="5">
        <v>45974.443055555603</v>
      </c>
      <c r="B188" t="s">
        <v>656</v>
      </c>
      <c r="C188" t="s">
        <v>432</v>
      </c>
      <c r="D188" s="10">
        <v>4730000</v>
      </c>
      <c r="E188" s="11" t="s">
        <v>657</v>
      </c>
      <c r="F188" t="s">
        <v>433</v>
      </c>
      <c r="G188" t="s">
        <v>343</v>
      </c>
      <c r="H188" t="s">
        <v>432</v>
      </c>
      <c r="I188" s="8" t="s">
        <v>291</v>
      </c>
    </row>
    <row r="189" spans="1:9" x14ac:dyDescent="0.25">
      <c r="A189" s="5">
        <v>45974.447222222203</v>
      </c>
      <c r="B189" t="s">
        <v>658</v>
      </c>
      <c r="C189" t="s">
        <v>365</v>
      </c>
      <c r="D189" s="10">
        <v>3150000</v>
      </c>
      <c r="E189" s="11" t="s">
        <v>659</v>
      </c>
      <c r="F189" t="s">
        <v>366</v>
      </c>
      <c r="G189" t="s">
        <v>343</v>
      </c>
      <c r="H189" t="s">
        <v>365</v>
      </c>
      <c r="I189" s="8" t="s">
        <v>291</v>
      </c>
    </row>
    <row r="190" spans="1:9" x14ac:dyDescent="0.25">
      <c r="A190" s="5">
        <v>45974.451388888898</v>
      </c>
      <c r="B190" t="s">
        <v>660</v>
      </c>
      <c r="C190" t="s">
        <v>346</v>
      </c>
      <c r="D190" s="10">
        <v>3150000</v>
      </c>
      <c r="E190" s="11" t="s">
        <v>661</v>
      </c>
      <c r="F190" t="s">
        <v>347</v>
      </c>
      <c r="G190" t="s">
        <v>343</v>
      </c>
      <c r="H190" t="s">
        <v>346</v>
      </c>
      <c r="I190" s="8" t="s">
        <v>291</v>
      </c>
    </row>
    <row r="191" spans="1:9" x14ac:dyDescent="0.25">
      <c r="A191" s="5">
        <v>45974.457638888904</v>
      </c>
      <c r="B191" t="s">
        <v>662</v>
      </c>
      <c r="C191" t="s">
        <v>449</v>
      </c>
      <c r="D191" s="10">
        <v>7800000</v>
      </c>
      <c r="E191" s="11" t="s">
        <v>663</v>
      </c>
      <c r="F191" t="s">
        <v>450</v>
      </c>
      <c r="G191" t="s">
        <v>343</v>
      </c>
      <c r="H191" t="s">
        <v>449</v>
      </c>
      <c r="I191" s="8" t="s">
        <v>291</v>
      </c>
    </row>
    <row r="192" spans="1:9" x14ac:dyDescent="0.25">
      <c r="A192" s="5">
        <v>45979.377083333296</v>
      </c>
      <c r="B192" t="s">
        <v>664</v>
      </c>
      <c r="C192" t="s">
        <v>665</v>
      </c>
      <c r="D192" s="10">
        <v>4572333</v>
      </c>
      <c r="E192" s="11" t="s">
        <v>666</v>
      </c>
      <c r="F192" t="s">
        <v>667</v>
      </c>
      <c r="G192" t="s">
        <v>343</v>
      </c>
      <c r="H192" t="s">
        <v>665</v>
      </c>
      <c r="I192" s="8" t="s">
        <v>291</v>
      </c>
    </row>
    <row r="193" spans="1:9" x14ac:dyDescent="0.25">
      <c r="A193" s="5">
        <v>45979.381249999999</v>
      </c>
      <c r="B193" t="s">
        <v>668</v>
      </c>
      <c r="C193" t="s">
        <v>383</v>
      </c>
      <c r="D193" s="10">
        <v>3150000</v>
      </c>
      <c r="E193" s="11" t="s">
        <v>669</v>
      </c>
      <c r="F193" t="s">
        <v>186</v>
      </c>
      <c r="G193" t="s">
        <v>343</v>
      </c>
      <c r="H193" t="s">
        <v>383</v>
      </c>
      <c r="I193" s="8" t="s">
        <v>291</v>
      </c>
    </row>
    <row r="194" spans="1:9" x14ac:dyDescent="0.25">
      <c r="A194" s="5">
        <v>45979.386111111096</v>
      </c>
      <c r="B194" t="s">
        <v>670</v>
      </c>
      <c r="C194" t="s">
        <v>492</v>
      </c>
      <c r="D194" s="10">
        <v>4730000</v>
      </c>
      <c r="E194" s="11" t="s">
        <v>671</v>
      </c>
      <c r="F194" t="s">
        <v>493</v>
      </c>
      <c r="G194" t="s">
        <v>343</v>
      </c>
      <c r="H194" t="s">
        <v>492</v>
      </c>
      <c r="I194" s="8" t="s">
        <v>291</v>
      </c>
    </row>
    <row r="195" spans="1:9" x14ac:dyDescent="0.25">
      <c r="A195" s="5">
        <v>45979.390277777798</v>
      </c>
      <c r="B195" t="s">
        <v>672</v>
      </c>
      <c r="C195" t="s">
        <v>349</v>
      </c>
      <c r="D195" s="10">
        <v>3150000</v>
      </c>
      <c r="E195" s="11" t="s">
        <v>673</v>
      </c>
      <c r="F195" t="s">
        <v>154</v>
      </c>
      <c r="G195" t="s">
        <v>343</v>
      </c>
      <c r="H195" t="s">
        <v>349</v>
      </c>
      <c r="I195" s="8" t="s">
        <v>291</v>
      </c>
    </row>
    <row r="196" spans="1:9" x14ac:dyDescent="0.25">
      <c r="A196" s="5">
        <v>45979.392361111102</v>
      </c>
      <c r="B196" t="s">
        <v>674</v>
      </c>
      <c r="C196" t="s">
        <v>463</v>
      </c>
      <c r="D196" s="10">
        <v>3150000</v>
      </c>
      <c r="E196" s="11" t="s">
        <v>675</v>
      </c>
      <c r="F196" t="s">
        <v>464</v>
      </c>
      <c r="G196" t="s">
        <v>343</v>
      </c>
      <c r="H196" t="s">
        <v>463</v>
      </c>
      <c r="I196" s="8" t="s">
        <v>291</v>
      </c>
    </row>
    <row r="197" spans="1:9" x14ac:dyDescent="0.25">
      <c r="A197" s="5">
        <v>45979.395833333299</v>
      </c>
      <c r="B197" t="s">
        <v>676</v>
      </c>
      <c r="C197" t="s">
        <v>364</v>
      </c>
      <c r="D197" s="10">
        <v>3150000</v>
      </c>
      <c r="E197" s="11" t="s">
        <v>677</v>
      </c>
      <c r="F197" t="s">
        <v>90</v>
      </c>
      <c r="G197" t="s">
        <v>343</v>
      </c>
      <c r="H197" t="s">
        <v>364</v>
      </c>
      <c r="I197" s="8" t="s">
        <v>291</v>
      </c>
    </row>
    <row r="198" spans="1:9" x14ac:dyDescent="0.25">
      <c r="A198" s="5">
        <v>45979.397916666698</v>
      </c>
      <c r="B198" t="s">
        <v>678</v>
      </c>
      <c r="C198" t="s">
        <v>436</v>
      </c>
      <c r="D198" s="10">
        <v>4730000</v>
      </c>
      <c r="E198" s="11" t="s">
        <v>679</v>
      </c>
      <c r="F198" t="s">
        <v>92</v>
      </c>
      <c r="G198" t="s">
        <v>343</v>
      </c>
      <c r="H198" t="s">
        <v>436</v>
      </c>
      <c r="I198" s="8" t="s">
        <v>291</v>
      </c>
    </row>
    <row r="199" spans="1:9" x14ac:dyDescent="0.25">
      <c r="A199" s="5">
        <v>45979.401388888902</v>
      </c>
      <c r="B199" t="s">
        <v>680</v>
      </c>
      <c r="C199" t="s">
        <v>478</v>
      </c>
      <c r="D199" s="10">
        <v>3150000</v>
      </c>
      <c r="E199" s="11" t="s">
        <v>681</v>
      </c>
      <c r="F199" t="s">
        <v>232</v>
      </c>
      <c r="G199" t="s">
        <v>343</v>
      </c>
      <c r="H199" t="s">
        <v>478</v>
      </c>
      <c r="I199" s="8" t="s">
        <v>291</v>
      </c>
    </row>
    <row r="200" spans="1:9" x14ac:dyDescent="0.25">
      <c r="A200" s="5">
        <v>45979.403472222199</v>
      </c>
      <c r="B200" t="s">
        <v>682</v>
      </c>
      <c r="C200" t="s">
        <v>502</v>
      </c>
      <c r="D200" s="10">
        <v>6300000</v>
      </c>
      <c r="E200" s="11" t="s">
        <v>683</v>
      </c>
      <c r="F200" t="s">
        <v>212</v>
      </c>
      <c r="G200" t="s">
        <v>343</v>
      </c>
      <c r="H200" t="s">
        <v>502</v>
      </c>
      <c r="I200" s="8" t="s">
        <v>291</v>
      </c>
    </row>
    <row r="201" spans="1:9" x14ac:dyDescent="0.25">
      <c r="A201" s="5">
        <v>45979.405555555597</v>
      </c>
      <c r="B201" t="s">
        <v>684</v>
      </c>
      <c r="C201" t="s">
        <v>685</v>
      </c>
      <c r="D201" s="10">
        <v>36863960</v>
      </c>
      <c r="E201" s="11" t="s">
        <v>686</v>
      </c>
      <c r="F201" t="s">
        <v>218</v>
      </c>
      <c r="G201" t="s">
        <v>343</v>
      </c>
      <c r="H201" t="s">
        <v>685</v>
      </c>
      <c r="I201" s="8" t="s">
        <v>291</v>
      </c>
    </row>
    <row r="202" spans="1:9" x14ac:dyDescent="0.25">
      <c r="A202" s="5">
        <v>45980.470833333296</v>
      </c>
      <c r="B202" t="s">
        <v>687</v>
      </c>
      <c r="C202" t="s">
        <v>573</v>
      </c>
      <c r="D202" s="10">
        <v>7800000</v>
      </c>
      <c r="E202" s="11" t="s">
        <v>688</v>
      </c>
      <c r="F202" t="s">
        <v>574</v>
      </c>
      <c r="G202" t="s">
        <v>343</v>
      </c>
      <c r="H202" t="s">
        <v>573</v>
      </c>
      <c r="I202" s="8" t="s">
        <v>291</v>
      </c>
    </row>
    <row r="203" spans="1:9" x14ac:dyDescent="0.25">
      <c r="A203" s="5">
        <v>45980.474999999999</v>
      </c>
      <c r="B203" t="s">
        <v>689</v>
      </c>
      <c r="C203" t="s">
        <v>489</v>
      </c>
      <c r="D203" s="10">
        <v>4730000</v>
      </c>
      <c r="E203" s="11" t="s">
        <v>690</v>
      </c>
      <c r="F203" t="s">
        <v>490</v>
      </c>
      <c r="G203" t="s">
        <v>343</v>
      </c>
      <c r="H203" t="s">
        <v>489</v>
      </c>
      <c r="I203" s="8" t="s">
        <v>291</v>
      </c>
    </row>
    <row r="204" spans="1:9" x14ac:dyDescent="0.25">
      <c r="A204" s="5">
        <v>45980.476388888899</v>
      </c>
      <c r="B204" t="s">
        <v>691</v>
      </c>
      <c r="C204" t="s">
        <v>599</v>
      </c>
      <c r="D204" s="10">
        <v>3150000</v>
      </c>
      <c r="E204" s="11" t="s">
        <v>692</v>
      </c>
      <c r="F204" t="s">
        <v>600</v>
      </c>
      <c r="G204" t="s">
        <v>343</v>
      </c>
      <c r="H204" t="s">
        <v>599</v>
      </c>
      <c r="I204" s="8" t="s">
        <v>291</v>
      </c>
    </row>
    <row r="205" spans="1:9" x14ac:dyDescent="0.25">
      <c r="A205" s="5">
        <v>45980.479166666701</v>
      </c>
      <c r="B205" t="s">
        <v>693</v>
      </c>
      <c r="C205" t="s">
        <v>694</v>
      </c>
      <c r="D205" s="10">
        <v>2000000</v>
      </c>
      <c r="E205" s="11" t="s">
        <v>695</v>
      </c>
      <c r="F205" t="s">
        <v>696</v>
      </c>
      <c r="G205" t="s">
        <v>343</v>
      </c>
      <c r="H205" t="s">
        <v>694</v>
      </c>
      <c r="I205" s="8" t="s">
        <v>291</v>
      </c>
    </row>
    <row r="206" spans="1:9" x14ac:dyDescent="0.25">
      <c r="A206" s="5">
        <v>45980.4819444444</v>
      </c>
      <c r="B206" t="s">
        <v>697</v>
      </c>
      <c r="C206" t="s">
        <v>698</v>
      </c>
      <c r="D206" s="10">
        <v>3150000</v>
      </c>
      <c r="E206" s="11" t="s">
        <v>699</v>
      </c>
      <c r="F206" t="s">
        <v>220</v>
      </c>
      <c r="G206" t="s">
        <v>343</v>
      </c>
      <c r="H206" t="s">
        <v>698</v>
      </c>
      <c r="I206" s="8" t="s">
        <v>291</v>
      </c>
    </row>
    <row r="207" spans="1:9" x14ac:dyDescent="0.25">
      <c r="A207" s="5">
        <v>45980.484722222202</v>
      </c>
      <c r="B207" t="s">
        <v>700</v>
      </c>
      <c r="C207" t="s">
        <v>475</v>
      </c>
      <c r="D207" s="10">
        <v>7800000</v>
      </c>
      <c r="E207" s="11" t="s">
        <v>701</v>
      </c>
      <c r="F207" t="s">
        <v>216</v>
      </c>
      <c r="G207" t="s">
        <v>343</v>
      </c>
      <c r="H207" t="s">
        <v>475</v>
      </c>
      <c r="I207" s="8" t="s">
        <v>291</v>
      </c>
    </row>
    <row r="208" spans="1:9" x14ac:dyDescent="0.25">
      <c r="A208" s="5">
        <v>45980.487500000003</v>
      </c>
      <c r="B208" t="s">
        <v>702</v>
      </c>
      <c r="C208" t="s">
        <v>569</v>
      </c>
      <c r="D208" s="10">
        <v>1575000</v>
      </c>
      <c r="E208" s="11" t="s">
        <v>703</v>
      </c>
      <c r="F208" t="s">
        <v>570</v>
      </c>
      <c r="G208" t="s">
        <v>343</v>
      </c>
      <c r="H208" t="s">
        <v>569</v>
      </c>
      <c r="I208" s="8" t="s">
        <v>291</v>
      </c>
    </row>
    <row r="209" spans="1:9" x14ac:dyDescent="0.25">
      <c r="A209" s="5">
        <v>45980.490277777797</v>
      </c>
      <c r="B209" t="s">
        <v>704</v>
      </c>
      <c r="C209" t="s">
        <v>469</v>
      </c>
      <c r="D209" s="10">
        <v>4730000</v>
      </c>
      <c r="E209" s="11" t="s">
        <v>705</v>
      </c>
      <c r="F209" t="s">
        <v>470</v>
      </c>
      <c r="G209" t="s">
        <v>343</v>
      </c>
      <c r="H209" t="s">
        <v>469</v>
      </c>
      <c r="I209" s="8" t="s">
        <v>291</v>
      </c>
    </row>
    <row r="210" spans="1:9" x14ac:dyDescent="0.25">
      <c r="A210" s="5">
        <v>45980.492361111101</v>
      </c>
      <c r="B210" t="s">
        <v>706</v>
      </c>
      <c r="C210" t="s">
        <v>485</v>
      </c>
      <c r="D210" s="10">
        <v>6300000</v>
      </c>
      <c r="E210" s="11" t="s">
        <v>707</v>
      </c>
      <c r="F210" t="s">
        <v>486</v>
      </c>
      <c r="G210" t="s">
        <v>343</v>
      </c>
      <c r="H210" t="s">
        <v>485</v>
      </c>
      <c r="I210" s="8" t="s">
        <v>291</v>
      </c>
    </row>
    <row r="211" spans="1:9" x14ac:dyDescent="0.25">
      <c r="A211" s="5">
        <v>45980.586111111101</v>
      </c>
      <c r="B211" t="s">
        <v>708</v>
      </c>
      <c r="C211" t="s">
        <v>451</v>
      </c>
      <c r="D211" s="10">
        <v>4730000</v>
      </c>
      <c r="E211" s="11" t="s">
        <v>709</v>
      </c>
      <c r="F211" t="s">
        <v>452</v>
      </c>
      <c r="G211" t="s">
        <v>343</v>
      </c>
      <c r="H211" t="s">
        <v>451</v>
      </c>
      <c r="I211" s="8" t="s">
        <v>291</v>
      </c>
    </row>
    <row r="212" spans="1:9" x14ac:dyDescent="0.25">
      <c r="A212" s="5">
        <v>45980.668055555601</v>
      </c>
      <c r="B212" t="s">
        <v>710</v>
      </c>
      <c r="C212" t="s">
        <v>441</v>
      </c>
      <c r="D212" s="10">
        <v>7800000</v>
      </c>
      <c r="E212" s="11" t="s">
        <v>711</v>
      </c>
      <c r="F212" t="s">
        <v>172</v>
      </c>
      <c r="G212" t="s">
        <v>343</v>
      </c>
      <c r="H212" t="s">
        <v>441</v>
      </c>
      <c r="I212" s="8" t="s">
        <v>291</v>
      </c>
    </row>
    <row r="213" spans="1:9" x14ac:dyDescent="0.25">
      <c r="A213" s="5">
        <v>45980.673611111102</v>
      </c>
      <c r="B213" t="s">
        <v>712</v>
      </c>
      <c r="C213" t="s">
        <v>481</v>
      </c>
      <c r="D213" s="10">
        <v>3150000</v>
      </c>
      <c r="E213" s="11" t="s">
        <v>713</v>
      </c>
      <c r="F213" t="s">
        <v>482</v>
      </c>
      <c r="G213" t="s">
        <v>343</v>
      </c>
      <c r="H213" t="s">
        <v>481</v>
      </c>
      <c r="I213" s="8" t="s">
        <v>291</v>
      </c>
    </row>
    <row r="214" spans="1:9" x14ac:dyDescent="0.25">
      <c r="A214" s="5">
        <v>45980.676388888904</v>
      </c>
      <c r="B214" t="s">
        <v>714</v>
      </c>
      <c r="C214" t="s">
        <v>565</v>
      </c>
      <c r="D214" s="10">
        <v>3150000</v>
      </c>
      <c r="E214" s="11" t="s">
        <v>715</v>
      </c>
      <c r="F214" t="s">
        <v>566</v>
      </c>
      <c r="G214" t="s">
        <v>343</v>
      </c>
      <c r="H214" t="s">
        <v>565</v>
      </c>
      <c r="I214" s="8" t="s">
        <v>291</v>
      </c>
    </row>
    <row r="215" spans="1:9" x14ac:dyDescent="0.25">
      <c r="A215" s="5">
        <v>45980.681250000001</v>
      </c>
      <c r="B215" t="s">
        <v>716</v>
      </c>
      <c r="C215" t="s">
        <v>446</v>
      </c>
      <c r="D215" s="10">
        <v>7800000</v>
      </c>
      <c r="E215" s="11" t="s">
        <v>717</v>
      </c>
      <c r="F215" t="s">
        <v>60</v>
      </c>
      <c r="G215" t="s">
        <v>343</v>
      </c>
      <c r="H215" t="s">
        <v>446</v>
      </c>
      <c r="I215" s="8" t="s">
        <v>291</v>
      </c>
    </row>
    <row r="216" spans="1:9" x14ac:dyDescent="0.25">
      <c r="A216" s="5">
        <v>45980.684722222199</v>
      </c>
      <c r="B216" t="s">
        <v>718</v>
      </c>
      <c r="C216" t="s">
        <v>348</v>
      </c>
      <c r="D216" s="10">
        <v>3150000</v>
      </c>
      <c r="E216" s="11" t="s">
        <v>719</v>
      </c>
      <c r="F216" t="s">
        <v>110</v>
      </c>
      <c r="G216" t="s">
        <v>343</v>
      </c>
      <c r="H216" t="s">
        <v>348</v>
      </c>
      <c r="I216" s="8" t="s">
        <v>291</v>
      </c>
    </row>
    <row r="217" spans="1:9" x14ac:dyDescent="0.25">
      <c r="A217" s="5">
        <v>45980.686805555597</v>
      </c>
      <c r="B217" t="s">
        <v>720</v>
      </c>
      <c r="C217" t="s">
        <v>362</v>
      </c>
      <c r="D217" s="10">
        <v>6300000</v>
      </c>
      <c r="E217" s="11" t="s">
        <v>721</v>
      </c>
      <c r="F217" t="s">
        <v>363</v>
      </c>
      <c r="G217" t="s">
        <v>343</v>
      </c>
      <c r="H217" t="s">
        <v>362</v>
      </c>
      <c r="I217" s="8" t="s">
        <v>291</v>
      </c>
    </row>
    <row r="218" spans="1:9" x14ac:dyDescent="0.25">
      <c r="A218" s="5">
        <v>45980.688888888901</v>
      </c>
      <c r="B218" t="s">
        <v>722</v>
      </c>
      <c r="C218" t="s">
        <v>431</v>
      </c>
      <c r="D218" s="10">
        <v>3150000</v>
      </c>
      <c r="E218" s="11" t="s">
        <v>723</v>
      </c>
      <c r="F218" t="s">
        <v>164</v>
      </c>
      <c r="G218" t="s">
        <v>343</v>
      </c>
      <c r="H218" t="s">
        <v>431</v>
      </c>
      <c r="I218" s="8" t="s">
        <v>291</v>
      </c>
    </row>
    <row r="219" spans="1:9" x14ac:dyDescent="0.25">
      <c r="A219" s="5">
        <v>45980.691666666702</v>
      </c>
      <c r="B219" t="s">
        <v>724</v>
      </c>
      <c r="C219" t="s">
        <v>479</v>
      </c>
      <c r="D219" s="10">
        <v>3150000</v>
      </c>
      <c r="E219" s="11" t="s">
        <v>725</v>
      </c>
      <c r="F219" t="s">
        <v>480</v>
      </c>
      <c r="G219" t="s">
        <v>343</v>
      </c>
      <c r="H219" t="s">
        <v>479</v>
      </c>
      <c r="I219" s="8" t="s">
        <v>291</v>
      </c>
    </row>
    <row r="220" spans="1:9" x14ac:dyDescent="0.25">
      <c r="A220" s="5">
        <v>45980.7409722222</v>
      </c>
      <c r="B220" t="s">
        <v>726</v>
      </c>
      <c r="C220" t="s">
        <v>549</v>
      </c>
      <c r="D220" s="10">
        <v>3150000</v>
      </c>
      <c r="E220" s="11" t="s">
        <v>727</v>
      </c>
      <c r="F220" t="s">
        <v>78</v>
      </c>
      <c r="G220" t="s">
        <v>343</v>
      </c>
      <c r="H220" t="s">
        <v>549</v>
      </c>
      <c r="I220" s="8" t="s">
        <v>291</v>
      </c>
    </row>
    <row r="221" spans="1:9" x14ac:dyDescent="0.25">
      <c r="A221" s="5">
        <v>45981.306944444397</v>
      </c>
      <c r="B221" t="s">
        <v>728</v>
      </c>
      <c r="C221" t="s">
        <v>538</v>
      </c>
      <c r="D221" s="10">
        <v>7800000</v>
      </c>
      <c r="E221" s="11" t="s">
        <v>729</v>
      </c>
      <c r="F221" t="s">
        <v>539</v>
      </c>
      <c r="G221" t="s">
        <v>343</v>
      </c>
      <c r="H221" t="s">
        <v>538</v>
      </c>
      <c r="I221" s="8" t="s">
        <v>291</v>
      </c>
    </row>
    <row r="222" spans="1:9" x14ac:dyDescent="0.25">
      <c r="A222" s="5">
        <v>45981.311111111099</v>
      </c>
      <c r="B222" t="s">
        <v>730</v>
      </c>
      <c r="C222" t="s">
        <v>541</v>
      </c>
      <c r="D222" s="10">
        <v>4730000</v>
      </c>
      <c r="E222" s="11" t="s">
        <v>731</v>
      </c>
      <c r="F222" t="s">
        <v>542</v>
      </c>
      <c r="G222" t="s">
        <v>343</v>
      </c>
      <c r="H222" t="s">
        <v>541</v>
      </c>
      <c r="I222" s="8" t="s">
        <v>291</v>
      </c>
    </row>
    <row r="223" spans="1:9" x14ac:dyDescent="0.25">
      <c r="A223" s="5">
        <v>45981.313194444403</v>
      </c>
      <c r="B223" t="s">
        <v>732</v>
      </c>
      <c r="C223" t="s">
        <v>397</v>
      </c>
      <c r="D223" s="10">
        <v>3150000</v>
      </c>
      <c r="E223" s="11" t="s">
        <v>733</v>
      </c>
      <c r="F223" t="s">
        <v>122</v>
      </c>
      <c r="G223" t="s">
        <v>343</v>
      </c>
      <c r="H223" t="s">
        <v>397</v>
      </c>
      <c r="I223" s="8" t="s">
        <v>291</v>
      </c>
    </row>
    <row r="224" spans="1:9" x14ac:dyDescent="0.25">
      <c r="A224" s="5">
        <v>45981.320138888899</v>
      </c>
      <c r="B224" t="s">
        <v>734</v>
      </c>
      <c r="C224" t="s">
        <v>518</v>
      </c>
      <c r="D224" s="10">
        <v>6300000</v>
      </c>
      <c r="E224" s="11" t="s">
        <v>735</v>
      </c>
      <c r="F224" t="s">
        <v>156</v>
      </c>
      <c r="G224" t="s">
        <v>343</v>
      </c>
      <c r="H224" t="s">
        <v>518</v>
      </c>
      <c r="I224" s="8" t="s">
        <v>291</v>
      </c>
    </row>
    <row r="225" spans="1:9" x14ac:dyDescent="0.25">
      <c r="A225" s="5">
        <v>45981.329166666699</v>
      </c>
      <c r="B225" t="s">
        <v>736</v>
      </c>
      <c r="C225" t="s">
        <v>398</v>
      </c>
      <c r="D225" s="10">
        <v>7800000</v>
      </c>
      <c r="E225" s="11" t="s">
        <v>737</v>
      </c>
      <c r="F225" t="s">
        <v>399</v>
      </c>
      <c r="G225" t="s">
        <v>343</v>
      </c>
      <c r="H225" t="s">
        <v>398</v>
      </c>
      <c r="I225" s="8" t="s">
        <v>291</v>
      </c>
    </row>
    <row r="226" spans="1:9" x14ac:dyDescent="0.25">
      <c r="A226" s="5">
        <v>45981.331944444399</v>
      </c>
      <c r="B226" t="s">
        <v>738</v>
      </c>
      <c r="C226" t="s">
        <v>527</v>
      </c>
      <c r="D226" s="10">
        <v>7800000</v>
      </c>
      <c r="E226" s="11" t="s">
        <v>739</v>
      </c>
      <c r="F226" t="s">
        <v>528</v>
      </c>
      <c r="G226" t="s">
        <v>343</v>
      </c>
      <c r="H226" t="s">
        <v>527</v>
      </c>
      <c r="I226" s="8" t="s">
        <v>291</v>
      </c>
    </row>
    <row r="227" spans="1:9" x14ac:dyDescent="0.25">
      <c r="A227" s="5">
        <v>45981.335416666698</v>
      </c>
      <c r="B227" t="s">
        <v>740</v>
      </c>
      <c r="C227" t="s">
        <v>417</v>
      </c>
      <c r="D227" s="10">
        <v>3150000</v>
      </c>
      <c r="E227" s="11" t="s">
        <v>741</v>
      </c>
      <c r="F227" t="s">
        <v>418</v>
      </c>
      <c r="G227" t="s">
        <v>343</v>
      </c>
      <c r="H227" t="s">
        <v>417</v>
      </c>
      <c r="I227" s="8" t="s">
        <v>291</v>
      </c>
    </row>
    <row r="228" spans="1:9" x14ac:dyDescent="0.25">
      <c r="A228" s="5">
        <v>45981.337500000001</v>
      </c>
      <c r="B228" t="s">
        <v>742</v>
      </c>
      <c r="C228" t="s">
        <v>395</v>
      </c>
      <c r="D228" s="10">
        <v>3150000</v>
      </c>
      <c r="E228" s="11" t="s">
        <v>743</v>
      </c>
      <c r="F228" t="s">
        <v>130</v>
      </c>
      <c r="G228" t="s">
        <v>343</v>
      </c>
      <c r="H228" t="s">
        <v>395</v>
      </c>
      <c r="I228" s="8" t="s">
        <v>291</v>
      </c>
    </row>
    <row r="229" spans="1:9" x14ac:dyDescent="0.25">
      <c r="A229" s="5">
        <v>45981.342361111099</v>
      </c>
      <c r="B229" t="s">
        <v>744</v>
      </c>
      <c r="C229" t="s">
        <v>529</v>
      </c>
      <c r="D229" s="10">
        <v>6300000</v>
      </c>
      <c r="E229" s="11" t="s">
        <v>745</v>
      </c>
      <c r="F229" t="s">
        <v>20</v>
      </c>
      <c r="G229" t="s">
        <v>343</v>
      </c>
      <c r="H229" t="s">
        <v>529</v>
      </c>
      <c r="I229" s="8" t="s">
        <v>291</v>
      </c>
    </row>
    <row r="230" spans="1:9" x14ac:dyDescent="0.25">
      <c r="A230" s="5">
        <v>45981.345138888901</v>
      </c>
      <c r="B230" t="s">
        <v>746</v>
      </c>
      <c r="C230" t="s">
        <v>460</v>
      </c>
      <c r="D230" s="10">
        <v>7800000</v>
      </c>
      <c r="E230" s="11" t="s">
        <v>747</v>
      </c>
      <c r="F230" t="s">
        <v>62</v>
      </c>
      <c r="G230" t="s">
        <v>343</v>
      </c>
      <c r="H230" t="s">
        <v>460</v>
      </c>
      <c r="I230" s="8" t="s">
        <v>291</v>
      </c>
    </row>
    <row r="231" spans="1:9" x14ac:dyDescent="0.25">
      <c r="A231" s="5">
        <v>45981.347222222197</v>
      </c>
      <c r="B231" t="s">
        <v>748</v>
      </c>
      <c r="C231" t="s">
        <v>412</v>
      </c>
      <c r="D231" s="10">
        <v>3150000</v>
      </c>
      <c r="E231" s="11" t="s">
        <v>749</v>
      </c>
      <c r="F231" t="s">
        <v>413</v>
      </c>
      <c r="G231" t="s">
        <v>343</v>
      </c>
      <c r="H231" t="s">
        <v>412</v>
      </c>
      <c r="I231" s="8" t="s">
        <v>291</v>
      </c>
    </row>
    <row r="232" spans="1:9" x14ac:dyDescent="0.25">
      <c r="A232" s="5">
        <v>45981.359027777798</v>
      </c>
      <c r="B232" t="s">
        <v>750</v>
      </c>
      <c r="C232" t="s">
        <v>423</v>
      </c>
      <c r="D232" s="10">
        <v>3150000</v>
      </c>
      <c r="E232" s="11" t="s">
        <v>751</v>
      </c>
      <c r="F232" t="s">
        <v>68</v>
      </c>
      <c r="G232" t="s">
        <v>343</v>
      </c>
      <c r="H232" t="s">
        <v>423</v>
      </c>
      <c r="I232" s="8" t="s">
        <v>291</v>
      </c>
    </row>
    <row r="233" spans="1:9" x14ac:dyDescent="0.25">
      <c r="A233" s="5">
        <v>45981.376388888901</v>
      </c>
      <c r="B233" t="s">
        <v>752</v>
      </c>
      <c r="C233" t="s">
        <v>465</v>
      </c>
      <c r="D233" s="10">
        <v>3150000</v>
      </c>
      <c r="E233" s="11" t="s">
        <v>753</v>
      </c>
      <c r="F233" t="s">
        <v>466</v>
      </c>
      <c r="G233" t="s">
        <v>343</v>
      </c>
      <c r="H233" t="s">
        <v>465</v>
      </c>
      <c r="I233" s="8" t="s">
        <v>291</v>
      </c>
    </row>
    <row r="234" spans="1:9" x14ac:dyDescent="0.25">
      <c r="A234" s="5">
        <v>45981.399305555598</v>
      </c>
      <c r="B234" t="s">
        <v>754</v>
      </c>
      <c r="C234" t="s">
        <v>559</v>
      </c>
      <c r="D234" s="10">
        <v>3150000</v>
      </c>
      <c r="E234" s="11" t="s">
        <v>755</v>
      </c>
      <c r="F234" t="s">
        <v>560</v>
      </c>
      <c r="G234" t="s">
        <v>343</v>
      </c>
      <c r="H234" t="s">
        <v>559</v>
      </c>
      <c r="I234" s="8" t="s">
        <v>291</v>
      </c>
    </row>
    <row r="235" spans="1:9" x14ac:dyDescent="0.25">
      <c r="A235" s="5">
        <v>45981.388888888898</v>
      </c>
      <c r="B235" t="s">
        <v>756</v>
      </c>
      <c r="C235" t="s">
        <v>491</v>
      </c>
      <c r="D235" s="10">
        <v>3150000</v>
      </c>
      <c r="E235" s="11" t="s">
        <v>757</v>
      </c>
      <c r="F235" t="s">
        <v>257</v>
      </c>
      <c r="G235" t="s">
        <v>343</v>
      </c>
      <c r="H235" t="s">
        <v>491</v>
      </c>
      <c r="I235" s="8" t="s">
        <v>291</v>
      </c>
    </row>
    <row r="236" spans="1:9" x14ac:dyDescent="0.25">
      <c r="A236" s="5">
        <v>45981.390972222202</v>
      </c>
      <c r="B236" t="s">
        <v>758</v>
      </c>
      <c r="C236" t="s">
        <v>483</v>
      </c>
      <c r="D236" s="10">
        <v>3150000</v>
      </c>
      <c r="E236" s="11" t="s">
        <v>759</v>
      </c>
      <c r="F236" t="s">
        <v>484</v>
      </c>
      <c r="G236" t="s">
        <v>343</v>
      </c>
      <c r="H236" t="s">
        <v>483</v>
      </c>
      <c r="I236" s="8" t="s">
        <v>291</v>
      </c>
    </row>
    <row r="237" spans="1:9" x14ac:dyDescent="0.25">
      <c r="A237" s="5">
        <v>45981.3930555556</v>
      </c>
      <c r="B237" t="s">
        <v>760</v>
      </c>
      <c r="C237" t="s">
        <v>575</v>
      </c>
      <c r="D237" s="10">
        <v>6300000</v>
      </c>
      <c r="E237" s="11" t="s">
        <v>761</v>
      </c>
      <c r="F237" t="s">
        <v>576</v>
      </c>
      <c r="G237" t="s">
        <v>343</v>
      </c>
      <c r="H237" t="s">
        <v>575</v>
      </c>
      <c r="I237" s="8" t="s">
        <v>291</v>
      </c>
    </row>
    <row r="238" spans="1:9" x14ac:dyDescent="0.25">
      <c r="A238" s="5">
        <v>45981.395138888904</v>
      </c>
      <c r="B238" t="s">
        <v>762</v>
      </c>
      <c r="C238" t="s">
        <v>555</v>
      </c>
      <c r="D238" s="10">
        <v>3150000</v>
      </c>
      <c r="E238" s="11" t="s">
        <v>763</v>
      </c>
      <c r="F238" t="s">
        <v>556</v>
      </c>
      <c r="G238" t="s">
        <v>343</v>
      </c>
      <c r="H238" t="s">
        <v>555</v>
      </c>
      <c r="I238" s="8" t="s">
        <v>291</v>
      </c>
    </row>
    <row r="239" spans="1:9" x14ac:dyDescent="0.25">
      <c r="A239" s="5">
        <v>45981.396527777797</v>
      </c>
      <c r="B239" t="s">
        <v>764</v>
      </c>
      <c r="C239" t="s">
        <v>561</v>
      </c>
      <c r="D239" s="10">
        <v>3150000</v>
      </c>
      <c r="E239" s="11" t="s">
        <v>765</v>
      </c>
      <c r="F239" t="s">
        <v>562</v>
      </c>
      <c r="G239" t="s">
        <v>343</v>
      </c>
      <c r="H239" t="s">
        <v>561</v>
      </c>
      <c r="I239" s="8" t="s">
        <v>291</v>
      </c>
    </row>
    <row r="240" spans="1:9" x14ac:dyDescent="0.25">
      <c r="A240" s="5">
        <v>45981.398611111101</v>
      </c>
      <c r="B240" t="s">
        <v>766</v>
      </c>
      <c r="C240" t="s">
        <v>434</v>
      </c>
      <c r="D240" s="10">
        <v>6300000</v>
      </c>
      <c r="E240" s="11" t="s">
        <v>767</v>
      </c>
      <c r="F240" t="s">
        <v>435</v>
      </c>
      <c r="G240" t="s">
        <v>343</v>
      </c>
      <c r="H240" t="s">
        <v>434</v>
      </c>
      <c r="I240" s="8" t="s">
        <v>291</v>
      </c>
    </row>
    <row r="241" spans="1:9" x14ac:dyDescent="0.25">
      <c r="A241" s="5">
        <v>45981.402777777803</v>
      </c>
      <c r="B241" t="s">
        <v>768</v>
      </c>
      <c r="C241" t="s">
        <v>437</v>
      </c>
      <c r="D241" s="10">
        <v>7800000</v>
      </c>
      <c r="E241" s="11" t="s">
        <v>769</v>
      </c>
      <c r="F241" t="s">
        <v>438</v>
      </c>
      <c r="G241" t="s">
        <v>343</v>
      </c>
      <c r="H241" t="s">
        <v>437</v>
      </c>
      <c r="I241" s="8" t="s">
        <v>291</v>
      </c>
    </row>
    <row r="242" spans="1:9" x14ac:dyDescent="0.25">
      <c r="A242" s="5">
        <v>45981.405555555597</v>
      </c>
      <c r="B242" t="s">
        <v>770</v>
      </c>
      <c r="C242" t="s">
        <v>344</v>
      </c>
      <c r="D242" s="10">
        <v>3150000</v>
      </c>
      <c r="E242" s="11" t="s">
        <v>771</v>
      </c>
      <c r="F242" t="s">
        <v>345</v>
      </c>
      <c r="G242" t="s">
        <v>343</v>
      </c>
      <c r="H242" t="s">
        <v>344</v>
      </c>
      <c r="I242" s="8" t="s">
        <v>291</v>
      </c>
    </row>
    <row r="243" spans="1:9" x14ac:dyDescent="0.25">
      <c r="A243" s="5">
        <v>45981.407638888901</v>
      </c>
      <c r="B243" t="s">
        <v>772</v>
      </c>
      <c r="C243" t="s">
        <v>577</v>
      </c>
      <c r="D243" s="10">
        <v>3150000</v>
      </c>
      <c r="E243" s="11" t="s">
        <v>773</v>
      </c>
      <c r="F243" t="s">
        <v>578</v>
      </c>
      <c r="G243" t="s">
        <v>343</v>
      </c>
      <c r="H243" t="s">
        <v>577</v>
      </c>
      <c r="I243" s="8" t="s">
        <v>291</v>
      </c>
    </row>
    <row r="244" spans="1:9" x14ac:dyDescent="0.25">
      <c r="A244" s="5">
        <v>45981.411111111098</v>
      </c>
      <c r="B244" t="s">
        <v>774</v>
      </c>
      <c r="C244" t="s">
        <v>471</v>
      </c>
      <c r="D244" s="10">
        <v>7800000</v>
      </c>
      <c r="E244" s="11" t="s">
        <v>775</v>
      </c>
      <c r="F244" t="s">
        <v>472</v>
      </c>
      <c r="G244" t="s">
        <v>343</v>
      </c>
      <c r="H244" t="s">
        <v>471</v>
      </c>
      <c r="I244" s="8" t="s">
        <v>291</v>
      </c>
    </row>
    <row r="245" spans="1:9" x14ac:dyDescent="0.25">
      <c r="A245" s="5">
        <v>45981.413194444402</v>
      </c>
      <c r="B245" t="s">
        <v>776</v>
      </c>
      <c r="C245" t="s">
        <v>359</v>
      </c>
      <c r="D245" s="10">
        <v>6300000</v>
      </c>
      <c r="E245" s="11" t="s">
        <v>777</v>
      </c>
      <c r="F245" t="s">
        <v>134</v>
      </c>
      <c r="G245" t="s">
        <v>343</v>
      </c>
      <c r="H245" t="s">
        <v>359</v>
      </c>
      <c r="I245" s="8" t="s">
        <v>291</v>
      </c>
    </row>
    <row r="246" spans="1:9" x14ac:dyDescent="0.25">
      <c r="A246" s="5">
        <v>45981.4152777778</v>
      </c>
      <c r="B246" t="s">
        <v>778</v>
      </c>
      <c r="C246" t="s">
        <v>444</v>
      </c>
      <c r="D246" s="10">
        <v>6300000</v>
      </c>
      <c r="E246" s="11" t="s">
        <v>779</v>
      </c>
      <c r="F246" t="s">
        <v>445</v>
      </c>
      <c r="G246" t="s">
        <v>343</v>
      </c>
      <c r="H246" t="s">
        <v>444</v>
      </c>
      <c r="I246" s="8" t="s">
        <v>291</v>
      </c>
    </row>
    <row r="247" spans="1:9" x14ac:dyDescent="0.25">
      <c r="A247" s="5">
        <v>45981.418749999997</v>
      </c>
      <c r="B247" t="s">
        <v>780</v>
      </c>
      <c r="C247" t="s">
        <v>402</v>
      </c>
      <c r="D247" s="10">
        <v>7800000</v>
      </c>
      <c r="E247" s="11" t="s">
        <v>781</v>
      </c>
      <c r="F247" t="s">
        <v>403</v>
      </c>
      <c r="G247" t="s">
        <v>343</v>
      </c>
      <c r="H247" t="s">
        <v>402</v>
      </c>
      <c r="I247" s="8" t="s">
        <v>291</v>
      </c>
    </row>
    <row r="248" spans="1:9" x14ac:dyDescent="0.25">
      <c r="A248" s="5">
        <v>45981.422222222202</v>
      </c>
      <c r="B248" t="s">
        <v>782</v>
      </c>
      <c r="C248" t="s">
        <v>404</v>
      </c>
      <c r="D248" s="10">
        <v>7800000</v>
      </c>
      <c r="E248" s="11" t="s">
        <v>783</v>
      </c>
      <c r="F248" t="s">
        <v>405</v>
      </c>
      <c r="G248" t="s">
        <v>343</v>
      </c>
      <c r="H248" t="s">
        <v>404</v>
      </c>
      <c r="I248" s="8" t="s">
        <v>291</v>
      </c>
    </row>
    <row r="249" spans="1:9" x14ac:dyDescent="0.25">
      <c r="A249" s="5">
        <v>45981.425694444399</v>
      </c>
      <c r="B249" t="s">
        <v>784</v>
      </c>
      <c r="C249" t="s">
        <v>400</v>
      </c>
      <c r="D249" s="10">
        <v>7800000</v>
      </c>
      <c r="E249" s="11" t="s">
        <v>785</v>
      </c>
      <c r="F249" t="s">
        <v>401</v>
      </c>
      <c r="G249" t="s">
        <v>343</v>
      </c>
      <c r="H249" t="s">
        <v>400</v>
      </c>
      <c r="I249" s="8" t="s">
        <v>291</v>
      </c>
    </row>
    <row r="250" spans="1:9" x14ac:dyDescent="0.25">
      <c r="A250" s="5">
        <v>45981.435416666704</v>
      </c>
      <c r="B250" t="s">
        <v>786</v>
      </c>
      <c r="C250" t="s">
        <v>613</v>
      </c>
      <c r="D250" s="10">
        <v>7800000</v>
      </c>
      <c r="E250" s="11" t="s">
        <v>787</v>
      </c>
      <c r="F250" t="s">
        <v>614</v>
      </c>
      <c r="G250" t="s">
        <v>343</v>
      </c>
      <c r="H250" t="s">
        <v>613</v>
      </c>
      <c r="I250" s="8" t="s">
        <v>291</v>
      </c>
    </row>
    <row r="251" spans="1:9" x14ac:dyDescent="0.25">
      <c r="A251" s="5">
        <v>45988.729166666701</v>
      </c>
      <c r="B251" t="s">
        <v>788</v>
      </c>
      <c r="C251" t="s">
        <v>547</v>
      </c>
      <c r="D251" s="10">
        <v>6300000</v>
      </c>
      <c r="E251" s="11" t="s">
        <v>789</v>
      </c>
      <c r="F251" t="s">
        <v>548</v>
      </c>
      <c r="G251" t="s">
        <v>343</v>
      </c>
      <c r="H251" t="s">
        <v>547</v>
      </c>
      <c r="I251" s="8" t="s">
        <v>291</v>
      </c>
    </row>
    <row r="252" spans="1:9" x14ac:dyDescent="0.25">
      <c r="A252" s="5">
        <v>45981.463194444397</v>
      </c>
      <c r="B252" t="s">
        <v>790</v>
      </c>
      <c r="C252" t="s">
        <v>543</v>
      </c>
      <c r="D252" s="10">
        <v>3150000</v>
      </c>
      <c r="E252" s="11" t="s">
        <v>791</v>
      </c>
      <c r="F252" t="s">
        <v>544</v>
      </c>
      <c r="G252" t="s">
        <v>343</v>
      </c>
      <c r="H252" t="s">
        <v>543</v>
      </c>
      <c r="I252" s="8" t="s">
        <v>291</v>
      </c>
    </row>
    <row r="253" spans="1:9" x14ac:dyDescent="0.25">
      <c r="A253" s="5">
        <v>45981.465277777803</v>
      </c>
      <c r="B253" t="s">
        <v>792</v>
      </c>
      <c r="C253" t="s">
        <v>520</v>
      </c>
      <c r="D253" s="10">
        <v>6300000</v>
      </c>
      <c r="E253" s="11" t="s">
        <v>793</v>
      </c>
      <c r="F253" t="s">
        <v>108</v>
      </c>
      <c r="G253" t="s">
        <v>343</v>
      </c>
      <c r="H253" t="s">
        <v>520</v>
      </c>
      <c r="I253" s="8" t="s">
        <v>291</v>
      </c>
    </row>
    <row r="254" spans="1:9" x14ac:dyDescent="0.25">
      <c r="A254" s="5">
        <v>45981.670138888898</v>
      </c>
      <c r="B254" t="s">
        <v>794</v>
      </c>
      <c r="C254" t="s">
        <v>382</v>
      </c>
      <c r="D254" s="10">
        <v>4730000</v>
      </c>
      <c r="E254" s="11" t="s">
        <v>795</v>
      </c>
      <c r="F254" t="s">
        <v>48</v>
      </c>
      <c r="G254" t="s">
        <v>343</v>
      </c>
      <c r="H254" t="s">
        <v>382</v>
      </c>
      <c r="I254" s="8" t="s">
        <v>291</v>
      </c>
    </row>
    <row r="255" spans="1:9" x14ac:dyDescent="0.25">
      <c r="A255" s="5">
        <v>45981.672222222202</v>
      </c>
      <c r="B255" t="s">
        <v>796</v>
      </c>
      <c r="C255" t="s">
        <v>356</v>
      </c>
      <c r="D255" s="10">
        <v>3150000</v>
      </c>
      <c r="E255" s="11" t="s">
        <v>797</v>
      </c>
      <c r="F255" t="s">
        <v>100</v>
      </c>
      <c r="G255" t="s">
        <v>343</v>
      </c>
      <c r="H255" t="s">
        <v>356</v>
      </c>
      <c r="I255" s="8" t="s">
        <v>291</v>
      </c>
    </row>
    <row r="256" spans="1:9" x14ac:dyDescent="0.25">
      <c r="A256" s="5">
        <v>45981.6743055556</v>
      </c>
      <c r="B256" t="s">
        <v>798</v>
      </c>
      <c r="C256" t="s">
        <v>439</v>
      </c>
      <c r="D256" s="10">
        <v>3150000</v>
      </c>
      <c r="E256" s="11" t="s">
        <v>799</v>
      </c>
      <c r="F256" t="s">
        <v>440</v>
      </c>
      <c r="G256" t="s">
        <v>343</v>
      </c>
      <c r="H256" t="s">
        <v>439</v>
      </c>
      <c r="I256" s="8" t="s">
        <v>291</v>
      </c>
    </row>
    <row r="257" spans="1:9" x14ac:dyDescent="0.25">
      <c r="A257" s="5">
        <v>45981.677083333299</v>
      </c>
      <c r="B257" t="s">
        <v>800</v>
      </c>
      <c r="C257" t="s">
        <v>498</v>
      </c>
      <c r="D257" s="10">
        <v>3150000</v>
      </c>
      <c r="E257" s="11" t="s">
        <v>801</v>
      </c>
      <c r="F257" t="s">
        <v>499</v>
      </c>
      <c r="G257" t="s">
        <v>343</v>
      </c>
      <c r="H257" t="s">
        <v>498</v>
      </c>
      <c r="I257" s="8" t="s">
        <v>291</v>
      </c>
    </row>
    <row r="258" spans="1:9" x14ac:dyDescent="0.25">
      <c r="A258" s="5">
        <v>45982.411111111098</v>
      </c>
      <c r="B258" t="s">
        <v>802</v>
      </c>
      <c r="C258" t="s">
        <v>351</v>
      </c>
      <c r="D258" s="10">
        <v>4730000</v>
      </c>
      <c r="E258" s="11" t="s">
        <v>803</v>
      </c>
      <c r="F258" t="s">
        <v>352</v>
      </c>
      <c r="G258" t="s">
        <v>343</v>
      </c>
      <c r="H258" t="s">
        <v>351</v>
      </c>
      <c r="I258" s="8" t="s">
        <v>291</v>
      </c>
    </row>
    <row r="259" spans="1:9" x14ac:dyDescent="0.25">
      <c r="A259" s="5">
        <v>45982.413194444402</v>
      </c>
      <c r="B259" t="s">
        <v>804</v>
      </c>
      <c r="C259" t="s">
        <v>805</v>
      </c>
      <c r="D259" s="10">
        <v>2000000</v>
      </c>
      <c r="E259" s="11" t="s">
        <v>806</v>
      </c>
      <c r="F259" t="s">
        <v>807</v>
      </c>
      <c r="G259" t="s">
        <v>343</v>
      </c>
      <c r="H259" t="s">
        <v>805</v>
      </c>
      <c r="I259" s="8" t="s">
        <v>291</v>
      </c>
    </row>
    <row r="260" spans="1:9" x14ac:dyDescent="0.25">
      <c r="A260" s="5">
        <v>45982.416666666701</v>
      </c>
      <c r="B260" t="s">
        <v>808</v>
      </c>
      <c r="C260" t="s">
        <v>809</v>
      </c>
      <c r="D260" s="10">
        <v>2000000</v>
      </c>
      <c r="E260" s="11" t="s">
        <v>810</v>
      </c>
      <c r="F260" t="s">
        <v>811</v>
      </c>
      <c r="G260" t="s">
        <v>343</v>
      </c>
      <c r="H260" t="s">
        <v>809</v>
      </c>
      <c r="I260" s="8" t="s">
        <v>291</v>
      </c>
    </row>
    <row r="261" spans="1:9" x14ac:dyDescent="0.25">
      <c r="A261" s="5">
        <v>45982.418749999997</v>
      </c>
      <c r="B261" t="s">
        <v>812</v>
      </c>
      <c r="C261" t="s">
        <v>813</v>
      </c>
      <c r="D261" s="10">
        <v>2000000</v>
      </c>
      <c r="E261" s="11" t="s">
        <v>814</v>
      </c>
      <c r="F261" t="s">
        <v>815</v>
      </c>
      <c r="G261" t="s">
        <v>343</v>
      </c>
      <c r="H261" t="s">
        <v>813</v>
      </c>
      <c r="I261" s="8" t="s">
        <v>291</v>
      </c>
    </row>
    <row r="262" spans="1:9" x14ac:dyDescent="0.25">
      <c r="A262" s="5">
        <v>45982.421527777798</v>
      </c>
      <c r="B262" t="s">
        <v>816</v>
      </c>
      <c r="C262" t="s">
        <v>424</v>
      </c>
      <c r="D262" s="10">
        <v>3150000</v>
      </c>
      <c r="E262" s="11" t="s">
        <v>817</v>
      </c>
      <c r="F262" t="s">
        <v>425</v>
      </c>
      <c r="G262" t="s">
        <v>343</v>
      </c>
      <c r="H262" t="s">
        <v>424</v>
      </c>
      <c r="I262" s="8" t="s">
        <v>291</v>
      </c>
    </row>
    <row r="263" spans="1:9" x14ac:dyDescent="0.25">
      <c r="A263" s="5">
        <v>45982.425000000003</v>
      </c>
      <c r="B263" t="s">
        <v>818</v>
      </c>
      <c r="C263" t="s">
        <v>468</v>
      </c>
      <c r="D263" s="10">
        <v>7800000</v>
      </c>
      <c r="E263" s="11" t="s">
        <v>819</v>
      </c>
      <c r="F263" t="s">
        <v>16</v>
      </c>
      <c r="G263" t="s">
        <v>343</v>
      </c>
      <c r="H263" t="s">
        <v>468</v>
      </c>
      <c r="I263" s="8" t="s">
        <v>291</v>
      </c>
    </row>
    <row r="264" spans="1:9" x14ac:dyDescent="0.25">
      <c r="A264" s="5">
        <v>45982.427777777797</v>
      </c>
      <c r="B264" t="s">
        <v>820</v>
      </c>
      <c r="C264" t="s">
        <v>461</v>
      </c>
      <c r="D264" s="10">
        <v>6300000</v>
      </c>
      <c r="E264" s="11" t="s">
        <v>821</v>
      </c>
      <c r="F264" t="s">
        <v>462</v>
      </c>
      <c r="G264" t="s">
        <v>343</v>
      </c>
      <c r="H264" t="s">
        <v>461</v>
      </c>
      <c r="I264" s="8" t="s">
        <v>291</v>
      </c>
    </row>
    <row r="265" spans="1:9" x14ac:dyDescent="0.25">
      <c r="A265" s="5">
        <v>45982.429861111101</v>
      </c>
      <c r="B265" t="s">
        <v>822</v>
      </c>
      <c r="C265" t="s">
        <v>447</v>
      </c>
      <c r="D265" s="10">
        <v>4730000</v>
      </c>
      <c r="E265" s="11" t="s">
        <v>823</v>
      </c>
      <c r="F265" t="s">
        <v>448</v>
      </c>
      <c r="G265" t="s">
        <v>343</v>
      </c>
      <c r="H265" t="s">
        <v>447</v>
      </c>
      <c r="I265" s="8" t="s">
        <v>291</v>
      </c>
    </row>
    <row r="266" spans="1:9" x14ac:dyDescent="0.25">
      <c r="A266" s="5">
        <v>45982.432638888902</v>
      </c>
      <c r="B266" t="s">
        <v>824</v>
      </c>
      <c r="C266" t="s">
        <v>457</v>
      </c>
      <c r="D266" s="10">
        <v>4730000</v>
      </c>
      <c r="E266" s="11" t="s">
        <v>825</v>
      </c>
      <c r="F266" t="s">
        <v>458</v>
      </c>
      <c r="G266" t="s">
        <v>343</v>
      </c>
      <c r="H266" t="s">
        <v>457</v>
      </c>
      <c r="I266" s="8" t="s">
        <v>291</v>
      </c>
    </row>
    <row r="267" spans="1:9" x14ac:dyDescent="0.25">
      <c r="A267" s="5">
        <v>45982.435416666704</v>
      </c>
      <c r="B267" t="s">
        <v>826</v>
      </c>
      <c r="C267" t="s">
        <v>827</v>
      </c>
      <c r="D267" s="10">
        <v>2000000</v>
      </c>
      <c r="E267" s="11" t="s">
        <v>828</v>
      </c>
      <c r="F267" t="s">
        <v>202</v>
      </c>
      <c r="G267" t="s">
        <v>343</v>
      </c>
      <c r="H267" t="s">
        <v>827</v>
      </c>
      <c r="I267" s="8" t="s">
        <v>291</v>
      </c>
    </row>
    <row r="268" spans="1:9" x14ac:dyDescent="0.25">
      <c r="A268" s="5">
        <v>45982.438194444403</v>
      </c>
      <c r="B268" t="s">
        <v>829</v>
      </c>
      <c r="C268" t="s">
        <v>384</v>
      </c>
      <c r="D268" s="10">
        <v>3150000</v>
      </c>
      <c r="E268" s="11" t="s">
        <v>830</v>
      </c>
      <c r="F268" t="s">
        <v>385</v>
      </c>
      <c r="G268" t="s">
        <v>343</v>
      </c>
      <c r="H268" t="s">
        <v>384</v>
      </c>
      <c r="I268" s="8" t="s">
        <v>291</v>
      </c>
    </row>
    <row r="269" spans="1:9" x14ac:dyDescent="0.25">
      <c r="A269" s="5">
        <v>45982.440277777801</v>
      </c>
      <c r="B269" t="s">
        <v>831</v>
      </c>
      <c r="C269" t="s">
        <v>832</v>
      </c>
      <c r="D269" s="10">
        <v>3150000</v>
      </c>
      <c r="E269" s="11" t="s">
        <v>833</v>
      </c>
      <c r="F269" t="s">
        <v>834</v>
      </c>
      <c r="G269" t="s">
        <v>343</v>
      </c>
      <c r="H269" t="s">
        <v>832</v>
      </c>
      <c r="I269" s="8" t="s">
        <v>291</v>
      </c>
    </row>
    <row r="270" spans="1:9" x14ac:dyDescent="0.25">
      <c r="A270" s="5">
        <v>45982.442361111098</v>
      </c>
      <c r="B270" t="s">
        <v>835</v>
      </c>
      <c r="C270" t="s">
        <v>393</v>
      </c>
      <c r="D270" s="10">
        <v>3150000</v>
      </c>
      <c r="E270" s="11" t="s">
        <v>836</v>
      </c>
      <c r="F270" t="s">
        <v>394</v>
      </c>
      <c r="G270" t="s">
        <v>343</v>
      </c>
      <c r="H270" t="s">
        <v>393</v>
      </c>
      <c r="I270" s="8" t="s">
        <v>291</v>
      </c>
    </row>
    <row r="271" spans="1:9" x14ac:dyDescent="0.25">
      <c r="A271" s="5">
        <v>45982.444444444402</v>
      </c>
      <c r="B271" t="s">
        <v>837</v>
      </c>
      <c r="C271" t="s">
        <v>386</v>
      </c>
      <c r="D271" s="10">
        <v>3150000</v>
      </c>
      <c r="E271" s="11" t="s">
        <v>838</v>
      </c>
      <c r="F271" t="s">
        <v>238</v>
      </c>
      <c r="G271" t="s">
        <v>343</v>
      </c>
      <c r="H271" t="s">
        <v>386</v>
      </c>
      <c r="I271" s="8" t="s">
        <v>291</v>
      </c>
    </row>
    <row r="272" spans="1:9" x14ac:dyDescent="0.25">
      <c r="A272" s="5">
        <v>45982.476388888899</v>
      </c>
      <c r="B272" t="s">
        <v>839</v>
      </c>
      <c r="C272" t="s">
        <v>392</v>
      </c>
      <c r="D272" s="10">
        <v>3150000</v>
      </c>
      <c r="E272" s="11" t="s">
        <v>840</v>
      </c>
      <c r="F272" t="s">
        <v>138</v>
      </c>
      <c r="G272" t="s">
        <v>343</v>
      </c>
      <c r="H272" t="s">
        <v>392</v>
      </c>
      <c r="I272" s="8" t="s">
        <v>291</v>
      </c>
    </row>
    <row r="273" spans="1:9" x14ac:dyDescent="0.25">
      <c r="A273" s="5">
        <v>45982.479861111096</v>
      </c>
      <c r="B273" t="s">
        <v>841</v>
      </c>
      <c r="C273" t="s">
        <v>842</v>
      </c>
      <c r="D273" s="10">
        <v>2000000</v>
      </c>
      <c r="E273" s="11" t="s">
        <v>843</v>
      </c>
      <c r="F273" t="s">
        <v>844</v>
      </c>
      <c r="G273" t="s">
        <v>343</v>
      </c>
      <c r="H273" t="s">
        <v>842</v>
      </c>
      <c r="I273" s="8" t="s">
        <v>291</v>
      </c>
    </row>
    <row r="274" spans="1:9" x14ac:dyDescent="0.25">
      <c r="A274" s="5">
        <v>45982.483333333301</v>
      </c>
      <c r="B274" t="s">
        <v>845</v>
      </c>
      <c r="C274" t="s">
        <v>846</v>
      </c>
      <c r="D274" s="10">
        <v>1575000</v>
      </c>
      <c r="E274" s="11" t="s">
        <v>847</v>
      </c>
      <c r="F274" t="s">
        <v>848</v>
      </c>
      <c r="G274" t="s">
        <v>343</v>
      </c>
      <c r="H274" t="s">
        <v>846</v>
      </c>
      <c r="I274" s="8" t="s">
        <v>291</v>
      </c>
    </row>
    <row r="275" spans="1:9" x14ac:dyDescent="0.25">
      <c r="A275" s="5">
        <v>45982.586805555598</v>
      </c>
      <c r="B275" t="s">
        <v>849</v>
      </c>
      <c r="C275" t="s">
        <v>341</v>
      </c>
      <c r="D275" s="10">
        <v>3150000</v>
      </c>
      <c r="E275" s="11" t="s">
        <v>850</v>
      </c>
      <c r="F275" t="s">
        <v>342</v>
      </c>
      <c r="G275" t="s">
        <v>343</v>
      </c>
      <c r="H275" t="s">
        <v>341</v>
      </c>
      <c r="I275" s="8" t="s">
        <v>291</v>
      </c>
    </row>
    <row r="276" spans="1:9" x14ac:dyDescent="0.25">
      <c r="A276" s="5">
        <v>45982.609722222202</v>
      </c>
      <c r="B276" t="s">
        <v>851</v>
      </c>
      <c r="C276" t="s">
        <v>459</v>
      </c>
      <c r="D276" s="10">
        <v>7800000</v>
      </c>
      <c r="E276" s="11" t="s">
        <v>852</v>
      </c>
      <c r="F276" t="s">
        <v>32</v>
      </c>
      <c r="G276" t="s">
        <v>343</v>
      </c>
      <c r="H276" t="s">
        <v>459</v>
      </c>
      <c r="I276" s="8" t="s">
        <v>291</v>
      </c>
    </row>
    <row r="277" spans="1:9" x14ac:dyDescent="0.25">
      <c r="A277" s="5">
        <v>45985.488194444399</v>
      </c>
      <c r="B277" t="s">
        <v>853</v>
      </c>
      <c r="C277" t="s">
        <v>854</v>
      </c>
      <c r="D277" s="10">
        <v>1575000</v>
      </c>
      <c r="E277" s="11" t="s">
        <v>855</v>
      </c>
      <c r="F277" t="s">
        <v>856</v>
      </c>
      <c r="G277" t="s">
        <v>343</v>
      </c>
      <c r="H277" t="s">
        <v>854</v>
      </c>
      <c r="I277" s="8" t="s">
        <v>291</v>
      </c>
    </row>
    <row r="278" spans="1:9" x14ac:dyDescent="0.25">
      <c r="A278" s="5">
        <v>45986.337500000001</v>
      </c>
      <c r="B278" t="s">
        <v>857</v>
      </c>
      <c r="C278" t="s">
        <v>410</v>
      </c>
      <c r="D278" s="10">
        <v>3150000</v>
      </c>
      <c r="E278" s="11" t="s">
        <v>858</v>
      </c>
      <c r="F278" t="s">
        <v>411</v>
      </c>
      <c r="G278" t="s">
        <v>343</v>
      </c>
      <c r="H278" t="s">
        <v>410</v>
      </c>
      <c r="I278" s="8" t="s">
        <v>291</v>
      </c>
    </row>
    <row r="279" spans="1:9" x14ac:dyDescent="0.25">
      <c r="A279" s="5">
        <v>45986.356249999997</v>
      </c>
      <c r="B279" t="s">
        <v>859</v>
      </c>
      <c r="C279" t="s">
        <v>505</v>
      </c>
      <c r="D279" s="10">
        <v>6300000</v>
      </c>
      <c r="E279" s="11" t="s">
        <v>860</v>
      </c>
      <c r="F279" t="s">
        <v>112</v>
      </c>
      <c r="G279" t="s">
        <v>343</v>
      </c>
      <c r="H279" t="s">
        <v>505</v>
      </c>
      <c r="I279" s="8" t="s">
        <v>291</v>
      </c>
    </row>
    <row r="280" spans="1:9" x14ac:dyDescent="0.25">
      <c r="A280" s="5">
        <v>45986.360416666699</v>
      </c>
      <c r="B280" t="s">
        <v>861</v>
      </c>
      <c r="C280" t="s">
        <v>519</v>
      </c>
      <c r="D280" s="10">
        <v>3150000</v>
      </c>
      <c r="E280" s="11" t="s">
        <v>862</v>
      </c>
      <c r="F280" t="s">
        <v>54</v>
      </c>
      <c r="G280" t="s">
        <v>343</v>
      </c>
      <c r="H280" t="s">
        <v>519</v>
      </c>
      <c r="I280" s="8" t="s">
        <v>291</v>
      </c>
    </row>
    <row r="281" spans="1:9" x14ac:dyDescent="0.25">
      <c r="A281" s="5">
        <v>45986.372916666704</v>
      </c>
      <c r="B281" t="s">
        <v>863</v>
      </c>
      <c r="C281" t="s">
        <v>419</v>
      </c>
      <c r="D281" s="10">
        <v>4730000</v>
      </c>
      <c r="E281" s="11" t="s">
        <v>864</v>
      </c>
      <c r="F281" t="s">
        <v>420</v>
      </c>
      <c r="G281" t="s">
        <v>343</v>
      </c>
      <c r="H281" t="s">
        <v>419</v>
      </c>
      <c r="I281" s="8" t="s">
        <v>291</v>
      </c>
    </row>
    <row r="282" spans="1:9" x14ac:dyDescent="0.25">
      <c r="A282" s="5">
        <v>45986.378472222197</v>
      </c>
      <c r="B282" t="s">
        <v>865</v>
      </c>
      <c r="C282" t="s">
        <v>866</v>
      </c>
      <c r="D282" s="10">
        <v>1575000</v>
      </c>
      <c r="E282" s="11" t="s">
        <v>867</v>
      </c>
      <c r="F282" t="s">
        <v>868</v>
      </c>
      <c r="G282" t="s">
        <v>343</v>
      </c>
      <c r="H282" t="s">
        <v>866</v>
      </c>
      <c r="I282" s="8" t="s">
        <v>291</v>
      </c>
    </row>
    <row r="283" spans="1:9" x14ac:dyDescent="0.25">
      <c r="A283" s="5">
        <v>45986.381249999999</v>
      </c>
      <c r="B283" t="s">
        <v>869</v>
      </c>
      <c r="C283" t="s">
        <v>415</v>
      </c>
      <c r="D283" s="10">
        <v>3150000</v>
      </c>
      <c r="E283" s="11" t="s">
        <v>870</v>
      </c>
      <c r="F283" t="s">
        <v>416</v>
      </c>
      <c r="G283" t="s">
        <v>343</v>
      </c>
      <c r="H283" t="s">
        <v>415</v>
      </c>
      <c r="I283" s="8" t="s">
        <v>291</v>
      </c>
    </row>
    <row r="284" spans="1:9" x14ac:dyDescent="0.25">
      <c r="A284" s="5">
        <v>45986.384722222203</v>
      </c>
      <c r="B284" t="s">
        <v>871</v>
      </c>
      <c r="C284" t="s">
        <v>536</v>
      </c>
      <c r="D284" s="10">
        <v>3150000</v>
      </c>
      <c r="E284" s="11" t="s">
        <v>872</v>
      </c>
      <c r="F284" t="s">
        <v>537</v>
      </c>
      <c r="G284" t="s">
        <v>343</v>
      </c>
      <c r="H284" t="s">
        <v>536</v>
      </c>
      <c r="I284" s="8" t="s">
        <v>291</v>
      </c>
    </row>
    <row r="285" spans="1:9" x14ac:dyDescent="0.25">
      <c r="A285" s="5">
        <v>45986.387499999997</v>
      </c>
      <c r="B285" t="s">
        <v>873</v>
      </c>
      <c r="C285" t="s">
        <v>408</v>
      </c>
      <c r="D285" s="10">
        <v>3150000</v>
      </c>
      <c r="E285" s="11" t="s">
        <v>874</v>
      </c>
      <c r="F285" t="s">
        <v>409</v>
      </c>
      <c r="G285" t="s">
        <v>343</v>
      </c>
      <c r="H285" t="s">
        <v>408</v>
      </c>
      <c r="I285" s="8" t="s">
        <v>291</v>
      </c>
    </row>
    <row r="286" spans="1:9" x14ac:dyDescent="0.25">
      <c r="A286" s="5">
        <v>45986.389583333301</v>
      </c>
      <c r="B286" t="s">
        <v>875</v>
      </c>
      <c r="C286" t="s">
        <v>525</v>
      </c>
      <c r="D286" s="10">
        <v>4730000</v>
      </c>
      <c r="E286" s="11" t="s">
        <v>876</v>
      </c>
      <c r="F286" t="s">
        <v>526</v>
      </c>
      <c r="G286" t="s">
        <v>343</v>
      </c>
      <c r="H286" t="s">
        <v>525</v>
      </c>
      <c r="I286" s="8" t="s">
        <v>291</v>
      </c>
    </row>
    <row r="287" spans="1:9" x14ac:dyDescent="0.25">
      <c r="A287" s="5">
        <v>45986.399305555598</v>
      </c>
      <c r="B287" t="s">
        <v>877</v>
      </c>
      <c r="C287" t="s">
        <v>878</v>
      </c>
      <c r="D287" s="10">
        <v>6300000</v>
      </c>
      <c r="E287" s="11" t="s">
        <v>879</v>
      </c>
      <c r="F287" t="s">
        <v>279</v>
      </c>
      <c r="G287" t="s">
        <v>343</v>
      </c>
      <c r="H287" t="s">
        <v>878</v>
      </c>
      <c r="I287" s="8" t="s">
        <v>291</v>
      </c>
    </row>
    <row r="288" spans="1:9" x14ac:dyDescent="0.25">
      <c r="A288" s="5">
        <v>45986.402083333298</v>
      </c>
      <c r="B288" t="s">
        <v>880</v>
      </c>
      <c r="C288" t="s">
        <v>881</v>
      </c>
      <c r="D288" s="10">
        <v>2000000</v>
      </c>
      <c r="E288" s="11" t="s">
        <v>882</v>
      </c>
      <c r="F288" t="s">
        <v>883</v>
      </c>
      <c r="G288" t="s">
        <v>343</v>
      </c>
      <c r="H288" t="s">
        <v>881</v>
      </c>
      <c r="I288" s="8" t="s">
        <v>291</v>
      </c>
    </row>
    <row r="289" spans="1:9" x14ac:dyDescent="0.25">
      <c r="A289" s="5">
        <v>45986.407638888901</v>
      </c>
      <c r="B289" t="s">
        <v>884</v>
      </c>
      <c r="C289" t="s">
        <v>885</v>
      </c>
      <c r="D289" s="10">
        <v>2000000</v>
      </c>
      <c r="E289" s="11" t="s">
        <v>886</v>
      </c>
      <c r="F289" t="s">
        <v>887</v>
      </c>
      <c r="G289" t="s">
        <v>343</v>
      </c>
      <c r="H289" t="s">
        <v>885</v>
      </c>
      <c r="I289" s="8" t="s">
        <v>291</v>
      </c>
    </row>
    <row r="290" spans="1:9" x14ac:dyDescent="0.25">
      <c r="A290" s="5">
        <v>45986.410416666702</v>
      </c>
      <c r="B290" t="s">
        <v>888</v>
      </c>
      <c r="C290" t="s">
        <v>601</v>
      </c>
      <c r="D290" s="10">
        <v>3150000</v>
      </c>
      <c r="E290" s="11" t="s">
        <v>889</v>
      </c>
      <c r="F290" t="s">
        <v>602</v>
      </c>
      <c r="G290" t="s">
        <v>343</v>
      </c>
      <c r="H290" t="s">
        <v>601</v>
      </c>
      <c r="I290" s="8" t="s">
        <v>291</v>
      </c>
    </row>
    <row r="291" spans="1:9" x14ac:dyDescent="0.25">
      <c r="A291" s="5">
        <v>45987.337500000001</v>
      </c>
      <c r="B291" t="s">
        <v>890</v>
      </c>
      <c r="C291" t="s">
        <v>428</v>
      </c>
      <c r="D291" s="10">
        <v>3150000</v>
      </c>
      <c r="E291" s="11" t="s">
        <v>891</v>
      </c>
      <c r="F291" t="s">
        <v>196</v>
      </c>
      <c r="G291" t="s">
        <v>343</v>
      </c>
      <c r="H291" t="s">
        <v>428</v>
      </c>
      <c r="I291" s="8" t="s">
        <v>291</v>
      </c>
    </row>
    <row r="292" spans="1:9" x14ac:dyDescent="0.25">
      <c r="A292" s="5">
        <v>45986.427083333299</v>
      </c>
      <c r="B292" t="s">
        <v>892</v>
      </c>
      <c r="C292" t="s">
        <v>571</v>
      </c>
      <c r="D292" s="10">
        <v>4730000</v>
      </c>
      <c r="E292" s="11" t="s">
        <v>893</v>
      </c>
      <c r="F292" t="s">
        <v>572</v>
      </c>
      <c r="G292" t="s">
        <v>343</v>
      </c>
      <c r="H292" t="s">
        <v>571</v>
      </c>
      <c r="I292" s="8" t="s">
        <v>291</v>
      </c>
    </row>
    <row r="293" spans="1:9" x14ac:dyDescent="0.25">
      <c r="A293" s="5">
        <v>45986.452083333301</v>
      </c>
      <c r="B293" t="s">
        <v>894</v>
      </c>
      <c r="C293" t="s">
        <v>597</v>
      </c>
      <c r="D293" s="10">
        <v>7800000</v>
      </c>
      <c r="E293" s="11" t="s">
        <v>895</v>
      </c>
      <c r="F293" t="s">
        <v>598</v>
      </c>
      <c r="G293" t="s">
        <v>343</v>
      </c>
      <c r="H293" t="s">
        <v>597</v>
      </c>
      <c r="I293" s="8" t="s">
        <v>291</v>
      </c>
    </row>
    <row r="294" spans="1:9" x14ac:dyDescent="0.25">
      <c r="A294" s="5">
        <v>45986.454861111102</v>
      </c>
      <c r="B294" t="s">
        <v>896</v>
      </c>
      <c r="C294" t="s">
        <v>476</v>
      </c>
      <c r="D294" s="10">
        <v>3150000</v>
      </c>
      <c r="E294" s="11" t="s">
        <v>897</v>
      </c>
      <c r="F294" t="s">
        <v>477</v>
      </c>
      <c r="G294" t="s">
        <v>343</v>
      </c>
      <c r="H294" t="s">
        <v>476</v>
      </c>
      <c r="I294" s="8" t="s">
        <v>291</v>
      </c>
    </row>
    <row r="295" spans="1:9" x14ac:dyDescent="0.25">
      <c r="A295" s="5">
        <v>45986.457638888904</v>
      </c>
      <c r="B295" t="s">
        <v>898</v>
      </c>
      <c r="C295" t="s">
        <v>360</v>
      </c>
      <c r="D295" s="10">
        <v>1050000</v>
      </c>
      <c r="E295" s="11" t="s">
        <v>899</v>
      </c>
      <c r="F295" t="s">
        <v>361</v>
      </c>
      <c r="G295" t="s">
        <v>343</v>
      </c>
      <c r="H295" t="s">
        <v>360</v>
      </c>
      <c r="I295" s="8" t="s">
        <v>291</v>
      </c>
    </row>
    <row r="296" spans="1:9" x14ac:dyDescent="0.25">
      <c r="A296" s="5">
        <v>45986.461111111101</v>
      </c>
      <c r="B296" t="s">
        <v>900</v>
      </c>
      <c r="C296" t="s">
        <v>500</v>
      </c>
      <c r="D296" s="10">
        <v>3150000</v>
      </c>
      <c r="E296" s="11" t="s">
        <v>901</v>
      </c>
      <c r="F296" t="s">
        <v>501</v>
      </c>
      <c r="G296" t="s">
        <v>343</v>
      </c>
      <c r="H296" t="s">
        <v>500</v>
      </c>
      <c r="I296" s="8" t="s">
        <v>291</v>
      </c>
    </row>
    <row r="297" spans="1:9" x14ac:dyDescent="0.25">
      <c r="A297" s="5">
        <v>45986.46875</v>
      </c>
      <c r="B297" t="s">
        <v>902</v>
      </c>
      <c r="C297" t="s">
        <v>496</v>
      </c>
      <c r="D297" s="10">
        <v>3150000</v>
      </c>
      <c r="E297" s="11" t="s">
        <v>903</v>
      </c>
      <c r="F297" t="s">
        <v>497</v>
      </c>
      <c r="G297" t="s">
        <v>343</v>
      </c>
      <c r="H297" t="s">
        <v>496</v>
      </c>
      <c r="I297" s="8" t="s">
        <v>291</v>
      </c>
    </row>
    <row r="298" spans="1:9" x14ac:dyDescent="0.25">
      <c r="A298" s="5">
        <v>45986.613888888904</v>
      </c>
      <c r="B298" t="s">
        <v>904</v>
      </c>
      <c r="C298" t="s">
        <v>905</v>
      </c>
      <c r="D298" s="10">
        <v>3150000</v>
      </c>
      <c r="E298" s="11" t="s">
        <v>906</v>
      </c>
      <c r="F298" t="s">
        <v>907</v>
      </c>
      <c r="G298" t="s">
        <v>343</v>
      </c>
      <c r="H298" t="s">
        <v>905</v>
      </c>
      <c r="I298" s="8" t="s">
        <v>291</v>
      </c>
    </row>
    <row r="299" spans="1:9" x14ac:dyDescent="0.25">
      <c r="A299" s="5">
        <v>45986.617361111101</v>
      </c>
      <c r="B299" t="s">
        <v>908</v>
      </c>
      <c r="C299" t="s">
        <v>494</v>
      </c>
      <c r="D299" s="10">
        <v>3150000</v>
      </c>
      <c r="E299" s="11" t="s">
        <v>909</v>
      </c>
      <c r="F299" t="s">
        <v>495</v>
      </c>
      <c r="G299" t="s">
        <v>343</v>
      </c>
      <c r="H299" t="s">
        <v>494</v>
      </c>
      <c r="I299" s="8" t="s">
        <v>291</v>
      </c>
    </row>
    <row r="300" spans="1:9" x14ac:dyDescent="0.25">
      <c r="A300" s="5">
        <v>45986.618750000001</v>
      </c>
      <c r="B300" t="s">
        <v>910</v>
      </c>
      <c r="C300" t="s">
        <v>603</v>
      </c>
      <c r="D300" s="10">
        <v>3150000</v>
      </c>
      <c r="E300" s="11" t="s">
        <v>911</v>
      </c>
      <c r="F300" t="s">
        <v>604</v>
      </c>
      <c r="G300" t="s">
        <v>343</v>
      </c>
      <c r="H300" t="s">
        <v>603</v>
      </c>
      <c r="I300" s="8" t="s">
        <v>291</v>
      </c>
    </row>
    <row r="301" spans="1:9" x14ac:dyDescent="0.25">
      <c r="A301" s="5">
        <v>45986.686111111099</v>
      </c>
      <c r="B301" t="s">
        <v>912</v>
      </c>
      <c r="C301" t="s">
        <v>374</v>
      </c>
      <c r="D301" s="10">
        <v>6300000</v>
      </c>
      <c r="E301" s="11" t="s">
        <v>913</v>
      </c>
      <c r="F301" t="s">
        <v>178</v>
      </c>
      <c r="G301" t="s">
        <v>343</v>
      </c>
      <c r="H301" t="s">
        <v>374</v>
      </c>
      <c r="I301" s="8" t="s">
        <v>291</v>
      </c>
    </row>
    <row r="302" spans="1:9" x14ac:dyDescent="0.25">
      <c r="A302" s="5">
        <v>45986.688888888901</v>
      </c>
      <c r="B302" t="s">
        <v>914</v>
      </c>
      <c r="C302" t="s">
        <v>915</v>
      </c>
      <c r="D302" s="10">
        <v>2000000</v>
      </c>
      <c r="E302" s="11" t="s">
        <v>916</v>
      </c>
      <c r="F302" t="s">
        <v>94</v>
      </c>
      <c r="G302" t="s">
        <v>343</v>
      </c>
      <c r="H302" t="s">
        <v>915</v>
      </c>
      <c r="I302" s="8" t="s">
        <v>291</v>
      </c>
    </row>
    <row r="303" spans="1:9" x14ac:dyDescent="0.25">
      <c r="A303" s="5">
        <v>45986.690972222197</v>
      </c>
      <c r="B303" t="s">
        <v>917</v>
      </c>
      <c r="C303" t="s">
        <v>508</v>
      </c>
      <c r="D303" s="10">
        <v>7800000</v>
      </c>
      <c r="E303" s="11" t="s">
        <v>918</v>
      </c>
      <c r="F303" t="s">
        <v>58</v>
      </c>
      <c r="G303" t="s">
        <v>343</v>
      </c>
      <c r="H303" t="s">
        <v>508</v>
      </c>
      <c r="I303" s="8" t="s">
        <v>291</v>
      </c>
    </row>
    <row r="304" spans="1:9" x14ac:dyDescent="0.25">
      <c r="A304" s="5">
        <v>45986.697916666701</v>
      </c>
      <c r="B304" t="s">
        <v>919</v>
      </c>
      <c r="C304" t="s">
        <v>517</v>
      </c>
      <c r="D304" s="10">
        <v>7800000</v>
      </c>
      <c r="E304" s="11" t="s">
        <v>920</v>
      </c>
      <c r="F304" t="s">
        <v>287</v>
      </c>
      <c r="G304" t="s">
        <v>343</v>
      </c>
      <c r="H304" t="s">
        <v>517</v>
      </c>
      <c r="I304" s="8" t="s">
        <v>291</v>
      </c>
    </row>
    <row r="305" spans="1:9" x14ac:dyDescent="0.25">
      <c r="A305" s="5">
        <v>45986.702777777798</v>
      </c>
      <c r="B305" t="s">
        <v>921</v>
      </c>
      <c r="C305" t="s">
        <v>922</v>
      </c>
      <c r="D305" s="10">
        <v>7800000</v>
      </c>
      <c r="E305" s="11" t="s">
        <v>923</v>
      </c>
      <c r="F305" t="s">
        <v>924</v>
      </c>
      <c r="G305" t="s">
        <v>343</v>
      </c>
      <c r="H305" t="s">
        <v>922</v>
      </c>
      <c r="I305" s="8" t="s">
        <v>291</v>
      </c>
    </row>
    <row r="306" spans="1:9" x14ac:dyDescent="0.25">
      <c r="A306" s="5">
        <v>45986.7097222222</v>
      </c>
      <c r="B306" t="s">
        <v>925</v>
      </c>
      <c r="C306" t="s">
        <v>512</v>
      </c>
      <c r="D306" s="10">
        <v>7800000</v>
      </c>
      <c r="E306" s="11" t="s">
        <v>926</v>
      </c>
      <c r="F306" t="s">
        <v>158</v>
      </c>
      <c r="G306" t="s">
        <v>343</v>
      </c>
      <c r="H306" t="s">
        <v>512</v>
      </c>
      <c r="I306" s="8" t="s">
        <v>291</v>
      </c>
    </row>
    <row r="307" spans="1:9" x14ac:dyDescent="0.25">
      <c r="A307" s="5">
        <v>45986.714583333298</v>
      </c>
      <c r="B307" t="s">
        <v>927</v>
      </c>
      <c r="C307" t="s">
        <v>928</v>
      </c>
      <c r="D307" s="10">
        <v>2000000</v>
      </c>
      <c r="E307" s="11" t="s">
        <v>929</v>
      </c>
      <c r="F307" t="s">
        <v>930</v>
      </c>
      <c r="G307" t="s">
        <v>343</v>
      </c>
      <c r="H307" t="s">
        <v>928</v>
      </c>
      <c r="I307" s="8" t="s">
        <v>291</v>
      </c>
    </row>
    <row r="308" spans="1:9" x14ac:dyDescent="0.25">
      <c r="A308" s="5">
        <v>45986.716666666704</v>
      </c>
      <c r="B308" t="s">
        <v>931</v>
      </c>
      <c r="C308" t="s">
        <v>932</v>
      </c>
      <c r="D308" s="10">
        <v>3150000</v>
      </c>
      <c r="E308" s="11" t="s">
        <v>933</v>
      </c>
      <c r="F308" t="s">
        <v>934</v>
      </c>
      <c r="G308" t="s">
        <v>343</v>
      </c>
      <c r="H308" t="s">
        <v>932</v>
      </c>
      <c r="I308" s="8" t="s">
        <v>291</v>
      </c>
    </row>
    <row r="309" spans="1:9" x14ac:dyDescent="0.25">
      <c r="A309" s="5">
        <v>45986.719444444403</v>
      </c>
      <c r="B309" t="s">
        <v>935</v>
      </c>
      <c r="C309" t="s">
        <v>376</v>
      </c>
      <c r="D309" s="10">
        <v>3150000</v>
      </c>
      <c r="E309" s="11" t="s">
        <v>936</v>
      </c>
      <c r="F309" t="s">
        <v>377</v>
      </c>
      <c r="G309" t="s">
        <v>343</v>
      </c>
      <c r="H309" t="s">
        <v>376</v>
      </c>
      <c r="I309" s="8" t="s">
        <v>291</v>
      </c>
    </row>
    <row r="310" spans="1:9" x14ac:dyDescent="0.25">
      <c r="A310" s="5">
        <v>45986.721527777801</v>
      </c>
      <c r="B310" t="s">
        <v>937</v>
      </c>
      <c r="C310" t="s">
        <v>370</v>
      </c>
      <c r="D310" s="10">
        <v>3150000</v>
      </c>
      <c r="E310" s="11" t="s">
        <v>938</v>
      </c>
      <c r="F310" t="s">
        <v>371</v>
      </c>
      <c r="G310" t="s">
        <v>343</v>
      </c>
      <c r="H310" t="s">
        <v>370</v>
      </c>
      <c r="I310" s="8" t="s">
        <v>291</v>
      </c>
    </row>
    <row r="311" spans="1:9" x14ac:dyDescent="0.25">
      <c r="A311" s="5">
        <v>45986.725694444402</v>
      </c>
      <c r="B311" t="s">
        <v>939</v>
      </c>
      <c r="C311" t="s">
        <v>585</v>
      </c>
      <c r="D311" s="10">
        <v>3150000</v>
      </c>
      <c r="E311" s="11" t="s">
        <v>940</v>
      </c>
      <c r="F311" t="s">
        <v>586</v>
      </c>
      <c r="G311" t="s">
        <v>343</v>
      </c>
      <c r="H311" t="s">
        <v>585</v>
      </c>
      <c r="I311" s="8" t="s">
        <v>291</v>
      </c>
    </row>
    <row r="312" spans="1:9" x14ac:dyDescent="0.25">
      <c r="A312" s="5">
        <v>45986.727083333302</v>
      </c>
      <c r="B312" t="s">
        <v>941</v>
      </c>
      <c r="C312" t="s">
        <v>509</v>
      </c>
      <c r="D312" s="10">
        <v>3150000</v>
      </c>
      <c r="E312" s="11" t="s">
        <v>942</v>
      </c>
      <c r="F312" t="s">
        <v>510</v>
      </c>
      <c r="G312" t="s">
        <v>343</v>
      </c>
      <c r="H312" t="s">
        <v>509</v>
      </c>
      <c r="I312" s="8" t="s">
        <v>291</v>
      </c>
    </row>
    <row r="313" spans="1:9" x14ac:dyDescent="0.25">
      <c r="A313" s="5">
        <v>45986.731249999997</v>
      </c>
      <c r="B313" t="s">
        <v>943</v>
      </c>
      <c r="C313" t="s">
        <v>944</v>
      </c>
      <c r="D313" s="10">
        <v>2000000</v>
      </c>
      <c r="E313" s="11" t="s">
        <v>945</v>
      </c>
      <c r="F313" t="s">
        <v>946</v>
      </c>
      <c r="G313" t="s">
        <v>343</v>
      </c>
      <c r="H313" t="s">
        <v>944</v>
      </c>
      <c r="I313" s="8" t="s">
        <v>291</v>
      </c>
    </row>
    <row r="314" spans="1:9" x14ac:dyDescent="0.25">
      <c r="A314" s="5">
        <v>45986.733333333301</v>
      </c>
      <c r="B314" t="s">
        <v>947</v>
      </c>
      <c r="C314" t="s">
        <v>588</v>
      </c>
      <c r="D314" s="10">
        <v>3150000</v>
      </c>
      <c r="E314" s="11" t="s">
        <v>948</v>
      </c>
      <c r="F314" t="s">
        <v>46</v>
      </c>
      <c r="G314" t="s">
        <v>343</v>
      </c>
      <c r="H314" t="s">
        <v>588</v>
      </c>
      <c r="I314" s="8" t="s">
        <v>291</v>
      </c>
    </row>
    <row r="315" spans="1:9" x14ac:dyDescent="0.25">
      <c r="A315" s="5">
        <v>45986.734722222202</v>
      </c>
      <c r="B315" t="s">
        <v>949</v>
      </c>
      <c r="C315" t="s">
        <v>506</v>
      </c>
      <c r="D315" s="10">
        <v>6300000</v>
      </c>
      <c r="E315" s="11" t="s">
        <v>950</v>
      </c>
      <c r="F315" t="s">
        <v>507</v>
      </c>
      <c r="G315" t="s">
        <v>343</v>
      </c>
      <c r="H315" t="s">
        <v>506</v>
      </c>
      <c r="I315" s="8" t="s">
        <v>291</v>
      </c>
    </row>
    <row r="316" spans="1:9" x14ac:dyDescent="0.25">
      <c r="A316" s="5">
        <v>45986.736111111102</v>
      </c>
      <c r="B316" t="s">
        <v>951</v>
      </c>
      <c r="C316" t="s">
        <v>513</v>
      </c>
      <c r="D316" s="10">
        <v>6300000</v>
      </c>
      <c r="E316" s="11" t="s">
        <v>952</v>
      </c>
      <c r="F316" t="s">
        <v>140</v>
      </c>
      <c r="G316" t="s">
        <v>343</v>
      </c>
      <c r="H316" t="s">
        <v>513</v>
      </c>
      <c r="I316" s="8" t="s">
        <v>291</v>
      </c>
    </row>
    <row r="317" spans="1:9" x14ac:dyDescent="0.25">
      <c r="A317" s="5">
        <v>45987.356249999997</v>
      </c>
      <c r="B317" t="s">
        <v>953</v>
      </c>
      <c r="C317" t="s">
        <v>954</v>
      </c>
      <c r="D317" s="10">
        <v>6300000</v>
      </c>
      <c r="E317" s="11" t="s">
        <v>955</v>
      </c>
      <c r="F317" t="s">
        <v>210</v>
      </c>
      <c r="G317" t="s">
        <v>343</v>
      </c>
      <c r="H317" t="s">
        <v>954</v>
      </c>
      <c r="I317" s="8" t="s">
        <v>291</v>
      </c>
    </row>
    <row r="318" spans="1:9" x14ac:dyDescent="0.25">
      <c r="A318" s="5">
        <v>45987.365277777797</v>
      </c>
      <c r="B318" t="s">
        <v>956</v>
      </c>
      <c r="C318" t="s">
        <v>957</v>
      </c>
      <c r="D318" s="10">
        <v>2000000</v>
      </c>
      <c r="E318" s="11" t="s">
        <v>958</v>
      </c>
      <c r="F318" t="s">
        <v>959</v>
      </c>
      <c r="G318" t="s">
        <v>343</v>
      </c>
      <c r="H318" t="s">
        <v>957</v>
      </c>
      <c r="I318" s="8" t="s">
        <v>291</v>
      </c>
    </row>
    <row r="319" spans="1:9" x14ac:dyDescent="0.25">
      <c r="A319" s="5">
        <v>45987.368055555598</v>
      </c>
      <c r="B319" t="s">
        <v>960</v>
      </c>
      <c r="C319" t="s">
        <v>961</v>
      </c>
      <c r="D319" s="10">
        <v>1575000</v>
      </c>
      <c r="E319" s="11" t="s">
        <v>962</v>
      </c>
      <c r="F319" t="s">
        <v>963</v>
      </c>
      <c r="G319" t="s">
        <v>343</v>
      </c>
      <c r="H319" t="s">
        <v>961</v>
      </c>
      <c r="I319" s="8" t="s">
        <v>291</v>
      </c>
    </row>
    <row r="320" spans="1:9" x14ac:dyDescent="0.25">
      <c r="A320" s="5">
        <v>45987.372222222199</v>
      </c>
      <c r="B320" t="s">
        <v>964</v>
      </c>
      <c r="C320" t="s">
        <v>965</v>
      </c>
      <c r="D320" s="10">
        <v>4730000</v>
      </c>
      <c r="E320" s="11" t="s">
        <v>966</v>
      </c>
      <c r="F320" t="s">
        <v>967</v>
      </c>
      <c r="G320" t="s">
        <v>343</v>
      </c>
      <c r="H320" t="s">
        <v>965</v>
      </c>
      <c r="I320" s="8" t="s">
        <v>291</v>
      </c>
    </row>
    <row r="321" spans="1:9" x14ac:dyDescent="0.25">
      <c r="A321" s="5">
        <v>45987.375694444403</v>
      </c>
      <c r="B321" t="s">
        <v>968</v>
      </c>
      <c r="C321" t="s">
        <v>969</v>
      </c>
      <c r="D321" s="10">
        <v>3150000</v>
      </c>
      <c r="E321" s="11" t="s">
        <v>970</v>
      </c>
      <c r="F321" t="s">
        <v>971</v>
      </c>
      <c r="G321" t="s">
        <v>343</v>
      </c>
      <c r="H321" t="s">
        <v>969</v>
      </c>
      <c r="I321" s="8" t="s">
        <v>291</v>
      </c>
    </row>
    <row r="322" spans="1:9" x14ac:dyDescent="0.25">
      <c r="A322" s="5">
        <v>45987.377777777801</v>
      </c>
      <c r="B322" t="s">
        <v>972</v>
      </c>
      <c r="C322" t="s">
        <v>973</v>
      </c>
      <c r="D322" s="10">
        <v>3900000</v>
      </c>
      <c r="E322" s="11" t="s">
        <v>974</v>
      </c>
      <c r="F322" t="s">
        <v>975</v>
      </c>
      <c r="G322" t="s">
        <v>343</v>
      </c>
      <c r="H322" t="s">
        <v>973</v>
      </c>
      <c r="I322" s="8" t="s">
        <v>291</v>
      </c>
    </row>
    <row r="323" spans="1:9" x14ac:dyDescent="0.25">
      <c r="A323" s="5">
        <v>45987.385416666701</v>
      </c>
      <c r="B323" t="s">
        <v>976</v>
      </c>
      <c r="C323" t="s">
        <v>977</v>
      </c>
      <c r="D323" s="10">
        <v>3900000</v>
      </c>
      <c r="E323" s="11" t="s">
        <v>978</v>
      </c>
      <c r="F323" t="s">
        <v>979</v>
      </c>
      <c r="G323" t="s">
        <v>343</v>
      </c>
      <c r="H323" t="s">
        <v>977</v>
      </c>
      <c r="I323" s="8" t="s">
        <v>291</v>
      </c>
    </row>
    <row r="324" spans="1:9" x14ac:dyDescent="0.25">
      <c r="A324" s="5">
        <v>45987.3881944444</v>
      </c>
      <c r="B324" t="s">
        <v>980</v>
      </c>
      <c r="C324" t="s">
        <v>981</v>
      </c>
      <c r="D324" s="10">
        <v>1575000</v>
      </c>
      <c r="E324" s="11" t="s">
        <v>982</v>
      </c>
      <c r="F324" t="s">
        <v>983</v>
      </c>
      <c r="G324" t="s">
        <v>343</v>
      </c>
      <c r="H324" t="s">
        <v>981</v>
      </c>
      <c r="I324" s="8" t="s">
        <v>291</v>
      </c>
    </row>
    <row r="325" spans="1:9" x14ac:dyDescent="0.25">
      <c r="A325" s="5">
        <v>45987.392361111102</v>
      </c>
      <c r="B325" t="s">
        <v>984</v>
      </c>
      <c r="C325" t="s">
        <v>985</v>
      </c>
      <c r="D325" s="10">
        <v>1575000</v>
      </c>
      <c r="E325" s="11" t="s">
        <v>986</v>
      </c>
      <c r="F325" t="s">
        <v>987</v>
      </c>
      <c r="G325" t="s">
        <v>343</v>
      </c>
      <c r="H325" t="s">
        <v>985</v>
      </c>
      <c r="I325" s="8" t="s">
        <v>291</v>
      </c>
    </row>
    <row r="326" spans="1:9" x14ac:dyDescent="0.25">
      <c r="A326" s="5">
        <v>45987.397916666698</v>
      </c>
      <c r="B326" t="s">
        <v>988</v>
      </c>
      <c r="C326" t="s">
        <v>583</v>
      </c>
      <c r="D326" s="10">
        <v>3150000</v>
      </c>
      <c r="E326" s="11" t="s">
        <v>989</v>
      </c>
      <c r="F326" t="s">
        <v>584</v>
      </c>
      <c r="G326" t="s">
        <v>343</v>
      </c>
      <c r="H326" t="s">
        <v>583</v>
      </c>
      <c r="I326" s="8" t="s">
        <v>291</v>
      </c>
    </row>
    <row r="327" spans="1:9" x14ac:dyDescent="0.25">
      <c r="A327" s="5">
        <v>45987.402083333298</v>
      </c>
      <c r="B327" t="s">
        <v>990</v>
      </c>
      <c r="C327" t="s">
        <v>581</v>
      </c>
      <c r="D327" s="10">
        <v>3150000</v>
      </c>
      <c r="E327" s="11" t="s">
        <v>991</v>
      </c>
      <c r="F327" t="s">
        <v>582</v>
      </c>
      <c r="G327" t="s">
        <v>343</v>
      </c>
      <c r="H327" t="s">
        <v>581</v>
      </c>
      <c r="I327" s="8" t="s">
        <v>291</v>
      </c>
    </row>
    <row r="328" spans="1:9" x14ac:dyDescent="0.25">
      <c r="A328" s="5">
        <v>45987.406944444403</v>
      </c>
      <c r="B328" t="s">
        <v>992</v>
      </c>
      <c r="C328" t="s">
        <v>993</v>
      </c>
      <c r="D328" s="10">
        <v>3150000</v>
      </c>
      <c r="E328" s="11" t="s">
        <v>994</v>
      </c>
      <c r="F328" t="s">
        <v>995</v>
      </c>
      <c r="G328" t="s">
        <v>343</v>
      </c>
      <c r="H328" t="s">
        <v>993</v>
      </c>
      <c r="I328" s="8" t="s">
        <v>291</v>
      </c>
    </row>
    <row r="329" spans="1:9" x14ac:dyDescent="0.25">
      <c r="A329" s="5">
        <v>45987.409722222197</v>
      </c>
      <c r="B329" t="s">
        <v>996</v>
      </c>
      <c r="C329" t="s">
        <v>378</v>
      </c>
      <c r="D329" s="10">
        <v>3150000</v>
      </c>
      <c r="E329" s="11" t="s">
        <v>997</v>
      </c>
      <c r="F329" t="s">
        <v>182</v>
      </c>
      <c r="G329" t="s">
        <v>343</v>
      </c>
      <c r="H329" t="s">
        <v>378</v>
      </c>
      <c r="I329" s="8" t="s">
        <v>291</v>
      </c>
    </row>
    <row r="330" spans="1:9" x14ac:dyDescent="0.25">
      <c r="A330" s="5">
        <v>45987.413194444402</v>
      </c>
      <c r="B330" t="s">
        <v>998</v>
      </c>
      <c r="C330" t="s">
        <v>999</v>
      </c>
      <c r="D330" s="10">
        <v>3150000</v>
      </c>
      <c r="E330" s="11" t="s">
        <v>1000</v>
      </c>
      <c r="F330" t="s">
        <v>1001</v>
      </c>
      <c r="G330" t="s">
        <v>343</v>
      </c>
      <c r="H330" t="s">
        <v>999</v>
      </c>
      <c r="I330" s="8" t="s">
        <v>291</v>
      </c>
    </row>
    <row r="331" spans="1:9" x14ac:dyDescent="0.25">
      <c r="A331" s="5">
        <v>45987.415972222203</v>
      </c>
      <c r="B331" t="s">
        <v>1002</v>
      </c>
      <c r="C331" t="s">
        <v>1003</v>
      </c>
      <c r="D331" s="10">
        <v>4730000</v>
      </c>
      <c r="E331" s="11" t="s">
        <v>1004</v>
      </c>
      <c r="F331" t="s">
        <v>1005</v>
      </c>
      <c r="G331" t="s">
        <v>343</v>
      </c>
      <c r="H331" t="s">
        <v>1003</v>
      </c>
      <c r="I331" s="8" t="s">
        <v>291</v>
      </c>
    </row>
    <row r="332" spans="1:9" x14ac:dyDescent="0.25">
      <c r="A332" s="5">
        <v>45987.420138888898</v>
      </c>
      <c r="B332" t="s">
        <v>1006</v>
      </c>
      <c r="C332" t="s">
        <v>1007</v>
      </c>
      <c r="D332" s="10">
        <v>4730000</v>
      </c>
      <c r="E332" s="11" t="s">
        <v>1008</v>
      </c>
      <c r="F332" t="s">
        <v>1009</v>
      </c>
      <c r="G332" t="s">
        <v>343</v>
      </c>
      <c r="H332" t="s">
        <v>1007</v>
      </c>
      <c r="I332" s="8" t="s">
        <v>291</v>
      </c>
    </row>
    <row r="333" spans="1:9" x14ac:dyDescent="0.25">
      <c r="A333" s="5">
        <v>45987.431250000001</v>
      </c>
      <c r="B333" t="s">
        <v>1010</v>
      </c>
      <c r="C333" t="s">
        <v>514</v>
      </c>
      <c r="D333" s="10">
        <v>4730000</v>
      </c>
      <c r="E333" s="11" t="s">
        <v>1011</v>
      </c>
      <c r="F333" t="s">
        <v>44</v>
      </c>
      <c r="G333" t="s">
        <v>343</v>
      </c>
      <c r="H333" t="s">
        <v>514</v>
      </c>
      <c r="I333" s="8" t="s">
        <v>291</v>
      </c>
    </row>
    <row r="334" spans="1:9" x14ac:dyDescent="0.25">
      <c r="A334" s="5">
        <v>45987.434722222199</v>
      </c>
      <c r="B334" t="s">
        <v>1012</v>
      </c>
      <c r="C334" t="s">
        <v>590</v>
      </c>
      <c r="D334" s="10">
        <v>4730000</v>
      </c>
      <c r="E334" s="11" t="s">
        <v>1013</v>
      </c>
      <c r="F334" t="s">
        <v>96</v>
      </c>
      <c r="G334" t="s">
        <v>343</v>
      </c>
      <c r="H334" t="s">
        <v>590</v>
      </c>
      <c r="I334" s="8" t="s">
        <v>291</v>
      </c>
    </row>
    <row r="335" spans="1:9" x14ac:dyDescent="0.25">
      <c r="A335" s="5">
        <v>45987.438194444403</v>
      </c>
      <c r="B335" t="s">
        <v>1014</v>
      </c>
      <c r="C335" t="s">
        <v>1015</v>
      </c>
      <c r="D335" s="10">
        <v>4730000</v>
      </c>
      <c r="E335" s="11" t="s">
        <v>1016</v>
      </c>
      <c r="F335" t="s">
        <v>322</v>
      </c>
      <c r="G335" t="s">
        <v>343</v>
      </c>
      <c r="H335" t="s">
        <v>1015</v>
      </c>
      <c r="I335" s="8" t="s">
        <v>291</v>
      </c>
    </row>
    <row r="336" spans="1:9" x14ac:dyDescent="0.25">
      <c r="A336" s="5">
        <v>45987.441666666702</v>
      </c>
      <c r="B336" t="s">
        <v>1017</v>
      </c>
      <c r="C336" t="s">
        <v>621</v>
      </c>
      <c r="D336" s="10">
        <v>3626333</v>
      </c>
      <c r="E336" s="11" t="s">
        <v>622</v>
      </c>
      <c r="F336" t="s">
        <v>623</v>
      </c>
      <c r="G336" t="s">
        <v>343</v>
      </c>
      <c r="H336" t="s">
        <v>621</v>
      </c>
      <c r="I336" s="8" t="s">
        <v>291</v>
      </c>
    </row>
    <row r="337" spans="1:9" x14ac:dyDescent="0.25">
      <c r="A337" s="5">
        <v>45987.444444444402</v>
      </c>
      <c r="B337" t="s">
        <v>1018</v>
      </c>
      <c r="C337" t="s">
        <v>379</v>
      </c>
      <c r="D337" s="10">
        <v>6300000</v>
      </c>
      <c r="E337" s="11" t="s">
        <v>1019</v>
      </c>
      <c r="F337" t="s">
        <v>174</v>
      </c>
      <c r="G337" t="s">
        <v>343</v>
      </c>
      <c r="H337" t="s">
        <v>379</v>
      </c>
      <c r="I337" s="8" t="s">
        <v>291</v>
      </c>
    </row>
    <row r="338" spans="1:9" x14ac:dyDescent="0.25">
      <c r="A338" s="5">
        <v>45987.447222222203</v>
      </c>
      <c r="B338" t="s">
        <v>1020</v>
      </c>
      <c r="C338" t="s">
        <v>516</v>
      </c>
      <c r="D338" s="10">
        <v>3150000</v>
      </c>
      <c r="E338" s="11" t="s">
        <v>1021</v>
      </c>
      <c r="F338" t="s">
        <v>190</v>
      </c>
      <c r="G338" t="s">
        <v>343</v>
      </c>
      <c r="H338" t="s">
        <v>516</v>
      </c>
      <c r="I338" s="8" t="s">
        <v>291</v>
      </c>
    </row>
    <row r="339" spans="1:9" x14ac:dyDescent="0.25">
      <c r="A339" s="5">
        <v>45987.449305555601</v>
      </c>
      <c r="B339" t="s">
        <v>1022</v>
      </c>
      <c r="C339" t="s">
        <v>372</v>
      </c>
      <c r="D339" s="10">
        <v>7800000</v>
      </c>
      <c r="E339" s="11" t="s">
        <v>1023</v>
      </c>
      <c r="F339" t="s">
        <v>373</v>
      </c>
      <c r="G339" t="s">
        <v>343</v>
      </c>
      <c r="H339" t="s">
        <v>372</v>
      </c>
      <c r="I339" s="8" t="s">
        <v>291</v>
      </c>
    </row>
    <row r="340" spans="1:9" x14ac:dyDescent="0.25">
      <c r="A340" s="5">
        <v>45987.452777777798</v>
      </c>
      <c r="B340" t="s">
        <v>1024</v>
      </c>
      <c r="C340" t="s">
        <v>592</v>
      </c>
      <c r="D340" s="10">
        <v>6300000</v>
      </c>
      <c r="E340" s="11" t="s">
        <v>1025</v>
      </c>
      <c r="F340" t="s">
        <v>72</v>
      </c>
      <c r="G340" t="s">
        <v>343</v>
      </c>
      <c r="H340" t="s">
        <v>592</v>
      </c>
      <c r="I340" s="8" t="s">
        <v>291</v>
      </c>
    </row>
    <row r="341" spans="1:9" x14ac:dyDescent="0.25">
      <c r="A341" s="5">
        <v>45987.454861111102</v>
      </c>
      <c r="B341" t="s">
        <v>1026</v>
      </c>
      <c r="C341" t="s">
        <v>369</v>
      </c>
      <c r="D341" s="10">
        <v>3150000</v>
      </c>
      <c r="E341" s="11" t="s">
        <v>1027</v>
      </c>
      <c r="F341" t="s">
        <v>74</v>
      </c>
      <c r="G341" t="s">
        <v>343</v>
      </c>
      <c r="H341" t="s">
        <v>369</v>
      </c>
      <c r="I341" s="8" t="s">
        <v>291</v>
      </c>
    </row>
    <row r="342" spans="1:9" x14ac:dyDescent="0.25">
      <c r="A342" s="5">
        <v>45987.458333333299</v>
      </c>
      <c r="B342" t="s">
        <v>1028</v>
      </c>
      <c r="C342" t="s">
        <v>1029</v>
      </c>
      <c r="D342" s="10">
        <v>4730000</v>
      </c>
      <c r="E342" s="11" t="s">
        <v>1030</v>
      </c>
      <c r="F342" t="s">
        <v>1031</v>
      </c>
      <c r="G342" t="s">
        <v>343</v>
      </c>
      <c r="H342" t="s">
        <v>1029</v>
      </c>
      <c r="I342" s="8" t="s">
        <v>291</v>
      </c>
    </row>
    <row r="343" spans="1:9" x14ac:dyDescent="0.25">
      <c r="A343" s="5">
        <v>45988.3527777778</v>
      </c>
      <c r="B343" t="s">
        <v>1032</v>
      </c>
      <c r="C343" t="s">
        <v>1033</v>
      </c>
      <c r="D343" s="10">
        <v>6300000</v>
      </c>
      <c r="E343" s="11" t="s">
        <v>1034</v>
      </c>
      <c r="F343" t="s">
        <v>1035</v>
      </c>
      <c r="G343" t="s">
        <v>343</v>
      </c>
      <c r="H343" t="s">
        <v>1033</v>
      </c>
      <c r="I343" s="8" t="s">
        <v>291</v>
      </c>
    </row>
    <row r="344" spans="1:9" x14ac:dyDescent="0.25">
      <c r="A344" s="5">
        <v>45988.356249999997</v>
      </c>
      <c r="B344" t="s">
        <v>1036</v>
      </c>
      <c r="C344" t="s">
        <v>532</v>
      </c>
      <c r="D344" s="10">
        <v>3150000</v>
      </c>
      <c r="E344" s="11" t="s">
        <v>1037</v>
      </c>
      <c r="F344" t="s">
        <v>533</v>
      </c>
      <c r="G344" t="s">
        <v>343</v>
      </c>
      <c r="H344" t="s">
        <v>532</v>
      </c>
      <c r="I344" s="8" t="s">
        <v>291</v>
      </c>
    </row>
    <row r="345" spans="1:9" x14ac:dyDescent="0.25">
      <c r="A345" s="5">
        <v>45988.359722222202</v>
      </c>
      <c r="B345" t="s">
        <v>1038</v>
      </c>
      <c r="C345" t="s">
        <v>406</v>
      </c>
      <c r="D345" s="10">
        <v>6300000</v>
      </c>
      <c r="E345" s="11" t="s">
        <v>1039</v>
      </c>
      <c r="F345" t="s">
        <v>407</v>
      </c>
      <c r="G345" t="s">
        <v>343</v>
      </c>
      <c r="H345" t="s">
        <v>406</v>
      </c>
      <c r="I345" s="8" t="s">
        <v>291</v>
      </c>
    </row>
    <row r="346" spans="1:9" x14ac:dyDescent="0.25">
      <c r="A346" s="5">
        <v>45988.363888888904</v>
      </c>
      <c r="B346" t="s">
        <v>1040</v>
      </c>
      <c r="C346" t="s">
        <v>521</v>
      </c>
      <c r="D346" s="10">
        <v>7800000</v>
      </c>
      <c r="E346" s="11" t="s">
        <v>1041</v>
      </c>
      <c r="F346" t="s">
        <v>522</v>
      </c>
      <c r="G346" t="s">
        <v>343</v>
      </c>
      <c r="H346" t="s">
        <v>521</v>
      </c>
      <c r="I346" s="8" t="s">
        <v>291</v>
      </c>
    </row>
    <row r="347" spans="1:9" x14ac:dyDescent="0.25">
      <c r="A347" s="5">
        <v>45988.377083333296</v>
      </c>
      <c r="B347" t="s">
        <v>1042</v>
      </c>
      <c r="C347" t="s">
        <v>396</v>
      </c>
      <c r="D347" s="10">
        <v>6300000</v>
      </c>
      <c r="E347" s="11" t="s">
        <v>1043</v>
      </c>
      <c r="F347" t="s">
        <v>236</v>
      </c>
      <c r="G347" t="s">
        <v>343</v>
      </c>
      <c r="H347" t="s">
        <v>396</v>
      </c>
      <c r="I347" s="8" t="s">
        <v>291</v>
      </c>
    </row>
    <row r="348" spans="1:9" x14ac:dyDescent="0.25">
      <c r="A348" s="5">
        <v>45988.3840277778</v>
      </c>
      <c r="B348" t="s">
        <v>1044</v>
      </c>
      <c r="C348" t="s">
        <v>550</v>
      </c>
      <c r="D348" s="10">
        <v>6300000</v>
      </c>
      <c r="E348" s="11" t="s">
        <v>1045</v>
      </c>
      <c r="F348" t="s">
        <v>551</v>
      </c>
      <c r="G348" t="s">
        <v>343</v>
      </c>
      <c r="H348" t="s">
        <v>550</v>
      </c>
      <c r="I348" s="8" t="s">
        <v>291</v>
      </c>
    </row>
    <row r="349" spans="1:9" x14ac:dyDescent="0.25">
      <c r="A349" s="5">
        <v>45988.387499999997</v>
      </c>
      <c r="B349" t="s">
        <v>1046</v>
      </c>
      <c r="C349" t="s">
        <v>421</v>
      </c>
      <c r="D349" s="10">
        <v>7800000</v>
      </c>
      <c r="E349" s="11" t="s">
        <v>1047</v>
      </c>
      <c r="F349" t="s">
        <v>422</v>
      </c>
      <c r="G349" t="s">
        <v>343</v>
      </c>
      <c r="H349" t="s">
        <v>421</v>
      </c>
      <c r="I349" s="8" t="s">
        <v>291</v>
      </c>
    </row>
    <row r="350" spans="1:9" x14ac:dyDescent="0.25">
      <c r="A350" s="5">
        <v>45988.390277777798</v>
      </c>
      <c r="B350" t="s">
        <v>1048</v>
      </c>
      <c r="C350" t="s">
        <v>611</v>
      </c>
      <c r="D350" s="10">
        <v>3150000</v>
      </c>
      <c r="E350" s="11" t="s">
        <v>1049</v>
      </c>
      <c r="F350" t="s">
        <v>612</v>
      </c>
      <c r="G350" t="s">
        <v>343</v>
      </c>
      <c r="H350" t="s">
        <v>611</v>
      </c>
      <c r="I350" s="8" t="s">
        <v>291</v>
      </c>
    </row>
    <row r="351" spans="1:9" x14ac:dyDescent="0.25">
      <c r="A351" s="5">
        <v>45988.391666666699</v>
      </c>
      <c r="B351" t="s">
        <v>1050</v>
      </c>
      <c r="C351" t="s">
        <v>414</v>
      </c>
      <c r="D351" s="10">
        <v>3150000</v>
      </c>
      <c r="E351" s="11" t="s">
        <v>1051</v>
      </c>
      <c r="F351" t="s">
        <v>88</v>
      </c>
      <c r="G351" t="s">
        <v>343</v>
      </c>
      <c r="H351" t="s">
        <v>414</v>
      </c>
      <c r="I351" s="8" t="s">
        <v>291</v>
      </c>
    </row>
    <row r="352" spans="1:9" x14ac:dyDescent="0.25">
      <c r="A352" s="5">
        <v>45988.3972222222</v>
      </c>
      <c r="B352" t="s">
        <v>1052</v>
      </c>
      <c r="C352" t="s">
        <v>540</v>
      </c>
      <c r="D352" s="10">
        <v>4730000</v>
      </c>
      <c r="E352" s="11" t="s">
        <v>1053</v>
      </c>
      <c r="F352" t="s">
        <v>70</v>
      </c>
      <c r="G352" t="s">
        <v>343</v>
      </c>
      <c r="H352" t="s">
        <v>540</v>
      </c>
      <c r="I352" s="8" t="s">
        <v>291</v>
      </c>
    </row>
    <row r="353" spans="1:9" x14ac:dyDescent="0.25">
      <c r="A353" s="5">
        <v>45988.399305555598</v>
      </c>
      <c r="B353" t="s">
        <v>1054</v>
      </c>
      <c r="C353" t="s">
        <v>607</v>
      </c>
      <c r="D353" s="10">
        <v>3150000</v>
      </c>
      <c r="E353" s="11" t="s">
        <v>1055</v>
      </c>
      <c r="F353" t="s">
        <v>608</v>
      </c>
      <c r="G353" t="s">
        <v>343</v>
      </c>
      <c r="H353" t="s">
        <v>607</v>
      </c>
      <c r="I353" s="8" t="s">
        <v>291</v>
      </c>
    </row>
    <row r="354" spans="1:9" x14ac:dyDescent="0.25">
      <c r="A354" s="5">
        <v>45988.670833333301</v>
      </c>
      <c r="B354" t="s">
        <v>1056</v>
      </c>
      <c r="C354" t="s">
        <v>1057</v>
      </c>
      <c r="D354" s="10">
        <v>51028390</v>
      </c>
      <c r="E354" s="11" t="s">
        <v>686</v>
      </c>
      <c r="F354" t="s">
        <v>218</v>
      </c>
      <c r="G354" t="s">
        <v>343</v>
      </c>
      <c r="H354" t="s">
        <v>1057</v>
      </c>
      <c r="I354" s="8" t="s">
        <v>291</v>
      </c>
    </row>
    <row r="355" spans="1:9" x14ac:dyDescent="0.25">
      <c r="A355" s="5">
        <v>45988.6743055556</v>
      </c>
      <c r="B355" t="s">
        <v>1058</v>
      </c>
      <c r="C355" t="s">
        <v>685</v>
      </c>
      <c r="D355" s="10">
        <v>221452280</v>
      </c>
      <c r="E355" s="11" t="s">
        <v>686</v>
      </c>
      <c r="F355" t="s">
        <v>218</v>
      </c>
      <c r="G355" t="s">
        <v>343</v>
      </c>
      <c r="H355" t="s">
        <v>685</v>
      </c>
      <c r="I355" s="8" t="s">
        <v>291</v>
      </c>
    </row>
    <row r="356" spans="1:9" x14ac:dyDescent="0.25">
      <c r="A356" s="5">
        <v>45988.708333333299</v>
      </c>
      <c r="B356" t="s">
        <v>1059</v>
      </c>
      <c r="C356" t="s">
        <v>1060</v>
      </c>
      <c r="D356" s="10">
        <v>1575000</v>
      </c>
      <c r="E356" s="11" t="s">
        <v>1061</v>
      </c>
      <c r="F356" t="s">
        <v>1062</v>
      </c>
      <c r="G356" t="s">
        <v>343</v>
      </c>
      <c r="H356" t="s">
        <v>1060</v>
      </c>
      <c r="I356" s="8" t="s">
        <v>291</v>
      </c>
    </row>
    <row r="357" spans="1:9" x14ac:dyDescent="0.25">
      <c r="A357" s="5">
        <v>45988.711111111101</v>
      </c>
      <c r="B357" t="s">
        <v>1063</v>
      </c>
      <c r="C357" t="s">
        <v>1064</v>
      </c>
      <c r="D357" s="10">
        <v>4730000</v>
      </c>
      <c r="E357" s="11" t="s">
        <v>1065</v>
      </c>
      <c r="F357" t="s">
        <v>1066</v>
      </c>
      <c r="G357" t="s">
        <v>343</v>
      </c>
      <c r="H357" t="s">
        <v>1064</v>
      </c>
      <c r="I357" s="8" t="s">
        <v>291</v>
      </c>
    </row>
    <row r="358" spans="1:9" x14ac:dyDescent="0.25">
      <c r="A358" s="5">
        <v>45988.713194444397</v>
      </c>
      <c r="B358" t="s">
        <v>1067</v>
      </c>
      <c r="C358" t="s">
        <v>1068</v>
      </c>
      <c r="D358" s="10">
        <v>2000000</v>
      </c>
      <c r="E358" s="11" t="s">
        <v>1069</v>
      </c>
      <c r="F358" t="s">
        <v>1070</v>
      </c>
      <c r="G358" t="s">
        <v>343</v>
      </c>
      <c r="H358" t="s">
        <v>1068</v>
      </c>
      <c r="I358" s="8" t="s">
        <v>291</v>
      </c>
    </row>
    <row r="359" spans="1:9" x14ac:dyDescent="0.25">
      <c r="A359" s="5">
        <v>45988.713194444397</v>
      </c>
      <c r="B359" t="s">
        <v>1071</v>
      </c>
      <c r="C359" t="s">
        <v>1072</v>
      </c>
      <c r="D359" s="10">
        <v>1575000</v>
      </c>
      <c r="E359" s="11" t="s">
        <v>1073</v>
      </c>
      <c r="F359" t="s">
        <v>1074</v>
      </c>
      <c r="G359" t="s">
        <v>343</v>
      </c>
      <c r="H359" t="s">
        <v>1072</v>
      </c>
      <c r="I359" s="8" t="s">
        <v>291</v>
      </c>
    </row>
    <row r="360" spans="1:9" x14ac:dyDescent="0.25">
      <c r="A360" s="5">
        <v>45988.714583333298</v>
      </c>
      <c r="B360" t="s">
        <v>1075</v>
      </c>
      <c r="C360" t="s">
        <v>375</v>
      </c>
      <c r="D360" s="10">
        <v>3150000</v>
      </c>
      <c r="E360" s="11" t="s">
        <v>1076</v>
      </c>
      <c r="F360" t="s">
        <v>106</v>
      </c>
      <c r="G360" t="s">
        <v>343</v>
      </c>
      <c r="H360" t="s">
        <v>375</v>
      </c>
      <c r="I360" s="8" t="s">
        <v>291</v>
      </c>
    </row>
    <row r="361" spans="1:9" x14ac:dyDescent="0.25">
      <c r="A361" s="5">
        <v>45988.715277777803</v>
      </c>
      <c r="B361" t="s">
        <v>1077</v>
      </c>
      <c r="C361" t="s">
        <v>1078</v>
      </c>
      <c r="D361" s="10">
        <v>3150000</v>
      </c>
      <c r="E361" s="11" t="s">
        <v>1079</v>
      </c>
      <c r="F361" t="s">
        <v>1080</v>
      </c>
      <c r="G361" t="s">
        <v>343</v>
      </c>
      <c r="H361" t="s">
        <v>1078</v>
      </c>
      <c r="I361" s="8" t="s">
        <v>291</v>
      </c>
    </row>
    <row r="362" spans="1:9" x14ac:dyDescent="0.25">
      <c r="A362" s="5">
        <v>45988.722916666702</v>
      </c>
      <c r="B362" t="s">
        <v>1081</v>
      </c>
      <c r="C362" t="s">
        <v>1082</v>
      </c>
      <c r="D362" s="10">
        <v>3900000</v>
      </c>
      <c r="E362" s="11" t="s">
        <v>1083</v>
      </c>
      <c r="F362" t="s">
        <v>1084</v>
      </c>
      <c r="G362" t="s">
        <v>343</v>
      </c>
      <c r="H362" t="s">
        <v>1082</v>
      </c>
      <c r="I362" s="8" t="s">
        <v>291</v>
      </c>
    </row>
    <row r="363" spans="1:9" x14ac:dyDescent="0.25">
      <c r="A363" s="5">
        <v>45988.726388888899</v>
      </c>
      <c r="B363" t="s">
        <v>1085</v>
      </c>
      <c r="C363" t="s">
        <v>380</v>
      </c>
      <c r="D363" s="10">
        <v>6300000</v>
      </c>
      <c r="E363" s="11" t="s">
        <v>1086</v>
      </c>
      <c r="F363" t="s">
        <v>381</v>
      </c>
      <c r="G363" t="s">
        <v>343</v>
      </c>
      <c r="H363" t="s">
        <v>380</v>
      </c>
      <c r="I363" s="8" t="s">
        <v>291</v>
      </c>
    </row>
    <row r="364" spans="1:9" x14ac:dyDescent="0.25">
      <c r="A364" s="5">
        <v>45988.735416666699</v>
      </c>
      <c r="B364" t="s">
        <v>1087</v>
      </c>
      <c r="C364" t="s">
        <v>589</v>
      </c>
      <c r="D364" s="10">
        <v>6300000</v>
      </c>
      <c r="E364" s="11" t="s">
        <v>1088</v>
      </c>
      <c r="F364" t="s">
        <v>136</v>
      </c>
      <c r="G364" t="s">
        <v>343</v>
      </c>
      <c r="H364" t="s">
        <v>589</v>
      </c>
      <c r="I364" s="8" t="s">
        <v>291</v>
      </c>
    </row>
    <row r="365" spans="1:9" x14ac:dyDescent="0.25">
      <c r="A365" s="5">
        <v>45992.3034722222</v>
      </c>
      <c r="B365" t="s">
        <v>1089</v>
      </c>
      <c r="C365" t="s">
        <v>1090</v>
      </c>
      <c r="D365" s="10">
        <v>2000000</v>
      </c>
      <c r="E365" s="11" t="s">
        <v>1091</v>
      </c>
      <c r="F365" t="s">
        <v>1092</v>
      </c>
      <c r="G365" t="s">
        <v>343</v>
      </c>
      <c r="H365" t="s">
        <v>1090</v>
      </c>
      <c r="I365" s="8" t="s">
        <v>291</v>
      </c>
    </row>
    <row r="366" spans="1:9" x14ac:dyDescent="0.25">
      <c r="A366" s="5">
        <v>45989.4284722222</v>
      </c>
      <c r="B366" t="s">
        <v>1093</v>
      </c>
      <c r="C366" t="s">
        <v>1094</v>
      </c>
      <c r="D366" s="10">
        <v>3150000</v>
      </c>
      <c r="E366" s="11" t="s">
        <v>1095</v>
      </c>
      <c r="F366" t="s">
        <v>204</v>
      </c>
      <c r="G366" t="s">
        <v>343</v>
      </c>
      <c r="H366" t="s">
        <v>1094</v>
      </c>
      <c r="I366" s="8" t="s">
        <v>291</v>
      </c>
    </row>
    <row r="367" spans="1:9" x14ac:dyDescent="0.25">
      <c r="A367" s="5">
        <v>45989.431250000001</v>
      </c>
      <c r="B367" t="s">
        <v>1096</v>
      </c>
      <c r="C367" t="s">
        <v>357</v>
      </c>
      <c r="D367" s="10">
        <v>3150000</v>
      </c>
      <c r="E367" s="11" t="s">
        <v>1097</v>
      </c>
      <c r="F367" t="s">
        <v>358</v>
      </c>
      <c r="G367" t="s">
        <v>343</v>
      </c>
      <c r="H367" t="s">
        <v>357</v>
      </c>
      <c r="I367" s="8" t="s">
        <v>291</v>
      </c>
    </row>
    <row r="368" spans="1:9" x14ac:dyDescent="0.25">
      <c r="A368" s="5">
        <v>45989.440277777801</v>
      </c>
      <c r="B368" t="s">
        <v>1098</v>
      </c>
      <c r="C368" t="s">
        <v>442</v>
      </c>
      <c r="D368" s="10">
        <v>6300000</v>
      </c>
      <c r="E368" s="11" t="s">
        <v>1099</v>
      </c>
      <c r="F368" t="s">
        <v>443</v>
      </c>
      <c r="G368" t="s">
        <v>343</v>
      </c>
      <c r="H368" t="s">
        <v>442</v>
      </c>
      <c r="I368" s="8" t="s">
        <v>291</v>
      </c>
    </row>
    <row r="369" spans="1:9" x14ac:dyDescent="0.25">
      <c r="A369" s="5">
        <v>45989.443749999999</v>
      </c>
      <c r="B369" t="s">
        <v>1100</v>
      </c>
      <c r="C369" t="s">
        <v>1101</v>
      </c>
      <c r="D369" s="10">
        <v>3150000</v>
      </c>
      <c r="E369" s="11" t="s">
        <v>1102</v>
      </c>
      <c r="F369" t="s">
        <v>1103</v>
      </c>
      <c r="G369" t="s">
        <v>343</v>
      </c>
      <c r="H369" t="s">
        <v>1101</v>
      </c>
      <c r="I369" s="8" t="s">
        <v>291</v>
      </c>
    </row>
    <row r="370" spans="1:9" x14ac:dyDescent="0.25">
      <c r="A370" s="5">
        <v>45989.451388888898</v>
      </c>
      <c r="B370" t="s">
        <v>1104</v>
      </c>
      <c r="C370" s="8" t="s">
        <v>1105</v>
      </c>
      <c r="D370" s="10">
        <v>3150000</v>
      </c>
      <c r="E370" s="11" t="s">
        <v>1106</v>
      </c>
      <c r="F370" t="s">
        <v>1107</v>
      </c>
      <c r="G370" t="s">
        <v>343</v>
      </c>
      <c r="H370" t="s">
        <v>1105</v>
      </c>
      <c r="I370" s="8" t="s">
        <v>291</v>
      </c>
    </row>
    <row r="371" spans="1:9" x14ac:dyDescent="0.25">
      <c r="A371" s="5">
        <v>45989.4555555556</v>
      </c>
      <c r="B371" t="s">
        <v>1108</v>
      </c>
      <c r="C371" s="8" t="s">
        <v>1109</v>
      </c>
      <c r="D371" s="10">
        <v>3150000</v>
      </c>
      <c r="E371" s="11" t="s">
        <v>1110</v>
      </c>
      <c r="F371" t="s">
        <v>255</v>
      </c>
      <c r="G371" t="s">
        <v>343</v>
      </c>
      <c r="H371" t="s">
        <v>1109</v>
      </c>
      <c r="I371" s="8" t="s">
        <v>291</v>
      </c>
    </row>
    <row r="372" spans="1:9" x14ac:dyDescent="0.25">
      <c r="A372" s="5">
        <v>45989.4597222222</v>
      </c>
      <c r="B372" t="s">
        <v>1111</v>
      </c>
      <c r="C372" t="s">
        <v>579</v>
      </c>
      <c r="D372" s="10">
        <v>7800000</v>
      </c>
      <c r="E372" s="11" t="s">
        <v>1112</v>
      </c>
      <c r="F372" t="s">
        <v>580</v>
      </c>
      <c r="G372" t="s">
        <v>343</v>
      </c>
      <c r="H372" t="s">
        <v>579</v>
      </c>
      <c r="I372" s="8" t="s">
        <v>291</v>
      </c>
    </row>
    <row r="373" spans="1:9" x14ac:dyDescent="0.25">
      <c r="A373" s="5">
        <v>45989.463888888902</v>
      </c>
      <c r="B373" t="s">
        <v>1113</v>
      </c>
      <c r="C373" t="s">
        <v>587</v>
      </c>
      <c r="D373" s="10">
        <v>3150000</v>
      </c>
      <c r="E373" s="11" t="s">
        <v>1114</v>
      </c>
      <c r="F373" t="s">
        <v>34</v>
      </c>
      <c r="G373" t="s">
        <v>343</v>
      </c>
      <c r="H373" t="s">
        <v>587</v>
      </c>
      <c r="I373" s="8" t="s">
        <v>291</v>
      </c>
    </row>
    <row r="374" spans="1:9" x14ac:dyDescent="0.25">
      <c r="A374" s="5">
        <v>45989.466666666704</v>
      </c>
      <c r="B374" t="s">
        <v>1115</v>
      </c>
      <c r="C374" t="s">
        <v>591</v>
      </c>
      <c r="D374" s="10">
        <v>4730000</v>
      </c>
      <c r="E374" s="11" t="s">
        <v>1116</v>
      </c>
      <c r="F374" t="s">
        <v>12</v>
      </c>
      <c r="G374" t="s">
        <v>343</v>
      </c>
      <c r="H374" t="s">
        <v>591</v>
      </c>
      <c r="I374" s="8" t="s">
        <v>291</v>
      </c>
    </row>
    <row r="375" spans="1:9" x14ac:dyDescent="0.25">
      <c r="A375" s="5">
        <v>45989.470138888901</v>
      </c>
      <c r="B375" t="s">
        <v>1117</v>
      </c>
      <c r="C375" t="s">
        <v>618</v>
      </c>
      <c r="D375" s="10">
        <v>4730000</v>
      </c>
      <c r="E375" s="11" t="s">
        <v>619</v>
      </c>
      <c r="F375" t="s">
        <v>320</v>
      </c>
      <c r="G375" t="s">
        <v>343</v>
      </c>
      <c r="H375" t="s">
        <v>618</v>
      </c>
      <c r="I375" s="8" t="s">
        <v>291</v>
      </c>
    </row>
    <row r="376" spans="1:9" x14ac:dyDescent="0.25">
      <c r="A376" s="5">
        <v>45989.472222222197</v>
      </c>
      <c r="B376" t="s">
        <v>1118</v>
      </c>
      <c r="C376" t="s">
        <v>1119</v>
      </c>
      <c r="D376" s="10">
        <v>2000000</v>
      </c>
      <c r="E376" s="11" t="s">
        <v>1120</v>
      </c>
      <c r="F376" t="s">
        <v>1121</v>
      </c>
      <c r="G376" t="s">
        <v>343</v>
      </c>
      <c r="H376" t="s">
        <v>1119</v>
      </c>
      <c r="I376" s="8" t="s">
        <v>291</v>
      </c>
    </row>
    <row r="377" spans="1:9" x14ac:dyDescent="0.25">
      <c r="A377" s="5">
        <v>45989.627777777801</v>
      </c>
      <c r="B377" t="s">
        <v>1122</v>
      </c>
      <c r="C377" t="s">
        <v>429</v>
      </c>
      <c r="D377" s="10">
        <v>6300000</v>
      </c>
      <c r="E377" s="11" t="s">
        <v>1123</v>
      </c>
      <c r="F377" t="s">
        <v>430</v>
      </c>
      <c r="G377" t="s">
        <v>343</v>
      </c>
      <c r="H377" t="s">
        <v>429</v>
      </c>
      <c r="I377" s="8" t="s">
        <v>291</v>
      </c>
    </row>
    <row r="378" spans="1:9" x14ac:dyDescent="0.25">
      <c r="A378" s="5">
        <v>45989.6340277778</v>
      </c>
      <c r="B378" t="s">
        <v>1124</v>
      </c>
      <c r="C378" t="s">
        <v>1125</v>
      </c>
      <c r="D378" s="10">
        <v>3150000</v>
      </c>
      <c r="E378" s="11" t="s">
        <v>1126</v>
      </c>
      <c r="F378" t="s">
        <v>1127</v>
      </c>
      <c r="G378" t="s">
        <v>343</v>
      </c>
      <c r="H378" t="s">
        <v>1125</v>
      </c>
      <c r="I378" s="8" t="s">
        <v>291</v>
      </c>
    </row>
    <row r="379" spans="1:9" x14ac:dyDescent="0.25">
      <c r="A379" s="5">
        <v>45993.440972222197</v>
      </c>
      <c r="B379" t="s">
        <v>1128</v>
      </c>
      <c r="C379" t="s">
        <v>1129</v>
      </c>
      <c r="D379" s="10">
        <v>2000000</v>
      </c>
      <c r="E379" t="s">
        <v>1130</v>
      </c>
      <c r="F379" t="s">
        <v>1131</v>
      </c>
      <c r="G379" t="s">
        <v>343</v>
      </c>
      <c r="H379" t="s">
        <v>1129</v>
      </c>
      <c r="I379" s="8" t="s">
        <v>291</v>
      </c>
    </row>
    <row r="380" spans="1:9" x14ac:dyDescent="0.25">
      <c r="A380" s="5">
        <v>45993.447916666701</v>
      </c>
      <c r="B380" t="s">
        <v>1132</v>
      </c>
      <c r="C380" t="s">
        <v>1133</v>
      </c>
      <c r="D380" s="10">
        <v>2000000</v>
      </c>
      <c r="E380" t="s">
        <v>1134</v>
      </c>
      <c r="F380" t="s">
        <v>1135</v>
      </c>
      <c r="G380" t="s">
        <v>343</v>
      </c>
      <c r="H380" t="s">
        <v>1133</v>
      </c>
      <c r="I380" s="8" t="s">
        <v>291</v>
      </c>
    </row>
    <row r="381" spans="1:9" x14ac:dyDescent="0.25">
      <c r="A381" s="5">
        <v>45993.4506944444</v>
      </c>
      <c r="B381" t="s">
        <v>1136</v>
      </c>
      <c r="C381" t="s">
        <v>515</v>
      </c>
      <c r="D381" s="10">
        <v>3150000</v>
      </c>
      <c r="E381" t="s">
        <v>1137</v>
      </c>
      <c r="F381" t="s">
        <v>102</v>
      </c>
      <c r="G381" t="s">
        <v>343</v>
      </c>
      <c r="H381" t="s">
        <v>515</v>
      </c>
      <c r="I381" s="8" t="s">
        <v>291</v>
      </c>
    </row>
    <row r="382" spans="1:9" x14ac:dyDescent="0.25">
      <c r="A382" s="5">
        <v>45995.675694444399</v>
      </c>
      <c r="B382" t="s">
        <v>1138</v>
      </c>
      <c r="C382" t="s">
        <v>1139</v>
      </c>
      <c r="D382" s="10">
        <v>2000000</v>
      </c>
      <c r="E382" t="s">
        <v>1140</v>
      </c>
      <c r="F382" t="s">
        <v>1141</v>
      </c>
      <c r="G382" t="s">
        <v>343</v>
      </c>
      <c r="H382" t="s">
        <v>1139</v>
      </c>
      <c r="I382" s="8" t="s">
        <v>291</v>
      </c>
    </row>
    <row r="383" spans="1:9" x14ac:dyDescent="0.25">
      <c r="A383" s="5">
        <v>45995.6743055556</v>
      </c>
      <c r="B383" t="s">
        <v>1142</v>
      </c>
      <c r="C383" t="s">
        <v>1143</v>
      </c>
      <c r="D383" s="10">
        <v>6300000</v>
      </c>
      <c r="E383" t="s">
        <v>1144</v>
      </c>
      <c r="F383" t="s">
        <v>1145</v>
      </c>
      <c r="G383" t="s">
        <v>343</v>
      </c>
      <c r="H383" t="s">
        <v>1143</v>
      </c>
      <c r="I383" s="8" t="s">
        <v>291</v>
      </c>
    </row>
    <row r="384" spans="1:9" x14ac:dyDescent="0.25">
      <c r="A384" s="5">
        <v>45993.473611111098</v>
      </c>
      <c r="B384" t="s">
        <v>1146</v>
      </c>
      <c r="C384" t="s">
        <v>1147</v>
      </c>
      <c r="D384" s="10">
        <v>1575000</v>
      </c>
      <c r="E384" t="s">
        <v>1148</v>
      </c>
      <c r="F384" t="s">
        <v>1149</v>
      </c>
      <c r="G384" t="s">
        <v>343</v>
      </c>
      <c r="H384" t="s">
        <v>1147</v>
      </c>
      <c r="I384" s="8" t="s">
        <v>291</v>
      </c>
    </row>
    <row r="385" spans="1:9" x14ac:dyDescent="0.25">
      <c r="A385" s="5">
        <v>45993.477083333302</v>
      </c>
      <c r="B385" t="s">
        <v>1150</v>
      </c>
      <c r="C385" t="s">
        <v>1151</v>
      </c>
      <c r="D385" s="10">
        <v>2000000</v>
      </c>
      <c r="E385" t="s">
        <v>1152</v>
      </c>
      <c r="F385" t="s">
        <v>1153</v>
      </c>
      <c r="G385" t="s">
        <v>343</v>
      </c>
      <c r="H385" t="s">
        <v>1151</v>
      </c>
      <c r="I385" s="8" t="s">
        <v>291</v>
      </c>
    </row>
    <row r="386" spans="1:9" x14ac:dyDescent="0.25">
      <c r="A386" s="5">
        <v>45993.481249999997</v>
      </c>
      <c r="B386" t="s">
        <v>1154</v>
      </c>
      <c r="C386" t="s">
        <v>391</v>
      </c>
      <c r="D386" s="10">
        <v>3150000</v>
      </c>
      <c r="E386" t="s">
        <v>1155</v>
      </c>
      <c r="F386" t="s">
        <v>328</v>
      </c>
      <c r="G386" t="s">
        <v>343</v>
      </c>
      <c r="H386" t="s">
        <v>391</v>
      </c>
      <c r="I386" s="8" t="s">
        <v>291</v>
      </c>
    </row>
    <row r="387" spans="1:9" x14ac:dyDescent="0.25">
      <c r="A387" s="5">
        <v>45993.723611111098</v>
      </c>
      <c r="B387" t="s">
        <v>1156</v>
      </c>
      <c r="C387" t="s">
        <v>487</v>
      </c>
      <c r="D387" s="10">
        <v>1575000</v>
      </c>
      <c r="E387" t="s">
        <v>1157</v>
      </c>
      <c r="F387" t="s">
        <v>488</v>
      </c>
      <c r="G387" t="s">
        <v>343</v>
      </c>
      <c r="H387" t="s">
        <v>487</v>
      </c>
      <c r="I387" s="8" t="s">
        <v>291</v>
      </c>
    </row>
    <row r="388" spans="1:9" x14ac:dyDescent="0.25">
      <c r="A388" s="5">
        <v>46000.629861111098</v>
      </c>
      <c r="B388" t="s">
        <v>1158</v>
      </c>
      <c r="C388" t="s">
        <v>615</v>
      </c>
      <c r="D388" s="10">
        <v>144437682.74000001</v>
      </c>
      <c r="E388" t="s">
        <v>1159</v>
      </c>
      <c r="F388" t="s">
        <v>616</v>
      </c>
      <c r="G388" t="s">
        <v>343</v>
      </c>
      <c r="H388" t="s">
        <v>615</v>
      </c>
      <c r="I388" s="8" t="s">
        <v>291</v>
      </c>
    </row>
    <row r="389" spans="1:9" x14ac:dyDescent="0.25">
      <c r="A389" s="5">
        <v>46001.6743055556</v>
      </c>
      <c r="B389" t="s">
        <v>1160</v>
      </c>
      <c r="C389" t="s">
        <v>1161</v>
      </c>
      <c r="D389" s="10">
        <v>3150000</v>
      </c>
      <c r="E389" t="s">
        <v>1162</v>
      </c>
      <c r="F389" t="s">
        <v>1163</v>
      </c>
      <c r="G389" t="s">
        <v>343</v>
      </c>
      <c r="H389" t="s">
        <v>1161</v>
      </c>
      <c r="I389" s="8" t="s">
        <v>291</v>
      </c>
    </row>
    <row r="390" spans="1:9" x14ac:dyDescent="0.25">
      <c r="A390" s="5">
        <v>46001.677777777797</v>
      </c>
      <c r="B390" t="s">
        <v>1164</v>
      </c>
      <c r="C390" t="s">
        <v>1165</v>
      </c>
      <c r="D390" s="10">
        <v>4730000</v>
      </c>
      <c r="E390" t="s">
        <v>1166</v>
      </c>
      <c r="F390" t="s">
        <v>1167</v>
      </c>
      <c r="G390" t="s">
        <v>343</v>
      </c>
      <c r="H390" t="s">
        <v>1165</v>
      </c>
      <c r="I390" s="8" t="s">
        <v>291</v>
      </c>
    </row>
    <row r="391" spans="1:9" x14ac:dyDescent="0.25">
      <c r="A391" s="5">
        <v>46001.680555555598</v>
      </c>
      <c r="B391" t="s">
        <v>1168</v>
      </c>
      <c r="C391" t="s">
        <v>605</v>
      </c>
      <c r="D391" s="10">
        <v>3150000</v>
      </c>
      <c r="E391" t="s">
        <v>1169</v>
      </c>
      <c r="F391" t="s">
        <v>606</v>
      </c>
      <c r="G391" t="s">
        <v>343</v>
      </c>
      <c r="H391" t="s">
        <v>605</v>
      </c>
      <c r="I391" s="8" t="s">
        <v>291</v>
      </c>
    </row>
    <row r="392" spans="1:9" x14ac:dyDescent="0.25">
      <c r="A392" s="5">
        <v>46001.681944444397</v>
      </c>
      <c r="B392" t="s">
        <v>1170</v>
      </c>
      <c r="C392" t="s">
        <v>545</v>
      </c>
      <c r="D392" s="10">
        <v>4730000</v>
      </c>
      <c r="E392" t="s">
        <v>1171</v>
      </c>
      <c r="F392" t="s">
        <v>546</v>
      </c>
      <c r="G392" t="s">
        <v>343</v>
      </c>
      <c r="H392" t="s">
        <v>545</v>
      </c>
      <c r="I392" s="8" t="s">
        <v>291</v>
      </c>
    </row>
    <row r="393" spans="1:9" x14ac:dyDescent="0.25">
      <c r="A393" s="5">
        <v>46001.684027777803</v>
      </c>
      <c r="B393" t="s">
        <v>1172</v>
      </c>
      <c r="C393" t="s">
        <v>1173</v>
      </c>
      <c r="D393" s="10">
        <v>1575000</v>
      </c>
      <c r="E393" t="s">
        <v>1174</v>
      </c>
      <c r="F393" t="s">
        <v>166</v>
      </c>
      <c r="G393" t="s">
        <v>343</v>
      </c>
      <c r="H393" t="s">
        <v>1173</v>
      </c>
      <c r="I393" s="8" t="s">
        <v>291</v>
      </c>
    </row>
    <row r="394" spans="1:9" x14ac:dyDescent="0.25">
      <c r="A394" s="5">
        <v>46001.6875</v>
      </c>
      <c r="B394" t="s">
        <v>1175</v>
      </c>
      <c r="C394" t="s">
        <v>1176</v>
      </c>
      <c r="D394" s="10">
        <v>1575000</v>
      </c>
      <c r="E394" t="s">
        <v>1177</v>
      </c>
      <c r="F394" t="s">
        <v>1178</v>
      </c>
      <c r="G394" t="s">
        <v>343</v>
      </c>
      <c r="H394" t="s">
        <v>1176</v>
      </c>
      <c r="I394" s="8" t="s">
        <v>291</v>
      </c>
    </row>
    <row r="395" spans="1:9" x14ac:dyDescent="0.25">
      <c r="A395" s="5">
        <v>46001.690972222197</v>
      </c>
      <c r="B395" t="s">
        <v>1179</v>
      </c>
      <c r="C395" t="s">
        <v>1180</v>
      </c>
      <c r="D395" s="10">
        <v>1575000</v>
      </c>
      <c r="E395" t="s">
        <v>1181</v>
      </c>
      <c r="F395" t="s">
        <v>76</v>
      </c>
      <c r="G395" t="s">
        <v>343</v>
      </c>
      <c r="H395" t="s">
        <v>1180</v>
      </c>
      <c r="I395" s="8" t="s">
        <v>291</v>
      </c>
    </row>
    <row r="396" spans="1:9" x14ac:dyDescent="0.25">
      <c r="A396" s="5">
        <v>46001.693055555603</v>
      </c>
      <c r="B396" t="s">
        <v>1182</v>
      </c>
      <c r="C396" t="s">
        <v>1183</v>
      </c>
      <c r="D396" s="10">
        <v>2000000</v>
      </c>
      <c r="E396" t="s">
        <v>1184</v>
      </c>
      <c r="F396" t="s">
        <v>1185</v>
      </c>
      <c r="G396" t="s">
        <v>343</v>
      </c>
      <c r="H396" t="s">
        <v>1183</v>
      </c>
      <c r="I396" s="8" t="s">
        <v>291</v>
      </c>
    </row>
    <row r="397" spans="1:9" x14ac:dyDescent="0.25">
      <c r="A397" s="5">
        <v>46001.695138888899</v>
      </c>
      <c r="B397" t="s">
        <v>1186</v>
      </c>
      <c r="C397" t="s">
        <v>1187</v>
      </c>
      <c r="D397" s="10">
        <v>2000000</v>
      </c>
      <c r="E397" t="s">
        <v>1188</v>
      </c>
      <c r="F397" t="s">
        <v>1189</v>
      </c>
      <c r="G397" t="s">
        <v>343</v>
      </c>
      <c r="H397" t="s">
        <v>1187</v>
      </c>
      <c r="I397" s="8" t="s">
        <v>291</v>
      </c>
    </row>
    <row r="398" spans="1:9" x14ac:dyDescent="0.25">
      <c r="A398" s="5">
        <v>46001.704166666699</v>
      </c>
      <c r="B398" t="s">
        <v>1190</v>
      </c>
      <c r="C398" t="s">
        <v>1191</v>
      </c>
      <c r="D398" s="10">
        <v>3150000</v>
      </c>
      <c r="E398" t="s">
        <v>1192</v>
      </c>
      <c r="F398" t="s">
        <v>198</v>
      </c>
      <c r="G398" t="s">
        <v>343</v>
      </c>
      <c r="H398" t="s">
        <v>1191</v>
      </c>
      <c r="I398" s="8" t="s">
        <v>291</v>
      </c>
    </row>
    <row r="399" spans="1:9" x14ac:dyDescent="0.25">
      <c r="A399" s="5">
        <v>46001.706944444399</v>
      </c>
      <c r="B399" t="s">
        <v>1193</v>
      </c>
      <c r="C399" t="s">
        <v>1194</v>
      </c>
      <c r="D399" s="10">
        <v>3150000</v>
      </c>
      <c r="E399" t="s">
        <v>1195</v>
      </c>
      <c r="F399" t="s">
        <v>222</v>
      </c>
      <c r="G399" t="s">
        <v>343</v>
      </c>
      <c r="H399" t="s">
        <v>1194</v>
      </c>
      <c r="I399" s="8" t="s">
        <v>291</v>
      </c>
    </row>
    <row r="400" spans="1:9" x14ac:dyDescent="0.25">
      <c r="A400" s="5">
        <v>46001.710416666698</v>
      </c>
      <c r="B400" t="s">
        <v>1196</v>
      </c>
      <c r="C400" t="s">
        <v>1197</v>
      </c>
      <c r="D400" s="10">
        <v>3150000</v>
      </c>
      <c r="E400" t="s">
        <v>1198</v>
      </c>
      <c r="F400" t="s">
        <v>98</v>
      </c>
      <c r="G400" t="s">
        <v>343</v>
      </c>
      <c r="H400" t="s">
        <v>1197</v>
      </c>
      <c r="I400" s="8" t="s">
        <v>291</v>
      </c>
    </row>
    <row r="401" spans="1:9" x14ac:dyDescent="0.25">
      <c r="A401" s="5">
        <v>46001.718055555597</v>
      </c>
      <c r="B401" t="s">
        <v>1199</v>
      </c>
      <c r="C401" t="s">
        <v>1200</v>
      </c>
      <c r="D401" s="10">
        <v>4725000</v>
      </c>
      <c r="E401" t="s">
        <v>1201</v>
      </c>
      <c r="F401" t="s">
        <v>1202</v>
      </c>
      <c r="G401" t="s">
        <v>343</v>
      </c>
      <c r="H401" t="s">
        <v>1200</v>
      </c>
      <c r="I401" s="8" t="s">
        <v>291</v>
      </c>
    </row>
    <row r="402" spans="1:9" x14ac:dyDescent="0.25">
      <c r="A402" s="5">
        <v>46001.720138888901</v>
      </c>
      <c r="B402" t="s">
        <v>1203</v>
      </c>
      <c r="C402" t="s">
        <v>1204</v>
      </c>
      <c r="D402" s="10">
        <v>3150000</v>
      </c>
      <c r="E402" t="s">
        <v>1205</v>
      </c>
      <c r="F402" t="s">
        <v>206</v>
      </c>
      <c r="G402" t="s">
        <v>343</v>
      </c>
      <c r="H402" t="s">
        <v>1204</v>
      </c>
      <c r="I402" s="8" t="s">
        <v>291</v>
      </c>
    </row>
    <row r="403" spans="1:9" x14ac:dyDescent="0.25">
      <c r="A403" s="5">
        <v>46001.724305555603</v>
      </c>
      <c r="B403" t="s">
        <v>1206</v>
      </c>
      <c r="C403" t="s">
        <v>1207</v>
      </c>
      <c r="D403" s="10">
        <v>2365000</v>
      </c>
      <c r="E403" t="s">
        <v>1208</v>
      </c>
      <c r="F403" t="s">
        <v>1209</v>
      </c>
      <c r="G403" t="s">
        <v>343</v>
      </c>
      <c r="H403" t="s">
        <v>1207</v>
      </c>
      <c r="I403" s="8" t="s">
        <v>291</v>
      </c>
    </row>
    <row r="404" spans="1:9" x14ac:dyDescent="0.25">
      <c r="A404" s="5">
        <v>46001.727083333302</v>
      </c>
      <c r="B404" t="s">
        <v>1210</v>
      </c>
      <c r="C404" t="s">
        <v>1211</v>
      </c>
      <c r="D404" s="10">
        <v>4730000</v>
      </c>
      <c r="E404" t="s">
        <v>1212</v>
      </c>
      <c r="F404" t="s">
        <v>1213</v>
      </c>
      <c r="G404" t="s">
        <v>343</v>
      </c>
      <c r="H404" t="s">
        <v>1211</v>
      </c>
      <c r="I404" s="8" t="s">
        <v>291</v>
      </c>
    </row>
    <row r="405" spans="1:9" x14ac:dyDescent="0.25">
      <c r="A405" s="5">
        <v>46001.729166666701</v>
      </c>
      <c r="B405" t="s">
        <v>1214</v>
      </c>
      <c r="C405" t="s">
        <v>1215</v>
      </c>
      <c r="D405" s="10">
        <v>6300000</v>
      </c>
      <c r="E405" t="s">
        <v>1216</v>
      </c>
      <c r="F405" t="s">
        <v>234</v>
      </c>
      <c r="G405" t="s">
        <v>343</v>
      </c>
      <c r="H405" t="s">
        <v>1215</v>
      </c>
      <c r="I405" s="8" t="s">
        <v>291</v>
      </c>
    </row>
    <row r="406" spans="1:9" x14ac:dyDescent="0.25">
      <c r="A406" s="5">
        <v>46001.731249999997</v>
      </c>
      <c r="B406" t="s">
        <v>1217</v>
      </c>
      <c r="C406" t="s">
        <v>1218</v>
      </c>
      <c r="D406" s="10">
        <v>2000000</v>
      </c>
      <c r="E406" t="s">
        <v>1219</v>
      </c>
      <c r="F406" t="s">
        <v>194</v>
      </c>
      <c r="G406" t="s">
        <v>343</v>
      </c>
      <c r="H406" t="s">
        <v>1218</v>
      </c>
      <c r="I406" s="8" t="s">
        <v>291</v>
      </c>
    </row>
    <row r="407" spans="1:9" x14ac:dyDescent="0.25">
      <c r="A407" s="5">
        <v>46001.733333333301</v>
      </c>
      <c r="B407" t="s">
        <v>1220</v>
      </c>
      <c r="C407" t="s">
        <v>1221</v>
      </c>
      <c r="D407" s="10">
        <v>3150000</v>
      </c>
      <c r="E407" t="s">
        <v>1222</v>
      </c>
      <c r="F407" t="s">
        <v>1223</v>
      </c>
      <c r="G407" t="s">
        <v>343</v>
      </c>
      <c r="H407" t="s">
        <v>1221</v>
      </c>
      <c r="I407" s="8" t="s">
        <v>291</v>
      </c>
    </row>
    <row r="408" spans="1:9" x14ac:dyDescent="0.25">
      <c r="A408" s="5">
        <v>46001.735416666699</v>
      </c>
      <c r="B408" t="s">
        <v>1224</v>
      </c>
      <c r="C408" t="s">
        <v>1225</v>
      </c>
      <c r="D408" s="10">
        <v>3150000</v>
      </c>
      <c r="E408" t="s">
        <v>1226</v>
      </c>
      <c r="F408" t="s">
        <v>162</v>
      </c>
      <c r="G408" t="s">
        <v>343</v>
      </c>
      <c r="H408" t="s">
        <v>1225</v>
      </c>
      <c r="I408" s="8" t="s">
        <v>291</v>
      </c>
    </row>
    <row r="409" spans="1:9" x14ac:dyDescent="0.25">
      <c r="A409" s="5">
        <v>46001.737500000003</v>
      </c>
      <c r="B409" t="s">
        <v>1227</v>
      </c>
      <c r="C409" t="s">
        <v>1228</v>
      </c>
      <c r="D409" s="10">
        <v>1575000</v>
      </c>
      <c r="E409" t="s">
        <v>1229</v>
      </c>
      <c r="F409" t="s">
        <v>1230</v>
      </c>
      <c r="G409" t="s">
        <v>343</v>
      </c>
      <c r="H409" t="s">
        <v>1228</v>
      </c>
      <c r="I409" s="8" t="s">
        <v>291</v>
      </c>
    </row>
    <row r="410" spans="1:9" x14ac:dyDescent="0.25">
      <c r="A410" s="5">
        <v>46002.604861111096</v>
      </c>
      <c r="B410" t="s">
        <v>1231</v>
      </c>
      <c r="C410" t="s">
        <v>609</v>
      </c>
      <c r="D410" s="10">
        <v>4730000</v>
      </c>
      <c r="E410" t="s">
        <v>1232</v>
      </c>
      <c r="F410" t="s">
        <v>610</v>
      </c>
      <c r="G410" t="s">
        <v>343</v>
      </c>
      <c r="H410" t="s">
        <v>609</v>
      </c>
      <c r="I410" s="8" t="s">
        <v>291</v>
      </c>
    </row>
    <row r="411" spans="1:9" x14ac:dyDescent="0.25">
      <c r="A411" s="5">
        <v>46002.6069444444</v>
      </c>
      <c r="B411" t="s">
        <v>1233</v>
      </c>
      <c r="C411" t="s">
        <v>530</v>
      </c>
      <c r="D411" s="10">
        <v>4730000</v>
      </c>
      <c r="E411" t="s">
        <v>1234</v>
      </c>
      <c r="F411" t="s">
        <v>531</v>
      </c>
      <c r="G411" t="s">
        <v>343</v>
      </c>
      <c r="H411" t="s">
        <v>530</v>
      </c>
      <c r="I411" s="8" t="s">
        <v>291</v>
      </c>
    </row>
    <row r="412" spans="1:9" x14ac:dyDescent="0.25">
      <c r="A412" s="5">
        <v>46002.608333333301</v>
      </c>
      <c r="B412" t="s">
        <v>1235</v>
      </c>
      <c r="C412" t="s">
        <v>523</v>
      </c>
      <c r="D412" s="10">
        <v>4730000</v>
      </c>
      <c r="E412" t="s">
        <v>1236</v>
      </c>
      <c r="F412" t="s">
        <v>524</v>
      </c>
      <c r="G412" t="s">
        <v>343</v>
      </c>
      <c r="H412" t="s">
        <v>523</v>
      </c>
      <c r="I412" s="8" t="s">
        <v>291</v>
      </c>
    </row>
    <row r="413" spans="1:9" x14ac:dyDescent="0.25">
      <c r="A413" s="5">
        <v>46002.610416666699</v>
      </c>
      <c r="B413" t="s">
        <v>1237</v>
      </c>
      <c r="C413" t="s">
        <v>599</v>
      </c>
      <c r="D413" s="10">
        <v>3150000</v>
      </c>
      <c r="E413" t="s">
        <v>692</v>
      </c>
      <c r="F413" t="s">
        <v>600</v>
      </c>
      <c r="G413" t="s">
        <v>343</v>
      </c>
      <c r="H413" t="s">
        <v>599</v>
      </c>
      <c r="I413" s="8" t="s">
        <v>291</v>
      </c>
    </row>
    <row r="414" spans="1:9" x14ac:dyDescent="0.25">
      <c r="A414" s="5">
        <v>46002.614583333299</v>
      </c>
      <c r="B414" t="s">
        <v>1238</v>
      </c>
      <c r="C414" t="s">
        <v>432</v>
      </c>
      <c r="D414" s="10">
        <v>4730000</v>
      </c>
      <c r="E414" t="s">
        <v>657</v>
      </c>
      <c r="F414" t="s">
        <v>433</v>
      </c>
      <c r="G414" t="s">
        <v>343</v>
      </c>
      <c r="H414" t="s">
        <v>432</v>
      </c>
      <c r="I414" s="8" t="s">
        <v>291</v>
      </c>
    </row>
    <row r="415" spans="1:9" x14ac:dyDescent="0.25">
      <c r="A415" s="5">
        <v>46002.616666666698</v>
      </c>
      <c r="B415" t="s">
        <v>1239</v>
      </c>
      <c r="C415" t="s">
        <v>469</v>
      </c>
      <c r="D415" s="10">
        <v>4730000</v>
      </c>
      <c r="E415" t="s">
        <v>705</v>
      </c>
      <c r="F415" t="s">
        <v>470</v>
      </c>
      <c r="G415" t="s">
        <v>343</v>
      </c>
      <c r="H415" t="s">
        <v>469</v>
      </c>
      <c r="I415" s="8" t="s">
        <v>291</v>
      </c>
    </row>
    <row r="416" spans="1:9" x14ac:dyDescent="0.25">
      <c r="A416" s="5">
        <v>46002.623611111099</v>
      </c>
      <c r="B416" t="s">
        <v>1240</v>
      </c>
      <c r="C416" t="s">
        <v>451</v>
      </c>
      <c r="D416" s="10">
        <v>4730000</v>
      </c>
      <c r="E416" t="s">
        <v>709</v>
      </c>
      <c r="F416" t="s">
        <v>452</v>
      </c>
      <c r="G416" t="s">
        <v>343</v>
      </c>
      <c r="H416" t="s">
        <v>451</v>
      </c>
      <c r="I416" s="8" t="s">
        <v>291</v>
      </c>
    </row>
    <row r="417" spans="1:9" x14ac:dyDescent="0.25">
      <c r="A417" s="5">
        <v>46002.626388888901</v>
      </c>
      <c r="B417" t="s">
        <v>1241</v>
      </c>
      <c r="C417" t="s">
        <v>571</v>
      </c>
      <c r="D417" s="10">
        <v>4730000</v>
      </c>
      <c r="E417" t="s">
        <v>893</v>
      </c>
      <c r="F417" t="s">
        <v>572</v>
      </c>
      <c r="G417" t="s">
        <v>343</v>
      </c>
      <c r="H417" t="s">
        <v>571</v>
      </c>
      <c r="I417" s="8" t="s">
        <v>291</v>
      </c>
    </row>
    <row r="418" spans="1:9" x14ac:dyDescent="0.25">
      <c r="A418" s="5">
        <v>46002.629166666702</v>
      </c>
      <c r="B418" t="s">
        <v>1242</v>
      </c>
      <c r="C418" t="s">
        <v>436</v>
      </c>
      <c r="D418" s="10">
        <v>4730000</v>
      </c>
      <c r="E418" t="s">
        <v>679</v>
      </c>
      <c r="F418" t="s">
        <v>92</v>
      </c>
      <c r="G418" t="s">
        <v>343</v>
      </c>
      <c r="H418" t="s">
        <v>436</v>
      </c>
      <c r="I418" s="8" t="s">
        <v>291</v>
      </c>
    </row>
    <row r="419" spans="1:9" x14ac:dyDescent="0.25">
      <c r="A419" s="5">
        <v>46002.638888888898</v>
      </c>
      <c r="B419" t="s">
        <v>1243</v>
      </c>
      <c r="C419" t="s">
        <v>475</v>
      </c>
      <c r="D419" s="10">
        <v>7800000</v>
      </c>
      <c r="E419" t="s">
        <v>701</v>
      </c>
      <c r="F419" t="s">
        <v>216</v>
      </c>
      <c r="G419" t="s">
        <v>343</v>
      </c>
      <c r="H419" t="s">
        <v>475</v>
      </c>
      <c r="I419" s="8" t="s">
        <v>291</v>
      </c>
    </row>
    <row r="420" spans="1:9" x14ac:dyDescent="0.25">
      <c r="A420" s="5">
        <v>46002.643750000003</v>
      </c>
      <c r="B420" t="s">
        <v>1244</v>
      </c>
      <c r="C420" t="s">
        <v>471</v>
      </c>
      <c r="D420" s="10">
        <v>7800000</v>
      </c>
      <c r="E420" t="s">
        <v>775</v>
      </c>
      <c r="F420" t="s">
        <v>472</v>
      </c>
      <c r="G420" t="s">
        <v>343</v>
      </c>
      <c r="H420" t="s">
        <v>471</v>
      </c>
      <c r="I420" s="8" t="s">
        <v>291</v>
      </c>
    </row>
    <row r="421" spans="1:9" x14ac:dyDescent="0.25">
      <c r="A421" s="5">
        <v>46002.6472222222</v>
      </c>
      <c r="B421" t="s">
        <v>1245</v>
      </c>
      <c r="C421" t="s">
        <v>449</v>
      </c>
      <c r="D421" s="10">
        <v>7800000</v>
      </c>
      <c r="E421" t="s">
        <v>663</v>
      </c>
      <c r="F421" t="s">
        <v>450</v>
      </c>
      <c r="G421" t="s">
        <v>343</v>
      </c>
      <c r="H421" t="s">
        <v>449</v>
      </c>
      <c r="I421" s="8" t="s">
        <v>291</v>
      </c>
    </row>
    <row r="422" spans="1:9" x14ac:dyDescent="0.25">
      <c r="A422" s="5">
        <v>46002.648611111101</v>
      </c>
      <c r="B422" t="s">
        <v>1246</v>
      </c>
      <c r="C422" t="s">
        <v>461</v>
      </c>
      <c r="D422" s="10">
        <v>6300000</v>
      </c>
      <c r="E422" t="s">
        <v>821</v>
      </c>
      <c r="F422" t="s">
        <v>462</v>
      </c>
      <c r="G422" t="s">
        <v>343</v>
      </c>
      <c r="H422" t="s">
        <v>461</v>
      </c>
      <c r="I422" s="8" t="s">
        <v>291</v>
      </c>
    </row>
    <row r="423" spans="1:9" x14ac:dyDescent="0.25">
      <c r="A423" s="5">
        <v>46002.652083333298</v>
      </c>
      <c r="B423" t="s">
        <v>1247</v>
      </c>
      <c r="C423" t="s">
        <v>426</v>
      </c>
      <c r="D423" s="10">
        <v>7800000</v>
      </c>
      <c r="E423" t="s">
        <v>649</v>
      </c>
      <c r="F423" t="s">
        <v>427</v>
      </c>
      <c r="G423" t="s">
        <v>343</v>
      </c>
      <c r="H423" t="s">
        <v>426</v>
      </c>
      <c r="I423" s="8" t="s">
        <v>291</v>
      </c>
    </row>
    <row r="424" spans="1:9" x14ac:dyDescent="0.25">
      <c r="A424" s="5">
        <v>46002.655555555597</v>
      </c>
      <c r="B424" t="s">
        <v>1248</v>
      </c>
      <c r="C424" t="s">
        <v>446</v>
      </c>
      <c r="D424" s="10">
        <v>7800000</v>
      </c>
      <c r="E424" t="s">
        <v>717</v>
      </c>
      <c r="F424" t="s">
        <v>60</v>
      </c>
      <c r="G424" t="s">
        <v>343</v>
      </c>
      <c r="H424" t="s">
        <v>446</v>
      </c>
      <c r="I424" s="8" t="s">
        <v>291</v>
      </c>
    </row>
    <row r="425" spans="1:9" x14ac:dyDescent="0.25">
      <c r="A425" s="5">
        <v>46002.663888888899</v>
      </c>
      <c r="B425" t="s">
        <v>1249</v>
      </c>
      <c r="C425" t="s">
        <v>597</v>
      </c>
      <c r="D425" s="10">
        <v>7800000</v>
      </c>
      <c r="E425" t="s">
        <v>895</v>
      </c>
      <c r="F425" t="s">
        <v>598</v>
      </c>
      <c r="G425" t="s">
        <v>343</v>
      </c>
      <c r="H425" t="s">
        <v>597</v>
      </c>
      <c r="I425" s="8" t="s">
        <v>291</v>
      </c>
    </row>
    <row r="426" spans="1:9" x14ac:dyDescent="0.25">
      <c r="A426" s="5">
        <v>46002.666666666701</v>
      </c>
      <c r="B426" t="s">
        <v>1250</v>
      </c>
      <c r="C426" t="s">
        <v>359</v>
      </c>
      <c r="D426" s="10">
        <v>6300000</v>
      </c>
      <c r="E426" t="s">
        <v>777</v>
      </c>
      <c r="F426" t="s">
        <v>134</v>
      </c>
      <c r="G426" t="s">
        <v>343</v>
      </c>
      <c r="H426" t="s">
        <v>359</v>
      </c>
      <c r="I426" s="8" t="s">
        <v>291</v>
      </c>
    </row>
    <row r="427" spans="1:9" x14ac:dyDescent="0.25">
      <c r="A427" s="5">
        <v>46002.6694444444</v>
      </c>
      <c r="B427" t="s">
        <v>1251</v>
      </c>
      <c r="C427" t="s">
        <v>350</v>
      </c>
      <c r="D427" s="10">
        <v>6300000</v>
      </c>
      <c r="E427" t="s">
        <v>651</v>
      </c>
      <c r="F427" t="s">
        <v>84</v>
      </c>
      <c r="G427" t="s">
        <v>343</v>
      </c>
      <c r="H427" t="s">
        <v>350</v>
      </c>
      <c r="I427" s="8" t="s">
        <v>291</v>
      </c>
    </row>
    <row r="428" spans="1:9" x14ac:dyDescent="0.25">
      <c r="A428" s="5">
        <v>46002.670833333301</v>
      </c>
      <c r="B428" t="s">
        <v>1252</v>
      </c>
      <c r="C428" t="s">
        <v>434</v>
      </c>
      <c r="D428" s="10">
        <v>6300000</v>
      </c>
      <c r="E428" t="s">
        <v>767</v>
      </c>
      <c r="F428" t="s">
        <v>435</v>
      </c>
      <c r="G428" t="s">
        <v>343</v>
      </c>
      <c r="H428" t="s">
        <v>434</v>
      </c>
      <c r="I428" s="8" t="s">
        <v>291</v>
      </c>
    </row>
    <row r="429" spans="1:9" x14ac:dyDescent="0.25">
      <c r="A429" s="5">
        <v>46002.673611111102</v>
      </c>
      <c r="B429" t="s">
        <v>1253</v>
      </c>
      <c r="C429" t="s">
        <v>362</v>
      </c>
      <c r="D429" s="10">
        <v>6300000</v>
      </c>
      <c r="E429" t="s">
        <v>721</v>
      </c>
      <c r="F429" t="s">
        <v>363</v>
      </c>
      <c r="G429" t="s">
        <v>343</v>
      </c>
      <c r="H429" t="s">
        <v>362</v>
      </c>
      <c r="I429" s="8" t="s">
        <v>291</v>
      </c>
    </row>
    <row r="430" spans="1:9" x14ac:dyDescent="0.25">
      <c r="A430" s="5">
        <v>46002.675000000003</v>
      </c>
      <c r="B430" t="s">
        <v>1254</v>
      </c>
      <c r="C430" t="s">
        <v>485</v>
      </c>
      <c r="D430" s="10">
        <v>6300000</v>
      </c>
      <c r="E430" t="s">
        <v>707</v>
      </c>
      <c r="F430" t="s">
        <v>486</v>
      </c>
      <c r="G430" t="s">
        <v>343</v>
      </c>
      <c r="H430" t="s">
        <v>485</v>
      </c>
      <c r="I430" s="8" t="s">
        <v>291</v>
      </c>
    </row>
    <row r="431" spans="1:9" x14ac:dyDescent="0.25">
      <c r="A431" s="5">
        <v>46002.679861111101</v>
      </c>
      <c r="B431" t="s">
        <v>1255</v>
      </c>
      <c r="C431" t="s">
        <v>437</v>
      </c>
      <c r="D431" s="10">
        <v>7800000</v>
      </c>
      <c r="E431" t="s">
        <v>769</v>
      </c>
      <c r="F431" t="s">
        <v>438</v>
      </c>
      <c r="G431" t="s">
        <v>343</v>
      </c>
      <c r="H431" t="s">
        <v>437</v>
      </c>
      <c r="I431" s="8" t="s">
        <v>291</v>
      </c>
    </row>
    <row r="432" spans="1:9" x14ac:dyDescent="0.25">
      <c r="A432" s="5">
        <v>46002.686111111099</v>
      </c>
      <c r="B432" t="s">
        <v>1256</v>
      </c>
      <c r="C432" t="s">
        <v>428</v>
      </c>
      <c r="D432" s="10">
        <v>3150000</v>
      </c>
      <c r="E432" t="s">
        <v>891</v>
      </c>
      <c r="F432" t="s">
        <v>196</v>
      </c>
      <c r="G432" t="s">
        <v>343</v>
      </c>
      <c r="H432" t="s">
        <v>428</v>
      </c>
      <c r="I432" s="8" t="s">
        <v>291</v>
      </c>
    </row>
    <row r="433" spans="1:9" x14ac:dyDescent="0.25">
      <c r="A433" s="5">
        <v>46002.690972222197</v>
      </c>
      <c r="B433" t="s">
        <v>1257</v>
      </c>
      <c r="C433" t="s">
        <v>349</v>
      </c>
      <c r="D433" s="10">
        <v>3150000</v>
      </c>
      <c r="E433" t="s">
        <v>673</v>
      </c>
      <c r="F433" t="s">
        <v>154</v>
      </c>
      <c r="G433" t="s">
        <v>343</v>
      </c>
      <c r="H433" t="s">
        <v>349</v>
      </c>
      <c r="I433" s="8" t="s">
        <v>291</v>
      </c>
    </row>
    <row r="434" spans="1:9" x14ac:dyDescent="0.25">
      <c r="A434" s="5">
        <v>46002.7006944444</v>
      </c>
      <c r="B434" t="s">
        <v>1258</v>
      </c>
      <c r="C434" t="s">
        <v>476</v>
      </c>
      <c r="D434" s="10">
        <v>3150000</v>
      </c>
      <c r="E434" t="s">
        <v>897</v>
      </c>
      <c r="F434" t="s">
        <v>477</v>
      </c>
      <c r="G434" t="s">
        <v>343</v>
      </c>
      <c r="H434" t="s">
        <v>476</v>
      </c>
      <c r="I434" s="8" t="s">
        <v>291</v>
      </c>
    </row>
    <row r="435" spans="1:9" x14ac:dyDescent="0.25">
      <c r="A435" s="5">
        <v>46002.695138888899</v>
      </c>
      <c r="B435" t="s">
        <v>1259</v>
      </c>
      <c r="C435" t="s">
        <v>479</v>
      </c>
      <c r="D435" s="10">
        <v>3150000</v>
      </c>
      <c r="E435" t="s">
        <v>725</v>
      </c>
      <c r="F435" t="s">
        <v>480</v>
      </c>
      <c r="G435" t="s">
        <v>343</v>
      </c>
      <c r="H435" t="s">
        <v>479</v>
      </c>
      <c r="I435" s="8" t="s">
        <v>291</v>
      </c>
    </row>
    <row r="436" spans="1:9" x14ac:dyDescent="0.25">
      <c r="A436" s="5">
        <v>46002.697916666701</v>
      </c>
      <c r="B436" t="s">
        <v>1260</v>
      </c>
      <c r="C436" t="s">
        <v>468</v>
      </c>
      <c r="D436" s="10">
        <v>7800000</v>
      </c>
      <c r="E436" t="s">
        <v>819</v>
      </c>
      <c r="F436" t="s">
        <v>16</v>
      </c>
      <c r="G436" t="s">
        <v>343</v>
      </c>
      <c r="H436" t="s">
        <v>468</v>
      </c>
      <c r="I436" s="8" t="s">
        <v>291</v>
      </c>
    </row>
    <row r="437" spans="1:9" x14ac:dyDescent="0.25">
      <c r="A437" s="5">
        <v>46002.699305555601</v>
      </c>
      <c r="B437" t="s">
        <v>1261</v>
      </c>
      <c r="C437" t="s">
        <v>365</v>
      </c>
      <c r="D437" s="10">
        <v>3150000</v>
      </c>
      <c r="E437" t="s">
        <v>659</v>
      </c>
      <c r="F437" t="s">
        <v>366</v>
      </c>
      <c r="G437" t="s">
        <v>343</v>
      </c>
      <c r="H437" t="s">
        <v>365</v>
      </c>
      <c r="I437" s="8" t="s">
        <v>291</v>
      </c>
    </row>
    <row r="438" spans="1:9" x14ac:dyDescent="0.25">
      <c r="A438" s="5">
        <v>46002.702083333301</v>
      </c>
      <c r="B438" t="s">
        <v>1262</v>
      </c>
      <c r="C438" t="s">
        <v>346</v>
      </c>
      <c r="D438" s="10">
        <v>3150000</v>
      </c>
      <c r="E438" t="s">
        <v>661</v>
      </c>
      <c r="F438" t="s">
        <v>347</v>
      </c>
      <c r="G438" t="s">
        <v>343</v>
      </c>
      <c r="H438" t="s">
        <v>346</v>
      </c>
      <c r="I438" s="8" t="s">
        <v>291</v>
      </c>
    </row>
    <row r="439" spans="1:9" x14ac:dyDescent="0.25">
      <c r="A439" s="5">
        <v>46002.704861111102</v>
      </c>
      <c r="B439" t="s">
        <v>1263</v>
      </c>
      <c r="C439" t="s">
        <v>1264</v>
      </c>
      <c r="D439" s="10">
        <v>4730000</v>
      </c>
      <c r="E439" t="s">
        <v>1265</v>
      </c>
      <c r="F439" t="s">
        <v>1266</v>
      </c>
      <c r="G439" t="s">
        <v>343</v>
      </c>
      <c r="H439" t="s">
        <v>1264</v>
      </c>
      <c r="I439" s="8" t="s">
        <v>291</v>
      </c>
    </row>
    <row r="440" spans="1:9" x14ac:dyDescent="0.25">
      <c r="A440" s="5">
        <v>46002.706944444399</v>
      </c>
      <c r="B440" t="s">
        <v>1267</v>
      </c>
      <c r="C440" t="s">
        <v>1268</v>
      </c>
      <c r="D440" s="10">
        <v>4730000</v>
      </c>
      <c r="E440" t="s">
        <v>1269</v>
      </c>
      <c r="F440" t="s">
        <v>1270</v>
      </c>
      <c r="G440" t="s">
        <v>343</v>
      </c>
      <c r="H440" t="s">
        <v>1268</v>
      </c>
      <c r="I440" s="8" t="s">
        <v>291</v>
      </c>
    </row>
    <row r="441" spans="1:9" x14ac:dyDescent="0.25">
      <c r="A441" s="5">
        <v>46003.385416666701</v>
      </c>
      <c r="B441" t="s">
        <v>1271</v>
      </c>
      <c r="C441" t="s">
        <v>1272</v>
      </c>
      <c r="D441" s="10">
        <v>6300000</v>
      </c>
      <c r="E441" t="s">
        <v>1273</v>
      </c>
      <c r="F441" t="s">
        <v>1274</v>
      </c>
      <c r="G441" t="s">
        <v>343</v>
      </c>
      <c r="H441" t="s">
        <v>1272</v>
      </c>
      <c r="I441" s="8" t="s">
        <v>291</v>
      </c>
    </row>
    <row r="442" spans="1:9" x14ac:dyDescent="0.25">
      <c r="A442" s="5">
        <v>46003.390972222202</v>
      </c>
      <c r="B442" t="s">
        <v>1275</v>
      </c>
      <c r="C442" t="s">
        <v>1276</v>
      </c>
      <c r="D442" s="10">
        <v>3150000</v>
      </c>
      <c r="E442" t="s">
        <v>1277</v>
      </c>
      <c r="F442" t="s">
        <v>1278</v>
      </c>
      <c r="G442" t="s">
        <v>343</v>
      </c>
      <c r="H442" t="s">
        <v>1276</v>
      </c>
      <c r="I442" s="8" t="s">
        <v>291</v>
      </c>
    </row>
    <row r="443" spans="1:9" x14ac:dyDescent="0.25">
      <c r="A443" s="5">
        <v>46003.396527777797</v>
      </c>
      <c r="B443" t="s">
        <v>1279</v>
      </c>
      <c r="C443" t="s">
        <v>1280</v>
      </c>
      <c r="D443" s="10">
        <v>7800000</v>
      </c>
      <c r="E443" t="s">
        <v>1281</v>
      </c>
      <c r="F443" t="s">
        <v>1282</v>
      </c>
      <c r="G443" t="s">
        <v>343</v>
      </c>
      <c r="H443" t="s">
        <v>1280</v>
      </c>
      <c r="I443" s="8" t="s">
        <v>291</v>
      </c>
    </row>
    <row r="444" spans="1:9" x14ac:dyDescent="0.25">
      <c r="A444" s="5">
        <v>46003.400694444397</v>
      </c>
      <c r="B444" t="s">
        <v>1283</v>
      </c>
      <c r="C444" t="s">
        <v>1284</v>
      </c>
      <c r="D444" s="10">
        <v>4730000</v>
      </c>
      <c r="E444" t="s">
        <v>1285</v>
      </c>
      <c r="F444" t="s">
        <v>1286</v>
      </c>
      <c r="G444" t="s">
        <v>343</v>
      </c>
      <c r="H444" t="s">
        <v>1284</v>
      </c>
      <c r="I444" s="8" t="s">
        <v>291</v>
      </c>
    </row>
    <row r="445" spans="1:9" x14ac:dyDescent="0.25">
      <c r="A445" s="5">
        <v>46003.402083333298</v>
      </c>
      <c r="B445" t="s">
        <v>1287</v>
      </c>
      <c r="C445" t="s">
        <v>390</v>
      </c>
      <c r="D445" s="10">
        <v>3150000</v>
      </c>
      <c r="E445" t="s">
        <v>639</v>
      </c>
      <c r="F445" t="s">
        <v>120</v>
      </c>
      <c r="G445" t="s">
        <v>343</v>
      </c>
      <c r="H445" t="s">
        <v>390</v>
      </c>
      <c r="I445" s="8" t="s">
        <v>291</v>
      </c>
    </row>
    <row r="446" spans="1:9" x14ac:dyDescent="0.25">
      <c r="A446" s="5">
        <v>46003.40625</v>
      </c>
      <c r="B446" t="s">
        <v>1288</v>
      </c>
      <c r="C446" t="s">
        <v>460</v>
      </c>
      <c r="D446" s="10">
        <v>7800000</v>
      </c>
      <c r="E446" t="s">
        <v>747</v>
      </c>
      <c r="F446" t="s">
        <v>62</v>
      </c>
      <c r="G446" t="s">
        <v>343</v>
      </c>
      <c r="H446" t="s">
        <v>460</v>
      </c>
      <c r="I446" s="8" t="s">
        <v>291</v>
      </c>
    </row>
    <row r="447" spans="1:9" x14ac:dyDescent="0.25">
      <c r="A447" s="5">
        <v>46003.409027777801</v>
      </c>
      <c r="B447" t="s">
        <v>1289</v>
      </c>
      <c r="C447" t="s">
        <v>382</v>
      </c>
      <c r="D447" s="10">
        <v>4730000</v>
      </c>
      <c r="E447" t="s">
        <v>795</v>
      </c>
      <c r="F447" t="s">
        <v>48</v>
      </c>
      <c r="G447" t="s">
        <v>343</v>
      </c>
      <c r="H447" t="s">
        <v>382</v>
      </c>
      <c r="I447" s="8" t="s">
        <v>291</v>
      </c>
    </row>
    <row r="448" spans="1:9" x14ac:dyDescent="0.25">
      <c r="A448" s="5">
        <v>46003.409722222197</v>
      </c>
      <c r="B448" t="s">
        <v>1290</v>
      </c>
      <c r="C448" t="s">
        <v>534</v>
      </c>
      <c r="D448" s="10">
        <v>6300000</v>
      </c>
      <c r="E448" t="s">
        <v>1291</v>
      </c>
      <c r="F448" t="s">
        <v>535</v>
      </c>
      <c r="G448" t="s">
        <v>343</v>
      </c>
      <c r="H448" t="s">
        <v>534</v>
      </c>
      <c r="I448" s="8" t="s">
        <v>291</v>
      </c>
    </row>
    <row r="449" spans="1:9" x14ac:dyDescent="0.25">
      <c r="A449" s="5">
        <v>46003.431250000001</v>
      </c>
      <c r="B449" t="s">
        <v>1292</v>
      </c>
      <c r="C449" t="s">
        <v>1293</v>
      </c>
      <c r="D449" s="10">
        <v>3150000</v>
      </c>
      <c r="E449" t="s">
        <v>1294</v>
      </c>
      <c r="F449" t="s">
        <v>1295</v>
      </c>
      <c r="G449" t="s">
        <v>343</v>
      </c>
      <c r="H449" t="s">
        <v>1293</v>
      </c>
      <c r="I449" s="8" t="s">
        <v>291</v>
      </c>
    </row>
    <row r="450" spans="1:9" x14ac:dyDescent="0.25">
      <c r="A450" s="5">
        <v>46003.412499999999</v>
      </c>
      <c r="B450" t="s">
        <v>1296</v>
      </c>
      <c r="C450" t="s">
        <v>1297</v>
      </c>
      <c r="D450" s="10">
        <v>7800000</v>
      </c>
      <c r="E450" t="s">
        <v>1298</v>
      </c>
      <c r="F450" t="s">
        <v>1299</v>
      </c>
      <c r="G450" t="s">
        <v>343</v>
      </c>
      <c r="H450" t="s">
        <v>1297</v>
      </c>
      <c r="I450" s="8" t="s">
        <v>291</v>
      </c>
    </row>
    <row r="451" spans="1:9" x14ac:dyDescent="0.25">
      <c r="A451" s="5">
        <v>46003.432638888902</v>
      </c>
      <c r="B451" t="s">
        <v>1300</v>
      </c>
      <c r="C451" t="s">
        <v>1293</v>
      </c>
      <c r="D451" s="10">
        <v>3150000</v>
      </c>
      <c r="E451" t="s">
        <v>1294</v>
      </c>
      <c r="F451" t="s">
        <v>1295</v>
      </c>
      <c r="G451" t="s">
        <v>343</v>
      </c>
      <c r="H451" t="s">
        <v>1293</v>
      </c>
      <c r="I451" s="8" t="s">
        <v>291</v>
      </c>
    </row>
    <row r="452" spans="1:9" x14ac:dyDescent="0.25">
      <c r="A452" s="5">
        <v>46003.436111111099</v>
      </c>
      <c r="B452" t="s">
        <v>1301</v>
      </c>
      <c r="C452" t="s">
        <v>854</v>
      </c>
      <c r="D452" s="10">
        <v>3150000</v>
      </c>
      <c r="E452" t="s">
        <v>855</v>
      </c>
      <c r="F452" t="s">
        <v>856</v>
      </c>
      <c r="G452" t="s">
        <v>343</v>
      </c>
      <c r="H452" t="s">
        <v>854</v>
      </c>
      <c r="I452" s="8" t="s">
        <v>291</v>
      </c>
    </row>
    <row r="453" spans="1:9" x14ac:dyDescent="0.25">
      <c r="A453" s="5">
        <v>46003.438194444403</v>
      </c>
      <c r="B453" t="s">
        <v>1302</v>
      </c>
      <c r="C453" t="s">
        <v>351</v>
      </c>
      <c r="D453" s="10">
        <v>4730000</v>
      </c>
      <c r="E453" t="s">
        <v>803</v>
      </c>
      <c r="F453" t="s">
        <v>352</v>
      </c>
      <c r="G453" t="s">
        <v>343</v>
      </c>
      <c r="H453" t="s">
        <v>351</v>
      </c>
      <c r="I453" s="8" t="s">
        <v>291</v>
      </c>
    </row>
    <row r="454" spans="1:9" x14ac:dyDescent="0.25">
      <c r="A454" s="5">
        <v>46003.596527777801</v>
      </c>
      <c r="B454" t="s">
        <v>1303</v>
      </c>
      <c r="C454" t="s">
        <v>353</v>
      </c>
      <c r="D454" s="10">
        <v>150342500</v>
      </c>
      <c r="E454" t="s">
        <v>625</v>
      </c>
      <c r="F454" t="s">
        <v>26</v>
      </c>
      <c r="G454" t="s">
        <v>343</v>
      </c>
      <c r="H454" t="s">
        <v>353</v>
      </c>
      <c r="I454" s="8" t="s">
        <v>291</v>
      </c>
    </row>
    <row r="455" spans="1:9" x14ac:dyDescent="0.25">
      <c r="A455" s="5">
        <v>46003.597916666702</v>
      </c>
      <c r="B455" t="s">
        <v>1304</v>
      </c>
      <c r="C455" t="s">
        <v>1068</v>
      </c>
      <c r="D455" s="10">
        <v>2000000</v>
      </c>
      <c r="E455" t="s">
        <v>1069</v>
      </c>
      <c r="F455" t="s">
        <v>1070</v>
      </c>
      <c r="G455" t="s">
        <v>343</v>
      </c>
      <c r="H455" t="s">
        <v>1068</v>
      </c>
      <c r="I455" s="8" t="s">
        <v>291</v>
      </c>
    </row>
    <row r="456" spans="1:9" x14ac:dyDescent="0.25">
      <c r="A456" s="5">
        <v>46003.6</v>
      </c>
      <c r="B456" t="s">
        <v>1305</v>
      </c>
      <c r="C456" t="s">
        <v>985</v>
      </c>
      <c r="D456" s="10">
        <v>3150000</v>
      </c>
      <c r="E456" t="s">
        <v>986</v>
      </c>
      <c r="F456" t="s">
        <v>987</v>
      </c>
      <c r="G456" t="s">
        <v>343</v>
      </c>
      <c r="H456" t="s">
        <v>985</v>
      </c>
      <c r="I456" s="8" t="s">
        <v>291</v>
      </c>
    </row>
    <row r="457" spans="1:9" x14ac:dyDescent="0.25">
      <c r="A457" s="5">
        <v>46003.6027777778</v>
      </c>
      <c r="B457" t="s">
        <v>1306</v>
      </c>
      <c r="C457" t="s">
        <v>387</v>
      </c>
      <c r="D457" s="10">
        <v>6300000</v>
      </c>
      <c r="E457" t="s">
        <v>627</v>
      </c>
      <c r="F457" t="s">
        <v>28</v>
      </c>
      <c r="G457" t="s">
        <v>343</v>
      </c>
      <c r="H457" t="s">
        <v>387</v>
      </c>
      <c r="I457" s="8" t="s">
        <v>291</v>
      </c>
    </row>
    <row r="458" spans="1:9" x14ac:dyDescent="0.25">
      <c r="A458" s="5">
        <v>46003.613194444399</v>
      </c>
      <c r="B458" t="s">
        <v>1307</v>
      </c>
      <c r="C458" t="s">
        <v>341</v>
      </c>
      <c r="D458" s="10">
        <v>3150000</v>
      </c>
      <c r="E458" t="s">
        <v>850</v>
      </c>
      <c r="F458" t="s">
        <v>342</v>
      </c>
      <c r="G458" t="s">
        <v>343</v>
      </c>
      <c r="H458" t="s">
        <v>341</v>
      </c>
      <c r="I458" s="8" t="s">
        <v>291</v>
      </c>
    </row>
    <row r="459" spans="1:9" x14ac:dyDescent="0.25">
      <c r="A459" s="5">
        <v>46003.615277777797</v>
      </c>
      <c r="B459" t="s">
        <v>1308</v>
      </c>
      <c r="C459" t="s">
        <v>1309</v>
      </c>
      <c r="D459" s="10">
        <v>2000000</v>
      </c>
      <c r="E459" t="s">
        <v>1310</v>
      </c>
      <c r="F459" t="s">
        <v>1311</v>
      </c>
      <c r="G459" t="s">
        <v>343</v>
      </c>
      <c r="H459" t="s">
        <v>1309</v>
      </c>
      <c r="I459" s="8" t="s">
        <v>291</v>
      </c>
    </row>
    <row r="460" spans="1:9" x14ac:dyDescent="0.25">
      <c r="A460" s="5">
        <v>46003.618750000001</v>
      </c>
      <c r="B460" t="s">
        <v>1312</v>
      </c>
      <c r="C460" t="s">
        <v>1313</v>
      </c>
      <c r="D460" s="10">
        <v>3150000</v>
      </c>
      <c r="E460" t="s">
        <v>1314</v>
      </c>
      <c r="F460" t="s">
        <v>64</v>
      </c>
      <c r="G460" t="s">
        <v>343</v>
      </c>
      <c r="H460" t="s">
        <v>1313</v>
      </c>
      <c r="I460" s="8" t="s">
        <v>291</v>
      </c>
    </row>
    <row r="461" spans="1:9" x14ac:dyDescent="0.25">
      <c r="A461" s="5">
        <v>46003.622222222199</v>
      </c>
      <c r="B461" t="s">
        <v>1315</v>
      </c>
      <c r="C461" t="s">
        <v>552</v>
      </c>
      <c r="D461" s="10">
        <v>3150000</v>
      </c>
      <c r="E461" t="s">
        <v>635</v>
      </c>
      <c r="F461" t="s">
        <v>30</v>
      </c>
      <c r="G461" t="s">
        <v>343</v>
      </c>
      <c r="H461" t="s">
        <v>552</v>
      </c>
      <c r="I461" s="8" t="s">
        <v>291</v>
      </c>
    </row>
    <row r="462" spans="1:9" x14ac:dyDescent="0.25">
      <c r="A462" s="5">
        <v>46003.625694444403</v>
      </c>
      <c r="B462" t="s">
        <v>1316</v>
      </c>
      <c r="C462" t="s">
        <v>383</v>
      </c>
      <c r="D462" s="10">
        <v>3150000</v>
      </c>
      <c r="E462" t="s">
        <v>669</v>
      </c>
      <c r="F462" t="s">
        <v>186</v>
      </c>
      <c r="G462" t="s">
        <v>343</v>
      </c>
      <c r="H462" t="s">
        <v>383</v>
      </c>
      <c r="I462" s="8" t="s">
        <v>291</v>
      </c>
    </row>
    <row r="463" spans="1:9" x14ac:dyDescent="0.25">
      <c r="A463" s="5">
        <v>46003.629166666702</v>
      </c>
      <c r="B463" t="s">
        <v>1317</v>
      </c>
      <c r="C463" t="s">
        <v>977</v>
      </c>
      <c r="D463" s="10">
        <v>7800000</v>
      </c>
      <c r="E463" t="s">
        <v>978</v>
      </c>
      <c r="F463" t="s">
        <v>979</v>
      </c>
      <c r="G463" t="s">
        <v>343</v>
      </c>
      <c r="H463" t="s">
        <v>977</v>
      </c>
      <c r="I463" s="8" t="s">
        <v>291</v>
      </c>
    </row>
    <row r="464" spans="1:9" x14ac:dyDescent="0.25">
      <c r="A464" s="5">
        <v>46003.630555555603</v>
      </c>
      <c r="B464" t="s">
        <v>1318</v>
      </c>
      <c r="C464" t="s">
        <v>467</v>
      </c>
      <c r="D464" s="10">
        <v>3150000</v>
      </c>
      <c r="E464" t="s">
        <v>637</v>
      </c>
      <c r="F464" t="s">
        <v>36</v>
      </c>
      <c r="G464" t="s">
        <v>343</v>
      </c>
      <c r="H464" t="s">
        <v>467</v>
      </c>
      <c r="I464" s="8" t="s">
        <v>291</v>
      </c>
    </row>
    <row r="465" spans="1:9" x14ac:dyDescent="0.25">
      <c r="A465" s="5">
        <v>46003.632638888899</v>
      </c>
      <c r="B465" t="s">
        <v>1319</v>
      </c>
      <c r="C465" t="s">
        <v>456</v>
      </c>
      <c r="D465" s="10">
        <v>3150000</v>
      </c>
      <c r="E465" t="s">
        <v>631</v>
      </c>
      <c r="F465" t="s">
        <v>52</v>
      </c>
      <c r="G465" t="s">
        <v>343</v>
      </c>
      <c r="H465" t="s">
        <v>456</v>
      </c>
      <c r="I465" s="8" t="s">
        <v>291</v>
      </c>
    </row>
    <row r="466" spans="1:9" x14ac:dyDescent="0.25">
      <c r="A466" s="5">
        <v>46003.648611111101</v>
      </c>
      <c r="B466" t="s">
        <v>1320</v>
      </c>
      <c r="C466" t="s">
        <v>1321</v>
      </c>
      <c r="D466" s="10">
        <v>1575000</v>
      </c>
      <c r="E466" t="s">
        <v>1322</v>
      </c>
      <c r="F466" t="s">
        <v>259</v>
      </c>
      <c r="G466" t="s">
        <v>343</v>
      </c>
      <c r="H466" t="s">
        <v>1321</v>
      </c>
      <c r="I466" s="8" t="s">
        <v>291</v>
      </c>
    </row>
    <row r="467" spans="1:9" x14ac:dyDescent="0.25">
      <c r="A467" s="5">
        <v>46003.652083333298</v>
      </c>
      <c r="B467" t="s">
        <v>1323</v>
      </c>
      <c r="C467" t="s">
        <v>827</v>
      </c>
      <c r="D467" s="10">
        <v>2000000</v>
      </c>
      <c r="E467" t="s">
        <v>828</v>
      </c>
      <c r="F467" t="s">
        <v>202</v>
      </c>
      <c r="G467" t="s">
        <v>343</v>
      </c>
      <c r="H467" t="s">
        <v>827</v>
      </c>
      <c r="I467" s="8" t="s">
        <v>291</v>
      </c>
    </row>
    <row r="468" spans="1:9" x14ac:dyDescent="0.25">
      <c r="A468" s="5">
        <v>46003.654861111099</v>
      </c>
      <c r="B468" t="s">
        <v>1324</v>
      </c>
      <c r="C468" t="s">
        <v>1325</v>
      </c>
      <c r="D468" s="10">
        <v>2000000</v>
      </c>
      <c r="E468" t="s">
        <v>1326</v>
      </c>
      <c r="F468" t="s">
        <v>1327</v>
      </c>
      <c r="G468" t="s">
        <v>343</v>
      </c>
      <c r="H468" t="s">
        <v>1325</v>
      </c>
      <c r="I468" s="8" t="s">
        <v>291</v>
      </c>
    </row>
    <row r="469" spans="1:9" x14ac:dyDescent="0.25">
      <c r="A469" s="5">
        <v>46003.65625</v>
      </c>
      <c r="B469" t="s">
        <v>1328</v>
      </c>
      <c r="C469" t="s">
        <v>455</v>
      </c>
      <c r="D469" s="10">
        <v>3150000</v>
      </c>
      <c r="E469" t="s">
        <v>633</v>
      </c>
      <c r="F469" t="s">
        <v>128</v>
      </c>
      <c r="G469" t="s">
        <v>343</v>
      </c>
      <c r="H469" t="s">
        <v>455</v>
      </c>
      <c r="I469" s="8" t="s">
        <v>291</v>
      </c>
    </row>
    <row r="470" spans="1:9" x14ac:dyDescent="0.25">
      <c r="A470" s="5">
        <v>46003.659027777801</v>
      </c>
      <c r="B470" t="s">
        <v>1329</v>
      </c>
      <c r="C470" t="s">
        <v>1330</v>
      </c>
      <c r="D470" s="10">
        <v>2000000</v>
      </c>
      <c r="E470" t="s">
        <v>1331</v>
      </c>
      <c r="F470" t="s">
        <v>1332</v>
      </c>
      <c r="G470" t="s">
        <v>343</v>
      </c>
      <c r="H470" t="s">
        <v>1330</v>
      </c>
      <c r="I470" s="8" t="s">
        <v>291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dimension ref="A1:J1011"/>
  <sheetViews>
    <sheetView zoomScale="72" zoomScaleNormal="85" workbookViewId="0">
      <selection sqref="A1:I321"/>
    </sheetView>
  </sheetViews>
  <sheetFormatPr baseColWidth="10" defaultColWidth="14.42578125" defaultRowHeight="15" customHeight="1" x14ac:dyDescent="0.25"/>
  <cols>
    <col min="1" max="1" width="10.85546875" bestFit="1" customWidth="1"/>
    <col min="2" max="2" width="14" bestFit="1" customWidth="1"/>
    <col min="3" max="3" width="8.85546875" customWidth="1"/>
    <col min="4" max="4" width="15.5703125" bestFit="1" customWidth="1"/>
    <col min="5" max="5" width="11.28515625" bestFit="1" customWidth="1"/>
    <col min="6" max="6" width="37.85546875" customWidth="1"/>
    <col min="7" max="7" width="12.7109375" bestFit="1" customWidth="1"/>
    <col min="8" max="26" width="8.85546875" customWidth="1"/>
  </cols>
  <sheetData>
    <row r="1" spans="1:9" ht="14.25" customHeight="1" x14ac:dyDescent="0.25">
      <c r="A1" s="1" t="s">
        <v>0</v>
      </c>
      <c r="B1" s="2" t="s">
        <v>1</v>
      </c>
      <c r="C1" s="2" t="s">
        <v>2</v>
      </c>
      <c r="D1" s="3" t="s">
        <v>3</v>
      </c>
      <c r="E1" s="2" t="s">
        <v>4</v>
      </c>
      <c r="F1" s="2" t="s">
        <v>5</v>
      </c>
      <c r="G1" s="2" t="s">
        <v>6</v>
      </c>
      <c r="I1" t="s">
        <v>293</v>
      </c>
    </row>
    <row r="2" spans="1:9" ht="14.25" hidden="1" customHeight="1" x14ac:dyDescent="0.25">
      <c r="A2" s="1">
        <v>45842</v>
      </c>
      <c r="B2" s="2">
        <v>2025001106</v>
      </c>
      <c r="C2" s="2" t="s">
        <v>7</v>
      </c>
      <c r="D2" s="3">
        <v>3000000</v>
      </c>
      <c r="E2" s="2">
        <v>36753698</v>
      </c>
      <c r="F2" s="2" t="s">
        <v>8</v>
      </c>
      <c r="G2" t="s">
        <v>290</v>
      </c>
      <c r="H2" t="e">
        <f>VLOOKUP(C2,'[1]A CARGAR'!$A$2:$P$34,1,0)</f>
        <v>#N/A</v>
      </c>
    </row>
    <row r="3" spans="1:9" ht="14.25" hidden="1" customHeight="1" x14ac:dyDescent="0.25">
      <c r="A3" s="1">
        <v>45854</v>
      </c>
      <c r="B3" s="2">
        <v>2025001336</v>
      </c>
      <c r="C3" s="2" t="s">
        <v>9</v>
      </c>
      <c r="D3" s="3">
        <v>4825000</v>
      </c>
      <c r="E3" s="2">
        <v>1085324891</v>
      </c>
      <c r="F3" s="2" t="s">
        <v>10</v>
      </c>
      <c r="G3" t="s">
        <v>290</v>
      </c>
      <c r="H3" t="e">
        <f>VLOOKUP(C3,'[1]A CARGAR'!$A$2:$P$34,1,0)</f>
        <v>#N/A</v>
      </c>
    </row>
    <row r="4" spans="1:9" ht="14.25" hidden="1" customHeight="1" x14ac:dyDescent="0.25">
      <c r="A4" s="1">
        <v>45849</v>
      </c>
      <c r="B4" s="2">
        <v>2025001236</v>
      </c>
      <c r="C4" s="2" t="s">
        <v>11</v>
      </c>
      <c r="D4" s="3">
        <v>4750000</v>
      </c>
      <c r="E4" s="2">
        <v>1085330309</v>
      </c>
      <c r="F4" s="2" t="s">
        <v>12</v>
      </c>
      <c r="G4" t="s">
        <v>290</v>
      </c>
      <c r="H4" t="e">
        <f>VLOOKUP(C4,'[1]A CARGAR'!$A$2:$P$34,1,0)</f>
        <v>#N/A</v>
      </c>
    </row>
    <row r="5" spans="1:9" ht="14.25" hidden="1" customHeight="1" x14ac:dyDescent="0.25">
      <c r="A5" s="1">
        <v>45855</v>
      </c>
      <c r="B5" s="2">
        <v>2025001338</v>
      </c>
      <c r="C5" s="2" t="s">
        <v>13</v>
      </c>
      <c r="D5" s="3">
        <v>6000000</v>
      </c>
      <c r="E5" s="2">
        <v>1085340697</v>
      </c>
      <c r="F5" s="2" t="s">
        <v>14</v>
      </c>
      <c r="G5" t="s">
        <v>290</v>
      </c>
      <c r="H5" t="e">
        <f>VLOOKUP(C5,'[1]A CARGAR'!$A$2:$P$34,1,0)</f>
        <v>#N/A</v>
      </c>
    </row>
    <row r="6" spans="1:9" ht="14.25" hidden="1" customHeight="1" x14ac:dyDescent="0.25">
      <c r="A6" s="1">
        <v>45859</v>
      </c>
      <c r="B6" s="2">
        <v>2025001373</v>
      </c>
      <c r="C6" s="2" t="s">
        <v>15</v>
      </c>
      <c r="D6" s="3">
        <v>7500000</v>
      </c>
      <c r="E6" s="2">
        <v>1085329980</v>
      </c>
      <c r="F6" s="2" t="s">
        <v>16</v>
      </c>
      <c r="G6" t="s">
        <v>290</v>
      </c>
      <c r="H6" t="e">
        <f>VLOOKUP(C6,'[1]A CARGAR'!$A$2:$P$34,1,0)</f>
        <v>#N/A</v>
      </c>
    </row>
    <row r="7" spans="1:9" ht="14.25" hidden="1" customHeight="1" x14ac:dyDescent="0.25">
      <c r="A7" s="1">
        <v>45862</v>
      </c>
      <c r="B7" s="2">
        <v>2025001444</v>
      </c>
      <c r="C7" s="2" t="s">
        <v>17</v>
      </c>
      <c r="D7" s="3">
        <v>6000000</v>
      </c>
      <c r="E7" s="2">
        <v>1085303585</v>
      </c>
      <c r="F7" s="2" t="s">
        <v>18</v>
      </c>
      <c r="G7" t="s">
        <v>290</v>
      </c>
      <c r="H7" t="e">
        <f>VLOOKUP(C7,'[1]A CARGAR'!$A$2:$P$34,1,0)</f>
        <v>#N/A</v>
      </c>
    </row>
    <row r="8" spans="1:9" ht="14.25" hidden="1" customHeight="1" x14ac:dyDescent="0.25">
      <c r="A8" s="1">
        <v>45867</v>
      </c>
      <c r="B8" s="2">
        <v>2025001456</v>
      </c>
      <c r="C8" s="2" t="s">
        <v>19</v>
      </c>
      <c r="D8" s="3">
        <v>6000000</v>
      </c>
      <c r="E8" s="2">
        <v>27146489</v>
      </c>
      <c r="F8" s="2" t="s">
        <v>20</v>
      </c>
      <c r="G8" t="s">
        <v>290</v>
      </c>
      <c r="H8" t="e">
        <f>VLOOKUP(C8,'[1]A CARGAR'!$A$2:$P$34,1,0)</f>
        <v>#N/A</v>
      </c>
    </row>
    <row r="9" spans="1:9" ht="14.25" hidden="1" customHeight="1" x14ac:dyDescent="0.25">
      <c r="A9" s="1">
        <v>45867</v>
      </c>
      <c r="B9" s="2">
        <v>2025001461</v>
      </c>
      <c r="C9" s="2" t="s">
        <v>21</v>
      </c>
      <c r="D9" s="3">
        <v>4825000</v>
      </c>
      <c r="E9" s="2">
        <v>1004508471</v>
      </c>
      <c r="F9" s="2" t="s">
        <v>22</v>
      </c>
      <c r="G9" t="s">
        <v>290</v>
      </c>
      <c r="H9" t="e">
        <f>VLOOKUP(C9,'[1]A CARGAR'!$A$2:$P$34,1,0)</f>
        <v>#N/A</v>
      </c>
    </row>
    <row r="10" spans="1:9" ht="14.25" hidden="1" customHeight="1" x14ac:dyDescent="0.25">
      <c r="A10" s="1">
        <v>45867</v>
      </c>
      <c r="B10" s="2">
        <v>2025001468</v>
      </c>
      <c r="C10" s="2" t="s">
        <v>23</v>
      </c>
      <c r="D10" s="3">
        <v>2500000</v>
      </c>
      <c r="E10" s="2">
        <v>1233189896</v>
      </c>
      <c r="F10" s="2" t="s">
        <v>24</v>
      </c>
      <c r="G10" t="s">
        <v>290</v>
      </c>
      <c r="H10" t="e">
        <f>VLOOKUP(C10,'[1]A CARGAR'!$A$2:$P$34,1,0)</f>
        <v>#N/A</v>
      </c>
    </row>
    <row r="11" spans="1:9" ht="14.25" customHeight="1" x14ac:dyDescent="0.25">
      <c r="A11" s="5">
        <v>45867</v>
      </c>
      <c r="B11">
        <v>2025001462</v>
      </c>
      <c r="C11" t="s">
        <v>325</v>
      </c>
      <c r="D11" s="6">
        <v>4825000</v>
      </c>
      <c r="E11">
        <v>36751052</v>
      </c>
      <c r="F11" t="s">
        <v>326</v>
      </c>
      <c r="G11" t="s">
        <v>290</v>
      </c>
      <c r="H11" t="e">
        <f>VLOOKUP(C11,'[1]A CARGAR'!$A$2:$P$34,1,0)</f>
        <v>#N/A</v>
      </c>
      <c r="I11" t="s">
        <v>292</v>
      </c>
    </row>
    <row r="12" spans="1:9" ht="14.25" customHeight="1" x14ac:dyDescent="0.25">
      <c r="A12" s="1">
        <v>45868</v>
      </c>
      <c r="B12" s="2">
        <v>2025001471</v>
      </c>
      <c r="C12" s="2" t="s">
        <v>25</v>
      </c>
      <c r="D12" s="3">
        <v>36412170</v>
      </c>
      <c r="E12" s="2">
        <v>900994364</v>
      </c>
      <c r="F12" s="2" t="s">
        <v>26</v>
      </c>
      <c r="G12" t="s">
        <v>290</v>
      </c>
      <c r="H12" t="e">
        <f>VLOOKUP(C12,'[1]A CARGAR'!$A$2:$P$34,1,0)</f>
        <v>#N/A</v>
      </c>
      <c r="I12" s="8" t="s">
        <v>291</v>
      </c>
    </row>
    <row r="13" spans="1:9" ht="14.25" hidden="1" customHeight="1" x14ac:dyDescent="0.25">
      <c r="A13" s="1">
        <v>45873</v>
      </c>
      <c r="B13" s="2">
        <v>2025001496</v>
      </c>
      <c r="C13" s="2" t="s">
        <v>27</v>
      </c>
      <c r="D13" s="3">
        <v>6000000</v>
      </c>
      <c r="E13" s="2">
        <v>1085286476</v>
      </c>
      <c r="F13" s="2" t="s">
        <v>28</v>
      </c>
      <c r="G13" t="s">
        <v>290</v>
      </c>
      <c r="H13" t="e">
        <f>VLOOKUP(C13,'[1]A CARGAR'!$A$2:$P$34,1,0)</f>
        <v>#N/A</v>
      </c>
    </row>
    <row r="14" spans="1:9" ht="14.25" hidden="1" customHeight="1" x14ac:dyDescent="0.25">
      <c r="A14" s="1">
        <v>45873</v>
      </c>
      <c r="B14" s="2">
        <v>2025001497</v>
      </c>
      <c r="C14" s="2" t="s">
        <v>29</v>
      </c>
      <c r="D14" s="3">
        <v>3000000</v>
      </c>
      <c r="E14" s="2">
        <v>69028150</v>
      </c>
      <c r="F14" s="2" t="s">
        <v>30</v>
      </c>
      <c r="G14" t="s">
        <v>290</v>
      </c>
      <c r="H14" t="e">
        <f>VLOOKUP(C14,'[1]A CARGAR'!$A$2:$P$34,1,0)</f>
        <v>#N/A</v>
      </c>
    </row>
    <row r="15" spans="1:9" ht="14.25" hidden="1" customHeight="1" x14ac:dyDescent="0.25">
      <c r="A15" s="1">
        <v>45873</v>
      </c>
      <c r="B15" s="2">
        <v>2025001498</v>
      </c>
      <c r="C15" s="2" t="s">
        <v>31</v>
      </c>
      <c r="D15" s="3">
        <v>7500000</v>
      </c>
      <c r="E15" s="2">
        <v>80765093</v>
      </c>
      <c r="F15" s="2" t="s">
        <v>32</v>
      </c>
      <c r="G15" t="s">
        <v>290</v>
      </c>
      <c r="H15" t="e">
        <f>VLOOKUP(C15,'[1]A CARGAR'!$A$2:$P$34,1,0)</f>
        <v>#N/A</v>
      </c>
    </row>
    <row r="16" spans="1:9" ht="14.25" hidden="1" customHeight="1" x14ac:dyDescent="0.25">
      <c r="A16" s="1">
        <v>45873</v>
      </c>
      <c r="B16" s="2">
        <v>2025001504</v>
      </c>
      <c r="C16" s="2" t="s">
        <v>33</v>
      </c>
      <c r="D16" s="3">
        <v>3000000</v>
      </c>
      <c r="E16" s="2">
        <v>1081594639</v>
      </c>
      <c r="F16" s="2" t="s">
        <v>34</v>
      </c>
      <c r="G16" t="s">
        <v>290</v>
      </c>
      <c r="H16" t="e">
        <f>VLOOKUP(C16,'[1]A CARGAR'!$A$2:$P$34,1,0)</f>
        <v>#N/A</v>
      </c>
    </row>
    <row r="17" spans="1:8" ht="14.25" hidden="1" customHeight="1" x14ac:dyDescent="0.25">
      <c r="A17" s="1">
        <v>45873</v>
      </c>
      <c r="B17" s="2">
        <v>2025001505</v>
      </c>
      <c r="C17" s="2" t="s">
        <v>35</v>
      </c>
      <c r="D17" s="3">
        <v>3000000</v>
      </c>
      <c r="E17" s="2">
        <v>36752202</v>
      </c>
      <c r="F17" s="2" t="s">
        <v>36</v>
      </c>
      <c r="G17" t="s">
        <v>290</v>
      </c>
      <c r="H17" t="e">
        <f>VLOOKUP(C17,'[1]A CARGAR'!$A$2:$P$34,1,0)</f>
        <v>#N/A</v>
      </c>
    </row>
    <row r="18" spans="1:8" ht="14.25" hidden="1" customHeight="1" x14ac:dyDescent="0.25">
      <c r="A18" s="1">
        <v>45875</v>
      </c>
      <c r="B18" s="2">
        <v>2025001524</v>
      </c>
      <c r="C18" s="2" t="s">
        <v>37</v>
      </c>
      <c r="D18" s="3">
        <v>4825000</v>
      </c>
      <c r="E18" s="2">
        <v>1085338534</v>
      </c>
      <c r="F18" s="2" t="s">
        <v>38</v>
      </c>
      <c r="G18" t="s">
        <v>290</v>
      </c>
      <c r="H18" t="e">
        <f>VLOOKUP(C18,'[1]A CARGAR'!$A$2:$P$34,1,0)</f>
        <v>#N/A</v>
      </c>
    </row>
    <row r="19" spans="1:8" ht="14.25" hidden="1" customHeight="1" x14ac:dyDescent="0.25">
      <c r="A19" s="1">
        <v>45875</v>
      </c>
      <c r="B19" s="2">
        <v>2025001526</v>
      </c>
      <c r="C19" s="2" t="s">
        <v>39</v>
      </c>
      <c r="D19" s="3">
        <v>3000000</v>
      </c>
      <c r="E19" s="2">
        <v>1086222689</v>
      </c>
      <c r="F19" s="2" t="s">
        <v>40</v>
      </c>
      <c r="G19" t="s">
        <v>290</v>
      </c>
      <c r="H19" t="e">
        <f>VLOOKUP(C19,'[1]A CARGAR'!$A$2:$P$34,1,0)</f>
        <v>#N/A</v>
      </c>
    </row>
    <row r="20" spans="1:8" ht="14.25" hidden="1" customHeight="1" x14ac:dyDescent="0.25">
      <c r="A20" s="1">
        <v>45875</v>
      </c>
      <c r="B20" s="2">
        <v>2025001527</v>
      </c>
      <c r="C20" s="2" t="s">
        <v>41</v>
      </c>
      <c r="D20" s="3">
        <v>3000000</v>
      </c>
      <c r="E20" s="2">
        <v>1193271854</v>
      </c>
      <c r="F20" s="2" t="s">
        <v>42</v>
      </c>
      <c r="G20" t="s">
        <v>290</v>
      </c>
      <c r="H20" t="e">
        <f>VLOOKUP(C20,'[1]A CARGAR'!$A$2:$P$34,1,0)</f>
        <v>#N/A</v>
      </c>
    </row>
    <row r="21" spans="1:8" ht="14.25" hidden="1" customHeight="1" x14ac:dyDescent="0.25">
      <c r="A21" s="1">
        <v>45875</v>
      </c>
      <c r="B21" s="2">
        <v>2025001528</v>
      </c>
      <c r="C21" s="2" t="s">
        <v>43</v>
      </c>
      <c r="D21" s="3">
        <v>4750000</v>
      </c>
      <c r="E21" s="2">
        <v>59651018</v>
      </c>
      <c r="F21" s="2" t="s">
        <v>44</v>
      </c>
      <c r="G21" t="s">
        <v>290</v>
      </c>
      <c r="H21" t="e">
        <f>VLOOKUP(C21,'[1]A CARGAR'!$A$2:$P$34,1,0)</f>
        <v>#N/A</v>
      </c>
    </row>
    <row r="22" spans="1:8" ht="14.25" hidden="1" customHeight="1" x14ac:dyDescent="0.25">
      <c r="A22" s="1">
        <v>45875</v>
      </c>
      <c r="B22" s="2">
        <v>2025001529</v>
      </c>
      <c r="C22" s="2" t="s">
        <v>45</v>
      </c>
      <c r="D22" s="3">
        <v>3000000</v>
      </c>
      <c r="E22" s="2">
        <v>1081592303</v>
      </c>
      <c r="F22" s="2" t="s">
        <v>46</v>
      </c>
      <c r="G22" t="s">
        <v>290</v>
      </c>
      <c r="H22" t="e">
        <f>VLOOKUP(C22,'[1]A CARGAR'!$A$2:$P$34,1,0)</f>
        <v>#N/A</v>
      </c>
    </row>
    <row r="23" spans="1:8" ht="14.25" hidden="1" customHeight="1" x14ac:dyDescent="0.25">
      <c r="A23" s="1">
        <v>45877</v>
      </c>
      <c r="B23" s="2">
        <v>2025001537</v>
      </c>
      <c r="C23" s="2" t="s">
        <v>47</v>
      </c>
      <c r="D23" s="3">
        <v>4750000</v>
      </c>
      <c r="E23" s="2">
        <v>1085343783</v>
      </c>
      <c r="F23" s="2" t="s">
        <v>48</v>
      </c>
      <c r="G23" t="s">
        <v>290</v>
      </c>
      <c r="H23" t="e">
        <f>VLOOKUP(C23,'[1]A CARGAR'!$A$2:$P$34,1,0)</f>
        <v>#N/A</v>
      </c>
    </row>
    <row r="24" spans="1:8" ht="14.25" hidden="1" customHeight="1" x14ac:dyDescent="0.25">
      <c r="A24" s="1">
        <v>45877</v>
      </c>
      <c r="B24" s="2">
        <v>2025001538</v>
      </c>
      <c r="C24" s="2" t="s">
        <v>49</v>
      </c>
      <c r="D24" s="3">
        <v>4750000</v>
      </c>
      <c r="E24" s="2">
        <v>1085345772</v>
      </c>
      <c r="F24" s="2" t="s">
        <v>50</v>
      </c>
      <c r="G24" t="s">
        <v>290</v>
      </c>
      <c r="H24" t="e">
        <f>VLOOKUP(C24,'[1]A CARGAR'!$A$2:$P$34,1,0)</f>
        <v>#N/A</v>
      </c>
    </row>
    <row r="25" spans="1:8" ht="14.25" hidden="1" customHeight="1" x14ac:dyDescent="0.25">
      <c r="A25" s="1">
        <v>45877</v>
      </c>
      <c r="B25" s="2">
        <v>2025001539</v>
      </c>
      <c r="C25" s="2" t="s">
        <v>51</v>
      </c>
      <c r="D25" s="3">
        <v>3000000</v>
      </c>
      <c r="E25" s="2">
        <v>1233189234</v>
      </c>
      <c r="F25" s="2" t="s">
        <v>52</v>
      </c>
      <c r="G25" t="s">
        <v>290</v>
      </c>
      <c r="H25" t="e">
        <f>VLOOKUP(C25,'[1]A CARGAR'!$A$2:$P$34,1,0)</f>
        <v>#N/A</v>
      </c>
    </row>
    <row r="26" spans="1:8" ht="14.25" hidden="1" customHeight="1" x14ac:dyDescent="0.25">
      <c r="A26" s="1">
        <v>45877</v>
      </c>
      <c r="B26" s="2">
        <v>2025001541</v>
      </c>
      <c r="C26" s="2" t="s">
        <v>53</v>
      </c>
      <c r="D26" s="3">
        <v>3000000</v>
      </c>
      <c r="E26" s="2">
        <v>59310524</v>
      </c>
      <c r="F26" s="2" t="s">
        <v>54</v>
      </c>
      <c r="G26" t="s">
        <v>290</v>
      </c>
      <c r="H26" t="e">
        <f>VLOOKUP(C26,'[1]A CARGAR'!$A$2:$P$34,1,0)</f>
        <v>#N/A</v>
      </c>
    </row>
    <row r="27" spans="1:8" ht="14.25" hidden="1" customHeight="1" x14ac:dyDescent="0.25">
      <c r="A27" s="1">
        <v>45877</v>
      </c>
      <c r="B27" s="2">
        <v>2025001542</v>
      </c>
      <c r="C27" s="2" t="s">
        <v>55</v>
      </c>
      <c r="D27" s="3">
        <v>4825000</v>
      </c>
      <c r="E27" s="2">
        <v>1085321578</v>
      </c>
      <c r="F27" s="2" t="s">
        <v>56</v>
      </c>
      <c r="G27" t="s">
        <v>290</v>
      </c>
      <c r="H27" t="e">
        <f>VLOOKUP(C27,'[1]A CARGAR'!$A$2:$P$34,1,0)</f>
        <v>#N/A</v>
      </c>
    </row>
    <row r="28" spans="1:8" ht="14.25" hidden="1" customHeight="1" x14ac:dyDescent="0.25">
      <c r="A28" s="1">
        <v>45880</v>
      </c>
      <c r="B28" s="2">
        <v>2025001548</v>
      </c>
      <c r="C28" s="2" t="s">
        <v>57</v>
      </c>
      <c r="D28" s="3">
        <v>7500000</v>
      </c>
      <c r="E28" s="2">
        <v>1085293105</v>
      </c>
      <c r="F28" s="2" t="s">
        <v>58</v>
      </c>
      <c r="G28" t="s">
        <v>290</v>
      </c>
      <c r="H28" t="e">
        <f>VLOOKUP(C28,'[1]A CARGAR'!$A$2:$P$34,1,0)</f>
        <v>#N/A</v>
      </c>
    </row>
    <row r="29" spans="1:8" ht="14.25" hidden="1" customHeight="1" x14ac:dyDescent="0.25">
      <c r="A29" s="1">
        <v>45880</v>
      </c>
      <c r="B29" s="2">
        <v>2025001549</v>
      </c>
      <c r="C29" s="2" t="s">
        <v>59</v>
      </c>
      <c r="D29" s="3">
        <v>7500000</v>
      </c>
      <c r="E29" s="2">
        <v>1085336362</v>
      </c>
      <c r="F29" s="2" t="s">
        <v>60</v>
      </c>
      <c r="G29" t="s">
        <v>290</v>
      </c>
      <c r="H29" t="e">
        <f>VLOOKUP(C29,'[1]A CARGAR'!$A$2:$P$34,1,0)</f>
        <v>#N/A</v>
      </c>
    </row>
    <row r="30" spans="1:8" ht="14.25" hidden="1" customHeight="1" x14ac:dyDescent="0.25">
      <c r="A30" s="1">
        <v>45880</v>
      </c>
      <c r="B30" s="2">
        <v>2025001550</v>
      </c>
      <c r="C30" s="2" t="s">
        <v>61</v>
      </c>
      <c r="D30" s="3">
        <v>7500000</v>
      </c>
      <c r="E30" s="2">
        <v>1006946167</v>
      </c>
      <c r="F30" s="2" t="s">
        <v>62</v>
      </c>
      <c r="G30" t="s">
        <v>290</v>
      </c>
      <c r="H30" t="e">
        <f>VLOOKUP(C30,'[1]A CARGAR'!$A$2:$P$34,1,0)</f>
        <v>#N/A</v>
      </c>
    </row>
    <row r="31" spans="1:8" ht="14.25" hidden="1" customHeight="1" x14ac:dyDescent="0.25">
      <c r="A31" s="1">
        <v>45880</v>
      </c>
      <c r="B31" s="2">
        <v>2025001551</v>
      </c>
      <c r="C31" s="2" t="s">
        <v>63</v>
      </c>
      <c r="D31" s="3">
        <v>3000000</v>
      </c>
      <c r="E31" s="2">
        <v>1085317833</v>
      </c>
      <c r="F31" s="2" t="s">
        <v>64</v>
      </c>
      <c r="G31" t="s">
        <v>290</v>
      </c>
      <c r="H31" t="e">
        <f>VLOOKUP(C31,'[1]A CARGAR'!$A$2:$P$34,1,0)</f>
        <v>#N/A</v>
      </c>
    </row>
    <row r="32" spans="1:8" ht="14.25" hidden="1" customHeight="1" x14ac:dyDescent="0.25">
      <c r="A32" s="1">
        <v>45884</v>
      </c>
      <c r="B32" s="2">
        <v>2025001627</v>
      </c>
      <c r="C32" s="2" t="s">
        <v>65</v>
      </c>
      <c r="D32" s="3">
        <v>7500000</v>
      </c>
      <c r="E32" s="2">
        <v>1006106084</v>
      </c>
      <c r="F32" s="2" t="s">
        <v>66</v>
      </c>
      <c r="G32" t="s">
        <v>290</v>
      </c>
      <c r="H32" t="e">
        <f>VLOOKUP(C32,'[1]A CARGAR'!$A$2:$P$34,1,0)</f>
        <v>#N/A</v>
      </c>
    </row>
    <row r="33" spans="1:8" ht="14.25" hidden="1" customHeight="1" x14ac:dyDescent="0.25">
      <c r="A33" s="1">
        <v>45877</v>
      </c>
      <c r="B33" s="2">
        <v>2025001536</v>
      </c>
      <c r="C33" s="2" t="s">
        <v>67</v>
      </c>
      <c r="D33" s="3">
        <v>3000000</v>
      </c>
      <c r="E33" s="2">
        <v>1137624011</v>
      </c>
      <c r="F33" s="2" t="s">
        <v>68</v>
      </c>
      <c r="G33" t="s">
        <v>290</v>
      </c>
      <c r="H33" t="e">
        <f>VLOOKUP(C33,'[1]A CARGAR'!$A$2:$P$34,1,0)</f>
        <v>#N/A</v>
      </c>
    </row>
    <row r="34" spans="1:8" ht="14.25" hidden="1" customHeight="1" x14ac:dyDescent="0.25">
      <c r="A34" s="1">
        <v>45877</v>
      </c>
      <c r="B34" s="2">
        <v>2025001540</v>
      </c>
      <c r="C34" s="2" t="s">
        <v>69</v>
      </c>
      <c r="D34" s="3">
        <v>4750000</v>
      </c>
      <c r="E34" s="2">
        <v>36759759</v>
      </c>
      <c r="F34" s="2" t="s">
        <v>70</v>
      </c>
      <c r="G34" t="s">
        <v>290</v>
      </c>
      <c r="H34" t="e">
        <f>VLOOKUP(C34,'[1]A CARGAR'!$A$2:$P$34,1,0)</f>
        <v>#N/A</v>
      </c>
    </row>
    <row r="35" spans="1:8" ht="14.25" hidden="1" customHeight="1" x14ac:dyDescent="0.25">
      <c r="A35" s="1">
        <v>45881</v>
      </c>
      <c r="B35" s="2">
        <v>2025001554</v>
      </c>
      <c r="C35" s="2" t="s">
        <v>71</v>
      </c>
      <c r="D35" s="3">
        <v>6000000</v>
      </c>
      <c r="E35" s="2">
        <v>1085283868</v>
      </c>
      <c r="F35" s="2" t="s">
        <v>72</v>
      </c>
      <c r="G35" t="s">
        <v>290</v>
      </c>
      <c r="H35" t="e">
        <f>VLOOKUP(C35,'[1]A CARGAR'!$A$2:$P$34,1,0)</f>
        <v>#N/A</v>
      </c>
    </row>
    <row r="36" spans="1:8" ht="14.25" hidden="1" customHeight="1" x14ac:dyDescent="0.25">
      <c r="A36" s="1">
        <v>45881</v>
      </c>
      <c r="B36" s="2">
        <v>2025001555</v>
      </c>
      <c r="C36" s="2" t="s">
        <v>73</v>
      </c>
      <c r="D36" s="3">
        <v>3000000</v>
      </c>
      <c r="E36" s="2">
        <v>98382500</v>
      </c>
      <c r="F36" s="2" t="s">
        <v>74</v>
      </c>
      <c r="G36" t="s">
        <v>290</v>
      </c>
      <c r="H36" t="e">
        <f>VLOOKUP(C36,'[1]A CARGAR'!$A$2:$P$34,1,0)</f>
        <v>#N/A</v>
      </c>
    </row>
    <row r="37" spans="1:8" ht="14.25" hidden="1" customHeight="1" x14ac:dyDescent="0.25">
      <c r="A37" s="1">
        <v>45881</v>
      </c>
      <c r="B37" s="2">
        <v>2025001556</v>
      </c>
      <c r="C37" s="2" t="s">
        <v>75</v>
      </c>
      <c r="D37" s="3">
        <v>3000000</v>
      </c>
      <c r="E37" s="2">
        <v>59834953</v>
      </c>
      <c r="F37" s="2" t="s">
        <v>76</v>
      </c>
      <c r="G37" t="s">
        <v>290</v>
      </c>
      <c r="H37" t="e">
        <f>VLOOKUP(C37,'[1]A CARGAR'!$A$2:$P$34,1,0)</f>
        <v>#N/A</v>
      </c>
    </row>
    <row r="38" spans="1:8" ht="14.25" hidden="1" customHeight="1" x14ac:dyDescent="0.25">
      <c r="A38" s="1">
        <v>45881</v>
      </c>
      <c r="B38" s="2">
        <v>2025001557</v>
      </c>
      <c r="C38" s="2" t="s">
        <v>77</v>
      </c>
      <c r="D38" s="3">
        <v>3000000</v>
      </c>
      <c r="E38" s="2">
        <v>1010082397</v>
      </c>
      <c r="F38" s="2" t="s">
        <v>78</v>
      </c>
      <c r="G38" t="s">
        <v>290</v>
      </c>
      <c r="H38" t="e">
        <f>VLOOKUP(C38,'[1]A CARGAR'!$A$2:$P$34,1,0)</f>
        <v>#N/A</v>
      </c>
    </row>
    <row r="39" spans="1:8" ht="14.25" hidden="1" customHeight="1" x14ac:dyDescent="0.25">
      <c r="A39" s="1">
        <v>45881</v>
      </c>
      <c r="B39" s="2">
        <v>2025001558</v>
      </c>
      <c r="C39" s="2" t="s">
        <v>79</v>
      </c>
      <c r="D39" s="3">
        <v>3000000</v>
      </c>
      <c r="E39" s="2">
        <v>36954407</v>
      </c>
      <c r="F39" s="2" t="s">
        <v>80</v>
      </c>
      <c r="G39" t="s">
        <v>290</v>
      </c>
      <c r="H39" t="e">
        <f>VLOOKUP(C39,'[1]A CARGAR'!$A$2:$P$34,1,0)</f>
        <v>#N/A</v>
      </c>
    </row>
    <row r="40" spans="1:8" ht="14.25" hidden="1" customHeight="1" x14ac:dyDescent="0.25">
      <c r="A40" s="1">
        <v>45881</v>
      </c>
      <c r="B40" s="2">
        <v>2025001559</v>
      </c>
      <c r="C40" s="2" t="s">
        <v>81</v>
      </c>
      <c r="D40" s="3">
        <v>4825000</v>
      </c>
      <c r="E40" s="2">
        <v>1080900817</v>
      </c>
      <c r="F40" s="2" t="s">
        <v>82</v>
      </c>
      <c r="G40" t="s">
        <v>290</v>
      </c>
      <c r="H40" t="e">
        <f>VLOOKUP(C40,'[1]A CARGAR'!$A$2:$P$34,1,0)</f>
        <v>#N/A</v>
      </c>
    </row>
    <row r="41" spans="1:8" ht="14.25" hidden="1" customHeight="1" x14ac:dyDescent="0.25">
      <c r="A41" s="1">
        <v>45881</v>
      </c>
      <c r="B41" s="2">
        <v>2025001560</v>
      </c>
      <c r="C41" s="2" t="s">
        <v>83</v>
      </c>
      <c r="D41" s="3">
        <v>6000000</v>
      </c>
      <c r="E41" s="2">
        <v>59837608</v>
      </c>
      <c r="F41" s="2" t="s">
        <v>84</v>
      </c>
      <c r="G41" t="s">
        <v>290</v>
      </c>
      <c r="H41" t="e">
        <f>VLOOKUP(C41,'[1]A CARGAR'!$A$2:$P$34,1,0)</f>
        <v>#N/A</v>
      </c>
    </row>
    <row r="42" spans="1:8" ht="14.25" hidden="1" customHeight="1" x14ac:dyDescent="0.25">
      <c r="A42" s="1">
        <v>45881</v>
      </c>
      <c r="B42" s="2">
        <v>2025001561</v>
      </c>
      <c r="C42" s="2" t="s">
        <v>85</v>
      </c>
      <c r="D42" s="3">
        <v>4825000</v>
      </c>
      <c r="E42" s="2">
        <v>1085269530</v>
      </c>
      <c r="F42" s="2" t="s">
        <v>86</v>
      </c>
      <c r="G42" t="s">
        <v>290</v>
      </c>
      <c r="H42" t="e">
        <f>VLOOKUP(C42,'[1]A CARGAR'!$A$2:$P$34,1,0)</f>
        <v>#N/A</v>
      </c>
    </row>
    <row r="43" spans="1:8" ht="14.25" hidden="1" customHeight="1" x14ac:dyDescent="0.25">
      <c r="A43" s="1">
        <v>45881</v>
      </c>
      <c r="B43" s="2">
        <v>2025001562</v>
      </c>
      <c r="C43" s="2" t="s">
        <v>87</v>
      </c>
      <c r="D43" s="3">
        <v>3000000</v>
      </c>
      <c r="E43" s="2">
        <v>1085255829</v>
      </c>
      <c r="F43" s="2" t="s">
        <v>88</v>
      </c>
      <c r="G43" t="s">
        <v>290</v>
      </c>
      <c r="H43" t="e">
        <f>VLOOKUP(C43,'[1]A CARGAR'!$A$2:$P$34,1,0)</f>
        <v>#N/A</v>
      </c>
    </row>
    <row r="44" spans="1:8" ht="14.25" hidden="1" customHeight="1" x14ac:dyDescent="0.25">
      <c r="A44" s="1">
        <v>45881</v>
      </c>
      <c r="B44" s="2">
        <v>2025001563</v>
      </c>
      <c r="C44" s="2" t="s">
        <v>89</v>
      </c>
      <c r="D44" s="3">
        <v>3000000</v>
      </c>
      <c r="E44" s="2">
        <v>1193224810</v>
      </c>
      <c r="F44" s="2" t="s">
        <v>90</v>
      </c>
      <c r="G44" t="s">
        <v>290</v>
      </c>
      <c r="H44" t="e">
        <f>VLOOKUP(C44,'[1]A CARGAR'!$A$2:$P$34,1,0)</f>
        <v>#N/A</v>
      </c>
    </row>
    <row r="45" spans="1:8" ht="14.25" hidden="1" customHeight="1" x14ac:dyDescent="0.25">
      <c r="A45" s="1">
        <v>45881</v>
      </c>
      <c r="B45" s="2">
        <v>2025001564</v>
      </c>
      <c r="C45" s="2" t="s">
        <v>91</v>
      </c>
      <c r="D45" s="3">
        <v>4750000</v>
      </c>
      <c r="E45" s="2">
        <v>1085340885</v>
      </c>
      <c r="F45" s="2" t="s">
        <v>92</v>
      </c>
      <c r="G45" t="s">
        <v>290</v>
      </c>
      <c r="H45" t="e">
        <f>VLOOKUP(C45,'[1]A CARGAR'!$A$2:$P$34,1,0)</f>
        <v>#N/A</v>
      </c>
    </row>
    <row r="46" spans="1:8" ht="14.25" hidden="1" customHeight="1" x14ac:dyDescent="0.25">
      <c r="A46" s="1">
        <v>45881</v>
      </c>
      <c r="B46" s="2">
        <v>2025001565</v>
      </c>
      <c r="C46" s="2" t="s">
        <v>93</v>
      </c>
      <c r="D46" s="3">
        <v>2500000</v>
      </c>
      <c r="E46" s="2">
        <v>12974849</v>
      </c>
      <c r="F46" s="2" t="s">
        <v>94</v>
      </c>
      <c r="G46" t="s">
        <v>290</v>
      </c>
      <c r="H46" t="e">
        <f>VLOOKUP(C46,'[1]A CARGAR'!$A$2:$P$34,1,0)</f>
        <v>#N/A</v>
      </c>
    </row>
    <row r="47" spans="1:8" ht="14.25" hidden="1" customHeight="1" x14ac:dyDescent="0.25">
      <c r="A47" s="1">
        <v>45881</v>
      </c>
      <c r="B47" s="2">
        <v>2025001567</v>
      </c>
      <c r="C47" s="2" t="s">
        <v>95</v>
      </c>
      <c r="D47" s="3">
        <v>4750000</v>
      </c>
      <c r="E47" s="2">
        <v>27087475</v>
      </c>
      <c r="F47" s="2" t="s">
        <v>96</v>
      </c>
      <c r="G47" t="s">
        <v>290</v>
      </c>
      <c r="H47" t="e">
        <f>VLOOKUP(C47,'[1]A CARGAR'!$A$2:$P$34,1,0)</f>
        <v>#N/A</v>
      </c>
    </row>
    <row r="48" spans="1:8" ht="14.25" hidden="1" customHeight="1" x14ac:dyDescent="0.25">
      <c r="A48" s="1">
        <v>45881</v>
      </c>
      <c r="B48" s="2">
        <v>2025001569</v>
      </c>
      <c r="C48" s="2" t="s">
        <v>97</v>
      </c>
      <c r="D48" s="3">
        <v>3000000</v>
      </c>
      <c r="E48" s="2">
        <v>1233191675</v>
      </c>
      <c r="F48" s="2" t="s">
        <v>98</v>
      </c>
      <c r="G48" t="s">
        <v>290</v>
      </c>
      <c r="H48" t="e">
        <f>VLOOKUP(C48,'[1]A CARGAR'!$A$2:$P$34,1,0)</f>
        <v>#N/A</v>
      </c>
    </row>
    <row r="49" spans="1:8" ht="14.25" hidden="1" customHeight="1" x14ac:dyDescent="0.25">
      <c r="A49" s="1">
        <v>45881</v>
      </c>
      <c r="B49" s="2">
        <v>2025001570</v>
      </c>
      <c r="C49" s="2" t="s">
        <v>99</v>
      </c>
      <c r="D49" s="3">
        <v>3000000</v>
      </c>
      <c r="E49" s="2">
        <v>37084285</v>
      </c>
      <c r="F49" s="2" t="s">
        <v>100</v>
      </c>
      <c r="G49" t="s">
        <v>290</v>
      </c>
      <c r="H49" t="e">
        <f>VLOOKUP(C49,'[1]A CARGAR'!$A$2:$P$34,1,0)</f>
        <v>#N/A</v>
      </c>
    </row>
    <row r="50" spans="1:8" ht="14.25" hidden="1" customHeight="1" x14ac:dyDescent="0.25">
      <c r="A50" s="1">
        <v>45881</v>
      </c>
      <c r="B50" s="2">
        <v>2025001572</v>
      </c>
      <c r="C50" s="2" t="s">
        <v>101</v>
      </c>
      <c r="D50" s="3">
        <v>3000000</v>
      </c>
      <c r="E50" s="2">
        <v>1085271641</v>
      </c>
      <c r="F50" s="2" t="s">
        <v>102</v>
      </c>
      <c r="G50" t="s">
        <v>290</v>
      </c>
      <c r="H50" t="e">
        <f>VLOOKUP(C50,'[1]A CARGAR'!$A$2:$P$34,1,0)</f>
        <v>#N/A</v>
      </c>
    </row>
    <row r="51" spans="1:8" ht="14.25" hidden="1" customHeight="1" x14ac:dyDescent="0.25">
      <c r="A51" s="1">
        <v>45881</v>
      </c>
      <c r="B51" s="2">
        <v>2025001574</v>
      </c>
      <c r="C51" s="2" t="s">
        <v>103</v>
      </c>
      <c r="D51" s="3">
        <v>3000000</v>
      </c>
      <c r="E51" s="2">
        <v>1004535234</v>
      </c>
      <c r="F51" s="2" t="s">
        <v>104</v>
      </c>
      <c r="G51" t="s">
        <v>290</v>
      </c>
      <c r="H51" t="e">
        <f>VLOOKUP(C51,'[1]A CARGAR'!$A$2:$P$34,1,0)</f>
        <v>#N/A</v>
      </c>
    </row>
    <row r="52" spans="1:8" ht="14.25" hidden="1" customHeight="1" x14ac:dyDescent="0.25">
      <c r="A52" s="1">
        <v>45883</v>
      </c>
      <c r="B52" s="2">
        <v>2025001597</v>
      </c>
      <c r="C52" s="2" t="s">
        <v>105</v>
      </c>
      <c r="D52" s="3">
        <v>3000000</v>
      </c>
      <c r="E52" s="2">
        <v>1192717330</v>
      </c>
      <c r="F52" s="2" t="s">
        <v>106</v>
      </c>
      <c r="G52" t="s">
        <v>290</v>
      </c>
      <c r="H52" t="e">
        <f>VLOOKUP(C52,'[1]A CARGAR'!$A$2:$P$34,1,0)</f>
        <v>#N/A</v>
      </c>
    </row>
    <row r="53" spans="1:8" ht="14.25" hidden="1" customHeight="1" x14ac:dyDescent="0.25">
      <c r="A53" s="1">
        <v>45883</v>
      </c>
      <c r="B53" s="2">
        <v>2025001600</v>
      </c>
      <c r="C53" s="2" t="s">
        <v>107</v>
      </c>
      <c r="D53" s="3">
        <v>6000000</v>
      </c>
      <c r="E53" s="2">
        <v>1085275879</v>
      </c>
      <c r="F53" s="2" t="s">
        <v>108</v>
      </c>
      <c r="G53" t="s">
        <v>290</v>
      </c>
      <c r="H53" t="e">
        <f>VLOOKUP(C53,'[1]A CARGAR'!$A$2:$P$34,1,0)</f>
        <v>#N/A</v>
      </c>
    </row>
    <row r="54" spans="1:8" ht="14.25" hidden="1" customHeight="1" x14ac:dyDescent="0.25">
      <c r="A54" s="1">
        <v>45883</v>
      </c>
      <c r="B54" s="2">
        <v>2025001601</v>
      </c>
      <c r="C54" s="2" t="s">
        <v>109</v>
      </c>
      <c r="D54" s="3">
        <v>3000000</v>
      </c>
      <c r="E54" s="2">
        <v>1085269090</v>
      </c>
      <c r="F54" s="2" t="s">
        <v>110</v>
      </c>
      <c r="G54" t="s">
        <v>290</v>
      </c>
      <c r="H54" t="e">
        <f>VLOOKUP(C54,'[1]A CARGAR'!$A$2:$P$34,1,0)</f>
        <v>#N/A</v>
      </c>
    </row>
    <row r="55" spans="1:8" ht="14.25" hidden="1" customHeight="1" x14ac:dyDescent="0.25">
      <c r="A55" s="1">
        <v>45883</v>
      </c>
      <c r="B55" s="2">
        <v>2025001602</v>
      </c>
      <c r="C55" s="2" t="s">
        <v>111</v>
      </c>
      <c r="D55" s="3">
        <v>6000000</v>
      </c>
      <c r="E55" s="2">
        <v>1014212900</v>
      </c>
      <c r="F55" s="2" t="s">
        <v>112</v>
      </c>
      <c r="G55" t="s">
        <v>290</v>
      </c>
      <c r="H55" t="e">
        <f>VLOOKUP(C55,'[1]A CARGAR'!$A$2:$P$34,1,0)</f>
        <v>#N/A</v>
      </c>
    </row>
    <row r="56" spans="1:8" ht="14.25" hidden="1" customHeight="1" x14ac:dyDescent="0.25">
      <c r="A56" s="1">
        <v>45883</v>
      </c>
      <c r="B56" s="2">
        <v>2025001603</v>
      </c>
      <c r="C56" s="2" t="s">
        <v>113</v>
      </c>
      <c r="D56" s="3">
        <v>3000000</v>
      </c>
      <c r="E56" s="2">
        <v>37082232</v>
      </c>
      <c r="F56" s="2" t="s">
        <v>114</v>
      </c>
      <c r="G56" t="s">
        <v>290</v>
      </c>
      <c r="H56" t="e">
        <f>VLOOKUP(C56,'[1]A CARGAR'!$A$2:$P$34,1,0)</f>
        <v>#N/A</v>
      </c>
    </row>
    <row r="57" spans="1:8" ht="14.25" hidden="1" customHeight="1" x14ac:dyDescent="0.25">
      <c r="A57" s="1">
        <v>45883</v>
      </c>
      <c r="B57" s="2">
        <v>2025001604</v>
      </c>
      <c r="C57" s="2" t="s">
        <v>115</v>
      </c>
      <c r="D57" s="3">
        <v>3000000</v>
      </c>
      <c r="E57" s="2">
        <v>1004743217</v>
      </c>
      <c r="F57" s="2" t="s">
        <v>116</v>
      </c>
      <c r="G57" t="s">
        <v>290</v>
      </c>
      <c r="H57" t="e">
        <f>VLOOKUP(C57,'[1]A CARGAR'!$A$2:$P$34,1,0)</f>
        <v>#N/A</v>
      </c>
    </row>
    <row r="58" spans="1:8" ht="14.25" hidden="1" customHeight="1" x14ac:dyDescent="0.25">
      <c r="A58" s="1">
        <v>45883</v>
      </c>
      <c r="B58" s="2">
        <v>2025001605</v>
      </c>
      <c r="C58" s="2" t="s">
        <v>117</v>
      </c>
      <c r="D58" s="3">
        <v>3000000</v>
      </c>
      <c r="E58" s="2">
        <v>1085326791</v>
      </c>
      <c r="F58" s="2" t="s">
        <v>118</v>
      </c>
      <c r="G58" t="s">
        <v>290</v>
      </c>
      <c r="H58" t="e">
        <f>VLOOKUP(C58,'[1]A CARGAR'!$A$2:$P$34,1,0)</f>
        <v>#N/A</v>
      </c>
    </row>
    <row r="59" spans="1:8" ht="14.25" hidden="1" customHeight="1" x14ac:dyDescent="0.25">
      <c r="A59" s="1">
        <v>45883</v>
      </c>
      <c r="B59" s="2">
        <v>2025001607</v>
      </c>
      <c r="C59" s="2" t="s">
        <v>119</v>
      </c>
      <c r="D59" s="3">
        <v>3000000</v>
      </c>
      <c r="E59" s="2">
        <v>1081272025</v>
      </c>
      <c r="F59" s="2" t="s">
        <v>120</v>
      </c>
      <c r="G59" t="s">
        <v>290</v>
      </c>
      <c r="H59" t="e">
        <f>VLOOKUP(C59,'[1]A CARGAR'!$A$2:$P$34,1,0)</f>
        <v>#N/A</v>
      </c>
    </row>
    <row r="60" spans="1:8" ht="14.25" hidden="1" customHeight="1" x14ac:dyDescent="0.25">
      <c r="A60" s="1">
        <v>45883</v>
      </c>
      <c r="B60" s="2">
        <v>2025001608</v>
      </c>
      <c r="C60" s="2" t="s">
        <v>13</v>
      </c>
      <c r="D60" s="3">
        <v>6000000</v>
      </c>
      <c r="E60" s="2">
        <v>1085340697</v>
      </c>
      <c r="F60" s="2" t="s">
        <v>14</v>
      </c>
      <c r="G60" t="s">
        <v>290</v>
      </c>
      <c r="H60" t="e">
        <f>VLOOKUP(C60,'[1]A CARGAR'!$A$2:$P$34,1,0)</f>
        <v>#N/A</v>
      </c>
    </row>
    <row r="61" spans="1:8" ht="14.25" hidden="1" customHeight="1" x14ac:dyDescent="0.25">
      <c r="A61" s="1">
        <v>45884</v>
      </c>
      <c r="B61" s="2">
        <v>2025001619</v>
      </c>
      <c r="C61" s="2" t="s">
        <v>121</v>
      </c>
      <c r="D61" s="3">
        <v>3000000</v>
      </c>
      <c r="E61" s="2">
        <v>1085315013</v>
      </c>
      <c r="F61" s="2" t="s">
        <v>122</v>
      </c>
      <c r="G61" t="s">
        <v>290</v>
      </c>
      <c r="H61" t="e">
        <f>VLOOKUP(C61,'[1]A CARGAR'!$A$2:$P$34,1,0)</f>
        <v>#N/A</v>
      </c>
    </row>
    <row r="62" spans="1:8" ht="14.25" hidden="1" customHeight="1" x14ac:dyDescent="0.25">
      <c r="A62" s="1">
        <v>45884</v>
      </c>
      <c r="B62" s="2">
        <v>2025001620</v>
      </c>
      <c r="C62" s="2" t="s">
        <v>123</v>
      </c>
      <c r="D62" s="3">
        <v>3000000</v>
      </c>
      <c r="E62" s="2">
        <v>1086363186</v>
      </c>
      <c r="F62" s="2" t="s">
        <v>124</v>
      </c>
      <c r="G62" t="s">
        <v>290</v>
      </c>
      <c r="H62" t="e">
        <f>VLOOKUP(C62,'[1]A CARGAR'!$A$2:$P$34,1,0)</f>
        <v>#N/A</v>
      </c>
    </row>
    <row r="63" spans="1:8" ht="14.25" hidden="1" customHeight="1" x14ac:dyDescent="0.25">
      <c r="A63" s="1">
        <v>45884</v>
      </c>
      <c r="B63" s="2">
        <v>2025001623</v>
      </c>
      <c r="C63" s="2" t="s">
        <v>125</v>
      </c>
      <c r="D63" s="3">
        <v>2500000</v>
      </c>
      <c r="E63" s="2">
        <v>1075242334</v>
      </c>
      <c r="F63" s="2" t="s">
        <v>126</v>
      </c>
      <c r="G63" t="s">
        <v>290</v>
      </c>
      <c r="H63" t="e">
        <f>VLOOKUP(C63,'[1]A CARGAR'!$A$2:$P$34,1,0)</f>
        <v>#N/A</v>
      </c>
    </row>
    <row r="64" spans="1:8" ht="14.25" hidden="1" customHeight="1" x14ac:dyDescent="0.25">
      <c r="A64" s="1">
        <v>45884</v>
      </c>
      <c r="B64" s="2">
        <v>2025001626</v>
      </c>
      <c r="C64" s="2" t="s">
        <v>127</v>
      </c>
      <c r="D64" s="3">
        <v>3000000</v>
      </c>
      <c r="E64" s="2">
        <v>1087006717</v>
      </c>
      <c r="F64" s="2" t="s">
        <v>128</v>
      </c>
      <c r="G64" t="s">
        <v>290</v>
      </c>
      <c r="H64" t="e">
        <f>VLOOKUP(C64,'[1]A CARGAR'!$A$2:$P$34,1,0)</f>
        <v>#N/A</v>
      </c>
    </row>
    <row r="65" spans="1:8" ht="14.25" hidden="1" customHeight="1" x14ac:dyDescent="0.25">
      <c r="A65" s="1">
        <v>45888</v>
      </c>
      <c r="B65" s="2">
        <v>2025001634</v>
      </c>
      <c r="C65" s="2" t="s">
        <v>129</v>
      </c>
      <c r="D65" s="3">
        <v>3000000</v>
      </c>
      <c r="E65" s="2">
        <v>1085339190</v>
      </c>
      <c r="F65" s="2" t="s">
        <v>130</v>
      </c>
      <c r="G65" t="s">
        <v>290</v>
      </c>
      <c r="H65" t="e">
        <f>VLOOKUP(C65,'[1]A CARGAR'!$A$2:$P$34,1,0)</f>
        <v>#N/A</v>
      </c>
    </row>
    <row r="66" spans="1:8" ht="14.25" hidden="1" customHeight="1" x14ac:dyDescent="0.25">
      <c r="A66" s="1">
        <v>45894</v>
      </c>
      <c r="B66" s="2">
        <v>2025001662</v>
      </c>
      <c r="C66" s="2" t="s">
        <v>25</v>
      </c>
      <c r="D66" s="3">
        <v>35977830</v>
      </c>
      <c r="E66" s="2">
        <v>900994364</v>
      </c>
      <c r="F66" s="2" t="s">
        <v>26</v>
      </c>
      <c r="G66" t="s">
        <v>290</v>
      </c>
      <c r="H66" t="e">
        <f>VLOOKUP(C66,'[1]A CARGAR'!$A$2:$P$34,1,0)</f>
        <v>#N/A</v>
      </c>
    </row>
    <row r="67" spans="1:8" ht="14.25" hidden="1" customHeight="1" x14ac:dyDescent="0.25">
      <c r="A67" s="1">
        <v>45895</v>
      </c>
      <c r="B67" s="2">
        <v>2025001720</v>
      </c>
      <c r="C67" s="2" t="s">
        <v>17</v>
      </c>
      <c r="D67" s="3">
        <v>6000000</v>
      </c>
      <c r="E67" s="2">
        <v>1085303585</v>
      </c>
      <c r="F67" s="2" t="s">
        <v>18</v>
      </c>
      <c r="G67" t="s">
        <v>290</v>
      </c>
      <c r="H67" t="e">
        <f>VLOOKUP(C67,'[1]A CARGAR'!$A$2:$P$34,1,0)</f>
        <v>#N/A</v>
      </c>
    </row>
    <row r="68" spans="1:8" ht="14.25" hidden="1" customHeight="1" x14ac:dyDescent="0.25">
      <c r="A68" s="1">
        <v>45895</v>
      </c>
      <c r="B68" s="2">
        <v>2025001721</v>
      </c>
      <c r="C68" s="2" t="s">
        <v>131</v>
      </c>
      <c r="D68" s="3">
        <v>3000000</v>
      </c>
      <c r="E68" s="2">
        <v>1085286742</v>
      </c>
      <c r="F68" s="2" t="s">
        <v>132</v>
      </c>
      <c r="G68" t="s">
        <v>290</v>
      </c>
      <c r="H68" t="e">
        <f>VLOOKUP(C68,'[1]A CARGAR'!$A$2:$P$34,1,0)</f>
        <v>#N/A</v>
      </c>
    </row>
    <row r="69" spans="1:8" ht="14.25" hidden="1" customHeight="1" x14ac:dyDescent="0.25">
      <c r="A69" s="1">
        <v>45895</v>
      </c>
      <c r="B69" s="2">
        <v>2025001725</v>
      </c>
      <c r="C69" s="2" t="s">
        <v>133</v>
      </c>
      <c r="D69" s="3">
        <v>6000000</v>
      </c>
      <c r="E69" s="2">
        <v>97470681</v>
      </c>
      <c r="F69" s="2" t="s">
        <v>134</v>
      </c>
      <c r="G69" t="s">
        <v>290</v>
      </c>
      <c r="H69" t="e">
        <f>VLOOKUP(C69,'[1]A CARGAR'!$A$2:$P$34,1,0)</f>
        <v>#N/A</v>
      </c>
    </row>
    <row r="70" spans="1:8" ht="14.25" hidden="1" customHeight="1" x14ac:dyDescent="0.25">
      <c r="A70" s="1">
        <v>45895</v>
      </c>
      <c r="B70" s="2">
        <v>2025001726</v>
      </c>
      <c r="C70" s="2" t="s">
        <v>135</v>
      </c>
      <c r="D70" s="3">
        <v>6000000</v>
      </c>
      <c r="E70" s="2">
        <v>36757221</v>
      </c>
      <c r="F70" s="2" t="s">
        <v>136</v>
      </c>
      <c r="G70" t="s">
        <v>290</v>
      </c>
      <c r="H70" t="e">
        <f>VLOOKUP(C70,'[1]A CARGAR'!$A$2:$P$34,1,0)</f>
        <v>#N/A</v>
      </c>
    </row>
    <row r="71" spans="1:8" ht="14.25" hidden="1" customHeight="1" x14ac:dyDescent="0.25">
      <c r="A71" s="1">
        <v>45895</v>
      </c>
      <c r="B71" s="2">
        <v>2025001728</v>
      </c>
      <c r="C71" s="2" t="s">
        <v>11</v>
      </c>
      <c r="D71" s="3">
        <v>4750000</v>
      </c>
      <c r="E71" s="2">
        <v>1085330309</v>
      </c>
      <c r="F71" s="2" t="s">
        <v>12</v>
      </c>
      <c r="G71" t="s">
        <v>290</v>
      </c>
      <c r="H71" t="e">
        <f>VLOOKUP(C71,'[1]A CARGAR'!$A$2:$P$34,1,0)</f>
        <v>#N/A</v>
      </c>
    </row>
    <row r="72" spans="1:8" ht="14.25" hidden="1" customHeight="1" x14ac:dyDescent="0.25">
      <c r="A72" s="1">
        <v>45895</v>
      </c>
      <c r="B72" s="2">
        <v>2025001729</v>
      </c>
      <c r="C72" s="2" t="s">
        <v>137</v>
      </c>
      <c r="D72" s="3">
        <v>3000000</v>
      </c>
      <c r="E72" s="2">
        <v>1081572043</v>
      </c>
      <c r="F72" s="2" t="s">
        <v>138</v>
      </c>
      <c r="G72" t="s">
        <v>290</v>
      </c>
      <c r="H72" t="e">
        <f>VLOOKUP(C72,'[1]A CARGAR'!$A$2:$P$34,1,0)</f>
        <v>#N/A</v>
      </c>
    </row>
    <row r="73" spans="1:8" ht="14.25" hidden="1" customHeight="1" x14ac:dyDescent="0.25">
      <c r="A73" s="1">
        <v>45895</v>
      </c>
      <c r="B73" s="2">
        <v>2025001730</v>
      </c>
      <c r="C73" s="2" t="s">
        <v>47</v>
      </c>
      <c r="D73" s="3">
        <v>4750000</v>
      </c>
      <c r="E73" s="2">
        <v>1085343783</v>
      </c>
      <c r="F73" s="2" t="s">
        <v>48</v>
      </c>
      <c r="G73" t="s">
        <v>290</v>
      </c>
      <c r="H73" t="e">
        <f>VLOOKUP(C73,'[1]A CARGAR'!$A$2:$P$34,1,0)</f>
        <v>#N/A</v>
      </c>
    </row>
    <row r="74" spans="1:8" ht="14.25" hidden="1" customHeight="1" x14ac:dyDescent="0.25">
      <c r="A74" s="1">
        <v>45895</v>
      </c>
      <c r="B74" s="2">
        <v>2025001731</v>
      </c>
      <c r="C74" s="2" t="s">
        <v>139</v>
      </c>
      <c r="D74" s="3">
        <v>6000000</v>
      </c>
      <c r="E74" s="2">
        <v>59820414</v>
      </c>
      <c r="F74" s="2" t="s">
        <v>140</v>
      </c>
      <c r="G74" t="s">
        <v>290</v>
      </c>
      <c r="H74" t="e">
        <f>VLOOKUP(C74,'[1]A CARGAR'!$A$2:$P$34,1,0)</f>
        <v>#N/A</v>
      </c>
    </row>
    <row r="75" spans="1:8" ht="14.25" hidden="1" customHeight="1" x14ac:dyDescent="0.25">
      <c r="A75" s="1">
        <v>45895</v>
      </c>
      <c r="B75" s="2">
        <v>2025001733</v>
      </c>
      <c r="C75" s="2" t="s">
        <v>141</v>
      </c>
      <c r="D75" s="3">
        <v>2500000</v>
      </c>
      <c r="E75" s="2">
        <v>1085304072</v>
      </c>
      <c r="F75" s="2" t="s">
        <v>142</v>
      </c>
      <c r="G75" t="s">
        <v>290</v>
      </c>
      <c r="H75" t="e">
        <f>VLOOKUP(C75,'[1]A CARGAR'!$A$2:$P$34,1,0)</f>
        <v>#N/A</v>
      </c>
    </row>
    <row r="76" spans="1:8" ht="14.25" hidden="1" customHeight="1" x14ac:dyDescent="0.25">
      <c r="A76" s="1">
        <v>45895</v>
      </c>
      <c r="B76" s="2">
        <v>2025001734</v>
      </c>
      <c r="C76" s="2" t="s">
        <v>143</v>
      </c>
      <c r="D76" s="3">
        <v>4750000</v>
      </c>
      <c r="E76" s="2">
        <v>1018492767</v>
      </c>
      <c r="F76" s="2" t="s">
        <v>144</v>
      </c>
      <c r="G76" t="s">
        <v>290</v>
      </c>
      <c r="H76" t="e">
        <f>VLOOKUP(C76,'[1]A CARGAR'!$A$2:$P$34,1,0)</f>
        <v>#N/A</v>
      </c>
    </row>
    <row r="77" spans="1:8" ht="14.25" hidden="1" customHeight="1" x14ac:dyDescent="0.25">
      <c r="A77" s="1">
        <v>45895</v>
      </c>
      <c r="B77" s="2">
        <v>2025001735</v>
      </c>
      <c r="C77" s="2" t="s">
        <v>145</v>
      </c>
      <c r="D77" s="3">
        <v>2500000</v>
      </c>
      <c r="E77" s="2">
        <v>1233188479</v>
      </c>
      <c r="F77" s="2" t="s">
        <v>146</v>
      </c>
      <c r="G77" t="s">
        <v>290</v>
      </c>
      <c r="H77" t="e">
        <f>VLOOKUP(C77,'[1]A CARGAR'!$A$2:$P$34,1,0)</f>
        <v>#N/A</v>
      </c>
    </row>
    <row r="78" spans="1:8" ht="14.25" hidden="1" customHeight="1" x14ac:dyDescent="0.25">
      <c r="A78" s="1">
        <v>45896</v>
      </c>
      <c r="B78" s="2">
        <v>2025001737</v>
      </c>
      <c r="C78" s="2" t="s">
        <v>147</v>
      </c>
      <c r="D78" s="3">
        <v>3000000</v>
      </c>
      <c r="E78" s="2">
        <v>1085274630</v>
      </c>
      <c r="F78" s="2" t="s">
        <v>148</v>
      </c>
      <c r="G78" t="s">
        <v>290</v>
      </c>
      <c r="H78" t="e">
        <f>VLOOKUP(C78,'[1]A CARGAR'!$A$2:$P$34,1,0)</f>
        <v>#N/A</v>
      </c>
    </row>
    <row r="79" spans="1:8" ht="14.25" hidden="1" customHeight="1" x14ac:dyDescent="0.25">
      <c r="A79" s="1">
        <v>45896</v>
      </c>
      <c r="B79" s="2">
        <v>2025001738</v>
      </c>
      <c r="C79" s="2" t="s">
        <v>149</v>
      </c>
      <c r="D79" s="3">
        <v>3000000</v>
      </c>
      <c r="E79" s="2">
        <v>59706564</v>
      </c>
      <c r="F79" s="2" t="s">
        <v>150</v>
      </c>
      <c r="G79" t="s">
        <v>290</v>
      </c>
      <c r="H79" t="e">
        <f>VLOOKUP(C79,'[1]A CARGAR'!$A$2:$P$34,1,0)</f>
        <v>#N/A</v>
      </c>
    </row>
    <row r="80" spans="1:8" ht="14.25" hidden="1" customHeight="1" x14ac:dyDescent="0.25">
      <c r="A80" s="1">
        <v>45896</v>
      </c>
      <c r="B80" s="2">
        <v>2025001739</v>
      </c>
      <c r="C80" s="2" t="s">
        <v>151</v>
      </c>
      <c r="D80" s="3">
        <v>3000000</v>
      </c>
      <c r="E80" s="2">
        <v>1085314608</v>
      </c>
      <c r="F80" s="2" t="s">
        <v>152</v>
      </c>
      <c r="G80" t="s">
        <v>290</v>
      </c>
      <c r="H80" t="e">
        <f>VLOOKUP(C80,'[1]A CARGAR'!$A$2:$P$34,1,0)</f>
        <v>#N/A</v>
      </c>
    </row>
    <row r="81" spans="1:9" ht="14.25" hidden="1" customHeight="1" x14ac:dyDescent="0.25">
      <c r="A81" s="1">
        <v>45896</v>
      </c>
      <c r="B81" s="2">
        <v>2025001740</v>
      </c>
      <c r="C81" s="2" t="s">
        <v>153</v>
      </c>
      <c r="D81" s="3">
        <v>3000000</v>
      </c>
      <c r="E81" s="2">
        <v>1086329609</v>
      </c>
      <c r="F81" s="2" t="s">
        <v>154</v>
      </c>
      <c r="G81" t="s">
        <v>290</v>
      </c>
      <c r="H81" t="e">
        <f>VLOOKUP(C81,'[1]A CARGAR'!$A$2:$P$34,1,0)</f>
        <v>#N/A</v>
      </c>
    </row>
    <row r="82" spans="1:9" ht="14.25" hidden="1" customHeight="1" x14ac:dyDescent="0.25">
      <c r="A82" s="1">
        <v>45896</v>
      </c>
      <c r="B82" s="2">
        <v>2025001741</v>
      </c>
      <c r="C82" s="2" t="s">
        <v>155</v>
      </c>
      <c r="D82" s="3">
        <v>6000000</v>
      </c>
      <c r="E82" s="2">
        <v>1085299577</v>
      </c>
      <c r="F82" s="2" t="s">
        <v>156</v>
      </c>
      <c r="G82" t="s">
        <v>290</v>
      </c>
      <c r="H82" t="e">
        <f>VLOOKUP(C82,'[1]A CARGAR'!$A$2:$P$34,1,0)</f>
        <v>#N/A</v>
      </c>
    </row>
    <row r="83" spans="1:9" ht="14.25" hidden="1" customHeight="1" x14ac:dyDescent="0.25">
      <c r="A83" s="1">
        <v>45896</v>
      </c>
      <c r="B83" s="2">
        <v>2025001742</v>
      </c>
      <c r="C83" s="2" t="s">
        <v>9</v>
      </c>
      <c r="D83" s="3">
        <v>4825000</v>
      </c>
      <c r="E83" s="2">
        <v>1085324891</v>
      </c>
      <c r="F83" s="2" t="s">
        <v>10</v>
      </c>
      <c r="G83" t="s">
        <v>290</v>
      </c>
      <c r="H83" t="e">
        <f>VLOOKUP(C83,'[1]A CARGAR'!$A$2:$P$34,1,0)</f>
        <v>#N/A</v>
      </c>
    </row>
    <row r="84" spans="1:9" ht="14.25" hidden="1" customHeight="1" x14ac:dyDescent="0.25">
      <c r="A84" s="1">
        <v>45896</v>
      </c>
      <c r="B84" s="2">
        <v>2025001747</v>
      </c>
      <c r="C84" s="2" t="s">
        <v>157</v>
      </c>
      <c r="D84" s="3">
        <v>7500000</v>
      </c>
      <c r="E84" s="2">
        <v>1193202097</v>
      </c>
      <c r="F84" s="2" t="s">
        <v>158</v>
      </c>
      <c r="G84" t="s">
        <v>290</v>
      </c>
      <c r="H84" t="e">
        <f>VLOOKUP(C84,'[1]A CARGAR'!$A$2:$P$34,1,0)</f>
        <v>#N/A</v>
      </c>
    </row>
    <row r="85" spans="1:9" ht="14.25" hidden="1" customHeight="1" x14ac:dyDescent="0.25">
      <c r="A85" s="1">
        <v>45918</v>
      </c>
      <c r="B85" s="2">
        <v>2025001987</v>
      </c>
      <c r="C85" s="2" t="s">
        <v>225</v>
      </c>
      <c r="D85" s="3">
        <v>5000000</v>
      </c>
      <c r="E85" s="2">
        <v>1085313872</v>
      </c>
      <c r="F85" s="2" t="s">
        <v>226</v>
      </c>
      <c r="G85" t="s">
        <v>290</v>
      </c>
      <c r="H85" t="e">
        <f>VLOOKUP(C85,'[1]A CARGAR'!$A$2:$P$34,1,0)</f>
        <v>#N/A</v>
      </c>
      <c r="I85" t="s">
        <v>292</v>
      </c>
    </row>
    <row r="86" spans="1:9" ht="14.25" hidden="1" customHeight="1" x14ac:dyDescent="0.25">
      <c r="A86" s="1">
        <v>45918</v>
      </c>
      <c r="B86" s="2">
        <v>2025001974</v>
      </c>
      <c r="C86" s="2" t="s">
        <v>65</v>
      </c>
      <c r="D86" s="3">
        <v>7500000</v>
      </c>
      <c r="E86" s="2">
        <v>1006106084</v>
      </c>
      <c r="F86" s="2" t="s">
        <v>66</v>
      </c>
      <c r="G86" t="s">
        <v>290</v>
      </c>
      <c r="H86" t="e">
        <f>VLOOKUP(C86,'[1]A CARGAR'!$A$2:$P$34,1,0)</f>
        <v>#N/A</v>
      </c>
    </row>
    <row r="87" spans="1:9" ht="14.25" hidden="1" customHeight="1" x14ac:dyDescent="0.25">
      <c r="A87" s="1">
        <v>45923</v>
      </c>
      <c r="B87" s="2">
        <v>2025002011</v>
      </c>
      <c r="C87" s="2" t="s">
        <v>161</v>
      </c>
      <c r="D87" s="3">
        <v>3000000</v>
      </c>
      <c r="E87" s="2">
        <v>1030606749</v>
      </c>
      <c r="F87" s="2" t="s">
        <v>162</v>
      </c>
      <c r="G87" t="s">
        <v>290</v>
      </c>
      <c r="H87" t="e">
        <f>VLOOKUP(C87,'[1]A CARGAR'!$A$2:$P$34,1,0)</f>
        <v>#N/A</v>
      </c>
    </row>
    <row r="88" spans="1:9" ht="14.25" hidden="1" customHeight="1" x14ac:dyDescent="0.25">
      <c r="A88" s="1">
        <v>45902</v>
      </c>
      <c r="B88" s="2">
        <v>2025001763</v>
      </c>
      <c r="C88" s="2" t="s">
        <v>31</v>
      </c>
      <c r="D88" s="3">
        <v>7500000</v>
      </c>
      <c r="E88" s="2">
        <v>80765093</v>
      </c>
      <c r="F88" s="2" t="s">
        <v>32</v>
      </c>
      <c r="G88" t="s">
        <v>290</v>
      </c>
      <c r="H88" t="e">
        <f>VLOOKUP(C88,'[1]A CARGAR'!$A$2:$P$34,1,0)</f>
        <v>#N/A</v>
      </c>
    </row>
    <row r="89" spans="1:9" ht="14.25" hidden="1" customHeight="1" x14ac:dyDescent="0.25">
      <c r="A89" s="1">
        <v>45902</v>
      </c>
      <c r="B89" s="2">
        <v>2025001765</v>
      </c>
      <c r="C89" s="2" t="s">
        <v>163</v>
      </c>
      <c r="D89" s="3">
        <v>3000000</v>
      </c>
      <c r="E89" s="2">
        <v>1085286725</v>
      </c>
      <c r="F89" s="2" t="s">
        <v>164</v>
      </c>
      <c r="G89" t="s">
        <v>290</v>
      </c>
      <c r="H89" t="e">
        <f>VLOOKUP(C89,'[1]A CARGAR'!$A$2:$P$34,1,0)</f>
        <v>#N/A</v>
      </c>
    </row>
    <row r="90" spans="1:9" ht="14.25" hidden="1" customHeight="1" x14ac:dyDescent="0.25">
      <c r="A90" s="1">
        <v>45902</v>
      </c>
      <c r="B90" s="2">
        <v>2025001766</v>
      </c>
      <c r="C90" s="2" t="s">
        <v>165</v>
      </c>
      <c r="D90" s="3">
        <v>3000000</v>
      </c>
      <c r="E90" s="2">
        <v>27388522</v>
      </c>
      <c r="F90" s="2" t="s">
        <v>166</v>
      </c>
      <c r="G90" t="s">
        <v>290</v>
      </c>
      <c r="H90" t="e">
        <f>VLOOKUP(C90,'[1]A CARGAR'!$A$2:$P$34,1,0)</f>
        <v>#N/A</v>
      </c>
    </row>
    <row r="91" spans="1:9" ht="14.25" hidden="1" customHeight="1" x14ac:dyDescent="0.25">
      <c r="A91" s="1">
        <v>45904</v>
      </c>
      <c r="B91" s="2">
        <v>2025001797</v>
      </c>
      <c r="C91" s="2" t="s">
        <v>97</v>
      </c>
      <c r="D91" s="3">
        <v>3000000</v>
      </c>
      <c r="E91" s="2">
        <v>1233191675</v>
      </c>
      <c r="F91" s="2" t="s">
        <v>98</v>
      </c>
      <c r="G91" t="s">
        <v>290</v>
      </c>
      <c r="H91" t="e">
        <f>VLOOKUP(C91,'[1]A CARGAR'!$A$2:$P$34,1,0)</f>
        <v>#N/A</v>
      </c>
    </row>
    <row r="92" spans="1:9" ht="14.25" hidden="1" customHeight="1" x14ac:dyDescent="0.25">
      <c r="A92" s="1">
        <v>45904</v>
      </c>
      <c r="B92" s="2">
        <v>2025001803</v>
      </c>
      <c r="C92" s="2" t="s">
        <v>93</v>
      </c>
      <c r="D92" s="3">
        <v>2500000</v>
      </c>
      <c r="E92" s="2">
        <v>12974849</v>
      </c>
      <c r="F92" s="2" t="s">
        <v>94</v>
      </c>
      <c r="G92" t="s">
        <v>290</v>
      </c>
      <c r="H92" t="e">
        <f>VLOOKUP(C92,'[1]A CARGAR'!$A$2:$P$34,1,0)</f>
        <v>#N/A</v>
      </c>
    </row>
    <row r="93" spans="1:9" ht="14.25" hidden="1" customHeight="1" x14ac:dyDescent="0.25">
      <c r="A93" s="1">
        <v>45904</v>
      </c>
      <c r="B93" s="2">
        <v>2025001805</v>
      </c>
      <c r="C93" s="2" t="s">
        <v>81</v>
      </c>
      <c r="D93" s="3">
        <v>4825000</v>
      </c>
      <c r="E93" s="2">
        <v>1080900817</v>
      </c>
      <c r="F93" s="2" t="s">
        <v>82</v>
      </c>
      <c r="G93" t="s">
        <v>290</v>
      </c>
      <c r="H93" t="e">
        <f>VLOOKUP(C93,'[1]A CARGAR'!$A$2:$P$34,1,0)</f>
        <v>#N/A</v>
      </c>
    </row>
    <row r="94" spans="1:9" ht="14.25" hidden="1" customHeight="1" x14ac:dyDescent="0.25">
      <c r="A94" s="1">
        <v>45904</v>
      </c>
      <c r="B94" s="2">
        <v>2025001811</v>
      </c>
      <c r="C94" s="2" t="s">
        <v>89</v>
      </c>
      <c r="D94" s="3">
        <v>3000000</v>
      </c>
      <c r="E94" s="2">
        <v>1193224810</v>
      </c>
      <c r="F94" s="2" t="s">
        <v>90</v>
      </c>
      <c r="G94" t="s">
        <v>290</v>
      </c>
      <c r="H94" t="e">
        <f>VLOOKUP(C94,'[1]A CARGAR'!$A$2:$P$34,1,0)</f>
        <v>#N/A</v>
      </c>
    </row>
    <row r="95" spans="1:9" ht="14.25" hidden="1" customHeight="1" x14ac:dyDescent="0.25">
      <c r="A95" s="1">
        <v>45904</v>
      </c>
      <c r="B95" s="2">
        <v>2025001812</v>
      </c>
      <c r="C95" s="2" t="s">
        <v>61</v>
      </c>
      <c r="D95" s="3">
        <v>7500000</v>
      </c>
      <c r="E95" s="2">
        <v>1006946167</v>
      </c>
      <c r="F95" s="2" t="s">
        <v>62</v>
      </c>
      <c r="G95" t="s">
        <v>290</v>
      </c>
      <c r="H95" t="e">
        <f>VLOOKUP(C95,'[1]A CARGAR'!$A$2:$P$34,1,0)</f>
        <v>#N/A</v>
      </c>
    </row>
    <row r="96" spans="1:9" ht="14.25" hidden="1" customHeight="1" x14ac:dyDescent="0.25">
      <c r="A96" s="1">
        <v>45904</v>
      </c>
      <c r="B96" s="2">
        <v>2025001813</v>
      </c>
      <c r="C96" s="2" t="s">
        <v>87</v>
      </c>
      <c r="D96" s="3">
        <v>3000000</v>
      </c>
      <c r="E96" s="2">
        <v>1085255829</v>
      </c>
      <c r="F96" s="2" t="s">
        <v>88</v>
      </c>
      <c r="G96" t="s">
        <v>290</v>
      </c>
      <c r="H96" t="e">
        <f>VLOOKUP(C96,'[1]A CARGAR'!$A$2:$P$34,1,0)</f>
        <v>#N/A</v>
      </c>
    </row>
    <row r="97" spans="1:8" ht="14.25" hidden="1" customHeight="1" x14ac:dyDescent="0.25">
      <c r="A97" s="1">
        <v>45904</v>
      </c>
      <c r="B97" s="2">
        <v>2025001814</v>
      </c>
      <c r="C97" s="2" t="s">
        <v>91</v>
      </c>
      <c r="D97" s="3">
        <v>4750000</v>
      </c>
      <c r="E97" s="2">
        <v>1085340885</v>
      </c>
      <c r="F97" s="2" t="s">
        <v>92</v>
      </c>
      <c r="G97" t="s">
        <v>290</v>
      </c>
      <c r="H97" t="e">
        <f>VLOOKUP(C97,'[1]A CARGAR'!$A$2:$P$34,1,0)</f>
        <v>#N/A</v>
      </c>
    </row>
    <row r="98" spans="1:8" ht="14.25" hidden="1" customHeight="1" x14ac:dyDescent="0.25">
      <c r="A98" s="1">
        <v>45908</v>
      </c>
      <c r="B98" s="2">
        <v>2025001828</v>
      </c>
      <c r="C98" s="2" t="s">
        <v>167</v>
      </c>
      <c r="D98" s="3">
        <v>2500000</v>
      </c>
      <c r="E98" s="2">
        <v>1085255753</v>
      </c>
      <c r="F98" s="2" t="s">
        <v>168</v>
      </c>
      <c r="G98" t="s">
        <v>290</v>
      </c>
      <c r="H98" t="e">
        <f>VLOOKUP(C98,'[1]A CARGAR'!$A$2:$P$34,1,0)</f>
        <v>#N/A</v>
      </c>
    </row>
    <row r="99" spans="1:8" ht="14.25" hidden="1" customHeight="1" x14ac:dyDescent="0.25">
      <c r="A99" s="1">
        <v>45908</v>
      </c>
      <c r="B99" s="2">
        <v>2025001829</v>
      </c>
      <c r="C99" s="2" t="s">
        <v>71</v>
      </c>
      <c r="D99" s="3">
        <v>6000000</v>
      </c>
      <c r="E99" s="2">
        <v>1085283868</v>
      </c>
      <c r="F99" s="2" t="s">
        <v>72</v>
      </c>
      <c r="G99" t="s">
        <v>290</v>
      </c>
      <c r="H99" t="e">
        <f>VLOOKUP(C99,'[1]A CARGAR'!$A$2:$P$34,1,0)</f>
        <v>#N/A</v>
      </c>
    </row>
    <row r="100" spans="1:8" ht="14.25" hidden="1" customHeight="1" x14ac:dyDescent="0.25">
      <c r="A100" s="1">
        <v>45908</v>
      </c>
      <c r="B100" s="2">
        <v>2025001830</v>
      </c>
      <c r="C100" s="2" t="s">
        <v>169</v>
      </c>
      <c r="D100" s="3">
        <v>4750000</v>
      </c>
      <c r="E100" s="2">
        <v>36953206</v>
      </c>
      <c r="F100" s="2" t="s">
        <v>170</v>
      </c>
      <c r="G100" t="s">
        <v>290</v>
      </c>
      <c r="H100" t="e">
        <f>VLOOKUP(C100,'[1]A CARGAR'!$A$2:$P$34,1,0)</f>
        <v>#N/A</v>
      </c>
    </row>
    <row r="101" spans="1:8" ht="14.25" hidden="1" customHeight="1" x14ac:dyDescent="0.25">
      <c r="A101" s="1">
        <v>45908</v>
      </c>
      <c r="B101" s="2">
        <v>2025001843</v>
      </c>
      <c r="C101" s="2" t="s">
        <v>171</v>
      </c>
      <c r="D101" s="3">
        <v>7500000</v>
      </c>
      <c r="E101" s="2">
        <v>37087120</v>
      </c>
      <c r="F101" s="2" t="s">
        <v>172</v>
      </c>
      <c r="G101" t="s">
        <v>290</v>
      </c>
      <c r="H101" t="e">
        <f>VLOOKUP(C101,'[1]A CARGAR'!$A$2:$P$34,1,0)</f>
        <v>#N/A</v>
      </c>
    </row>
    <row r="102" spans="1:8" ht="14.25" hidden="1" customHeight="1" x14ac:dyDescent="0.25">
      <c r="A102" s="1">
        <v>45908</v>
      </c>
      <c r="B102" s="2">
        <v>2025001844</v>
      </c>
      <c r="C102" s="2" t="s">
        <v>173</v>
      </c>
      <c r="D102" s="3">
        <v>6000000</v>
      </c>
      <c r="E102" s="2">
        <v>59825948</v>
      </c>
      <c r="F102" s="2" t="s">
        <v>174</v>
      </c>
      <c r="G102" t="s">
        <v>290</v>
      </c>
      <c r="H102" t="e">
        <f>VLOOKUP(C102,'[1]A CARGAR'!$A$2:$P$34,1,0)</f>
        <v>#N/A</v>
      </c>
    </row>
    <row r="103" spans="1:8" ht="14.25" hidden="1" customHeight="1" x14ac:dyDescent="0.25">
      <c r="A103" s="1">
        <v>45908</v>
      </c>
      <c r="B103" s="2">
        <v>2025001845</v>
      </c>
      <c r="C103" s="2" t="s">
        <v>37</v>
      </c>
      <c r="D103" s="3">
        <v>4825000</v>
      </c>
      <c r="E103" s="2">
        <v>1085338534</v>
      </c>
      <c r="F103" s="2" t="s">
        <v>38</v>
      </c>
      <c r="G103" t="s">
        <v>290</v>
      </c>
      <c r="H103" t="e">
        <f>VLOOKUP(C103,'[1]A CARGAR'!$A$2:$P$34,1,0)</f>
        <v>#N/A</v>
      </c>
    </row>
    <row r="104" spans="1:8" ht="14.25" hidden="1" customHeight="1" x14ac:dyDescent="0.25">
      <c r="A104" s="1">
        <v>45908</v>
      </c>
      <c r="B104" s="2">
        <v>2025001846</v>
      </c>
      <c r="C104" s="2" t="s">
        <v>175</v>
      </c>
      <c r="D104" s="3">
        <v>2500000</v>
      </c>
      <c r="E104" s="2">
        <v>1085347173</v>
      </c>
      <c r="F104" s="2" t="s">
        <v>176</v>
      </c>
      <c r="G104" t="s">
        <v>290</v>
      </c>
      <c r="H104" t="e">
        <f>VLOOKUP(C104,'[1]A CARGAR'!$A$2:$P$34,1,0)</f>
        <v>#N/A</v>
      </c>
    </row>
    <row r="105" spans="1:8" ht="14.25" hidden="1" customHeight="1" x14ac:dyDescent="0.25">
      <c r="A105" s="1">
        <v>45908</v>
      </c>
      <c r="B105" s="2">
        <v>2025001847</v>
      </c>
      <c r="C105" s="2" t="s">
        <v>177</v>
      </c>
      <c r="D105" s="3">
        <v>6000000</v>
      </c>
      <c r="E105" s="2">
        <v>59836480</v>
      </c>
      <c r="F105" s="2" t="s">
        <v>178</v>
      </c>
      <c r="G105" t="s">
        <v>290</v>
      </c>
      <c r="H105" t="e">
        <f>VLOOKUP(C105,'[1]A CARGAR'!$A$2:$P$34,1,0)</f>
        <v>#N/A</v>
      </c>
    </row>
    <row r="106" spans="1:8" ht="14.25" hidden="1" customHeight="1" x14ac:dyDescent="0.25">
      <c r="A106" s="1">
        <v>45909</v>
      </c>
      <c r="B106" s="2">
        <v>2025001855</v>
      </c>
      <c r="C106" s="2" t="s">
        <v>21</v>
      </c>
      <c r="D106" s="3">
        <v>4825000</v>
      </c>
      <c r="E106" s="2">
        <v>1004508471</v>
      </c>
      <c r="F106" s="2" t="s">
        <v>22</v>
      </c>
      <c r="G106" t="s">
        <v>290</v>
      </c>
      <c r="H106" t="e">
        <f>VLOOKUP(C106,'[1]A CARGAR'!$A$2:$P$34,1,0)</f>
        <v>#N/A</v>
      </c>
    </row>
    <row r="107" spans="1:8" ht="14.25" hidden="1" customHeight="1" x14ac:dyDescent="0.25">
      <c r="A107" s="1">
        <v>45909</v>
      </c>
      <c r="B107" s="2">
        <v>2025001856</v>
      </c>
      <c r="C107" s="2" t="s">
        <v>179</v>
      </c>
      <c r="D107" s="3">
        <v>2500000</v>
      </c>
      <c r="E107" s="2">
        <v>30722194</v>
      </c>
      <c r="F107" s="2" t="s">
        <v>180</v>
      </c>
      <c r="G107" t="s">
        <v>290</v>
      </c>
      <c r="H107" t="e">
        <f>VLOOKUP(C107,'[1]A CARGAR'!$A$2:$P$34,1,0)</f>
        <v>#N/A</v>
      </c>
    </row>
    <row r="108" spans="1:8" ht="14.25" hidden="1" customHeight="1" x14ac:dyDescent="0.25">
      <c r="A108" s="1">
        <v>45909</v>
      </c>
      <c r="B108" s="2">
        <v>2025001857</v>
      </c>
      <c r="C108" s="2" t="s">
        <v>27</v>
      </c>
      <c r="D108" s="3">
        <v>6000000</v>
      </c>
      <c r="E108" s="2">
        <v>1085286476</v>
      </c>
      <c r="F108" s="2" t="s">
        <v>28</v>
      </c>
      <c r="G108" t="s">
        <v>290</v>
      </c>
      <c r="H108" t="e">
        <f>VLOOKUP(C108,'[1]A CARGAR'!$A$2:$P$34,1,0)</f>
        <v>#N/A</v>
      </c>
    </row>
    <row r="109" spans="1:8" ht="14.25" hidden="1" customHeight="1" x14ac:dyDescent="0.25">
      <c r="A109" s="1">
        <v>45909</v>
      </c>
      <c r="B109" s="2">
        <v>2025001858</v>
      </c>
      <c r="C109" s="2" t="s">
        <v>29</v>
      </c>
      <c r="D109" s="3">
        <v>3000000</v>
      </c>
      <c r="E109" s="2">
        <v>69028150</v>
      </c>
      <c r="F109" s="2" t="s">
        <v>30</v>
      </c>
      <c r="G109" t="s">
        <v>290</v>
      </c>
      <c r="H109" t="e">
        <f>VLOOKUP(C109,'[1]A CARGAR'!$A$2:$P$34,1,0)</f>
        <v>#N/A</v>
      </c>
    </row>
    <row r="110" spans="1:8" ht="14.25" hidden="1" customHeight="1" x14ac:dyDescent="0.25">
      <c r="A110" s="1">
        <v>45909</v>
      </c>
      <c r="B110" s="2">
        <v>2025001859</v>
      </c>
      <c r="C110" s="2" t="s">
        <v>181</v>
      </c>
      <c r="D110" s="3">
        <v>3000000</v>
      </c>
      <c r="E110" s="2">
        <v>1085252263</v>
      </c>
      <c r="F110" s="2" t="s">
        <v>182</v>
      </c>
      <c r="G110" t="s">
        <v>290</v>
      </c>
      <c r="H110" t="e">
        <f>VLOOKUP(C110,'[1]A CARGAR'!$A$2:$P$34,1,0)</f>
        <v>#N/A</v>
      </c>
    </row>
    <row r="111" spans="1:8" ht="14.25" hidden="1" customHeight="1" x14ac:dyDescent="0.25">
      <c r="A111" s="1">
        <v>45909</v>
      </c>
      <c r="B111" s="2">
        <v>2025001860</v>
      </c>
      <c r="C111" s="2" t="s">
        <v>183</v>
      </c>
      <c r="D111" s="3">
        <v>2500000</v>
      </c>
      <c r="E111" s="2">
        <v>59830219</v>
      </c>
      <c r="F111" s="2" t="s">
        <v>184</v>
      </c>
      <c r="G111" t="s">
        <v>290</v>
      </c>
      <c r="H111" t="e">
        <f>VLOOKUP(C111,'[1]A CARGAR'!$A$2:$P$34,1,0)</f>
        <v>#N/A</v>
      </c>
    </row>
    <row r="112" spans="1:8" ht="14.25" hidden="1" customHeight="1" x14ac:dyDescent="0.25">
      <c r="A112" s="1">
        <v>45909</v>
      </c>
      <c r="B112" s="2">
        <v>2025001862</v>
      </c>
      <c r="C112" s="2" t="s">
        <v>131</v>
      </c>
      <c r="D112" s="3">
        <v>3000000</v>
      </c>
      <c r="E112" s="2">
        <v>1085286742</v>
      </c>
      <c r="F112" s="2" t="s">
        <v>132</v>
      </c>
      <c r="G112" t="s">
        <v>290</v>
      </c>
      <c r="H112" t="e">
        <f>VLOOKUP(C112,'[1]A CARGAR'!$A$2:$P$34,1,0)</f>
        <v>#N/A</v>
      </c>
    </row>
    <row r="113" spans="1:9" ht="14.25" hidden="1" customHeight="1" x14ac:dyDescent="0.25">
      <c r="A113" s="1">
        <v>45909</v>
      </c>
      <c r="B113" s="2">
        <v>2025001864</v>
      </c>
      <c r="C113" s="2" t="s">
        <v>79</v>
      </c>
      <c r="D113" s="3">
        <v>3000000</v>
      </c>
      <c r="E113" s="2">
        <v>36954407</v>
      </c>
      <c r="F113" s="2" t="s">
        <v>80</v>
      </c>
      <c r="G113" t="s">
        <v>290</v>
      </c>
      <c r="H113" t="e">
        <f>VLOOKUP(C113,'[1]A CARGAR'!$A$2:$P$34,1,0)</f>
        <v>#N/A</v>
      </c>
    </row>
    <row r="114" spans="1:9" ht="14.25" hidden="1" customHeight="1" x14ac:dyDescent="0.25">
      <c r="A114" s="1">
        <v>45909</v>
      </c>
      <c r="B114" s="2">
        <v>2025001867</v>
      </c>
      <c r="C114" s="2" t="s">
        <v>43</v>
      </c>
      <c r="D114" s="3">
        <v>4750000</v>
      </c>
      <c r="E114" s="2">
        <v>59651018</v>
      </c>
      <c r="F114" s="2" t="s">
        <v>44</v>
      </c>
      <c r="G114" t="s">
        <v>290</v>
      </c>
      <c r="H114" t="e">
        <f>VLOOKUP(C114,'[1]A CARGAR'!$A$2:$P$34,1,0)</f>
        <v>#N/A</v>
      </c>
    </row>
    <row r="115" spans="1:9" ht="14.25" hidden="1" customHeight="1" x14ac:dyDescent="0.25">
      <c r="A115" s="1">
        <v>45909</v>
      </c>
      <c r="B115" s="2">
        <v>2025001870</v>
      </c>
      <c r="C115" s="2" t="s">
        <v>57</v>
      </c>
      <c r="D115" s="3">
        <v>7500000</v>
      </c>
      <c r="E115" s="2">
        <v>1085293105</v>
      </c>
      <c r="F115" s="2" t="s">
        <v>58</v>
      </c>
      <c r="G115" t="s">
        <v>290</v>
      </c>
      <c r="H115" t="e">
        <f>VLOOKUP(C115,'[1]A CARGAR'!$A$2:$P$34,1,0)</f>
        <v>#N/A</v>
      </c>
    </row>
    <row r="116" spans="1:9" ht="14.25" hidden="1" customHeight="1" x14ac:dyDescent="0.25">
      <c r="A116" s="1">
        <v>45909</v>
      </c>
      <c r="B116" s="2">
        <v>2025001872</v>
      </c>
      <c r="C116" s="2" t="s">
        <v>77</v>
      </c>
      <c r="D116" s="3">
        <v>3000000</v>
      </c>
      <c r="E116" s="2">
        <v>1010082397</v>
      </c>
      <c r="F116" s="2" t="s">
        <v>78</v>
      </c>
      <c r="G116" t="s">
        <v>290</v>
      </c>
      <c r="H116" t="e">
        <f>VLOOKUP(C116,'[1]A CARGAR'!$A$2:$P$34,1,0)</f>
        <v>#N/A</v>
      </c>
    </row>
    <row r="117" spans="1:9" ht="14.25" hidden="1" customHeight="1" x14ac:dyDescent="0.25">
      <c r="A117" s="1">
        <v>45909</v>
      </c>
      <c r="B117" s="2">
        <v>2025001873</v>
      </c>
      <c r="C117" s="2" t="s">
        <v>185</v>
      </c>
      <c r="D117" s="3">
        <v>3000000</v>
      </c>
      <c r="E117" s="2">
        <v>1085300095</v>
      </c>
      <c r="F117" s="2" t="s">
        <v>186</v>
      </c>
      <c r="G117" t="s">
        <v>290</v>
      </c>
      <c r="H117" t="e">
        <f>VLOOKUP(C117,'[1]A CARGAR'!$A$2:$P$34,1,0)</f>
        <v>#N/A</v>
      </c>
    </row>
    <row r="118" spans="1:9" ht="14.25" hidden="1" customHeight="1" x14ac:dyDescent="0.25">
      <c r="A118" s="1">
        <v>45909</v>
      </c>
      <c r="B118" s="2">
        <v>2025001874</v>
      </c>
      <c r="C118" s="2" t="s">
        <v>187</v>
      </c>
      <c r="D118" s="3">
        <v>3000000</v>
      </c>
      <c r="E118" s="2">
        <v>1088733625</v>
      </c>
      <c r="F118" s="2" t="s">
        <v>188</v>
      </c>
      <c r="G118" t="s">
        <v>290</v>
      </c>
      <c r="H118" t="e">
        <f>VLOOKUP(C118,'[1]A CARGAR'!$A$2:$P$34,1,0)</f>
        <v>#N/A</v>
      </c>
    </row>
    <row r="119" spans="1:9" ht="14.25" hidden="1" customHeight="1" x14ac:dyDescent="0.25">
      <c r="A119" s="1">
        <v>45909</v>
      </c>
      <c r="B119" s="2">
        <v>2025001875</v>
      </c>
      <c r="C119" s="2" t="s">
        <v>73</v>
      </c>
      <c r="D119" s="3">
        <v>3000000</v>
      </c>
      <c r="E119" s="2">
        <v>98382500</v>
      </c>
      <c r="F119" s="2" t="s">
        <v>74</v>
      </c>
      <c r="G119" t="s">
        <v>290</v>
      </c>
      <c r="H119" t="e">
        <f>VLOOKUP(C119,'[1]A CARGAR'!$A$2:$P$34,1,0)</f>
        <v>#N/A</v>
      </c>
    </row>
    <row r="120" spans="1:9" ht="14.25" hidden="1" customHeight="1" x14ac:dyDescent="0.25">
      <c r="A120" s="1">
        <v>45909</v>
      </c>
      <c r="B120" s="2">
        <v>2025001876</v>
      </c>
      <c r="C120" s="2" t="s">
        <v>189</v>
      </c>
      <c r="D120" s="3">
        <v>3000000</v>
      </c>
      <c r="E120" s="2">
        <v>59310853</v>
      </c>
      <c r="F120" s="2" t="s">
        <v>190</v>
      </c>
      <c r="G120" t="s">
        <v>290</v>
      </c>
      <c r="H120" t="e">
        <f>VLOOKUP(C120,'[1]A CARGAR'!$A$2:$P$34,1,0)</f>
        <v>#N/A</v>
      </c>
    </row>
    <row r="121" spans="1:9" ht="14.25" hidden="1" customHeight="1" x14ac:dyDescent="0.25">
      <c r="A121" s="1">
        <v>45910</v>
      </c>
      <c r="B121" s="2">
        <v>2025001886</v>
      </c>
      <c r="C121" s="2" t="s">
        <v>59</v>
      </c>
      <c r="D121" s="3">
        <v>7500000</v>
      </c>
      <c r="E121" s="2">
        <v>1085336362</v>
      </c>
      <c r="F121" s="2" t="s">
        <v>60</v>
      </c>
      <c r="G121" t="s">
        <v>290</v>
      </c>
      <c r="H121" t="e">
        <f>VLOOKUP(C121,'[1]A CARGAR'!$A$2:$P$34,1,0)</f>
        <v>#N/A</v>
      </c>
    </row>
    <row r="122" spans="1:9" ht="14.25" hidden="1" customHeight="1" x14ac:dyDescent="0.25">
      <c r="A122" s="1">
        <v>45911</v>
      </c>
      <c r="B122" s="2">
        <v>2025001890</v>
      </c>
      <c r="C122" s="2" t="s">
        <v>191</v>
      </c>
      <c r="D122" s="3">
        <v>2500000</v>
      </c>
      <c r="E122" s="2">
        <v>37087268</v>
      </c>
      <c r="F122" s="2" t="s">
        <v>192</v>
      </c>
      <c r="G122" t="s">
        <v>290</v>
      </c>
      <c r="H122" t="e">
        <f>VLOOKUP(C122,'[1]A CARGAR'!$A$2:$P$34,1,0)</f>
        <v>#N/A</v>
      </c>
    </row>
    <row r="123" spans="1:9" ht="14.25" hidden="1" customHeight="1" x14ac:dyDescent="0.25">
      <c r="A123" s="1">
        <v>45911</v>
      </c>
      <c r="B123" s="2">
        <v>2025001892</v>
      </c>
      <c r="C123" s="2" t="s">
        <v>35</v>
      </c>
      <c r="D123" s="3">
        <v>3000000</v>
      </c>
      <c r="E123" s="2">
        <v>36752202</v>
      </c>
      <c r="F123" s="2" t="s">
        <v>36</v>
      </c>
      <c r="G123" t="s">
        <v>290</v>
      </c>
      <c r="H123" t="e">
        <f>VLOOKUP(C123,'[1]A CARGAR'!$A$2:$P$34,1,0)</f>
        <v>#N/A</v>
      </c>
    </row>
    <row r="124" spans="1:9" ht="14.25" hidden="1" customHeight="1" x14ac:dyDescent="0.25">
      <c r="A124" s="1">
        <v>45911</v>
      </c>
      <c r="B124" s="2">
        <v>2025001893</v>
      </c>
      <c r="C124" s="2" t="s">
        <v>193</v>
      </c>
      <c r="D124" s="3">
        <v>2500000</v>
      </c>
      <c r="E124" s="2">
        <v>1085310465</v>
      </c>
      <c r="F124" s="2" t="s">
        <v>194</v>
      </c>
      <c r="G124" t="s">
        <v>290</v>
      </c>
      <c r="H124" t="e">
        <f>VLOOKUP(C124,'[1]A CARGAR'!$A$2:$P$34,1,0)</f>
        <v>#N/A</v>
      </c>
    </row>
    <row r="125" spans="1:9" ht="14.25" hidden="1" customHeight="1" x14ac:dyDescent="0.25">
      <c r="A125" s="1">
        <v>45911</v>
      </c>
      <c r="B125" s="2">
        <v>2025001894</v>
      </c>
      <c r="C125" s="2" t="s">
        <v>55</v>
      </c>
      <c r="D125" s="3">
        <v>4825000</v>
      </c>
      <c r="E125" s="2">
        <v>1085321578</v>
      </c>
      <c r="F125" s="2" t="s">
        <v>56</v>
      </c>
      <c r="G125" t="s">
        <v>290</v>
      </c>
      <c r="H125" t="e">
        <f>VLOOKUP(C125,'[1]A CARGAR'!$A$2:$P$34,1,0)</f>
        <v>#N/A</v>
      </c>
    </row>
    <row r="126" spans="1:9" ht="14.25" customHeight="1" x14ac:dyDescent="0.25">
      <c r="A126" s="1">
        <v>45909</v>
      </c>
      <c r="B126" s="2">
        <v>2025001854</v>
      </c>
      <c r="C126" s="4" t="s">
        <v>159</v>
      </c>
      <c r="D126" s="3">
        <v>173682694</v>
      </c>
      <c r="E126" s="2">
        <v>901340412</v>
      </c>
      <c r="F126" s="2" t="s">
        <v>160</v>
      </c>
      <c r="G126" t="s">
        <v>290</v>
      </c>
      <c r="H126" t="e">
        <f>VLOOKUP(C126,'[1]A CARGAR'!$A$2:$P$34,1,0)</f>
        <v>#N/A</v>
      </c>
      <c r="I126" s="8" t="s">
        <v>292</v>
      </c>
    </row>
    <row r="127" spans="1:9" ht="14.25" hidden="1" customHeight="1" x14ac:dyDescent="0.25">
      <c r="A127" s="1">
        <v>45911</v>
      </c>
      <c r="B127" s="2">
        <v>2025001896</v>
      </c>
      <c r="C127" s="2" t="s">
        <v>53</v>
      </c>
      <c r="D127" s="3">
        <v>3000000</v>
      </c>
      <c r="E127" s="2">
        <v>59310524</v>
      </c>
      <c r="F127" s="2" t="s">
        <v>54</v>
      </c>
      <c r="G127" t="s">
        <v>290</v>
      </c>
      <c r="H127" t="e">
        <f>VLOOKUP(C127,'[1]A CARGAR'!$A$2:$P$34,1,0)</f>
        <v>#N/A</v>
      </c>
    </row>
    <row r="128" spans="1:9" ht="14.25" hidden="1" customHeight="1" x14ac:dyDescent="0.25">
      <c r="A128" s="1">
        <v>45911</v>
      </c>
      <c r="B128" s="2">
        <v>2025001897</v>
      </c>
      <c r="C128" s="2" t="s">
        <v>197</v>
      </c>
      <c r="D128" s="3">
        <v>3000000</v>
      </c>
      <c r="E128" s="2">
        <v>1004592366</v>
      </c>
      <c r="F128" s="2" t="s">
        <v>198</v>
      </c>
      <c r="G128" t="s">
        <v>290</v>
      </c>
      <c r="H128" t="e">
        <f>VLOOKUP(C128,'[1]A CARGAR'!$A$2:$P$34,1,0)</f>
        <v>#N/A</v>
      </c>
    </row>
    <row r="129" spans="1:8" ht="14.25" hidden="1" customHeight="1" x14ac:dyDescent="0.25">
      <c r="A129" s="1">
        <v>45911</v>
      </c>
      <c r="B129" s="2">
        <v>2025001898</v>
      </c>
      <c r="C129" s="2" t="s">
        <v>199</v>
      </c>
      <c r="D129" s="3">
        <v>3000000</v>
      </c>
      <c r="E129" s="2">
        <v>1085266584</v>
      </c>
      <c r="F129" s="2" t="s">
        <v>200</v>
      </c>
      <c r="G129" t="s">
        <v>290</v>
      </c>
      <c r="H129" t="e">
        <f>VLOOKUP(C129,'[1]A CARGAR'!$A$2:$P$34,1,0)</f>
        <v>#N/A</v>
      </c>
    </row>
    <row r="130" spans="1:8" ht="14.25" hidden="1" customHeight="1" x14ac:dyDescent="0.25">
      <c r="A130" s="1">
        <v>45911</v>
      </c>
      <c r="B130" s="2">
        <v>2025001899</v>
      </c>
      <c r="C130" s="2" t="s">
        <v>19</v>
      </c>
      <c r="D130" s="3">
        <v>6000000</v>
      </c>
      <c r="E130" s="2">
        <v>27146489</v>
      </c>
      <c r="F130" s="2" t="s">
        <v>20</v>
      </c>
      <c r="G130" t="s">
        <v>290</v>
      </c>
      <c r="H130" t="e">
        <f>VLOOKUP(C130,'[1]A CARGAR'!$A$2:$P$34,1,0)</f>
        <v>#N/A</v>
      </c>
    </row>
    <row r="131" spans="1:8" ht="14.25" hidden="1" customHeight="1" x14ac:dyDescent="0.25">
      <c r="A131" s="1">
        <v>45911</v>
      </c>
      <c r="B131" s="2">
        <v>2025001900</v>
      </c>
      <c r="C131" s="2" t="s">
        <v>95</v>
      </c>
      <c r="D131" s="3">
        <v>4750000</v>
      </c>
      <c r="E131" s="2">
        <v>27087475</v>
      </c>
      <c r="F131" s="2" t="s">
        <v>96</v>
      </c>
      <c r="G131" t="s">
        <v>290</v>
      </c>
      <c r="H131" t="e">
        <f>VLOOKUP(C131,'[1]A CARGAR'!$A$2:$P$34,1,0)</f>
        <v>#N/A</v>
      </c>
    </row>
    <row r="132" spans="1:8" ht="14.25" hidden="1" customHeight="1" x14ac:dyDescent="0.25">
      <c r="A132" s="1">
        <v>45911</v>
      </c>
      <c r="B132" s="2">
        <v>2025001901</v>
      </c>
      <c r="C132" s="2" t="s">
        <v>201</v>
      </c>
      <c r="D132" s="3">
        <v>2500000</v>
      </c>
      <c r="E132" s="2">
        <v>12990231</v>
      </c>
      <c r="F132" s="2" t="s">
        <v>202</v>
      </c>
      <c r="G132" t="s">
        <v>290</v>
      </c>
      <c r="H132" t="e">
        <f>VLOOKUP(C132,'[1]A CARGAR'!$A$2:$P$34,1,0)</f>
        <v>#N/A</v>
      </c>
    </row>
    <row r="133" spans="1:8" ht="14.25" hidden="1" customHeight="1" x14ac:dyDescent="0.25">
      <c r="A133" s="1">
        <v>45911</v>
      </c>
      <c r="B133" s="2">
        <v>2025001902</v>
      </c>
      <c r="C133" s="2" t="s">
        <v>203</v>
      </c>
      <c r="D133" s="3">
        <v>3000000</v>
      </c>
      <c r="E133" s="2">
        <v>1085261053</v>
      </c>
      <c r="F133" s="2" t="s">
        <v>204</v>
      </c>
      <c r="G133" t="s">
        <v>290</v>
      </c>
      <c r="H133" t="e">
        <f>VLOOKUP(C133,'[1]A CARGAR'!$A$2:$P$34,1,0)</f>
        <v>#N/A</v>
      </c>
    </row>
    <row r="134" spans="1:8" ht="14.25" hidden="1" customHeight="1" x14ac:dyDescent="0.25">
      <c r="A134" s="1">
        <v>45911</v>
      </c>
      <c r="B134" s="2">
        <v>2025001903</v>
      </c>
      <c r="C134" s="2" t="s">
        <v>67</v>
      </c>
      <c r="D134" s="3">
        <v>3000000</v>
      </c>
      <c r="E134" s="2">
        <v>1137624011</v>
      </c>
      <c r="F134" s="2" t="s">
        <v>68</v>
      </c>
      <c r="G134" t="s">
        <v>290</v>
      </c>
      <c r="H134" t="e">
        <f>VLOOKUP(C134,'[1]A CARGAR'!$A$2:$P$34,1,0)</f>
        <v>#N/A</v>
      </c>
    </row>
    <row r="135" spans="1:8" ht="14.25" hidden="1" customHeight="1" x14ac:dyDescent="0.25">
      <c r="A135" s="1">
        <v>45911</v>
      </c>
      <c r="B135" s="2">
        <v>2025001904</v>
      </c>
      <c r="C135" s="2" t="s">
        <v>101</v>
      </c>
      <c r="D135" s="3">
        <v>3000000</v>
      </c>
      <c r="E135" s="2">
        <v>1085271641</v>
      </c>
      <c r="F135" s="2" t="s">
        <v>102</v>
      </c>
      <c r="G135" t="s">
        <v>290</v>
      </c>
      <c r="H135" t="e">
        <f>VLOOKUP(C135,'[1]A CARGAR'!$A$2:$P$34,1,0)</f>
        <v>#N/A</v>
      </c>
    </row>
    <row r="136" spans="1:8" ht="14.25" hidden="1" customHeight="1" x14ac:dyDescent="0.25">
      <c r="A136" s="1">
        <v>45911</v>
      </c>
      <c r="B136" s="2">
        <v>2025001905</v>
      </c>
      <c r="C136" s="2" t="s">
        <v>143</v>
      </c>
      <c r="D136" s="3">
        <v>4750000</v>
      </c>
      <c r="E136" s="2">
        <v>1018492767</v>
      </c>
      <c r="F136" s="2" t="s">
        <v>144</v>
      </c>
      <c r="G136" t="s">
        <v>290</v>
      </c>
      <c r="H136" t="e">
        <f>VLOOKUP(C136,'[1]A CARGAR'!$A$2:$P$34,1,0)</f>
        <v>#N/A</v>
      </c>
    </row>
    <row r="137" spans="1:8" ht="14.25" hidden="1" customHeight="1" x14ac:dyDescent="0.25">
      <c r="A137" s="1">
        <v>45911</v>
      </c>
      <c r="B137" s="2">
        <v>2025001906</v>
      </c>
      <c r="C137" s="2" t="s">
        <v>135</v>
      </c>
      <c r="D137" s="3">
        <v>6000000</v>
      </c>
      <c r="E137" s="2">
        <v>36757221</v>
      </c>
      <c r="F137" s="2" t="s">
        <v>136</v>
      </c>
      <c r="G137" t="s">
        <v>290</v>
      </c>
      <c r="H137" t="e">
        <f>VLOOKUP(C137,'[1]A CARGAR'!$A$2:$P$34,1,0)</f>
        <v>#N/A</v>
      </c>
    </row>
    <row r="138" spans="1:8" ht="14.25" hidden="1" customHeight="1" x14ac:dyDescent="0.25">
      <c r="A138" s="1">
        <v>45911</v>
      </c>
      <c r="B138" s="2">
        <v>2025001907</v>
      </c>
      <c r="C138" s="2" t="s">
        <v>205</v>
      </c>
      <c r="D138" s="3">
        <v>3000000</v>
      </c>
      <c r="E138" s="2">
        <v>36861874</v>
      </c>
      <c r="F138" s="2" t="s">
        <v>206</v>
      </c>
      <c r="G138" t="s">
        <v>290</v>
      </c>
      <c r="H138" t="e">
        <f>VLOOKUP(C138,'[1]A CARGAR'!$A$2:$P$34,1,0)</f>
        <v>#N/A</v>
      </c>
    </row>
    <row r="139" spans="1:8" ht="14.25" hidden="1" customHeight="1" x14ac:dyDescent="0.25">
      <c r="A139" s="1">
        <v>45915</v>
      </c>
      <c r="B139" s="2">
        <v>2025001916</v>
      </c>
      <c r="C139" s="2" t="s">
        <v>63</v>
      </c>
      <c r="D139" s="3">
        <v>3000000</v>
      </c>
      <c r="E139" s="2">
        <v>1085317833</v>
      </c>
      <c r="F139" s="2" t="s">
        <v>64</v>
      </c>
      <c r="G139" t="s">
        <v>290</v>
      </c>
      <c r="H139" t="e">
        <f>VLOOKUP(C139,'[1]A CARGAR'!$A$2:$P$34,1,0)</f>
        <v>#N/A</v>
      </c>
    </row>
    <row r="140" spans="1:8" ht="14.25" hidden="1" customHeight="1" x14ac:dyDescent="0.25">
      <c r="A140" s="1">
        <v>45915</v>
      </c>
      <c r="B140" s="2">
        <v>2025001917</v>
      </c>
      <c r="C140" s="2" t="s">
        <v>207</v>
      </c>
      <c r="D140" s="3">
        <v>4825000</v>
      </c>
      <c r="E140" s="2">
        <v>36951301</v>
      </c>
      <c r="F140" s="2" t="s">
        <v>208</v>
      </c>
      <c r="G140" t="s">
        <v>290</v>
      </c>
      <c r="H140" t="e">
        <f>VLOOKUP(C140,'[1]A CARGAR'!$A$2:$P$34,1,0)</f>
        <v>#N/A</v>
      </c>
    </row>
    <row r="141" spans="1:8" ht="14.25" hidden="1" customHeight="1" x14ac:dyDescent="0.25">
      <c r="A141" s="1">
        <v>45915</v>
      </c>
      <c r="B141" s="2">
        <v>2025001918</v>
      </c>
      <c r="C141" s="2" t="s">
        <v>49</v>
      </c>
      <c r="D141" s="3">
        <v>4750000</v>
      </c>
      <c r="E141" s="2">
        <v>1085345772</v>
      </c>
      <c r="F141" s="2" t="s">
        <v>50</v>
      </c>
      <c r="G141" t="s">
        <v>290</v>
      </c>
      <c r="H141" t="e">
        <f>VLOOKUP(C141,'[1]A CARGAR'!$A$2:$P$34,1,0)</f>
        <v>#N/A</v>
      </c>
    </row>
    <row r="142" spans="1:8" ht="14.25" hidden="1" customHeight="1" x14ac:dyDescent="0.25">
      <c r="A142" s="1">
        <v>197</v>
      </c>
      <c r="B142" s="2">
        <v>2025001919</v>
      </c>
      <c r="C142" s="2" t="s">
        <v>119</v>
      </c>
      <c r="D142" s="3">
        <v>3000000</v>
      </c>
      <c r="E142" s="2">
        <v>1081272025</v>
      </c>
      <c r="F142" s="2" t="s">
        <v>120</v>
      </c>
      <c r="G142" t="s">
        <v>290</v>
      </c>
      <c r="H142" t="e">
        <f>VLOOKUP(C142,'[1]A CARGAR'!$A$2:$P$34,1,0)</f>
        <v>#N/A</v>
      </c>
    </row>
    <row r="143" spans="1:8" ht="14.25" hidden="1" customHeight="1" x14ac:dyDescent="0.25">
      <c r="A143" s="1">
        <v>45915</v>
      </c>
      <c r="B143" s="2">
        <v>2025001920</v>
      </c>
      <c r="C143" s="2" t="s">
        <v>157</v>
      </c>
      <c r="D143" s="3">
        <v>7500000</v>
      </c>
      <c r="E143" s="2">
        <v>1193202097</v>
      </c>
      <c r="F143" s="2" t="s">
        <v>158</v>
      </c>
      <c r="G143" t="s">
        <v>290</v>
      </c>
      <c r="H143" t="e">
        <f>VLOOKUP(C143,'[1]A CARGAR'!$A$2:$P$34,1,0)</f>
        <v>#N/A</v>
      </c>
    </row>
    <row r="144" spans="1:8" ht="14.25" hidden="1" customHeight="1" x14ac:dyDescent="0.25">
      <c r="A144" s="1">
        <v>45915</v>
      </c>
      <c r="B144" s="2">
        <v>2025001921</v>
      </c>
      <c r="C144" s="2" t="s">
        <v>165</v>
      </c>
      <c r="D144" s="3">
        <v>3000000</v>
      </c>
      <c r="E144" s="2">
        <v>27388522</v>
      </c>
      <c r="F144" s="2" t="s">
        <v>166</v>
      </c>
      <c r="G144" t="s">
        <v>290</v>
      </c>
      <c r="H144" t="e">
        <f>VLOOKUP(C144,'[1]A CARGAR'!$A$2:$P$34,1,0)</f>
        <v>#N/A</v>
      </c>
    </row>
    <row r="145" spans="1:8" ht="14.25" hidden="1" customHeight="1" x14ac:dyDescent="0.25">
      <c r="A145" s="1">
        <v>45915</v>
      </c>
      <c r="B145" s="2">
        <v>2025001922</v>
      </c>
      <c r="C145" s="2" t="s">
        <v>209</v>
      </c>
      <c r="D145" s="3">
        <v>6000000</v>
      </c>
      <c r="E145" s="2">
        <v>1004213964</v>
      </c>
      <c r="F145" s="2" t="s">
        <v>210</v>
      </c>
      <c r="G145" t="s">
        <v>290</v>
      </c>
      <c r="H145" t="e">
        <f>VLOOKUP(C145,'[1]A CARGAR'!$A$2:$P$34,1,0)</f>
        <v>#N/A</v>
      </c>
    </row>
    <row r="146" spans="1:8" ht="14.25" hidden="1" customHeight="1" x14ac:dyDescent="0.25">
      <c r="A146" s="1">
        <v>45915</v>
      </c>
      <c r="B146" s="2">
        <v>2025001923</v>
      </c>
      <c r="C146" s="2" t="s">
        <v>155</v>
      </c>
      <c r="D146" s="3">
        <v>6000000</v>
      </c>
      <c r="E146" s="2">
        <v>1085299577</v>
      </c>
      <c r="F146" s="2" t="s">
        <v>156</v>
      </c>
      <c r="G146" t="s">
        <v>290</v>
      </c>
      <c r="H146" t="e">
        <f>VLOOKUP(C146,'[1]A CARGAR'!$A$2:$P$34,1,0)</f>
        <v>#N/A</v>
      </c>
    </row>
    <row r="147" spans="1:8" ht="14.25" hidden="1" customHeight="1" x14ac:dyDescent="0.25">
      <c r="A147" s="1">
        <v>45916</v>
      </c>
      <c r="B147" s="2">
        <v>2025001937</v>
      </c>
      <c r="C147" s="2" t="s">
        <v>211</v>
      </c>
      <c r="D147" s="3">
        <v>6000000</v>
      </c>
      <c r="E147" s="2">
        <v>1082748420</v>
      </c>
      <c r="F147" s="2" t="s">
        <v>212</v>
      </c>
      <c r="G147" t="s">
        <v>290</v>
      </c>
      <c r="H147" t="e">
        <f>VLOOKUP(C147,'[1]A CARGAR'!$A$2:$P$34,1,0)</f>
        <v>#N/A</v>
      </c>
    </row>
    <row r="148" spans="1:8" ht="14.25" hidden="1" customHeight="1" x14ac:dyDescent="0.25">
      <c r="A148" s="1">
        <v>45916</v>
      </c>
      <c r="B148" s="2">
        <v>2025001939</v>
      </c>
      <c r="C148" s="2" t="s">
        <v>189</v>
      </c>
      <c r="D148" s="3">
        <v>3000000</v>
      </c>
      <c r="E148" s="2">
        <v>59310853</v>
      </c>
      <c r="F148" s="2" t="s">
        <v>190</v>
      </c>
      <c r="G148" t="s">
        <v>290</v>
      </c>
      <c r="H148" t="e">
        <f>VLOOKUP(C148,'[1]A CARGAR'!$A$2:$P$34,1,0)</f>
        <v>#N/A</v>
      </c>
    </row>
    <row r="149" spans="1:8" ht="14.25" hidden="1" customHeight="1" x14ac:dyDescent="0.25">
      <c r="A149" s="1">
        <v>45916</v>
      </c>
      <c r="B149" s="2">
        <v>2025001940</v>
      </c>
      <c r="C149" s="2" t="s">
        <v>141</v>
      </c>
      <c r="D149" s="3">
        <v>2500000</v>
      </c>
      <c r="E149" s="2">
        <v>1085304072</v>
      </c>
      <c r="F149" s="2" t="s">
        <v>142</v>
      </c>
      <c r="G149" t="s">
        <v>290</v>
      </c>
      <c r="H149" t="e">
        <f>VLOOKUP(C149,'[1]A CARGAR'!$A$2:$P$34,1,0)</f>
        <v>#N/A</v>
      </c>
    </row>
    <row r="150" spans="1:8" ht="14.25" hidden="1" customHeight="1" x14ac:dyDescent="0.25">
      <c r="A150" s="1">
        <v>45916</v>
      </c>
      <c r="B150" s="2">
        <v>2025001941</v>
      </c>
      <c r="C150" s="2" t="s">
        <v>171</v>
      </c>
      <c r="D150" s="3">
        <v>7500000</v>
      </c>
      <c r="E150" s="2">
        <v>37087120</v>
      </c>
      <c r="F150" s="2" t="s">
        <v>172</v>
      </c>
      <c r="G150" t="s">
        <v>290</v>
      </c>
      <c r="H150" t="e">
        <f>VLOOKUP(C150,'[1]A CARGAR'!$A$2:$P$34,1,0)</f>
        <v>#N/A</v>
      </c>
    </row>
    <row r="151" spans="1:8" ht="14.25" hidden="1" customHeight="1" x14ac:dyDescent="0.25">
      <c r="A151" s="1">
        <v>45916</v>
      </c>
      <c r="B151" s="2">
        <v>2025001942</v>
      </c>
      <c r="C151" s="2" t="s">
        <v>75</v>
      </c>
      <c r="D151" s="3">
        <v>3000000</v>
      </c>
      <c r="E151" s="2">
        <v>59834953</v>
      </c>
      <c r="F151" s="2" t="s">
        <v>76</v>
      </c>
      <c r="G151" t="s">
        <v>290</v>
      </c>
      <c r="H151" t="e">
        <f>VLOOKUP(C151,'[1]A CARGAR'!$A$2:$P$34,1,0)</f>
        <v>#N/A</v>
      </c>
    </row>
    <row r="152" spans="1:8" ht="14.25" hidden="1" customHeight="1" x14ac:dyDescent="0.25">
      <c r="A152" s="1">
        <v>45916</v>
      </c>
      <c r="B152" s="2">
        <v>2025001943</v>
      </c>
      <c r="C152" s="2" t="s">
        <v>167</v>
      </c>
      <c r="D152" s="3">
        <v>2500000</v>
      </c>
      <c r="E152" s="2">
        <v>1085255753</v>
      </c>
      <c r="F152" s="2" t="s">
        <v>168</v>
      </c>
      <c r="G152" t="s">
        <v>290</v>
      </c>
      <c r="H152" t="e">
        <f>VLOOKUP(C152,'[1]A CARGAR'!$A$2:$P$34,1,0)</f>
        <v>#N/A</v>
      </c>
    </row>
    <row r="153" spans="1:8" ht="14.25" hidden="1" customHeight="1" x14ac:dyDescent="0.25">
      <c r="A153" s="1">
        <v>45916</v>
      </c>
      <c r="B153" s="2">
        <v>2025001944</v>
      </c>
      <c r="C153" s="2" t="s">
        <v>213</v>
      </c>
      <c r="D153" s="3">
        <v>2500000</v>
      </c>
      <c r="E153" s="2">
        <v>1088729401</v>
      </c>
      <c r="F153" s="2" t="s">
        <v>214</v>
      </c>
      <c r="G153" t="s">
        <v>290</v>
      </c>
      <c r="H153" t="e">
        <f>VLOOKUP(C153,'[1]A CARGAR'!$A$2:$P$34,1,0)</f>
        <v>#N/A</v>
      </c>
    </row>
    <row r="154" spans="1:8" ht="14.25" hidden="1" customHeight="1" x14ac:dyDescent="0.25">
      <c r="A154" s="1">
        <v>45916</v>
      </c>
      <c r="B154" s="2">
        <v>2025001945</v>
      </c>
      <c r="C154" s="2" t="s">
        <v>215</v>
      </c>
      <c r="D154" s="3">
        <v>7500000</v>
      </c>
      <c r="E154" s="2">
        <v>1087006619</v>
      </c>
      <c r="F154" s="2" t="s">
        <v>216</v>
      </c>
      <c r="G154" t="s">
        <v>290</v>
      </c>
      <c r="H154" t="e">
        <f>VLOOKUP(C154,'[1]A CARGAR'!$A$2:$P$34,1,0)</f>
        <v>#N/A</v>
      </c>
    </row>
    <row r="155" spans="1:8" ht="14.25" hidden="1" customHeight="1" x14ac:dyDescent="0.25">
      <c r="A155" s="1">
        <v>45911</v>
      </c>
      <c r="B155" s="2">
        <v>2025001895</v>
      </c>
      <c r="C155" s="2" t="s">
        <v>195</v>
      </c>
      <c r="D155" s="3">
        <v>2600000</v>
      </c>
      <c r="E155" s="2">
        <v>1004235479</v>
      </c>
      <c r="F155" s="2" t="s">
        <v>196</v>
      </c>
      <c r="G155" t="s">
        <v>290</v>
      </c>
      <c r="H155" t="e">
        <f>VLOOKUP(C155,'[1]A CARGAR'!$A$2:$P$34,1,0)</f>
        <v>#N/A</v>
      </c>
    </row>
    <row r="156" spans="1:8" ht="14.25" hidden="1" customHeight="1" x14ac:dyDescent="0.25">
      <c r="A156" s="1">
        <v>45918</v>
      </c>
      <c r="B156" s="2">
        <v>2025001969</v>
      </c>
      <c r="C156" s="2" t="s">
        <v>51</v>
      </c>
      <c r="D156" s="3">
        <v>3000000</v>
      </c>
      <c r="E156" s="2">
        <v>1233189234</v>
      </c>
      <c r="F156" s="2" t="s">
        <v>52</v>
      </c>
      <c r="G156" t="s">
        <v>290</v>
      </c>
      <c r="H156" t="e">
        <f>VLOOKUP(C156,'[1]A CARGAR'!$A$2:$P$34,1,0)</f>
        <v>#N/A</v>
      </c>
    </row>
    <row r="157" spans="1:8" ht="14.25" hidden="1" customHeight="1" x14ac:dyDescent="0.25">
      <c r="A157" s="1">
        <v>45918</v>
      </c>
      <c r="B157" s="2">
        <v>2025001971</v>
      </c>
      <c r="C157" s="2" t="s">
        <v>127</v>
      </c>
      <c r="D157" s="3">
        <v>3000000</v>
      </c>
      <c r="E157" s="2">
        <v>1087006717</v>
      </c>
      <c r="F157" s="2" t="s">
        <v>128</v>
      </c>
      <c r="G157" t="s">
        <v>290</v>
      </c>
      <c r="H157" t="e">
        <f>VLOOKUP(C157,'[1]A CARGAR'!$A$2:$P$34,1,0)</f>
        <v>#N/A</v>
      </c>
    </row>
    <row r="158" spans="1:8" ht="14.25" hidden="1" customHeight="1" x14ac:dyDescent="0.25">
      <c r="A158" s="1">
        <v>45918</v>
      </c>
      <c r="B158" s="2">
        <v>2025001973</v>
      </c>
      <c r="C158" s="2" t="s">
        <v>23</v>
      </c>
      <c r="D158" s="3">
        <v>2500000</v>
      </c>
      <c r="E158" s="2">
        <v>1233189896</v>
      </c>
      <c r="F158" s="2" t="s">
        <v>24</v>
      </c>
      <c r="G158" t="s">
        <v>290</v>
      </c>
      <c r="H158" t="e">
        <f>VLOOKUP(C158,'[1]A CARGAR'!$A$2:$P$34,1,0)</f>
        <v>#N/A</v>
      </c>
    </row>
    <row r="159" spans="1:8" ht="14.25" hidden="1" customHeight="1" x14ac:dyDescent="0.25">
      <c r="A159" s="1">
        <v>45918</v>
      </c>
      <c r="B159" s="2">
        <v>2025001975</v>
      </c>
      <c r="C159" s="2" t="s">
        <v>117</v>
      </c>
      <c r="D159" s="3">
        <v>3000000</v>
      </c>
      <c r="E159" s="2">
        <v>1085326791</v>
      </c>
      <c r="F159" s="2" t="s">
        <v>118</v>
      </c>
      <c r="G159" t="s">
        <v>290</v>
      </c>
      <c r="H159" t="e">
        <f>VLOOKUP(C159,'[1]A CARGAR'!$A$2:$P$34,1,0)</f>
        <v>#N/A</v>
      </c>
    </row>
    <row r="160" spans="1:8" ht="14.25" hidden="1" customHeight="1" x14ac:dyDescent="0.25">
      <c r="A160" s="1">
        <v>45918</v>
      </c>
      <c r="B160" s="2">
        <v>2025001976</v>
      </c>
      <c r="C160" s="2" t="s">
        <v>113</v>
      </c>
      <c r="D160" s="3">
        <v>3000000</v>
      </c>
      <c r="E160" s="2">
        <v>37082232</v>
      </c>
      <c r="F160" s="2" t="s">
        <v>114</v>
      </c>
      <c r="G160" t="s">
        <v>290</v>
      </c>
      <c r="H160" t="e">
        <f>VLOOKUP(C160,'[1]A CARGAR'!$A$2:$P$34,1,0)</f>
        <v>#N/A</v>
      </c>
    </row>
    <row r="161" spans="1:9" ht="14.25" hidden="1" customHeight="1" x14ac:dyDescent="0.25">
      <c r="A161" s="1">
        <v>45918</v>
      </c>
      <c r="B161" s="2">
        <v>2025001977</v>
      </c>
      <c r="C161" s="2" t="s">
        <v>219</v>
      </c>
      <c r="D161" s="3">
        <v>3000000</v>
      </c>
      <c r="E161" s="2">
        <v>1085304308</v>
      </c>
      <c r="F161" s="2" t="s">
        <v>220</v>
      </c>
      <c r="G161" t="s">
        <v>290</v>
      </c>
      <c r="H161" t="e">
        <f>VLOOKUP(C161,'[1]A CARGAR'!$A$2:$P$34,1,0)</f>
        <v>#N/A</v>
      </c>
    </row>
    <row r="162" spans="1:9" ht="14.25" hidden="1" customHeight="1" x14ac:dyDescent="0.25">
      <c r="A162" s="1">
        <v>45918</v>
      </c>
      <c r="B162" s="2">
        <v>2025001978</v>
      </c>
      <c r="C162" s="2" t="s">
        <v>139</v>
      </c>
      <c r="D162" s="3">
        <v>6000000</v>
      </c>
      <c r="E162" s="2">
        <v>59820414</v>
      </c>
      <c r="F162" s="2" t="s">
        <v>140</v>
      </c>
      <c r="G162" t="s">
        <v>290</v>
      </c>
      <c r="H162" t="e">
        <f>VLOOKUP(C162,'[1]A CARGAR'!$A$2:$P$34,1,0)</f>
        <v>#N/A</v>
      </c>
    </row>
    <row r="163" spans="1:9" ht="14.25" hidden="1" customHeight="1" x14ac:dyDescent="0.25">
      <c r="A163" s="1">
        <v>45918</v>
      </c>
      <c r="B163" s="2">
        <v>2025001979</v>
      </c>
      <c r="C163" s="2" t="s">
        <v>221</v>
      </c>
      <c r="D163" s="3">
        <v>6000000</v>
      </c>
      <c r="E163" s="2">
        <v>27097745</v>
      </c>
      <c r="F163" s="2" t="s">
        <v>222</v>
      </c>
      <c r="G163" t="s">
        <v>290</v>
      </c>
      <c r="H163" t="e">
        <f>VLOOKUP(C163,'[1]A CARGAR'!$A$2:$P$34,1,0)</f>
        <v>#N/A</v>
      </c>
    </row>
    <row r="164" spans="1:9" ht="14.25" customHeight="1" x14ac:dyDescent="0.25">
      <c r="A164" s="1">
        <v>45857</v>
      </c>
      <c r="B164" s="2">
        <v>2025001907</v>
      </c>
      <c r="C164" s="2" t="s">
        <v>270</v>
      </c>
      <c r="D164" s="3">
        <v>3000000</v>
      </c>
      <c r="E164" s="2">
        <v>36861874</v>
      </c>
      <c r="F164" s="2" t="s">
        <v>206</v>
      </c>
      <c r="G164" t="s">
        <v>290</v>
      </c>
      <c r="H164" t="e">
        <f>VLOOKUP(C164,'[1]A CARGAR'!$A$2:$P$34,1,0)</f>
        <v>#N/A</v>
      </c>
      <c r="I164" s="8" t="s">
        <v>291</v>
      </c>
    </row>
    <row r="165" spans="1:9" ht="14.25" hidden="1" customHeight="1" x14ac:dyDescent="0.25">
      <c r="A165" s="1">
        <v>45918</v>
      </c>
      <c r="B165" s="2">
        <v>2025001981</v>
      </c>
      <c r="C165" s="2" t="s">
        <v>121</v>
      </c>
      <c r="D165" s="3">
        <v>3000000</v>
      </c>
      <c r="E165" s="2">
        <v>1085315013</v>
      </c>
      <c r="F165" s="2" t="s">
        <v>122</v>
      </c>
      <c r="G165" t="s">
        <v>290</v>
      </c>
      <c r="H165" t="e">
        <f>VLOOKUP(C165,'[1]A CARGAR'!$A$2:$P$34,1,0)</f>
        <v>#N/A</v>
      </c>
    </row>
    <row r="166" spans="1:9" ht="14.25" hidden="1" customHeight="1" x14ac:dyDescent="0.25">
      <c r="A166" s="1">
        <v>45918</v>
      </c>
      <c r="B166" s="2">
        <v>2025001982</v>
      </c>
      <c r="C166" s="2" t="s">
        <v>33</v>
      </c>
      <c r="D166" s="3">
        <v>3000000</v>
      </c>
      <c r="E166" s="2">
        <v>1081594639</v>
      </c>
      <c r="F166" s="2" t="s">
        <v>34</v>
      </c>
      <c r="G166" t="s">
        <v>290</v>
      </c>
      <c r="H166" t="e">
        <f>VLOOKUP(C166,'[1]A CARGAR'!$A$2:$P$34,1,0)</f>
        <v>#N/A</v>
      </c>
    </row>
    <row r="167" spans="1:9" ht="14.25" hidden="1" customHeight="1" x14ac:dyDescent="0.25">
      <c r="A167" s="1">
        <v>45918</v>
      </c>
      <c r="B167" s="2">
        <v>2025001983</v>
      </c>
      <c r="C167" s="2" t="s">
        <v>103</v>
      </c>
      <c r="D167" s="3">
        <v>3000000</v>
      </c>
      <c r="E167" s="2">
        <v>1004535234</v>
      </c>
      <c r="F167" s="2" t="s">
        <v>104</v>
      </c>
      <c r="G167" t="s">
        <v>290</v>
      </c>
      <c r="H167" t="e">
        <f>VLOOKUP(C167,'[1]A CARGAR'!$A$2:$P$34,1,0)</f>
        <v>#N/A</v>
      </c>
    </row>
    <row r="168" spans="1:9" ht="14.25" hidden="1" customHeight="1" x14ac:dyDescent="0.25">
      <c r="A168" s="1">
        <v>45918</v>
      </c>
      <c r="B168" s="2">
        <v>2025001984</v>
      </c>
      <c r="C168" s="2" t="s">
        <v>123</v>
      </c>
      <c r="D168" s="3">
        <v>3000000</v>
      </c>
      <c r="E168" s="2">
        <v>1086363186</v>
      </c>
      <c r="F168" s="2" t="s">
        <v>124</v>
      </c>
      <c r="G168" t="s">
        <v>290</v>
      </c>
      <c r="H168" t="e">
        <f>VLOOKUP(C168,'[1]A CARGAR'!$A$2:$P$34,1,0)</f>
        <v>#N/A</v>
      </c>
    </row>
    <row r="169" spans="1:9" ht="14.25" hidden="1" customHeight="1" x14ac:dyDescent="0.25">
      <c r="A169" s="1">
        <v>45918</v>
      </c>
      <c r="B169" s="2">
        <v>2025001985</v>
      </c>
      <c r="C169" s="2" t="s">
        <v>39</v>
      </c>
      <c r="D169" s="3">
        <v>3000000</v>
      </c>
      <c r="E169" s="2">
        <v>1086222689</v>
      </c>
      <c r="F169" s="2" t="s">
        <v>40</v>
      </c>
      <c r="G169" t="s">
        <v>290</v>
      </c>
      <c r="H169" t="e">
        <f>VLOOKUP(C169,'[1]A CARGAR'!$A$2:$P$34,1,0)</f>
        <v>#N/A</v>
      </c>
    </row>
    <row r="170" spans="1:9" ht="14.25" hidden="1" customHeight="1" x14ac:dyDescent="0.25">
      <c r="A170" s="1">
        <v>45918</v>
      </c>
      <c r="B170" s="2">
        <v>2025001986</v>
      </c>
      <c r="C170" s="2" t="s">
        <v>15</v>
      </c>
      <c r="D170" s="3">
        <v>7500000</v>
      </c>
      <c r="E170" s="2">
        <v>1085329980</v>
      </c>
      <c r="F170" s="2" t="s">
        <v>16</v>
      </c>
      <c r="G170" t="s">
        <v>290</v>
      </c>
      <c r="H170" t="e">
        <f>VLOOKUP(C170,'[1]A CARGAR'!$A$2:$P$34,1,0)</f>
        <v>#N/A</v>
      </c>
    </row>
    <row r="171" spans="1:9" ht="14.25" hidden="1" customHeight="1" x14ac:dyDescent="0.25">
      <c r="A171" s="5">
        <v>45916</v>
      </c>
      <c r="B171">
        <v>2025001938</v>
      </c>
      <c r="C171" t="s">
        <v>327</v>
      </c>
      <c r="D171" s="6">
        <v>3000000</v>
      </c>
      <c r="E171">
        <v>1080690337</v>
      </c>
      <c r="F171" t="s">
        <v>328</v>
      </c>
      <c r="G171" t="s">
        <v>290</v>
      </c>
      <c r="H171" t="e">
        <f>VLOOKUP(C171,'[1]A CARGAR'!$A$2:$P$34,1,0)</f>
        <v>#N/A</v>
      </c>
    </row>
    <row r="172" spans="1:9" ht="14.25" hidden="1" customHeight="1" x14ac:dyDescent="0.25">
      <c r="A172" s="1">
        <v>45922</v>
      </c>
      <c r="B172" s="2">
        <v>2025001988</v>
      </c>
      <c r="C172" s="2" t="s">
        <v>227</v>
      </c>
      <c r="D172" s="3">
        <v>5000000</v>
      </c>
      <c r="E172" s="2">
        <v>27220499</v>
      </c>
      <c r="F172" s="2" t="s">
        <v>228</v>
      </c>
      <c r="G172" t="s">
        <v>290</v>
      </c>
      <c r="H172" t="e">
        <f>VLOOKUP(C172,'[1]A CARGAR'!$A$2:$P$34,1,0)</f>
        <v>#N/A</v>
      </c>
    </row>
    <row r="173" spans="1:9" ht="14.25" hidden="1" customHeight="1" x14ac:dyDescent="0.25">
      <c r="A173" s="1">
        <v>45922</v>
      </c>
      <c r="B173" s="2">
        <v>2025001989</v>
      </c>
      <c r="C173" s="2" t="s">
        <v>229</v>
      </c>
      <c r="D173" s="3">
        <v>3000000</v>
      </c>
      <c r="E173" s="2">
        <v>1084224968</v>
      </c>
      <c r="F173" s="2" t="s">
        <v>230</v>
      </c>
      <c r="G173" t="s">
        <v>290</v>
      </c>
      <c r="H173" t="e">
        <f>VLOOKUP(C173,'[1]A CARGAR'!$A$2:$P$34,1,0)</f>
        <v>#N/A</v>
      </c>
    </row>
    <row r="174" spans="1:9" ht="14.25" hidden="1" customHeight="1" x14ac:dyDescent="0.25">
      <c r="A174" s="1">
        <v>45922</v>
      </c>
      <c r="B174" s="2">
        <v>2025001990</v>
      </c>
      <c r="C174" s="2" t="s">
        <v>109</v>
      </c>
      <c r="D174" s="3">
        <v>3000000</v>
      </c>
      <c r="E174" s="2">
        <v>1085269090</v>
      </c>
      <c r="F174" s="2" t="s">
        <v>110</v>
      </c>
      <c r="G174" t="s">
        <v>290</v>
      </c>
      <c r="H174" t="e">
        <f>VLOOKUP(C174,'[1]A CARGAR'!$A$2:$P$34,1,0)</f>
        <v>#N/A</v>
      </c>
    </row>
    <row r="175" spans="1:9" ht="14.25" hidden="1" customHeight="1" x14ac:dyDescent="0.25">
      <c r="A175" s="1">
        <v>45922</v>
      </c>
      <c r="B175" s="2">
        <v>2025001991</v>
      </c>
      <c r="C175" s="2" t="s">
        <v>231</v>
      </c>
      <c r="D175" s="3">
        <v>2500000</v>
      </c>
      <c r="E175" s="2">
        <v>1084552048</v>
      </c>
      <c r="F175" s="2" t="s">
        <v>232</v>
      </c>
      <c r="G175" t="s">
        <v>290</v>
      </c>
      <c r="H175" t="e">
        <f>VLOOKUP(C175,'[1]A CARGAR'!$A$2:$P$34,1,0)</f>
        <v>#N/A</v>
      </c>
    </row>
    <row r="176" spans="1:9" ht="14.25" hidden="1" customHeight="1" x14ac:dyDescent="0.25">
      <c r="A176" s="1">
        <v>45922</v>
      </c>
      <c r="B176" s="2">
        <v>2025001992</v>
      </c>
      <c r="C176" s="2" t="s">
        <v>233</v>
      </c>
      <c r="D176" s="3">
        <v>6000000</v>
      </c>
      <c r="E176" s="2">
        <v>1085253062</v>
      </c>
      <c r="F176" s="2" t="s">
        <v>234</v>
      </c>
      <c r="G176" t="s">
        <v>290</v>
      </c>
      <c r="H176" t="e">
        <f>VLOOKUP(C176,'[1]A CARGAR'!$A$2:$P$34,1,0)</f>
        <v>#N/A</v>
      </c>
    </row>
    <row r="177" spans="1:9" ht="14.25" hidden="1" customHeight="1" x14ac:dyDescent="0.25">
      <c r="A177" s="1">
        <v>45922</v>
      </c>
      <c r="B177" s="2">
        <v>2025001993</v>
      </c>
      <c r="C177" s="2" t="s">
        <v>235</v>
      </c>
      <c r="D177" s="3">
        <v>6000000</v>
      </c>
      <c r="E177" s="2">
        <v>59314458</v>
      </c>
      <c r="F177" s="2" t="s">
        <v>236</v>
      </c>
      <c r="G177" t="s">
        <v>290</v>
      </c>
      <c r="H177" t="e">
        <f>VLOOKUP(C177,'[1]A CARGAR'!$A$2:$P$34,1,0)</f>
        <v>#N/A</v>
      </c>
    </row>
    <row r="178" spans="1:9" ht="14.25" hidden="1" customHeight="1" x14ac:dyDescent="0.25">
      <c r="A178" s="1">
        <v>45922</v>
      </c>
      <c r="B178" s="2">
        <v>2025001994</v>
      </c>
      <c r="C178" s="2" t="s">
        <v>107</v>
      </c>
      <c r="D178" s="3">
        <v>6000000</v>
      </c>
      <c r="E178" s="2">
        <v>1085275879</v>
      </c>
      <c r="F178" s="2" t="s">
        <v>108</v>
      </c>
      <c r="G178" t="s">
        <v>290</v>
      </c>
      <c r="H178" t="e">
        <f>VLOOKUP(C178,'[1]A CARGAR'!$A$2:$P$34,1,0)</f>
        <v>#N/A</v>
      </c>
    </row>
    <row r="179" spans="1:9" ht="14.25" hidden="1" customHeight="1" x14ac:dyDescent="0.25">
      <c r="A179" s="1">
        <v>45922</v>
      </c>
      <c r="B179" s="2">
        <v>2025001995</v>
      </c>
      <c r="C179" s="2" t="s">
        <v>85</v>
      </c>
      <c r="D179" s="3">
        <v>4825000</v>
      </c>
      <c r="E179" s="2">
        <v>1085269530</v>
      </c>
      <c r="F179" s="2" t="s">
        <v>86</v>
      </c>
      <c r="G179" t="s">
        <v>290</v>
      </c>
      <c r="H179" t="e">
        <f>VLOOKUP(C179,'[1]A CARGAR'!$A$2:$P$34,1,0)</f>
        <v>#N/A</v>
      </c>
    </row>
    <row r="180" spans="1:9" ht="14.25" hidden="1" customHeight="1" x14ac:dyDescent="0.25">
      <c r="A180" s="1">
        <v>45922</v>
      </c>
      <c r="B180" s="2">
        <v>2025001996</v>
      </c>
      <c r="C180" s="2" t="s">
        <v>111</v>
      </c>
      <c r="D180" s="3">
        <v>6000000</v>
      </c>
      <c r="E180" s="2">
        <v>1014212900</v>
      </c>
      <c r="F180" s="2" t="s">
        <v>112</v>
      </c>
      <c r="G180" t="s">
        <v>290</v>
      </c>
      <c r="H180" t="e">
        <f>VLOOKUP(C180,'[1]A CARGAR'!$A$2:$P$34,1,0)</f>
        <v>#N/A</v>
      </c>
    </row>
    <row r="181" spans="1:9" ht="14.25" hidden="1" customHeight="1" x14ac:dyDescent="0.25">
      <c r="A181" s="1">
        <v>45922</v>
      </c>
      <c r="B181" s="2">
        <v>2025001997</v>
      </c>
      <c r="C181" s="2" t="s">
        <v>69</v>
      </c>
      <c r="D181" s="3">
        <v>4750000</v>
      </c>
      <c r="E181" s="2">
        <v>36759759</v>
      </c>
      <c r="F181" s="2" t="s">
        <v>70</v>
      </c>
      <c r="G181" t="s">
        <v>290</v>
      </c>
      <c r="H181" t="e">
        <f>VLOOKUP(C181,'[1]A CARGAR'!$A$2:$P$34,1,0)</f>
        <v>#N/A</v>
      </c>
    </row>
    <row r="182" spans="1:9" ht="14.25" hidden="1" customHeight="1" x14ac:dyDescent="0.25">
      <c r="A182" s="1">
        <v>45923</v>
      </c>
      <c r="B182" s="2">
        <v>2025002008</v>
      </c>
      <c r="C182" s="2" t="s">
        <v>149</v>
      </c>
      <c r="D182" s="3">
        <v>3000000</v>
      </c>
      <c r="E182" s="2">
        <v>59706564</v>
      </c>
      <c r="F182" s="2" t="s">
        <v>150</v>
      </c>
      <c r="G182" t="s">
        <v>290</v>
      </c>
      <c r="H182" t="e">
        <f>VLOOKUP(C182,'[1]A CARGAR'!$A$2:$P$34,1,0)</f>
        <v>#N/A</v>
      </c>
    </row>
    <row r="183" spans="1:9" ht="14.25" hidden="1" customHeight="1" x14ac:dyDescent="0.25">
      <c r="A183" s="1">
        <v>45923</v>
      </c>
      <c r="B183" s="2">
        <v>2025002009</v>
      </c>
      <c r="C183" s="2" t="s">
        <v>237</v>
      </c>
      <c r="D183" s="3">
        <v>3000000</v>
      </c>
      <c r="E183" s="2">
        <v>27088197</v>
      </c>
      <c r="F183" s="2" t="s">
        <v>238</v>
      </c>
      <c r="G183" t="s">
        <v>290</v>
      </c>
      <c r="H183" t="e">
        <f>VLOOKUP(C183,'[1]A CARGAR'!$A$2:$P$34,1,0)</f>
        <v>#N/A</v>
      </c>
    </row>
    <row r="184" spans="1:9" ht="14.25" hidden="1" customHeight="1" x14ac:dyDescent="0.25">
      <c r="A184" s="1">
        <v>45923</v>
      </c>
      <c r="B184" s="2">
        <v>2025002010</v>
      </c>
      <c r="C184" s="2" t="s">
        <v>151</v>
      </c>
      <c r="D184" s="3">
        <v>3000000</v>
      </c>
      <c r="E184" s="2">
        <v>1085314608</v>
      </c>
      <c r="F184" s="2" t="s">
        <v>152</v>
      </c>
      <c r="G184" t="s">
        <v>290</v>
      </c>
      <c r="H184" t="e">
        <f>VLOOKUP(C184,'[1]A CARGAR'!$A$2:$P$34,1,0)</f>
        <v>#N/A</v>
      </c>
    </row>
    <row r="185" spans="1:9" ht="14.25" hidden="1" customHeight="1" x14ac:dyDescent="0.25">
      <c r="A185" s="1">
        <v>45923</v>
      </c>
      <c r="B185" s="2">
        <v>2025002012</v>
      </c>
      <c r="C185" s="2" t="s">
        <v>153</v>
      </c>
      <c r="D185" s="3">
        <v>3000000</v>
      </c>
      <c r="E185" s="2">
        <v>1086329609</v>
      </c>
      <c r="F185" s="2" t="s">
        <v>154</v>
      </c>
      <c r="G185" t="s">
        <v>290</v>
      </c>
      <c r="H185" t="e">
        <f>VLOOKUP(C185,'[1]A CARGAR'!$A$2:$P$34,1,0)</f>
        <v>#N/A</v>
      </c>
    </row>
    <row r="186" spans="1:9" ht="14.25" customHeight="1" x14ac:dyDescent="0.25">
      <c r="A186" s="1">
        <v>45916</v>
      </c>
      <c r="B186" s="2">
        <v>2025001951</v>
      </c>
      <c r="C186" s="2" t="s">
        <v>217</v>
      </c>
      <c r="D186" s="3">
        <v>75390000</v>
      </c>
      <c r="E186" s="2">
        <v>805021222</v>
      </c>
      <c r="F186" s="2" t="s">
        <v>218</v>
      </c>
      <c r="G186" t="s">
        <v>290</v>
      </c>
      <c r="H186" t="e">
        <f>VLOOKUP(C186,'[1]A CARGAR'!$A$2:$P$34,1,0)</f>
        <v>#N/A</v>
      </c>
      <c r="I186" s="8" t="s">
        <v>291</v>
      </c>
    </row>
    <row r="187" spans="1:9" ht="14.25" customHeight="1" x14ac:dyDescent="0.25">
      <c r="A187" s="1">
        <v>45918</v>
      </c>
      <c r="B187" s="2">
        <v>2025001980</v>
      </c>
      <c r="C187" s="2" t="s">
        <v>223</v>
      </c>
      <c r="D187" s="3">
        <v>2500000</v>
      </c>
      <c r="E187" s="2">
        <v>1087408320</v>
      </c>
      <c r="F187" s="2" t="s">
        <v>224</v>
      </c>
      <c r="G187" t="s">
        <v>290</v>
      </c>
      <c r="H187" t="e">
        <f>VLOOKUP(C187,'[1]A CARGAR'!$A$2:$P$34,1,0)</f>
        <v>#N/A</v>
      </c>
      <c r="I187" s="8" t="s">
        <v>291</v>
      </c>
    </row>
    <row r="188" spans="1:9" ht="14.25" hidden="1" customHeight="1" x14ac:dyDescent="0.25">
      <c r="A188" s="1">
        <v>45923</v>
      </c>
      <c r="B188" s="2">
        <v>2025002014</v>
      </c>
      <c r="C188" s="2" t="s">
        <v>147</v>
      </c>
      <c r="D188" s="3">
        <v>3000000</v>
      </c>
      <c r="E188" s="2">
        <v>1085274630</v>
      </c>
      <c r="F188" s="2" t="s">
        <v>148</v>
      </c>
      <c r="G188" t="s">
        <v>290</v>
      </c>
      <c r="H188" t="e">
        <f>VLOOKUP(C188,'[1]A CARGAR'!$A$2:$P$34,1,0)</f>
        <v>#N/A</v>
      </c>
    </row>
    <row r="189" spans="1:9" ht="14.25" hidden="1" customHeight="1" x14ac:dyDescent="0.25">
      <c r="A189" s="1">
        <v>45923</v>
      </c>
      <c r="B189" s="2">
        <v>2025002015</v>
      </c>
      <c r="C189" s="2" t="s">
        <v>241</v>
      </c>
      <c r="D189" s="3">
        <v>6000000</v>
      </c>
      <c r="E189" s="2">
        <v>36954410</v>
      </c>
      <c r="F189" s="2" t="s">
        <v>242</v>
      </c>
      <c r="G189" t="s">
        <v>290</v>
      </c>
      <c r="H189" t="e">
        <f>VLOOKUP(C189,'[1]A CARGAR'!$A$2:$P$34,1,0)</f>
        <v>#N/A</v>
      </c>
    </row>
    <row r="190" spans="1:9" ht="14.25" hidden="1" customHeight="1" x14ac:dyDescent="0.25">
      <c r="A190" s="1">
        <v>45925</v>
      </c>
      <c r="B190" s="2">
        <v>2025002033</v>
      </c>
      <c r="C190" s="2" t="s">
        <v>173</v>
      </c>
      <c r="D190" s="3">
        <v>6000000</v>
      </c>
      <c r="E190" s="2">
        <v>59825948</v>
      </c>
      <c r="F190" s="2" t="s">
        <v>174</v>
      </c>
      <c r="G190" t="s">
        <v>290</v>
      </c>
      <c r="H190" t="e">
        <f>VLOOKUP(C190,'[1]A CARGAR'!$A$2:$P$34,1,0)</f>
        <v>#N/A</v>
      </c>
    </row>
    <row r="191" spans="1:9" ht="14.25" hidden="1" customHeight="1" x14ac:dyDescent="0.25">
      <c r="A191" s="1">
        <v>45925</v>
      </c>
      <c r="B191" s="2">
        <v>2025002034</v>
      </c>
      <c r="C191" s="2" t="s">
        <v>185</v>
      </c>
      <c r="D191" s="3">
        <v>3000000</v>
      </c>
      <c r="E191" s="2">
        <v>1085300095</v>
      </c>
      <c r="F191" s="2" t="s">
        <v>186</v>
      </c>
      <c r="G191" t="s">
        <v>290</v>
      </c>
      <c r="H191" t="e">
        <f>VLOOKUP(C191,'[1]A CARGAR'!$A$2:$P$34,1,0)</f>
        <v>#N/A</v>
      </c>
    </row>
    <row r="192" spans="1:9" ht="14.25" hidden="1" customHeight="1" x14ac:dyDescent="0.25">
      <c r="A192" s="1">
        <v>45925</v>
      </c>
      <c r="B192" s="2">
        <v>2025002035</v>
      </c>
      <c r="C192" s="2" t="s">
        <v>187</v>
      </c>
      <c r="D192" s="3">
        <v>3000000</v>
      </c>
      <c r="E192" s="2">
        <v>1088733625</v>
      </c>
      <c r="F192" s="2" t="s">
        <v>188</v>
      </c>
      <c r="G192" t="s">
        <v>290</v>
      </c>
      <c r="H192" t="e">
        <f>VLOOKUP(C192,'[1]A CARGAR'!$A$2:$P$34,1,0)</f>
        <v>#N/A</v>
      </c>
    </row>
    <row r="193" spans="1:9" ht="14.25" hidden="1" customHeight="1" x14ac:dyDescent="0.25">
      <c r="A193" s="1">
        <v>45925</v>
      </c>
      <c r="B193" s="2">
        <v>2025002036</v>
      </c>
      <c r="C193" s="2" t="s">
        <v>115</v>
      </c>
      <c r="D193" s="3">
        <v>3000000</v>
      </c>
      <c r="E193" s="2">
        <v>1004743217</v>
      </c>
      <c r="F193" s="2" t="s">
        <v>116</v>
      </c>
      <c r="G193" t="s">
        <v>290</v>
      </c>
      <c r="H193" t="e">
        <f>VLOOKUP(C193,'[1]A CARGAR'!$A$2:$P$34,1,0)</f>
        <v>#N/A</v>
      </c>
    </row>
    <row r="194" spans="1:9" ht="14.25" hidden="1" customHeight="1" x14ac:dyDescent="0.25">
      <c r="A194" s="1">
        <v>45925</v>
      </c>
      <c r="B194" s="2">
        <v>2025002037</v>
      </c>
      <c r="C194" s="2" t="s">
        <v>243</v>
      </c>
      <c r="D194" s="3">
        <v>2500000</v>
      </c>
      <c r="E194" s="2">
        <v>30734666</v>
      </c>
      <c r="F194" s="2" t="s">
        <v>244</v>
      </c>
      <c r="G194" t="s">
        <v>290</v>
      </c>
      <c r="H194" t="e">
        <f>VLOOKUP(C194,'[1]A CARGAR'!$A$2:$P$34,1,0)</f>
        <v>#N/A</v>
      </c>
    </row>
    <row r="195" spans="1:9" ht="14.25" hidden="1" customHeight="1" x14ac:dyDescent="0.25">
      <c r="A195" s="1">
        <v>45930.628472222219</v>
      </c>
      <c r="B195" s="2">
        <v>2025002094</v>
      </c>
      <c r="C195" s="2" t="s">
        <v>245</v>
      </c>
      <c r="D195" s="3">
        <v>3000000</v>
      </c>
      <c r="E195" s="2">
        <v>1086223299</v>
      </c>
      <c r="F195" s="2" t="s">
        <v>246</v>
      </c>
      <c r="G195" t="s">
        <v>290</v>
      </c>
      <c r="H195" t="e">
        <f>VLOOKUP(C195,'[1]A CARGAR'!$A$2:$P$34,1,0)</f>
        <v>#N/A</v>
      </c>
    </row>
    <row r="196" spans="1:9" ht="14.25" hidden="1" customHeight="1" x14ac:dyDescent="0.25">
      <c r="A196" s="1">
        <v>45923</v>
      </c>
      <c r="B196" s="2">
        <v>2025002013</v>
      </c>
      <c r="C196" s="2" t="s">
        <v>239</v>
      </c>
      <c r="D196" s="3">
        <v>4825000</v>
      </c>
      <c r="E196" s="2">
        <v>1085311814</v>
      </c>
      <c r="F196" s="2" t="s">
        <v>240</v>
      </c>
      <c r="G196" t="s">
        <v>290</v>
      </c>
      <c r="H196" t="e">
        <f>VLOOKUP(C196,'[1]A CARGAR'!$A$2:$P$34,1,0)</f>
        <v>#N/A</v>
      </c>
    </row>
    <row r="197" spans="1:9" ht="14.25" hidden="1" customHeight="1" x14ac:dyDescent="0.25">
      <c r="A197" s="1">
        <v>45933</v>
      </c>
      <c r="B197" s="2">
        <v>2025002150</v>
      </c>
      <c r="C197" s="2" t="s">
        <v>249</v>
      </c>
      <c r="D197" s="3">
        <v>4825000</v>
      </c>
      <c r="E197" s="2">
        <v>12748383</v>
      </c>
      <c r="F197" s="2" t="s">
        <v>250</v>
      </c>
      <c r="G197" t="s">
        <v>290</v>
      </c>
      <c r="H197" t="e">
        <f>VLOOKUP(C197,'[1]A CARGAR'!$A$2:$P$34,1,0)</f>
        <v>#N/A</v>
      </c>
    </row>
    <row r="198" spans="1:9" ht="13.9" hidden="1" customHeight="1" x14ac:dyDescent="0.25">
      <c r="A198" s="1">
        <v>45952</v>
      </c>
      <c r="B198" s="2">
        <v>2025002398</v>
      </c>
      <c r="C198" s="2" t="s">
        <v>284</v>
      </c>
      <c r="D198" s="3">
        <v>4200000</v>
      </c>
      <c r="E198" s="2">
        <v>27198144</v>
      </c>
      <c r="F198" s="2" t="s">
        <v>285</v>
      </c>
      <c r="G198" t="s">
        <v>290</v>
      </c>
      <c r="H198" t="e">
        <f>VLOOKUP(C198,'[1]A CARGAR'!$A$2:$P$34,1,0)</f>
        <v>#N/A</v>
      </c>
    </row>
    <row r="199" spans="1:9" ht="14.25" hidden="1" customHeight="1" x14ac:dyDescent="0.25">
      <c r="A199" s="1">
        <v>45931</v>
      </c>
      <c r="B199" s="2">
        <v>2025002107</v>
      </c>
      <c r="C199" s="2" t="s">
        <v>247</v>
      </c>
      <c r="D199" s="3">
        <v>3000000</v>
      </c>
      <c r="E199" s="2">
        <v>1085344795</v>
      </c>
      <c r="F199" s="2" t="s">
        <v>248</v>
      </c>
      <c r="G199" t="s">
        <v>290</v>
      </c>
      <c r="H199" t="e">
        <f>VLOOKUP(C199,'[1]A CARGAR'!$A$2:$P$34,1,0)</f>
        <v>#N/A</v>
      </c>
    </row>
    <row r="200" spans="1:9" ht="14.25" customHeight="1" x14ac:dyDescent="0.25">
      <c r="A200" s="1">
        <v>45933</v>
      </c>
      <c r="B200" s="2">
        <v>2025002144</v>
      </c>
      <c r="C200" s="2" t="s">
        <v>217</v>
      </c>
      <c r="D200" s="3">
        <v>49606946</v>
      </c>
      <c r="E200" s="2">
        <v>805021222</v>
      </c>
      <c r="F200" s="2" t="s">
        <v>218</v>
      </c>
      <c r="G200" t="s">
        <v>290</v>
      </c>
      <c r="H200" t="e">
        <f>VLOOKUP(C200,'[1]A CARGAR'!$A$2:$P$34,1,0)</f>
        <v>#N/A</v>
      </c>
      <c r="I200" s="7" t="s">
        <v>291</v>
      </c>
    </row>
    <row r="201" spans="1:9" ht="14.25" hidden="1" customHeight="1" x14ac:dyDescent="0.25">
      <c r="A201" s="1">
        <v>45945</v>
      </c>
      <c r="B201" s="2">
        <v>2025002268</v>
      </c>
      <c r="C201" s="2" t="s">
        <v>161</v>
      </c>
      <c r="D201" s="3">
        <v>3000000</v>
      </c>
      <c r="E201" s="2">
        <v>1030606749</v>
      </c>
      <c r="F201" s="2" t="s">
        <v>162</v>
      </c>
      <c r="G201" t="s">
        <v>290</v>
      </c>
      <c r="H201" t="e">
        <f>VLOOKUP(C201,'[1]A CARGAR'!$A$2:$P$34,1,0)</f>
        <v>#N/A</v>
      </c>
    </row>
    <row r="202" spans="1:9" ht="14.25" hidden="1" customHeight="1" x14ac:dyDescent="0.25">
      <c r="A202" s="1">
        <v>45931</v>
      </c>
      <c r="B202" s="2">
        <v>2025002109</v>
      </c>
      <c r="C202" s="2" t="s">
        <v>211</v>
      </c>
      <c r="D202" s="3">
        <v>6000000</v>
      </c>
      <c r="E202" s="2">
        <v>1082748420</v>
      </c>
      <c r="F202" s="2" t="s">
        <v>212</v>
      </c>
      <c r="G202" t="s">
        <v>290</v>
      </c>
      <c r="H202" t="e">
        <f>VLOOKUP(C202,'[1]A CARGAR'!$A$2:$P$34,1,0)</f>
        <v>#N/A</v>
      </c>
    </row>
    <row r="203" spans="1:9" ht="14.25" hidden="1" customHeight="1" x14ac:dyDescent="0.25">
      <c r="A203" s="1">
        <v>45931</v>
      </c>
      <c r="B203" s="2">
        <v>2025002110</v>
      </c>
      <c r="C203" s="2" t="s">
        <v>231</v>
      </c>
      <c r="D203" s="3">
        <v>2500000</v>
      </c>
      <c r="E203" s="2">
        <v>1084552048</v>
      </c>
      <c r="F203" s="2" t="s">
        <v>232</v>
      </c>
      <c r="G203" t="s">
        <v>290</v>
      </c>
      <c r="H203" t="e">
        <f>VLOOKUP(C203,'[1]A CARGAR'!$A$2:$P$34,1,0)</f>
        <v>#N/A</v>
      </c>
    </row>
    <row r="204" spans="1:9" ht="14.25" hidden="1" customHeight="1" x14ac:dyDescent="0.25">
      <c r="A204" s="1">
        <v>45931</v>
      </c>
      <c r="B204" s="2">
        <v>2025002111</v>
      </c>
      <c r="C204" s="2" t="s">
        <v>99</v>
      </c>
      <c r="D204" s="3">
        <v>3000000</v>
      </c>
      <c r="E204" s="2">
        <v>37084285</v>
      </c>
      <c r="F204" s="2" t="s">
        <v>100</v>
      </c>
      <c r="G204" t="s">
        <v>290</v>
      </c>
      <c r="H204" t="e">
        <f>VLOOKUP(C204,'[1]A CARGAR'!$A$2:$P$34,1,0)</f>
        <v>#N/A</v>
      </c>
    </row>
    <row r="205" spans="1:9" ht="14.25" hidden="1" customHeight="1" x14ac:dyDescent="0.25">
      <c r="A205" s="1">
        <v>45931</v>
      </c>
      <c r="B205" s="2">
        <v>2025002112</v>
      </c>
      <c r="C205" s="2" t="s">
        <v>105</v>
      </c>
      <c r="D205" s="3">
        <v>3000000</v>
      </c>
      <c r="E205" s="2">
        <v>1192717330</v>
      </c>
      <c r="F205" s="2" t="s">
        <v>106</v>
      </c>
      <c r="G205" t="s">
        <v>290</v>
      </c>
      <c r="H205" t="e">
        <f>VLOOKUP(C205,'[1]A CARGAR'!$A$2:$P$34,1,0)</f>
        <v>#N/A</v>
      </c>
    </row>
    <row r="206" spans="1:9" ht="14.25" hidden="1" customHeight="1" x14ac:dyDescent="0.25">
      <c r="A206" s="1">
        <v>45931</v>
      </c>
      <c r="B206" s="2">
        <v>2025002113</v>
      </c>
      <c r="C206" s="2" t="s">
        <v>83</v>
      </c>
      <c r="D206" s="3">
        <v>6000000</v>
      </c>
      <c r="E206" s="2">
        <v>59837608</v>
      </c>
      <c r="F206" s="2" t="s">
        <v>84</v>
      </c>
      <c r="G206" t="s">
        <v>290</v>
      </c>
      <c r="H206" t="e">
        <f>VLOOKUP(C206,'[1]A CARGAR'!$A$2:$P$34,1,0)</f>
        <v>#N/A</v>
      </c>
    </row>
    <row r="207" spans="1:9" ht="14.25" hidden="1" customHeight="1" x14ac:dyDescent="0.25">
      <c r="A207" s="1">
        <v>45931</v>
      </c>
      <c r="B207" s="2">
        <v>2025002114</v>
      </c>
      <c r="C207" s="2" t="s">
        <v>41</v>
      </c>
      <c r="D207" s="3">
        <v>3000000</v>
      </c>
      <c r="E207" s="2">
        <v>1193271854</v>
      </c>
      <c r="F207" s="2" t="s">
        <v>42</v>
      </c>
      <c r="G207" t="s">
        <v>290</v>
      </c>
      <c r="H207" t="e">
        <f>VLOOKUP(C207,'[1]A CARGAR'!$A$2:$P$34,1,0)</f>
        <v>#N/A</v>
      </c>
    </row>
    <row r="208" spans="1:9" ht="14.25" hidden="1" customHeight="1" x14ac:dyDescent="0.25">
      <c r="A208" s="1">
        <v>45931</v>
      </c>
      <c r="B208" s="2">
        <v>2025002115</v>
      </c>
      <c r="C208" s="2" t="s">
        <v>191</v>
      </c>
      <c r="D208" s="3">
        <v>2500000</v>
      </c>
      <c r="E208" s="2">
        <v>37087268</v>
      </c>
      <c r="F208" s="2" t="s">
        <v>192</v>
      </c>
      <c r="G208" t="s">
        <v>290</v>
      </c>
      <c r="H208" t="e">
        <f>VLOOKUP(C208,'[1]A CARGAR'!$A$2:$P$34,1,0)</f>
        <v>#N/A</v>
      </c>
    </row>
    <row r="209" spans="1:9" ht="14.25" hidden="1" customHeight="1" x14ac:dyDescent="0.25">
      <c r="A209" s="1">
        <v>45931</v>
      </c>
      <c r="B209" s="2">
        <v>2025002116</v>
      </c>
      <c r="C209" s="2" t="s">
        <v>45</v>
      </c>
      <c r="D209" s="3">
        <v>3000000</v>
      </c>
      <c r="E209" s="2">
        <v>1081592303</v>
      </c>
      <c r="F209" s="2" t="s">
        <v>46</v>
      </c>
      <c r="G209" t="s">
        <v>290</v>
      </c>
      <c r="H209" t="e">
        <f>VLOOKUP(C209,'[1]A CARGAR'!$A$2:$P$34,1,0)</f>
        <v>#N/A</v>
      </c>
    </row>
    <row r="210" spans="1:9" ht="14.25" hidden="1" customHeight="1" x14ac:dyDescent="0.25">
      <c r="A210" s="1">
        <v>45931</v>
      </c>
      <c r="B210" s="2">
        <v>2025002118</v>
      </c>
      <c r="C210" s="2" t="s">
        <v>254</v>
      </c>
      <c r="D210" s="3">
        <v>3000000</v>
      </c>
      <c r="E210" s="2">
        <v>27087122</v>
      </c>
      <c r="F210" s="2" t="s">
        <v>255</v>
      </c>
      <c r="G210" t="s">
        <v>290</v>
      </c>
      <c r="H210" t="e">
        <f>VLOOKUP(C210,'[1]A CARGAR'!$A$2:$P$34,1,0)</f>
        <v>#N/A</v>
      </c>
    </row>
    <row r="211" spans="1:9" ht="14.25" hidden="1" customHeight="1" x14ac:dyDescent="0.25">
      <c r="A211" s="1">
        <v>45931</v>
      </c>
      <c r="B211" s="2">
        <v>2025002122</v>
      </c>
      <c r="C211" s="2" t="s">
        <v>219</v>
      </c>
      <c r="D211" s="3">
        <v>3000000</v>
      </c>
      <c r="E211" s="2">
        <v>1085304308</v>
      </c>
      <c r="F211" s="2" t="s">
        <v>220</v>
      </c>
      <c r="G211" t="s">
        <v>290</v>
      </c>
      <c r="H211" t="e">
        <f>VLOOKUP(C211,'[1]A CARGAR'!$A$2:$P$34,1,0)</f>
        <v>#N/A</v>
      </c>
    </row>
    <row r="212" spans="1:9" ht="14.25" hidden="1" customHeight="1" x14ac:dyDescent="0.25">
      <c r="A212" s="1">
        <v>45937</v>
      </c>
      <c r="B212" s="2">
        <v>2025002180</v>
      </c>
      <c r="C212" s="2" t="s">
        <v>260</v>
      </c>
      <c r="D212" s="3">
        <v>2500000</v>
      </c>
      <c r="E212" s="2">
        <v>1085327836</v>
      </c>
      <c r="F212" s="2" t="s">
        <v>261</v>
      </c>
      <c r="G212" t="s">
        <v>290</v>
      </c>
      <c r="H212" t="e">
        <f>VLOOKUP(C212,'[1]A CARGAR'!$A$2:$P$34,1,0)</f>
        <v>#N/A</v>
      </c>
    </row>
    <row r="213" spans="1:9" ht="14.25" hidden="1" customHeight="1" x14ac:dyDescent="0.25">
      <c r="A213" s="1">
        <v>45933</v>
      </c>
      <c r="B213" s="2">
        <v>2025002147</v>
      </c>
      <c r="C213" s="2" t="s">
        <v>163</v>
      </c>
      <c r="D213" s="3">
        <v>3000000</v>
      </c>
      <c r="E213" s="2">
        <v>1085286725</v>
      </c>
      <c r="F213" s="2" t="s">
        <v>164</v>
      </c>
      <c r="G213" t="s">
        <v>290</v>
      </c>
      <c r="H213" t="e">
        <f>VLOOKUP(C213,'[1]A CARGAR'!$A$2:$P$34,1,0)</f>
        <v>#N/A</v>
      </c>
    </row>
    <row r="214" spans="1:9" ht="14.25" hidden="1" customHeight="1" x14ac:dyDescent="0.25">
      <c r="A214" s="1">
        <v>45933</v>
      </c>
      <c r="B214" s="2">
        <v>2025002148</v>
      </c>
      <c r="C214" s="2" t="s">
        <v>137</v>
      </c>
      <c r="D214" s="3">
        <v>3000000</v>
      </c>
      <c r="E214" s="2">
        <v>1081572043</v>
      </c>
      <c r="F214" s="2" t="s">
        <v>138</v>
      </c>
      <c r="G214" t="s">
        <v>290</v>
      </c>
      <c r="H214" t="e">
        <f>VLOOKUP(C214,'[1]A CARGAR'!$A$2:$P$34,1,0)</f>
        <v>#N/A</v>
      </c>
    </row>
    <row r="215" spans="1:9" ht="14.25" hidden="1" customHeight="1" x14ac:dyDescent="0.25">
      <c r="A215" s="1">
        <v>45933</v>
      </c>
      <c r="B215" s="2">
        <v>2025002149</v>
      </c>
      <c r="C215" s="2" t="s">
        <v>207</v>
      </c>
      <c r="D215" s="3">
        <v>4825000</v>
      </c>
      <c r="E215" s="2">
        <v>36951301</v>
      </c>
      <c r="F215" s="2" t="s">
        <v>208</v>
      </c>
      <c r="G215" t="s">
        <v>290</v>
      </c>
      <c r="H215" t="e">
        <f>VLOOKUP(C215,'[1]A CARGAR'!$A$2:$P$34,1,0)</f>
        <v>#N/A</v>
      </c>
    </row>
    <row r="216" spans="1:9" ht="14.25" hidden="1" customHeight="1" x14ac:dyDescent="0.25">
      <c r="A216" s="1">
        <v>45933</v>
      </c>
      <c r="B216" s="2">
        <v>2025002151</v>
      </c>
      <c r="C216" s="2" t="s">
        <v>129</v>
      </c>
      <c r="D216" s="3">
        <v>3000000</v>
      </c>
      <c r="E216" s="2">
        <v>1085339190</v>
      </c>
      <c r="F216" s="2" t="s">
        <v>130</v>
      </c>
      <c r="G216" t="s">
        <v>290</v>
      </c>
      <c r="H216" t="e">
        <f>VLOOKUP(C216,'[1]A CARGAR'!$A$2:$P$34,1,0)</f>
        <v>#N/A</v>
      </c>
    </row>
    <row r="217" spans="1:9" ht="14.25" hidden="1" customHeight="1" x14ac:dyDescent="0.25">
      <c r="A217" s="1">
        <v>45936</v>
      </c>
      <c r="B217" s="2">
        <v>2025002169</v>
      </c>
      <c r="C217" s="2" t="s">
        <v>256</v>
      </c>
      <c r="D217" s="3">
        <v>3000000</v>
      </c>
      <c r="E217" s="2">
        <v>1082747438</v>
      </c>
      <c r="F217" s="2" t="s">
        <v>257</v>
      </c>
      <c r="G217" t="s">
        <v>290</v>
      </c>
      <c r="H217" t="e">
        <f>VLOOKUP(C217,'[1]A CARGAR'!$A$2:$P$34,1,0)</f>
        <v>#N/A</v>
      </c>
    </row>
    <row r="218" spans="1:9" ht="14.25" hidden="1" customHeight="1" x14ac:dyDescent="0.25">
      <c r="A218" s="1">
        <v>45937</v>
      </c>
      <c r="B218" s="2">
        <v>2025002177</v>
      </c>
      <c r="C218" s="2" t="s">
        <v>258</v>
      </c>
      <c r="D218" s="3">
        <v>3000000</v>
      </c>
      <c r="E218" s="2">
        <v>59813323</v>
      </c>
      <c r="F218" s="2" t="s">
        <v>259</v>
      </c>
      <c r="G218" t="s">
        <v>290</v>
      </c>
      <c r="H218" t="e">
        <f>VLOOKUP(C218,'[1]A CARGAR'!$A$2:$P$34,1,0)</f>
        <v>#N/A</v>
      </c>
    </row>
    <row r="219" spans="1:9" ht="14.25" hidden="1" customHeight="1" x14ac:dyDescent="0.25">
      <c r="A219" s="1">
        <v>45937</v>
      </c>
      <c r="B219" s="2">
        <v>2025002178</v>
      </c>
      <c r="C219" s="2" t="s">
        <v>203</v>
      </c>
      <c r="D219" s="3">
        <v>3000000</v>
      </c>
      <c r="E219" s="2">
        <v>1085261053</v>
      </c>
      <c r="F219" s="2" t="s">
        <v>204</v>
      </c>
      <c r="G219" t="s">
        <v>290</v>
      </c>
      <c r="H219" t="e">
        <f>VLOOKUP(C219,'[1]A CARGAR'!$A$2:$P$34,1,0)</f>
        <v>#N/A</v>
      </c>
    </row>
    <row r="220" spans="1:9" ht="14.25" hidden="1" customHeight="1" x14ac:dyDescent="0.25">
      <c r="A220" s="1">
        <v>45937</v>
      </c>
      <c r="B220" s="2">
        <v>2025002179</v>
      </c>
      <c r="C220" s="2" t="s">
        <v>197</v>
      </c>
      <c r="D220" s="3">
        <v>3000000</v>
      </c>
      <c r="E220" s="2">
        <v>1004592366</v>
      </c>
      <c r="F220" s="2" t="s">
        <v>198</v>
      </c>
      <c r="G220" t="s">
        <v>290</v>
      </c>
      <c r="H220" t="e">
        <f>VLOOKUP(C220,'[1]A CARGAR'!$A$2:$P$34,1,0)</f>
        <v>#N/A</v>
      </c>
    </row>
    <row r="221" spans="1:9" ht="14.25" hidden="1" customHeight="1" x14ac:dyDescent="0.25">
      <c r="A221" s="1">
        <v>45937</v>
      </c>
      <c r="B221" s="2">
        <v>2025002181</v>
      </c>
      <c r="C221" s="2" t="s">
        <v>262</v>
      </c>
      <c r="D221" s="3">
        <v>3000000</v>
      </c>
      <c r="E221" s="2">
        <v>59833899</v>
      </c>
      <c r="F221" s="2" t="s">
        <v>263</v>
      </c>
      <c r="G221" t="s">
        <v>290</v>
      </c>
      <c r="H221" t="e">
        <f>VLOOKUP(C221,'[1]A CARGAR'!$A$2:$P$34,1,0)</f>
        <v>#N/A</v>
      </c>
    </row>
    <row r="222" spans="1:9" ht="14.25" hidden="1" customHeight="1" x14ac:dyDescent="0.25">
      <c r="A222" s="1">
        <v>45937</v>
      </c>
      <c r="B222" s="2">
        <v>2025002183</v>
      </c>
      <c r="C222" s="2" t="s">
        <v>264</v>
      </c>
      <c r="D222" s="3">
        <v>6000000</v>
      </c>
      <c r="E222" s="2">
        <v>1193223736</v>
      </c>
      <c r="F222" s="2" t="s">
        <v>265</v>
      </c>
      <c r="G222" t="s">
        <v>290</v>
      </c>
      <c r="H222" t="e">
        <f>VLOOKUP(C222,'[1]A CARGAR'!$A$2:$P$34,1,0)</f>
        <v>#N/A</v>
      </c>
      <c r="I222" s="7"/>
    </row>
    <row r="223" spans="1:9" ht="14.25" hidden="1" customHeight="1" x14ac:dyDescent="0.25">
      <c r="A223" s="1">
        <v>45937</v>
      </c>
      <c r="B223" s="2">
        <v>2025002185</v>
      </c>
      <c r="C223" s="2" t="s">
        <v>266</v>
      </c>
      <c r="D223" s="3">
        <v>3000000</v>
      </c>
      <c r="E223" s="2">
        <v>1085325325</v>
      </c>
      <c r="F223" s="2" t="s">
        <v>267</v>
      </c>
      <c r="G223" t="s">
        <v>290</v>
      </c>
      <c r="H223" t="e">
        <f>VLOOKUP(C223,'[1]A CARGAR'!$A$2:$P$34,1,0)</f>
        <v>#N/A</v>
      </c>
    </row>
    <row r="224" spans="1:9" ht="14.25" hidden="1" customHeight="1" x14ac:dyDescent="0.25">
      <c r="A224" s="1">
        <v>45937</v>
      </c>
      <c r="B224" s="2">
        <v>2025002182</v>
      </c>
      <c r="C224" s="2" t="s">
        <v>229</v>
      </c>
      <c r="D224" s="3">
        <v>3000000</v>
      </c>
      <c r="E224" s="2">
        <v>1084224968</v>
      </c>
      <c r="F224" s="2" t="s">
        <v>230</v>
      </c>
      <c r="G224" t="s">
        <v>290</v>
      </c>
      <c r="H224" t="e">
        <f>VLOOKUP(C224,'[1]A CARGAR'!$A$2:$P$34,1,0)</f>
        <v>#N/A</v>
      </c>
    </row>
    <row r="225" spans="1:8" ht="14.25" hidden="1" customHeight="1" x14ac:dyDescent="0.25">
      <c r="A225" s="1">
        <v>45937</v>
      </c>
      <c r="B225" s="2">
        <v>2025002186</v>
      </c>
      <c r="C225" s="2" t="s">
        <v>268</v>
      </c>
      <c r="D225" s="3">
        <v>2500000</v>
      </c>
      <c r="E225" s="2">
        <v>98386323</v>
      </c>
      <c r="F225" s="2" t="s">
        <v>269</v>
      </c>
      <c r="G225" t="s">
        <v>290</v>
      </c>
      <c r="H225" t="e">
        <f>VLOOKUP(C225,'[1]A CARGAR'!$A$2:$P$34,1,0)</f>
        <v>#N/A</v>
      </c>
    </row>
    <row r="226" spans="1:8" ht="14.25" hidden="1" customHeight="1" x14ac:dyDescent="0.25">
      <c r="A226" s="1">
        <v>45937</v>
      </c>
      <c r="B226" s="2">
        <v>2025002184</v>
      </c>
      <c r="C226" s="2" t="s">
        <v>215</v>
      </c>
      <c r="D226" s="3">
        <v>7500000</v>
      </c>
      <c r="E226" s="2">
        <v>1087006619</v>
      </c>
      <c r="F226" s="2" t="s">
        <v>216</v>
      </c>
      <c r="G226" t="s">
        <v>290</v>
      </c>
      <c r="H226" t="e">
        <f>VLOOKUP(C226,'[1]A CARGAR'!$A$2:$P$34,1,0)</f>
        <v>#N/A</v>
      </c>
    </row>
    <row r="227" spans="1:8" ht="14.25" hidden="1" customHeight="1" x14ac:dyDescent="0.25">
      <c r="A227" s="1">
        <v>45938</v>
      </c>
      <c r="B227" s="2">
        <v>2025002201</v>
      </c>
      <c r="C227" s="2" t="s">
        <v>270</v>
      </c>
      <c r="D227" s="3">
        <v>3000000</v>
      </c>
      <c r="E227" s="2">
        <v>36861874</v>
      </c>
      <c r="F227" s="2" t="s">
        <v>206</v>
      </c>
      <c r="G227" t="s">
        <v>290</v>
      </c>
      <c r="H227" t="e">
        <f>VLOOKUP(C227,'[1]A CARGAR'!$A$2:$P$34,1,0)</f>
        <v>#N/A</v>
      </c>
    </row>
    <row r="228" spans="1:8" ht="14.25" hidden="1" customHeight="1" x14ac:dyDescent="0.25">
      <c r="A228" s="1">
        <v>45944</v>
      </c>
      <c r="B228" s="2">
        <v>2025002233</v>
      </c>
      <c r="C228" s="2" t="s">
        <v>272</v>
      </c>
      <c r="D228" s="3">
        <v>3000000</v>
      </c>
      <c r="E228" s="2">
        <v>59830040</v>
      </c>
      <c r="F228" s="2" t="s">
        <v>273</v>
      </c>
      <c r="G228" t="s">
        <v>290</v>
      </c>
      <c r="H228" t="e">
        <f>VLOOKUP(C228,'[1]A CARGAR'!$A$2:$P$34,1,0)</f>
        <v>#N/A</v>
      </c>
    </row>
    <row r="229" spans="1:8" ht="14.25" hidden="1" customHeight="1" x14ac:dyDescent="0.25">
      <c r="A229" s="1">
        <v>45944</v>
      </c>
      <c r="B229" s="2">
        <v>2025002234</v>
      </c>
      <c r="C229" s="2" t="s">
        <v>251</v>
      </c>
      <c r="D229" s="3">
        <v>3000000</v>
      </c>
      <c r="E229" s="2">
        <v>27091114</v>
      </c>
      <c r="F229" s="2" t="s">
        <v>252</v>
      </c>
      <c r="G229" t="s">
        <v>290</v>
      </c>
      <c r="H229" t="e">
        <f>VLOOKUP(C229,'[1]A CARGAR'!$A$2:$P$34,1,0)</f>
        <v>#N/A</v>
      </c>
    </row>
    <row r="230" spans="1:8" ht="14.25" hidden="1" customHeight="1" x14ac:dyDescent="0.25">
      <c r="A230" s="1">
        <v>45938</v>
      </c>
      <c r="B230" s="2">
        <v>2025002202</v>
      </c>
      <c r="C230" s="2" t="s">
        <v>145</v>
      </c>
      <c r="D230" s="3">
        <v>2500000</v>
      </c>
      <c r="E230" s="2">
        <v>1233188479</v>
      </c>
      <c r="F230" s="2" t="s">
        <v>146</v>
      </c>
      <c r="G230" t="s">
        <v>290</v>
      </c>
      <c r="H230" t="e">
        <f>VLOOKUP(C230,'[1]A CARGAR'!$A$2:$P$34,1,0)</f>
        <v>#N/A</v>
      </c>
    </row>
    <row r="231" spans="1:8" ht="14.25" hidden="1" customHeight="1" x14ac:dyDescent="0.25">
      <c r="A231" s="1">
        <v>45938</v>
      </c>
      <c r="B231" s="2">
        <v>2025002203</v>
      </c>
      <c r="C231" s="2" t="s">
        <v>177</v>
      </c>
      <c r="D231" s="3">
        <v>6000000</v>
      </c>
      <c r="E231" s="2">
        <v>59836480</v>
      </c>
      <c r="F231" s="2" t="s">
        <v>178</v>
      </c>
      <c r="G231" t="s">
        <v>290</v>
      </c>
      <c r="H231" t="e">
        <f>VLOOKUP(C231,'[1]A CARGAR'!$A$2:$P$34,1,0)</f>
        <v>#N/A</v>
      </c>
    </row>
    <row r="232" spans="1:8" ht="14.25" hidden="1" customHeight="1" x14ac:dyDescent="0.25">
      <c r="A232" s="1">
        <v>45938</v>
      </c>
      <c r="B232" s="2">
        <v>2025002204</v>
      </c>
      <c r="C232" s="2" t="s">
        <v>183</v>
      </c>
      <c r="D232" s="3">
        <v>2500000</v>
      </c>
      <c r="E232" s="2">
        <v>59830219</v>
      </c>
      <c r="F232" s="2" t="s">
        <v>184</v>
      </c>
      <c r="G232" t="s">
        <v>290</v>
      </c>
      <c r="H232" t="e">
        <f>VLOOKUP(C232,'[1]A CARGAR'!$A$2:$P$34,1,0)</f>
        <v>#N/A</v>
      </c>
    </row>
    <row r="233" spans="1:8" ht="14.25" hidden="1" customHeight="1" x14ac:dyDescent="0.25">
      <c r="A233" s="1">
        <v>45938</v>
      </c>
      <c r="B233" s="2">
        <v>2025002205</v>
      </c>
      <c r="C233" s="2" t="s">
        <v>169</v>
      </c>
      <c r="D233" s="3">
        <v>4750000</v>
      </c>
      <c r="E233" s="2">
        <v>36953206</v>
      </c>
      <c r="F233" s="2" t="s">
        <v>170</v>
      </c>
      <c r="G233" t="s">
        <v>290</v>
      </c>
      <c r="H233" t="e">
        <f>VLOOKUP(C233,'[1]A CARGAR'!$A$2:$P$34,1,0)</f>
        <v>#N/A</v>
      </c>
    </row>
    <row r="234" spans="1:8" ht="14.25" hidden="1" customHeight="1" x14ac:dyDescent="0.25">
      <c r="A234" s="1">
        <v>45938</v>
      </c>
      <c r="B234" s="2">
        <v>2025002207</v>
      </c>
      <c r="C234" s="2" t="s">
        <v>254</v>
      </c>
      <c r="D234" s="3">
        <v>3000000</v>
      </c>
      <c r="E234" s="2">
        <v>27087122</v>
      </c>
      <c r="F234" s="2" t="s">
        <v>255</v>
      </c>
      <c r="G234" t="s">
        <v>290</v>
      </c>
      <c r="H234" t="e">
        <f>VLOOKUP(C234,'[1]A CARGAR'!$A$2:$P$34,1,0)</f>
        <v>#N/A</v>
      </c>
    </row>
    <row r="235" spans="1:8" ht="14.25" hidden="1" customHeight="1" x14ac:dyDescent="0.25">
      <c r="A235" s="1">
        <v>45938</v>
      </c>
      <c r="B235" s="2">
        <v>2025002208</v>
      </c>
      <c r="C235" s="2" t="s">
        <v>237</v>
      </c>
      <c r="D235" s="3">
        <v>3000000</v>
      </c>
      <c r="E235" s="2">
        <v>27088197</v>
      </c>
      <c r="F235" s="2" t="s">
        <v>238</v>
      </c>
      <c r="G235" t="s">
        <v>290</v>
      </c>
      <c r="H235" t="e">
        <f>VLOOKUP(C235,'[1]A CARGAR'!$A$2:$P$34,1,0)</f>
        <v>#N/A</v>
      </c>
    </row>
    <row r="236" spans="1:8" ht="14.25" hidden="1" customHeight="1" x14ac:dyDescent="0.25">
      <c r="A236" s="1">
        <v>45938</v>
      </c>
      <c r="B236" s="2">
        <v>2025002210</v>
      </c>
      <c r="C236" s="2" t="s">
        <v>243</v>
      </c>
      <c r="D236" s="3">
        <v>2500000</v>
      </c>
      <c r="E236" s="2">
        <v>30734666</v>
      </c>
      <c r="F236" s="2" t="s">
        <v>244</v>
      </c>
      <c r="G236" t="s">
        <v>290</v>
      </c>
      <c r="H236" t="e">
        <f>VLOOKUP(C236,'[1]A CARGAR'!$A$2:$P$34,1,0)</f>
        <v>#N/A</v>
      </c>
    </row>
    <row r="237" spans="1:8" ht="14.25" hidden="1" customHeight="1" x14ac:dyDescent="0.25">
      <c r="A237" s="1">
        <v>45938</v>
      </c>
      <c r="B237" s="2">
        <v>2025002211</v>
      </c>
      <c r="C237" s="2" t="s">
        <v>201</v>
      </c>
      <c r="D237" s="3">
        <v>2500000</v>
      </c>
      <c r="E237" s="2">
        <v>12990231</v>
      </c>
      <c r="F237" s="2" t="s">
        <v>202</v>
      </c>
      <c r="G237" t="s">
        <v>290</v>
      </c>
      <c r="H237" t="e">
        <f>VLOOKUP(C237,'[1]A CARGAR'!$A$2:$P$34,1,0)</f>
        <v>#N/A</v>
      </c>
    </row>
    <row r="238" spans="1:8" ht="14.25" hidden="1" customHeight="1" x14ac:dyDescent="0.25">
      <c r="A238" s="1">
        <v>45944</v>
      </c>
      <c r="B238" s="2">
        <v>2025002230</v>
      </c>
      <c r="C238" s="2" t="s">
        <v>133</v>
      </c>
      <c r="D238" s="3">
        <v>6000000</v>
      </c>
      <c r="E238" s="2">
        <v>97470681</v>
      </c>
      <c r="F238" s="2" t="s">
        <v>134</v>
      </c>
      <c r="G238" t="s">
        <v>290</v>
      </c>
      <c r="H238" t="e">
        <f>VLOOKUP(C238,'[1]A CARGAR'!$A$2:$P$34,1,0)</f>
        <v>#N/A</v>
      </c>
    </row>
    <row r="239" spans="1:8" ht="14.25" hidden="1" customHeight="1" x14ac:dyDescent="0.25">
      <c r="A239" s="1">
        <v>45944</v>
      </c>
      <c r="B239" s="2">
        <v>2025002231</v>
      </c>
      <c r="C239" s="2" t="s">
        <v>205</v>
      </c>
      <c r="D239" s="3">
        <v>3000000</v>
      </c>
      <c r="E239" s="2">
        <v>1087959088</v>
      </c>
      <c r="F239" s="2" t="s">
        <v>271</v>
      </c>
      <c r="G239" t="s">
        <v>290</v>
      </c>
      <c r="H239" t="e">
        <f>VLOOKUP(C239,'[1]A CARGAR'!$A$2:$P$34,1,0)</f>
        <v>#N/A</v>
      </c>
    </row>
    <row r="240" spans="1:8" ht="14.25" hidden="1" customHeight="1" x14ac:dyDescent="0.25">
      <c r="A240" s="1">
        <v>45944</v>
      </c>
      <c r="B240" s="2">
        <v>2025002232</v>
      </c>
      <c r="C240" s="2" t="s">
        <v>125</v>
      </c>
      <c r="D240" s="3">
        <v>2500000</v>
      </c>
      <c r="E240" s="2">
        <v>1075242334</v>
      </c>
      <c r="F240" s="2" t="s">
        <v>126</v>
      </c>
      <c r="G240" t="s">
        <v>290</v>
      </c>
      <c r="H240" t="e">
        <f>VLOOKUP(C240,'[1]A CARGAR'!$A$2:$P$34,1,0)</f>
        <v>#N/A</v>
      </c>
    </row>
    <row r="241" spans="1:8" ht="14.25" hidden="1" customHeight="1" x14ac:dyDescent="0.25">
      <c r="A241" s="1">
        <v>45944</v>
      </c>
      <c r="B241" s="2">
        <v>2025002241</v>
      </c>
      <c r="C241" s="2" t="s">
        <v>276</v>
      </c>
      <c r="D241" s="3">
        <v>3000000</v>
      </c>
      <c r="E241" s="2">
        <v>59828916</v>
      </c>
      <c r="F241" s="2" t="s">
        <v>277</v>
      </c>
      <c r="G241" t="s">
        <v>290</v>
      </c>
      <c r="H241" t="e">
        <f>VLOOKUP(C241,'[1]A CARGAR'!$A$2:$P$34,1,0)</f>
        <v>#N/A</v>
      </c>
    </row>
    <row r="242" spans="1:8" ht="14.25" hidden="1" customHeight="1" x14ac:dyDescent="0.25">
      <c r="A242" s="1">
        <v>45944</v>
      </c>
      <c r="B242" s="2">
        <v>2025002235</v>
      </c>
      <c r="C242" s="2" t="s">
        <v>235</v>
      </c>
      <c r="D242" s="3">
        <v>6000000</v>
      </c>
      <c r="E242" s="2">
        <v>59314458</v>
      </c>
      <c r="F242" s="2" t="s">
        <v>236</v>
      </c>
      <c r="G242" t="s">
        <v>290</v>
      </c>
      <c r="H242" t="e">
        <f>VLOOKUP(C242,'[1]A CARGAR'!$A$2:$P$34,1,0)</f>
        <v>#N/A</v>
      </c>
    </row>
    <row r="243" spans="1:8" ht="14.25" hidden="1" customHeight="1" x14ac:dyDescent="0.25">
      <c r="A243" s="1">
        <v>45944</v>
      </c>
      <c r="B243" s="2">
        <v>2025002238</v>
      </c>
      <c r="C243" s="2" t="s">
        <v>274</v>
      </c>
      <c r="D243" s="3">
        <v>2500000</v>
      </c>
      <c r="E243" s="2">
        <v>1087958982</v>
      </c>
      <c r="F243" s="2" t="s">
        <v>275</v>
      </c>
      <c r="G243" t="s">
        <v>290</v>
      </c>
      <c r="H243" t="e">
        <f>VLOOKUP(C243,'[1]A CARGAR'!$A$2:$P$34,1,0)</f>
        <v>#N/A</v>
      </c>
    </row>
    <row r="244" spans="1:8" ht="14.25" hidden="1" customHeight="1" x14ac:dyDescent="0.25">
      <c r="A244" s="1">
        <v>45944</v>
      </c>
      <c r="B244" s="2">
        <v>2025002239</v>
      </c>
      <c r="C244" s="2" t="s">
        <v>274</v>
      </c>
      <c r="D244" s="3">
        <v>2500000</v>
      </c>
      <c r="E244" s="2">
        <v>1087958982</v>
      </c>
      <c r="F244" s="2" t="s">
        <v>275</v>
      </c>
      <c r="G244" t="s">
        <v>290</v>
      </c>
      <c r="H244" t="e">
        <f>VLOOKUP(C244,'[1]A CARGAR'!$A$2:$P$34,1,0)</f>
        <v>#N/A</v>
      </c>
    </row>
    <row r="245" spans="1:8" ht="14.25" hidden="1" customHeight="1" x14ac:dyDescent="0.25">
      <c r="A245" s="1">
        <v>45944</v>
      </c>
      <c r="B245" s="2">
        <v>2025002240</v>
      </c>
      <c r="C245" s="2" t="s">
        <v>233</v>
      </c>
      <c r="D245" s="3">
        <v>6000000</v>
      </c>
      <c r="E245" s="2">
        <v>1085253062</v>
      </c>
      <c r="F245" s="2" t="s">
        <v>234</v>
      </c>
      <c r="G245" t="s">
        <v>290</v>
      </c>
      <c r="H245" t="e">
        <f>VLOOKUP(C245,'[1]A CARGAR'!$A$2:$P$34,1,0)</f>
        <v>#N/A</v>
      </c>
    </row>
    <row r="246" spans="1:8" ht="14.25" hidden="1" customHeight="1" x14ac:dyDescent="0.25">
      <c r="A246" s="1">
        <v>45945</v>
      </c>
      <c r="B246" s="2">
        <v>2025002265</v>
      </c>
      <c r="C246" s="2" t="s">
        <v>253</v>
      </c>
      <c r="D246" s="3">
        <v>3000000</v>
      </c>
      <c r="E246" s="2">
        <v>1193271854</v>
      </c>
      <c r="F246" s="2" t="s">
        <v>42</v>
      </c>
      <c r="G246" t="s">
        <v>290</v>
      </c>
      <c r="H246" t="e">
        <f>VLOOKUP(C246,'[1]A CARGAR'!$A$2:$P$34,1,0)</f>
        <v>#N/A</v>
      </c>
    </row>
    <row r="247" spans="1:8" ht="14.25" hidden="1" customHeight="1" x14ac:dyDescent="0.25">
      <c r="A247" s="1">
        <v>45944</v>
      </c>
      <c r="B247" s="2">
        <v>2025002245</v>
      </c>
      <c r="C247" s="2" t="s">
        <v>193</v>
      </c>
      <c r="D247" s="3">
        <v>2500000</v>
      </c>
      <c r="E247" s="2">
        <v>1085310465</v>
      </c>
      <c r="F247" s="2" t="s">
        <v>194</v>
      </c>
      <c r="G247" t="s">
        <v>290</v>
      </c>
      <c r="H247" t="e">
        <f>VLOOKUP(C247,'[1]A CARGAR'!$A$2:$P$34,1,0)</f>
        <v>#N/A</v>
      </c>
    </row>
    <row r="248" spans="1:8" ht="14.25" hidden="1" customHeight="1" x14ac:dyDescent="0.25">
      <c r="A248" s="1">
        <v>45944</v>
      </c>
      <c r="B248" s="2">
        <v>2025002246</v>
      </c>
      <c r="C248" s="2" t="s">
        <v>179</v>
      </c>
      <c r="D248" s="3">
        <v>2500000</v>
      </c>
      <c r="E248" s="2">
        <v>30722194</v>
      </c>
      <c r="F248" s="2" t="s">
        <v>180</v>
      </c>
      <c r="G248" t="s">
        <v>290</v>
      </c>
      <c r="H248" t="e">
        <f>VLOOKUP(C248,'[1]A CARGAR'!$A$2:$P$34,1,0)</f>
        <v>#N/A</v>
      </c>
    </row>
    <row r="249" spans="1:8" ht="14.25" hidden="1" customHeight="1" x14ac:dyDescent="0.25">
      <c r="A249" s="1">
        <v>45945</v>
      </c>
      <c r="B249" s="2">
        <v>2025002267</v>
      </c>
      <c r="C249" s="2" t="s">
        <v>278</v>
      </c>
      <c r="D249" s="3">
        <v>6000000</v>
      </c>
      <c r="E249" s="2">
        <v>1085248939</v>
      </c>
      <c r="F249" s="2" t="s">
        <v>279</v>
      </c>
      <c r="G249" t="s">
        <v>290</v>
      </c>
      <c r="H249" t="e">
        <f>VLOOKUP(C249,'[1]A CARGAR'!$A$2:$P$34,1,0)</f>
        <v>#N/A</v>
      </c>
    </row>
    <row r="250" spans="1:8" ht="14.25" hidden="1" customHeight="1" x14ac:dyDescent="0.25">
      <c r="A250" s="1">
        <v>45945</v>
      </c>
      <c r="B250" s="2">
        <v>2025002270</v>
      </c>
      <c r="C250" s="2" t="s">
        <v>280</v>
      </c>
      <c r="D250" s="3">
        <v>3000000</v>
      </c>
      <c r="E250" s="2">
        <v>1085310466</v>
      </c>
      <c r="F250" s="2" t="s">
        <v>281</v>
      </c>
      <c r="G250" t="s">
        <v>290</v>
      </c>
      <c r="H250" t="e">
        <f>VLOOKUP(C250,'[1]A CARGAR'!$A$2:$P$34,1,0)</f>
        <v>#N/A</v>
      </c>
    </row>
    <row r="251" spans="1:8" ht="14.25" hidden="1" customHeight="1" x14ac:dyDescent="0.25">
      <c r="A251" s="1">
        <v>45945</v>
      </c>
      <c r="B251" s="2">
        <v>2025002272</v>
      </c>
      <c r="C251" s="2" t="s">
        <v>241</v>
      </c>
      <c r="D251" s="3">
        <v>6000000</v>
      </c>
      <c r="E251" s="2">
        <v>36954410</v>
      </c>
      <c r="F251" s="2" t="s">
        <v>242</v>
      </c>
      <c r="G251" t="s">
        <v>290</v>
      </c>
      <c r="H251" t="e">
        <f>VLOOKUP(C251,'[1]A CARGAR'!$A$2:$P$34,1,0)</f>
        <v>#N/A</v>
      </c>
    </row>
    <row r="252" spans="1:8" ht="14.25" hidden="1" customHeight="1" x14ac:dyDescent="0.25">
      <c r="A252" s="1">
        <v>45946</v>
      </c>
      <c r="B252" s="2">
        <v>2025002285</v>
      </c>
      <c r="C252" s="2" t="s">
        <v>175</v>
      </c>
      <c r="D252" s="3">
        <v>2500000</v>
      </c>
      <c r="E252" s="2">
        <v>1085347173</v>
      </c>
      <c r="F252" s="2" t="s">
        <v>176</v>
      </c>
      <c r="G252" t="s">
        <v>290</v>
      </c>
      <c r="H252" t="e">
        <f>VLOOKUP(C252,'[1]A CARGAR'!$A$2:$P$34,1,0)</f>
        <v>#N/A</v>
      </c>
    </row>
    <row r="253" spans="1:8" ht="14.25" hidden="1" customHeight="1" x14ac:dyDescent="0.25">
      <c r="A253" s="1">
        <v>45946</v>
      </c>
      <c r="B253" s="2">
        <v>2025002295</v>
      </c>
      <c r="C253" s="2" t="s">
        <v>181</v>
      </c>
      <c r="D253" s="3">
        <v>3000000</v>
      </c>
      <c r="E253" s="2">
        <v>1085252263</v>
      </c>
      <c r="F253" s="2" t="s">
        <v>182</v>
      </c>
      <c r="G253" t="s">
        <v>290</v>
      </c>
      <c r="H253" t="e">
        <f>VLOOKUP(C253,'[1]A CARGAR'!$A$2:$P$34,1,0)</f>
        <v>#N/A</v>
      </c>
    </row>
    <row r="254" spans="1:8" ht="14.25" hidden="1" customHeight="1" x14ac:dyDescent="0.25">
      <c r="A254" s="1">
        <v>45947</v>
      </c>
      <c r="B254" s="2">
        <v>2025002325</v>
      </c>
      <c r="C254" s="2" t="s">
        <v>221</v>
      </c>
      <c r="D254" s="3">
        <v>6000000</v>
      </c>
      <c r="E254" s="2">
        <v>27097745</v>
      </c>
      <c r="F254" s="2" t="s">
        <v>222</v>
      </c>
      <c r="G254" t="s">
        <v>290</v>
      </c>
      <c r="H254" t="e">
        <f>VLOOKUP(C254,'[1]A CARGAR'!$A$2:$P$34,1,0)</f>
        <v>#N/A</v>
      </c>
    </row>
    <row r="255" spans="1:8" ht="14.25" hidden="1" customHeight="1" x14ac:dyDescent="0.25">
      <c r="A255" s="1">
        <v>45950</v>
      </c>
      <c r="B255" s="2">
        <v>2025002346</v>
      </c>
      <c r="C255" s="2" t="s">
        <v>278</v>
      </c>
      <c r="D255" s="3">
        <v>6000000</v>
      </c>
      <c r="E255" s="2">
        <v>1085248939</v>
      </c>
      <c r="F255" s="2" t="s">
        <v>279</v>
      </c>
      <c r="G255" t="s">
        <v>290</v>
      </c>
      <c r="H255" t="e">
        <f>VLOOKUP(C255,'[1]A CARGAR'!$A$2:$P$34,1,0)</f>
        <v>#N/A</v>
      </c>
    </row>
    <row r="256" spans="1:8" ht="14.25" hidden="1" customHeight="1" x14ac:dyDescent="0.25">
      <c r="A256" s="1">
        <v>45950</v>
      </c>
      <c r="B256" s="2">
        <v>2025002347</v>
      </c>
      <c r="C256" s="2" t="s">
        <v>209</v>
      </c>
      <c r="D256" s="3">
        <v>6000000</v>
      </c>
      <c r="E256" s="2">
        <v>1004213964</v>
      </c>
      <c r="F256" s="2" t="s">
        <v>210</v>
      </c>
      <c r="G256" t="s">
        <v>290</v>
      </c>
      <c r="H256" t="e">
        <f>VLOOKUP(C256,'[1]A CARGAR'!$A$2:$P$34,1,0)</f>
        <v>#N/A</v>
      </c>
    </row>
    <row r="257" spans="1:9" ht="14.25" hidden="1" customHeight="1" x14ac:dyDescent="0.25">
      <c r="A257" s="1">
        <v>45951</v>
      </c>
      <c r="B257" s="2">
        <v>2025002387</v>
      </c>
      <c r="C257" s="2" t="s">
        <v>282</v>
      </c>
      <c r="D257" s="3">
        <v>3000000</v>
      </c>
      <c r="E257" s="2">
        <v>1086222977</v>
      </c>
      <c r="F257" s="2" t="s">
        <v>283</v>
      </c>
      <c r="G257" t="s">
        <v>290</v>
      </c>
      <c r="H257" t="e">
        <f>VLOOKUP(C257,'[1]A CARGAR'!$A$2:$P$34,1,0)</f>
        <v>#N/A</v>
      </c>
    </row>
    <row r="258" spans="1:9" ht="14.25" hidden="1" customHeight="1" x14ac:dyDescent="0.25">
      <c r="A258" s="1">
        <v>45952</v>
      </c>
      <c r="B258" s="2">
        <v>2025002391</v>
      </c>
      <c r="C258" s="2" t="s">
        <v>245</v>
      </c>
      <c r="D258" s="3">
        <v>3000000</v>
      </c>
      <c r="E258" s="2">
        <v>1086223299</v>
      </c>
      <c r="F258" s="2" t="s">
        <v>246</v>
      </c>
      <c r="G258" t="s">
        <v>290</v>
      </c>
      <c r="H258" t="e">
        <f>VLOOKUP(C258,'[1]A CARGAR'!$A$2:$P$34,1,0)</f>
        <v>#N/A</v>
      </c>
    </row>
    <row r="259" spans="1:9" ht="14.25" hidden="1" customHeight="1" x14ac:dyDescent="0.25">
      <c r="A259" s="1">
        <v>45952</v>
      </c>
      <c r="B259" s="2">
        <v>2025002392</v>
      </c>
      <c r="C259" s="2" t="s">
        <v>199</v>
      </c>
      <c r="D259" s="3">
        <v>3000000</v>
      </c>
      <c r="E259" s="2">
        <v>1085266584</v>
      </c>
      <c r="F259" s="2" t="s">
        <v>200</v>
      </c>
      <c r="G259" t="s">
        <v>290</v>
      </c>
      <c r="H259" t="e">
        <f>VLOOKUP(C259,'[1]A CARGAR'!$A$2:$P$34,1,0)</f>
        <v>#N/A</v>
      </c>
    </row>
    <row r="260" spans="1:9" ht="14.25" hidden="1" customHeight="1" x14ac:dyDescent="0.25">
      <c r="A260" s="1">
        <v>45960</v>
      </c>
      <c r="B260" s="2">
        <v>2025002520</v>
      </c>
      <c r="C260" s="2" t="s">
        <v>288</v>
      </c>
      <c r="D260" s="3">
        <v>3000000</v>
      </c>
      <c r="E260" s="2">
        <v>1086328142</v>
      </c>
      <c r="F260" s="2" t="s">
        <v>289</v>
      </c>
      <c r="G260" t="s">
        <v>290</v>
      </c>
      <c r="H260" t="e">
        <f>VLOOKUP(C260,'[1]A CARGAR'!$A$2:$P$34,1,0)</f>
        <v>#N/A</v>
      </c>
    </row>
    <row r="261" spans="1:9" ht="14.25" hidden="1" customHeight="1" x14ac:dyDescent="0.25">
      <c r="A261" s="1">
        <v>45954</v>
      </c>
      <c r="B261" s="2">
        <v>2025002440</v>
      </c>
      <c r="C261" s="2" t="s">
        <v>286</v>
      </c>
      <c r="D261" s="3">
        <v>7500000</v>
      </c>
      <c r="E261" s="2">
        <v>1089483067</v>
      </c>
      <c r="F261" s="2" t="s">
        <v>287</v>
      </c>
      <c r="G261" t="s">
        <v>290</v>
      </c>
      <c r="H261" t="e">
        <f>VLOOKUP(C261,'[1]A CARGAR'!$A$2:$P$34,1,0)</f>
        <v>#N/A</v>
      </c>
    </row>
    <row r="262" spans="1:9" ht="14.25" hidden="1" customHeight="1" x14ac:dyDescent="0.25">
      <c r="A262" s="1">
        <v>45954</v>
      </c>
      <c r="B262" s="2">
        <v>2025002441</v>
      </c>
      <c r="C262" s="2" t="s">
        <v>286</v>
      </c>
      <c r="D262" s="3">
        <v>7500000</v>
      </c>
      <c r="E262" s="2">
        <v>1089483067</v>
      </c>
      <c r="F262" s="2" t="s">
        <v>287</v>
      </c>
      <c r="G262" t="s">
        <v>290</v>
      </c>
      <c r="H262" t="e">
        <f>VLOOKUP(C262,'[1]A CARGAR'!$A$2:$P$34,1,0)</f>
        <v>#N/A</v>
      </c>
    </row>
    <row r="263" spans="1:9" ht="14.25" hidden="1" customHeight="1" x14ac:dyDescent="0.25">
      <c r="A263" s="1">
        <v>45957</v>
      </c>
      <c r="B263" s="2">
        <v>2025002469</v>
      </c>
      <c r="C263" s="2" t="s">
        <v>213</v>
      </c>
      <c r="D263" s="3">
        <v>2500000</v>
      </c>
      <c r="E263" s="2">
        <v>1088729401</v>
      </c>
      <c r="F263" s="2" t="s">
        <v>214</v>
      </c>
      <c r="G263" t="s">
        <v>290</v>
      </c>
      <c r="H263" t="e">
        <f>VLOOKUP(C263,'[1]A CARGAR'!$A$2:$P$34,1,0)</f>
        <v>#N/A</v>
      </c>
    </row>
    <row r="264" spans="1:9" ht="14.25" hidden="1" customHeight="1" x14ac:dyDescent="0.25">
      <c r="A264" s="1">
        <v>45957</v>
      </c>
      <c r="B264" s="2">
        <v>2025002475</v>
      </c>
      <c r="C264" s="2" t="s">
        <v>256</v>
      </c>
      <c r="D264" s="3">
        <v>3000000</v>
      </c>
      <c r="E264" s="2">
        <v>1082747438</v>
      </c>
      <c r="F264" s="2" t="s">
        <v>257</v>
      </c>
      <c r="G264" t="s">
        <v>290</v>
      </c>
      <c r="H264" t="e">
        <f>VLOOKUP(C264,'[1]A CARGAR'!$A$2:$P$34,1,0)</f>
        <v>#N/A</v>
      </c>
    </row>
    <row r="265" spans="1:9" ht="14.25" customHeight="1" x14ac:dyDescent="0.25">
      <c r="A265" s="1">
        <v>45965</v>
      </c>
      <c r="B265">
        <v>2025002552</v>
      </c>
      <c r="C265" s="2" t="s">
        <v>266</v>
      </c>
      <c r="D265" s="3">
        <v>3000000</v>
      </c>
      <c r="E265" s="2">
        <v>1085325325</v>
      </c>
      <c r="F265" s="2" t="s">
        <v>267</v>
      </c>
      <c r="G265" t="s">
        <v>290</v>
      </c>
      <c r="H265" t="e">
        <f>VLOOKUP(C265,'[1]A CARGAR'!$A$2:$P$34,1,0)</f>
        <v>#N/A</v>
      </c>
      <c r="I265" s="8" t="s">
        <v>291</v>
      </c>
    </row>
    <row r="266" spans="1:9" ht="14.25" customHeight="1" x14ac:dyDescent="0.25">
      <c r="A266" s="1">
        <v>45965</v>
      </c>
      <c r="B266" s="2">
        <v>2025002553</v>
      </c>
      <c r="C266" s="2" t="s">
        <v>262</v>
      </c>
      <c r="D266" s="3">
        <v>3000000</v>
      </c>
      <c r="E266" s="2">
        <v>59833899</v>
      </c>
      <c r="F266" s="2" t="s">
        <v>263</v>
      </c>
      <c r="G266" t="s">
        <v>290</v>
      </c>
      <c r="H266" t="e">
        <f>VLOOKUP(C266,'[1]A CARGAR'!$A$2:$P$34,1,0)</f>
        <v>#N/A</v>
      </c>
      <c r="I266" s="8" t="s">
        <v>291</v>
      </c>
    </row>
    <row r="267" spans="1:9" ht="14.25" hidden="1" customHeight="1" x14ac:dyDescent="0.25">
      <c r="A267" s="1">
        <v>45960</v>
      </c>
      <c r="B267" s="2">
        <v>2025002525</v>
      </c>
      <c r="C267" s="2" t="s">
        <v>258</v>
      </c>
      <c r="D267" s="3">
        <v>3000000</v>
      </c>
      <c r="E267" s="2">
        <v>59813323</v>
      </c>
      <c r="F267" s="2" t="s">
        <v>259</v>
      </c>
      <c r="G267" t="s">
        <v>290</v>
      </c>
      <c r="H267" t="e">
        <f>VLOOKUP(C267,'[1]A CARGAR'!$A$2:$P$34,1,0)</f>
        <v>#N/A</v>
      </c>
    </row>
    <row r="268" spans="1:9" ht="14.25" customHeight="1" x14ac:dyDescent="0.25">
      <c r="A268" s="1">
        <v>45965</v>
      </c>
      <c r="B268" s="2">
        <v>2025002554</v>
      </c>
      <c r="C268" s="2" t="s">
        <v>272</v>
      </c>
      <c r="D268" s="3">
        <v>3000000</v>
      </c>
      <c r="E268" s="2">
        <v>59830040</v>
      </c>
      <c r="F268" s="2" t="s">
        <v>273</v>
      </c>
      <c r="G268" t="s">
        <v>290</v>
      </c>
      <c r="H268" t="e">
        <f>VLOOKUP(C268,'[1]A CARGAR'!$A$2:$P$34,1,0)</f>
        <v>#N/A</v>
      </c>
      <c r="I268" t="s">
        <v>291</v>
      </c>
    </row>
    <row r="269" spans="1:9" ht="14.25" customHeight="1" x14ac:dyDescent="0.25">
      <c r="A269" s="1">
        <v>45966</v>
      </c>
      <c r="B269" s="2">
        <v>2025002569</v>
      </c>
      <c r="C269" s="2" t="s">
        <v>276</v>
      </c>
      <c r="D269" s="3">
        <v>3000000</v>
      </c>
      <c r="E269" s="2">
        <v>59828916</v>
      </c>
      <c r="F269" s="2" t="s">
        <v>277</v>
      </c>
      <c r="G269" t="s">
        <v>290</v>
      </c>
      <c r="H269" t="e">
        <f>VLOOKUP(C269,'[1]A CARGAR'!$A$2:$P$34,1,0)</f>
        <v>#N/A</v>
      </c>
      <c r="I269" t="s">
        <v>291</v>
      </c>
    </row>
    <row r="270" spans="1:9" ht="14.25" hidden="1" customHeight="1" x14ac:dyDescent="0.25">
      <c r="A270" s="1">
        <v>45982</v>
      </c>
      <c r="B270" s="2">
        <v>2025002776</v>
      </c>
      <c r="C270" s="2" t="s">
        <v>251</v>
      </c>
      <c r="D270" s="3">
        <v>3000000</v>
      </c>
      <c r="E270" s="2">
        <v>27091114</v>
      </c>
      <c r="F270" s="2" t="s">
        <v>252</v>
      </c>
      <c r="G270" t="s">
        <v>290</v>
      </c>
      <c r="H270" t="e">
        <f>VLOOKUP(C270,'[1]A CARGAR'!$A$2:$P$34,1,0)</f>
        <v>#N/A</v>
      </c>
    </row>
    <row r="271" spans="1:9" ht="14.25" customHeight="1" x14ac:dyDescent="0.25">
      <c r="A271" s="1">
        <v>45974</v>
      </c>
      <c r="B271" s="2">
        <v>2025002788</v>
      </c>
      <c r="C271" s="2" t="s">
        <v>247</v>
      </c>
      <c r="D271" s="3">
        <v>3000000</v>
      </c>
      <c r="E271" s="2">
        <v>1085344795</v>
      </c>
      <c r="F271" s="2" t="s">
        <v>248</v>
      </c>
      <c r="G271" t="s">
        <v>290</v>
      </c>
      <c r="H271" t="e">
        <f>VLOOKUP(C271,'[1]A CARGAR'!$A$2:$P$34,1,0)</f>
        <v>#N/A</v>
      </c>
      <c r="I271" t="s">
        <v>291</v>
      </c>
    </row>
    <row r="272" spans="1:9" ht="14.25" customHeight="1" x14ac:dyDescent="0.25">
      <c r="A272" s="1">
        <v>45981</v>
      </c>
      <c r="B272">
        <v>2025002796</v>
      </c>
      <c r="C272" s="2" t="s">
        <v>253</v>
      </c>
      <c r="D272" s="3">
        <v>3000000</v>
      </c>
      <c r="E272" s="2">
        <v>1193271854</v>
      </c>
      <c r="F272" s="2" t="s">
        <v>42</v>
      </c>
      <c r="G272" t="s">
        <v>290</v>
      </c>
      <c r="H272" t="e">
        <f>VLOOKUP(C272,'[1]A CARGAR'!$A$2:$P$34,1,0)</f>
        <v>#N/A</v>
      </c>
      <c r="I272" t="s">
        <v>291</v>
      </c>
    </row>
    <row r="273" spans="1:9" ht="14.25" customHeight="1" x14ac:dyDescent="0.25">
      <c r="A273" s="5">
        <v>45982</v>
      </c>
      <c r="B273">
        <v>2025002797</v>
      </c>
      <c r="C273" s="7" t="s">
        <v>329</v>
      </c>
      <c r="D273" s="6">
        <v>3000000</v>
      </c>
      <c r="E273">
        <v>1080690337</v>
      </c>
      <c r="F273" s="7" t="s">
        <v>330</v>
      </c>
      <c r="G273" t="s">
        <v>290</v>
      </c>
      <c r="H273" t="e">
        <f>VLOOKUP(C273,'[1]A CARGAR'!$A$2:$P$34,1,0)</f>
        <v>#N/A</v>
      </c>
      <c r="I273" t="s">
        <v>291</v>
      </c>
    </row>
    <row r="274" spans="1:9" ht="14.25" customHeight="1" x14ac:dyDescent="0.25">
      <c r="A274" s="1">
        <v>45982</v>
      </c>
      <c r="B274" s="2">
        <v>2025002798</v>
      </c>
      <c r="C274" s="2" t="s">
        <v>239</v>
      </c>
      <c r="D274" s="3">
        <v>4825000</v>
      </c>
      <c r="E274" s="2">
        <v>1085311814</v>
      </c>
      <c r="F274" s="2" t="s">
        <v>240</v>
      </c>
      <c r="G274" t="s">
        <v>290</v>
      </c>
      <c r="H274" t="e">
        <f>VLOOKUP(C274,'[1]A CARGAR'!$A$2:$P$34,1,0)</f>
        <v>#N/A</v>
      </c>
      <c r="I274" t="s">
        <v>291</v>
      </c>
    </row>
    <row r="275" spans="1:9" ht="14.25" customHeight="1" x14ac:dyDescent="0.25">
      <c r="A275" s="1">
        <v>45986</v>
      </c>
      <c r="B275" s="2">
        <v>2025002887</v>
      </c>
      <c r="C275" s="2" t="s">
        <v>280</v>
      </c>
      <c r="D275" s="3">
        <v>3000000</v>
      </c>
      <c r="E275" s="2">
        <v>1085310466</v>
      </c>
      <c r="F275" s="2" t="s">
        <v>281</v>
      </c>
      <c r="G275" t="s">
        <v>290</v>
      </c>
      <c r="H275" t="e">
        <f>VLOOKUP(C275,'[1]A CARGAR'!$A$2:$P$34,1,0)</f>
        <v>#N/A</v>
      </c>
      <c r="I275" t="s">
        <v>291</v>
      </c>
    </row>
    <row r="276" spans="1:9" ht="14.25" customHeight="1" x14ac:dyDescent="0.25">
      <c r="A276" s="1">
        <v>45986</v>
      </c>
      <c r="B276" s="2">
        <v>2025002897</v>
      </c>
      <c r="C276" s="2" t="s">
        <v>264</v>
      </c>
      <c r="D276" s="3">
        <v>6000000</v>
      </c>
      <c r="E276" s="2">
        <v>1193223736</v>
      </c>
      <c r="F276" s="2" t="s">
        <v>265</v>
      </c>
      <c r="G276" t="s">
        <v>290</v>
      </c>
      <c r="H276" t="e">
        <f>VLOOKUP(C276,'[1]A CARGAR'!$A$2:$P$34,1,0)</f>
        <v>#N/A</v>
      </c>
      <c r="I276" t="s">
        <v>291</v>
      </c>
    </row>
    <row r="277" spans="1:9" ht="14.25" customHeight="1" x14ac:dyDescent="0.25">
      <c r="A277" s="1">
        <v>45989</v>
      </c>
      <c r="B277" s="2">
        <v>2025002997</v>
      </c>
      <c r="C277" s="2" t="s">
        <v>268</v>
      </c>
      <c r="D277" s="3">
        <v>2500000</v>
      </c>
      <c r="E277" s="2">
        <v>98386323</v>
      </c>
      <c r="F277" s="2" t="s">
        <v>269</v>
      </c>
      <c r="G277" t="s">
        <v>290</v>
      </c>
      <c r="H277" s="2" t="s">
        <v>268</v>
      </c>
      <c r="I277" t="s">
        <v>291</v>
      </c>
    </row>
    <row r="278" spans="1:9" ht="14.25" customHeight="1" x14ac:dyDescent="0.25">
      <c r="A278" s="1">
        <v>45989</v>
      </c>
      <c r="B278" s="2">
        <v>2025003001</v>
      </c>
      <c r="C278" s="2" t="s">
        <v>260</v>
      </c>
      <c r="D278" s="3">
        <v>2500000</v>
      </c>
      <c r="E278" s="2">
        <v>1085327836</v>
      </c>
      <c r="F278" s="2" t="s">
        <v>261</v>
      </c>
      <c r="G278" t="s">
        <v>290</v>
      </c>
      <c r="H278" t="e">
        <f>VLOOKUP(C278,'[1]A CARGAR'!$A$2:$P$34,1,0)</f>
        <v>#N/A</v>
      </c>
      <c r="I278" t="s">
        <v>291</v>
      </c>
    </row>
    <row r="279" spans="1:9" ht="13.9" customHeight="1" x14ac:dyDescent="0.25">
      <c r="A279" s="1">
        <v>46001</v>
      </c>
      <c r="B279" s="2">
        <v>2025003207</v>
      </c>
      <c r="C279" s="2" t="s">
        <v>223</v>
      </c>
      <c r="D279" s="3">
        <v>2500000</v>
      </c>
      <c r="E279" s="2">
        <v>1087408320</v>
      </c>
      <c r="F279" s="2" t="s">
        <v>224</v>
      </c>
      <c r="G279" t="s">
        <v>290</v>
      </c>
      <c r="H279" t="e">
        <f>VLOOKUP(C279,'[1]A CARGAR'!$A$2:$P$34,1,0)</f>
        <v>#N/A</v>
      </c>
      <c r="I279" t="s">
        <v>291</v>
      </c>
    </row>
    <row r="280" spans="1:9" ht="14.25" customHeight="1" x14ac:dyDescent="0.25">
      <c r="A280" s="5">
        <v>46007</v>
      </c>
      <c r="B280">
        <v>2025003724</v>
      </c>
      <c r="C280" s="7" t="s">
        <v>329</v>
      </c>
      <c r="D280" s="6">
        <v>3000000</v>
      </c>
      <c r="E280">
        <v>1080690337</v>
      </c>
      <c r="F280" s="7" t="s">
        <v>330</v>
      </c>
      <c r="G280" t="s">
        <v>290</v>
      </c>
      <c r="H280" t="e">
        <f>VLOOKUP(C280,'[1]A CARGAR'!$A$2:$P$34,1,0)</f>
        <v>#N/A</v>
      </c>
      <c r="I280" t="s">
        <v>291</v>
      </c>
    </row>
    <row r="281" spans="1:9" ht="14.25" customHeight="1" x14ac:dyDescent="0.25">
      <c r="A281" s="1">
        <v>46007</v>
      </c>
      <c r="B281" s="2">
        <v>2025003825</v>
      </c>
      <c r="C281" s="2" t="s">
        <v>282</v>
      </c>
      <c r="D281" s="3">
        <v>3000000</v>
      </c>
      <c r="E281" s="2">
        <v>1086222977</v>
      </c>
      <c r="F281" s="2" t="s">
        <v>283</v>
      </c>
      <c r="G281" t="s">
        <v>290</v>
      </c>
      <c r="H281" t="e">
        <f>VLOOKUP(C281,'[1]A CARGAR'!$A$2:$P$34,1,0)</f>
        <v>#N/A</v>
      </c>
      <c r="I281" t="s">
        <v>291</v>
      </c>
    </row>
    <row r="282" spans="1:9" ht="14.25" hidden="1" customHeight="1" x14ac:dyDescent="0.25">
      <c r="A282" s="5">
        <v>45855</v>
      </c>
      <c r="B282">
        <v>2025001340</v>
      </c>
      <c r="C282" t="s">
        <v>294</v>
      </c>
      <c r="D282" s="6">
        <v>3000000</v>
      </c>
      <c r="E282">
        <v>36950482</v>
      </c>
      <c r="F282" t="s">
        <v>295</v>
      </c>
      <c r="G282" s="7" t="s">
        <v>290</v>
      </c>
      <c r="H282" t="e">
        <f>VLOOKUP(C282,'[1]A CARGAR'!$A$2:$P$34,1,0)</f>
        <v>#N/A</v>
      </c>
      <c r="I282" s="7" t="s">
        <v>291</v>
      </c>
    </row>
    <row r="283" spans="1:9" ht="14.25" hidden="1" customHeight="1" x14ac:dyDescent="0.25">
      <c r="A283" s="5">
        <v>45884</v>
      </c>
      <c r="B283">
        <v>2025001625</v>
      </c>
      <c r="C283" t="s">
        <v>294</v>
      </c>
      <c r="D283" s="6">
        <v>3000000</v>
      </c>
      <c r="E283">
        <v>36950482</v>
      </c>
      <c r="F283" t="s">
        <v>295</v>
      </c>
      <c r="G283" t="s">
        <v>290</v>
      </c>
      <c r="H283" t="e">
        <f>VLOOKUP(C283,'[1]A CARGAR'!$A$2:$P$34,1,0)</f>
        <v>#N/A</v>
      </c>
      <c r="I283" s="7" t="s">
        <v>291</v>
      </c>
    </row>
    <row r="284" spans="1:9" ht="14.25" hidden="1" customHeight="1" x14ac:dyDescent="0.25">
      <c r="A284" s="5">
        <v>45862</v>
      </c>
      <c r="B284">
        <v>2025001443</v>
      </c>
      <c r="C284" t="s">
        <v>296</v>
      </c>
      <c r="D284" s="6">
        <v>3000000</v>
      </c>
      <c r="E284">
        <v>1085272774</v>
      </c>
      <c r="F284" t="s">
        <v>297</v>
      </c>
      <c r="G284" t="s">
        <v>290</v>
      </c>
      <c r="H284" t="e">
        <f>VLOOKUP(C284,'[1]A CARGAR'!$A$2:$P$34,1,0)</f>
        <v>#N/A</v>
      </c>
      <c r="I284" s="7" t="s">
        <v>291</v>
      </c>
    </row>
    <row r="285" spans="1:9" ht="14.25" hidden="1" customHeight="1" x14ac:dyDescent="0.25">
      <c r="A285" s="5">
        <v>45883</v>
      </c>
      <c r="B285">
        <v>2025001599</v>
      </c>
      <c r="C285" t="s">
        <v>296</v>
      </c>
      <c r="D285" s="6">
        <v>3000000</v>
      </c>
      <c r="E285">
        <v>1085272774</v>
      </c>
      <c r="F285" t="s">
        <v>297</v>
      </c>
      <c r="G285" t="s">
        <v>290</v>
      </c>
      <c r="H285" t="e">
        <f>VLOOKUP(C285,'[1]A CARGAR'!$A$2:$P$34,1,0)</f>
        <v>#N/A</v>
      </c>
      <c r="I285" s="7" t="s">
        <v>291</v>
      </c>
    </row>
    <row r="286" spans="1:9" ht="14.25" hidden="1" customHeight="1" x14ac:dyDescent="0.25">
      <c r="A286" s="5">
        <v>45859</v>
      </c>
      <c r="B286">
        <v>2025001369</v>
      </c>
      <c r="C286" t="s">
        <v>298</v>
      </c>
      <c r="D286" s="6">
        <v>3000000</v>
      </c>
      <c r="E286">
        <v>59835389</v>
      </c>
      <c r="F286" t="s">
        <v>299</v>
      </c>
      <c r="G286" s="7" t="s">
        <v>290</v>
      </c>
      <c r="H286" t="e">
        <f>VLOOKUP(C286,'[1]A CARGAR'!$A$2:$P$34,1,0)</f>
        <v>#N/A</v>
      </c>
      <c r="I286" s="7" t="s">
        <v>291</v>
      </c>
    </row>
    <row r="287" spans="1:9" ht="14.25" hidden="1" customHeight="1" x14ac:dyDescent="0.25">
      <c r="A287" s="5">
        <v>45895</v>
      </c>
      <c r="B287">
        <v>2025001727</v>
      </c>
      <c r="C287" t="s">
        <v>298</v>
      </c>
      <c r="D287" s="6">
        <v>3000000</v>
      </c>
      <c r="E287">
        <v>59835389</v>
      </c>
      <c r="F287" t="s">
        <v>299</v>
      </c>
      <c r="G287" t="s">
        <v>290</v>
      </c>
      <c r="H287" t="e">
        <f>VLOOKUP(C287,'[1]A CARGAR'!$A$2:$P$34,1,0)</f>
        <v>#N/A</v>
      </c>
      <c r="I287" s="7" t="s">
        <v>291</v>
      </c>
    </row>
    <row r="288" spans="1:9" ht="14.25" hidden="1" customHeight="1" x14ac:dyDescent="0.25">
      <c r="A288" s="5">
        <v>45853</v>
      </c>
      <c r="B288">
        <v>2025001289</v>
      </c>
      <c r="C288" t="s">
        <v>300</v>
      </c>
      <c r="D288" s="6">
        <v>3000000</v>
      </c>
      <c r="E288">
        <v>1085257949</v>
      </c>
      <c r="F288" t="s">
        <v>301</v>
      </c>
      <c r="G288" t="s">
        <v>290</v>
      </c>
      <c r="H288" t="e">
        <f>VLOOKUP(C288,'[1]A CARGAR'!$A$2:$P$34,1,0)</f>
        <v>#N/A</v>
      </c>
      <c r="I288" s="7" t="s">
        <v>291</v>
      </c>
    </row>
    <row r="289" spans="1:9" ht="14.25" hidden="1" customHeight="1" x14ac:dyDescent="0.25">
      <c r="A289" s="5">
        <v>45895</v>
      </c>
      <c r="B289">
        <v>2025001719</v>
      </c>
      <c r="C289" t="s">
        <v>300</v>
      </c>
      <c r="D289" s="6">
        <v>3000000</v>
      </c>
      <c r="E289">
        <v>1085257949</v>
      </c>
      <c r="F289" t="s">
        <v>301</v>
      </c>
      <c r="G289" t="s">
        <v>290</v>
      </c>
      <c r="H289" t="e">
        <f>VLOOKUP(C289,'[1]A CARGAR'!$A$2:$P$34,1,0)</f>
        <v>#N/A</v>
      </c>
      <c r="I289" s="7" t="s">
        <v>291</v>
      </c>
    </row>
    <row r="290" spans="1:9" ht="14.25" hidden="1" customHeight="1" x14ac:dyDescent="0.25">
      <c r="A290" s="5">
        <v>45853</v>
      </c>
      <c r="B290">
        <v>2025001286</v>
      </c>
      <c r="C290" t="s">
        <v>302</v>
      </c>
      <c r="D290" s="6">
        <v>3000000</v>
      </c>
      <c r="E290">
        <v>5292370</v>
      </c>
      <c r="F290" t="s">
        <v>303</v>
      </c>
      <c r="G290" s="7" t="s">
        <v>290</v>
      </c>
      <c r="H290" t="e">
        <f>VLOOKUP(C290,'[1]A CARGAR'!$A$2:$P$34,1,0)</f>
        <v>#N/A</v>
      </c>
      <c r="I290" s="7" t="s">
        <v>291</v>
      </c>
    </row>
    <row r="291" spans="1:9" ht="14.25" hidden="1" customHeight="1" x14ac:dyDescent="0.25">
      <c r="A291" s="5">
        <v>45908</v>
      </c>
      <c r="B291">
        <v>2025001841</v>
      </c>
      <c r="C291" t="s">
        <v>302</v>
      </c>
      <c r="D291" s="6">
        <v>1900000</v>
      </c>
      <c r="E291">
        <v>5292370</v>
      </c>
      <c r="F291" t="s">
        <v>303</v>
      </c>
      <c r="G291" t="s">
        <v>290</v>
      </c>
      <c r="H291" t="e">
        <f>VLOOKUP(C291,'[1]A CARGAR'!$A$2:$P$34,1,0)</f>
        <v>#N/A</v>
      </c>
      <c r="I291" s="7" t="s">
        <v>291</v>
      </c>
    </row>
    <row r="292" spans="1:9" ht="14.25" hidden="1" customHeight="1" x14ac:dyDescent="0.25">
      <c r="A292" s="5">
        <v>45853</v>
      </c>
      <c r="B292">
        <v>2025001287</v>
      </c>
      <c r="C292" t="s">
        <v>304</v>
      </c>
      <c r="D292" s="6">
        <v>3000000</v>
      </c>
      <c r="E292">
        <v>36754382</v>
      </c>
      <c r="F292" t="s">
        <v>305</v>
      </c>
      <c r="G292" t="s">
        <v>290</v>
      </c>
      <c r="H292" t="e">
        <f>VLOOKUP(C292,'[1]A CARGAR'!$A$2:$P$34,1,0)</f>
        <v>#N/A</v>
      </c>
      <c r="I292" s="7" t="s">
        <v>291</v>
      </c>
    </row>
    <row r="293" spans="1:9" ht="14.25" hidden="1" customHeight="1" x14ac:dyDescent="0.25">
      <c r="A293" s="5">
        <v>45895</v>
      </c>
      <c r="B293">
        <v>2025001718</v>
      </c>
      <c r="C293" t="s">
        <v>304</v>
      </c>
      <c r="D293" s="6">
        <v>3000000</v>
      </c>
      <c r="E293">
        <v>36754382</v>
      </c>
      <c r="F293" t="s">
        <v>305</v>
      </c>
      <c r="G293" t="s">
        <v>290</v>
      </c>
      <c r="H293" t="e">
        <f>VLOOKUP(C293,'[1]A CARGAR'!$A$2:$P$34,1,0)</f>
        <v>#N/A</v>
      </c>
      <c r="I293" s="7" t="s">
        <v>291</v>
      </c>
    </row>
    <row r="294" spans="1:9" ht="14.25" hidden="1" customHeight="1" x14ac:dyDescent="0.25">
      <c r="A294" s="5">
        <v>45853</v>
      </c>
      <c r="B294">
        <v>2025001288</v>
      </c>
      <c r="C294" t="s">
        <v>306</v>
      </c>
      <c r="D294" s="6">
        <v>3000000</v>
      </c>
      <c r="E294">
        <v>1080690249</v>
      </c>
      <c r="F294" t="s">
        <v>307</v>
      </c>
      <c r="G294" s="7" t="s">
        <v>290</v>
      </c>
      <c r="H294" t="e">
        <f>VLOOKUP(C294,'[1]A CARGAR'!$A$2:$P$34,1,0)</f>
        <v>#N/A</v>
      </c>
      <c r="I294" s="7" t="s">
        <v>291</v>
      </c>
    </row>
    <row r="295" spans="1:9" ht="14.25" hidden="1" customHeight="1" x14ac:dyDescent="0.25">
      <c r="A295" s="5">
        <v>45895</v>
      </c>
      <c r="B295">
        <v>2025001717</v>
      </c>
      <c r="C295" t="s">
        <v>306</v>
      </c>
      <c r="D295" s="6">
        <v>3000000</v>
      </c>
      <c r="E295">
        <v>1080690249</v>
      </c>
      <c r="F295" t="s">
        <v>307</v>
      </c>
      <c r="G295" t="s">
        <v>290</v>
      </c>
      <c r="H295" t="e">
        <f>VLOOKUP(C295,'[1]A CARGAR'!$A$2:$P$34,1,0)</f>
        <v>#N/A</v>
      </c>
      <c r="I295" s="7" t="s">
        <v>291</v>
      </c>
    </row>
    <row r="296" spans="1:9" ht="14.25" hidden="1" customHeight="1" x14ac:dyDescent="0.25">
      <c r="A296" s="5">
        <v>45873</v>
      </c>
      <c r="B296">
        <v>2025001503</v>
      </c>
      <c r="C296" t="s">
        <v>308</v>
      </c>
      <c r="D296" s="6">
        <v>3000000</v>
      </c>
      <c r="E296">
        <v>1030606749</v>
      </c>
      <c r="F296" t="s">
        <v>162</v>
      </c>
      <c r="G296" t="s">
        <v>290</v>
      </c>
      <c r="H296" t="e">
        <f>VLOOKUP(C296,'[1]A CARGAR'!$A$2:$P$34,1,0)</f>
        <v>#N/A</v>
      </c>
      <c r="I296" s="7" t="s">
        <v>291</v>
      </c>
    </row>
    <row r="297" spans="1:9" ht="14.25" hidden="1" customHeight="1" x14ac:dyDescent="0.25">
      <c r="A297" s="5">
        <v>45896</v>
      </c>
      <c r="B297">
        <v>2025001736</v>
      </c>
      <c r="C297" t="s">
        <v>308</v>
      </c>
      <c r="D297" s="6">
        <v>3000000</v>
      </c>
      <c r="E297">
        <v>1030606749</v>
      </c>
      <c r="F297" t="s">
        <v>162</v>
      </c>
      <c r="G297" t="s">
        <v>290</v>
      </c>
      <c r="H297" t="e">
        <f>VLOOKUP(C297,'[1]A CARGAR'!$A$2:$P$34,1,0)</f>
        <v>#N/A</v>
      </c>
      <c r="I297" s="7" t="s">
        <v>291</v>
      </c>
    </row>
    <row r="298" spans="1:9" ht="14.25" hidden="1" customHeight="1" x14ac:dyDescent="0.25">
      <c r="A298" s="5">
        <v>45848</v>
      </c>
      <c r="B298">
        <v>2025001225</v>
      </c>
      <c r="C298" t="s">
        <v>309</v>
      </c>
      <c r="D298" s="6">
        <v>3000000</v>
      </c>
      <c r="E298">
        <v>59825382</v>
      </c>
      <c r="F298" t="s">
        <v>310</v>
      </c>
      <c r="G298" s="7" t="s">
        <v>290</v>
      </c>
      <c r="H298" t="e">
        <f>VLOOKUP(C298,'[1]A CARGAR'!$A$2:$P$34,1,0)</f>
        <v>#N/A</v>
      </c>
      <c r="I298" s="7" t="s">
        <v>291</v>
      </c>
    </row>
    <row r="299" spans="1:9" ht="14.25" hidden="1" customHeight="1" x14ac:dyDescent="0.25">
      <c r="A299" s="5">
        <v>45896</v>
      </c>
      <c r="B299">
        <v>2025001743</v>
      </c>
      <c r="C299" t="s">
        <v>309</v>
      </c>
      <c r="D299" s="6">
        <v>3000000</v>
      </c>
      <c r="E299">
        <v>59825382</v>
      </c>
      <c r="F299" t="s">
        <v>310</v>
      </c>
      <c r="G299" t="s">
        <v>290</v>
      </c>
      <c r="H299" t="e">
        <f>VLOOKUP(C299,'[1]A CARGAR'!$A$2:$P$34,1,0)</f>
        <v>#N/A</v>
      </c>
      <c r="I299" s="7" t="s">
        <v>291</v>
      </c>
    </row>
    <row r="300" spans="1:9" ht="14.25" hidden="1" customHeight="1" x14ac:dyDescent="0.25">
      <c r="A300" s="5">
        <v>45854</v>
      </c>
      <c r="B300">
        <v>2025001303</v>
      </c>
      <c r="C300" t="s">
        <v>311</v>
      </c>
      <c r="D300" s="6">
        <v>7500000</v>
      </c>
      <c r="E300">
        <v>1085937671</v>
      </c>
      <c r="F300" t="s">
        <v>312</v>
      </c>
      <c r="G300" t="s">
        <v>290</v>
      </c>
      <c r="H300" t="e">
        <f>VLOOKUP(C300,'[1]A CARGAR'!$A$2:$P$34,1,0)</f>
        <v>#N/A</v>
      </c>
      <c r="I300" s="7" t="s">
        <v>291</v>
      </c>
    </row>
    <row r="301" spans="1:9" ht="14.25" hidden="1" customHeight="1" x14ac:dyDescent="0.25">
      <c r="A301" s="5">
        <v>45896</v>
      </c>
      <c r="B301">
        <v>2025001746</v>
      </c>
      <c r="C301" t="s">
        <v>311</v>
      </c>
      <c r="D301" s="6">
        <v>7500000</v>
      </c>
      <c r="E301">
        <v>1085937671</v>
      </c>
      <c r="F301" t="s">
        <v>312</v>
      </c>
      <c r="G301" t="s">
        <v>290</v>
      </c>
      <c r="H301" t="e">
        <f>VLOOKUP(C301,'[1]A CARGAR'!$A$2:$P$34,1,0)</f>
        <v>#N/A</v>
      </c>
      <c r="I301" s="7" t="s">
        <v>291</v>
      </c>
    </row>
    <row r="302" spans="1:9" ht="14.25" hidden="1" customHeight="1" x14ac:dyDescent="0.25">
      <c r="A302" s="5">
        <v>45873</v>
      </c>
      <c r="B302">
        <v>2025001493</v>
      </c>
      <c r="C302" t="s">
        <v>313</v>
      </c>
      <c r="D302" s="6">
        <v>4825000</v>
      </c>
      <c r="E302">
        <v>59835376</v>
      </c>
      <c r="F302" t="s">
        <v>314</v>
      </c>
      <c r="G302" s="7" t="s">
        <v>290</v>
      </c>
      <c r="H302" t="e">
        <f>VLOOKUP(C302,'[1]A CARGAR'!$A$2:$P$34,1,0)</f>
        <v>#N/A</v>
      </c>
      <c r="I302" s="7" t="s">
        <v>291</v>
      </c>
    </row>
    <row r="303" spans="1:9" ht="14.25" hidden="1" customHeight="1" x14ac:dyDescent="0.25">
      <c r="A303" s="5">
        <v>45896</v>
      </c>
      <c r="B303">
        <v>2025001744</v>
      </c>
      <c r="C303" t="s">
        <v>313</v>
      </c>
      <c r="D303" s="6">
        <v>4825000</v>
      </c>
      <c r="E303">
        <v>59835376</v>
      </c>
      <c r="F303" t="s">
        <v>314</v>
      </c>
      <c r="G303" t="s">
        <v>290</v>
      </c>
      <c r="H303" t="e">
        <f>VLOOKUP(C303,'[1]A CARGAR'!$A$2:$P$34,1,0)</f>
        <v>#N/A</v>
      </c>
      <c r="I303" s="7" t="s">
        <v>291</v>
      </c>
    </row>
    <row r="304" spans="1:9" ht="14.25" hidden="1" customHeight="1" x14ac:dyDescent="0.25">
      <c r="A304" s="5">
        <v>45854</v>
      </c>
      <c r="B304">
        <v>2025001337</v>
      </c>
      <c r="C304" t="s">
        <v>315</v>
      </c>
      <c r="D304" s="6">
        <v>3000000</v>
      </c>
      <c r="E304">
        <v>1085267505</v>
      </c>
      <c r="F304" t="s">
        <v>316</v>
      </c>
      <c r="G304" t="s">
        <v>290</v>
      </c>
      <c r="H304" t="e">
        <f>VLOOKUP(C304,'[1]A CARGAR'!$A$2:$P$34,1,0)</f>
        <v>#N/A</v>
      </c>
      <c r="I304" s="7" t="s">
        <v>291</v>
      </c>
    </row>
    <row r="305" spans="1:10" ht="14.25" hidden="1" customHeight="1" x14ac:dyDescent="0.25">
      <c r="A305" s="5">
        <v>45883</v>
      </c>
      <c r="B305">
        <v>2025001606</v>
      </c>
      <c r="C305" t="s">
        <v>315</v>
      </c>
      <c r="D305" s="6">
        <v>3000000</v>
      </c>
      <c r="E305">
        <v>1085267505</v>
      </c>
      <c r="F305" t="s">
        <v>316</v>
      </c>
      <c r="G305" t="s">
        <v>290</v>
      </c>
      <c r="H305" t="e">
        <f>VLOOKUP(C305,'[1]A CARGAR'!$A$2:$P$34,1,0)</f>
        <v>#N/A</v>
      </c>
      <c r="I305" s="7" t="s">
        <v>291</v>
      </c>
    </row>
    <row r="306" spans="1:10" ht="14.25" hidden="1" customHeight="1" x14ac:dyDescent="0.25">
      <c r="A306" s="5">
        <v>45855</v>
      </c>
      <c r="B306">
        <v>2025001339</v>
      </c>
      <c r="C306" t="s">
        <v>317</v>
      </c>
      <c r="D306" s="6">
        <v>7500000</v>
      </c>
      <c r="E306">
        <v>1085300619</v>
      </c>
      <c r="F306" t="s">
        <v>318</v>
      </c>
      <c r="G306" s="7" t="s">
        <v>290</v>
      </c>
      <c r="H306" t="e">
        <f>VLOOKUP(C306,'[1]A CARGAR'!$A$2:$P$34,1,0)</f>
        <v>#N/A</v>
      </c>
      <c r="I306" s="7" t="s">
        <v>291</v>
      </c>
    </row>
    <row r="307" spans="1:10" ht="14.25" hidden="1" customHeight="1" x14ac:dyDescent="0.25">
      <c r="A307" s="5">
        <v>45884</v>
      </c>
      <c r="B307">
        <v>2025001624</v>
      </c>
      <c r="C307" t="s">
        <v>317</v>
      </c>
      <c r="D307" s="6">
        <v>7500000</v>
      </c>
      <c r="E307">
        <v>1085300619</v>
      </c>
      <c r="F307" t="s">
        <v>318</v>
      </c>
      <c r="G307" t="s">
        <v>290</v>
      </c>
      <c r="H307" t="e">
        <f>VLOOKUP(C307,'[1]A CARGAR'!$A$2:$P$34,1,0)</f>
        <v>#N/A</v>
      </c>
      <c r="I307" s="7" t="s">
        <v>291</v>
      </c>
    </row>
    <row r="308" spans="1:10" ht="14.25" hidden="1" customHeight="1" x14ac:dyDescent="0.25">
      <c r="A308" s="5">
        <v>45853</v>
      </c>
      <c r="B308">
        <v>2025001290</v>
      </c>
      <c r="C308" t="s">
        <v>319</v>
      </c>
      <c r="D308" s="6">
        <v>4750000</v>
      </c>
      <c r="E308">
        <v>1087414586</v>
      </c>
      <c r="F308" t="s">
        <v>320</v>
      </c>
      <c r="G308" t="s">
        <v>290</v>
      </c>
      <c r="H308" t="e">
        <f>VLOOKUP(C308,'[1]A CARGAR'!$A$2:$P$34,1,0)</f>
        <v>#N/A</v>
      </c>
      <c r="I308" s="7" t="s">
        <v>291</v>
      </c>
    </row>
    <row r="309" spans="1:10" ht="14.25" hidden="1" customHeight="1" x14ac:dyDescent="0.25">
      <c r="A309" s="5">
        <v>45908</v>
      </c>
      <c r="B309">
        <v>2025001842</v>
      </c>
      <c r="C309" t="s">
        <v>319</v>
      </c>
      <c r="D309" s="6">
        <v>4750000</v>
      </c>
      <c r="E309">
        <v>1087414586</v>
      </c>
      <c r="F309" t="s">
        <v>320</v>
      </c>
      <c r="G309" t="s">
        <v>290</v>
      </c>
      <c r="H309" t="e">
        <f>VLOOKUP(C309,'[1]A CARGAR'!$A$2:$P$34,1,0)</f>
        <v>#N/A</v>
      </c>
      <c r="I309" s="7" t="s">
        <v>291</v>
      </c>
    </row>
    <row r="310" spans="1:10" ht="14.25" hidden="1" customHeight="1" x14ac:dyDescent="0.25">
      <c r="A310" s="5">
        <v>45859</v>
      </c>
      <c r="B310">
        <v>2025001372</v>
      </c>
      <c r="C310" t="s">
        <v>321</v>
      </c>
      <c r="D310" s="6">
        <v>4750000</v>
      </c>
      <c r="E310">
        <v>1085313870</v>
      </c>
      <c r="F310" t="s">
        <v>322</v>
      </c>
      <c r="G310" s="7" t="s">
        <v>290</v>
      </c>
      <c r="H310" t="e">
        <f>VLOOKUP(C310,'[1]A CARGAR'!$A$2:$P$34,1,0)</f>
        <v>#N/A</v>
      </c>
      <c r="I310" s="7" t="s">
        <v>291</v>
      </c>
    </row>
    <row r="311" spans="1:10" ht="14.25" hidden="1" customHeight="1" x14ac:dyDescent="0.25">
      <c r="A311" s="5">
        <v>45911</v>
      </c>
      <c r="B311">
        <v>2025001891</v>
      </c>
      <c r="C311" t="s">
        <v>321</v>
      </c>
      <c r="D311" s="6">
        <v>4750000</v>
      </c>
      <c r="E311">
        <v>1085313870</v>
      </c>
      <c r="F311" t="s">
        <v>322</v>
      </c>
      <c r="G311" t="s">
        <v>290</v>
      </c>
      <c r="H311" t="e">
        <f>VLOOKUP(C311,'[1]A CARGAR'!$A$2:$P$34,1,0)</f>
        <v>#N/A</v>
      </c>
      <c r="I311" s="7" t="s">
        <v>291</v>
      </c>
    </row>
    <row r="312" spans="1:10" ht="14.25" hidden="1" customHeight="1" x14ac:dyDescent="0.25">
      <c r="A312" s="5">
        <v>45847</v>
      </c>
      <c r="B312">
        <v>2025001223</v>
      </c>
      <c r="C312" t="s">
        <v>323</v>
      </c>
      <c r="D312" s="6">
        <v>7500000</v>
      </c>
      <c r="E312">
        <v>1085344794</v>
      </c>
      <c r="F312" t="s">
        <v>324</v>
      </c>
      <c r="G312" t="s">
        <v>290</v>
      </c>
      <c r="H312" t="e">
        <f>VLOOKUP(C312,'[1]A CARGAR'!$A$2:$P$34,1,0)</f>
        <v>#N/A</v>
      </c>
      <c r="I312" s="7" t="s">
        <v>291</v>
      </c>
    </row>
    <row r="313" spans="1:10" ht="14.25" hidden="1" customHeight="1" x14ac:dyDescent="0.25">
      <c r="A313" s="5">
        <v>45895</v>
      </c>
      <c r="B313">
        <v>2025001732</v>
      </c>
      <c r="C313" t="s">
        <v>323</v>
      </c>
      <c r="D313" s="6">
        <v>7500000</v>
      </c>
      <c r="E313">
        <v>1085344794</v>
      </c>
      <c r="F313" t="s">
        <v>324</v>
      </c>
      <c r="G313" t="s">
        <v>290</v>
      </c>
      <c r="H313" t="e">
        <f>VLOOKUP(C313,'[1]A CARGAR'!$A$2:$P$34,1,0)</f>
        <v>#N/A</v>
      </c>
      <c r="I313" s="7" t="s">
        <v>291</v>
      </c>
    </row>
    <row r="314" spans="1:10" ht="13.9" customHeight="1" x14ac:dyDescent="0.25">
      <c r="A314" s="1">
        <v>46007</v>
      </c>
      <c r="B314" s="2">
        <v>2025003830</v>
      </c>
      <c r="C314" s="2" t="s">
        <v>288</v>
      </c>
      <c r="D314" s="3">
        <v>3000000</v>
      </c>
      <c r="E314" s="2">
        <v>1086328142</v>
      </c>
      <c r="F314" s="2" t="s">
        <v>289</v>
      </c>
      <c r="G314" t="s">
        <v>290</v>
      </c>
      <c r="H314" t="e">
        <f>VLOOKUP(C314,'[1]A CARGAR'!$A$2:$P$34,1,0)</f>
        <v>#N/A</v>
      </c>
      <c r="I314" s="7" t="s">
        <v>291</v>
      </c>
    </row>
    <row r="315" spans="1:10" ht="14.25" customHeight="1" x14ac:dyDescent="0.25">
      <c r="A315" s="5">
        <v>46007</v>
      </c>
      <c r="B315">
        <v>2025003838</v>
      </c>
      <c r="C315" t="s">
        <v>325</v>
      </c>
      <c r="D315" s="6">
        <v>4825000</v>
      </c>
      <c r="E315">
        <v>36751052</v>
      </c>
      <c r="F315" t="s">
        <v>326</v>
      </c>
      <c r="G315" t="s">
        <v>290</v>
      </c>
      <c r="H315" t="e">
        <f>VLOOKUP(C315,'[1]A CARGAR'!$A$2:$P$34,1,0)</f>
        <v>#N/A</v>
      </c>
      <c r="I315" s="7" t="s">
        <v>291</v>
      </c>
    </row>
    <row r="316" spans="1:10" ht="14.25" customHeight="1" x14ac:dyDescent="0.25">
      <c r="A316" s="5">
        <v>46007</v>
      </c>
      <c r="B316">
        <v>2025003850</v>
      </c>
      <c r="C316" t="s">
        <v>327</v>
      </c>
      <c r="D316" s="6">
        <v>3000000</v>
      </c>
      <c r="E316">
        <v>1080690337</v>
      </c>
      <c r="F316" t="s">
        <v>328</v>
      </c>
      <c r="G316" t="s">
        <v>290</v>
      </c>
      <c r="H316" t="e">
        <f>VLOOKUP(C316,'[1]A CARGAR'!$A$2:$P$34,1,0)</f>
        <v>#N/A</v>
      </c>
      <c r="I316" s="7" t="s">
        <v>291</v>
      </c>
    </row>
    <row r="317" spans="1:10" ht="14.25" customHeight="1" x14ac:dyDescent="0.25">
      <c r="A317" s="1">
        <v>46007</v>
      </c>
      <c r="B317">
        <v>2025003871</v>
      </c>
      <c r="C317" t="s">
        <v>335</v>
      </c>
      <c r="D317" s="6">
        <v>6000000</v>
      </c>
      <c r="E317">
        <v>27436186</v>
      </c>
      <c r="F317" t="s">
        <v>338</v>
      </c>
      <c r="G317" t="s">
        <v>290</v>
      </c>
      <c r="H317" t="e">
        <f>VLOOKUP(C317,'[1]A CARGAR'!$A$2:$P$34,1,0)</f>
        <v>#N/A</v>
      </c>
      <c r="I317" s="8" t="s">
        <v>291</v>
      </c>
      <c r="J317" s="8"/>
    </row>
    <row r="318" spans="1:10" ht="14.25" customHeight="1" x14ac:dyDescent="0.25">
      <c r="A318" s="5">
        <v>46007</v>
      </c>
      <c r="B318">
        <v>2025003860</v>
      </c>
      <c r="C318" t="s">
        <v>336</v>
      </c>
      <c r="D318" s="6">
        <v>12000000</v>
      </c>
      <c r="E318">
        <v>1085254626</v>
      </c>
      <c r="F318" t="s">
        <v>339</v>
      </c>
      <c r="G318" t="s">
        <v>290</v>
      </c>
      <c r="H318" t="e">
        <f>VLOOKUP(C318,'[1]A CARGAR'!$A$2:$P$34,1,0)</f>
        <v>#N/A</v>
      </c>
      <c r="I318" s="8" t="s">
        <v>291</v>
      </c>
    </row>
    <row r="319" spans="1:10" ht="14.25" customHeight="1" x14ac:dyDescent="0.25">
      <c r="A319" s="5">
        <v>46007</v>
      </c>
      <c r="B319">
        <v>2025003869</v>
      </c>
      <c r="C319" s="8" t="s">
        <v>337</v>
      </c>
      <c r="D319" s="6">
        <v>2500000</v>
      </c>
      <c r="E319">
        <v>1075242334</v>
      </c>
      <c r="F319" t="s">
        <v>340</v>
      </c>
      <c r="G319" t="s">
        <v>290</v>
      </c>
      <c r="H319" t="e">
        <f>VLOOKUP(C319,'[1]A CARGAR'!$A$2:$P$34,1,0)</f>
        <v>#N/A</v>
      </c>
      <c r="I319" s="8" t="s">
        <v>291</v>
      </c>
    </row>
    <row r="320" spans="1:10" ht="14.25" customHeight="1" x14ac:dyDescent="0.25">
      <c r="A320" s="5">
        <v>46007</v>
      </c>
      <c r="B320">
        <v>2025003861</v>
      </c>
      <c r="C320" s="8" t="s">
        <v>333</v>
      </c>
      <c r="D320" s="6">
        <v>9500000</v>
      </c>
      <c r="E320">
        <v>98398650</v>
      </c>
      <c r="F320" t="s">
        <v>334</v>
      </c>
      <c r="G320" t="s">
        <v>290</v>
      </c>
      <c r="H320" t="e">
        <f>VLOOKUP(C320,'[1]A CARGAR'!$A$2:$P$34,1,0)</f>
        <v>#N/A</v>
      </c>
      <c r="I320" s="8" t="s">
        <v>291</v>
      </c>
    </row>
    <row r="321" spans="1:9" ht="13.9" customHeight="1" x14ac:dyDescent="0.25">
      <c r="A321" s="5">
        <v>46007</v>
      </c>
      <c r="B321">
        <v>2025003855</v>
      </c>
      <c r="C321" s="8" t="s">
        <v>331</v>
      </c>
      <c r="D321" s="6">
        <v>9500000</v>
      </c>
      <c r="E321">
        <v>1086332188</v>
      </c>
      <c r="F321" s="8" t="s">
        <v>332</v>
      </c>
      <c r="G321" t="s">
        <v>290</v>
      </c>
      <c r="H321" t="e">
        <f>VLOOKUP(C321,'[1]A CARGAR'!$A$2:$P$34,1,0)</f>
        <v>#N/A</v>
      </c>
      <c r="I321" s="7" t="s">
        <v>291</v>
      </c>
    </row>
    <row r="322" spans="1:9" ht="14.25" customHeight="1" x14ac:dyDescent="0.25"/>
    <row r="323" spans="1:9" ht="14.25" customHeight="1" x14ac:dyDescent="0.25"/>
    <row r="324" spans="1:9" ht="14.25" customHeight="1" x14ac:dyDescent="0.25"/>
    <row r="325" spans="1:9" ht="14.25" customHeight="1" x14ac:dyDescent="0.25"/>
    <row r="326" spans="1:9" ht="14.25" customHeight="1" x14ac:dyDescent="0.25"/>
    <row r="327" spans="1:9" ht="14.25" customHeight="1" x14ac:dyDescent="0.25"/>
    <row r="328" spans="1:9" ht="14.25" customHeight="1" x14ac:dyDescent="0.25"/>
    <row r="329" spans="1:9" ht="14.25" customHeight="1" x14ac:dyDescent="0.25"/>
    <row r="330" spans="1:9" ht="14.25" customHeight="1" x14ac:dyDescent="0.25"/>
    <row r="331" spans="1:9" ht="14.25" customHeight="1" x14ac:dyDescent="0.25"/>
    <row r="332" spans="1:9" ht="14.25" customHeight="1" x14ac:dyDescent="0.25"/>
    <row r="333" spans="1:9" ht="14.25" customHeight="1" x14ac:dyDescent="0.25"/>
    <row r="334" spans="1:9" ht="14.25" customHeight="1" x14ac:dyDescent="0.25"/>
    <row r="335" spans="1:9" ht="14.25" customHeight="1" x14ac:dyDescent="0.25"/>
    <row r="336" spans="1:9"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sheetData>
  <autoFilter ref="A1:J321" xr:uid="{00000000-0001-0000-0000-000000000000}">
    <filterColumn colId="7">
      <filters>
        <filter val="449-2025"/>
        <filter val="456-2025"/>
        <filter val="470-2025"/>
        <filter val="486-2025"/>
        <filter val="501-2025"/>
        <filter val="511-2025"/>
        <filter val="530-2025"/>
        <filter val="546-2025"/>
        <filter val="555-2025"/>
        <filter val="556-2025"/>
        <filter val="566-2025"/>
        <filter val="567-2025"/>
        <filter val="569-2025"/>
        <filter val="588-2025"/>
        <filter val="611-2025"/>
        <filter val="635-2025"/>
        <filter val="636-2025"/>
        <filter val="661-2025"/>
        <filter val="674-2025"/>
        <filter val="678-2025"/>
        <filter val="679-2025"/>
        <filter val="680-2025"/>
        <filter val="682-2025"/>
        <filter val="683-2025"/>
        <filter val="685-2025"/>
        <filter val="688-2025"/>
        <filter val="689-2025"/>
        <filter val="691-2025"/>
      </filters>
    </filterColumn>
    <filterColumn colId="8">
      <customFilters>
        <customFilter operator="notEqual" val=" "/>
      </customFilters>
    </filterColumn>
  </autoFilter>
  <phoneticPr fontId="5"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CARGAR</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2025-12-15T22:51:39Z</dcterms:created>
  <dcterms:modified xsi:type="dcterms:W3CDTF">2025-12-16T21:51:25Z</dcterms:modified>
</cp:coreProperties>
</file>