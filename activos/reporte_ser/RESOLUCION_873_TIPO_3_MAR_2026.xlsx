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F:\APS AUTOMATIZACIONES\aps\activos\reporte_ser\"/>
    </mc:Choice>
  </mc:AlternateContent>
  <xr:revisionPtr revIDLastSave="0" documentId="8_{9FBF7001-98E6-4C70-931B-AC9A17D1031C}" xr6:coauthVersionLast="47" xr6:coauthVersionMax="47" xr10:uidLastSave="{00000000-0000-0000-0000-000000000000}"/>
  <bookViews>
    <workbookView xWindow="-120" yWindow="-120" windowWidth="29040" windowHeight="15720" tabRatio="597" xr2:uid="{00000000-000D-0000-FFFF-FFFF00000000}"/>
  </bookViews>
  <sheets>
    <sheet name="ACTUALIZADO 2026 MAR C" sheetId="10" r:id="rId1"/>
    <sheet name="CARGADO" sheetId="9" r:id="rId2"/>
    <sheet name="ACTUALIZADO 2026 MAR" sheetId="6" r:id="rId3"/>
    <sheet name="ACTUALIZADO 2026 MAR ADICION PA" sheetId="8" r:id="rId4"/>
    <sheet name="ACTUALIZADO 2026 FEB" sheetId="4" r:id="rId5"/>
    <sheet name="Hoja1" sheetId="5" r:id="rId6"/>
    <sheet name="Hoja3" sheetId="7" r:id="rId7"/>
    <sheet name="ACTUALIZADO 2026" sheetId="3" r:id="rId8"/>
    <sheet name="A CARGAR" sheetId="2" r:id="rId9"/>
  </sheets>
  <definedNames>
    <definedName name="_xlnm._FilterDatabase" localSheetId="8" hidden="1">'A CARGAR'!$A$1:$O$338</definedName>
    <definedName name="_xlnm._FilterDatabase" localSheetId="7" hidden="1">'ACTUALIZADO 2026'!$A$1:$P$338</definedName>
    <definedName name="_xlnm._FilterDatabase" localSheetId="4" hidden="1">'ACTUALIZADO 2026 FEB'!$A$1:$Q$338</definedName>
    <definedName name="_xlnm._FilterDatabase" localSheetId="2" hidden="1">'ACTUALIZADO 2026 MAR'!$A$1:$S$727</definedName>
    <definedName name="_xlnm._FilterDatabase" localSheetId="3" hidden="1">'ACTUALIZADO 2026 MAR ADICION PA'!$A$1:$U$723</definedName>
    <definedName name="_xlnm._FilterDatabase" localSheetId="0" hidden="1">'ACTUALIZADO 2026 MAR C'!$A$1:$P$712</definedName>
    <definedName name="_xlnm._FilterDatabase" localSheetId="1" hidden="1">CARGADO!$A$1:$U$718</definedName>
    <definedName name="_xlnm._FilterDatabase" localSheetId="5" hidden="1">Hoja1!$B$1:$M$381</definedName>
    <definedName name="_xlnm._FilterDatabase" localSheetId="6" hidden="1">Hoja3!$A$9:$D$63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0" l="1"/>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N660" i="10"/>
  <c r="N661" i="10"/>
  <c r="N662" i="10"/>
  <c r="N663" i="10"/>
  <c r="N664" i="10"/>
  <c r="N665" i="10"/>
  <c r="N666" i="10"/>
  <c r="N667" i="10"/>
  <c r="N668" i="10"/>
  <c r="N669" i="10"/>
  <c r="N670" i="10"/>
  <c r="N671" i="10"/>
  <c r="N672" i="10"/>
  <c r="N673" i="10"/>
  <c r="N674" i="10"/>
  <c r="N675" i="10"/>
  <c r="N676" i="10"/>
  <c r="N677" i="10"/>
  <c r="N678" i="10"/>
  <c r="N679" i="10"/>
  <c r="N680" i="10"/>
  <c r="N681" i="10"/>
  <c r="N682" i="10"/>
  <c r="N683" i="10"/>
  <c r="N684" i="10"/>
  <c r="N685" i="10"/>
  <c r="N686" i="10"/>
  <c r="N687" i="10"/>
  <c r="N688" i="10"/>
  <c r="N689" i="10"/>
  <c r="N690" i="10"/>
  <c r="N691" i="10"/>
  <c r="N692" i="10"/>
  <c r="N693" i="10"/>
  <c r="N694" i="10"/>
  <c r="N695" i="10"/>
  <c r="N696" i="10"/>
  <c r="N697" i="10"/>
  <c r="N698" i="10"/>
  <c r="N699" i="10"/>
  <c r="N700" i="10"/>
  <c r="N701" i="10"/>
  <c r="N702" i="10"/>
  <c r="N703" i="10"/>
  <c r="N704" i="10"/>
  <c r="N705" i="10"/>
  <c r="N706" i="10"/>
  <c r="N707" i="10"/>
  <c r="N708" i="10"/>
  <c r="N709" i="10"/>
  <c r="N710" i="10"/>
  <c r="N711" i="10"/>
  <c r="N712" i="10"/>
  <c r="N2" i="10"/>
  <c r="L719" i="8"/>
  <c r="L720" i="8"/>
  <c r="L721" i="8"/>
  <c r="L722" i="8"/>
  <c r="L723" i="8"/>
  <c r="W730" i="8" l="1"/>
  <c r="L337" i="8"/>
  <c r="Q337" i="8" s="1"/>
  <c r="L352" i="8"/>
  <c r="Q352" i="8" s="1"/>
  <c r="L372" i="8"/>
  <c r="Q372" i="8" s="1"/>
  <c r="L380" i="8"/>
  <c r="Q380" i="8" s="1"/>
  <c r="L384" i="8"/>
  <c r="Q384" i="8" s="1"/>
  <c r="L389" i="8"/>
  <c r="Q389" i="8" s="1"/>
  <c r="L390" i="8"/>
  <c r="Q390" i="8" s="1"/>
  <c r="L392" i="8"/>
  <c r="Q392" i="8" s="1"/>
  <c r="L393" i="8"/>
  <c r="Q393" i="8" s="1"/>
  <c r="L394" i="8"/>
  <c r="Q394" i="8" s="1"/>
  <c r="L397" i="8"/>
  <c r="Q397" i="8" s="1"/>
  <c r="L398" i="8"/>
  <c r="Q398" i="8" s="1"/>
  <c r="L400" i="8"/>
  <c r="Q400" i="8" s="1"/>
  <c r="L401" i="8"/>
  <c r="Q401" i="8" s="1"/>
  <c r="L403" i="8"/>
  <c r="Q403" i="8" s="1"/>
  <c r="L404" i="8"/>
  <c r="Q404" i="8" s="1"/>
  <c r="L405" i="8"/>
  <c r="Q405" i="8" s="1"/>
  <c r="L408" i="8"/>
  <c r="Q408" i="8" s="1"/>
  <c r="L409" i="8"/>
  <c r="Q409" i="8" s="1"/>
  <c r="L410" i="8"/>
  <c r="Q410" i="8" s="1"/>
  <c r="L414" i="8"/>
  <c r="Q414" i="8" s="1"/>
  <c r="L415" i="8"/>
  <c r="Q415" i="8" s="1"/>
  <c r="L417" i="8"/>
  <c r="Q417" i="8" s="1"/>
  <c r="L420" i="8"/>
  <c r="Q420" i="8" s="1"/>
  <c r="L421" i="8"/>
  <c r="Q421" i="8" s="1"/>
  <c r="L422" i="8"/>
  <c r="Q422" i="8" s="1"/>
  <c r="L423" i="8"/>
  <c r="Q423" i="8" s="1"/>
  <c r="L424" i="8"/>
  <c r="Q424" i="8" s="1"/>
  <c r="L426" i="8"/>
  <c r="Q426" i="8" s="1"/>
  <c r="L427" i="8"/>
  <c r="Q427" i="8" s="1"/>
  <c r="L429" i="8"/>
  <c r="Q429" i="8" s="1"/>
  <c r="L431" i="8"/>
  <c r="Q431" i="8" s="1"/>
  <c r="L432" i="8"/>
  <c r="Q432" i="8" s="1"/>
  <c r="L433" i="8"/>
  <c r="Q433" i="8" s="1"/>
  <c r="L434" i="8"/>
  <c r="Q434" i="8" s="1"/>
  <c r="L435" i="8"/>
  <c r="Q435" i="8" s="1"/>
  <c r="L436" i="8"/>
  <c r="Q436" i="8" s="1"/>
  <c r="L437" i="8"/>
  <c r="Q437" i="8" s="1"/>
  <c r="L438" i="8"/>
  <c r="Q438" i="8" s="1"/>
  <c r="L439" i="8"/>
  <c r="Q439" i="8" s="1"/>
  <c r="L440" i="8"/>
  <c r="Q440" i="8" s="1"/>
  <c r="L441" i="8"/>
  <c r="Q441" i="8" s="1"/>
  <c r="L442" i="8"/>
  <c r="Q442" i="8" s="1"/>
  <c r="L443" i="8"/>
  <c r="Q443" i="8" s="1"/>
  <c r="L444" i="8"/>
  <c r="Q444" i="8" s="1"/>
  <c r="L445" i="8"/>
  <c r="Q445" i="8" s="1"/>
  <c r="L448" i="8"/>
  <c r="Q448" i="8" s="1"/>
  <c r="L449" i="8"/>
  <c r="Q449" i="8" s="1"/>
  <c r="L450" i="8"/>
  <c r="Q450" i="8" s="1"/>
  <c r="L451" i="8"/>
  <c r="Q451" i="8" s="1"/>
  <c r="L452" i="8"/>
  <c r="Q452" i="8" s="1"/>
  <c r="L454" i="8"/>
  <c r="Q454" i="8" s="1"/>
  <c r="L456" i="8"/>
  <c r="Q456" i="8" s="1"/>
  <c r="L457" i="8"/>
  <c r="Q457" i="8" s="1"/>
  <c r="L459" i="8"/>
  <c r="Q459" i="8" s="1"/>
  <c r="L460" i="8"/>
  <c r="Q460" i="8" s="1"/>
  <c r="L461" i="8"/>
  <c r="Q461" i="8" s="1"/>
  <c r="L462" i="8"/>
  <c r="Q462" i="8" s="1"/>
  <c r="L463" i="8"/>
  <c r="Q463" i="8" s="1"/>
  <c r="L464" i="8"/>
  <c r="Q464" i="8" s="1"/>
  <c r="L465" i="8"/>
  <c r="Q465" i="8" s="1"/>
  <c r="L466" i="8"/>
  <c r="Q466" i="8" s="1"/>
  <c r="L467" i="8"/>
  <c r="Q467" i="8" s="1"/>
  <c r="L468" i="8"/>
  <c r="Q468" i="8" s="1"/>
  <c r="L469" i="8"/>
  <c r="Q469" i="8" s="1"/>
  <c r="L470" i="8"/>
  <c r="Q470" i="8" s="1"/>
  <c r="L471" i="8"/>
  <c r="Q471" i="8" s="1"/>
  <c r="L472" i="8"/>
  <c r="Q472" i="8" s="1"/>
  <c r="L473" i="8"/>
  <c r="Q473" i="8" s="1"/>
  <c r="L474" i="8"/>
  <c r="Q474" i="8" s="1"/>
  <c r="L475" i="8"/>
  <c r="Q475" i="8" s="1"/>
  <c r="L476" i="8"/>
  <c r="Q476" i="8" s="1"/>
  <c r="L477" i="8"/>
  <c r="Q477" i="8" s="1"/>
  <c r="L478" i="8"/>
  <c r="Q478" i="8" s="1"/>
  <c r="L480" i="8"/>
  <c r="Q480" i="8" s="1"/>
  <c r="L481" i="8"/>
  <c r="Q481" i="8" s="1"/>
  <c r="L482" i="8"/>
  <c r="Q482" i="8" s="1"/>
  <c r="L485" i="8"/>
  <c r="Q485" i="8" s="1"/>
  <c r="L487" i="8"/>
  <c r="Q487" i="8" s="1"/>
  <c r="L489" i="8"/>
  <c r="Q489" i="8" s="1"/>
  <c r="L490" i="8"/>
  <c r="Q490" i="8" s="1"/>
  <c r="L491" i="8"/>
  <c r="Q491" i="8" s="1"/>
  <c r="L493" i="8"/>
  <c r="Q493" i="8" s="1"/>
  <c r="L494" i="8"/>
  <c r="Q494" i="8" s="1"/>
  <c r="L495" i="8"/>
  <c r="Q495" i="8" s="1"/>
  <c r="L496" i="8"/>
  <c r="Q496" i="8" s="1"/>
  <c r="L498" i="8"/>
  <c r="Q498" i="8" s="1"/>
  <c r="L499" i="8"/>
  <c r="Q499" i="8" s="1"/>
  <c r="L500" i="8"/>
  <c r="Q500" i="8" s="1"/>
  <c r="L501" i="8"/>
  <c r="Q501" i="8" s="1"/>
  <c r="L503" i="8"/>
  <c r="Q503" i="8" s="1"/>
  <c r="L504" i="8"/>
  <c r="Q504" i="8" s="1"/>
  <c r="L505" i="8"/>
  <c r="Q505" i="8" s="1"/>
  <c r="L506" i="8"/>
  <c r="Q506" i="8" s="1"/>
  <c r="L508" i="8"/>
  <c r="Q508" i="8" s="1"/>
  <c r="L509" i="8"/>
  <c r="Q509" i="8" s="1"/>
  <c r="L510" i="8"/>
  <c r="Q510" i="8" s="1"/>
  <c r="L511" i="8"/>
  <c r="Q511" i="8" s="1"/>
  <c r="L512" i="8"/>
  <c r="Q512" i="8" s="1"/>
  <c r="L513" i="8"/>
  <c r="Q513" i="8" s="1"/>
  <c r="L514" i="8"/>
  <c r="Q514" i="8" s="1"/>
  <c r="L515" i="8"/>
  <c r="Q515" i="8" s="1"/>
  <c r="L517" i="8"/>
  <c r="Q517" i="8" s="1"/>
  <c r="L519" i="8"/>
  <c r="Q519" i="8" s="1"/>
  <c r="L520" i="8"/>
  <c r="Q520" i="8" s="1"/>
  <c r="L521" i="8"/>
  <c r="Q521" i="8" s="1"/>
  <c r="L522" i="8"/>
  <c r="Q522" i="8" s="1"/>
  <c r="L523" i="8"/>
  <c r="Q523" i="8" s="1"/>
  <c r="L524" i="8"/>
  <c r="Q524" i="8" s="1"/>
  <c r="L525" i="8"/>
  <c r="Q525" i="8" s="1"/>
  <c r="L528" i="8"/>
  <c r="Q528" i="8" s="1"/>
  <c r="L529" i="8"/>
  <c r="Q529" i="8" s="1"/>
  <c r="L530" i="8"/>
  <c r="Q530" i="8" s="1"/>
  <c r="L531" i="8"/>
  <c r="Q531" i="8" s="1"/>
  <c r="L532" i="8"/>
  <c r="Q532" i="8" s="1"/>
  <c r="L533" i="8"/>
  <c r="Q533" i="8" s="1"/>
  <c r="L535" i="8"/>
  <c r="Q535" i="8" s="1"/>
  <c r="L536" i="8"/>
  <c r="Q536" i="8" s="1"/>
  <c r="L537" i="8"/>
  <c r="Q537" i="8" s="1"/>
  <c r="L538" i="8"/>
  <c r="Q538" i="8" s="1"/>
  <c r="L539" i="8"/>
  <c r="Q539" i="8" s="1"/>
  <c r="L540" i="8"/>
  <c r="Q540" i="8" s="1"/>
  <c r="L543" i="8"/>
  <c r="Q543" i="8" s="1"/>
  <c r="L544" i="8"/>
  <c r="Q544" i="8" s="1"/>
  <c r="L545" i="8"/>
  <c r="Q545" i="8" s="1"/>
  <c r="L546" i="8"/>
  <c r="Q546" i="8" s="1"/>
  <c r="L547" i="8"/>
  <c r="Q547" i="8" s="1"/>
  <c r="L548" i="8"/>
  <c r="Q548" i="8" s="1"/>
  <c r="L549" i="8"/>
  <c r="Q549" i="8" s="1"/>
  <c r="L551" i="8"/>
  <c r="Q551" i="8" s="1"/>
  <c r="L552" i="8"/>
  <c r="Q552" i="8" s="1"/>
  <c r="L553" i="8"/>
  <c r="Q553" i="8" s="1"/>
  <c r="L554" i="8"/>
  <c r="Q554" i="8" s="1"/>
  <c r="L555" i="8"/>
  <c r="Q555" i="8" s="1"/>
  <c r="L556" i="8"/>
  <c r="Q556" i="8" s="1"/>
  <c r="L557" i="8"/>
  <c r="Q557" i="8" s="1"/>
  <c r="L558" i="8"/>
  <c r="Q558" i="8" s="1"/>
  <c r="L559" i="8"/>
  <c r="Q559" i="8" s="1"/>
  <c r="L560" i="8"/>
  <c r="Q560" i="8" s="1"/>
  <c r="L561" i="8"/>
  <c r="Q561" i="8" s="1"/>
  <c r="L562" i="8"/>
  <c r="Q562" i="8" s="1"/>
  <c r="L563" i="8"/>
  <c r="Q563" i="8" s="1"/>
  <c r="L564" i="8"/>
  <c r="Q564" i="8" s="1"/>
  <c r="L565" i="8"/>
  <c r="Q565" i="8" s="1"/>
  <c r="L566" i="8"/>
  <c r="Q566" i="8" s="1"/>
  <c r="L567" i="8"/>
  <c r="Q567" i="8" s="1"/>
  <c r="L569" i="8"/>
  <c r="Q569" i="8" s="1"/>
  <c r="L570" i="8"/>
  <c r="Q570" i="8" s="1"/>
  <c r="L571" i="8"/>
  <c r="Q571" i="8" s="1"/>
  <c r="L572" i="8"/>
  <c r="Q572" i="8" s="1"/>
  <c r="L573" i="8"/>
  <c r="Q573" i="8" s="1"/>
  <c r="L574" i="8"/>
  <c r="Q574" i="8" s="1"/>
  <c r="L575" i="8"/>
  <c r="Q575" i="8" s="1"/>
  <c r="L576" i="8"/>
  <c r="Q576" i="8" s="1"/>
  <c r="L577" i="8"/>
  <c r="Q577" i="8" s="1"/>
  <c r="L578" i="8"/>
  <c r="Q578" i="8" s="1"/>
  <c r="L579" i="8"/>
  <c r="Q579" i="8" s="1"/>
  <c r="L580" i="8"/>
  <c r="Q580" i="8" s="1"/>
  <c r="L581" i="8"/>
  <c r="Q581" i="8" s="1"/>
  <c r="L582" i="8"/>
  <c r="Q582" i="8" s="1"/>
  <c r="L583" i="8"/>
  <c r="Q583" i="8" s="1"/>
  <c r="L584" i="8"/>
  <c r="Q584" i="8" s="1"/>
  <c r="L585" i="8"/>
  <c r="Q585" i="8" s="1"/>
  <c r="L586" i="8"/>
  <c r="Q586" i="8" s="1"/>
  <c r="L587" i="8"/>
  <c r="Q587" i="8" s="1"/>
  <c r="L588" i="8"/>
  <c r="Q588" i="8" s="1"/>
  <c r="L589" i="8"/>
  <c r="Q589" i="8" s="1"/>
  <c r="L590" i="8"/>
  <c r="Q590" i="8" s="1"/>
  <c r="L591" i="8"/>
  <c r="Q591" i="8" s="1"/>
  <c r="L592" i="8"/>
  <c r="Q592" i="8" s="1"/>
  <c r="L593" i="8"/>
  <c r="Q593" i="8" s="1"/>
  <c r="L594" i="8"/>
  <c r="Q594" i="8" s="1"/>
  <c r="L595" i="8"/>
  <c r="Q595" i="8" s="1"/>
  <c r="L596" i="8"/>
  <c r="Q596" i="8" s="1"/>
  <c r="L597" i="8"/>
  <c r="Q597" i="8" s="1"/>
  <c r="L598" i="8"/>
  <c r="Q598" i="8" s="1"/>
  <c r="L599" i="8"/>
  <c r="Q599" i="8" s="1"/>
  <c r="L600" i="8"/>
  <c r="Q600" i="8" s="1"/>
  <c r="L601" i="8"/>
  <c r="Q601" i="8" s="1"/>
  <c r="L602" i="8"/>
  <c r="Q602" i="8" s="1"/>
  <c r="L603" i="8"/>
  <c r="Q603" i="8" s="1"/>
  <c r="L604" i="8"/>
  <c r="Q604" i="8" s="1"/>
  <c r="L605" i="8"/>
  <c r="Q605" i="8" s="1"/>
  <c r="L606" i="8"/>
  <c r="Q606" i="8" s="1"/>
  <c r="L607" i="8"/>
  <c r="Q607" i="8" s="1"/>
  <c r="L608" i="8"/>
  <c r="Q608" i="8" s="1"/>
  <c r="L609" i="8"/>
  <c r="Q609" i="8" s="1"/>
  <c r="L610" i="8"/>
  <c r="Q610" i="8" s="1"/>
  <c r="L611" i="8"/>
  <c r="Q611" i="8" s="1"/>
  <c r="L612" i="8"/>
  <c r="Q612" i="8" s="1"/>
  <c r="L613" i="8"/>
  <c r="Q613" i="8" s="1"/>
  <c r="L614" i="8"/>
  <c r="Q614" i="8" s="1"/>
  <c r="L615" i="8"/>
  <c r="Q615" i="8" s="1"/>
  <c r="L616" i="8"/>
  <c r="Q616" i="8" s="1"/>
  <c r="L617" i="8"/>
  <c r="Q617" i="8" s="1"/>
  <c r="L618" i="8"/>
  <c r="Q618" i="8" s="1"/>
  <c r="L619" i="8"/>
  <c r="Q619" i="8" s="1"/>
  <c r="L620" i="8"/>
  <c r="Q620" i="8" s="1"/>
  <c r="L621" i="8"/>
  <c r="Q621" i="8" s="1"/>
  <c r="L622" i="8"/>
  <c r="Q622" i="8" s="1"/>
  <c r="L623" i="8"/>
  <c r="Q623" i="8" s="1"/>
  <c r="L624" i="8"/>
  <c r="Q624" i="8" s="1"/>
  <c r="L625" i="8"/>
  <c r="Q625" i="8" s="1"/>
  <c r="L626" i="8"/>
  <c r="Q626" i="8" s="1"/>
  <c r="L627" i="8"/>
  <c r="Q627" i="8" s="1"/>
  <c r="L628" i="8"/>
  <c r="Q628" i="8" s="1"/>
  <c r="L629" i="8"/>
  <c r="Q629" i="8" s="1"/>
  <c r="L630" i="8"/>
  <c r="Q630" i="8" s="1"/>
  <c r="L631" i="8"/>
  <c r="Q631" i="8" s="1"/>
  <c r="L632" i="8"/>
  <c r="Q632" i="8" s="1"/>
  <c r="L633" i="8"/>
  <c r="Q633" i="8" s="1"/>
  <c r="L634" i="8"/>
  <c r="Q634" i="8" s="1"/>
  <c r="L635" i="8"/>
  <c r="Q635" i="8" s="1"/>
  <c r="L636" i="8"/>
  <c r="Q636" i="8" s="1"/>
  <c r="L637" i="8"/>
  <c r="Q637" i="8" s="1"/>
  <c r="L638" i="8"/>
  <c r="Q638" i="8" s="1"/>
  <c r="L639" i="8"/>
  <c r="Q639" i="8" s="1"/>
  <c r="L640" i="8"/>
  <c r="Q640" i="8" s="1"/>
  <c r="L641" i="8"/>
  <c r="Q641" i="8" s="1"/>
  <c r="L642" i="8"/>
  <c r="Q642" i="8" s="1"/>
  <c r="L643" i="8"/>
  <c r="Q643" i="8" s="1"/>
  <c r="L644" i="8"/>
  <c r="Q644" i="8" s="1"/>
  <c r="L645" i="8"/>
  <c r="Q645" i="8" s="1"/>
  <c r="L646" i="8"/>
  <c r="Q646" i="8" s="1"/>
  <c r="L647" i="8"/>
  <c r="Q647" i="8" s="1"/>
  <c r="L648" i="8"/>
  <c r="Q648" i="8" s="1"/>
  <c r="L649" i="8"/>
  <c r="Q649" i="8" s="1"/>
  <c r="L650" i="8"/>
  <c r="Q650" i="8" s="1"/>
  <c r="L651" i="8"/>
  <c r="Q651" i="8" s="1"/>
  <c r="L652" i="8"/>
  <c r="Q652" i="8" s="1"/>
  <c r="L653" i="8"/>
  <c r="Q653" i="8" s="1"/>
  <c r="L654" i="8"/>
  <c r="Q654" i="8" s="1"/>
  <c r="L655" i="8"/>
  <c r="Q655" i="8" s="1"/>
  <c r="L656" i="8"/>
  <c r="Q656" i="8" s="1"/>
  <c r="L657" i="8"/>
  <c r="Q657" i="8" s="1"/>
  <c r="L658" i="8"/>
  <c r="Q658" i="8" s="1"/>
  <c r="L659" i="8"/>
  <c r="Q659" i="8" s="1"/>
  <c r="L660" i="8"/>
  <c r="Q660" i="8" s="1"/>
  <c r="L661" i="8"/>
  <c r="Q661" i="8" s="1"/>
  <c r="L662" i="8"/>
  <c r="Q662" i="8" s="1"/>
  <c r="L663" i="8"/>
  <c r="Q663" i="8" s="1"/>
  <c r="L664" i="8"/>
  <c r="Q664" i="8" s="1"/>
  <c r="L665" i="8"/>
  <c r="Q665" i="8" s="1"/>
  <c r="L666" i="8"/>
  <c r="Q666" i="8" s="1"/>
  <c r="L667" i="8"/>
  <c r="Q667" i="8" s="1"/>
  <c r="L668" i="8"/>
  <c r="Q668" i="8" s="1"/>
  <c r="L669" i="8"/>
  <c r="Q669" i="8" s="1"/>
  <c r="L670" i="8"/>
  <c r="Q670" i="8" s="1"/>
  <c r="L671" i="8"/>
  <c r="Q671" i="8" s="1"/>
  <c r="L672" i="8"/>
  <c r="Q672" i="8" s="1"/>
  <c r="L673" i="8"/>
  <c r="Q673" i="8" s="1"/>
  <c r="L674" i="8"/>
  <c r="Q674" i="8" s="1"/>
  <c r="L675" i="8"/>
  <c r="Q675" i="8" s="1"/>
  <c r="L676" i="8"/>
  <c r="Q676" i="8" s="1"/>
  <c r="L677" i="8"/>
  <c r="Q677" i="8" s="1"/>
  <c r="L678" i="8"/>
  <c r="Q678" i="8" s="1"/>
  <c r="L679" i="8"/>
  <c r="Q679" i="8" s="1"/>
  <c r="L680" i="8"/>
  <c r="Q680" i="8" s="1"/>
  <c r="L681" i="8"/>
  <c r="Q681" i="8" s="1"/>
  <c r="L682" i="8"/>
  <c r="Q682" i="8" s="1"/>
  <c r="L683" i="8"/>
  <c r="Q683" i="8" s="1"/>
  <c r="L684" i="8"/>
  <c r="Q684" i="8" s="1"/>
  <c r="L685" i="8"/>
  <c r="Q685" i="8" s="1"/>
  <c r="L686" i="8"/>
  <c r="Q686" i="8" s="1"/>
  <c r="L687" i="8"/>
  <c r="Q687" i="8" s="1"/>
  <c r="L688" i="8"/>
  <c r="Q688" i="8" s="1"/>
  <c r="L689" i="8"/>
  <c r="Q689" i="8" s="1"/>
  <c r="L690" i="8"/>
  <c r="Q690" i="8" s="1"/>
  <c r="L691" i="8"/>
  <c r="Q691" i="8" s="1"/>
  <c r="L692" i="8"/>
  <c r="Q692" i="8" s="1"/>
  <c r="L693" i="8"/>
  <c r="Q693" i="8" s="1"/>
  <c r="L694" i="8"/>
  <c r="Q694" i="8" s="1"/>
  <c r="L695" i="8"/>
  <c r="Q695" i="8" s="1"/>
  <c r="L696" i="8"/>
  <c r="Q696" i="8" s="1"/>
  <c r="L697" i="8"/>
  <c r="Q697" i="8" s="1"/>
  <c r="L698" i="8"/>
  <c r="Q698" i="8" s="1"/>
  <c r="L699" i="8"/>
  <c r="Q699" i="8" s="1"/>
  <c r="L703" i="8"/>
  <c r="Q703" i="8" s="1"/>
  <c r="L705" i="8"/>
  <c r="Q705" i="8" s="1"/>
  <c r="L706" i="8"/>
  <c r="Q706" i="8" s="1"/>
  <c r="L707" i="8"/>
  <c r="Q707" i="8" s="1"/>
  <c r="L708" i="8"/>
  <c r="Q708" i="8" s="1"/>
  <c r="L709" i="8"/>
  <c r="Q709" i="8" s="1"/>
  <c r="L712" i="8"/>
  <c r="Q712" i="8" s="1"/>
  <c r="L715" i="8"/>
  <c r="Q715" i="8" s="1"/>
  <c r="L716" i="8"/>
  <c r="Q716" i="8" s="1"/>
  <c r="L717" i="8"/>
  <c r="Q717" i="8" s="1"/>
  <c r="L718" i="8"/>
  <c r="Q718" i="8" s="1"/>
  <c r="L168" i="8"/>
  <c r="Q168" i="8" s="1"/>
  <c r="L130" i="8"/>
  <c r="Q130" i="8" s="1"/>
  <c r="L184" i="8"/>
  <c r="Q184" i="8" s="1"/>
  <c r="L154" i="8"/>
  <c r="Q154" i="8" s="1"/>
  <c r="L249" i="8"/>
  <c r="Q249" i="8" s="1"/>
  <c r="L242" i="8"/>
  <c r="Q242" i="8" s="1"/>
  <c r="L711" i="8"/>
  <c r="Q711" i="8" s="1"/>
  <c r="L256" i="8"/>
  <c r="Q256" i="8" s="1"/>
  <c r="L166" i="8"/>
  <c r="Q166" i="8" s="1"/>
  <c r="L138" i="8"/>
  <c r="Q138" i="8" s="1"/>
  <c r="L258" i="8"/>
  <c r="Q258" i="8" s="1"/>
  <c r="L315" i="8"/>
  <c r="Q315" i="8" s="1"/>
  <c r="L262" i="8"/>
  <c r="Q262" i="8" s="1"/>
  <c r="L180" i="8"/>
  <c r="Q180" i="8" s="1"/>
  <c r="L131" i="8"/>
  <c r="Q131" i="8" s="1"/>
  <c r="L172" i="8"/>
  <c r="Q172" i="8" s="1"/>
  <c r="L316" i="8"/>
  <c r="Q316" i="8" s="1"/>
  <c r="L136" i="8"/>
  <c r="Q136" i="8" s="1"/>
  <c r="L285" i="8"/>
  <c r="Q285" i="8" s="1"/>
  <c r="L264" i="8"/>
  <c r="Q264" i="8" s="1"/>
  <c r="L164" i="8"/>
  <c r="Q164" i="8" s="1"/>
  <c r="L159" i="8"/>
  <c r="Q159" i="8" s="1"/>
  <c r="L139" i="8"/>
  <c r="Q139" i="8" s="1"/>
  <c r="L309" i="8"/>
  <c r="Q309" i="8" s="1"/>
  <c r="L255" i="8"/>
  <c r="Q255" i="8" s="1"/>
  <c r="L265" i="8"/>
  <c r="Q265" i="8" s="1"/>
  <c r="L223" i="8"/>
  <c r="Q223" i="8" s="1"/>
  <c r="L174" i="8"/>
  <c r="Q174" i="8" s="1"/>
  <c r="L169" i="8"/>
  <c r="Q169" i="8" s="1"/>
  <c r="L156" i="8"/>
  <c r="Q156" i="8" s="1"/>
  <c r="L268" i="8"/>
  <c r="Q268" i="8" s="1"/>
  <c r="L323" i="8"/>
  <c r="Q323" i="8" s="1"/>
  <c r="L179" i="8"/>
  <c r="Q179" i="8" s="1"/>
  <c r="L146" i="8"/>
  <c r="Q146" i="8" s="1"/>
  <c r="L145" i="8"/>
  <c r="Q145" i="8" s="1"/>
  <c r="L135" i="8"/>
  <c r="Q135" i="8" s="1"/>
  <c r="L161" i="8"/>
  <c r="Q161" i="8" s="1"/>
  <c r="L247" i="8"/>
  <c r="Q247" i="8" s="1"/>
  <c r="L183" i="8"/>
  <c r="Q183" i="8" s="1"/>
  <c r="L279" i="8"/>
  <c r="Q279" i="8" s="1"/>
  <c r="L276" i="8"/>
  <c r="Q276" i="8" s="1"/>
  <c r="L273" i="8"/>
  <c r="Q273" i="8" s="1"/>
  <c r="L275" i="8"/>
  <c r="Q275" i="8" s="1"/>
  <c r="L248" i="8"/>
  <c r="Q248" i="8" s="1"/>
  <c r="L119" i="8"/>
  <c r="Q119" i="8" s="1"/>
  <c r="L120" i="8"/>
  <c r="Q120" i="8" s="1"/>
  <c r="L176" i="8"/>
  <c r="Q176" i="8" s="1"/>
  <c r="L185" i="8"/>
  <c r="Q185" i="8" s="1"/>
  <c r="L162" i="8"/>
  <c r="Q162" i="8" s="1"/>
  <c r="L150" i="8"/>
  <c r="Q150" i="8" s="1"/>
  <c r="L221" i="8"/>
  <c r="Q221" i="8" s="1"/>
  <c r="L282" i="8"/>
  <c r="Q282" i="8" s="1"/>
  <c r="L175" i="8"/>
  <c r="Q175" i="8" s="1"/>
  <c r="L115" i="8"/>
  <c r="Q115" i="8" s="1"/>
  <c r="L283" i="8"/>
  <c r="Q283" i="8" s="1"/>
  <c r="L165" i="8"/>
  <c r="Q165" i="8" s="1"/>
  <c r="L260" i="8"/>
  <c r="Q260" i="8" s="1"/>
  <c r="L157" i="8"/>
  <c r="Q157" i="8" s="1"/>
  <c r="L232" i="8"/>
  <c r="Q232" i="8" s="1"/>
  <c r="L267" i="8"/>
  <c r="Q267" i="8" s="1"/>
  <c r="L241" i="8"/>
  <c r="Q241" i="8" s="1"/>
  <c r="L295" i="8"/>
  <c r="Q295" i="8" s="1"/>
  <c r="L141" i="8"/>
  <c r="Q141" i="8" s="1"/>
  <c r="L284" i="8"/>
  <c r="Q284" i="8" s="1"/>
  <c r="L257" i="8"/>
  <c r="Q257" i="8" s="1"/>
  <c r="L326" i="8"/>
  <c r="Q326" i="8" s="1"/>
  <c r="L297" i="8"/>
  <c r="Q297" i="8" s="1"/>
  <c r="L233" i="8"/>
  <c r="Q233" i="8" s="1"/>
  <c r="L290" i="8"/>
  <c r="Q290" i="8" s="1"/>
  <c r="L225" i="8"/>
  <c r="Q225" i="8" s="1"/>
  <c r="L328" i="8"/>
  <c r="Q328" i="8" s="1"/>
  <c r="L188" i="8"/>
  <c r="Q188" i="8" s="1"/>
  <c r="L186" i="8"/>
  <c r="Q186" i="8" s="1"/>
  <c r="L220" i="8"/>
  <c r="Q220" i="8" s="1"/>
  <c r="L286" i="8"/>
  <c r="Q286" i="8" s="1"/>
  <c r="L296" i="8"/>
  <c r="Q296" i="8" s="1"/>
  <c r="L329" i="8"/>
  <c r="Q329" i="8" s="1"/>
  <c r="L163" i="8"/>
  <c r="Q163" i="8" s="1"/>
  <c r="L170" i="8"/>
  <c r="Q170" i="8" s="1"/>
  <c r="L189" i="8"/>
  <c r="Q189" i="8" s="1"/>
  <c r="L292" i="8"/>
  <c r="Q292" i="8" s="1"/>
  <c r="L240" i="8"/>
  <c r="Q240" i="8" s="1"/>
  <c r="L287" i="8"/>
  <c r="Q287" i="8" s="1"/>
  <c r="L181" i="8"/>
  <c r="Q181" i="8" s="1"/>
  <c r="L293" i="8"/>
  <c r="Q293" i="8" s="1"/>
  <c r="L142" i="8"/>
  <c r="Q142" i="8" s="1"/>
  <c r="L128" i="8"/>
  <c r="Q128" i="8" s="1"/>
  <c r="L149" i="8"/>
  <c r="Q149" i="8" s="1"/>
  <c r="L153" i="8"/>
  <c r="Q153" i="8" s="1"/>
  <c r="L140" i="8"/>
  <c r="Q140" i="8" s="1"/>
  <c r="L271" i="8"/>
  <c r="Q271" i="8" s="1"/>
  <c r="L311" i="8"/>
  <c r="Q311" i="8" s="1"/>
  <c r="L236" i="8"/>
  <c r="Q236" i="8" s="1"/>
  <c r="L143" i="8"/>
  <c r="Q143" i="8" s="1"/>
  <c r="L234" i="8"/>
  <c r="Q234" i="8" s="1"/>
  <c r="L152" i="8"/>
  <c r="Q152" i="8" s="1"/>
  <c r="L313" i="8"/>
  <c r="Q313" i="8" s="1"/>
  <c r="L127" i="8"/>
  <c r="Q127" i="8" s="1"/>
  <c r="L155" i="8"/>
  <c r="Q155" i="8" s="1"/>
  <c r="L259" i="8"/>
  <c r="Q259" i="8" s="1"/>
  <c r="L217" i="8"/>
  <c r="Q217" i="8" s="1"/>
  <c r="L327" i="8"/>
  <c r="Q327" i="8" s="1"/>
  <c r="L269" i="8"/>
  <c r="Q269" i="8" s="1"/>
  <c r="L291" i="8"/>
  <c r="Q291" i="8" s="1"/>
  <c r="L173" i="8"/>
  <c r="Q173" i="8" s="1"/>
  <c r="L320" i="8"/>
  <c r="Q320" i="8" s="1"/>
  <c r="L298" i="8"/>
  <c r="Q298" i="8" s="1"/>
  <c r="L272" i="8"/>
  <c r="Q272" i="8" s="1"/>
  <c r="L229" i="8"/>
  <c r="Q229" i="8" s="1"/>
  <c r="L171" i="8"/>
  <c r="Q171" i="8" s="1"/>
  <c r="L151" i="8"/>
  <c r="Q151" i="8" s="1"/>
  <c r="L281" i="8"/>
  <c r="Q281" i="8" s="1"/>
  <c r="L266" i="8"/>
  <c r="Q266" i="8" s="1"/>
  <c r="L158" i="8"/>
  <c r="Q158" i="8" s="1"/>
  <c r="L251" i="8"/>
  <c r="Q251" i="8" s="1"/>
  <c r="L277" i="8"/>
  <c r="Q277" i="8" s="1"/>
  <c r="L222" i="8"/>
  <c r="Q222" i="8" s="1"/>
  <c r="L218" i="8"/>
  <c r="Q218" i="8" s="1"/>
  <c r="L280" i="8"/>
  <c r="Q280" i="8" s="1"/>
  <c r="L263" i="8"/>
  <c r="Q263" i="8" s="1"/>
  <c r="L219" i="8"/>
  <c r="Q219" i="8" s="1"/>
  <c r="L125" i="8"/>
  <c r="Q125" i="8" s="1"/>
  <c r="L261" i="8"/>
  <c r="Q261" i="8" s="1"/>
  <c r="L132" i="8"/>
  <c r="Q132" i="8" s="1"/>
  <c r="L294" i="8"/>
  <c r="Q294" i="8" s="1"/>
  <c r="L235" i="8"/>
  <c r="Q235" i="8" s="1"/>
  <c r="L227" i="8"/>
  <c r="Q227" i="8" s="1"/>
  <c r="L126" i="8"/>
  <c r="Q126" i="8" s="1"/>
  <c r="L237" i="8"/>
  <c r="Q237" i="8" s="1"/>
  <c r="L250" i="8"/>
  <c r="Q250" i="8" s="1"/>
  <c r="L187" i="8"/>
  <c r="Q187" i="8" s="1"/>
  <c r="L246" i="8"/>
  <c r="Q246" i="8" s="1"/>
  <c r="L182" i="8"/>
  <c r="Q182" i="8" s="1"/>
  <c r="L314" i="8"/>
  <c r="Q314" i="8" s="1"/>
  <c r="L167" i="8"/>
  <c r="Q167" i="8" s="1"/>
  <c r="L228" i="8"/>
  <c r="Q228" i="8" s="1"/>
  <c r="L147" i="8"/>
  <c r="Q147" i="8" s="1"/>
  <c r="L137" i="8"/>
  <c r="Q137" i="8" s="1"/>
  <c r="L134" i="8"/>
  <c r="Q134" i="8" s="1"/>
  <c r="L148" i="8"/>
  <c r="Q148" i="8" s="1"/>
  <c r="L331" i="8"/>
  <c r="Q331" i="8" s="1"/>
  <c r="L310" i="8"/>
  <c r="Q310" i="8" s="1"/>
  <c r="L231" i="8"/>
  <c r="Q231" i="8" s="1"/>
  <c r="L288" i="8"/>
  <c r="Q288" i="8" s="1"/>
  <c r="L325" i="8"/>
  <c r="Q325" i="8" s="1"/>
  <c r="L177" i="8"/>
  <c r="Q177" i="8" s="1"/>
  <c r="L274" i="8"/>
  <c r="Q274" i="8" s="1"/>
  <c r="L124" i="8"/>
  <c r="Q124" i="8" s="1"/>
  <c r="L117" i="8"/>
  <c r="Q117" i="8" s="1"/>
  <c r="L307" i="8"/>
  <c r="Q307" i="8" s="1"/>
  <c r="L122" i="8"/>
  <c r="Q122" i="8" s="1"/>
  <c r="L121" i="8"/>
  <c r="Q121" i="8" s="1"/>
  <c r="L330" i="8"/>
  <c r="Q330" i="8" s="1"/>
  <c r="L226" i="8"/>
  <c r="Q226" i="8" s="1"/>
  <c r="L239" i="8"/>
  <c r="Q239" i="8" s="1"/>
  <c r="L270" i="8"/>
  <c r="Q270" i="8" s="1"/>
  <c r="L336" i="8"/>
  <c r="Q336" i="8" s="1"/>
  <c r="L114" i="8"/>
  <c r="Q114" i="8" s="1"/>
  <c r="L289" i="8"/>
  <c r="Q289" i="8" s="1"/>
  <c r="L160" i="8"/>
  <c r="Q160" i="8" s="1"/>
  <c r="L308" i="8"/>
  <c r="Q308" i="8" s="1"/>
  <c r="L144" i="8"/>
  <c r="Q144" i="8" s="1"/>
  <c r="L116" i="8"/>
  <c r="Q116" i="8" s="1"/>
  <c r="L113" i="8"/>
  <c r="Q113" i="8" s="1"/>
  <c r="L224" i="8"/>
  <c r="Q224" i="8" s="1"/>
  <c r="L118" i="8"/>
  <c r="Q118" i="8" s="1"/>
  <c r="L278" i="8"/>
  <c r="Q278" i="8" s="1"/>
  <c r="L704" i="8"/>
  <c r="Q704" i="8" s="1"/>
  <c r="L230" i="8"/>
  <c r="Q230" i="8" s="1"/>
  <c r="L321" i="8"/>
  <c r="Q321" i="8" s="1"/>
  <c r="L319" i="8"/>
  <c r="Q319" i="8" s="1"/>
  <c r="L714" i="8"/>
  <c r="Q714" i="8" s="1"/>
  <c r="L35" i="8"/>
  <c r="Q35" i="8" s="1"/>
  <c r="L102" i="8"/>
  <c r="Q102" i="8" s="1"/>
  <c r="L25" i="8"/>
  <c r="Q25" i="8" s="1"/>
  <c r="L31" i="8"/>
  <c r="Q31" i="8" s="1"/>
  <c r="L28" i="8"/>
  <c r="Q28" i="8" s="1"/>
  <c r="L44" i="8"/>
  <c r="Q44" i="8" s="1"/>
  <c r="L208" i="8"/>
  <c r="Q208" i="8" s="1"/>
  <c r="L30" i="8"/>
  <c r="Q30" i="8" s="1"/>
  <c r="L86" i="8"/>
  <c r="Q86" i="8" s="1"/>
  <c r="L81" i="8"/>
  <c r="Q81" i="8" s="1"/>
  <c r="L88" i="8"/>
  <c r="Q88" i="8" s="1"/>
  <c r="L216" i="8"/>
  <c r="Q216" i="8" s="1"/>
  <c r="L39" i="8"/>
  <c r="Q39" i="8" s="1"/>
  <c r="L42" i="8"/>
  <c r="Q42" i="8" s="1"/>
  <c r="L91" i="8"/>
  <c r="Q91" i="8" s="1"/>
  <c r="L45" i="8"/>
  <c r="Q45" i="8" s="1"/>
  <c r="L252" i="8"/>
  <c r="Q252" i="8" s="1"/>
  <c r="L29" i="8"/>
  <c r="Q29" i="8" s="1"/>
  <c r="L108" i="8"/>
  <c r="Q108" i="8" s="1"/>
  <c r="L36" i="8"/>
  <c r="Q36" i="8" s="1"/>
  <c r="L211" i="8"/>
  <c r="Q211" i="8" s="1"/>
  <c r="L33" i="8"/>
  <c r="Q33" i="8" s="1"/>
  <c r="L82" i="8"/>
  <c r="Q82" i="8" s="1"/>
  <c r="L318" i="8"/>
  <c r="Q318" i="8" s="1"/>
  <c r="L210" i="8"/>
  <c r="Q210" i="8" s="1"/>
  <c r="L243" i="8"/>
  <c r="Q243" i="8" s="1"/>
  <c r="L244" i="8"/>
  <c r="Q244" i="8" s="1"/>
  <c r="L87" i="8"/>
  <c r="Q87" i="8" s="1"/>
  <c r="L79" i="8"/>
  <c r="Q79" i="8" s="1"/>
  <c r="L92" i="8"/>
  <c r="Q92" i="8" s="1"/>
  <c r="L103" i="8"/>
  <c r="Q103" i="8" s="1"/>
  <c r="L194" i="8"/>
  <c r="Q194" i="8" s="1"/>
  <c r="L193" i="8"/>
  <c r="Q193" i="8" s="1"/>
  <c r="L198" i="8"/>
  <c r="Q198" i="8" s="1"/>
  <c r="L195" i="8"/>
  <c r="Q195" i="8" s="1"/>
  <c r="L214" i="8"/>
  <c r="Q214" i="8" s="1"/>
  <c r="L702" i="8"/>
  <c r="Q702" i="8" s="1"/>
  <c r="L84" i="8"/>
  <c r="Q84" i="8" s="1"/>
  <c r="L197" i="8"/>
  <c r="Q197" i="8" s="1"/>
  <c r="L43" i="8"/>
  <c r="Q43" i="8" s="1"/>
  <c r="L80" i="8"/>
  <c r="Q80" i="8" s="1"/>
  <c r="L93" i="8"/>
  <c r="Q93" i="8" s="1"/>
  <c r="L245" i="8"/>
  <c r="Q245" i="8" s="1"/>
  <c r="L24" i="8"/>
  <c r="Q24" i="8" s="1"/>
  <c r="L95" i="8"/>
  <c r="Q95" i="8" s="1"/>
  <c r="L99" i="8"/>
  <c r="Q99" i="8" s="1"/>
  <c r="L107" i="8"/>
  <c r="Q107" i="8" s="1"/>
  <c r="L27" i="8"/>
  <c r="Q27" i="8" s="1"/>
  <c r="L305" i="8"/>
  <c r="Q305" i="8" s="1"/>
  <c r="L32" i="8"/>
  <c r="Q32" i="8" s="1"/>
  <c r="L37" i="8"/>
  <c r="Q37" i="8" s="1"/>
  <c r="L34" i="8"/>
  <c r="Q34" i="8" s="1"/>
  <c r="L212" i="8"/>
  <c r="Q212" i="8" s="1"/>
  <c r="L85" i="8"/>
  <c r="Q85" i="8" s="1"/>
  <c r="L26" i="8"/>
  <c r="Q26" i="8" s="1"/>
  <c r="L100" i="8"/>
  <c r="Q100" i="8" s="1"/>
  <c r="L199" i="8"/>
  <c r="Q199" i="8" s="1"/>
  <c r="L90" i="8"/>
  <c r="Q90" i="8" s="1"/>
  <c r="L89" i="8"/>
  <c r="Q89" i="8" s="1"/>
  <c r="L77" i="8"/>
  <c r="Q77" i="8" s="1"/>
  <c r="L41" i="8"/>
  <c r="Q41" i="8" s="1"/>
  <c r="L300" i="8"/>
  <c r="Q300" i="8" s="1"/>
  <c r="L101" i="8"/>
  <c r="Q101" i="8" s="1"/>
  <c r="L322" i="8"/>
  <c r="Q322" i="8" s="1"/>
  <c r="L111" i="8"/>
  <c r="Q111" i="8" s="1"/>
  <c r="L129" i="8"/>
  <c r="Q129" i="8" s="1"/>
  <c r="L104" i="8"/>
  <c r="Q104" i="8" s="1"/>
  <c r="L133" i="8"/>
  <c r="Q133" i="8" s="1"/>
  <c r="L192" i="8"/>
  <c r="Q192" i="8" s="1"/>
  <c r="L213" i="8"/>
  <c r="Q213" i="8" s="1"/>
  <c r="L38" i="8"/>
  <c r="Q38" i="8" s="1"/>
  <c r="L106" i="8"/>
  <c r="Q106" i="8" s="1"/>
  <c r="L303" i="8"/>
  <c r="Q303" i="8" s="1"/>
  <c r="L83" i="8"/>
  <c r="Q83" i="8" s="1"/>
  <c r="L201" i="8"/>
  <c r="Q201" i="8" s="1"/>
  <c r="L200" i="8"/>
  <c r="Q200" i="8" s="1"/>
  <c r="L215" i="8"/>
  <c r="Q215" i="8" s="1"/>
  <c r="L105" i="8"/>
  <c r="Q105" i="8" s="1"/>
  <c r="L254" i="8"/>
  <c r="Q254" i="8" s="1"/>
  <c r="L196" i="8"/>
  <c r="Q196" i="8" s="1"/>
  <c r="L94" i="8"/>
  <c r="Q94" i="8" s="1"/>
  <c r="L324" i="8"/>
  <c r="Q324" i="8" s="1"/>
  <c r="L12" i="8"/>
  <c r="Q12" i="8" s="1"/>
  <c r="L46" i="8"/>
  <c r="Q46" i="8" s="1"/>
  <c r="L78" i="8"/>
  <c r="Q78" i="8" s="1"/>
  <c r="L40" i="8"/>
  <c r="Q40" i="8" s="1"/>
  <c r="L4" i="8"/>
  <c r="Q4" i="8" s="1"/>
  <c r="L52" i="8"/>
  <c r="Q52" i="8" s="1"/>
  <c r="L191" i="8"/>
  <c r="Q191" i="8" s="1"/>
  <c r="L47" i="8"/>
  <c r="Q47" i="8" s="1"/>
  <c r="L205" i="8"/>
  <c r="Q205" i="8" s="1"/>
  <c r="L203" i="8"/>
  <c r="Q203" i="8" s="1"/>
  <c r="L69" i="8"/>
  <c r="Q69" i="8" s="1"/>
  <c r="L61" i="8"/>
  <c r="Q61" i="8" s="1"/>
  <c r="L71" i="8"/>
  <c r="Q71" i="8" s="1"/>
  <c r="L21" i="8"/>
  <c r="Q21" i="8" s="1"/>
  <c r="L54" i="8"/>
  <c r="Q54" i="8" s="1"/>
  <c r="L75" i="8"/>
  <c r="Q75" i="8" s="1"/>
  <c r="L65" i="8"/>
  <c r="Q65" i="8" s="1"/>
  <c r="L70" i="8"/>
  <c r="Q70" i="8" s="1"/>
  <c r="L206" i="8"/>
  <c r="Q206" i="8" s="1"/>
  <c r="L55" i="8"/>
  <c r="Q55" i="8" s="1"/>
  <c r="L207" i="8"/>
  <c r="Q207" i="8" s="1"/>
  <c r="L8" i="8"/>
  <c r="Q8" i="8" s="1"/>
  <c r="L17" i="8"/>
  <c r="Q17" i="8" s="1"/>
  <c r="L64" i="8"/>
  <c r="Q64" i="8" s="1"/>
  <c r="L14" i="8"/>
  <c r="Q14" i="8" s="1"/>
  <c r="L51" i="8"/>
  <c r="Q51" i="8" s="1"/>
  <c r="L18" i="8"/>
  <c r="Q18" i="8" s="1"/>
  <c r="L60" i="8"/>
  <c r="Q60" i="8" s="1"/>
  <c r="L304" i="8"/>
  <c r="Q304" i="8" s="1"/>
  <c r="L59" i="8"/>
  <c r="Q59" i="8" s="1"/>
  <c r="L7" i="8"/>
  <c r="Q7" i="8" s="1"/>
  <c r="L9" i="8"/>
  <c r="Q9" i="8" s="1"/>
  <c r="L22" i="8"/>
  <c r="Q22" i="8" s="1"/>
  <c r="L700" i="8"/>
  <c r="Q700" i="8" s="1"/>
  <c r="L299" i="8"/>
  <c r="Q299" i="8" s="1"/>
  <c r="L76" i="8"/>
  <c r="Q76" i="8" s="1"/>
  <c r="L68" i="8"/>
  <c r="Q68" i="8" s="1"/>
  <c r="L63" i="8"/>
  <c r="Q63" i="8" s="1"/>
  <c r="L58" i="8"/>
  <c r="Q58" i="8" s="1"/>
  <c r="L56" i="8"/>
  <c r="Q56" i="8" s="1"/>
  <c r="L50" i="8"/>
  <c r="Q50" i="8" s="1"/>
  <c r="L53" i="8"/>
  <c r="Q53" i="8" s="1"/>
  <c r="L253" i="8"/>
  <c r="Q253" i="8" s="1"/>
  <c r="L15" i="8"/>
  <c r="Q15" i="8" s="1"/>
  <c r="L204" i="8"/>
  <c r="Q204" i="8" s="1"/>
  <c r="L10" i="8"/>
  <c r="Q10" i="8" s="1"/>
  <c r="L16" i="8"/>
  <c r="Q16" i="8" s="1"/>
  <c r="L701" i="8"/>
  <c r="Q701" i="8" s="1"/>
  <c r="L5" i="8"/>
  <c r="Q5" i="8" s="1"/>
  <c r="L67" i="8"/>
  <c r="Q67" i="8" s="1"/>
  <c r="L57" i="8"/>
  <c r="Q57" i="8" s="1"/>
  <c r="L74" i="8"/>
  <c r="Q74" i="8" s="1"/>
  <c r="L6" i="8"/>
  <c r="Q6" i="8" s="1"/>
  <c r="L202" i="8"/>
  <c r="Q202" i="8" s="1"/>
  <c r="L302" i="8"/>
  <c r="Q302" i="8" s="1"/>
  <c r="L66" i="8"/>
  <c r="Q66" i="8" s="1"/>
  <c r="L13" i="8"/>
  <c r="Q13" i="8" s="1"/>
  <c r="L112" i="8"/>
  <c r="Q112" i="8" s="1"/>
  <c r="L109" i="8"/>
  <c r="Q109" i="8" s="1"/>
  <c r="L190" i="8"/>
  <c r="Q190" i="8" s="1"/>
  <c r="L317" i="8"/>
  <c r="Q317" i="8" s="1"/>
  <c r="L11" i="8"/>
  <c r="Q11" i="8" s="1"/>
  <c r="L73" i="8"/>
  <c r="Q73" i="8" s="1"/>
  <c r="L62" i="8"/>
  <c r="Q62" i="8" s="1"/>
  <c r="L110" i="8"/>
  <c r="Q110" i="8" s="1"/>
  <c r="L72" i="8"/>
  <c r="Q72" i="8" s="1"/>
  <c r="L301" i="8"/>
  <c r="Q301" i="8" s="1"/>
  <c r="L306" i="8"/>
  <c r="Q306" i="8" s="1"/>
  <c r="L710" i="8"/>
  <c r="Q710" i="8" s="1"/>
  <c r="L387" i="8"/>
  <c r="Q387" i="8" s="1"/>
  <c r="L347" i="8"/>
  <c r="Q347" i="8" s="1"/>
  <c r="L367" i="8"/>
  <c r="Q367" i="8" s="1"/>
  <c r="L370" i="8"/>
  <c r="Q370" i="8" s="1"/>
  <c r="L365" i="8"/>
  <c r="Q365" i="8" s="1"/>
  <c r="L48" i="8"/>
  <c r="Q48" i="8" s="1"/>
  <c r="L96" i="8"/>
  <c r="Q96" i="8" s="1"/>
  <c r="L363" i="8"/>
  <c r="Q363" i="8" s="1"/>
  <c r="L386" i="8"/>
  <c r="Q386" i="8" s="1"/>
  <c r="L354" i="8"/>
  <c r="Q354" i="8" s="1"/>
  <c r="L353" i="8"/>
  <c r="Q353" i="8" s="1"/>
  <c r="L351" i="8"/>
  <c r="Q351" i="8" s="1"/>
  <c r="L361" i="8"/>
  <c r="Q361" i="8" s="1"/>
  <c r="L332" i="8"/>
  <c r="Q332" i="8" s="1"/>
  <c r="L371" i="8"/>
  <c r="Q371" i="8" s="1"/>
  <c r="L356" i="8"/>
  <c r="Q356" i="8" s="1"/>
  <c r="L340" i="8"/>
  <c r="Q340" i="8" s="1"/>
  <c r="L343" i="8"/>
  <c r="Q343" i="8" s="1"/>
  <c r="L368" i="8"/>
  <c r="Q368" i="8" s="1"/>
  <c r="L123" i="8"/>
  <c r="Q123" i="8" s="1"/>
  <c r="L364" i="8"/>
  <c r="Q364" i="8" s="1"/>
  <c r="L341" i="8"/>
  <c r="Q341" i="8" s="1"/>
  <c r="L348" i="8"/>
  <c r="Q348" i="8" s="1"/>
  <c r="L360" i="8"/>
  <c r="Q360" i="8" s="1"/>
  <c r="L382" i="8"/>
  <c r="Q382" i="8" s="1"/>
  <c r="L357" i="8"/>
  <c r="Q357" i="8" s="1"/>
  <c r="L385" i="8"/>
  <c r="Q385" i="8" s="1"/>
  <c r="L374" i="8"/>
  <c r="Q374" i="8" s="1"/>
  <c r="L379" i="8"/>
  <c r="Q379" i="8" s="1"/>
  <c r="L388" i="8"/>
  <c r="Q388" i="8" s="1"/>
  <c r="L23" i="8"/>
  <c r="Q23" i="8" s="1"/>
  <c r="L369" i="8"/>
  <c r="Q369" i="8" s="1"/>
  <c r="L376" i="8"/>
  <c r="Q376" i="8" s="1"/>
  <c r="L381" i="8"/>
  <c r="Q381" i="8" s="1"/>
  <c r="L312" i="8"/>
  <c r="Q312" i="8" s="1"/>
  <c r="L334" i="8"/>
  <c r="Q334" i="8" s="1"/>
  <c r="L335" i="8"/>
  <c r="Q335" i="8" s="1"/>
  <c r="L502" i="8"/>
  <c r="Q502" i="8" s="1"/>
  <c r="L516" i="8"/>
  <c r="Q516" i="8" s="1"/>
  <c r="L406" i="8"/>
  <c r="Q406" i="8" s="1"/>
  <c r="L375" i="8"/>
  <c r="Q375" i="8" s="1"/>
  <c r="L366" i="8"/>
  <c r="Q366" i="8" s="1"/>
  <c r="L350" i="8"/>
  <c r="Q350" i="8" s="1"/>
  <c r="L344" i="8"/>
  <c r="Q344" i="8" s="1"/>
  <c r="L411" i="8"/>
  <c r="Q411" i="8" s="1"/>
  <c r="L209" i="8"/>
  <c r="Q209" i="8" s="1"/>
  <c r="L447" i="8"/>
  <c r="Q447" i="8" s="1"/>
  <c r="L395" i="8"/>
  <c r="Q395" i="8" s="1"/>
  <c r="L497" i="8"/>
  <c r="Q497" i="8" s="1"/>
  <c r="L383" i="8"/>
  <c r="Q383" i="8" s="1"/>
  <c r="L358" i="8"/>
  <c r="Q358" i="8" s="1"/>
  <c r="L359" i="8"/>
  <c r="Q359" i="8" s="1"/>
  <c r="L49" i="8"/>
  <c r="Q49" i="8" s="1"/>
  <c r="L19" i="8"/>
  <c r="Q19" i="8" s="1"/>
  <c r="L333" i="8"/>
  <c r="Q333" i="8" s="1"/>
  <c r="L378" i="8"/>
  <c r="Q378" i="8" s="1"/>
  <c r="L355" i="8"/>
  <c r="Q355" i="8" s="1"/>
  <c r="L97" i="8"/>
  <c r="Q97" i="8" s="1"/>
  <c r="L345" i="8"/>
  <c r="Q345" i="8" s="1"/>
  <c r="L346" i="8"/>
  <c r="Q346" i="8" s="1"/>
  <c r="L377" i="8"/>
  <c r="Q377" i="8" s="1"/>
  <c r="L20" i="8"/>
  <c r="Q20" i="8" s="1"/>
  <c r="L342" i="8"/>
  <c r="Q342" i="8" s="1"/>
  <c r="L541" i="8"/>
  <c r="Q541" i="8" s="1"/>
  <c r="L391" i="8"/>
  <c r="Q391" i="8" s="1"/>
  <c r="L3" i="8"/>
  <c r="Q3" i="8" s="1"/>
  <c r="L98" i="8"/>
  <c r="Q98" i="8" s="1"/>
  <c r="L534" i="8"/>
  <c r="Q534" i="8" s="1"/>
  <c r="L507" i="8"/>
  <c r="Q507" i="8" s="1"/>
  <c r="L458" i="8"/>
  <c r="Q458" i="8" s="1"/>
  <c r="L486" i="8"/>
  <c r="Q486" i="8" s="1"/>
  <c r="L339" i="8"/>
  <c r="Q339" i="8" s="1"/>
  <c r="L428" i="8"/>
  <c r="Q428" i="8" s="1"/>
  <c r="L338" i="8"/>
  <c r="Q338" i="8" s="1"/>
  <c r="L238" i="8"/>
  <c r="Q238" i="8" s="1"/>
  <c r="L349" i="8"/>
  <c r="Q349" i="8" s="1"/>
  <c r="L455" i="8"/>
  <c r="Q455" i="8" s="1"/>
  <c r="L488" i="8"/>
  <c r="Q488" i="8" s="1"/>
  <c r="L418" i="8"/>
  <c r="Q418" i="8" s="1"/>
  <c r="L526" i="8"/>
  <c r="Q526" i="8" s="1"/>
  <c r="L430" i="8"/>
  <c r="Q430" i="8" s="1"/>
  <c r="L416" i="8"/>
  <c r="Q416" i="8" s="1"/>
  <c r="L396" i="8"/>
  <c r="Q396" i="8" s="1"/>
  <c r="L407" i="8"/>
  <c r="Q407" i="8" s="1"/>
  <c r="L713" i="8"/>
  <c r="Q713" i="8" s="1"/>
  <c r="L425" i="8"/>
  <c r="Q425" i="8" s="1"/>
  <c r="L419" i="8"/>
  <c r="Q419" i="8" s="1"/>
  <c r="L484" i="8"/>
  <c r="Q484" i="8" s="1"/>
  <c r="L479" i="8"/>
  <c r="Q479" i="8" s="1"/>
  <c r="L483" i="8"/>
  <c r="Q483" i="8" s="1"/>
  <c r="L399" i="8"/>
  <c r="Q399" i="8" s="1"/>
  <c r="L402" i="8"/>
  <c r="Q402" i="8" s="1"/>
  <c r="L527" i="8"/>
  <c r="Q527" i="8" s="1"/>
  <c r="L568" i="8"/>
  <c r="Q568" i="8" s="1"/>
  <c r="L542" i="8"/>
  <c r="Q542" i="8" s="1"/>
  <c r="L373" i="8"/>
  <c r="Q373" i="8" s="1"/>
  <c r="L446" i="8"/>
  <c r="Q446" i="8" s="1"/>
  <c r="L362" i="8"/>
  <c r="Q362" i="8" s="1"/>
  <c r="L550" i="8"/>
  <c r="Q550" i="8" s="1"/>
  <c r="L492" i="8"/>
  <c r="Q492" i="8" s="1"/>
  <c r="L412" i="8"/>
  <c r="Q412" i="8" s="1"/>
  <c r="L518" i="8"/>
  <c r="Q518" i="8" s="1"/>
  <c r="L453" i="8"/>
  <c r="Q453" i="8" s="1"/>
  <c r="L413" i="8"/>
  <c r="Q413" i="8" s="1"/>
  <c r="L178" i="8"/>
  <c r="Q178" i="8" s="1"/>
  <c r="L2" i="8"/>
  <c r="Q2" i="8" s="1"/>
  <c r="O2" i="6" a="1"/>
  <c r="O2" i="6" s="1"/>
  <c r="O711" i="6"/>
  <c r="O700" i="6"/>
  <c r="O336" i="6"/>
  <c r="O701" i="6"/>
  <c r="O702" i="6"/>
  <c r="O714" i="6"/>
  <c r="O704" i="6"/>
  <c r="O331" i="6"/>
  <c r="O330" i="6"/>
  <c r="O329" i="6"/>
  <c r="O328" i="6"/>
  <c r="O327" i="6"/>
  <c r="O326" i="6"/>
  <c r="O325" i="6"/>
  <c r="O324" i="6"/>
  <c r="O323" i="6"/>
  <c r="O322" i="6"/>
  <c r="O321" i="6"/>
  <c r="O320" i="6"/>
  <c r="O319" i="6"/>
  <c r="O318" i="6"/>
  <c r="O317" i="6"/>
  <c r="O316" i="6"/>
  <c r="O315" i="6"/>
  <c r="O314" i="6"/>
  <c r="O313" i="6"/>
  <c r="O713"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712"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69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715" i="6"/>
  <c r="O122" i="6"/>
  <c r="O121" i="6"/>
  <c r="O120" i="6"/>
  <c r="O119" i="6"/>
  <c r="O118" i="6"/>
  <c r="O117" i="6"/>
  <c r="O116" i="6"/>
  <c r="O115" i="6"/>
  <c r="O114" i="6"/>
  <c r="O113" i="6"/>
  <c r="O112" i="6"/>
  <c r="O111" i="6"/>
  <c r="O110" i="6"/>
  <c r="O109" i="6"/>
  <c r="O108" i="6"/>
  <c r="O107" i="6"/>
  <c r="O106" i="6"/>
  <c r="O105" i="6"/>
  <c r="O104" i="6"/>
  <c r="O103" i="6"/>
  <c r="O102" i="6"/>
  <c r="O101" i="6"/>
  <c r="O100" i="6"/>
  <c r="O99" i="6"/>
  <c r="O716" i="6"/>
  <c r="O717" i="6"/>
  <c r="O718"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705" i="6"/>
  <c r="O706" i="6"/>
  <c r="O47" i="6"/>
  <c r="O46" i="6"/>
  <c r="O45" i="6"/>
  <c r="O44" i="6"/>
  <c r="O43" i="6"/>
  <c r="O42" i="6"/>
  <c r="O41" i="6"/>
  <c r="O40" i="6"/>
  <c r="O39" i="6"/>
  <c r="O38" i="6"/>
  <c r="O37" i="6"/>
  <c r="O36" i="6"/>
  <c r="O35" i="6"/>
  <c r="O34" i="6"/>
  <c r="O33" i="6"/>
  <c r="O32" i="6"/>
  <c r="O31" i="6"/>
  <c r="O30" i="6"/>
  <c r="O29" i="6"/>
  <c r="O28" i="6"/>
  <c r="O27" i="6"/>
  <c r="O26" i="6"/>
  <c r="O25" i="6"/>
  <c r="O24" i="6"/>
  <c r="O703" i="6"/>
  <c r="O22" i="6"/>
  <c r="O21" i="6"/>
  <c r="O709" i="6"/>
  <c r="O710" i="6"/>
  <c r="O18" i="6"/>
  <c r="O17" i="6"/>
  <c r="O16" i="6"/>
  <c r="O15" i="6"/>
  <c r="O14" i="6"/>
  <c r="O13" i="6"/>
  <c r="O12" i="6"/>
  <c r="O11" i="6"/>
  <c r="O10" i="6"/>
  <c r="O9" i="6"/>
  <c r="O8" i="6"/>
  <c r="O7" i="6"/>
  <c r="O6" i="6"/>
  <c r="O5" i="6"/>
  <c r="O4" i="6"/>
  <c r="O707" i="6"/>
  <c r="O708" i="6"/>
  <c r="E3" i="5"/>
  <c r="F3" i="5" s="1"/>
  <c r="E4" i="5"/>
  <c r="F4" i="5" s="1"/>
  <c r="E5" i="5"/>
  <c r="F5" i="5" s="1"/>
  <c r="E6" i="5"/>
  <c r="F6" i="5" s="1"/>
  <c r="E7" i="5"/>
  <c r="F7" i="5" s="1"/>
  <c r="E8" i="5"/>
  <c r="F8" i="5" s="1"/>
  <c r="E9" i="5"/>
  <c r="F9" i="5" s="1"/>
  <c r="E10" i="5"/>
  <c r="F10" i="5" s="1"/>
  <c r="E11" i="5"/>
  <c r="F11" i="5" s="1"/>
  <c r="E12" i="5"/>
  <c r="F12" i="5" s="1"/>
  <c r="E13" i="5"/>
  <c r="F13" i="5" s="1"/>
  <c r="E14" i="5"/>
  <c r="F14" i="5" s="1"/>
  <c r="E15" i="5"/>
  <c r="F15" i="5" s="1"/>
  <c r="E16" i="5"/>
  <c r="F16" i="5" s="1"/>
  <c r="E17" i="5"/>
  <c r="F17" i="5" s="1"/>
  <c r="E18" i="5"/>
  <c r="F18" i="5" s="1"/>
  <c r="E19" i="5"/>
  <c r="F19" i="5" s="1"/>
  <c r="E20" i="5"/>
  <c r="F20" i="5" s="1"/>
  <c r="E21" i="5"/>
  <c r="F21" i="5" s="1"/>
  <c r="E22" i="5"/>
  <c r="F22" i="5" s="1"/>
  <c r="E23" i="5"/>
  <c r="F23" i="5" s="1"/>
  <c r="E24" i="5"/>
  <c r="F24" i="5" s="1"/>
  <c r="E25" i="5"/>
  <c r="F25" i="5" s="1"/>
  <c r="E26" i="5"/>
  <c r="F26" i="5" s="1"/>
  <c r="E27" i="5"/>
  <c r="F27" i="5" s="1"/>
  <c r="E28" i="5"/>
  <c r="F28" i="5" s="1"/>
  <c r="E29" i="5"/>
  <c r="F29" i="5" s="1"/>
  <c r="E30" i="5"/>
  <c r="F30" i="5" s="1"/>
  <c r="E31" i="5"/>
  <c r="F31" i="5" s="1"/>
  <c r="E32" i="5"/>
  <c r="F32" i="5" s="1"/>
  <c r="E33" i="5"/>
  <c r="F33" i="5" s="1"/>
  <c r="E34" i="5"/>
  <c r="F34" i="5" s="1"/>
  <c r="E35" i="5"/>
  <c r="F35" i="5" s="1"/>
  <c r="E36" i="5"/>
  <c r="F36" i="5" s="1"/>
  <c r="E37" i="5"/>
  <c r="F37" i="5" s="1"/>
  <c r="E38" i="5"/>
  <c r="F38" i="5" s="1"/>
  <c r="E39" i="5"/>
  <c r="F39" i="5" s="1"/>
  <c r="E40" i="5"/>
  <c r="F40" i="5" s="1"/>
  <c r="E41" i="5"/>
  <c r="F41" i="5" s="1"/>
  <c r="E42" i="5"/>
  <c r="F42" i="5" s="1"/>
  <c r="E43" i="5"/>
  <c r="F43" i="5" s="1"/>
  <c r="E44" i="5"/>
  <c r="F44" i="5" s="1"/>
  <c r="E45" i="5"/>
  <c r="F45" i="5" s="1"/>
  <c r="E46" i="5"/>
  <c r="F46" i="5" s="1"/>
  <c r="E47" i="5"/>
  <c r="F47" i="5" s="1"/>
  <c r="E48" i="5"/>
  <c r="F48" i="5" s="1"/>
  <c r="E49" i="5"/>
  <c r="F49" i="5" s="1"/>
  <c r="E50" i="5"/>
  <c r="F50" i="5" s="1"/>
  <c r="E51" i="5"/>
  <c r="F51" i="5" s="1"/>
  <c r="E52" i="5"/>
  <c r="F52" i="5" s="1"/>
  <c r="E53" i="5"/>
  <c r="F53" i="5" s="1"/>
  <c r="E54" i="5"/>
  <c r="F54" i="5" s="1"/>
  <c r="E55" i="5"/>
  <c r="F55" i="5" s="1"/>
  <c r="E56" i="5"/>
  <c r="F56" i="5" s="1"/>
  <c r="E57" i="5"/>
  <c r="F57" i="5" s="1"/>
  <c r="E58" i="5"/>
  <c r="F58" i="5" s="1"/>
  <c r="E59" i="5"/>
  <c r="F59" i="5" s="1"/>
  <c r="E60" i="5"/>
  <c r="F60" i="5" s="1"/>
  <c r="E61" i="5"/>
  <c r="F61" i="5" s="1"/>
  <c r="E62" i="5"/>
  <c r="F62" i="5" s="1"/>
  <c r="E63" i="5"/>
  <c r="F63" i="5" s="1"/>
  <c r="E64" i="5"/>
  <c r="F64" i="5" s="1"/>
  <c r="E65" i="5"/>
  <c r="F65" i="5" s="1"/>
  <c r="E66" i="5"/>
  <c r="F66" i="5" s="1"/>
  <c r="E67" i="5"/>
  <c r="F67" i="5" s="1"/>
  <c r="E68" i="5"/>
  <c r="F68" i="5" s="1"/>
  <c r="E69" i="5"/>
  <c r="F69" i="5" s="1"/>
  <c r="E70" i="5"/>
  <c r="F70" i="5" s="1"/>
  <c r="E71" i="5"/>
  <c r="F71" i="5" s="1"/>
  <c r="E72" i="5"/>
  <c r="F72" i="5" s="1"/>
  <c r="E73" i="5"/>
  <c r="F73" i="5" s="1"/>
  <c r="E74" i="5"/>
  <c r="F74" i="5" s="1"/>
  <c r="E75" i="5"/>
  <c r="F75" i="5" s="1"/>
  <c r="E76" i="5"/>
  <c r="F76" i="5" s="1"/>
  <c r="E77" i="5"/>
  <c r="F77" i="5" s="1"/>
  <c r="E78" i="5"/>
  <c r="F78" i="5" s="1"/>
  <c r="E79" i="5"/>
  <c r="F79" i="5" s="1"/>
  <c r="E80" i="5"/>
  <c r="F80" i="5" s="1"/>
  <c r="E81" i="5"/>
  <c r="F81" i="5" s="1"/>
  <c r="E82" i="5"/>
  <c r="F82" i="5" s="1"/>
  <c r="E83" i="5"/>
  <c r="F83" i="5" s="1"/>
  <c r="E84" i="5"/>
  <c r="F84" i="5" s="1"/>
  <c r="E85" i="5"/>
  <c r="F85" i="5" s="1"/>
  <c r="E86" i="5"/>
  <c r="F86" i="5" s="1"/>
  <c r="E87" i="5"/>
  <c r="F87" i="5" s="1"/>
  <c r="E88" i="5"/>
  <c r="F88" i="5" s="1"/>
  <c r="E89" i="5"/>
  <c r="F89" i="5" s="1"/>
  <c r="E90" i="5"/>
  <c r="F90" i="5" s="1"/>
  <c r="E91" i="5"/>
  <c r="F91" i="5" s="1"/>
  <c r="E92" i="5"/>
  <c r="F92" i="5" s="1"/>
  <c r="E93" i="5"/>
  <c r="F93" i="5" s="1"/>
  <c r="E94" i="5"/>
  <c r="F94" i="5" s="1"/>
  <c r="E95" i="5"/>
  <c r="F95" i="5" s="1"/>
  <c r="E96" i="5"/>
  <c r="F96" i="5" s="1"/>
  <c r="E97" i="5"/>
  <c r="F97" i="5" s="1"/>
  <c r="E98" i="5"/>
  <c r="F98" i="5" s="1"/>
  <c r="E99" i="5"/>
  <c r="F99" i="5" s="1"/>
  <c r="E100" i="5"/>
  <c r="F100" i="5" s="1"/>
  <c r="E101" i="5"/>
  <c r="F101" i="5" s="1"/>
  <c r="E102" i="5"/>
  <c r="F102" i="5" s="1"/>
  <c r="E103" i="5"/>
  <c r="F103" i="5" s="1"/>
  <c r="E104" i="5"/>
  <c r="F104" i="5" s="1"/>
  <c r="E105" i="5"/>
  <c r="F105" i="5" s="1"/>
  <c r="E106" i="5"/>
  <c r="F106" i="5" s="1"/>
  <c r="E107" i="5"/>
  <c r="F107" i="5" s="1"/>
  <c r="E108" i="5"/>
  <c r="F108" i="5" s="1"/>
  <c r="E109" i="5"/>
  <c r="F109" i="5" s="1"/>
  <c r="E110" i="5"/>
  <c r="F110" i="5" s="1"/>
  <c r="E111" i="5"/>
  <c r="F111" i="5" s="1"/>
  <c r="E112" i="5"/>
  <c r="F112" i="5" s="1"/>
  <c r="E113" i="5"/>
  <c r="F113" i="5" s="1"/>
  <c r="E114" i="5"/>
  <c r="F114" i="5" s="1"/>
  <c r="E115" i="5"/>
  <c r="F115" i="5" s="1"/>
  <c r="E116" i="5"/>
  <c r="F116" i="5" s="1"/>
  <c r="E117" i="5"/>
  <c r="F117" i="5" s="1"/>
  <c r="E118" i="5"/>
  <c r="F118" i="5" s="1"/>
  <c r="E119" i="5"/>
  <c r="F119" i="5" s="1"/>
  <c r="E120" i="5"/>
  <c r="F120" i="5" s="1"/>
  <c r="E121" i="5"/>
  <c r="F121" i="5" s="1"/>
  <c r="E122" i="5"/>
  <c r="F122" i="5" s="1"/>
  <c r="E123" i="5"/>
  <c r="F123" i="5" s="1"/>
  <c r="E124" i="5"/>
  <c r="F124" i="5" s="1"/>
  <c r="E125" i="5"/>
  <c r="F125" i="5" s="1"/>
  <c r="E126" i="5"/>
  <c r="F126" i="5" s="1"/>
  <c r="E127" i="5"/>
  <c r="F127" i="5" s="1"/>
  <c r="E128" i="5"/>
  <c r="F128" i="5" s="1"/>
  <c r="E129" i="5"/>
  <c r="F129" i="5" s="1"/>
  <c r="E130" i="5"/>
  <c r="F130" i="5" s="1"/>
  <c r="E131" i="5"/>
  <c r="F131" i="5" s="1"/>
  <c r="E132" i="5"/>
  <c r="F132" i="5" s="1"/>
  <c r="E133" i="5"/>
  <c r="F133" i="5" s="1"/>
  <c r="E134" i="5"/>
  <c r="F134" i="5" s="1"/>
  <c r="E135" i="5"/>
  <c r="F135" i="5" s="1"/>
  <c r="E136" i="5"/>
  <c r="F136" i="5" s="1"/>
  <c r="E137" i="5"/>
  <c r="F137" i="5" s="1"/>
  <c r="E138" i="5"/>
  <c r="F138" i="5" s="1"/>
  <c r="E139" i="5"/>
  <c r="F139" i="5" s="1"/>
  <c r="E140" i="5"/>
  <c r="F140" i="5" s="1"/>
  <c r="E141" i="5"/>
  <c r="F141" i="5" s="1"/>
  <c r="E142" i="5"/>
  <c r="F142" i="5" s="1"/>
  <c r="E143" i="5"/>
  <c r="F143" i="5" s="1"/>
  <c r="E144" i="5"/>
  <c r="F144" i="5" s="1"/>
  <c r="E145" i="5"/>
  <c r="F145" i="5" s="1"/>
  <c r="E146" i="5"/>
  <c r="F146" i="5" s="1"/>
  <c r="E147" i="5"/>
  <c r="F147" i="5" s="1"/>
  <c r="E148" i="5"/>
  <c r="F148" i="5" s="1"/>
  <c r="E149" i="5"/>
  <c r="F149" i="5" s="1"/>
  <c r="E150" i="5"/>
  <c r="F150" i="5" s="1"/>
  <c r="E151" i="5"/>
  <c r="F151" i="5" s="1"/>
  <c r="E152" i="5"/>
  <c r="F152" i="5" s="1"/>
  <c r="E153" i="5"/>
  <c r="F153" i="5" s="1"/>
  <c r="E154" i="5"/>
  <c r="F154" i="5" s="1"/>
  <c r="E155" i="5"/>
  <c r="F155" i="5" s="1"/>
  <c r="E156" i="5"/>
  <c r="F156" i="5" s="1"/>
  <c r="E157" i="5"/>
  <c r="F157" i="5" s="1"/>
  <c r="E158" i="5"/>
  <c r="F158" i="5" s="1"/>
  <c r="E159" i="5"/>
  <c r="F159" i="5" s="1"/>
  <c r="E160" i="5"/>
  <c r="F160" i="5" s="1"/>
  <c r="E161" i="5"/>
  <c r="F161" i="5" s="1"/>
  <c r="E162" i="5"/>
  <c r="F162" i="5" s="1"/>
  <c r="E163" i="5"/>
  <c r="F163" i="5" s="1"/>
  <c r="E164" i="5"/>
  <c r="F164" i="5" s="1"/>
  <c r="E165" i="5"/>
  <c r="F165" i="5" s="1"/>
  <c r="E166" i="5"/>
  <c r="F166" i="5" s="1"/>
  <c r="E167" i="5"/>
  <c r="F167" i="5" s="1"/>
  <c r="E168" i="5"/>
  <c r="F168" i="5" s="1"/>
  <c r="E169" i="5"/>
  <c r="F169" i="5" s="1"/>
  <c r="E170" i="5"/>
  <c r="F170" i="5" s="1"/>
  <c r="E171" i="5"/>
  <c r="F171" i="5" s="1"/>
  <c r="E172" i="5"/>
  <c r="F172" i="5" s="1"/>
  <c r="E173" i="5"/>
  <c r="F173" i="5" s="1"/>
  <c r="E174" i="5"/>
  <c r="F174" i="5" s="1"/>
  <c r="E175" i="5"/>
  <c r="F175" i="5" s="1"/>
  <c r="E176" i="5"/>
  <c r="F176" i="5" s="1"/>
  <c r="E177" i="5"/>
  <c r="F177" i="5" s="1"/>
  <c r="E178" i="5"/>
  <c r="F178" i="5" s="1"/>
  <c r="E179" i="5"/>
  <c r="F179" i="5" s="1"/>
  <c r="E180" i="5"/>
  <c r="F180" i="5" s="1"/>
  <c r="E181" i="5"/>
  <c r="F181" i="5" s="1"/>
  <c r="E182" i="5"/>
  <c r="F182" i="5" s="1"/>
  <c r="E183" i="5"/>
  <c r="F183" i="5" s="1"/>
  <c r="E184" i="5"/>
  <c r="F184" i="5" s="1"/>
  <c r="E185" i="5"/>
  <c r="F185" i="5" s="1"/>
  <c r="E186" i="5"/>
  <c r="F186" i="5" s="1"/>
  <c r="E187" i="5"/>
  <c r="F187" i="5" s="1"/>
  <c r="E188" i="5"/>
  <c r="F188" i="5" s="1"/>
  <c r="E189" i="5"/>
  <c r="F189" i="5" s="1"/>
  <c r="E190" i="5"/>
  <c r="F190" i="5" s="1"/>
  <c r="E191" i="5"/>
  <c r="F191" i="5" s="1"/>
  <c r="E192" i="5"/>
  <c r="F192" i="5" s="1"/>
  <c r="E193" i="5"/>
  <c r="F193" i="5" s="1"/>
  <c r="E194" i="5"/>
  <c r="F194" i="5" s="1"/>
  <c r="E195" i="5"/>
  <c r="F195" i="5" s="1"/>
  <c r="E196" i="5"/>
  <c r="F196" i="5" s="1"/>
  <c r="E197" i="5"/>
  <c r="F197" i="5" s="1"/>
  <c r="E198" i="5"/>
  <c r="F198" i="5" s="1"/>
  <c r="E199" i="5"/>
  <c r="F199" i="5" s="1"/>
  <c r="E200" i="5"/>
  <c r="F200" i="5" s="1"/>
  <c r="E201" i="5"/>
  <c r="F201" i="5" s="1"/>
  <c r="E202" i="5"/>
  <c r="F202" i="5" s="1"/>
  <c r="E203" i="5"/>
  <c r="F203" i="5" s="1"/>
  <c r="E204" i="5"/>
  <c r="F204" i="5" s="1"/>
  <c r="E205" i="5"/>
  <c r="F205" i="5" s="1"/>
  <c r="E206" i="5"/>
  <c r="F206" i="5" s="1"/>
  <c r="E207" i="5"/>
  <c r="F207" i="5" s="1"/>
  <c r="E208" i="5"/>
  <c r="F208" i="5" s="1"/>
  <c r="E209" i="5"/>
  <c r="F209" i="5" s="1"/>
  <c r="E210" i="5"/>
  <c r="F210" i="5" s="1"/>
  <c r="E211" i="5"/>
  <c r="F211" i="5" s="1"/>
  <c r="E212" i="5"/>
  <c r="F212" i="5" s="1"/>
  <c r="E213" i="5"/>
  <c r="F213" i="5" s="1"/>
  <c r="E214" i="5"/>
  <c r="F214" i="5" s="1"/>
  <c r="E215" i="5"/>
  <c r="F215" i="5" s="1"/>
  <c r="E216" i="5"/>
  <c r="F216" i="5" s="1"/>
  <c r="E217" i="5"/>
  <c r="F217" i="5" s="1"/>
  <c r="E218" i="5"/>
  <c r="F218" i="5" s="1"/>
  <c r="E219" i="5"/>
  <c r="F219" i="5" s="1"/>
  <c r="E220" i="5"/>
  <c r="F220" i="5" s="1"/>
  <c r="E221" i="5"/>
  <c r="F221" i="5" s="1"/>
  <c r="E222" i="5"/>
  <c r="F222" i="5" s="1"/>
  <c r="E223" i="5"/>
  <c r="F223" i="5" s="1"/>
  <c r="E224" i="5"/>
  <c r="F224" i="5" s="1"/>
  <c r="E225" i="5"/>
  <c r="F225" i="5" s="1"/>
  <c r="E226" i="5"/>
  <c r="F226" i="5" s="1"/>
  <c r="E227" i="5"/>
  <c r="F227" i="5" s="1"/>
  <c r="E228" i="5"/>
  <c r="F228" i="5" s="1"/>
  <c r="E229" i="5"/>
  <c r="F229" i="5" s="1"/>
  <c r="E230" i="5"/>
  <c r="F230" i="5" s="1"/>
  <c r="E231" i="5"/>
  <c r="F231" i="5" s="1"/>
  <c r="E232" i="5"/>
  <c r="F232" i="5" s="1"/>
  <c r="E233" i="5"/>
  <c r="F233" i="5" s="1"/>
  <c r="E234" i="5"/>
  <c r="F234" i="5" s="1"/>
  <c r="E235" i="5"/>
  <c r="F235" i="5" s="1"/>
  <c r="E236" i="5"/>
  <c r="F236" i="5" s="1"/>
  <c r="E237" i="5"/>
  <c r="F237" i="5" s="1"/>
  <c r="E238" i="5"/>
  <c r="F238" i="5" s="1"/>
  <c r="E239" i="5"/>
  <c r="F239" i="5" s="1"/>
  <c r="E240" i="5"/>
  <c r="F240" i="5" s="1"/>
  <c r="E241" i="5"/>
  <c r="F241" i="5" s="1"/>
  <c r="E242" i="5"/>
  <c r="F242" i="5" s="1"/>
  <c r="E243" i="5"/>
  <c r="F243" i="5" s="1"/>
  <c r="E244" i="5"/>
  <c r="F244" i="5" s="1"/>
  <c r="E245" i="5"/>
  <c r="F245" i="5" s="1"/>
  <c r="E246" i="5"/>
  <c r="F246" i="5" s="1"/>
  <c r="E247" i="5"/>
  <c r="F247" i="5" s="1"/>
  <c r="E248" i="5"/>
  <c r="F248" i="5" s="1"/>
  <c r="E249" i="5"/>
  <c r="F249" i="5" s="1"/>
  <c r="E250" i="5"/>
  <c r="F250" i="5" s="1"/>
  <c r="E251" i="5"/>
  <c r="F251" i="5" s="1"/>
  <c r="E252" i="5"/>
  <c r="F252" i="5" s="1"/>
  <c r="E253" i="5"/>
  <c r="F253" i="5" s="1"/>
  <c r="E254" i="5"/>
  <c r="F254" i="5" s="1"/>
  <c r="E255" i="5"/>
  <c r="F255" i="5" s="1"/>
  <c r="E256" i="5"/>
  <c r="F256" i="5" s="1"/>
  <c r="E257" i="5"/>
  <c r="F257" i="5" s="1"/>
  <c r="E258" i="5"/>
  <c r="F258" i="5" s="1"/>
  <c r="E259" i="5"/>
  <c r="F259" i="5" s="1"/>
  <c r="E260" i="5"/>
  <c r="F260" i="5" s="1"/>
  <c r="E261" i="5"/>
  <c r="F261" i="5" s="1"/>
  <c r="E262" i="5"/>
  <c r="F262" i="5" s="1"/>
  <c r="E263" i="5"/>
  <c r="F263" i="5" s="1"/>
  <c r="E264" i="5"/>
  <c r="F264" i="5" s="1"/>
  <c r="E265" i="5"/>
  <c r="F265" i="5" s="1"/>
  <c r="E266" i="5"/>
  <c r="F266" i="5" s="1"/>
  <c r="E267" i="5"/>
  <c r="F267" i="5" s="1"/>
  <c r="E268" i="5"/>
  <c r="F268" i="5" s="1"/>
  <c r="E269" i="5"/>
  <c r="F269" i="5" s="1"/>
  <c r="E270" i="5"/>
  <c r="F270" i="5" s="1"/>
  <c r="E271" i="5"/>
  <c r="F271" i="5" s="1"/>
  <c r="E272" i="5"/>
  <c r="F272" i="5" s="1"/>
  <c r="E273" i="5"/>
  <c r="F273" i="5" s="1"/>
  <c r="E274" i="5"/>
  <c r="F274" i="5" s="1"/>
  <c r="E275" i="5"/>
  <c r="F275" i="5" s="1"/>
  <c r="E276" i="5"/>
  <c r="F276" i="5" s="1"/>
  <c r="E277" i="5"/>
  <c r="F277" i="5" s="1"/>
  <c r="E278" i="5"/>
  <c r="F278" i="5" s="1"/>
  <c r="E279" i="5"/>
  <c r="F279" i="5" s="1"/>
  <c r="E280" i="5"/>
  <c r="F280" i="5" s="1"/>
  <c r="E281" i="5"/>
  <c r="F281" i="5" s="1"/>
  <c r="E282" i="5"/>
  <c r="F282" i="5" s="1"/>
  <c r="E283" i="5"/>
  <c r="F283" i="5" s="1"/>
  <c r="E284" i="5"/>
  <c r="F284" i="5" s="1"/>
  <c r="E285" i="5"/>
  <c r="F285" i="5" s="1"/>
  <c r="E286" i="5"/>
  <c r="F286" i="5" s="1"/>
  <c r="E287" i="5"/>
  <c r="F287" i="5" s="1"/>
  <c r="E288" i="5"/>
  <c r="F288" i="5" s="1"/>
  <c r="E289" i="5"/>
  <c r="F289" i="5" s="1"/>
  <c r="E290" i="5"/>
  <c r="F290" i="5" s="1"/>
  <c r="E291" i="5"/>
  <c r="F291" i="5" s="1"/>
  <c r="E292" i="5"/>
  <c r="F292" i="5" s="1"/>
  <c r="E293" i="5"/>
  <c r="F293" i="5" s="1"/>
  <c r="E294" i="5"/>
  <c r="F294" i="5" s="1"/>
  <c r="E295" i="5"/>
  <c r="F295" i="5" s="1"/>
  <c r="E296" i="5"/>
  <c r="F296" i="5" s="1"/>
  <c r="E297" i="5"/>
  <c r="F297" i="5" s="1"/>
  <c r="E298" i="5"/>
  <c r="F298" i="5" s="1"/>
  <c r="E299" i="5"/>
  <c r="F299" i="5" s="1"/>
  <c r="E300" i="5"/>
  <c r="F300" i="5" s="1"/>
  <c r="E301" i="5"/>
  <c r="F301" i="5" s="1"/>
  <c r="E302" i="5"/>
  <c r="F302" i="5" s="1"/>
  <c r="E303" i="5"/>
  <c r="F303" i="5" s="1"/>
  <c r="E304" i="5"/>
  <c r="F304" i="5" s="1"/>
  <c r="E305" i="5"/>
  <c r="F305" i="5" s="1"/>
  <c r="E306" i="5"/>
  <c r="F306" i="5" s="1"/>
  <c r="E307" i="5"/>
  <c r="F307" i="5" s="1"/>
  <c r="E308" i="5"/>
  <c r="F308" i="5" s="1"/>
  <c r="E309" i="5"/>
  <c r="F309" i="5" s="1"/>
  <c r="E310" i="5"/>
  <c r="F310" i="5" s="1"/>
  <c r="E311" i="5"/>
  <c r="F311" i="5" s="1"/>
  <c r="E312" i="5"/>
  <c r="F312" i="5" s="1"/>
  <c r="E313" i="5"/>
  <c r="F313" i="5" s="1"/>
  <c r="E314" i="5"/>
  <c r="F314" i="5" s="1"/>
  <c r="E315" i="5"/>
  <c r="F315" i="5" s="1"/>
  <c r="E316" i="5"/>
  <c r="F316" i="5" s="1"/>
  <c r="E317" i="5"/>
  <c r="F317" i="5" s="1"/>
  <c r="E318" i="5"/>
  <c r="F318" i="5" s="1"/>
  <c r="E319" i="5"/>
  <c r="F319" i="5" s="1"/>
  <c r="E320" i="5"/>
  <c r="F320" i="5" s="1"/>
  <c r="E321" i="5"/>
  <c r="F321" i="5" s="1"/>
  <c r="E322" i="5"/>
  <c r="F322" i="5" s="1"/>
  <c r="E323" i="5"/>
  <c r="F323" i="5" s="1"/>
  <c r="E324" i="5"/>
  <c r="F324" i="5" s="1"/>
  <c r="E325" i="5"/>
  <c r="F325" i="5" s="1"/>
  <c r="E326" i="5"/>
  <c r="F326" i="5" s="1"/>
  <c r="E327" i="5"/>
  <c r="F327" i="5" s="1"/>
  <c r="E328" i="5"/>
  <c r="F328" i="5" s="1"/>
  <c r="E329" i="5"/>
  <c r="F329" i="5" s="1"/>
  <c r="E330" i="5"/>
  <c r="F330" i="5" s="1"/>
  <c r="E331" i="5"/>
  <c r="F331" i="5" s="1"/>
  <c r="E332" i="5"/>
  <c r="F332" i="5" s="1"/>
  <c r="E333" i="5"/>
  <c r="F333" i="5" s="1"/>
  <c r="E334" i="5"/>
  <c r="F334" i="5" s="1"/>
  <c r="E335" i="5"/>
  <c r="F335" i="5" s="1"/>
  <c r="E336" i="5"/>
  <c r="F336" i="5" s="1"/>
  <c r="E337" i="5"/>
  <c r="F337" i="5" s="1"/>
  <c r="E338" i="5"/>
  <c r="F338" i="5" s="1"/>
  <c r="E339" i="5"/>
  <c r="F339" i="5" s="1"/>
  <c r="E340" i="5"/>
  <c r="F340" i="5" s="1"/>
  <c r="E341" i="5"/>
  <c r="F341" i="5" s="1"/>
  <c r="E342" i="5"/>
  <c r="F342" i="5" s="1"/>
  <c r="E343" i="5"/>
  <c r="F343" i="5" s="1"/>
  <c r="E344" i="5"/>
  <c r="F344" i="5" s="1"/>
  <c r="E345" i="5"/>
  <c r="F345" i="5" s="1"/>
  <c r="E346" i="5"/>
  <c r="F346" i="5" s="1"/>
  <c r="E347" i="5"/>
  <c r="F347" i="5" s="1"/>
  <c r="E348" i="5"/>
  <c r="F348" i="5" s="1"/>
  <c r="E349" i="5"/>
  <c r="F349" i="5" s="1"/>
  <c r="E350" i="5"/>
  <c r="F350" i="5" s="1"/>
  <c r="E351" i="5"/>
  <c r="F351" i="5" s="1"/>
  <c r="E352" i="5"/>
  <c r="F352" i="5" s="1"/>
  <c r="E353" i="5"/>
  <c r="F353" i="5" s="1"/>
  <c r="E354" i="5"/>
  <c r="F354" i="5" s="1"/>
  <c r="E355" i="5"/>
  <c r="F355" i="5" s="1"/>
  <c r="E356" i="5"/>
  <c r="F356" i="5" s="1"/>
  <c r="E357" i="5"/>
  <c r="F357" i="5" s="1"/>
  <c r="E358" i="5"/>
  <c r="F358" i="5" s="1"/>
  <c r="E359" i="5"/>
  <c r="F359" i="5" s="1"/>
  <c r="E360" i="5"/>
  <c r="F360" i="5" s="1"/>
  <c r="E361" i="5"/>
  <c r="F361" i="5" s="1"/>
  <c r="E362" i="5"/>
  <c r="F362" i="5" s="1"/>
  <c r="E363" i="5"/>
  <c r="F363" i="5" s="1"/>
  <c r="E364" i="5"/>
  <c r="F364" i="5" s="1"/>
  <c r="E365" i="5"/>
  <c r="F365" i="5" s="1"/>
  <c r="E366" i="5"/>
  <c r="F366" i="5" s="1"/>
  <c r="E367" i="5"/>
  <c r="F367" i="5" s="1"/>
  <c r="E368" i="5"/>
  <c r="F368" i="5" s="1"/>
  <c r="E369" i="5"/>
  <c r="F369" i="5" s="1"/>
  <c r="E370" i="5"/>
  <c r="F370" i="5" s="1"/>
  <c r="E371" i="5"/>
  <c r="F371" i="5" s="1"/>
  <c r="E372" i="5"/>
  <c r="F372" i="5" s="1"/>
  <c r="E373" i="5"/>
  <c r="F373" i="5" s="1"/>
  <c r="E374" i="5"/>
  <c r="F374" i="5" s="1"/>
  <c r="E375" i="5"/>
  <c r="F375" i="5" s="1"/>
  <c r="E376" i="5"/>
  <c r="F376" i="5" s="1"/>
  <c r="E377" i="5"/>
  <c r="F377" i="5" s="1"/>
  <c r="E378" i="5"/>
  <c r="F378" i="5" s="1"/>
  <c r="E379" i="5"/>
  <c r="F379" i="5" s="1"/>
  <c r="E380" i="5"/>
  <c r="F380" i="5" s="1"/>
  <c r="E381" i="5"/>
  <c r="F381" i="5" s="1"/>
  <c r="E2" i="5"/>
  <c r="F2" i="5" s="1"/>
  <c r="O338" i="4"/>
  <c r="O334" i="4"/>
  <c r="O333" i="4"/>
  <c r="O325" i="4"/>
  <c r="O330" i="4"/>
  <c r="O20" i="4"/>
  <c r="O123" i="4"/>
  <c r="O329" i="4"/>
  <c r="O327" i="4"/>
  <c r="O321" i="4"/>
  <c r="O97" i="4"/>
  <c r="O324" i="4"/>
  <c r="O326" i="4"/>
  <c r="O312" i="4"/>
  <c r="O305" i="4"/>
  <c r="O316" i="4"/>
  <c r="O306" i="4"/>
  <c r="O2" i="4"/>
  <c r="O313" i="4"/>
  <c r="O309" i="4"/>
  <c r="O322" i="4"/>
  <c r="O308" i="4"/>
  <c r="O307" i="4"/>
  <c r="O48" i="4"/>
  <c r="O331" i="4"/>
  <c r="O323" i="4"/>
  <c r="O304" i="4"/>
  <c r="O209" i="4"/>
  <c r="O328" i="4"/>
  <c r="O318" i="4"/>
  <c r="O317" i="4"/>
  <c r="O320" i="4"/>
  <c r="O311" i="4"/>
  <c r="O310" i="4"/>
  <c r="O3" i="4"/>
  <c r="O319" i="4"/>
  <c r="O23" i="4"/>
  <c r="O238" i="4"/>
  <c r="O303" i="4"/>
  <c r="O315" i="4"/>
  <c r="O49" i="4"/>
  <c r="O336" i="4"/>
  <c r="O302" i="4"/>
  <c r="O301" i="4"/>
  <c r="O314" i="4"/>
  <c r="O300" i="4"/>
  <c r="O98" i="4"/>
  <c r="O96" i="4"/>
  <c r="O19" i="4"/>
  <c r="O332" i="4"/>
  <c r="O335" i="4"/>
  <c r="O337" i="4"/>
  <c r="O236" i="4"/>
  <c r="O17" i="4"/>
  <c r="O18" i="4"/>
  <c r="O109" i="4"/>
  <c r="O21" i="4"/>
  <c r="O72" i="4"/>
  <c r="O81" i="4"/>
  <c r="O269" i="4"/>
  <c r="O125" i="4"/>
  <c r="O22" i="4"/>
  <c r="O102" i="4"/>
  <c r="O174" i="4"/>
  <c r="O195" i="4"/>
  <c r="O249" i="4"/>
  <c r="O93" i="4"/>
  <c r="O257" i="4"/>
  <c r="O169" i="4"/>
  <c r="O100" i="4"/>
  <c r="O183" i="4"/>
  <c r="O65" i="4"/>
  <c r="O218" i="4"/>
  <c r="O91" i="4"/>
  <c r="O212" i="4"/>
  <c r="O153" i="4"/>
  <c r="O61" i="4"/>
  <c r="O8" i="4"/>
  <c r="O124" i="4"/>
  <c r="O106" i="4"/>
  <c r="O250" i="4"/>
  <c r="O179" i="4"/>
  <c r="O63" i="4"/>
  <c r="O117" i="4"/>
  <c r="O290" i="4"/>
  <c r="O110" i="4"/>
  <c r="O128" i="4"/>
  <c r="O41" i="4"/>
  <c r="O46" i="4"/>
  <c r="O87" i="4"/>
  <c r="O122" i="4"/>
  <c r="O85" i="4"/>
  <c r="O26" i="4"/>
  <c r="O254" i="4"/>
  <c r="O42" i="4"/>
  <c r="O57" i="4"/>
  <c r="O246" i="4"/>
  <c r="O136" i="4"/>
  <c r="O172" i="4"/>
  <c r="O120" i="4"/>
  <c r="O255" i="4"/>
  <c r="O291" i="4"/>
  <c r="O133" i="4"/>
  <c r="O287" i="4"/>
  <c r="O40" i="4"/>
  <c r="O216" i="4"/>
  <c r="O272" i="4"/>
  <c r="O198" i="4"/>
  <c r="O164" i="4"/>
  <c r="O94" i="4"/>
  <c r="O220" i="4"/>
  <c r="O203" i="4"/>
  <c r="O56" i="4"/>
  <c r="O205" i="4"/>
  <c r="O223" i="4"/>
  <c r="O289" i="4"/>
  <c r="O251" i="4"/>
  <c r="O227" i="4"/>
  <c r="O118" i="4"/>
  <c r="O295" i="4"/>
  <c r="O271" i="4"/>
  <c r="O82" i="4"/>
  <c r="O107" i="4"/>
  <c r="O139" i="4"/>
  <c r="O12" i="4"/>
  <c r="O131" i="4"/>
  <c r="O36" i="4"/>
  <c r="O157" i="4"/>
  <c r="O24" i="4"/>
  <c r="O266" i="4"/>
  <c r="O229" i="4"/>
  <c r="O27" i="4"/>
  <c r="O10" i="4"/>
  <c r="O176" i="4"/>
  <c r="O69" i="4"/>
  <c r="O285" i="4"/>
  <c r="O47" i="4"/>
  <c r="O170" i="4"/>
  <c r="O181" i="4"/>
  <c r="O43" i="4"/>
  <c r="O112" i="4"/>
  <c r="O44" i="4"/>
  <c r="O268" i="4"/>
  <c r="O137" i="4"/>
  <c r="O4" i="4"/>
  <c r="O163" i="4"/>
  <c r="O58" i="4"/>
  <c r="O217" i="4"/>
  <c r="O79" i="4"/>
  <c r="O180" i="4"/>
  <c r="O237" i="4"/>
  <c r="O99" i="4"/>
  <c r="O258" i="4"/>
  <c r="O184" i="4"/>
  <c r="O286" i="4"/>
  <c r="O253" i="4"/>
  <c r="O78" i="4"/>
  <c r="O83" i="4"/>
  <c r="O282" i="4"/>
  <c r="O190" i="4"/>
  <c r="O138" i="4"/>
  <c r="O119" i="4"/>
  <c r="O234" i="4"/>
  <c r="O293" i="4"/>
  <c r="O207" i="4"/>
  <c r="O71" i="4"/>
  <c r="O127" i="4"/>
  <c r="O101" i="4"/>
  <c r="O199" i="4"/>
  <c r="O222" i="4"/>
  <c r="O95" i="4"/>
  <c r="O202" i="4"/>
  <c r="O226" i="4"/>
  <c r="O194" i="4"/>
  <c r="O178" i="4"/>
  <c r="O187" i="4"/>
  <c r="O241" i="4"/>
  <c r="O224" i="4"/>
  <c r="O177" i="4"/>
  <c r="O225" i="4"/>
  <c r="O31" i="4"/>
  <c r="O211" i="4"/>
  <c r="O193" i="4"/>
  <c r="O140" i="4"/>
  <c r="O270" i="4"/>
  <c r="O261" i="4"/>
  <c r="O245" i="4"/>
  <c r="O50" i="4"/>
  <c r="O29" i="4"/>
  <c r="O80" i="4"/>
  <c r="O267" i="4"/>
  <c r="O206" i="4"/>
  <c r="O284" i="4"/>
  <c r="O185" i="4"/>
  <c r="O215" i="4"/>
  <c r="O196" i="4"/>
  <c r="O92" i="4"/>
  <c r="O244" i="4"/>
  <c r="O233" i="4"/>
  <c r="O108" i="4"/>
  <c r="O200" i="4"/>
  <c r="O116" i="4"/>
  <c r="O265" i="4"/>
  <c r="O166" i="4"/>
  <c r="O142" i="4"/>
  <c r="O252" i="4"/>
  <c r="O129" i="4"/>
  <c r="O288" i="4"/>
  <c r="O276" i="4"/>
  <c r="O66" i="4"/>
  <c r="O11" i="4"/>
  <c r="O273" i="4"/>
  <c r="O175" i="4"/>
  <c r="O114" i="4"/>
  <c r="O5" i="4"/>
  <c r="O30" i="4"/>
  <c r="O115" i="4"/>
  <c r="O161" i="4"/>
  <c r="O150" i="4"/>
  <c r="O76" i="4"/>
  <c r="O279" i="4"/>
  <c r="O235" i="4"/>
  <c r="O64" i="4"/>
  <c r="O247" i="4"/>
  <c r="O239" i="4"/>
  <c r="O283" i="4"/>
  <c r="O281" i="4"/>
  <c r="O60" i="4"/>
  <c r="O7" i="4"/>
  <c r="O213" i="4"/>
  <c r="O74" i="4"/>
  <c r="O51" i="4"/>
  <c r="O192" i="4"/>
  <c r="O191" i="4"/>
  <c r="O171" i="4"/>
  <c r="O9" i="4"/>
  <c r="O296" i="4"/>
  <c r="O154" i="4"/>
  <c r="O173" i="4"/>
  <c r="O151" i="4"/>
  <c r="O231" i="4"/>
  <c r="O162" i="4"/>
  <c r="O168" i="4"/>
  <c r="O146" i="4"/>
  <c r="O84" i="4"/>
  <c r="O182" i="4"/>
  <c r="O274" i="4"/>
  <c r="O135" i="4"/>
  <c r="O292" i="4"/>
  <c r="O242" i="4"/>
  <c r="O70" i="4"/>
  <c r="O130" i="4"/>
  <c r="O141" i="4"/>
  <c r="O105" i="4"/>
  <c r="O132" i="4"/>
  <c r="O28" i="4"/>
  <c r="O262" i="4"/>
  <c r="O37" i="4"/>
  <c r="O149" i="4"/>
  <c r="O104" i="4"/>
  <c r="O278" i="4"/>
  <c r="O126" i="4"/>
  <c r="O34" i="4"/>
  <c r="O54" i="4"/>
  <c r="O158" i="4"/>
  <c r="O32" i="4"/>
  <c r="O121" i="4"/>
  <c r="O59" i="4"/>
  <c r="O148" i="4"/>
  <c r="O39" i="4"/>
  <c r="O33" i="4"/>
  <c r="O210" i="4"/>
  <c r="O197" i="4"/>
  <c r="O240" i="4"/>
  <c r="O35" i="4"/>
  <c r="O188" i="4"/>
  <c r="O208" i="4"/>
  <c r="O14" i="4"/>
  <c r="O259" i="4"/>
  <c r="O214" i="4"/>
  <c r="O167" i="4"/>
  <c r="O111" i="4"/>
  <c r="O53" i="4"/>
  <c r="O152" i="4"/>
  <c r="O147" i="4"/>
  <c r="O263" i="4"/>
  <c r="O52" i="4"/>
  <c r="O88" i="4"/>
  <c r="O160" i="4"/>
  <c r="O90" i="4"/>
  <c r="O15" i="4"/>
  <c r="O264" i="4"/>
  <c r="O45" i="4"/>
  <c r="O243" i="4"/>
  <c r="O143" i="4"/>
  <c r="O159" i="4"/>
  <c r="O77" i="4"/>
  <c r="O156" i="4"/>
  <c r="O189" i="4"/>
  <c r="O13" i="4"/>
  <c r="O232" i="4"/>
  <c r="O62" i="4"/>
  <c r="O75" i="4"/>
  <c r="O221" i="4"/>
  <c r="O55" i="4"/>
  <c r="O204" i="4"/>
  <c r="O277" i="4"/>
  <c r="O6" i="4"/>
  <c r="O201" i="4"/>
  <c r="O103" i="4"/>
  <c r="O25" i="4"/>
  <c r="O299" i="4"/>
  <c r="O86" i="4"/>
  <c r="O260" i="4"/>
  <c r="O113" i="4"/>
  <c r="O297" i="4"/>
  <c r="O16" i="4"/>
  <c r="O256" i="4"/>
  <c r="O165" i="4"/>
  <c r="O145" i="4"/>
  <c r="O248" i="4"/>
  <c r="O73" i="4"/>
  <c r="O298" i="4"/>
  <c r="O68" i="4"/>
  <c r="O280" i="4"/>
  <c r="O38" i="4"/>
  <c r="O134" i="4"/>
  <c r="O155" i="4"/>
  <c r="O275" i="4"/>
  <c r="O89" i="4"/>
  <c r="O144" i="4"/>
  <c r="O294" i="4"/>
  <c r="O228" i="4"/>
  <c r="O186" i="4"/>
  <c r="O230" i="4"/>
  <c r="O219" i="4"/>
  <c r="O67" i="4"/>
  <c r="O3" i="3"/>
  <c r="O4" i="3"/>
  <c r="O5" i="3"/>
  <c r="O6" i="3"/>
  <c r="O7" i="3"/>
  <c r="O8" i="3"/>
  <c r="O9" i="3"/>
  <c r="O10" i="3"/>
  <c r="O11" i="3"/>
  <c r="O287" i="3"/>
  <c r="O12" i="3"/>
  <c r="O13" i="3"/>
  <c r="O14" i="3"/>
  <c r="O291" i="3"/>
  <c r="O15" i="3"/>
  <c r="O16" i="3"/>
  <c r="O17" i="3"/>
  <c r="O18" i="3"/>
  <c r="O19" i="3"/>
  <c r="O20" i="3"/>
  <c r="O21" i="3"/>
  <c r="O292" i="3"/>
  <c r="O22" i="3"/>
  <c r="O23" i="3"/>
  <c r="O24" i="3"/>
  <c r="O25" i="3"/>
  <c r="O294" i="3"/>
  <c r="O26" i="3"/>
  <c r="O27" i="3"/>
  <c r="O28" i="3"/>
  <c r="O29" i="3"/>
  <c r="O30" i="3"/>
  <c r="O31" i="3"/>
  <c r="O305" i="3"/>
  <c r="O32" i="3"/>
  <c r="O33" i="3"/>
  <c r="O34" i="3"/>
  <c r="O35" i="3"/>
  <c r="O36" i="3"/>
  <c r="O37" i="3"/>
  <c r="O38" i="3"/>
  <c r="O39" i="3"/>
  <c r="O40" i="3"/>
  <c r="O288" i="3"/>
  <c r="O41" i="3"/>
  <c r="O42" i="3"/>
  <c r="O43" i="3"/>
  <c r="O44" i="3"/>
  <c r="O45" i="3"/>
  <c r="O46" i="3"/>
  <c r="O47" i="3"/>
  <c r="O48" i="3"/>
  <c r="O49" i="3"/>
  <c r="O50" i="3"/>
  <c r="O318" i="3"/>
  <c r="O51" i="3"/>
  <c r="O52" i="3"/>
  <c r="O53" i="3"/>
  <c r="O54" i="3"/>
  <c r="O55" i="3"/>
  <c r="O56" i="3"/>
  <c r="O57" i="3"/>
  <c r="O58" i="3"/>
  <c r="O59" i="3"/>
  <c r="O60" i="3"/>
  <c r="O307" i="3"/>
  <c r="O61" i="3"/>
  <c r="O62" i="3"/>
  <c r="O337" i="3"/>
  <c r="O298" i="3"/>
  <c r="O63" i="3"/>
  <c r="O64" i="3"/>
  <c r="O65" i="3"/>
  <c r="O66" i="3"/>
  <c r="O67" i="3"/>
  <c r="O68" i="3"/>
  <c r="O306" i="3"/>
  <c r="O69" i="3"/>
  <c r="O70" i="3"/>
  <c r="O71" i="3"/>
  <c r="O319" i="3"/>
  <c r="O72" i="3"/>
  <c r="O73" i="3"/>
  <c r="O74" i="3"/>
  <c r="O75" i="3"/>
  <c r="O76" i="3"/>
  <c r="O77" i="3"/>
  <c r="O78" i="3"/>
  <c r="O301" i="3"/>
  <c r="O302" i="3"/>
  <c r="O313" i="3"/>
  <c r="O79" i="3"/>
  <c r="O80" i="3"/>
  <c r="O81" i="3"/>
  <c r="O82" i="3"/>
  <c r="O83" i="3"/>
  <c r="O84" i="3"/>
  <c r="O85" i="3"/>
  <c r="O86" i="3"/>
  <c r="O87" i="3"/>
  <c r="O88" i="3"/>
  <c r="O89" i="3"/>
  <c r="O90" i="3"/>
  <c r="O91" i="3"/>
  <c r="O92" i="3"/>
  <c r="O93" i="3"/>
  <c r="O94" i="3"/>
  <c r="O95" i="3"/>
  <c r="O96" i="3"/>
  <c r="O304" i="3"/>
  <c r="O97" i="3"/>
  <c r="O295" i="3"/>
  <c r="O98" i="3"/>
  <c r="O320" i="3"/>
  <c r="O99" i="3"/>
  <c r="O100" i="3"/>
  <c r="O101" i="3"/>
  <c r="O102" i="3"/>
  <c r="O103" i="3"/>
  <c r="O104" i="3"/>
  <c r="O105" i="3"/>
  <c r="O106" i="3"/>
  <c r="O107" i="3"/>
  <c r="O108" i="3"/>
  <c r="O109" i="3"/>
  <c r="O289" i="3"/>
  <c r="O110" i="3"/>
  <c r="O111" i="3"/>
  <c r="O112" i="3"/>
  <c r="O113" i="3"/>
  <c r="O114" i="3"/>
  <c r="O115" i="3"/>
  <c r="O322" i="3"/>
  <c r="O116" i="3"/>
  <c r="O310" i="3"/>
  <c r="O117" i="3"/>
  <c r="O118" i="3"/>
  <c r="O119" i="3"/>
  <c r="O120" i="3"/>
  <c r="O330" i="3"/>
  <c r="O121" i="3"/>
  <c r="O122" i="3"/>
  <c r="O123" i="3"/>
  <c r="O124" i="3"/>
  <c r="O125" i="3"/>
  <c r="O126" i="3"/>
  <c r="O127" i="3"/>
  <c r="O128" i="3"/>
  <c r="O129" i="3"/>
  <c r="O130" i="3"/>
  <c r="O131" i="3"/>
  <c r="O312" i="3"/>
  <c r="O132" i="3"/>
  <c r="O133" i="3"/>
  <c r="O311" i="3"/>
  <c r="O134" i="3"/>
  <c r="O135" i="3"/>
  <c r="O136" i="3"/>
  <c r="O137" i="3"/>
  <c r="O138" i="3"/>
  <c r="O139" i="3"/>
  <c r="O296" i="3"/>
  <c r="O323" i="3"/>
  <c r="O140" i="3"/>
  <c r="O141" i="3"/>
  <c r="O142" i="3"/>
  <c r="O143" i="3"/>
  <c r="O144" i="3"/>
  <c r="O145" i="3"/>
  <c r="O146" i="3"/>
  <c r="O147" i="3"/>
  <c r="O148" i="3"/>
  <c r="O149" i="3"/>
  <c r="O150" i="3"/>
  <c r="O151" i="3"/>
  <c r="O152" i="3"/>
  <c r="O153" i="3"/>
  <c r="O154" i="3"/>
  <c r="O314" i="3"/>
  <c r="O155" i="3"/>
  <c r="O156" i="3"/>
  <c r="O315"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316" i="3"/>
  <c r="O183" i="3"/>
  <c r="O184" i="3"/>
  <c r="O185" i="3"/>
  <c r="O186" i="3"/>
  <c r="O187" i="3"/>
  <c r="O188" i="3"/>
  <c r="O334" i="3"/>
  <c r="O189" i="3"/>
  <c r="O190" i="3"/>
  <c r="O191" i="3"/>
  <c r="O308" i="3"/>
  <c r="O192" i="3"/>
  <c r="O193" i="3"/>
  <c r="O331" i="3"/>
  <c r="O194" i="3"/>
  <c r="O195" i="3"/>
  <c r="O196" i="3"/>
  <c r="O197" i="3"/>
  <c r="O335" i="3"/>
  <c r="O198" i="3"/>
  <c r="O199" i="3"/>
  <c r="O200" i="3"/>
  <c r="O201" i="3"/>
  <c r="O202" i="3"/>
  <c r="O203" i="3"/>
  <c r="O204" i="3"/>
  <c r="O205" i="3"/>
  <c r="O206" i="3"/>
  <c r="O207" i="3"/>
  <c r="O208" i="3"/>
  <c r="O209" i="3"/>
  <c r="O210" i="3"/>
  <c r="O321" i="3"/>
  <c r="O211" i="3"/>
  <c r="O329" i="3"/>
  <c r="O212" i="3"/>
  <c r="O213" i="3"/>
  <c r="O214" i="3"/>
  <c r="O299" i="3"/>
  <c r="O215" i="3"/>
  <c r="O317" i="3"/>
  <c r="O216" i="3"/>
  <c r="O325" i="3"/>
  <c r="O217" i="3"/>
  <c r="O218" i="3"/>
  <c r="O293" i="3"/>
  <c r="O219" i="3"/>
  <c r="O220" i="3"/>
  <c r="O221" i="3"/>
  <c r="O222" i="3"/>
  <c r="O223" i="3"/>
  <c r="O309" i="3"/>
  <c r="O224" i="3"/>
  <c r="O225" i="3"/>
  <c r="O226" i="3"/>
  <c r="O227" i="3"/>
  <c r="O228" i="3"/>
  <c r="O229" i="3"/>
  <c r="O230" i="3"/>
  <c r="O328" i="3"/>
  <c r="O231" i="3"/>
  <c r="O232" i="3"/>
  <c r="O233" i="3"/>
  <c r="O234" i="3"/>
  <c r="O235" i="3"/>
  <c r="O236" i="3"/>
  <c r="O237" i="3"/>
  <c r="O303" i="3"/>
  <c r="O238" i="3"/>
  <c r="O239" i="3"/>
  <c r="O240" i="3"/>
  <c r="O327" i="3"/>
  <c r="O326" i="3"/>
  <c r="O241" i="3"/>
  <c r="O242" i="3"/>
  <c r="O243" i="3"/>
  <c r="O244" i="3"/>
  <c r="O245" i="3"/>
  <c r="O246" i="3"/>
  <c r="O332" i="3"/>
  <c r="O247" i="3"/>
  <c r="O248" i="3"/>
  <c r="O249" i="3"/>
  <c r="O250" i="3"/>
  <c r="O251" i="3"/>
  <c r="O252" i="3"/>
  <c r="O253" i="3"/>
  <c r="O254" i="3"/>
  <c r="O255" i="3"/>
  <c r="O256" i="3"/>
  <c r="O257" i="3"/>
  <c r="O258" i="3"/>
  <c r="O259" i="3"/>
  <c r="O260" i="3"/>
  <c r="O333" i="3"/>
  <c r="O261" i="3"/>
  <c r="O300" i="3"/>
  <c r="O262" i="3"/>
  <c r="O263" i="3"/>
  <c r="O324" i="3"/>
  <c r="O264" i="3"/>
  <c r="O265" i="3"/>
  <c r="O266" i="3"/>
  <c r="O267" i="3"/>
  <c r="O268" i="3"/>
  <c r="O269" i="3"/>
  <c r="O270" i="3"/>
  <c r="O297" i="3"/>
  <c r="O271" i="3"/>
  <c r="O272" i="3"/>
  <c r="O273" i="3"/>
  <c r="O274" i="3"/>
  <c r="O275" i="3"/>
  <c r="O276" i="3"/>
  <c r="O277" i="3"/>
  <c r="O278" i="3"/>
  <c r="O279" i="3"/>
  <c r="O280" i="3"/>
  <c r="O281" i="3"/>
  <c r="O282" i="3"/>
  <c r="O290" i="3"/>
  <c r="O283" i="3"/>
  <c r="O284" i="3"/>
  <c r="O285" i="3"/>
  <c r="O338" i="3"/>
  <c r="O286" i="3"/>
  <c r="O336" i="3"/>
  <c r="O2" i="3"/>
  <c r="O87" i="2" l="1"/>
  <c r="O208" i="2"/>
  <c r="O221" i="2"/>
  <c r="O223" i="2"/>
  <c r="O225" i="2"/>
  <c r="O226" i="2"/>
  <c r="O227" i="2"/>
  <c r="O228" i="2"/>
  <c r="O229" i="2"/>
  <c r="O230" i="2"/>
  <c r="O231" i="2"/>
  <c r="O233" i="2"/>
  <c r="O235" i="2"/>
  <c r="O286" i="2"/>
  <c r="O289" i="2"/>
  <c r="O307" i="2"/>
  <c r="O324" i="2"/>
  <c r="O325" i="2"/>
  <c r="O32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<sst xmlns="http://schemas.openxmlformats.org/spreadsheetml/2006/main" count="32565" uniqueCount="1404">
  <si>
    <t>numero_contrato</t>
  </si>
  <si>
    <t>indicador</t>
  </si>
  <si>
    <t>fecha_inicio_contrato</t>
  </si>
  <si>
    <t>fecha_termino_contrato</t>
  </si>
  <si>
    <t>objeto</t>
  </si>
  <si>
    <t>contratista_tipo_identificacion</t>
  </si>
  <si>
    <t>numero_identificacion</t>
  </si>
  <si>
    <t>nombre_contratista</t>
  </si>
  <si>
    <t>numero_supervisor</t>
  </si>
  <si>
    <t>tipo_doc_supervisor</t>
  </si>
  <si>
    <t>nombre_supervisor</t>
  </si>
  <si>
    <t>pagado</t>
  </si>
  <si>
    <t>valor_contratado</t>
  </si>
  <si>
    <t>I</t>
  </si>
  <si>
    <t>CC</t>
  </si>
  <si>
    <t>RIGOBERTO MELO ZAMBRANO</t>
  </si>
  <si>
    <t>LEYDI GISELLA BENAVIDES LOPEZ</t>
  </si>
  <si>
    <t>DEYANIRA BADOS DAZA</t>
  </si>
  <si>
    <t>MARY ALEXANDRA ROSERO BENAVIDES</t>
  </si>
  <si>
    <t>DANIELA ALEXANDRA DIAZ GUERRERO</t>
  </si>
  <si>
    <t>FRANCISCO RAFAEL ORTIZ BENITEZ</t>
  </si>
  <si>
    <t>LYNN JANINA ORTIZ PAZ</t>
  </si>
  <si>
    <t>MARIBEL DEL CARMEN MAIGUAL MUÑOZ</t>
  </si>
  <si>
    <t>JOHANA KATERINE GONZALEZ</t>
  </si>
  <si>
    <t>JUANITA MAYLIN VELASQUEZ REVELO</t>
  </si>
  <si>
    <t>LEYDI DEL ROSARIO CUACEZ NOGUERA</t>
  </si>
  <si>
    <t>LAUREN AZENITH CORAL SAMUDIO</t>
  </si>
  <si>
    <t>AIDE CAROLINA RIASCOS ECHEVERRY</t>
  </si>
  <si>
    <t>NATHALY STEPHANIE MARTINEZ MARTINEZ</t>
  </si>
  <si>
    <t>JULIE ANDREA FREIRE MIER</t>
  </si>
  <si>
    <t>LISSETH MARISOL CUASTUMAL CASTRO</t>
  </si>
  <si>
    <t>EVELYN FERNANDA ACOSTA CHICAIZA</t>
  </si>
  <si>
    <t>MARILYN ZAMBRANO OBANDO</t>
  </si>
  <si>
    <t>CAMILO JAVIER OÑATE BUCHELI</t>
  </si>
  <si>
    <t>CLAUDIA LUCY CALVACHE MARTINEZ</t>
  </si>
  <si>
    <t>PATRICIA YOLANDA PAZ DELGADO</t>
  </si>
  <si>
    <t>PAULA ANDREA PRADO ACOSTA</t>
  </si>
  <si>
    <t>VANESSA KATHERINE JOJOA ARIAS</t>
  </si>
  <si>
    <t>NUVI GRACIELA CHAMORRO CORAL</t>
  </si>
  <si>
    <t>ANYI NATALY FARINANGO CHAVEZ</t>
  </si>
  <si>
    <t>DIANA CAROLINA ORTEGA CAICEDO</t>
  </si>
  <si>
    <t>ANGIE VIVIANA SACANAMBUY PAZ</t>
  </si>
  <si>
    <t>MIRYAM ELIZABETH POPAYAN PASCUAZA</t>
  </si>
  <si>
    <t>VERONICA SOFIA HUERTAS ARCINIEGAS</t>
  </si>
  <si>
    <t>JAQUELINE CAMILA GENOY VILLOTA</t>
  </si>
  <si>
    <t>JOSE JAVIER PINTA YAQUENO</t>
  </si>
  <si>
    <t>NATALIA ANDREA LATORRE RUANO</t>
  </si>
  <si>
    <t>ALBA DENIS ARGOTY SANTACRUZ</t>
  </si>
  <si>
    <t>JANETH EMILSE DIAZ ARCINIEGAS</t>
  </si>
  <si>
    <t>SOFIA ESMERALDA MEJIA ORTIZ</t>
  </si>
  <si>
    <t>MARIA EUGENIA ESTRADA ZAMBRANO</t>
  </si>
  <si>
    <t>JOHANA CAROLINA CAICEDO GOYES</t>
  </si>
  <si>
    <t>FHALOM CAROLINA ROSERO TORRES</t>
  </si>
  <si>
    <t>YULLI KAROLINA CASTILLO PAZ</t>
  </si>
  <si>
    <t>TATIANA ANDREA CRIOLLO GENOY</t>
  </si>
  <si>
    <t>FERNANDO TEOFILO ROSERO PATIÑO</t>
  </si>
  <si>
    <t>TANIA KARINA CUERO CASANOVA</t>
  </si>
  <si>
    <t>LUCIA PATRICIA URBANO VALLEJO</t>
  </si>
  <si>
    <t>CRISTIAN FABIAN CRIOLLO RIVERA</t>
  </si>
  <si>
    <t>DANIELA FERNANDA ERASO VALENCIA</t>
  </si>
  <si>
    <t>ANA ALEJANDRA SALAZAR RAMIREZ</t>
  </si>
  <si>
    <t>PAOLA ANDREA MENESES ERAZO</t>
  </si>
  <si>
    <t>PAULA ANDREA MANOSALVA UNIGARRO</t>
  </si>
  <si>
    <t>RODRIGO DE JESUS VITERI MORENO</t>
  </si>
  <si>
    <t>LORENA DEL CARMEN OJEDA VASQUEZ</t>
  </si>
  <si>
    <t>NATHALIA ROSERO RODRIGUEZ</t>
  </si>
  <si>
    <t>ANYI ELISABETH ROSERO LOPEZ</t>
  </si>
  <si>
    <t>JHONATTAN ALEXANDER CASTELLANOS ANDRADE</t>
  </si>
  <si>
    <t>ADRIANA YESENIA BOTINA GUACAS</t>
  </si>
  <si>
    <t>MARITZA ROCIO OLIVA CUZ</t>
  </si>
  <si>
    <t>NORA VIVEROS BRAVO</t>
  </si>
  <si>
    <t>MARIA ALEJANDRA BENAVIDES AYALA</t>
  </si>
  <si>
    <t>JENIFFER ARCOS GIL</t>
  </si>
  <si>
    <t>ROCIO DEL PILAR RIVERA</t>
  </si>
  <si>
    <t>EDITH CRISTINA GARCIA JOJOA</t>
  </si>
  <si>
    <t>EMILY ROMERO MENDOZA</t>
  </si>
  <si>
    <t>ANA CLEMENCIA BASTIDAS CERON</t>
  </si>
  <si>
    <t>ANGELA ESTEFANYA NASPIRAN JOJOA</t>
  </si>
  <si>
    <t>ANDREA LILIANA LAGUNA RUALES</t>
  </si>
  <si>
    <t>DIANA SOFIA PANTOJA RISUEÑO</t>
  </si>
  <si>
    <t>PAOLA ANDREA ESPINOSA BURBANO</t>
  </si>
  <si>
    <t>TRANSPORTES ESPECIALES ACAR SA</t>
  </si>
  <si>
    <t>JUAN PABLO LLANOS RUALES</t>
  </si>
  <si>
    <t>NI</t>
  </si>
  <si>
    <t>id_recurso</t>
  </si>
  <si>
    <t>ZULY MARINA HIDALGO JOJOA</t>
  </si>
  <si>
    <t>ANGELA EDITH GONZALEZ PIANDA</t>
  </si>
  <si>
    <t>CAROL SILVANA PATIÑO VALENCIA</t>
  </si>
  <si>
    <t>1102-2025</t>
  </si>
  <si>
    <t>847-2025</t>
  </si>
  <si>
    <t>YURANI NATALI BURBANO DIAZ</t>
  </si>
  <si>
    <t>756-2025</t>
  </si>
  <si>
    <t>YULY MARCELA MORALES LOPEZ</t>
  </si>
  <si>
    <t>754-2025</t>
  </si>
  <si>
    <t>766-2025</t>
  </si>
  <si>
    <t>YULIANA RODRIGUEZ GUAITARILLA</t>
  </si>
  <si>
    <t>750-2025</t>
  </si>
  <si>
    <t>YULI NATHALIA CALI RODRIGUEZ</t>
  </si>
  <si>
    <t>851-2025</t>
  </si>
  <si>
    <t xml:space="preserve">YORLENY VALERIA CABRERA RIVERA </t>
  </si>
  <si>
    <t>1042-2025</t>
  </si>
  <si>
    <t>YONATAN MENA GRIJALBA</t>
  </si>
  <si>
    <t>913-2025</t>
  </si>
  <si>
    <t>YOHANA KATERING PANTOJA MELO</t>
  </si>
  <si>
    <t>828-2025</t>
  </si>
  <si>
    <t>YEZICA ALEJANDRA RIVAS PORTILLA</t>
  </si>
  <si>
    <t>1016-2025</t>
  </si>
  <si>
    <t>TRANSPORTES ESPECIALES GALERAS EXPRESS SAS</t>
  </si>
  <si>
    <t>JUAN PABLO LLANOS</t>
  </si>
  <si>
    <t>883-2025</t>
  </si>
  <si>
    <t>YARY ESTEPHANIA BOLAÑOS LUNA</t>
  </si>
  <si>
    <t>1013-2025</t>
  </si>
  <si>
    <t>YAMILE ALEJANDRA BOTINA RODRIGUEZ</t>
  </si>
  <si>
    <t>875-2025</t>
  </si>
  <si>
    <t>YADDY ALEJANDRA SOLARTE BASTIDAS</t>
  </si>
  <si>
    <t>957-2025</t>
  </si>
  <si>
    <t>WEIMAR ARMANDO LOPEZ DELGADO</t>
  </si>
  <si>
    <t>1100-2025</t>
  </si>
  <si>
    <t>VIVIAN ROXANA JURADO BANDA</t>
  </si>
  <si>
    <t>706-2025</t>
  </si>
  <si>
    <t>1092-2025</t>
  </si>
  <si>
    <t>908-2025</t>
  </si>
  <si>
    <t>VALERIA VALENTINA PEREZ ROSERO</t>
  </si>
  <si>
    <t>849-2025</t>
  </si>
  <si>
    <t>811-2025</t>
  </si>
  <si>
    <t>862-2025</t>
  </si>
  <si>
    <t>SULEIDY YARITZA GOMEZ GARCIA</t>
  </si>
  <si>
    <t>935-2025</t>
  </si>
  <si>
    <t>SONIA MARIBEL GELPUD MAYA</t>
  </si>
  <si>
    <t>1098-2025</t>
  </si>
  <si>
    <t>SONIA DEL ROCIO GOMEZ NARVAEZ</t>
  </si>
  <si>
    <t>711-2025</t>
  </si>
  <si>
    <t>928-2025</t>
  </si>
  <si>
    <t>SIRLEY DANIELA GAMBOA CHAVEZ</t>
  </si>
  <si>
    <t>834-2025</t>
  </si>
  <si>
    <t>SILVIA MATILDE GAVIRIA BENAVIDES</t>
  </si>
  <si>
    <t>844-2025</t>
  </si>
  <si>
    <t>SILVIA MARGENYS ENRIQUEZ RODRIGUEZ</t>
  </si>
  <si>
    <t>1049-2025</t>
  </si>
  <si>
    <t>SHARON CAMILA MINA GUSTIN</t>
  </si>
  <si>
    <t>1017-2025</t>
  </si>
  <si>
    <t>PRESTACIÓN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t>
  </si>
  <si>
    <t>1039-2025</t>
  </si>
  <si>
    <t>SARA DANIELA ALAVA BURBANO</t>
  </si>
  <si>
    <t>959-2025</t>
  </si>
  <si>
    <t>SANDRA PATRICIA MALLAMA BOTINA</t>
  </si>
  <si>
    <t>933-2025</t>
  </si>
  <si>
    <t>SANDRA MARCELA DOMINGUEZ VARGAS</t>
  </si>
  <si>
    <t>1157-2025</t>
  </si>
  <si>
    <t>SANDRA MAGALY CRIOLLo ENRIQUEZ</t>
  </si>
  <si>
    <t>878-2025</t>
  </si>
  <si>
    <t>SANDRA JULIETH GOMEZ GOMEZ</t>
  </si>
  <si>
    <t>905-2025</t>
  </si>
  <si>
    <t>RUTH CAROLINE CORTES ORTIZ</t>
  </si>
  <si>
    <t>1148-2025</t>
  </si>
  <si>
    <t>RUDDY JERALDINE PINTA MARTINEZ,</t>
  </si>
  <si>
    <t>1142-2025</t>
  </si>
  <si>
    <t>RUBY MARCELA AUCU PAREDES</t>
  </si>
  <si>
    <t>818-2025</t>
  </si>
  <si>
    <t>ROSA MARITZA UNIGARRO MONTILLA</t>
  </si>
  <si>
    <t>1086-2025</t>
  </si>
  <si>
    <t>ROSA ALEJANDRA CABRERA CORTES</t>
  </si>
  <si>
    <t>1123-2025</t>
  </si>
  <si>
    <t>749-2025</t>
  </si>
  <si>
    <t>RAYSSA CONSTANZA FRANCO ERASO</t>
  </si>
  <si>
    <t>1105-2025</t>
  </si>
  <si>
    <t>PAULA CATHERINE CRIOLLO CUMBAL</t>
  </si>
  <si>
    <t>732-2025</t>
  </si>
  <si>
    <t>PAULA ANDREA ROCHA DELGADO</t>
  </si>
  <si>
    <t>1018-2025</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</si>
  <si>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</si>
  <si>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827-2025</t>
  </si>
  <si>
    <t>1069-2025</t>
  </si>
  <si>
    <t>821-2025</t>
  </si>
  <si>
    <t>PATRICIA MARIBEL MARTINEZ</t>
  </si>
  <si>
    <t>854-2025</t>
  </si>
  <si>
    <t>1053-2025</t>
  </si>
  <si>
    <t>PAOLA ANDREA MARTINEZ FLOREZ</t>
  </si>
  <si>
    <t>1000-2025</t>
  </si>
  <si>
    <t>PABLO ERNESTO RIOBAMBA IPIALES</t>
  </si>
  <si>
    <t>789-2025</t>
  </si>
  <si>
    <t>LILIANA ANDREA OLIVA ORTIZ</t>
  </si>
  <si>
    <t>1101-2025</t>
  </si>
  <si>
    <t>EDNA LILIANA OBANDO CAICEDO</t>
  </si>
  <si>
    <t>1038-2025</t>
  </si>
  <si>
    <t>820-2025</t>
  </si>
  <si>
    <t xml:space="preserve">NORALY CECILIA PASUY PANTOJA </t>
  </si>
  <si>
    <t>930-2025</t>
  </si>
  <si>
    <t>1043-2025</t>
  </si>
  <si>
    <t>NICOL GEOVANNA GOMEZ CUMBAL</t>
  </si>
  <si>
    <t>1150-2025</t>
  </si>
  <si>
    <t>NESLY YANID MUÑOZ ORTIZ</t>
  </si>
  <si>
    <t>805-2025</t>
  </si>
  <si>
    <t>NEIRA JIMENA CASTILLO ARMERO</t>
  </si>
  <si>
    <t>842-2025</t>
  </si>
  <si>
    <t>NAYIBI ALEJANDRA TORRES ROSERO</t>
  </si>
  <si>
    <t>836-2025</t>
  </si>
  <si>
    <t>NAYIBE JACQUELINNE TULCAN GAMBOA</t>
  </si>
  <si>
    <t>1145-2025</t>
  </si>
  <si>
    <t>NATHALY YAMILE NARVAEZ ORTIZ</t>
  </si>
  <si>
    <t>1029-2025</t>
  </si>
  <si>
    <t>809-2025</t>
  </si>
  <si>
    <t>NATHALY NICOLE CHAPUES PAZ</t>
  </si>
  <si>
    <t>945-2025</t>
  </si>
  <si>
    <t>NATHALIA ESTEFANIA PANTOJA JACOME</t>
  </si>
  <si>
    <t>843-2025</t>
  </si>
  <si>
    <t>771-2025</t>
  </si>
  <si>
    <t>1104-2025</t>
  </si>
  <si>
    <t>MONICA PATRICIA JOJOA BOTINA</t>
  </si>
  <si>
    <t>1066-2025</t>
  </si>
  <si>
    <t>MONICA LORENA VILLOTA NARVAEZ</t>
  </si>
  <si>
    <t>1041-2025</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</si>
  <si>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</si>
  <si>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1138-2025</t>
  </si>
  <si>
    <t>MONICA ALEXANDRA ARCOS CUASTUZA</t>
  </si>
  <si>
    <t>737-2025</t>
  </si>
  <si>
    <t>1021-2025</t>
  </si>
  <si>
    <t>MELANY CATALINA CADENA YAMA</t>
  </si>
  <si>
    <t>730-2025</t>
  </si>
  <si>
    <t>MAYERLY NORIDIA ASMAZA GETIAL</t>
  </si>
  <si>
    <t>953-2025</t>
  </si>
  <si>
    <t>MARYBELL LUCIA BENITEZ ROSERO</t>
  </si>
  <si>
    <t>1058-2025</t>
  </si>
  <si>
    <t>MARTHA YOLANDA ZAMBRANO OÑATE</t>
  </si>
  <si>
    <t>1025-2025</t>
  </si>
  <si>
    <t>MARTHA ELIZABETH MIRAMAG CADENA</t>
  </si>
  <si>
    <t>871-2025</t>
  </si>
  <si>
    <t>MARTHA CECILIA TELLO</t>
  </si>
  <si>
    <t>1011-2025</t>
  </si>
  <si>
    <t>MARTHA CECILIA ROA</t>
  </si>
  <si>
    <t>841-2025</t>
  </si>
  <si>
    <t>MARLY EMILY ORDOÑEZ MORCILLO</t>
  </si>
  <si>
    <t>1126-2025</t>
  </si>
  <si>
    <t>MARLON DANIEL CONSTAIN DE LA CRUZ</t>
  </si>
  <si>
    <t>895-2025</t>
  </si>
  <si>
    <t>907-2025</t>
  </si>
  <si>
    <t>1026-2025</t>
  </si>
  <si>
    <t>MARILU CHAVEZ CHAVES</t>
  </si>
  <si>
    <t>824-2025</t>
  </si>
  <si>
    <t>1143-2025</t>
  </si>
  <si>
    <t>MARIA TANIA NARVAEZ MARTINEZ</t>
  </si>
  <si>
    <t>1022-2025</t>
  </si>
  <si>
    <t>MARIA SOFIA CHAVEZ JOJOA</t>
  </si>
  <si>
    <t>897-2025</t>
  </si>
  <si>
    <t>MARIA MILDRED MORENO MINDA</t>
  </si>
  <si>
    <t>900-2025</t>
  </si>
  <si>
    <t>MARIA JOSE ARMERO DIAZ</t>
  </si>
  <si>
    <t>796-2025</t>
  </si>
  <si>
    <t>MARIA ISABEL ALVAREZ CAICEDO</t>
  </si>
  <si>
    <t>1068-2025</t>
  </si>
  <si>
    <t>COMPRA VENTA LICENCIAS ENDPOINT SOPHOS CLOUD CIXA ESSENTIALS.</t>
  </si>
  <si>
    <t>FEDERICO GUILLERMO GIRALDO RICAURTE</t>
  </si>
  <si>
    <t>IVAN RODRIGO IBARRA MUÑOZ</t>
  </si>
  <si>
    <t>920-2025</t>
  </si>
  <si>
    <t>MARIA FERNANDA BUCHELI TRUJILLO</t>
  </si>
  <si>
    <t>958-2025</t>
  </si>
  <si>
    <t>840-2025</t>
  </si>
  <si>
    <t>MARIA CAMILA PAREDES TIMANA</t>
  </si>
  <si>
    <t>1015-2025</t>
  </si>
  <si>
    <t>MARIA ANACELI ROSERO RIAÑO</t>
  </si>
  <si>
    <t>817-2025</t>
  </si>
  <si>
    <t>MARIA ALEJANDRA REALPE ALVEAR</t>
  </si>
  <si>
    <t>1032-2025</t>
  </si>
  <si>
    <t>MARIA ALEJANDRA MORILLO LASSO</t>
  </si>
  <si>
    <t>885-2025</t>
  </si>
  <si>
    <t xml:space="preserve">MARIA ALEJANDRA GOMEZ OJEDA </t>
  </si>
  <si>
    <t>939-2025</t>
  </si>
  <si>
    <t>MARIA ALEJANDRA DIAZ ORTEGA</t>
  </si>
  <si>
    <t>859-2025</t>
  </si>
  <si>
    <t>MARIA ALEJANDRA DIAZ BURGOS</t>
  </si>
  <si>
    <t>887-2025</t>
  </si>
  <si>
    <t>MARIA ALEJANDRA BOLAÑOS ACOSTA</t>
  </si>
  <si>
    <t>1097-2025</t>
  </si>
  <si>
    <t>714-2025</t>
  </si>
  <si>
    <t>MARIA DE LOS ANGELES ACOSTA ROSERO</t>
  </si>
  <si>
    <t>762-2025</t>
  </si>
  <si>
    <t>MARIA CAMILA JURADO PAZ</t>
  </si>
  <si>
    <t>877-2025</t>
  </si>
  <si>
    <t>MARCELA JAZMIN TIMANA MAIGUAL</t>
  </si>
  <si>
    <t>927-2025</t>
  </si>
  <si>
    <t>MARCELA ALEJANDRA ZAMBRANO REVELO</t>
  </si>
  <si>
    <t>777-2025</t>
  </si>
  <si>
    <t>1055-2025</t>
  </si>
  <si>
    <t>LUZDARI JARAMILLO NOGUERA</t>
  </si>
  <si>
    <t>848-2025</t>
  </si>
  <si>
    <t>LUZ ANGELICA CHILES CABRERA</t>
  </si>
  <si>
    <t>806-2025</t>
  </si>
  <si>
    <t>LUISA MARIA CERON RIVERA</t>
  </si>
  <si>
    <t>1156-2025</t>
  </si>
  <si>
    <t>LUISA FERNANDA PORTILLO BOTINA</t>
  </si>
  <si>
    <t>815-2025</t>
  </si>
  <si>
    <t>LUISA CAROLINA SANTACRUZ SANTACRUZ</t>
  </si>
  <si>
    <t>1087-2025</t>
  </si>
  <si>
    <t>LUIS FERNANDO RODRIGUEZ MERINO</t>
  </si>
  <si>
    <t>752-2025</t>
  </si>
  <si>
    <t>LUIS ALONSO GUEVARA DE LOS RIOS</t>
  </si>
  <si>
    <t>846-2025</t>
  </si>
  <si>
    <t>LUCIA DEL SOCORRO TULCAN MUÑOZ</t>
  </si>
  <si>
    <t>837-2025</t>
  </si>
  <si>
    <t>797-2025</t>
  </si>
  <si>
    <t xml:space="preserve"> Lucerito del Carmen Revelo Benavides</t>
  </si>
  <si>
    <t>829-2025</t>
  </si>
  <si>
    <t>723-2025</t>
  </si>
  <si>
    <t>LIZETH MARCELA ORTIZ MUÑOZ</t>
  </si>
  <si>
    <t>1113-2025</t>
  </si>
  <si>
    <t>LISSETH YAMILE HUERTAS TENGANAN</t>
  </si>
  <si>
    <t>802-2025</t>
  </si>
  <si>
    <t>1112-2025</t>
  </si>
  <si>
    <t>LISETH ELIANA BENAVIDES ARCOS</t>
  </si>
  <si>
    <t>987-2025</t>
  </si>
  <si>
    <t>LINDA KATHERYNE
ROSERO CARRILLO</t>
  </si>
  <si>
    <t>1155-2025</t>
  </si>
  <si>
    <t>LINA MARIA PIZANO PEREZ</t>
  </si>
  <si>
    <t>1088-2025</t>
  </si>
  <si>
    <t>LINA MARIA DE LA CRUZ VIDAL</t>
  </si>
  <si>
    <t>949-2025</t>
  </si>
  <si>
    <t>LILIANA MAYER BOTINA CRIOLLO</t>
  </si>
  <si>
    <t>1076-2025</t>
  </si>
  <si>
    <t>BIOPTICAS DE COLOMBIA SAS</t>
  </si>
  <si>
    <t>ANA PATRICIA CAJIGAS RUBIO</t>
  </si>
  <si>
    <t>1149-2025</t>
  </si>
  <si>
    <t>LILIANA DEL CARMEN VERGARA BOTINA</t>
  </si>
  <si>
    <t>1125-2025</t>
  </si>
  <si>
    <t>CONTRATACION DIRECTA</t>
  </si>
  <si>
    <t>868-2025</t>
  </si>
  <si>
    <t>LILIAN SOLARTE GONZALEZ</t>
  </si>
  <si>
    <t>831-2025</t>
  </si>
  <si>
    <t>LIDA TATIANA BURBANO MUÑOZ</t>
  </si>
  <si>
    <t>731-2025</t>
  </si>
  <si>
    <t>910-2025</t>
  </si>
  <si>
    <t>941-2025</t>
  </si>
  <si>
    <t>LESLYE NATHALIA VILLOTA OVIEDO</t>
  </si>
  <si>
    <t>1114-2025</t>
  </si>
  <si>
    <t>LEIDY VANESSA POTOSI GER</t>
  </si>
  <si>
    <t>788-2025</t>
  </si>
  <si>
    <t>LEIDY PAOLA CANCHALA LOPEZ</t>
  </si>
  <si>
    <t>745-2025</t>
  </si>
  <si>
    <t>888-2025</t>
  </si>
  <si>
    <t>LAURA ALEJANDA BELALCAZAR NAVARRO</t>
  </si>
  <si>
    <t>1084-2025</t>
  </si>
  <si>
    <t>LADY VIVIANA LUNA BOTINA</t>
  </si>
  <si>
    <t>839-2025</t>
  </si>
  <si>
    <t>LADY VIVIANA CASTRO GUAUÑA</t>
  </si>
  <si>
    <t>823-2025</t>
  </si>
  <si>
    <t xml:space="preserve">LADY CAROLINA TIBAQUIRA BALLESTEROS </t>
  </si>
  <si>
    <t>816-2025</t>
  </si>
  <si>
    <t xml:space="preserve">KELLY YURANY JOJOA BOTINA </t>
  </si>
  <si>
    <t>925-2025</t>
  </si>
  <si>
    <t>KEILY VANESSA ENRIQUEZ PINTA</t>
  </si>
  <si>
    <t>1028-2025</t>
  </si>
  <si>
    <t>KAROL VALENTINA TULCAN CRIOLLO</t>
  </si>
  <si>
    <t>1159-2025</t>
  </si>
  <si>
    <t>GINNA ALEJANDRA BENAVIDES</t>
  </si>
  <si>
    <t>926-2025</t>
  </si>
  <si>
    <t>KAROL IVONNE BURBANO ROSERO</t>
  </si>
  <si>
    <t>794-2025</t>
  </si>
  <si>
    <t>KAROL DAYANA TONGUINO TORO</t>
  </si>
  <si>
    <t>929-2025</t>
  </si>
  <si>
    <t>KARLA ALEJANDRA GAVILANEZ SANTACRUZ</t>
  </si>
  <si>
    <t>1108-2025</t>
  </si>
  <si>
    <t>KARINA ELIZABETH MADROÑERO DELGADO</t>
  </si>
  <si>
    <t>1103-2025</t>
  </si>
  <si>
    <t>KAREN YASMIN YELA BURBANO</t>
  </si>
  <si>
    <t>906-2025</t>
  </si>
  <si>
    <t>KAREN TATIANA CIFUENTES CHAMORRO</t>
  </si>
  <si>
    <t>780-2025</t>
  </si>
  <si>
    <t>KAREN MARGARITA LOPEZ BRAND</t>
  </si>
  <si>
    <t>947-2025</t>
  </si>
  <si>
    <t>KAREN JULIANA ERAZO JURADO</t>
  </si>
  <si>
    <t>889-2025</t>
  </si>
  <si>
    <t>KARELIS NATALY ZHENG MONSALVE</t>
  </si>
  <si>
    <t>993-2025</t>
  </si>
  <si>
    <t>JULY VANESSA OYOLA LOPEZ</t>
  </si>
  <si>
    <t>1008-2025</t>
  </si>
  <si>
    <t>JULIO CESAR RAMIREZ GOMEZ</t>
  </si>
  <si>
    <t>855-2025</t>
  </si>
  <si>
    <t>JULIETH CAROLINA DIAZ FIGUEROA</t>
  </si>
  <si>
    <t>810-2025</t>
  </si>
  <si>
    <t>781-2025</t>
  </si>
  <si>
    <t>JULIANA VALENTINA MENDEZ ORTIZ</t>
  </si>
  <si>
    <t>924-2025</t>
  </si>
  <si>
    <t>JULIANA ANDREA PAZ JOJOA</t>
  </si>
  <si>
    <t>937-2025</t>
  </si>
  <si>
    <t>JULIANA BURBANO PAEZ</t>
  </si>
  <si>
    <t>934-2025</t>
  </si>
  <si>
    <t>JUDDY GABRIELA PIANDA PISCAL</t>
  </si>
  <si>
    <t>1075-2025</t>
  </si>
  <si>
    <t>765-2025</t>
  </si>
  <si>
    <t>748-2025</t>
  </si>
  <si>
    <t>JOSE FERNANDO CHAÑA QUENGUAN</t>
  </si>
  <si>
    <t>1047-2025</t>
  </si>
  <si>
    <t>JOSE EDUARDO RUIZ PORTILLO</t>
  </si>
  <si>
    <t>983-2025</t>
  </si>
  <si>
    <t>JONATHAN DAVID NARVAEZ MUYUY</t>
  </si>
  <si>
    <t>962-2025</t>
  </si>
  <si>
    <t>JONATAN RICARDO
ORTEGA ORTEGA</t>
  </si>
  <si>
    <t>931-2025</t>
  </si>
  <si>
    <t>JOHANA MARICELA MATABAJOY CABRERA</t>
  </si>
  <si>
    <t>759-2025</t>
  </si>
  <si>
    <t>822-2025</t>
  </si>
  <si>
    <t>1122-2025</t>
  </si>
  <si>
    <t>JOAN SEBASTIAN CORDOBA GARCIA</t>
  </si>
  <si>
    <t>775-2025</t>
  </si>
  <si>
    <t>JINNETH PAOLA LOPEZ AGUIRRE</t>
  </si>
  <si>
    <t>1064-2025</t>
  </si>
  <si>
    <t>JINETH VANESA CONSTAIN LASSO</t>
  </si>
  <si>
    <t>1030-2025</t>
  </si>
  <si>
    <t>JHONN ALEJANDRO CORAL GARCIA</t>
  </si>
  <si>
    <t>1160-2025</t>
  </si>
  <si>
    <t>1040-2025</t>
  </si>
  <si>
    <t>JOHN JAIME LOPEZ GUERRERO</t>
  </si>
  <si>
    <t>819-2025</t>
  </si>
  <si>
    <t>JESSICA STEFANNY FRANCO ERASO</t>
  </si>
  <si>
    <t>760-2025</t>
  </si>
  <si>
    <t>JESSICA GRACE HERNANDEZ RIASCOS</t>
  </si>
  <si>
    <t>861-2025</t>
  </si>
  <si>
    <t>JESSICA ANDREA NARVAEZ NOGUERA</t>
  </si>
  <si>
    <t>864-2025</t>
  </si>
  <si>
    <t xml:space="preserve">JESSICA ALEXANDRA GUERRERO LARREA </t>
  </si>
  <si>
    <t>970-2025</t>
  </si>
  <si>
    <t>JERALDINE BASTIDAS OCAÑA</t>
  </si>
  <si>
    <t>1147-2025</t>
  </si>
  <si>
    <t>JENNY STEFANIA SAPUYES NARVAEZ</t>
  </si>
  <si>
    <t>992-2025</t>
  </si>
  <si>
    <t>1027-2025</t>
  </si>
  <si>
    <t>JENIFER ALEJANDRA ORTIZ CHATES</t>
  </si>
  <si>
    <t>770-2025</t>
  </si>
  <si>
    <t>JENIFER AREVALO CRIOLLO</t>
  </si>
  <si>
    <t>791-2025</t>
  </si>
  <si>
    <t>JEIMY TATIANA RODRIGUEZ RODRIGUEZ</t>
  </si>
  <si>
    <t>776-2025</t>
  </si>
  <si>
    <t>JAZMIN ELIZABETH ARCE CALDERON</t>
  </si>
  <si>
    <t>726-2025</t>
  </si>
  <si>
    <t>JAVIER FERNANDO CHILANGUAD
CABRERA</t>
  </si>
  <si>
    <t>743-2025</t>
  </si>
  <si>
    <t>790-2025</t>
  </si>
  <si>
    <t>JAQUELINE MELO MOSQUERA</t>
  </si>
  <si>
    <t>968-2025</t>
  </si>
  <si>
    <t>JANNETH ALEXANDRA
BETANCOURT NARVAEZ</t>
  </si>
  <si>
    <t>769-2025</t>
  </si>
  <si>
    <t>1158-2025</t>
  </si>
  <si>
    <t xml:space="preserve"> IVONNE GISELA DIAZ SANCHEZ</t>
  </si>
  <si>
    <t>977-2025</t>
  </si>
  <si>
    <t>ISABEL CRISTINA SANTACRUZ MUÑOZ</t>
  </si>
  <si>
    <t>792-2025</t>
  </si>
  <si>
    <t>INGRID RAQUEL MONCAYO NARVAEZ</t>
  </si>
  <si>
    <t>946-2025</t>
  </si>
  <si>
    <t>INES MERCEDES LOPEZ TORRES</t>
  </si>
  <si>
    <t>963-2025</t>
  </si>
  <si>
    <t>IBONNE ALEJANDRA SILVA ARAUJO</t>
  </si>
  <si>
    <t>896-2025</t>
  </si>
  <si>
    <t>HERIKA VIVIANA VILLOTA VILLOTA</t>
  </si>
  <si>
    <t>1095-2025</t>
  </si>
  <si>
    <t>HECTOR GERMAN OJEDA CERON</t>
  </si>
  <si>
    <t>1115-2025</t>
  </si>
  <si>
    <t>GUSTAVO ALEJANDRO BENAVIDES GARCIA</t>
  </si>
  <si>
    <t>755-2025</t>
  </si>
  <si>
    <t>GUIDO DUVAN RECALDE AREVALO</t>
  </si>
  <si>
    <t>747-2025</t>
  </si>
  <si>
    <t>ANGIE PAOLA GUERRERO GARZON</t>
  </si>
  <si>
    <t>916-2025</t>
  </si>
  <si>
    <t>GLORIA PATRICIA RAMOS ESPAÑA</t>
  </si>
  <si>
    <t>872-2025</t>
  </si>
  <si>
    <t>GLORIA JANETH BOTINA BURBANO</t>
  </si>
  <si>
    <t>1162-2025</t>
  </si>
  <si>
    <t>833-2025</t>
  </si>
  <si>
    <t>GERALDINE VIVIANA VILLOTA ARTEAGA</t>
  </si>
  <si>
    <t>1060-2025</t>
  </si>
  <si>
    <t>GENITH CARMENZA CUASAPUD CUNDAR</t>
  </si>
  <si>
    <t>1067-2025</t>
  </si>
  <si>
    <t>923-2025</t>
  </si>
  <si>
    <t>GABRIELA ESTEFANIA PABON ORTIZ</t>
  </si>
  <si>
    <t>944-2025</t>
  </si>
  <si>
    <t>FRANCO JESUS RODRIGUEZ ARAUJO</t>
  </si>
  <si>
    <t>807-2025</t>
  </si>
  <si>
    <t>761-2025</t>
  </si>
  <si>
    <t>850-2025</t>
  </si>
  <si>
    <t>976-2025</t>
  </si>
  <si>
    <t>FERNANDA NATALY CRIOLLO OJEDA</t>
  </si>
  <si>
    <t>740-2025</t>
  </si>
  <si>
    <t>FANY LUCELY RODRIGUEZ CRIOLLO</t>
  </si>
  <si>
    <t>751-2025</t>
  </si>
  <si>
    <t>FANNY MARIELA CORDOBA MORENO</t>
  </si>
  <si>
    <t>783-2025</t>
  </si>
  <si>
    <t>1065-2025</t>
  </si>
  <si>
    <t>EVELIN GISETH CONSTAIN LASSO</t>
  </si>
  <si>
    <t>860-2025</t>
  </si>
  <si>
    <t>ESTEFANIA CORREA GUERRERO</t>
  </si>
  <si>
    <t>932-2025</t>
  </si>
  <si>
    <t>ESTEBAN MAURICIO LOPEZ SOLARTE</t>
  </si>
  <si>
    <t>1128-2025</t>
  </si>
  <si>
    <t>813-2025</t>
  </si>
  <si>
    <t>ESLENY ERASO ARTEAGA</t>
  </si>
  <si>
    <t>785-2025</t>
  </si>
  <si>
    <t>ERIKA LIZETH CORDOBA ROSERO</t>
  </si>
  <si>
    <t>1164-2025</t>
  </si>
  <si>
    <t>LILIANA LUCIA MAIGUAL MAIGUAL</t>
  </si>
  <si>
    <t>873-2025</t>
  </si>
  <si>
    <t>ELVIA DEL ROSARIO JUAJINOY NARVAEZ</t>
  </si>
  <si>
    <t>773-2025</t>
  </si>
  <si>
    <t>ELIANA STHEPANIE CAICEDO ALVAREZ</t>
  </si>
  <si>
    <t>1003-2025</t>
  </si>
  <si>
    <t>EDUARDO MAURICIO NARVAEZ GUERRA</t>
  </si>
  <si>
    <t>857-2025</t>
  </si>
  <si>
    <t>EDISON FAVER MARTINEZ LUNA</t>
  </si>
  <si>
    <t>1121-2025</t>
  </si>
  <si>
    <t>EDISON ARMANDO CAICEDO
MORALES</t>
  </si>
  <si>
    <t>1004-2025</t>
  </si>
  <si>
    <t>EDILIA ROSARIO ROSERO DELGADO</t>
  </si>
  <si>
    <t>782-2025</t>
  </si>
  <si>
    <t>DORIS DEL CARMEN GOMEZ OVIEDO</t>
  </si>
  <si>
    <t>803-2025</t>
  </si>
  <si>
    <t>DORANI VANESA BURBANO ANDRADE</t>
  </si>
  <si>
    <t>1165-2025</t>
  </si>
  <si>
    <t>DIEGO DAVID TORRES LUNA</t>
  </si>
  <si>
    <t>808-2025</t>
  </si>
  <si>
    <t>DIANA SOFIA PANTOJA RUANO</t>
  </si>
  <si>
    <t>1099-2025</t>
  </si>
  <si>
    <t>793-2025</t>
  </si>
  <si>
    <t>DIANA SOFIA AYALA DIAZ</t>
  </si>
  <si>
    <t>1111-2025</t>
  </si>
  <si>
    <t>DIANA MILENA PAZ NANDAR</t>
  </si>
  <si>
    <t>1033-2025</t>
  </si>
  <si>
    <t>DIANA MILENA BOTINA JOSA</t>
  </si>
  <si>
    <t>764-2025</t>
  </si>
  <si>
    <t>DIANA MARIA ERASO ALAVA,</t>
  </si>
  <si>
    <t>778-2025</t>
  </si>
  <si>
    <t>DIANA MARCELA RODRIGUEZ MORA</t>
  </si>
  <si>
    <t>999-2025</t>
  </si>
  <si>
    <t>DIANA CAROLINA TISOY CHASOY</t>
  </si>
  <si>
    <t>1166-2025</t>
  </si>
  <si>
    <t>LILIAN CAROLINA DELGADO BOTINA</t>
  </si>
  <si>
    <t>826-2025</t>
  </si>
  <si>
    <t>739-2025</t>
  </si>
  <si>
    <t>DIANA CAROLINA CORTES TAPIA</t>
  </si>
  <si>
    <t>1020-2025</t>
  </si>
  <si>
    <t>DEYSI KATHERINE JOJOA JOJOA</t>
  </si>
  <si>
    <t>886-2025</t>
  </si>
  <si>
    <t>DEYBI GIOVANNI ESTRELLA ARMERO</t>
  </si>
  <si>
    <t>1107-2025</t>
  </si>
  <si>
    <t>DENNYS DUBERNEY BUESAQUILLO CRIOLLO</t>
  </si>
  <si>
    <t>832-2025</t>
  </si>
  <si>
    <t xml:space="preserve">GENNY MILENA DELGADO BUCHELI </t>
  </si>
  <si>
    <t>869-2025</t>
  </si>
  <si>
    <t>DEISY JOHANNA BASTIDAS JOJOA</t>
  </si>
  <si>
    <t>909-2025</t>
  </si>
  <si>
    <t>DEISY ANDREA MARTINEZ NARVAEZ</t>
  </si>
  <si>
    <t>936-2025</t>
  </si>
  <si>
    <t>DAYRA ROCIO FLOREZ BETANCOUR</t>
  </si>
  <si>
    <t>814-2025</t>
  </si>
  <si>
    <t>DAYRA MILENA ROSERO JOJOA</t>
  </si>
  <si>
    <t>1061-2025</t>
  </si>
  <si>
    <t>DAYRA JANNETH BOLAÑOS INSUASTY</t>
  </si>
  <si>
    <t>757-2025</t>
  </si>
  <si>
    <t>DAYANA VANESSA CHAPAL MALLAMA</t>
  </si>
  <si>
    <t>1031-2025</t>
  </si>
  <si>
    <t>DAVID ANDRES BOTINA CRIOLLO</t>
  </si>
  <si>
    <t>744-2025</t>
  </si>
  <si>
    <t>DAVID ALEJANDRO VILLACORTE BARCO</t>
  </si>
  <si>
    <t>917-2025</t>
  </si>
  <si>
    <t>DARY LORENA YASCUAL NARVAEZ</t>
  </si>
  <si>
    <t>768-2025</t>
  </si>
  <si>
    <t>DANNY ALEXANDER
SANCHEZ ESTRADA</t>
  </si>
  <si>
    <t>890-2025</t>
  </si>
  <si>
    <t>779-2025</t>
  </si>
  <si>
    <t>DANIELA FERNANDA BASTIDAS VILLOTA</t>
  </si>
  <si>
    <t>852-2025</t>
  </si>
  <si>
    <t>DANIELA CAROLINA NARVAEZ TOR</t>
  </si>
  <si>
    <t>787-2025</t>
  </si>
  <si>
    <t>1140-2025</t>
  </si>
  <si>
    <t>DANIELA ALEJANDRA TOBAR GOMEZ</t>
  </si>
  <si>
    <t>1139-2025</t>
  </si>
  <si>
    <t>DANIELA ALEJANDRA ROSERO FLOREZ</t>
  </si>
  <si>
    <t>1151-2025</t>
  </si>
  <si>
    <t>DANIEL ESTEBAN ERASO SANTACRUZ</t>
  </si>
  <si>
    <t>838-2025</t>
  </si>
  <si>
    <t>DAMARIS ROXANA BENAVIDES CAEZ</t>
  </si>
  <si>
    <t>980-2025</t>
  </si>
  <si>
    <t>DAISSY JOHANA YAQUENO YAQUENO</t>
  </si>
  <si>
    <t>812-2025</t>
  </si>
  <si>
    <t>950-2025</t>
  </si>
  <si>
    <t>CHRISTIAN ANDRES SALAZAR YANDAR</t>
  </si>
  <si>
    <t>948-2025</t>
  </si>
  <si>
    <t>741-2025</t>
  </si>
  <si>
    <t xml:space="preserve"> CARMEN PATRICIA CÓRDOBA ARTEAGA</t>
  </si>
  <si>
    <t>1012-2025</t>
  </si>
  <si>
    <t>CARMEN LILIANA ARMERO RUIZ</t>
  </si>
  <si>
    <t>1009-2025</t>
  </si>
  <si>
    <t>CARMEN PATIÑO DE BENAVIDES</t>
  </si>
  <si>
    <t>786-2025</t>
  </si>
  <si>
    <t>CARLOS MARIO ALVARADO ORDOÑEZ</t>
  </si>
  <si>
    <t>1062-2025</t>
  </si>
  <si>
    <t>CARINA DEL CARMEN PASICHANA YAQUENO</t>
  </si>
  <si>
    <t>767-2025</t>
  </si>
  <si>
    <t>845-2025</t>
  </si>
  <si>
    <t>CAMILO ALBERTO BURGOS GOYES</t>
  </si>
  <si>
    <t>865-2025</t>
  </si>
  <si>
    <t>912-2025</t>
  </si>
  <si>
    <t>BRILLYD MAYERLI PEREZ LUCANO</t>
  </si>
  <si>
    <t>798-2025</t>
  </si>
  <si>
    <t>BRIGIT VERONICA ORDOÑEZ BURBANO</t>
  </si>
  <si>
    <t>955-2025</t>
  </si>
  <si>
    <t>BRENDA MICAELA PUENTE GONZALEZ</t>
  </si>
  <si>
    <t>856-2025</t>
  </si>
  <si>
    <t>YULY ADRIANA BOLAÑOS BOTINA</t>
  </si>
  <si>
    <t>876-2025</t>
  </si>
  <si>
    <t>MYRIAM JANNETH BASTIDAS MORA</t>
  </si>
  <si>
    <t>921-2025</t>
  </si>
  <si>
    <t>AYDA MARGOTH QUENORAN QUENORAN</t>
  </si>
  <si>
    <t>1129-2025</t>
  </si>
  <si>
    <t>AYDA ISABEL MATABANCHOY BENAVIDES</t>
  </si>
  <si>
    <t>1005-2025</t>
  </si>
  <si>
    <t>AURA VIRGINIA RIASCOS MORIANO</t>
  </si>
  <si>
    <t>1010-2025</t>
  </si>
  <si>
    <t>AURA NATALIA MAIGUAL TIMARAN</t>
  </si>
  <si>
    <t>1034-2025</t>
  </si>
  <si>
    <t>AURA INES CHACHINOY POTOSI</t>
  </si>
  <si>
    <t>918-2025</t>
  </si>
  <si>
    <t>ANYIE CAROLINA BASTIDAS CABRERA</t>
  </si>
  <si>
    <t>1050-2025</t>
  </si>
  <si>
    <t>ANYIE CAMILA CASTRO ARCOS</t>
  </si>
  <si>
    <t>903-2025</t>
  </si>
  <si>
    <t>1048-2025</t>
  </si>
  <si>
    <t>ANYELY VANESA BUESAQUILLO MATABANCHOY</t>
  </si>
  <si>
    <t>1167-2025</t>
  </si>
  <si>
    <t>1007-2025</t>
  </si>
  <si>
    <t>ANTONY EDGARDO ACHICANOY NUPAN</t>
  </si>
  <si>
    <t>894-2025</t>
  </si>
  <si>
    <t>1179-2025</t>
  </si>
  <si>
    <t>SARA ESTEFANIA FINLAY GARCIA</t>
  </si>
  <si>
    <t>772-2025</t>
  </si>
  <si>
    <t>ANGIE VALERIA PAZ PAZ</t>
  </si>
  <si>
    <t>919-2025</t>
  </si>
  <si>
    <t>ANGIE SHIRLEY LOPEZ BOTINA</t>
  </si>
  <si>
    <t>1119-2025</t>
  </si>
  <si>
    <t>ANGIE JULIANA QUISTANCHALA CASANOVA</t>
  </si>
  <si>
    <t>784-2025</t>
  </si>
  <si>
    <t>ANGIE GABRIELA ENRIQUEZ
TACAN</t>
  </si>
  <si>
    <t>898-2025</t>
  </si>
  <si>
    <t>ANGIE DANIELA RIASCOS ASCUNTAR</t>
  </si>
  <si>
    <t>938-2025</t>
  </si>
  <si>
    <t>ANGIE CAROLINA YAQUENO CRIOLLO</t>
  </si>
  <si>
    <t>901-2025</t>
  </si>
  <si>
    <t>ANGIE ALEXANDRA MORILLO PANTOJA</t>
  </si>
  <si>
    <t>1180-2025</t>
  </si>
  <si>
    <t>ANGHY FERNANDA MUÑOZ CEBALLOS</t>
  </si>
  <si>
    <t>1133-2025</t>
  </si>
  <si>
    <t>998-2025</t>
  </si>
  <si>
    <t>1124-2025</t>
  </si>
  <si>
    <t>830-2025</t>
  </si>
  <si>
    <t>ANDREA DEL ROSARIO BUESAQUILLO MIRAMAG</t>
  </si>
  <si>
    <t>952-2025</t>
  </si>
  <si>
    <t>ANDREA CATALINA CUASTUMAL ESCOBAR</t>
  </si>
  <si>
    <t>951-2025</t>
  </si>
  <si>
    <t>ANA VIVIANA BENAVIDES MORENO</t>
  </si>
  <si>
    <t>991-2025</t>
  </si>
  <si>
    <t>ANA MILENA MUÑOZ</t>
  </si>
  <si>
    <t>858-2025</t>
  </si>
  <si>
    <t>ANA MARIA INSUASTY FAJARDO</t>
  </si>
  <si>
    <t>1106-2025</t>
  </si>
  <si>
    <t>774-2025</t>
  </si>
  <si>
    <t>965-2025</t>
  </si>
  <si>
    <t>ALISSON YULIANA VELASCO CALDERON</t>
  </si>
  <si>
    <t>804-2025</t>
  </si>
  <si>
    <t>ALISSON STEFANIA ROSERO RODRIGUEZ</t>
  </si>
  <si>
    <t>835-2025</t>
  </si>
  <si>
    <t>ALEXANDER GEOVANNI YELA ENRIQUEZ</t>
  </si>
  <si>
    <t>853-2025</t>
  </si>
  <si>
    <t>ALBA LIGIA CIFUENTES ROSERO</t>
  </si>
  <si>
    <t>982-2025</t>
  </si>
  <si>
    <t>ALBA JULIA RODRIGUEZ MORA</t>
  </si>
  <si>
    <t>904-2025</t>
  </si>
  <si>
    <t>966-2025</t>
  </si>
  <si>
    <t>ALBA MONTENEGRO TERAN</t>
  </si>
  <si>
    <t>795-2025</t>
  </si>
  <si>
    <t>960-2025</t>
  </si>
  <si>
    <t>1184-2025</t>
  </si>
  <si>
    <t>ADRIANA ROCIO MUÑOZ CORTES</t>
  </si>
  <si>
    <t>899-2025</t>
  </si>
  <si>
    <t>ADRIANA MILENA DE LA CRUZ ROJAS</t>
  </si>
  <si>
    <t>763-2025</t>
  </si>
  <si>
    <t>ADRIANA MARIA HIDALGO ENRIQUEZ</t>
  </si>
  <si>
    <t>1063-2025</t>
  </si>
  <si>
    <t>ADRIANA LORENA DIAZ MARTINEZ</t>
  </si>
  <si>
    <t>1094-2025</t>
  </si>
  <si>
    <t>ADRIANA ALEJANDRA LEDESMA BETANCOURT</t>
  </si>
  <si>
    <t>1185-2025</t>
  </si>
  <si>
    <t>YENIFER NAYIBE MENESES TOBAR</t>
  </si>
  <si>
    <t>1187-2025</t>
  </si>
  <si>
    <t>MARIA FERNANDA NARVAEZ YEPES</t>
  </si>
  <si>
    <t>1194-2025</t>
  </si>
  <si>
    <t>DIANA CAROLINA ROSERO CONCHA</t>
  </si>
  <si>
    <t>1197-2025</t>
  </si>
  <si>
    <t xml:space="preserve">MONICA ESPERANZA INSUASTY </t>
  </si>
  <si>
    <t>1198-2025</t>
  </si>
  <si>
    <t xml:space="preserve">ANYELY ROCIO LOPEZ ROSERO </t>
  </si>
  <si>
    <t>696-2025</t>
  </si>
  <si>
    <t>FUNDACIÓN CALIDAD DE VIDA Y ESPERANZA</t>
  </si>
  <si>
    <t>JUAN CARLOS MERA GUERRERO</t>
  </si>
  <si>
    <t>742-2025</t>
  </si>
  <si>
    <t>KAROL LIZETH TREJO ZAMBRANO</t>
  </si>
  <si>
    <t>874-2025</t>
  </si>
  <si>
    <t>TRASNPORTES ESPECIALIDADES ACAR S.A</t>
  </si>
  <si>
    <t>saldo</t>
  </si>
  <si>
    <t>ID2087325712</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</si>
  <si>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</si>
  <si>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</si>
  <si>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</si>
  <si>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</si>
  <si>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</si>
  <si>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</si>
  <si>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</si>
  <si>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</si>
  <si>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</si>
  <si>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</si>
  <si>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</si>
  <si>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</si>
  <si>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</si>
  <si>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</si>
  <si>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</si>
  <si>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</si>
  <si>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</si>
  <si>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</si>
  <si>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</si>
  <si>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</si>
  <si>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</si>
  <si>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</si>
  <si>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</si>
  <si>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</si>
  <si>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</si>
  <si>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</si>
  <si>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</si>
  <si>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</si>
  <si>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</si>
  <si>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</si>
  <si>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</si>
  <si>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</si>
  <si>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</si>
  <si>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</si>
  <si>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</si>
  <si>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</si>
  <si>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personás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</si>
  <si>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</si>
  <si>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</si>
  <si>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</si>
  <si>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</si>
  <si>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</si>
  <si>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</si>
  <si>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</si>
  <si>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</si>
  <si>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</si>
  <si>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</si>
  <si>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</si>
  <si>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</si>
  <si>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</si>
  <si>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</si>
  <si>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</si>
  <si>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</si>
  <si>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</si>
  <si>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</si>
  <si>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</si>
  <si>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</si>
  <si>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</si>
  <si>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</si>
  <si>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</si>
  <si>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</si>
  <si>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</si>
  <si>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</si>
  <si>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</si>
  <si>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</si>
  <si>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</si>
  <si>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</si>
  <si>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</si>
  <si>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</si>
  <si>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</si>
  <si>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</si>
  <si>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</si>
  <si>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</si>
  <si>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</si>
  <si>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</si>
  <si>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</si>
  <si>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</si>
  <si>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</si>
  <si>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</si>
  <si>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</si>
  <si>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</si>
  <si>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</si>
  <si>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</si>
  <si>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</si>
  <si>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</si>
  <si>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</si>
  <si>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</si>
  <si>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</si>
  <si>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</si>
  <si>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</si>
  <si>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</si>
  <si>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</si>
  <si>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</si>
  <si>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</si>
  <si>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</si>
  <si>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</si>
  <si>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</si>
  <si>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</si>
  <si>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</si>
  <si>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</si>
  <si>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</si>
  <si>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</si>
  <si>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</si>
  <si>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</si>
  <si>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</si>
  <si>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</si>
  <si>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</si>
  <si>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</si>
  <si>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</si>
  <si>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</si>
  <si>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</si>
  <si>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</si>
  <si>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</si>
  <si>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</si>
  <si>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</si>
  <si>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</si>
  <si>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</si>
  <si>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</si>
  <si>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</si>
  <si>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</si>
  <si>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</si>
  <si>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</si>
  <si>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N</t>
  </si>
  <si>
    <t>NAN</t>
  </si>
  <si>
    <t>accion</t>
  </si>
  <si>
    <t>Actualizar Contrato</t>
  </si>
  <si>
    <t>verificar pagos para actualizar</t>
  </si>
  <si>
    <t>Actualizar Contrato por la cifra pagada no hace falta acta</t>
  </si>
  <si>
    <t>ANULAR</t>
  </si>
  <si>
    <t>actualizar pago</t>
  </si>
  <si>
    <t>e</t>
  </si>
  <si>
    <t>d</t>
  </si>
  <si>
    <t>JAVIER FERNANDO CHILANGUAD CABRERA</t>
  </si>
  <si>
    <t>PATRICIA MUÑOZ CORDOBA</t>
  </si>
  <si>
    <t>DIANA MARIA ERASO ALAVA</t>
  </si>
  <si>
    <t>MARIA ALEJANDRA ERAZO SANTANDER</t>
  </si>
  <si>
    <t>DAVID ALEJANDRO BASTIDAS PEREZ</t>
  </si>
  <si>
    <t>ELIANA STEPHANIE CAICEDO ALVAREZ</t>
  </si>
  <si>
    <t xml:space="preserve">LUIS ALFONSO GUEVARA DE LOS RIOS </t>
  </si>
  <si>
    <t>DANNY ALEXANDER SANCHEZ ESTRADA</t>
  </si>
  <si>
    <t>DAYANA VANESSA CHAPAL MALLAMAS</t>
  </si>
  <si>
    <t xml:space="preserve">ANDRES FELIPE BURBANO IBARRA   </t>
  </si>
  <si>
    <t>CARMEN PATRICIA CORDOBA ARTEAGA</t>
  </si>
  <si>
    <t>YULI CAROLINA CASTILLO PAZ</t>
  </si>
  <si>
    <t>VIKY PATRICIA ASCUNTAR CRIOLLO</t>
  </si>
  <si>
    <t>ANGIE GABRIELA ENRIQUEZ TACAN</t>
  </si>
  <si>
    <t>SANDRA LILIANA TOVAR MEJIA</t>
  </si>
  <si>
    <t>ISABEL CRISTINA SANCHEZ MORENO</t>
  </si>
  <si>
    <t>DIANA MARISOL SALAZAR MUTIS</t>
  </si>
  <si>
    <t>GERALDINE VIVIANA VILLOTA  ARTEAGA</t>
  </si>
  <si>
    <t>LORENA TATIANA GUTIERREZ DIAGO</t>
  </si>
  <si>
    <t>ADRIANA ISABEL DELGADO BRAVO</t>
  </si>
  <si>
    <t>LADY VIVIANA CASTRO GUAÑA</t>
  </si>
  <si>
    <t>MARIA YISETH DAZA NARVAEZ</t>
  </si>
  <si>
    <t>ERICA STELLA ZAMBRANO ERASO</t>
  </si>
  <si>
    <t>KELLY YURANY JOJOA BOTINA</t>
  </si>
  <si>
    <t>MARIA FERNANDA LARA BENAVIDES</t>
  </si>
  <si>
    <t>KAREN  NATALY BURBANO TUTISTAR</t>
  </si>
  <si>
    <t>YESSIKA DAYANA MADROÑERO VALLEJOS</t>
  </si>
  <si>
    <t>DANNA SOFIA ORDOÑEZ ALVEAR</t>
  </si>
  <si>
    <t>NORALY CECILIA PASUY PANTOJA</t>
  </si>
  <si>
    <t>YORLENY VALERIA CABRERA RIVERA</t>
  </si>
  <si>
    <t>LEIDY LORENA YELA CALPA</t>
  </si>
  <si>
    <t>ALEXANDER  GEOVANNI YELA ENRIQUEZ</t>
  </si>
  <si>
    <t>CINTHYA CAROLINA GONZALES SALAZAR</t>
  </si>
  <si>
    <t>MARIA CAMILA NARVAEZ MADROÑERO</t>
  </si>
  <si>
    <t>ALEXANDRA MARIBEL PIALEJO GOMEZ</t>
  </si>
  <si>
    <t>LEIDY JOHANA MERA CONDE</t>
  </si>
  <si>
    <t>JESSICA ALEXANDRA GUERRERO LARREA</t>
  </si>
  <si>
    <t>YARI ESTEPHANIA BOLAÑOS LUNA</t>
  </si>
  <si>
    <t>JOSE EDUARDO RUIZ PORTILLA</t>
  </si>
  <si>
    <t>CLAUDIA PATRICIA MUÑOZ GUERRERO</t>
  </si>
  <si>
    <t>SARA VICTORIA ALVAREZ FIGUEROA</t>
  </si>
  <si>
    <t>ANDREA KATHERYNE GALVIS VELASQUEZ</t>
  </si>
  <si>
    <t>DEISY JOHANA BASTIDAS JOJOA</t>
  </si>
  <si>
    <t>GLORIA AMANDA MENESES SALAZAR</t>
  </si>
  <si>
    <t>MARIA ALEJANDRA GOMEZ OJEDA</t>
  </si>
  <si>
    <t>DEISY VIVIANA RAMIREZ CORAL</t>
  </si>
  <si>
    <t>JOSE EDILBERTO CORDOBA PANTOJA</t>
  </si>
  <si>
    <t xml:space="preserve">KATHERINE SULAY CALVACHE ARGOTY </t>
  </si>
  <si>
    <t>DENIS ALEJANDRA RIAÑO RIASCOS</t>
  </si>
  <si>
    <t>MARIA XIMENA CASTRO MONCAYO</t>
  </si>
  <si>
    <t>ANYI NATALY FARINANGO CAVEZ</t>
  </si>
  <si>
    <t>ANGGY MARCELA AGUIRRE NARANJO</t>
  </si>
  <si>
    <t>KAREN DAYANA ROMO QUENGUAN</t>
  </si>
  <si>
    <t>LAURA ALEJANDRA BELALCAZAR NAVARRO</t>
  </si>
  <si>
    <t>KAREN TATIANA CIFUENTES  CHAMORRO</t>
  </si>
  <si>
    <t>MEHILIN TATIANA QUIMBIAMBA ORTIZ</t>
  </si>
  <si>
    <t>ANDREE SELENA CEBALLOS MELO</t>
  </si>
  <si>
    <t>JONATAN RICARDO ORTEGA ORTEGA</t>
  </si>
  <si>
    <t>CHRISTIAN STEVEN LOPEZ CALI</t>
  </si>
  <si>
    <t>NAYIBE MARCELA LARA MATABANCHOY</t>
  </si>
  <si>
    <t>ADRIANA CAROLINA QUIROZ VILLOTA</t>
  </si>
  <si>
    <t>CIELO FATIMA BASTIDAS VIVA</t>
  </si>
  <si>
    <t>FERNANDA VALENTINA RUIZ GUEVARA</t>
  </si>
  <si>
    <t>VERONICA JANNETH SANTACRUZ DELGADO</t>
  </si>
  <si>
    <t>JANNETH ALEXANDRA BETANCOURT NARVAEZ</t>
  </si>
  <si>
    <t>JAIME ANDRES QUIJANO VASQUEZ</t>
  </si>
  <si>
    <t>ERIKA MARCELA GUERRA SANTACRUZ</t>
  </si>
  <si>
    <t>KAREN JULIANA  ERAZO JURADO</t>
  </si>
  <si>
    <t>JENNIFER ARCOS GIL</t>
  </si>
  <si>
    <t>LINDA KATHERYNE ROSERO CARRILLO</t>
  </si>
  <si>
    <t>ANA LUCIA ERAZO</t>
  </si>
  <si>
    <t>TANIA LORENA ASTAIZA QUINTERO</t>
  </si>
  <si>
    <t>NICOL VIVIANA NARVAEZ MEJIA</t>
  </si>
  <si>
    <t>ANGELA CAMILA MARTINEZ MARTINEZ</t>
  </si>
  <si>
    <t>ADRIANA JAZMIN ZAMORA MELO</t>
  </si>
  <si>
    <t>YULIANA VANESSA ROJAS BOTINA</t>
  </si>
  <si>
    <t>EVELYN JAHILYN SOLARTE RODRIGUEZ</t>
  </si>
  <si>
    <t>YEIMY MARCELA PUCHANA TIMANA</t>
  </si>
  <si>
    <t>MARIBEL DEL ROCIO MORENO ACTE</t>
  </si>
  <si>
    <t>FANNY STELLA CULCHAC BOTINA</t>
  </si>
  <si>
    <t>WENDY VALENTINA NARVAEZ CORDOBA</t>
  </si>
  <si>
    <t>INGRID VANESSA QUEJUAN AREVALO</t>
  </si>
  <si>
    <t>MARTHA YOLIMA DIAZ SARMIENTO</t>
  </si>
  <si>
    <t>SANDRA MAGALY CRIOLLO ENRIQUEZ</t>
  </si>
  <si>
    <t>ALEXANDRA CLEMENCIA MADROÑERO JACOME</t>
  </si>
  <si>
    <t>IVONNE GISELA DIAZ SANCHEZ</t>
  </si>
  <si>
    <t>JHOANA LIZETH BENAVIDES MORENO</t>
  </si>
  <si>
    <t>KARLA VALERIA AZA CEPEDA</t>
  </si>
  <si>
    <t>CRISTIAN DARIO MELO JOSA</t>
  </si>
  <si>
    <t>LILIAN LUCIA MAIGUAL MAIGUAL</t>
  </si>
  <si>
    <t>RUDDY JERALDINE PINTA MARTINEZ</t>
  </si>
  <si>
    <t>FERNANDO ANTONIO MARTINEZ PORTILLA</t>
  </si>
  <si>
    <t>EVELIN CAROLINA GOMEZ PARRA</t>
  </si>
  <si>
    <t>MARIA FERNANDA NARVAEZ YEPEZ</t>
  </si>
  <si>
    <t>MONICA ESPERANZA INSUASTY OBANDO</t>
  </si>
  <si>
    <t>ANYELY ROCIO LOPEZ ROSERO</t>
  </si>
  <si>
    <t>AMANDA LOPEZ HERNANDEZ</t>
  </si>
  <si>
    <t xml:space="preserve">LAUDY SORELLY LOPEZ DELGADO </t>
  </si>
  <si>
    <t>MARLENI URBANO MARTINEZ</t>
  </si>
  <si>
    <t>ANA ISABEL CAIPE QUENAN</t>
  </si>
  <si>
    <t>NAYIVE JULIANA URBINA CUELTAN</t>
  </si>
  <si>
    <t>LUISA FERNANDA POTOSI GARZON</t>
  </si>
  <si>
    <t>MARIA PAULA BENAVIDES ESPAÑA</t>
  </si>
  <si>
    <t>ENILSE YAMILE MORA CAICEDO</t>
  </si>
  <si>
    <t>LEIDY NATHALIA VILLOTA TIMANA</t>
  </si>
  <si>
    <t>NELLY GEOMAR MONCAYO AGREDA</t>
  </si>
  <si>
    <t>MARIA DEL CARMEN BENAVIDES ERAZO</t>
  </si>
  <si>
    <t>DANIELA ALEJANDRA REVELO</t>
  </si>
  <si>
    <t>MELANI XIOMARA JURADO GELPUD</t>
  </si>
  <si>
    <t>ERIKA YADITH ANDRADE GUERRRO</t>
  </si>
  <si>
    <t>LUCY VALERIA LOPEZ PORTILLA</t>
  </si>
  <si>
    <t>SANDRA MILENA ORTEGA LASSO</t>
  </si>
  <si>
    <t>ANGELA ESTEFANY AREVALO ERASO</t>
  </si>
  <si>
    <t>LEIDY DAYANA ARTEAGA TOBAR</t>
  </si>
  <si>
    <t>ADRIANA ANDREA CHAUCANES BASTIDAS</t>
  </si>
  <si>
    <t>YULI MARCELA ROMO ROMO</t>
  </si>
  <si>
    <t>ADRIANA MARCELA CHARFUELAN</t>
  </si>
  <si>
    <t>JORGE GIRALDO PINTA SOSCUE</t>
  </si>
  <si>
    <t>CHRISTIAN ZAMBRANO ACOSTA</t>
  </si>
  <si>
    <t>MAICOL STIVEN GUERRERO CRIOLLO</t>
  </si>
  <si>
    <t>YEMI YULIANA ALEJANDRA BASTIDAS LUNA</t>
  </si>
  <si>
    <t>DIANA GABRIELA DELGADO DE LOS RIOS</t>
  </si>
  <si>
    <t>ADRIANA PATRICIA MAGALLY MAIGUAL ROJAS</t>
  </si>
  <si>
    <t>ASTRID ELIANA ESTRADA BRAVO</t>
  </si>
  <si>
    <t>CRISTIAN HAIR BASTIDAS MEZA</t>
  </si>
  <si>
    <t>DANIELA STEPHANIA VILLAMARIN RAMIREZ</t>
  </si>
  <si>
    <t>NATHALIA GEOVANNA RAMIREZ ROSERO</t>
  </si>
  <si>
    <t>LORENA ANDREA RUEDA RUIZ</t>
  </si>
  <si>
    <t>SUR</t>
  </si>
  <si>
    <t>ORIENTE</t>
  </si>
  <si>
    <t>NORTE</t>
  </si>
  <si>
    <t>OCCIDENTE</t>
  </si>
  <si>
    <t>F</t>
  </si>
  <si>
    <t>D</t>
  </si>
  <si>
    <t>E</t>
  </si>
  <si>
    <t>C</t>
  </si>
  <si>
    <t>AUXILIAR DE ENFERMERIA</t>
  </si>
  <si>
    <t>ENFERMERA</t>
  </si>
  <si>
    <t>PSICOLOGO</t>
  </si>
  <si>
    <t>MEDICO</t>
  </si>
  <si>
    <t>TECNOLOGO PYP</t>
  </si>
  <si>
    <t>PROMOTOR DE SALUD</t>
  </si>
  <si>
    <t>X</t>
  </si>
  <si>
    <t>Q</t>
  </si>
  <si>
    <t>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</si>
  <si>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094-2026</t>
  </si>
  <si>
    <t>095-2026</t>
  </si>
  <si>
    <t>125-2026</t>
  </si>
  <si>
    <t>118-2026</t>
  </si>
  <si>
    <t>071-2026</t>
  </si>
  <si>
    <t>091-2026</t>
  </si>
  <si>
    <t>096-2026</t>
  </si>
  <si>
    <t>089-2026</t>
  </si>
  <si>
    <t>114-2026</t>
  </si>
  <si>
    <t>078-2026</t>
  </si>
  <si>
    <t>077-2026</t>
  </si>
  <si>
    <t>075-2026</t>
  </si>
  <si>
    <t>085-2026</t>
  </si>
  <si>
    <t>057-2026</t>
  </si>
  <si>
    <t>097-2026</t>
  </si>
  <si>
    <t>080-2026</t>
  </si>
  <si>
    <t>064-2026</t>
  </si>
  <si>
    <t>067-2026</t>
  </si>
  <si>
    <t>092-2026</t>
  </si>
  <si>
    <t>052-2026</t>
  </si>
  <si>
    <t>088-2026</t>
  </si>
  <si>
    <t>065-2026</t>
  </si>
  <si>
    <t>072-2026</t>
  </si>
  <si>
    <t>084-2026</t>
  </si>
  <si>
    <t>110-2026</t>
  </si>
  <si>
    <t>081-2026</t>
  </si>
  <si>
    <t>113-2026</t>
  </si>
  <si>
    <t>100-2026</t>
  </si>
  <si>
    <t>107-2026</t>
  </si>
  <si>
    <t>123-2026</t>
  </si>
  <si>
    <t>046-2026</t>
  </si>
  <si>
    <t>011-2026</t>
  </si>
  <si>
    <t>093-2026</t>
  </si>
  <si>
    <t>102-2026</t>
  </si>
  <si>
    <t>109-2026</t>
  </si>
  <si>
    <t>056-2026</t>
  </si>
  <si>
    <t>059-2026</t>
  </si>
  <si>
    <t>060-2026</t>
  </si>
  <si>
    <t>266-2026</t>
  </si>
  <si>
    <t>281-2026</t>
  </si>
  <si>
    <t>168-2026</t>
  </si>
  <si>
    <t>101-2026</t>
  </si>
  <si>
    <t>090-2026</t>
  </si>
  <si>
    <t>074-2026</t>
  </si>
  <si>
    <t>068-2026</t>
  </si>
  <si>
    <t>173-2026</t>
  </si>
  <si>
    <t>053-2026</t>
  </si>
  <si>
    <t>209-2026</t>
  </si>
  <si>
    <t>157-2026</t>
  </si>
  <si>
    <t>261-2026</t>
  </si>
  <si>
    <t>111-2026</t>
  </si>
  <si>
    <t>047-2026</t>
  </si>
  <si>
    <t>049-2026</t>
  </si>
  <si>
    <t>087-2026</t>
  </si>
  <si>
    <t>insertar</t>
  </si>
  <si>
    <t>014-2026</t>
  </si>
  <si>
    <t>023-2026</t>
  </si>
  <si>
    <t>045-2026</t>
  </si>
  <si>
    <t>048-2026</t>
  </si>
  <si>
    <t>050-2026</t>
  </si>
  <si>
    <t>051-2026</t>
  </si>
  <si>
    <t>055-2026</t>
  </si>
  <si>
    <t>058-2026</t>
  </si>
  <si>
    <t>061-2026</t>
  </si>
  <si>
    <t>062-2026</t>
  </si>
  <si>
    <t>063-2026</t>
  </si>
  <si>
    <t>066-2026</t>
  </si>
  <si>
    <t>069-2026</t>
  </si>
  <si>
    <t>070-2026</t>
  </si>
  <si>
    <t>073-2026</t>
  </si>
  <si>
    <t>076-2026</t>
  </si>
  <si>
    <t>079-2026</t>
  </si>
  <si>
    <t>082-2026</t>
  </si>
  <si>
    <t>083-2026</t>
  </si>
  <si>
    <t>086-2026</t>
  </si>
  <si>
    <t>098-2026</t>
  </si>
  <si>
    <t>099-2026</t>
  </si>
  <si>
    <t>103-2026</t>
  </si>
  <si>
    <t>104-2026</t>
  </si>
  <si>
    <t>108-2026</t>
  </si>
  <si>
    <t>112-2026</t>
  </si>
  <si>
    <t>147-2026</t>
  </si>
  <si>
    <t>148-2026</t>
  </si>
  <si>
    <t>149-2026</t>
  </si>
  <si>
    <t>150-2026</t>
  </si>
  <si>
    <t>152-2026</t>
  </si>
  <si>
    <t>154-2026</t>
  </si>
  <si>
    <t>158-2026</t>
  </si>
  <si>
    <t>159-2026</t>
  </si>
  <si>
    <t>160-2026</t>
  </si>
  <si>
    <t>161-2026</t>
  </si>
  <si>
    <t>162-2026</t>
  </si>
  <si>
    <t>163-2026</t>
  </si>
  <si>
    <t>164-2026</t>
  </si>
  <si>
    <t>165-2026</t>
  </si>
  <si>
    <t>166-2026</t>
  </si>
  <si>
    <t>167-2026</t>
  </si>
  <si>
    <t>169-2026</t>
  </si>
  <si>
    <t>170-2026</t>
  </si>
  <si>
    <t>171-2026</t>
  </si>
  <si>
    <t>172-2026</t>
  </si>
  <si>
    <t>174-2026</t>
  </si>
  <si>
    <t>175-2026</t>
  </si>
  <si>
    <t>176-2026</t>
  </si>
  <si>
    <t>177-2026</t>
  </si>
  <si>
    <t>178-2026</t>
  </si>
  <si>
    <t>179-2026</t>
  </si>
  <si>
    <t>180-2026</t>
  </si>
  <si>
    <t>181-2026</t>
  </si>
  <si>
    <t>182-2026</t>
  </si>
  <si>
    <t>183-2026</t>
  </si>
  <si>
    <t>184-2026</t>
  </si>
  <si>
    <t>185-2026</t>
  </si>
  <si>
    <t>186-2026</t>
  </si>
  <si>
    <t>187-2026</t>
  </si>
  <si>
    <t>188-2026</t>
  </si>
  <si>
    <t>189-2026</t>
  </si>
  <si>
    <t>190-2026</t>
  </si>
  <si>
    <t>191-2026</t>
  </si>
  <si>
    <t>192-2026</t>
  </si>
  <si>
    <t>193-2026</t>
  </si>
  <si>
    <t>194-2026</t>
  </si>
  <si>
    <t>195-2026</t>
  </si>
  <si>
    <t>196-2026</t>
  </si>
  <si>
    <t>197-2026</t>
  </si>
  <si>
    <t>198-2026</t>
  </si>
  <si>
    <t>199-2026</t>
  </si>
  <si>
    <t>200-2026</t>
  </si>
  <si>
    <t>201-2026</t>
  </si>
  <si>
    <t>202-2026</t>
  </si>
  <si>
    <t>203-2026</t>
  </si>
  <si>
    <t>204-2026</t>
  </si>
  <si>
    <t>205-2026</t>
  </si>
  <si>
    <t>206-2026</t>
  </si>
  <si>
    <t>207-2026</t>
  </si>
  <si>
    <t>208-2026</t>
  </si>
  <si>
    <t>210-2026</t>
  </si>
  <si>
    <t>211-2026</t>
  </si>
  <si>
    <t>212-2026</t>
  </si>
  <si>
    <t>213-2026</t>
  </si>
  <si>
    <t>214-2026</t>
  </si>
  <si>
    <t>215-2026</t>
  </si>
  <si>
    <t>216-2026</t>
  </si>
  <si>
    <t>217-2026</t>
  </si>
  <si>
    <t>218-2026</t>
  </si>
  <si>
    <t>219-2026</t>
  </si>
  <si>
    <t>220-2026</t>
  </si>
  <si>
    <t>221-2026</t>
  </si>
  <si>
    <t>222-2026</t>
  </si>
  <si>
    <t>223-2026</t>
  </si>
  <si>
    <t>224-2026</t>
  </si>
  <si>
    <t>225-2026</t>
  </si>
  <si>
    <t>226-2026</t>
  </si>
  <si>
    <t>227-2026</t>
  </si>
  <si>
    <t>228-2026</t>
  </si>
  <si>
    <t>229-2026</t>
  </si>
  <si>
    <t>230-2026</t>
  </si>
  <si>
    <t>231-2026</t>
  </si>
  <si>
    <t>232-2026</t>
  </si>
  <si>
    <t>233-2026</t>
  </si>
  <si>
    <t>234-2026</t>
  </si>
  <si>
    <t>235-2026</t>
  </si>
  <si>
    <t>236-2026</t>
  </si>
  <si>
    <t>237-2026</t>
  </si>
  <si>
    <t>238-2026</t>
  </si>
  <si>
    <t>240-2026</t>
  </si>
  <si>
    <t>241-2026</t>
  </si>
  <si>
    <t>242-2026</t>
  </si>
  <si>
    <t>243-2026</t>
  </si>
  <si>
    <t>244-2026</t>
  </si>
  <si>
    <t>245-2026</t>
  </si>
  <si>
    <t>246-2026</t>
  </si>
  <si>
    <t>248-2026</t>
  </si>
  <si>
    <t>249-2026</t>
  </si>
  <si>
    <t>250-2026</t>
  </si>
  <si>
    <t>251-2026</t>
  </si>
  <si>
    <t>252-2026</t>
  </si>
  <si>
    <t>253-2026</t>
  </si>
  <si>
    <t>254-2026</t>
  </si>
  <si>
    <t>255-2026</t>
  </si>
  <si>
    <t>256-2026</t>
  </si>
  <si>
    <t>257-2026</t>
  </si>
  <si>
    <t>258-2026</t>
  </si>
  <si>
    <t>259-2026</t>
  </si>
  <si>
    <t>260-2026</t>
  </si>
  <si>
    <t>262-2026</t>
  </si>
  <si>
    <t>263-2026</t>
  </si>
  <si>
    <t>264-2026</t>
  </si>
  <si>
    <t>265-2026</t>
  </si>
  <si>
    <t>267-2026</t>
  </si>
  <si>
    <t>268-2026</t>
  </si>
  <si>
    <t>269-2026</t>
  </si>
  <si>
    <t>270-2026</t>
  </si>
  <si>
    <t>271-2026</t>
  </si>
  <si>
    <t>273-2026</t>
  </si>
  <si>
    <t>274-2026</t>
  </si>
  <si>
    <t>275-2026</t>
  </si>
  <si>
    <t>276-2026</t>
  </si>
  <si>
    <t>277-2026</t>
  </si>
  <si>
    <t>278-2026</t>
  </si>
  <si>
    <t>279-2026</t>
  </si>
  <si>
    <t>280-2026</t>
  </si>
  <si>
    <t>282-2026</t>
  </si>
  <si>
    <t>283-2026</t>
  </si>
  <si>
    <t>284-2026</t>
  </si>
  <si>
    <t>285-2026</t>
  </si>
  <si>
    <t>286-2026</t>
  </si>
  <si>
    <t>287-2026</t>
  </si>
  <si>
    <t>288-2026</t>
  </si>
  <si>
    <t>289-2026</t>
  </si>
  <si>
    <t>290-2026</t>
  </si>
  <si>
    <t>291-2026</t>
  </si>
  <si>
    <t>292-2026</t>
  </si>
  <si>
    <t>293-2026</t>
  </si>
  <si>
    <t>294-2026</t>
  </si>
  <si>
    <t>295-2026</t>
  </si>
  <si>
    <t>296-2026</t>
  </si>
  <si>
    <t>297-2026</t>
  </si>
  <si>
    <t>298-2026</t>
  </si>
  <si>
    <t>299-2026</t>
  </si>
  <si>
    <t>300-2026</t>
  </si>
  <si>
    <t>301-2026</t>
  </si>
  <si>
    <t>302-2026</t>
  </si>
  <si>
    <t>303-2026</t>
  </si>
  <si>
    <t>304-2026</t>
  </si>
  <si>
    <t>305-2026</t>
  </si>
  <si>
    <t>306-2026</t>
  </si>
  <si>
    <t>307-2026</t>
  </si>
  <si>
    <t>308-2026</t>
  </si>
  <si>
    <t>309-2026</t>
  </si>
  <si>
    <t>310-2026</t>
  </si>
  <si>
    <t>311-2026</t>
  </si>
  <si>
    <t>312-2026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</si>
  <si>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</si>
  <si>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</si>
  <si>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</si>
  <si>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</si>
  <si>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</si>
  <si>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</si>
  <si>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</si>
  <si>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</si>
  <si>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</si>
  <si>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</si>
  <si>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</si>
  <si>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</si>
  <si>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</si>
  <si>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</si>
  <si>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</si>
  <si>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</si>
  <si>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</si>
  <si>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</si>
  <si>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</si>
  <si>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332-2026</t>
  </si>
  <si>
    <t>333-2026</t>
  </si>
  <si>
    <t>334-2026</t>
  </si>
  <si>
    <t>336-2026</t>
  </si>
  <si>
    <t>338-2026</t>
  </si>
  <si>
    <t>339-2026</t>
  </si>
  <si>
    <t>341-2026</t>
  </si>
  <si>
    <t>342-2026</t>
  </si>
  <si>
    <t>343-2026</t>
  </si>
  <si>
    <t>345-2026</t>
  </si>
  <si>
    <t>346-2026</t>
  </si>
  <si>
    <t>347-2026</t>
  </si>
  <si>
    <t>348-2026</t>
  </si>
  <si>
    <t>349-2026</t>
  </si>
  <si>
    <t>350-2026</t>
  </si>
  <si>
    <t>351-2026</t>
  </si>
  <si>
    <t>352-2026</t>
  </si>
  <si>
    <t>353-2026</t>
  </si>
  <si>
    <t>354-2026</t>
  </si>
  <si>
    <t>355-2026</t>
  </si>
  <si>
    <t>356-2026</t>
  </si>
  <si>
    <t>357-2026</t>
  </si>
  <si>
    <t>358-2026</t>
  </si>
  <si>
    <t>359-2026</t>
  </si>
  <si>
    <t>360-2026</t>
  </si>
  <si>
    <t>361-2026</t>
  </si>
  <si>
    <t>362-2026</t>
  </si>
  <si>
    <t>363-2026</t>
  </si>
  <si>
    <t>364-2026</t>
  </si>
  <si>
    <t>365-2026</t>
  </si>
  <si>
    <t>366-2026</t>
  </si>
  <si>
    <t>367-2026</t>
  </si>
  <si>
    <t>368-2026</t>
  </si>
  <si>
    <t>369-2026</t>
  </si>
  <si>
    <t>370-2026</t>
  </si>
  <si>
    <t>371-2026</t>
  </si>
  <si>
    <t>372-2026</t>
  </si>
  <si>
    <t>375-2026</t>
  </si>
  <si>
    <t>376-2026</t>
  </si>
  <si>
    <t>377-2026</t>
  </si>
  <si>
    <t>379-2026</t>
  </si>
  <si>
    <t>380-2026</t>
  </si>
  <si>
    <t>381-2026</t>
  </si>
  <si>
    <t>382-2026</t>
  </si>
  <si>
    <t>383-2026</t>
  </si>
  <si>
    <t>384-2026</t>
  </si>
  <si>
    <t>385-2026</t>
  </si>
  <si>
    <t>387-2026</t>
  </si>
  <si>
    <t>388-2026</t>
  </si>
  <si>
    <t>389-2026</t>
  </si>
  <si>
    <t>390-2026</t>
  </si>
  <si>
    <t>392-2026</t>
  </si>
  <si>
    <t>395-2026</t>
  </si>
  <si>
    <t>397-2026</t>
  </si>
  <si>
    <t>400-2026</t>
  </si>
  <si>
    <t>402-2026</t>
  </si>
  <si>
    <t>403-2026</t>
  </si>
  <si>
    <t>404-2026</t>
  </si>
  <si>
    <t>407-2026</t>
  </si>
  <si>
    <t>412-2026</t>
  </si>
  <si>
    <t>414-2026</t>
  </si>
  <si>
    <t>420-2026</t>
  </si>
  <si>
    <t>434-2026</t>
  </si>
  <si>
    <t>435-2026</t>
  </si>
  <si>
    <t>437-2026</t>
  </si>
  <si>
    <t>438-2026</t>
  </si>
  <si>
    <t>441-2026</t>
  </si>
  <si>
    <t>444-2026</t>
  </si>
  <si>
    <t>445-2026</t>
  </si>
  <si>
    <t>446-2026</t>
  </si>
  <si>
    <t>447-2026</t>
  </si>
  <si>
    <t>448-2026</t>
  </si>
  <si>
    <t>449-2026</t>
  </si>
  <si>
    <t>450-2026</t>
  </si>
  <si>
    <t>451-2026</t>
  </si>
  <si>
    <t>452-2026</t>
  </si>
  <si>
    <t>453-2026</t>
  </si>
  <si>
    <t>454-2026</t>
  </si>
  <si>
    <t>455-2026</t>
  </si>
  <si>
    <t>456-2026</t>
  </si>
  <si>
    <t>457-2026</t>
  </si>
  <si>
    <t>458-2026</t>
  </si>
  <si>
    <t>477-2026</t>
  </si>
  <si>
    <t>495-2026</t>
  </si>
  <si>
    <t>500-2026</t>
  </si>
  <si>
    <t>506-2026</t>
  </si>
  <si>
    <t>507-2026</t>
  </si>
  <si>
    <t>508-2026</t>
  </si>
  <si>
    <t>509-2026</t>
  </si>
  <si>
    <t>512-2026</t>
  </si>
  <si>
    <t>514-2026</t>
  </si>
  <si>
    <t>515-2026</t>
  </si>
  <si>
    <t>516-2026</t>
  </si>
  <si>
    <t>523-2026</t>
  </si>
  <si>
    <t>525-2026</t>
  </si>
  <si>
    <t>526-2026</t>
  </si>
  <si>
    <t>532-2026</t>
  </si>
  <si>
    <t>533-2026</t>
  </si>
  <si>
    <t>536-2026</t>
  </si>
  <si>
    <t>537-2026</t>
  </si>
  <si>
    <t>538-2026</t>
  </si>
  <si>
    <t>540-2026</t>
  </si>
  <si>
    <t>541-2026</t>
  </si>
  <si>
    <t>542-2026</t>
  </si>
  <si>
    <t>543-2026</t>
  </si>
  <si>
    <t>544-2026</t>
  </si>
  <si>
    <t>545-2026</t>
  </si>
  <si>
    <t>549-2026</t>
  </si>
  <si>
    <t>551-2026</t>
  </si>
  <si>
    <t>552-2026</t>
  </si>
  <si>
    <t>553-2026</t>
  </si>
  <si>
    <t>555-2026</t>
  </si>
  <si>
    <t>556-2026</t>
  </si>
  <si>
    <t>557-2026</t>
  </si>
  <si>
    <t>558-2026</t>
  </si>
  <si>
    <t>561-2026</t>
  </si>
  <si>
    <t>562-2026</t>
  </si>
  <si>
    <t>563-2026</t>
  </si>
  <si>
    <t>564-2026</t>
  </si>
  <si>
    <t>565-2026</t>
  </si>
  <si>
    <t>566-2026</t>
  </si>
  <si>
    <t>568-2026</t>
  </si>
  <si>
    <t>575-2026</t>
  </si>
  <si>
    <t>578-2026</t>
  </si>
  <si>
    <t>587-2026</t>
  </si>
  <si>
    <t>589-2026</t>
  </si>
  <si>
    <t>591-2026</t>
  </si>
  <si>
    <t>593-2026</t>
  </si>
  <si>
    <t>596-2026</t>
  </si>
  <si>
    <t>597-2026</t>
  </si>
  <si>
    <t>600-2026</t>
  </si>
  <si>
    <t>603-2026</t>
  </si>
  <si>
    <t xml:space="preserve">RES 873 </t>
  </si>
  <si>
    <t>PAGADO</t>
  </si>
  <si>
    <t>pagado_sin_union</t>
  </si>
  <si>
    <t xml:space="preserve">SALDO </t>
  </si>
  <si>
    <t>A</t>
  </si>
  <si>
    <t>v</t>
  </si>
  <si>
    <t>216656524</t>
  </si>
  <si>
    <t>1256-2025</t>
  </si>
  <si>
    <t>1265-2025</t>
  </si>
  <si>
    <t>PRESTACION DE SERVICIOS DE TRANSPORTE ESPECIAL PARA EL DESARROLLO DE ESTRATEGIAS DE ATENCION PRIMARIA EN SALUD MEDIANTE LA PROVISION DE TRANSPORTE ADECUADO PARA LA MOVILIZACION DE EQUIPOS BASICOS ENERO DE 2026</t>
  </si>
  <si>
    <t>PRESTACION DE SERVICIOS PARA LA OPERACION QUE CONSISTE EN GARANTIZAR Y ADMINITRAR LA AGENDA Y REALIZACION DE CONSULTAS DE LOS PROFESIONALES  ESPECIALIZADOS.ENERO DE 2026 FAC.  2540 CONVENIO - EQUIPOS BASICOS</t>
  </si>
  <si>
    <t>PRESTACION DE SERVICIOS PROFESIONALES EN ENFERMERIA EQUIPOS BASICOS.</t>
  </si>
  <si>
    <t>PRESTACION DE SERVICIOS COMO GESTOR COMUNITARIO  CON EL FIN DE LLEVAR A CABO LAS ACTIVIDADES DESCRITAS PARA LOS EQUIPOS BASICOS EN SALUD, SEGUN LINEAMIENTOS DEL MINISTERIO DE SALUD.DICIEMBRE DE 2025  PD01- 7899 CONVENIO</t>
  </si>
  <si>
    <t>RUTH DEL CARMEN FAJARDO RIVERA</t>
  </si>
  <si>
    <t>PENDIENTE</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</si>
  <si>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</si>
  <si>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PRESTACIÓN DE SERVICIOS DE TRANSPORTE ESPECIAL (TERRESTRE) PARA EL DESARROLLO DE LA ESTRATEGIA DE ATENCIÓN PRIMARIA EN SALUD MEDIANTE LA PROVISIÓN DEL TRANSPORTE ADECUADO PARA LA MOVILIZACIÓN DE LOS EQUIPOS BÁSICOS DE SALUD ASIGNADOS AL
HOSPITAL CIVIL (NODO NORTE).</t>
  </si>
  <si>
    <t>0125-2026</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</si>
  <si>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</si>
  <si>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FUNDACIÓN CALIDAD DE
VIDA Y ESPERANZA</t>
  </si>
  <si>
    <t xml:space="preserve"> JUAN CARLOS MERA GUERRERO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</si>
  <si>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</si>
  <si>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</si>
  <si>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1266-2025</t>
  </si>
  <si>
    <t>Contratar la prestación de servicios profesionales EN MEDICINA INTERNA con el fin de llevar a cabo las actividades descritas para el equipos básicos de salud especializado, haciendo énfasis en atención clínica y en programas de atención de pacientes con enfermedades crónicas no transmisibles y programas de nefroprotección y cardioprotección y en el fortalecimiento de la Atención Primaria en Salud mediante la.integración de medicina especializada en los territorios con el fin de promover un enfoque integral en el cuidado de la salud, acercar los servicios especializados a las personas, familias y comunidades para incidir en los resultados de salud, en el marco de la implementación del modelo de salud preventivo y predictivo que garantice el derecho fundamental a la salud dentro del desarrollo de la estrategia de Atención Primaria en Salud, mediante las modalidades de atención domiciliaria, unidad móvil, jornadas extramurales y atención intramural según lo dispuesto en la resolución 3100 de 2019, para la población del municipio de Pasto, Ipiales, El Peñol, Linares, Mallama y Puerres según la población asignada por la relación contractual suscrita entre PASTO SALUD ESE y las diferentes EAPBS, así como el modelo definido en cada EPS concertado con la ESE Pasto Salud, y las Secretaria Municipal de, salud Correspondiente. Implementando el lineamiento emitido por el Ministerio de Salud a raíz de la expedición de la resolución 1893 del 15 de septiembre de 2025 y cumpliendo las metas de coberturas asignadas por municipio: De todas maneras, el contratista ejecutara una atención especializada en consulta de veinte (20) minutos, y un total de 360 consultas en un periodo de un mes.</t>
  </si>
  <si>
    <t>CARLOS ANDRES ROSERO ZAMBRANO</t>
  </si>
  <si>
    <t>1269-2025</t>
  </si>
  <si>
    <t>PRESTACIÓN DE SERVICIOS DE TRANSPORTE ESPECIAL (TERRESTRE) PARA EL DESARROLLO DE LA ESTRATEGIA DE ATENCIÓN PRIMARÍA EN SALUD MEDIANTE LA PROVISIÓN DEL TRANSPORTE ADECUADO PARA LA MOVILIZACIÓN DE LOS EQUIPOS BÁSICOS DE SALUD ESPECIALIZADOS EN EL PERIMETRO URBANO Y RURAL DEL MUNICIPIO DE PASTO Y DEMAS MUNICIPIOS (EL PEÑOL, IPIALES, LINARES, MALLAMA, PASTO Y PUERRES).</t>
  </si>
  <si>
    <t>TRANDECOL S.A.S.</t>
  </si>
  <si>
    <t>449-2025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</si>
  <si>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</si>
  <si>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RUBY STELLA AREVALO BASTIDAS</t>
  </si>
  <si>
    <t>947-2024</t>
  </si>
  <si>
    <t>COMPRA DE EQUIPOS BIOMEDICOS PARA EQUIPOS BASICOS EN SALUD DE LAS DIFERENTES SEDES QUE CONFORMAN LAS REDES PRESTADORAS DE SERVICIOS EN SALUD</t>
  </si>
  <si>
    <t>ULTRASCHALL DE COLOMBIA</t>
  </si>
  <si>
    <t>MARIO FERNADO NARANJO LOPEZ</t>
  </si>
  <si>
    <t>pago</t>
  </si>
  <si>
    <t>restante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</si>
</sst>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 #,##0.00;[Red]\-&quot;$&quot;\ #,##0.00"/>
    <numFmt numFmtId="165" formatCode="&quot;$&quot;\ #,##0.00"/>
    <numFmt numFmtId="166" formatCode="yyyy\-mm\-dd;@"/>
    <numFmt numFmtId="167" formatCode="yyyy\-mm\-dd"/>
    <numFmt numFmtId="168" formatCode="&quot;$&quot;#,##0.00"/>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Calibri"/>
      <family val="2"/>
      <scheme val="minor"/>
    </font>
    <font>
      <sz val="11"/>
      <color rgb="FFFF0000"/>
      <name val="Calibri"/>
      <family val="2"/>
      <scheme val="minor"/>
    </font>
    <font>
      <sz val="11"/>
      <color indexed="8"/>
      <name val="Calibri"/>
      <family val="2"/>
    </font>
    <font>
      <sz val="11"/>
      <color indexed="8"/>
      <name val="Calibri"/>
      <family val="2"/>
    </font>
    <font>
      <sz val="8"/>
      <name val="Calibri"/>
      <family val="2"/>
      <scheme val="minor"/>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s>
  <borders count="1">
    <border>
      <left/>
      <right/>
      <top/>
      <bottom/>
      <diagonal/>
    </border>
  </borders>
  <cellStyleXfs count="2">
    <xf numFmtId="0" fontId="0" fillId="0" borderId="0"/>
    <xf numFmtId="44" fontId="8" fillId="0" borderId="0" applyFont="0" applyFill="0" applyBorder="0" applyAlignment="0" applyProtection="0"/>
  </cellStyleXfs>
  <cellXfs count="46">
    <xf numFmtId="0" fontId="0" fillId="0" borderId="0" xfId="0"/>
    <xf numFmtId="44" fontId="0" fillId="0" borderId="0" xfId="1" applyFont="1"/>
    <xf numFmtId="0" fontId="6" fillId="0" borderId="0" xfId="0" applyFont="1"/>
    <xf numFmtId="0" fontId="6" fillId="2" borderId="0" xfId="0" applyFont="1" applyFill="1"/>
    <xf numFmtId="0" fontId="0" fillId="2" borderId="0" xfId="0" applyFill="1"/>
    <xf numFmtId="44" fontId="0" fillId="2" borderId="0" xfId="1" applyFont="1" applyFill="1"/>
    <xf numFmtId="0" fontId="0" fillId="3" borderId="0" xfId="0" applyFill="1"/>
    <xf numFmtId="44" fontId="0" fillId="3" borderId="0" xfId="1" applyFont="1" applyFill="1"/>
    <xf numFmtId="0" fontId="0" fillId="4" borderId="0" xfId="0" applyFill="1"/>
    <xf numFmtId="44" fontId="0" fillId="4" borderId="0" xfId="1" applyFont="1" applyFill="1"/>
    <xf numFmtId="165" fontId="0" fillId="0" borderId="0" xfId="0" applyNumberFormat="1"/>
    <xf numFmtId="0" fontId="5" fillId="0" borderId="0" xfId="0" applyFont="1"/>
    <xf numFmtId="166" fontId="0" fillId="0" borderId="0" xfId="0" applyNumberFormat="1"/>
    <xf numFmtId="166" fontId="0" fillId="4" borderId="0" xfId="0" applyNumberFormat="1" applyFill="1"/>
    <xf numFmtId="166" fontId="0" fillId="3" borderId="0" xfId="0" applyNumberFormat="1" applyFill="1"/>
    <xf numFmtId="166" fontId="0" fillId="2" borderId="0" xfId="0" applyNumberFormat="1" applyFill="1"/>
    <xf numFmtId="0" fontId="5" fillId="2" borderId="0" xfId="0" applyFont="1" applyFill="1"/>
    <xf numFmtId="44" fontId="5" fillId="0" borderId="0" xfId="1" applyFont="1"/>
    <xf numFmtId="164" fontId="0" fillId="0" borderId="0" xfId="0" applyNumberFormat="1"/>
    <xf numFmtId="44" fontId="5" fillId="3" borderId="0" xfId="1" applyFont="1" applyFill="1"/>
    <xf numFmtId="49" fontId="0" fillId="0" borderId="0" xfId="0" applyNumberFormat="1"/>
    <xf numFmtId="49" fontId="0" fillId="3" borderId="0" xfId="1" applyNumberFormat="1" applyFont="1" applyFill="1"/>
    <xf numFmtId="49" fontId="0" fillId="0" borderId="0" xfId="1" applyNumberFormat="1" applyFont="1"/>
    <xf numFmtId="49" fontId="4" fillId="0" borderId="0" xfId="1" applyNumberFormat="1" applyFont="1"/>
    <xf numFmtId="0" fontId="3" fillId="0" borderId="0" xfId="0" applyFont="1"/>
    <xf numFmtId="0" fontId="0" fillId="5" borderId="0" xfId="0" applyFill="1"/>
    <xf numFmtId="0" fontId="3" fillId="5" borderId="0" xfId="0" applyFont="1" applyFill="1"/>
    <xf numFmtId="0" fontId="9" fillId="0" borderId="0" xfId="0" applyFont="1"/>
    <xf numFmtId="166" fontId="9" fillId="0" borderId="0" xfId="0" applyNumberFormat="1" applyFont="1"/>
    <xf numFmtId="44" fontId="9" fillId="0" borderId="0" xfId="1" applyFont="1"/>
    <xf numFmtId="0" fontId="0" fillId="6" borderId="0" xfId="0" applyFill="1"/>
    <xf numFmtId="166" fontId="0" fillId="6" borderId="0" xfId="0" applyNumberFormat="1" applyFill="1"/>
    <xf numFmtId="44" fontId="0" fillId="6" borderId="0" xfId="1" applyFont="1" applyFill="1"/>
    <xf numFmtId="0" fontId="6" fillId="6" borderId="0" xfId="0" applyFont="1" applyFill="1"/>
    <xf numFmtId="49" fontId="0" fillId="2" borderId="0" xfId="1" applyNumberFormat="1" applyFont="1" applyFill="1"/>
    <xf numFmtId="49" fontId="0" fillId="4" borderId="0" xfId="1" applyNumberFormat="1" applyFont="1" applyFill="1"/>
    <xf numFmtId="49" fontId="5" fillId="3" borderId="0" xfId="1" applyNumberFormat="1" applyFont="1" applyFill="1"/>
    <xf numFmtId="0" fontId="10" fillId="0" borderId="0" xfId="0" applyFont="1"/>
    <xf numFmtId="0" fontId="11" fillId="0" borderId="0" xfId="0" applyFont="1"/>
    <xf numFmtId="167" fontId="10" fillId="0" borderId="0" xfId="0" applyNumberFormat="1" applyFont="1"/>
    <xf numFmtId="49" fontId="10" fillId="0" borderId="0" xfId="0" applyNumberFormat="1" applyFont="1"/>
    <xf numFmtId="168" fontId="10" fillId="0" borderId="0" xfId="0" applyNumberFormat="1" applyFont="1"/>
    <xf numFmtId="44" fontId="0" fillId="0" borderId="0" xfId="1" applyFont="1" applyFill="1"/>
    <xf numFmtId="166" fontId="10" fillId="0" borderId="0" xfId="0" applyNumberFormat="1" applyFont="1"/>
    <xf numFmtId="44" fontId="2" fillId="0" borderId="0" xfId="1" applyFont="1" applyFill="1"/>
    <xf numFmtId="0" fontId="1" fillId="0" borderId="0" xfId="0" applyFont="1"/>
  </cellXfs>
  <cellStyles count="2">
    <cellStyle name="Moneda" xfId="1" builtinId="4"/>
    <cellStyle name="Normal" xfId="0" builtinId="0"/>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18A8F-833C-4BCA-9D3D-932BF93BB0C8}">
  <dimension ref="A1:P712"/>
  <sheetViews>
    <sheetView tabSelected="1" zoomScaleNormal="100" workbookViewId="0">
      <selection activeCell="A711" sqref="A711:XFD711"/>
    </sheetView>
  </sheetViews>
  <sheetFormatPr baseColWidth="10" defaultRowHeight="15" x14ac:dyDescent="0.25"/>
  <cols>
    <col min="1" max="1" width="18.85546875" bestFit="1" customWidth="1"/>
    <col min="2" max="2" width="11.5703125" bestFit="1" customWidth="1"/>
    <col min="3" max="3" width="22.5703125" style="12" bestFit="1" customWidth="1"/>
    <col min="4" max="4" width="25" style="12" bestFit="1" customWidth="1"/>
    <col min="5" max="5" width="20" customWidth="1"/>
    <col min="6" max="6" width="9.85546875" customWidth="1"/>
    <col min="7" max="7" width="23.7109375" bestFit="1" customWidth="1"/>
    <col min="8" max="8" width="45.42578125" bestFit="1" customWidth="1"/>
    <col min="9" max="9" width="20.7109375" bestFit="1" customWidth="1"/>
    <col min="10" max="10" width="11.42578125" customWidth="1"/>
    <col min="11" max="11" width="33.7109375" customWidth="1"/>
    <col min="12" max="13" width="16.28515625" style="42" bestFit="1" customWidth="1"/>
    <col min="14" max="14" width="16.28515625" style="42" customWidth="1"/>
    <col min="15" max="15" width="15" customWidth="1"/>
    <col min="16" max="16" width="4.85546875" customWidth="1"/>
  </cols>
  <sheetData>
    <row r="1" spans="1:15" ht="14.25" customHeight="1" x14ac:dyDescent="0.25">
      <c r="A1" t="s">
        <v>0</v>
      </c>
      <c r="B1" t="s">
        <v>1</v>
      </c>
      <c r="C1" s="12" t="s">
        <v>2</v>
      </c>
      <c r="D1" s="12" t="s">
        <v>3</v>
      </c>
      <c r="E1" t="s">
        <v>4</v>
      </c>
      <c r="F1" t="s">
        <v>5</v>
      </c>
      <c r="G1" t="s">
        <v>6</v>
      </c>
      <c r="H1" t="s">
        <v>7</v>
      </c>
      <c r="I1" t="s">
        <v>8</v>
      </c>
      <c r="J1" t="s">
        <v>9</v>
      </c>
      <c r="K1" t="s">
        <v>10</v>
      </c>
      <c r="L1" s="42" t="s">
        <v>1402</v>
      </c>
      <c r="M1" s="42" t="s">
        <v>12</v>
      </c>
      <c r="N1" s="44" t="s">
        <v>1403</v>
      </c>
      <c r="O1" t="s">
        <v>84</v>
      </c>
    </row>
    <row r="2" spans="1:15" x14ac:dyDescent="0.25">
      <c r="A2" s="45" t="s">
        <v>1013</v>
      </c>
      <c r="B2" t="s">
        <v>13</v>
      </c>
      <c r="C2" s="12">
        <v>46023</v>
      </c>
      <c r="D2" s="12">
        <v>46112</v>
      </c>
      <c r="E2" t="s">
        <v>775</v>
      </c>
      <c r="F2" t="s">
        <v>14</v>
      </c>
      <c r="G2">
        <v>1089458776</v>
      </c>
      <c r="H2" t="s">
        <v>269</v>
      </c>
      <c r="I2">
        <v>98333941</v>
      </c>
      <c r="J2" t="s">
        <v>14</v>
      </c>
      <c r="K2" t="s">
        <v>15</v>
      </c>
      <c r="L2" s="42">
        <v>3150000</v>
      </c>
      <c r="M2" s="10">
        <v>9450000</v>
      </c>
      <c r="N2" s="10">
        <f>M2-L2</f>
        <v>6300000</v>
      </c>
      <c r="O2" t="s">
        <v>704</v>
      </c>
    </row>
    <row r="3" spans="1:15" x14ac:dyDescent="0.25">
      <c r="A3" t="s">
        <v>1037</v>
      </c>
      <c r="B3" t="s">
        <v>13</v>
      </c>
      <c r="C3" s="12">
        <v>46023</v>
      </c>
      <c r="D3" s="12">
        <v>46112</v>
      </c>
      <c r="E3" t="s">
        <v>775</v>
      </c>
      <c r="F3" t="s">
        <v>14</v>
      </c>
      <c r="G3">
        <v>1233191133</v>
      </c>
      <c r="H3" t="s">
        <v>572</v>
      </c>
      <c r="I3">
        <v>59836926</v>
      </c>
      <c r="J3" t="s">
        <v>14</v>
      </c>
      <c r="K3" t="s">
        <v>17</v>
      </c>
      <c r="L3" s="42">
        <v>3150000</v>
      </c>
      <c r="M3" s="10">
        <v>9450000</v>
      </c>
      <c r="N3" s="10">
        <f t="shared" ref="N3:N66" si="0">M3-L3</f>
        <v>6300000</v>
      </c>
      <c r="O3" t="s">
        <v>704</v>
      </c>
    </row>
    <row r="4" spans="1:15" x14ac:dyDescent="0.25">
      <c r="A4" t="s">
        <v>495</v>
      </c>
      <c r="B4" t="s">
        <v>13</v>
      </c>
      <c r="C4" s="12">
        <v>45972</v>
      </c>
      <c r="D4" s="12">
        <v>46022</v>
      </c>
      <c r="E4" t="s">
        <v>793</v>
      </c>
      <c r="F4" t="s">
        <v>14</v>
      </c>
      <c r="G4">
        <v>1085287296</v>
      </c>
      <c r="H4" t="s">
        <v>496</v>
      </c>
      <c r="I4">
        <v>59836926</v>
      </c>
      <c r="J4" t="s">
        <v>14</v>
      </c>
      <c r="K4" t="s">
        <v>17</v>
      </c>
      <c r="L4" s="42">
        <v>4000000</v>
      </c>
      <c r="M4" s="42">
        <v>4000000</v>
      </c>
      <c r="N4" s="10">
        <f t="shared" si="0"/>
        <v>0</v>
      </c>
      <c r="O4" t="s">
        <v>704</v>
      </c>
    </row>
    <row r="5" spans="1:15" x14ac:dyDescent="0.25">
      <c r="A5" t="s">
        <v>351</v>
      </c>
      <c r="B5" t="s">
        <v>13</v>
      </c>
      <c r="C5" s="12">
        <v>45971</v>
      </c>
      <c r="D5" s="12">
        <v>46022</v>
      </c>
      <c r="E5" t="s">
        <v>323</v>
      </c>
      <c r="F5" t="s">
        <v>14</v>
      </c>
      <c r="G5">
        <v>1085253512</v>
      </c>
      <c r="H5" t="s">
        <v>352</v>
      </c>
      <c r="I5">
        <v>98390119</v>
      </c>
      <c r="J5" t="s">
        <v>14</v>
      </c>
      <c r="K5" t="s">
        <v>63</v>
      </c>
      <c r="L5" s="42">
        <v>4000000</v>
      </c>
      <c r="M5" s="42">
        <v>4000000</v>
      </c>
      <c r="N5" s="10">
        <f t="shared" si="0"/>
        <v>0</v>
      </c>
      <c r="O5" t="s">
        <v>704</v>
      </c>
    </row>
    <row r="6" spans="1:15" x14ac:dyDescent="0.25">
      <c r="A6" t="s">
        <v>148</v>
      </c>
      <c r="B6" t="s">
        <v>13</v>
      </c>
      <c r="C6" s="12">
        <v>45971</v>
      </c>
      <c r="D6" s="12">
        <v>46022</v>
      </c>
      <c r="E6" t="s">
        <v>726</v>
      </c>
      <c r="F6" t="s">
        <v>14</v>
      </c>
      <c r="G6">
        <v>59312779</v>
      </c>
      <c r="H6" t="s">
        <v>149</v>
      </c>
      <c r="I6">
        <v>98390119</v>
      </c>
      <c r="J6" t="s">
        <v>14</v>
      </c>
      <c r="K6" t="s">
        <v>63</v>
      </c>
      <c r="L6" s="42">
        <v>4000000</v>
      </c>
      <c r="M6" s="42">
        <v>4000000</v>
      </c>
      <c r="N6" s="10">
        <f t="shared" si="0"/>
        <v>0</v>
      </c>
      <c r="O6" t="s">
        <v>704</v>
      </c>
    </row>
    <row r="7" spans="1:15" x14ac:dyDescent="0.25">
      <c r="A7" t="s">
        <v>320</v>
      </c>
      <c r="B7" t="s">
        <v>13</v>
      </c>
      <c r="C7" s="12">
        <v>45971</v>
      </c>
      <c r="D7" s="12">
        <v>46022</v>
      </c>
      <c r="E7" t="s">
        <v>758</v>
      </c>
      <c r="F7" t="s">
        <v>14</v>
      </c>
      <c r="G7">
        <v>1085312669</v>
      </c>
      <c r="H7" t="s">
        <v>321</v>
      </c>
      <c r="I7">
        <v>43624414</v>
      </c>
      <c r="J7" t="s">
        <v>14</v>
      </c>
      <c r="K7" t="s">
        <v>18</v>
      </c>
      <c r="L7" s="42">
        <v>4000000</v>
      </c>
      <c r="M7" s="42">
        <v>4000000</v>
      </c>
      <c r="N7" s="10">
        <f t="shared" si="0"/>
        <v>0</v>
      </c>
      <c r="O7" t="s">
        <v>704</v>
      </c>
    </row>
    <row r="8" spans="1:15" x14ac:dyDescent="0.25">
      <c r="A8" t="s">
        <v>646</v>
      </c>
      <c r="B8" t="s">
        <v>13</v>
      </c>
      <c r="C8" s="12">
        <v>45967</v>
      </c>
      <c r="D8" s="12">
        <v>46022</v>
      </c>
      <c r="E8" t="s">
        <v>748</v>
      </c>
      <c r="F8" t="s">
        <v>14</v>
      </c>
      <c r="G8">
        <v>1085327836</v>
      </c>
      <c r="H8" t="s">
        <v>77</v>
      </c>
      <c r="I8">
        <v>43624414</v>
      </c>
      <c r="J8" t="s">
        <v>14</v>
      </c>
      <c r="K8" t="s">
        <v>18</v>
      </c>
      <c r="L8" s="42">
        <v>4000000</v>
      </c>
      <c r="M8" s="42">
        <v>4000000</v>
      </c>
      <c r="N8" s="10">
        <f t="shared" si="0"/>
        <v>0</v>
      </c>
      <c r="O8" t="s">
        <v>704</v>
      </c>
    </row>
    <row r="9" spans="1:15" x14ac:dyDescent="0.25">
      <c r="A9" t="s">
        <v>304</v>
      </c>
      <c r="B9" t="s">
        <v>13</v>
      </c>
      <c r="C9" s="12">
        <v>45966</v>
      </c>
      <c r="D9" s="12">
        <v>46022</v>
      </c>
      <c r="E9" t="s">
        <v>715</v>
      </c>
      <c r="F9" t="s">
        <v>14</v>
      </c>
      <c r="G9">
        <v>37083933</v>
      </c>
      <c r="H9" t="s">
        <v>305</v>
      </c>
      <c r="I9">
        <v>43624414</v>
      </c>
      <c r="J9" t="s">
        <v>14</v>
      </c>
      <c r="K9" t="s">
        <v>18</v>
      </c>
      <c r="L9" s="42">
        <v>4000000</v>
      </c>
      <c r="M9" s="42">
        <v>4000000</v>
      </c>
      <c r="N9" s="10">
        <f t="shared" si="0"/>
        <v>0</v>
      </c>
      <c r="O9" t="s">
        <v>704</v>
      </c>
    </row>
    <row r="10" spans="1:15" x14ac:dyDescent="0.25">
      <c r="A10" t="s">
        <v>520</v>
      </c>
      <c r="B10" t="s">
        <v>13</v>
      </c>
      <c r="C10" s="12">
        <v>45966</v>
      </c>
      <c r="D10" s="12">
        <v>46022</v>
      </c>
      <c r="E10" t="s">
        <v>795</v>
      </c>
      <c r="F10" t="s">
        <v>14</v>
      </c>
      <c r="G10">
        <v>1010113730</v>
      </c>
      <c r="H10" t="s">
        <v>521</v>
      </c>
      <c r="I10">
        <v>43624414</v>
      </c>
      <c r="J10" t="s">
        <v>14</v>
      </c>
      <c r="K10" t="s">
        <v>18</v>
      </c>
      <c r="L10" s="42">
        <v>4000000</v>
      </c>
      <c r="M10" s="42">
        <v>4000000</v>
      </c>
      <c r="N10" s="10">
        <f t="shared" si="0"/>
        <v>0</v>
      </c>
      <c r="O10" t="s">
        <v>704</v>
      </c>
    </row>
    <row r="11" spans="1:15" x14ac:dyDescent="0.25">
      <c r="A11" t="s">
        <v>359</v>
      </c>
      <c r="B11" t="s">
        <v>13</v>
      </c>
      <c r="C11" s="12">
        <v>45965</v>
      </c>
      <c r="D11" s="12">
        <v>46022</v>
      </c>
      <c r="E11" t="s">
        <v>715</v>
      </c>
      <c r="F11" t="s">
        <v>14</v>
      </c>
      <c r="G11">
        <v>1085281545</v>
      </c>
      <c r="H11" t="s">
        <v>360</v>
      </c>
      <c r="I11">
        <v>98333941</v>
      </c>
      <c r="J11" t="s">
        <v>14</v>
      </c>
      <c r="K11" t="s">
        <v>15</v>
      </c>
      <c r="L11" s="42">
        <v>4000000</v>
      </c>
      <c r="M11" s="42">
        <v>4000000</v>
      </c>
      <c r="N11" s="10">
        <f t="shared" si="0"/>
        <v>0</v>
      </c>
      <c r="O11" t="s">
        <v>704</v>
      </c>
    </row>
    <row r="12" spans="1:15" x14ac:dyDescent="0.25">
      <c r="A12" t="s">
        <v>539</v>
      </c>
      <c r="B12" t="s">
        <v>13</v>
      </c>
      <c r="C12" s="12">
        <v>45965</v>
      </c>
      <c r="D12" s="12">
        <v>46022</v>
      </c>
      <c r="E12" t="s">
        <v>798</v>
      </c>
      <c r="F12" t="s">
        <v>14</v>
      </c>
      <c r="G12">
        <v>1081274779</v>
      </c>
      <c r="H12" t="s">
        <v>540</v>
      </c>
      <c r="I12">
        <v>59836926</v>
      </c>
      <c r="J12" t="s">
        <v>14</v>
      </c>
      <c r="K12" t="s">
        <v>17</v>
      </c>
      <c r="L12" s="42">
        <v>4000000</v>
      </c>
      <c r="M12" s="42">
        <v>4000000</v>
      </c>
      <c r="N12" s="10">
        <f t="shared" si="0"/>
        <v>0</v>
      </c>
      <c r="O12" t="s">
        <v>704</v>
      </c>
    </row>
    <row r="13" spans="1:15" x14ac:dyDescent="0.25">
      <c r="A13" t="s">
        <v>165</v>
      </c>
      <c r="B13" t="s">
        <v>13</v>
      </c>
      <c r="C13" s="12">
        <v>45965</v>
      </c>
      <c r="D13" s="12">
        <v>46022</v>
      </c>
      <c r="E13" t="s">
        <v>715</v>
      </c>
      <c r="F13" t="s">
        <v>14</v>
      </c>
      <c r="G13">
        <v>1085275445</v>
      </c>
      <c r="H13" t="s">
        <v>166</v>
      </c>
      <c r="I13">
        <v>98390119</v>
      </c>
      <c r="J13" t="s">
        <v>14</v>
      </c>
      <c r="K13" t="s">
        <v>63</v>
      </c>
      <c r="L13" s="42">
        <v>4000000</v>
      </c>
      <c r="M13" s="42">
        <v>4000000</v>
      </c>
      <c r="N13" s="10">
        <f t="shared" si="0"/>
        <v>0</v>
      </c>
      <c r="O13" t="s">
        <v>704</v>
      </c>
    </row>
    <row r="14" spans="1:15" x14ac:dyDescent="0.25">
      <c r="A14" t="s">
        <v>207</v>
      </c>
      <c r="B14" t="s">
        <v>13</v>
      </c>
      <c r="C14" s="12">
        <v>45965</v>
      </c>
      <c r="D14" s="12">
        <v>46022</v>
      </c>
      <c r="E14" t="s">
        <v>715</v>
      </c>
      <c r="F14" t="s">
        <v>14</v>
      </c>
      <c r="G14">
        <v>1085268450</v>
      </c>
      <c r="H14" t="s">
        <v>208</v>
      </c>
      <c r="I14">
        <v>43624414</v>
      </c>
      <c r="J14" t="s">
        <v>14</v>
      </c>
      <c r="K14" t="s">
        <v>18</v>
      </c>
      <c r="L14" s="42">
        <v>4000000</v>
      </c>
      <c r="M14" s="42">
        <v>4000000</v>
      </c>
      <c r="N14" s="10">
        <f t="shared" si="0"/>
        <v>0</v>
      </c>
      <c r="O14" t="s">
        <v>704</v>
      </c>
    </row>
    <row r="15" spans="1:15" x14ac:dyDescent="0.25">
      <c r="A15" t="s">
        <v>182</v>
      </c>
      <c r="B15" t="s">
        <v>13</v>
      </c>
      <c r="C15" s="12">
        <v>45965</v>
      </c>
      <c r="D15" s="12">
        <v>46022</v>
      </c>
      <c r="E15" t="s">
        <v>733</v>
      </c>
      <c r="F15" t="s">
        <v>14</v>
      </c>
      <c r="G15">
        <v>59815593</v>
      </c>
      <c r="H15" t="s">
        <v>183</v>
      </c>
      <c r="I15">
        <v>98333941</v>
      </c>
      <c r="J15" t="s">
        <v>14</v>
      </c>
      <c r="K15" t="s">
        <v>15</v>
      </c>
      <c r="L15" s="42">
        <v>4000000</v>
      </c>
      <c r="M15" s="42">
        <v>4000000</v>
      </c>
      <c r="N15" s="10">
        <f t="shared" si="0"/>
        <v>0</v>
      </c>
      <c r="O15" t="s">
        <v>704</v>
      </c>
    </row>
    <row r="16" spans="1:15" x14ac:dyDescent="0.25">
      <c r="A16" t="s">
        <v>129</v>
      </c>
      <c r="B16" t="s">
        <v>13</v>
      </c>
      <c r="C16" s="12">
        <v>45965</v>
      </c>
      <c r="D16" s="12">
        <v>46022</v>
      </c>
      <c r="E16" t="s">
        <v>721</v>
      </c>
      <c r="F16" t="s">
        <v>14</v>
      </c>
      <c r="G16">
        <v>36757715</v>
      </c>
      <c r="H16" t="s">
        <v>130</v>
      </c>
      <c r="I16">
        <v>98390119</v>
      </c>
      <c r="J16" t="s">
        <v>14</v>
      </c>
      <c r="K16" t="s">
        <v>63</v>
      </c>
      <c r="L16" s="42">
        <v>4000000</v>
      </c>
      <c r="M16" s="42">
        <v>4000000</v>
      </c>
      <c r="N16" s="10">
        <f t="shared" si="0"/>
        <v>0</v>
      </c>
      <c r="O16" t="s">
        <v>704</v>
      </c>
    </row>
    <row r="17" spans="1:15" x14ac:dyDescent="0.25">
      <c r="A17" t="s">
        <v>694</v>
      </c>
      <c r="B17" t="s">
        <v>13</v>
      </c>
      <c r="C17" s="12">
        <v>45982</v>
      </c>
      <c r="D17" s="12">
        <v>46022</v>
      </c>
      <c r="E17" t="s">
        <v>323</v>
      </c>
      <c r="F17" t="s">
        <v>14</v>
      </c>
      <c r="G17">
        <v>27436186</v>
      </c>
      <c r="H17" t="s">
        <v>695</v>
      </c>
      <c r="I17">
        <v>43624414</v>
      </c>
      <c r="J17" t="s">
        <v>14</v>
      </c>
      <c r="K17" t="s">
        <v>18</v>
      </c>
      <c r="L17" s="42">
        <v>4200000</v>
      </c>
      <c r="M17" s="42">
        <v>4200000</v>
      </c>
      <c r="N17" s="10">
        <f t="shared" si="0"/>
        <v>0</v>
      </c>
      <c r="O17" t="s">
        <v>704</v>
      </c>
    </row>
    <row r="18" spans="1:15" x14ac:dyDescent="0.25">
      <c r="A18" t="s">
        <v>692</v>
      </c>
      <c r="B18" t="s">
        <v>13</v>
      </c>
      <c r="C18" s="12">
        <v>45982</v>
      </c>
      <c r="D18" s="12">
        <v>46022</v>
      </c>
      <c r="E18" t="s">
        <v>775</v>
      </c>
      <c r="F18" t="s">
        <v>14</v>
      </c>
      <c r="G18">
        <v>27549932</v>
      </c>
      <c r="H18" t="s">
        <v>693</v>
      </c>
      <c r="I18">
        <v>43624414</v>
      </c>
      <c r="J18" t="s">
        <v>14</v>
      </c>
      <c r="K18" t="s">
        <v>18</v>
      </c>
      <c r="L18" s="42">
        <v>4200000</v>
      </c>
      <c r="M18" s="42">
        <v>4200000</v>
      </c>
      <c r="N18" s="10">
        <f t="shared" si="0"/>
        <v>0</v>
      </c>
      <c r="O18" t="s">
        <v>704</v>
      </c>
    </row>
    <row r="19" spans="1:15" x14ac:dyDescent="0.25">
      <c r="A19" t="s">
        <v>1038</v>
      </c>
      <c r="B19" t="s">
        <v>13</v>
      </c>
      <c r="C19" s="12">
        <v>46023</v>
      </c>
      <c r="D19" s="12">
        <v>46112</v>
      </c>
      <c r="E19" t="s">
        <v>775</v>
      </c>
      <c r="F19" t="s">
        <v>14</v>
      </c>
      <c r="G19">
        <v>1089243630</v>
      </c>
      <c r="H19" t="s">
        <v>687</v>
      </c>
      <c r="I19">
        <v>43624414</v>
      </c>
      <c r="J19" t="s">
        <v>14</v>
      </c>
      <c r="K19" t="s">
        <v>18</v>
      </c>
      <c r="L19" s="42">
        <v>3150000</v>
      </c>
      <c r="M19" s="10">
        <v>9450000</v>
      </c>
      <c r="N19" s="10">
        <f t="shared" si="0"/>
        <v>6300000</v>
      </c>
      <c r="O19" t="s">
        <v>704</v>
      </c>
    </row>
    <row r="20" spans="1:15" x14ac:dyDescent="0.25">
      <c r="A20" t="s">
        <v>1039</v>
      </c>
      <c r="B20" t="s">
        <v>13</v>
      </c>
      <c r="C20" s="12">
        <v>46024</v>
      </c>
      <c r="D20" s="12">
        <v>46112</v>
      </c>
      <c r="E20" t="s">
        <v>775</v>
      </c>
      <c r="F20" t="s">
        <v>14</v>
      </c>
      <c r="G20">
        <v>1085327677</v>
      </c>
      <c r="H20" t="s">
        <v>405</v>
      </c>
      <c r="I20">
        <v>43624414</v>
      </c>
      <c r="J20" t="s">
        <v>14</v>
      </c>
      <c r="K20" t="s">
        <v>18</v>
      </c>
      <c r="L20" s="42">
        <v>3150000</v>
      </c>
      <c r="M20" s="10">
        <v>9450000</v>
      </c>
      <c r="N20" s="10">
        <f t="shared" si="0"/>
        <v>6300000</v>
      </c>
      <c r="O20" t="s">
        <v>704</v>
      </c>
    </row>
    <row r="21" spans="1:15" x14ac:dyDescent="0.25">
      <c r="A21" t="s">
        <v>686</v>
      </c>
      <c r="B21" t="s">
        <v>13</v>
      </c>
      <c r="C21" s="12">
        <v>45979</v>
      </c>
      <c r="D21" s="12">
        <v>46022</v>
      </c>
      <c r="E21" t="s">
        <v>775</v>
      </c>
      <c r="F21" t="s">
        <v>14</v>
      </c>
      <c r="G21">
        <v>1089243630</v>
      </c>
      <c r="H21" t="s">
        <v>687</v>
      </c>
      <c r="I21">
        <v>43624414</v>
      </c>
      <c r="J21" t="s">
        <v>14</v>
      </c>
      <c r="K21" t="s">
        <v>18</v>
      </c>
      <c r="L21" s="42">
        <v>4725000</v>
      </c>
      <c r="M21" s="42">
        <v>4725000</v>
      </c>
      <c r="N21" s="10">
        <f t="shared" si="0"/>
        <v>0</v>
      </c>
      <c r="O21" t="s">
        <v>704</v>
      </c>
    </row>
    <row r="22" spans="1:15" x14ac:dyDescent="0.25">
      <c r="A22" t="s">
        <v>676</v>
      </c>
      <c r="B22" t="s">
        <v>13</v>
      </c>
      <c r="C22" s="12">
        <v>45979</v>
      </c>
      <c r="D22" s="12">
        <v>46022</v>
      </c>
      <c r="E22" t="s">
        <v>775</v>
      </c>
      <c r="F22" t="s">
        <v>14</v>
      </c>
      <c r="G22">
        <v>36751255</v>
      </c>
      <c r="H22" t="s">
        <v>677</v>
      </c>
      <c r="I22">
        <v>43624414</v>
      </c>
      <c r="J22" t="s">
        <v>14</v>
      </c>
      <c r="K22" t="s">
        <v>18</v>
      </c>
      <c r="L22" s="42">
        <v>4725000</v>
      </c>
      <c r="M22" s="42">
        <v>4725000</v>
      </c>
      <c r="N22" s="10">
        <f t="shared" si="0"/>
        <v>0</v>
      </c>
      <c r="O22" t="s">
        <v>704</v>
      </c>
    </row>
    <row r="23" spans="1:15" x14ac:dyDescent="0.25">
      <c r="A23" t="s">
        <v>1012</v>
      </c>
      <c r="B23" t="s">
        <v>13</v>
      </c>
      <c r="C23" s="12">
        <v>46024</v>
      </c>
      <c r="D23" s="12">
        <v>46112</v>
      </c>
      <c r="E23" t="s">
        <v>775</v>
      </c>
      <c r="F23" t="s">
        <v>14</v>
      </c>
      <c r="G23">
        <v>1233193191</v>
      </c>
      <c r="H23" t="s">
        <v>195</v>
      </c>
      <c r="I23">
        <v>43624414</v>
      </c>
      <c r="J23" t="s">
        <v>14</v>
      </c>
      <c r="K23" t="s">
        <v>18</v>
      </c>
      <c r="L23" s="42">
        <v>3150000</v>
      </c>
      <c r="M23" s="10">
        <v>9450000</v>
      </c>
      <c r="N23" s="10">
        <f t="shared" si="0"/>
        <v>6300000</v>
      </c>
      <c r="O23" t="s">
        <v>704</v>
      </c>
    </row>
    <row r="24" spans="1:15" x14ac:dyDescent="0.25">
      <c r="A24" t="s">
        <v>528</v>
      </c>
      <c r="B24" t="s">
        <v>13</v>
      </c>
      <c r="C24" s="12">
        <v>45939</v>
      </c>
      <c r="D24" s="12">
        <v>46022</v>
      </c>
      <c r="E24" t="s">
        <v>715</v>
      </c>
      <c r="F24" t="s">
        <v>14</v>
      </c>
      <c r="G24">
        <v>1081052090</v>
      </c>
      <c r="H24" t="s">
        <v>529</v>
      </c>
      <c r="I24">
        <v>98333941</v>
      </c>
      <c r="J24" t="s">
        <v>14</v>
      </c>
      <c r="K24" t="s">
        <v>15</v>
      </c>
      <c r="L24" s="42">
        <v>6000000</v>
      </c>
      <c r="M24" s="42">
        <v>6000000</v>
      </c>
      <c r="N24" s="10">
        <f t="shared" si="0"/>
        <v>0</v>
      </c>
      <c r="O24" t="s">
        <v>704</v>
      </c>
    </row>
    <row r="25" spans="1:15" x14ac:dyDescent="0.25">
      <c r="A25" t="s">
        <v>142</v>
      </c>
      <c r="B25" t="s">
        <v>13</v>
      </c>
      <c r="C25" s="12">
        <v>45945</v>
      </c>
      <c r="D25" s="12">
        <v>46022</v>
      </c>
      <c r="E25" t="s">
        <v>723</v>
      </c>
      <c r="F25" t="s">
        <v>14</v>
      </c>
      <c r="G25">
        <v>1080040525</v>
      </c>
      <c r="H25" t="s">
        <v>143</v>
      </c>
      <c r="I25">
        <v>98333941</v>
      </c>
      <c r="J25" t="s">
        <v>14</v>
      </c>
      <c r="K25" t="s">
        <v>15</v>
      </c>
      <c r="L25" s="42">
        <v>6000000</v>
      </c>
      <c r="M25" s="42">
        <v>6000000</v>
      </c>
      <c r="N25" s="10">
        <f t="shared" si="0"/>
        <v>0</v>
      </c>
      <c r="O25" t="s">
        <v>704</v>
      </c>
    </row>
    <row r="26" spans="1:15" x14ac:dyDescent="0.25">
      <c r="A26" t="s">
        <v>615</v>
      </c>
      <c r="B26" t="s">
        <v>13</v>
      </c>
      <c r="C26" s="12">
        <v>45944</v>
      </c>
      <c r="D26" s="12">
        <v>46022</v>
      </c>
      <c r="E26" t="s">
        <v>810</v>
      </c>
      <c r="F26" t="s">
        <v>14</v>
      </c>
      <c r="G26">
        <v>59313273</v>
      </c>
      <c r="H26" t="s">
        <v>616</v>
      </c>
      <c r="I26">
        <v>59836926</v>
      </c>
      <c r="J26" t="s">
        <v>14</v>
      </c>
      <c r="K26" t="s">
        <v>17</v>
      </c>
      <c r="L26" s="42">
        <v>6000000</v>
      </c>
      <c r="M26" s="42">
        <v>6000000</v>
      </c>
      <c r="N26" s="10">
        <f t="shared" si="0"/>
        <v>0</v>
      </c>
      <c r="O26" t="s">
        <v>704</v>
      </c>
    </row>
    <row r="27" spans="1:15" x14ac:dyDescent="0.25">
      <c r="A27" t="s">
        <v>522</v>
      </c>
      <c r="B27" t="s">
        <v>13</v>
      </c>
      <c r="C27" s="12">
        <v>45944</v>
      </c>
      <c r="D27" s="12">
        <v>46022</v>
      </c>
      <c r="E27" t="s">
        <v>742</v>
      </c>
      <c r="F27" t="s">
        <v>14</v>
      </c>
      <c r="G27">
        <v>1085313195</v>
      </c>
      <c r="H27" t="s">
        <v>523</v>
      </c>
      <c r="I27">
        <v>43624414</v>
      </c>
      <c r="J27" t="s">
        <v>14</v>
      </c>
      <c r="K27" t="s">
        <v>18</v>
      </c>
      <c r="L27" s="42">
        <v>6000000</v>
      </c>
      <c r="M27" s="42">
        <v>6000000</v>
      </c>
      <c r="N27" s="10">
        <f t="shared" si="0"/>
        <v>0</v>
      </c>
      <c r="O27" t="s">
        <v>704</v>
      </c>
    </row>
    <row r="28" spans="1:15" x14ac:dyDescent="0.25">
      <c r="A28" t="s">
        <v>262</v>
      </c>
      <c r="B28" t="s">
        <v>13</v>
      </c>
      <c r="C28" s="12">
        <v>45944</v>
      </c>
      <c r="D28" s="12">
        <v>46022</v>
      </c>
      <c r="E28" t="s">
        <v>751</v>
      </c>
      <c r="F28" t="s">
        <v>14</v>
      </c>
      <c r="G28">
        <v>1085334752</v>
      </c>
      <c r="H28" t="s">
        <v>263</v>
      </c>
      <c r="I28">
        <v>98333941</v>
      </c>
      <c r="J28" t="s">
        <v>14</v>
      </c>
      <c r="K28" t="s">
        <v>15</v>
      </c>
      <c r="L28" s="42">
        <v>6000000</v>
      </c>
      <c r="M28" s="42">
        <v>6000000</v>
      </c>
      <c r="N28" s="10">
        <f t="shared" si="0"/>
        <v>0</v>
      </c>
      <c r="O28" t="s">
        <v>704</v>
      </c>
    </row>
    <row r="29" spans="1:15" x14ac:dyDescent="0.25">
      <c r="A29" t="s">
        <v>406</v>
      </c>
      <c r="B29" t="s">
        <v>13</v>
      </c>
      <c r="C29" s="12">
        <v>45944</v>
      </c>
      <c r="D29" s="12">
        <v>46022</v>
      </c>
      <c r="E29" t="s">
        <v>774</v>
      </c>
      <c r="F29" t="s">
        <v>14</v>
      </c>
      <c r="G29">
        <v>87060188</v>
      </c>
      <c r="H29" t="s">
        <v>407</v>
      </c>
      <c r="I29">
        <v>43624414</v>
      </c>
      <c r="J29" t="s">
        <v>14</v>
      </c>
      <c r="K29" t="s">
        <v>18</v>
      </c>
      <c r="L29" s="42">
        <v>6000000</v>
      </c>
      <c r="M29" s="42">
        <v>6000000</v>
      </c>
      <c r="N29" s="10">
        <f t="shared" si="0"/>
        <v>0</v>
      </c>
      <c r="O29" t="s">
        <v>704</v>
      </c>
    </row>
    <row r="30" spans="1:15" x14ac:dyDescent="0.25">
      <c r="A30" t="s">
        <v>349</v>
      </c>
      <c r="B30" t="s">
        <v>13</v>
      </c>
      <c r="C30" s="12">
        <v>45944</v>
      </c>
      <c r="D30" s="12">
        <v>46022</v>
      </c>
      <c r="E30" t="s">
        <v>748</v>
      </c>
      <c r="F30" t="s">
        <v>14</v>
      </c>
      <c r="G30">
        <v>1137089036</v>
      </c>
      <c r="H30" t="s">
        <v>350</v>
      </c>
      <c r="I30">
        <v>59836926</v>
      </c>
      <c r="J30" t="s">
        <v>14</v>
      </c>
      <c r="K30" t="s">
        <v>17</v>
      </c>
      <c r="L30" s="42">
        <v>6000000</v>
      </c>
      <c r="M30" s="42">
        <v>6000000</v>
      </c>
      <c r="N30" s="10">
        <f t="shared" si="0"/>
        <v>0</v>
      </c>
      <c r="O30" t="s">
        <v>704</v>
      </c>
    </row>
    <row r="31" spans="1:15" x14ac:dyDescent="0.25">
      <c r="A31" t="s">
        <v>424</v>
      </c>
      <c r="B31" t="s">
        <v>13</v>
      </c>
      <c r="C31" s="12">
        <v>45944</v>
      </c>
      <c r="D31" s="12">
        <v>46022</v>
      </c>
      <c r="E31" t="s">
        <v>715</v>
      </c>
      <c r="F31" t="s">
        <v>14</v>
      </c>
      <c r="G31">
        <v>1233188221</v>
      </c>
      <c r="H31" t="s">
        <v>425</v>
      </c>
      <c r="I31">
        <v>98333941</v>
      </c>
      <c r="J31" t="s">
        <v>14</v>
      </c>
      <c r="K31" t="s">
        <v>15</v>
      </c>
      <c r="L31" s="42">
        <v>6000000</v>
      </c>
      <c r="M31" s="42">
        <v>6000000</v>
      </c>
      <c r="N31" s="10">
        <f t="shared" si="0"/>
        <v>0</v>
      </c>
      <c r="O31" t="s">
        <v>704</v>
      </c>
    </row>
    <row r="32" spans="1:15" x14ac:dyDescent="0.25">
      <c r="A32" t="s">
        <v>236</v>
      </c>
      <c r="B32" t="s">
        <v>13</v>
      </c>
      <c r="C32" s="12">
        <v>45944</v>
      </c>
      <c r="D32" s="12">
        <v>46022</v>
      </c>
      <c r="E32" t="s">
        <v>748</v>
      </c>
      <c r="F32" t="s">
        <v>14</v>
      </c>
      <c r="G32">
        <v>27082650</v>
      </c>
      <c r="H32" t="s">
        <v>237</v>
      </c>
      <c r="I32">
        <v>43624414</v>
      </c>
      <c r="J32" t="s">
        <v>14</v>
      </c>
      <c r="K32" t="s">
        <v>18</v>
      </c>
      <c r="L32" s="42">
        <v>6000000</v>
      </c>
      <c r="M32" s="42">
        <v>6000000</v>
      </c>
      <c r="N32" s="10">
        <f t="shared" si="0"/>
        <v>0</v>
      </c>
      <c r="O32" t="s">
        <v>704</v>
      </c>
    </row>
    <row r="33" spans="1:15" x14ac:dyDescent="0.25">
      <c r="A33" t="s">
        <v>224</v>
      </c>
      <c r="B33" t="s">
        <v>13</v>
      </c>
      <c r="C33" s="12">
        <v>45944</v>
      </c>
      <c r="D33" s="12">
        <v>46022</v>
      </c>
      <c r="E33" t="s">
        <v>715</v>
      </c>
      <c r="F33" t="s">
        <v>14</v>
      </c>
      <c r="G33">
        <v>1085253462</v>
      </c>
      <c r="H33" t="s">
        <v>225</v>
      </c>
      <c r="I33">
        <v>59836926</v>
      </c>
      <c r="J33" t="s">
        <v>14</v>
      </c>
      <c r="K33" t="s">
        <v>17</v>
      </c>
      <c r="L33" s="42">
        <v>6000000</v>
      </c>
      <c r="M33" s="42">
        <v>6000000</v>
      </c>
      <c r="N33" s="10">
        <f t="shared" si="0"/>
        <v>0</v>
      </c>
      <c r="O33" t="s">
        <v>704</v>
      </c>
    </row>
    <row r="34" spans="1:15" x14ac:dyDescent="0.25">
      <c r="A34" t="s">
        <v>241</v>
      </c>
      <c r="B34" t="s">
        <v>13</v>
      </c>
      <c r="C34" s="12">
        <v>45940</v>
      </c>
      <c r="D34" s="12">
        <v>46022</v>
      </c>
      <c r="E34" t="s">
        <v>715</v>
      </c>
      <c r="F34" t="s">
        <v>14</v>
      </c>
      <c r="G34">
        <v>1081282855</v>
      </c>
      <c r="H34" t="s">
        <v>242</v>
      </c>
      <c r="I34">
        <v>43624414</v>
      </c>
      <c r="J34" t="s">
        <v>14</v>
      </c>
      <c r="K34" t="s">
        <v>18</v>
      </c>
      <c r="L34" s="42">
        <v>6000000</v>
      </c>
      <c r="M34" s="42">
        <v>6000000</v>
      </c>
      <c r="N34" s="10">
        <f t="shared" si="0"/>
        <v>0</v>
      </c>
      <c r="O34" t="s">
        <v>704</v>
      </c>
    </row>
    <row r="35" spans="1:15" x14ac:dyDescent="0.25">
      <c r="A35" t="s">
        <v>216</v>
      </c>
      <c r="B35" t="s">
        <v>13</v>
      </c>
      <c r="C35" s="12">
        <v>45940</v>
      </c>
      <c r="D35" s="12">
        <v>46022</v>
      </c>
      <c r="E35" t="s">
        <v>742</v>
      </c>
      <c r="F35" t="s">
        <v>14</v>
      </c>
      <c r="G35">
        <v>1004217048</v>
      </c>
      <c r="H35" t="s">
        <v>217</v>
      </c>
      <c r="I35">
        <v>98333941</v>
      </c>
      <c r="J35" t="s">
        <v>14</v>
      </c>
      <c r="K35" t="s">
        <v>15</v>
      </c>
      <c r="L35" s="42">
        <v>6000000</v>
      </c>
      <c r="M35" s="42">
        <v>6000000</v>
      </c>
      <c r="N35" s="10">
        <f t="shared" si="0"/>
        <v>0</v>
      </c>
      <c r="O35" t="s">
        <v>704</v>
      </c>
    </row>
    <row r="36" spans="1:15" x14ac:dyDescent="0.25">
      <c r="A36" t="s">
        <v>535</v>
      </c>
      <c r="B36" t="s">
        <v>13</v>
      </c>
      <c r="C36" s="12">
        <v>45940</v>
      </c>
      <c r="D36" s="12">
        <v>46022</v>
      </c>
      <c r="E36" t="s">
        <v>797</v>
      </c>
      <c r="F36" t="s">
        <v>14</v>
      </c>
      <c r="G36">
        <v>1233190640</v>
      </c>
      <c r="H36" t="s">
        <v>536</v>
      </c>
      <c r="I36">
        <v>43624414</v>
      </c>
      <c r="J36" t="s">
        <v>14</v>
      </c>
      <c r="K36" t="s">
        <v>18</v>
      </c>
      <c r="L36" s="42">
        <v>6000000</v>
      </c>
      <c r="M36" s="42">
        <v>6000000</v>
      </c>
      <c r="N36" s="10">
        <f t="shared" si="0"/>
        <v>0</v>
      </c>
      <c r="O36" t="s">
        <v>704</v>
      </c>
    </row>
    <row r="37" spans="1:15" x14ac:dyDescent="0.25">
      <c r="A37" t="s">
        <v>258</v>
      </c>
      <c r="B37" t="s">
        <v>13</v>
      </c>
      <c r="C37" s="12">
        <v>45940</v>
      </c>
      <c r="D37" s="12">
        <v>46022</v>
      </c>
      <c r="E37" t="s">
        <v>715</v>
      </c>
      <c r="F37" t="s">
        <v>14</v>
      </c>
      <c r="G37">
        <v>59314118</v>
      </c>
      <c r="H37" t="s">
        <v>259</v>
      </c>
      <c r="I37">
        <v>43624414</v>
      </c>
      <c r="J37" t="s">
        <v>14</v>
      </c>
      <c r="K37" t="s">
        <v>18</v>
      </c>
      <c r="L37" s="42">
        <v>6000000</v>
      </c>
      <c r="M37" s="42">
        <v>6000000</v>
      </c>
      <c r="N37" s="10">
        <f t="shared" si="0"/>
        <v>0</v>
      </c>
      <c r="O37" t="s">
        <v>704</v>
      </c>
    </row>
    <row r="38" spans="1:15" x14ac:dyDescent="0.25">
      <c r="A38" t="s">
        <v>111</v>
      </c>
      <c r="B38" t="s">
        <v>13</v>
      </c>
      <c r="C38" s="12">
        <v>45940</v>
      </c>
      <c r="D38" s="12">
        <v>46022</v>
      </c>
      <c r="E38" t="s">
        <v>715</v>
      </c>
      <c r="F38" t="s">
        <v>14</v>
      </c>
      <c r="G38">
        <v>1085310465</v>
      </c>
      <c r="H38" t="s">
        <v>112</v>
      </c>
      <c r="I38">
        <v>98390119</v>
      </c>
      <c r="J38" t="s">
        <v>14</v>
      </c>
      <c r="K38" t="s">
        <v>63</v>
      </c>
      <c r="L38" s="42">
        <v>6000000</v>
      </c>
      <c r="M38" s="42">
        <v>6000000</v>
      </c>
      <c r="N38" s="10">
        <f t="shared" si="0"/>
        <v>0</v>
      </c>
      <c r="O38" t="s">
        <v>704</v>
      </c>
    </row>
    <row r="39" spans="1:15" x14ac:dyDescent="0.25">
      <c r="A39" t="s">
        <v>228</v>
      </c>
      <c r="B39" t="s">
        <v>13</v>
      </c>
      <c r="C39" s="12">
        <v>45940</v>
      </c>
      <c r="D39" s="12">
        <v>46022</v>
      </c>
      <c r="E39" t="s">
        <v>746</v>
      </c>
      <c r="F39" t="s">
        <v>14</v>
      </c>
      <c r="G39">
        <v>59829440</v>
      </c>
      <c r="H39" t="s">
        <v>229</v>
      </c>
      <c r="I39">
        <v>98333941</v>
      </c>
      <c r="J39" t="s">
        <v>14</v>
      </c>
      <c r="K39" t="s">
        <v>15</v>
      </c>
      <c r="L39" s="42">
        <v>6000000</v>
      </c>
      <c r="M39" s="42">
        <v>6000000</v>
      </c>
      <c r="N39" s="10">
        <f t="shared" si="0"/>
        <v>0</v>
      </c>
      <c r="O39" t="s">
        <v>704</v>
      </c>
    </row>
    <row r="40" spans="1:15" x14ac:dyDescent="0.25">
      <c r="A40" t="s">
        <v>587</v>
      </c>
      <c r="B40" t="s">
        <v>13</v>
      </c>
      <c r="C40" s="12">
        <v>45940</v>
      </c>
      <c r="D40" s="12">
        <v>46022</v>
      </c>
      <c r="E40" t="s">
        <v>715</v>
      </c>
      <c r="F40" t="s">
        <v>14</v>
      </c>
      <c r="G40">
        <v>27086745</v>
      </c>
      <c r="H40" t="s">
        <v>588</v>
      </c>
      <c r="I40">
        <v>59836926</v>
      </c>
      <c r="J40" t="s">
        <v>14</v>
      </c>
      <c r="K40" t="s">
        <v>17</v>
      </c>
      <c r="L40" s="42">
        <v>6000000</v>
      </c>
      <c r="M40" s="42">
        <v>6000000</v>
      </c>
      <c r="N40" s="10">
        <f t="shared" si="0"/>
        <v>0</v>
      </c>
      <c r="O40" t="s">
        <v>704</v>
      </c>
    </row>
    <row r="41" spans="1:15" x14ac:dyDescent="0.25">
      <c r="A41" t="s">
        <v>625</v>
      </c>
      <c r="B41" t="s">
        <v>13</v>
      </c>
      <c r="C41" s="12">
        <v>45939</v>
      </c>
      <c r="D41" s="12">
        <v>46022</v>
      </c>
      <c r="E41" t="s">
        <v>812</v>
      </c>
      <c r="F41" t="s">
        <v>14</v>
      </c>
      <c r="G41">
        <v>1085334831</v>
      </c>
      <c r="H41" t="s">
        <v>626</v>
      </c>
      <c r="I41">
        <v>98390119</v>
      </c>
      <c r="J41" t="s">
        <v>14</v>
      </c>
      <c r="K41" t="s">
        <v>63</v>
      </c>
      <c r="L41" s="42">
        <v>6000000</v>
      </c>
      <c r="M41" s="42">
        <v>6000000</v>
      </c>
      <c r="N41" s="10">
        <f t="shared" si="0"/>
        <v>0</v>
      </c>
      <c r="O41" t="s">
        <v>704</v>
      </c>
    </row>
    <row r="42" spans="1:15" x14ac:dyDescent="0.25">
      <c r="A42" t="s">
        <v>611</v>
      </c>
      <c r="B42" t="s">
        <v>13</v>
      </c>
      <c r="C42" s="12">
        <v>45939</v>
      </c>
      <c r="D42" s="12">
        <v>46022</v>
      </c>
      <c r="E42" t="s">
        <v>721</v>
      </c>
      <c r="F42" t="s">
        <v>14</v>
      </c>
      <c r="G42">
        <v>36933095</v>
      </c>
      <c r="H42" t="s">
        <v>612</v>
      </c>
      <c r="I42">
        <v>98333941</v>
      </c>
      <c r="J42" t="s">
        <v>14</v>
      </c>
      <c r="K42" t="s">
        <v>15</v>
      </c>
      <c r="L42" s="42">
        <v>6000000</v>
      </c>
      <c r="M42" s="42">
        <v>6000000</v>
      </c>
      <c r="N42" s="10">
        <f t="shared" si="0"/>
        <v>0</v>
      </c>
      <c r="O42" t="s">
        <v>704</v>
      </c>
    </row>
    <row r="43" spans="1:15" x14ac:dyDescent="0.25">
      <c r="A43" t="s">
        <v>507</v>
      </c>
      <c r="B43" t="s">
        <v>13</v>
      </c>
      <c r="C43" s="12">
        <v>45939</v>
      </c>
      <c r="D43" s="12">
        <v>46022</v>
      </c>
      <c r="E43" t="s">
        <v>715</v>
      </c>
      <c r="F43" t="s">
        <v>14</v>
      </c>
      <c r="G43">
        <v>1085317085</v>
      </c>
      <c r="H43" t="s">
        <v>508</v>
      </c>
      <c r="I43">
        <v>59836926</v>
      </c>
      <c r="J43" t="s">
        <v>14</v>
      </c>
      <c r="K43" t="s">
        <v>17</v>
      </c>
      <c r="L43" s="42">
        <v>6000000</v>
      </c>
      <c r="M43" s="42">
        <v>6000000</v>
      </c>
      <c r="N43" s="10">
        <f t="shared" si="0"/>
        <v>0</v>
      </c>
      <c r="O43" t="s">
        <v>704</v>
      </c>
    </row>
    <row r="44" spans="1:15" x14ac:dyDescent="0.25">
      <c r="A44" t="s">
        <v>501</v>
      </c>
      <c r="B44" t="s">
        <v>13</v>
      </c>
      <c r="C44" s="12">
        <v>45939</v>
      </c>
      <c r="D44" s="12">
        <v>46022</v>
      </c>
      <c r="E44" t="s">
        <v>751</v>
      </c>
      <c r="F44" t="s">
        <v>14</v>
      </c>
      <c r="G44">
        <v>12990231</v>
      </c>
      <c r="H44" t="s">
        <v>502</v>
      </c>
      <c r="I44">
        <v>59836926</v>
      </c>
      <c r="J44" t="s">
        <v>14</v>
      </c>
      <c r="K44" t="s">
        <v>17</v>
      </c>
      <c r="L44" s="42">
        <v>6000000</v>
      </c>
      <c r="M44" s="42">
        <v>6000000</v>
      </c>
      <c r="N44" s="10">
        <f t="shared" si="0"/>
        <v>0</v>
      </c>
      <c r="O44" t="s">
        <v>704</v>
      </c>
    </row>
    <row r="45" spans="1:15" x14ac:dyDescent="0.25">
      <c r="A45" t="s">
        <v>178</v>
      </c>
      <c r="B45" t="s">
        <v>13</v>
      </c>
      <c r="C45" s="12">
        <v>45939</v>
      </c>
      <c r="D45" s="12">
        <v>46022</v>
      </c>
      <c r="E45" t="s">
        <v>732</v>
      </c>
      <c r="F45" t="s">
        <v>14</v>
      </c>
      <c r="G45">
        <v>12974849</v>
      </c>
      <c r="H45" t="s">
        <v>179</v>
      </c>
      <c r="I45">
        <v>43624414</v>
      </c>
      <c r="J45" t="s">
        <v>14</v>
      </c>
      <c r="K45" t="s">
        <v>18</v>
      </c>
      <c r="L45" s="42">
        <v>6000000</v>
      </c>
      <c r="M45" s="42">
        <v>6000000</v>
      </c>
      <c r="N45" s="10">
        <f t="shared" si="0"/>
        <v>0</v>
      </c>
      <c r="O45" t="s">
        <v>704</v>
      </c>
    </row>
    <row r="46" spans="1:15" x14ac:dyDescent="0.25">
      <c r="A46" t="s">
        <v>624</v>
      </c>
      <c r="B46" t="s">
        <v>13</v>
      </c>
      <c r="C46" s="12">
        <v>45972</v>
      </c>
      <c r="D46" s="12">
        <v>46022</v>
      </c>
      <c r="E46" t="s">
        <v>775</v>
      </c>
      <c r="F46" t="s">
        <v>14</v>
      </c>
      <c r="G46">
        <v>1085317833</v>
      </c>
      <c r="H46" t="s">
        <v>41</v>
      </c>
      <c r="I46">
        <v>59836926</v>
      </c>
      <c r="J46" t="s">
        <v>14</v>
      </c>
      <c r="K46" t="s">
        <v>17</v>
      </c>
      <c r="L46" s="42">
        <v>6300000</v>
      </c>
      <c r="M46" s="42">
        <v>6300000</v>
      </c>
      <c r="N46" s="10">
        <f t="shared" si="0"/>
        <v>0</v>
      </c>
      <c r="O46" t="s">
        <v>704</v>
      </c>
    </row>
    <row r="47" spans="1:15" x14ac:dyDescent="0.25">
      <c r="A47" t="s">
        <v>513</v>
      </c>
      <c r="B47" t="s">
        <v>13</v>
      </c>
      <c r="C47" s="12">
        <v>45972</v>
      </c>
      <c r="D47" s="12">
        <v>46022</v>
      </c>
      <c r="E47" t="s">
        <v>323</v>
      </c>
      <c r="F47" t="s">
        <v>14</v>
      </c>
      <c r="G47">
        <v>1233192104</v>
      </c>
      <c r="H47" t="s">
        <v>514</v>
      </c>
      <c r="I47">
        <v>59836926</v>
      </c>
      <c r="J47" t="s">
        <v>14</v>
      </c>
      <c r="K47" t="s">
        <v>17</v>
      </c>
      <c r="L47" s="42">
        <v>6300000</v>
      </c>
      <c r="M47" s="42">
        <v>6300000</v>
      </c>
      <c r="N47" s="10">
        <f t="shared" si="0"/>
        <v>0</v>
      </c>
      <c r="O47" t="s">
        <v>704</v>
      </c>
    </row>
    <row r="48" spans="1:15" x14ac:dyDescent="0.25">
      <c r="A48" t="s">
        <v>1033</v>
      </c>
      <c r="B48" t="s">
        <v>13</v>
      </c>
      <c r="C48" s="12">
        <v>46024</v>
      </c>
      <c r="D48" s="12">
        <v>46112</v>
      </c>
      <c r="E48" t="s">
        <v>775</v>
      </c>
      <c r="F48" t="s">
        <v>14</v>
      </c>
      <c r="G48">
        <v>1082748420</v>
      </c>
      <c r="H48" t="s">
        <v>65</v>
      </c>
      <c r="I48">
        <v>98333941</v>
      </c>
      <c r="J48" t="s">
        <v>14</v>
      </c>
      <c r="K48" t="s">
        <v>15</v>
      </c>
      <c r="L48" s="42">
        <v>6300000</v>
      </c>
      <c r="M48" s="10">
        <v>18900000</v>
      </c>
      <c r="N48" s="10">
        <f t="shared" si="0"/>
        <v>12600000</v>
      </c>
      <c r="O48" t="s">
        <v>704</v>
      </c>
    </row>
    <row r="49" spans="1:15" x14ac:dyDescent="0.25">
      <c r="A49" t="s">
        <v>1040</v>
      </c>
      <c r="B49" t="s">
        <v>13</v>
      </c>
      <c r="C49" s="12">
        <v>46024</v>
      </c>
      <c r="D49" s="12">
        <v>46112</v>
      </c>
      <c r="E49" t="s">
        <v>775</v>
      </c>
      <c r="F49" t="s">
        <v>14</v>
      </c>
      <c r="G49">
        <v>1085252263</v>
      </c>
      <c r="H49" t="s">
        <v>879</v>
      </c>
      <c r="I49">
        <v>43624414</v>
      </c>
      <c r="J49" t="s">
        <v>14</v>
      </c>
      <c r="K49" t="s">
        <v>18</v>
      </c>
      <c r="L49" s="42">
        <v>3150000</v>
      </c>
      <c r="M49" s="10">
        <v>9450000</v>
      </c>
      <c r="N49" s="10">
        <f t="shared" si="0"/>
        <v>6300000</v>
      </c>
      <c r="O49" t="s">
        <v>704</v>
      </c>
    </row>
    <row r="50" spans="1:15" x14ac:dyDescent="0.25">
      <c r="A50" t="s">
        <v>408</v>
      </c>
      <c r="B50" t="s">
        <v>13</v>
      </c>
      <c r="C50" s="12">
        <v>45971</v>
      </c>
      <c r="D50" s="12">
        <v>46022</v>
      </c>
      <c r="E50" t="s">
        <v>775</v>
      </c>
      <c r="F50" t="s">
        <v>14</v>
      </c>
      <c r="G50">
        <v>1086222689</v>
      </c>
      <c r="H50" t="s">
        <v>36</v>
      </c>
      <c r="I50">
        <v>59836926</v>
      </c>
      <c r="J50" t="s">
        <v>14</v>
      </c>
      <c r="K50" t="s">
        <v>17</v>
      </c>
      <c r="L50" s="42">
        <v>6300000</v>
      </c>
      <c r="M50" s="42">
        <v>6300000</v>
      </c>
      <c r="N50" s="10">
        <f t="shared" si="0"/>
        <v>0</v>
      </c>
      <c r="O50" t="s">
        <v>704</v>
      </c>
    </row>
    <row r="51" spans="1:15" x14ac:dyDescent="0.25">
      <c r="A51" t="s">
        <v>311</v>
      </c>
      <c r="B51" t="s">
        <v>13</v>
      </c>
      <c r="C51" s="12">
        <v>45971</v>
      </c>
      <c r="D51" s="12">
        <v>46022</v>
      </c>
      <c r="E51" t="s">
        <v>720</v>
      </c>
      <c r="F51" t="s">
        <v>14</v>
      </c>
      <c r="G51">
        <v>1085324685</v>
      </c>
      <c r="H51" t="s">
        <v>312</v>
      </c>
      <c r="I51">
        <v>43624414</v>
      </c>
      <c r="J51" t="s">
        <v>14</v>
      </c>
      <c r="K51" t="s">
        <v>18</v>
      </c>
      <c r="L51" s="42">
        <v>6300000</v>
      </c>
      <c r="M51" s="42">
        <v>6300000</v>
      </c>
      <c r="N51" s="10">
        <f t="shared" si="0"/>
        <v>0</v>
      </c>
      <c r="O51" t="s">
        <v>704</v>
      </c>
    </row>
    <row r="52" spans="1:15" x14ac:dyDescent="0.25">
      <c r="A52" t="s">
        <v>190</v>
      </c>
      <c r="B52" t="s">
        <v>13</v>
      </c>
      <c r="C52" s="12">
        <v>45971</v>
      </c>
      <c r="D52" s="12">
        <v>46022</v>
      </c>
      <c r="E52" t="s">
        <v>720</v>
      </c>
      <c r="F52" t="s">
        <v>14</v>
      </c>
      <c r="G52">
        <v>1085331508</v>
      </c>
      <c r="H52" t="s">
        <v>191</v>
      </c>
      <c r="I52">
        <v>59836926</v>
      </c>
      <c r="J52" t="s">
        <v>14</v>
      </c>
      <c r="K52" t="s">
        <v>17</v>
      </c>
      <c r="L52" s="42">
        <v>6300000</v>
      </c>
      <c r="M52" s="42">
        <v>6300000</v>
      </c>
      <c r="N52" s="10">
        <f t="shared" si="0"/>
        <v>0</v>
      </c>
      <c r="O52" t="s">
        <v>704</v>
      </c>
    </row>
    <row r="53" spans="1:15" x14ac:dyDescent="0.25">
      <c r="A53" t="s">
        <v>198</v>
      </c>
      <c r="B53" t="s">
        <v>13</v>
      </c>
      <c r="C53" s="12">
        <v>45968</v>
      </c>
      <c r="D53" s="12">
        <v>46022</v>
      </c>
      <c r="E53" t="s">
        <v>736</v>
      </c>
      <c r="F53" t="s">
        <v>14</v>
      </c>
      <c r="G53">
        <v>1085281002</v>
      </c>
      <c r="H53" t="s">
        <v>199</v>
      </c>
      <c r="I53">
        <v>59836926</v>
      </c>
      <c r="J53" t="s">
        <v>14</v>
      </c>
      <c r="K53" t="s">
        <v>17</v>
      </c>
      <c r="L53" s="42">
        <v>6300000</v>
      </c>
      <c r="M53" s="42">
        <v>6300000</v>
      </c>
      <c r="N53" s="10">
        <f t="shared" si="0"/>
        <v>0</v>
      </c>
      <c r="O53" t="s">
        <v>704</v>
      </c>
    </row>
    <row r="54" spans="1:15" x14ac:dyDescent="0.25">
      <c r="A54" t="s">
        <v>239</v>
      </c>
      <c r="B54" t="s">
        <v>13</v>
      </c>
      <c r="C54" s="12">
        <v>45967</v>
      </c>
      <c r="D54" s="12">
        <v>46022</v>
      </c>
      <c r="E54" t="s">
        <v>720</v>
      </c>
      <c r="F54" t="s">
        <v>14</v>
      </c>
      <c r="G54">
        <v>1085246674</v>
      </c>
      <c r="H54" t="s">
        <v>240</v>
      </c>
      <c r="I54">
        <v>43624414</v>
      </c>
      <c r="J54" t="s">
        <v>14</v>
      </c>
      <c r="K54" t="s">
        <v>18</v>
      </c>
      <c r="L54" s="42">
        <v>6300000</v>
      </c>
      <c r="M54" s="42">
        <v>6300000</v>
      </c>
      <c r="N54" s="10">
        <f t="shared" si="0"/>
        <v>0</v>
      </c>
      <c r="O54" t="s">
        <v>704</v>
      </c>
    </row>
    <row r="55" spans="1:15" x14ac:dyDescent="0.25">
      <c r="A55" t="s">
        <v>156</v>
      </c>
      <c r="B55" t="s">
        <v>13</v>
      </c>
      <c r="C55" s="12">
        <v>45967</v>
      </c>
      <c r="D55" s="12">
        <v>46022</v>
      </c>
      <c r="E55" t="s">
        <v>728</v>
      </c>
      <c r="F55" t="s">
        <v>14</v>
      </c>
      <c r="G55">
        <v>1088799080</v>
      </c>
      <c r="H55" t="s">
        <v>157</v>
      </c>
      <c r="I55">
        <v>43624414</v>
      </c>
      <c r="J55" t="s">
        <v>14</v>
      </c>
      <c r="K55" t="s">
        <v>18</v>
      </c>
      <c r="L55" s="42">
        <v>6300000</v>
      </c>
      <c r="M55" s="42">
        <v>6300000</v>
      </c>
      <c r="N55" s="10">
        <f t="shared" si="0"/>
        <v>0</v>
      </c>
      <c r="O55" t="s">
        <v>704</v>
      </c>
    </row>
    <row r="56" spans="1:15" x14ac:dyDescent="0.25">
      <c r="A56" t="s">
        <v>571</v>
      </c>
      <c r="B56" t="s">
        <v>13</v>
      </c>
      <c r="C56" s="12">
        <v>45967</v>
      </c>
      <c r="D56" s="12">
        <v>46022</v>
      </c>
      <c r="E56" t="s">
        <v>716</v>
      </c>
      <c r="F56" t="s">
        <v>14</v>
      </c>
      <c r="G56">
        <v>1233191133</v>
      </c>
      <c r="H56" t="s">
        <v>572</v>
      </c>
      <c r="I56">
        <v>59836926</v>
      </c>
      <c r="J56" t="s">
        <v>14</v>
      </c>
      <c r="K56" t="s">
        <v>17</v>
      </c>
      <c r="L56" s="42">
        <v>6300000</v>
      </c>
      <c r="M56" s="42">
        <v>6300000</v>
      </c>
      <c r="N56" s="10">
        <f t="shared" si="0"/>
        <v>0</v>
      </c>
      <c r="O56" t="s">
        <v>704</v>
      </c>
    </row>
    <row r="57" spans="1:15" x14ac:dyDescent="0.25">
      <c r="A57" t="s">
        <v>609</v>
      </c>
      <c r="B57" t="s">
        <v>13</v>
      </c>
      <c r="C57" s="12">
        <v>45966</v>
      </c>
      <c r="D57" s="12">
        <v>46022</v>
      </c>
      <c r="E57" t="s">
        <v>716</v>
      </c>
      <c r="F57" t="s">
        <v>14</v>
      </c>
      <c r="G57">
        <v>1085325325</v>
      </c>
      <c r="H57" t="s">
        <v>610</v>
      </c>
      <c r="I57">
        <v>43624414</v>
      </c>
      <c r="J57" t="s">
        <v>14</v>
      </c>
      <c r="K57" t="s">
        <v>18</v>
      </c>
      <c r="L57" s="42">
        <v>6300000</v>
      </c>
      <c r="M57" s="42">
        <v>6300000</v>
      </c>
      <c r="N57" s="10">
        <f t="shared" si="0"/>
        <v>0</v>
      </c>
      <c r="O57" t="s">
        <v>704</v>
      </c>
    </row>
    <row r="58" spans="1:15" x14ac:dyDescent="0.25">
      <c r="A58" t="s">
        <v>490</v>
      </c>
      <c r="B58" t="s">
        <v>13</v>
      </c>
      <c r="C58" s="12">
        <v>45966</v>
      </c>
      <c r="D58" s="12">
        <v>46022</v>
      </c>
      <c r="E58" t="s">
        <v>724</v>
      </c>
      <c r="F58" t="s">
        <v>14</v>
      </c>
      <c r="G58">
        <v>27091114</v>
      </c>
      <c r="H58" t="s">
        <v>80</v>
      </c>
      <c r="I58">
        <v>98390119</v>
      </c>
      <c r="J58" t="s">
        <v>14</v>
      </c>
      <c r="K58" t="s">
        <v>63</v>
      </c>
      <c r="L58" s="42">
        <v>6300000</v>
      </c>
      <c r="M58" s="42">
        <v>6300000</v>
      </c>
      <c r="N58" s="10">
        <f t="shared" si="0"/>
        <v>0</v>
      </c>
      <c r="O58" t="s">
        <v>704</v>
      </c>
    </row>
    <row r="59" spans="1:15" x14ac:dyDescent="0.25">
      <c r="A59" t="s">
        <v>232</v>
      </c>
      <c r="B59" t="s">
        <v>13</v>
      </c>
      <c r="C59" s="12">
        <v>45966</v>
      </c>
      <c r="D59" s="12">
        <v>46022</v>
      </c>
      <c r="E59" t="s">
        <v>747</v>
      </c>
      <c r="F59" t="s">
        <v>14</v>
      </c>
      <c r="G59">
        <v>1004190751</v>
      </c>
      <c r="H59" t="s">
        <v>233</v>
      </c>
      <c r="I59">
        <v>43624414</v>
      </c>
      <c r="J59" t="s">
        <v>14</v>
      </c>
      <c r="K59" t="s">
        <v>18</v>
      </c>
      <c r="L59" s="42">
        <v>6300000</v>
      </c>
      <c r="M59" s="42">
        <v>6300000</v>
      </c>
      <c r="N59" s="10">
        <f t="shared" si="0"/>
        <v>0</v>
      </c>
      <c r="O59" t="s">
        <v>704</v>
      </c>
    </row>
    <row r="60" spans="1:15" x14ac:dyDescent="0.25">
      <c r="A60" t="s">
        <v>322</v>
      </c>
      <c r="B60" t="s">
        <v>13</v>
      </c>
      <c r="C60" s="12">
        <v>45966</v>
      </c>
      <c r="D60" s="12">
        <v>46022</v>
      </c>
      <c r="E60" t="s">
        <v>323</v>
      </c>
      <c r="F60" t="s">
        <v>14</v>
      </c>
      <c r="G60">
        <v>1082748783</v>
      </c>
      <c r="H60" t="s">
        <v>67</v>
      </c>
      <c r="I60">
        <v>43624414</v>
      </c>
      <c r="J60" t="s">
        <v>14</v>
      </c>
      <c r="K60" t="s">
        <v>18</v>
      </c>
      <c r="L60" s="42">
        <v>6300000</v>
      </c>
      <c r="M60" s="42">
        <v>6300000</v>
      </c>
      <c r="N60" s="10">
        <f t="shared" si="0"/>
        <v>0</v>
      </c>
      <c r="O60" t="s">
        <v>704</v>
      </c>
    </row>
    <row r="61" spans="1:15" x14ac:dyDescent="0.25">
      <c r="A61" t="s">
        <v>648</v>
      </c>
      <c r="B61" t="s">
        <v>13</v>
      </c>
      <c r="C61" s="12">
        <v>45966</v>
      </c>
      <c r="D61" s="12">
        <v>46022</v>
      </c>
      <c r="E61" t="s">
        <v>716</v>
      </c>
      <c r="F61" t="s">
        <v>14</v>
      </c>
      <c r="G61">
        <v>59833899</v>
      </c>
      <c r="H61" t="s">
        <v>78</v>
      </c>
      <c r="I61">
        <v>43624414</v>
      </c>
      <c r="J61" t="s">
        <v>14</v>
      </c>
      <c r="K61" t="s">
        <v>18</v>
      </c>
      <c r="L61" s="42">
        <v>6300000</v>
      </c>
      <c r="M61" s="42">
        <v>6300000</v>
      </c>
      <c r="N61" s="10">
        <f t="shared" si="0"/>
        <v>0</v>
      </c>
      <c r="O61" t="s">
        <v>704</v>
      </c>
    </row>
    <row r="62" spans="1:15" x14ac:dyDescent="0.25">
      <c r="A62" t="s">
        <v>162</v>
      </c>
      <c r="B62" t="s">
        <v>13</v>
      </c>
      <c r="C62" s="12">
        <v>45966</v>
      </c>
      <c r="D62" s="12">
        <v>46022</v>
      </c>
      <c r="E62" t="s">
        <v>729</v>
      </c>
      <c r="F62" t="s">
        <v>14</v>
      </c>
      <c r="G62">
        <v>59828916</v>
      </c>
      <c r="H62" t="s">
        <v>73</v>
      </c>
      <c r="I62">
        <v>98390119</v>
      </c>
      <c r="J62" t="s">
        <v>14</v>
      </c>
      <c r="K62" t="s">
        <v>63</v>
      </c>
      <c r="L62" s="42">
        <v>6300000</v>
      </c>
      <c r="M62" s="42">
        <v>6300000</v>
      </c>
      <c r="N62" s="10">
        <f t="shared" si="0"/>
        <v>0</v>
      </c>
      <c r="O62" t="s">
        <v>704</v>
      </c>
    </row>
    <row r="63" spans="1:15" x14ac:dyDescent="0.25">
      <c r="A63" t="s">
        <v>634</v>
      </c>
      <c r="B63" t="s">
        <v>13</v>
      </c>
      <c r="C63" s="12">
        <v>45966</v>
      </c>
      <c r="D63" s="12">
        <v>46022</v>
      </c>
      <c r="E63" t="s">
        <v>815</v>
      </c>
      <c r="F63" t="s">
        <v>14</v>
      </c>
      <c r="G63">
        <v>1010099104</v>
      </c>
      <c r="H63" t="s">
        <v>635</v>
      </c>
      <c r="I63">
        <v>98390119</v>
      </c>
      <c r="J63" t="s">
        <v>14</v>
      </c>
      <c r="K63" t="s">
        <v>63</v>
      </c>
      <c r="L63" s="42">
        <v>6300000</v>
      </c>
      <c r="M63" s="42">
        <v>6300000</v>
      </c>
      <c r="N63" s="10">
        <f t="shared" si="0"/>
        <v>0</v>
      </c>
      <c r="O63" t="s">
        <v>704</v>
      </c>
    </row>
    <row r="64" spans="1:15" x14ac:dyDescent="0.25">
      <c r="A64" t="s">
        <v>332</v>
      </c>
      <c r="B64" t="s">
        <v>13</v>
      </c>
      <c r="C64" s="12">
        <v>45966</v>
      </c>
      <c r="D64" s="12">
        <v>46022</v>
      </c>
      <c r="E64" t="s">
        <v>762</v>
      </c>
      <c r="F64" t="s">
        <v>14</v>
      </c>
      <c r="G64">
        <v>1088216350</v>
      </c>
      <c r="H64" t="s">
        <v>333</v>
      </c>
      <c r="I64">
        <v>43624414</v>
      </c>
      <c r="J64" t="s">
        <v>14</v>
      </c>
      <c r="K64" t="s">
        <v>18</v>
      </c>
      <c r="L64" s="42">
        <v>6300000</v>
      </c>
      <c r="M64" s="42">
        <v>6300000</v>
      </c>
      <c r="N64" s="10">
        <f t="shared" si="0"/>
        <v>0</v>
      </c>
      <c r="O64" t="s">
        <v>704</v>
      </c>
    </row>
    <row r="65" spans="1:15" x14ac:dyDescent="0.25">
      <c r="A65" t="s">
        <v>659</v>
      </c>
      <c r="B65" t="s">
        <v>13</v>
      </c>
      <c r="C65" s="12">
        <v>45965</v>
      </c>
      <c r="D65" s="12">
        <v>46022</v>
      </c>
      <c r="E65" t="s">
        <v>720</v>
      </c>
      <c r="F65" t="s">
        <v>14</v>
      </c>
      <c r="G65">
        <v>59830040</v>
      </c>
      <c r="H65" t="s">
        <v>76</v>
      </c>
      <c r="I65">
        <v>43624414</v>
      </c>
      <c r="J65" t="s">
        <v>14</v>
      </c>
      <c r="K65" t="s">
        <v>18</v>
      </c>
      <c r="L65" s="42">
        <v>6300000</v>
      </c>
      <c r="M65" s="42">
        <v>6300000</v>
      </c>
      <c r="N65" s="10">
        <f t="shared" si="0"/>
        <v>0</v>
      </c>
      <c r="O65" t="s">
        <v>704</v>
      </c>
    </row>
    <row r="66" spans="1:15" x14ac:dyDescent="0.25">
      <c r="A66" t="s">
        <v>361</v>
      </c>
      <c r="B66" t="s">
        <v>13</v>
      </c>
      <c r="C66" s="12">
        <v>45965</v>
      </c>
      <c r="D66" s="12">
        <v>46022</v>
      </c>
      <c r="E66" t="s">
        <v>764</v>
      </c>
      <c r="F66" t="s">
        <v>14</v>
      </c>
      <c r="G66">
        <v>1085338921</v>
      </c>
      <c r="H66" t="s">
        <v>362</v>
      </c>
      <c r="I66">
        <v>98390119</v>
      </c>
      <c r="J66" t="s">
        <v>14</v>
      </c>
      <c r="K66" t="s">
        <v>63</v>
      </c>
      <c r="L66" s="42">
        <v>6300000</v>
      </c>
      <c r="M66" s="42">
        <v>6300000</v>
      </c>
      <c r="N66" s="10">
        <f t="shared" si="0"/>
        <v>0</v>
      </c>
      <c r="O66" t="s">
        <v>704</v>
      </c>
    </row>
    <row r="67" spans="1:15" x14ac:dyDescent="0.25">
      <c r="A67" t="s">
        <v>88</v>
      </c>
      <c r="B67" t="s">
        <v>13</v>
      </c>
      <c r="C67" s="12">
        <v>45965</v>
      </c>
      <c r="D67" s="12">
        <v>46022</v>
      </c>
      <c r="E67" t="s">
        <v>705</v>
      </c>
      <c r="F67" t="s">
        <v>14</v>
      </c>
      <c r="G67">
        <v>1086328142</v>
      </c>
      <c r="H67" t="s">
        <v>85</v>
      </c>
      <c r="I67">
        <v>43624414</v>
      </c>
      <c r="J67" t="s">
        <v>14</v>
      </c>
      <c r="K67" t="s">
        <v>18</v>
      </c>
      <c r="L67" s="42">
        <v>6300000</v>
      </c>
      <c r="M67" s="42">
        <v>6300000</v>
      </c>
      <c r="N67" s="10">
        <f t="shared" ref="N67:N130" si="1">M67-L67</f>
        <v>0</v>
      </c>
      <c r="O67" t="s">
        <v>704</v>
      </c>
    </row>
    <row r="68" spans="1:15" x14ac:dyDescent="0.25">
      <c r="A68" t="s">
        <v>117</v>
      </c>
      <c r="B68" t="s">
        <v>13</v>
      </c>
      <c r="C68" s="12">
        <v>45965</v>
      </c>
      <c r="D68" s="12">
        <v>46022</v>
      </c>
      <c r="E68" t="s">
        <v>711</v>
      </c>
      <c r="F68" t="s">
        <v>14</v>
      </c>
      <c r="G68">
        <v>1084224968</v>
      </c>
      <c r="H68" t="s">
        <v>118</v>
      </c>
      <c r="I68">
        <v>98390119</v>
      </c>
      <c r="J68" t="s">
        <v>14</v>
      </c>
      <c r="K68" t="s">
        <v>63</v>
      </c>
      <c r="L68" s="42">
        <v>6300000</v>
      </c>
      <c r="M68" s="42">
        <v>6300000</v>
      </c>
      <c r="N68" s="10">
        <f t="shared" si="1"/>
        <v>0</v>
      </c>
      <c r="O68" t="s">
        <v>704</v>
      </c>
    </row>
    <row r="69" spans="1:15" x14ac:dyDescent="0.25">
      <c r="A69" t="s">
        <v>517</v>
      </c>
      <c r="B69" t="s">
        <v>13</v>
      </c>
      <c r="C69" s="12">
        <v>45965</v>
      </c>
      <c r="D69" s="12">
        <v>46022</v>
      </c>
      <c r="E69" t="s">
        <v>720</v>
      </c>
      <c r="F69" t="s">
        <v>14</v>
      </c>
      <c r="G69">
        <v>1085344795</v>
      </c>
      <c r="H69" t="s">
        <v>79</v>
      </c>
      <c r="I69">
        <v>43624414</v>
      </c>
      <c r="J69" t="s">
        <v>14</v>
      </c>
      <c r="K69" t="s">
        <v>18</v>
      </c>
      <c r="L69" s="42">
        <v>6300000</v>
      </c>
      <c r="M69" s="42">
        <v>6300000</v>
      </c>
      <c r="N69" s="10">
        <f t="shared" si="1"/>
        <v>0</v>
      </c>
      <c r="O69" t="s">
        <v>704</v>
      </c>
    </row>
    <row r="70" spans="1:15" x14ac:dyDescent="0.25">
      <c r="A70" t="s">
        <v>272</v>
      </c>
      <c r="B70" t="s">
        <v>13</v>
      </c>
      <c r="C70" s="12">
        <v>45965</v>
      </c>
      <c r="D70" s="12">
        <v>46022</v>
      </c>
      <c r="E70" t="s">
        <v>728</v>
      </c>
      <c r="F70" t="s">
        <v>14</v>
      </c>
      <c r="G70">
        <v>1085266584</v>
      </c>
      <c r="H70" t="s">
        <v>71</v>
      </c>
      <c r="I70">
        <v>59836926</v>
      </c>
      <c r="J70" t="s">
        <v>14</v>
      </c>
      <c r="K70" t="s">
        <v>17</v>
      </c>
      <c r="L70" s="42">
        <v>6300000</v>
      </c>
      <c r="M70" s="42">
        <v>6300000</v>
      </c>
      <c r="N70" s="10">
        <f t="shared" si="1"/>
        <v>0</v>
      </c>
      <c r="O70" t="s">
        <v>704</v>
      </c>
    </row>
    <row r="71" spans="1:15" x14ac:dyDescent="0.25">
      <c r="A71" t="s">
        <v>452</v>
      </c>
      <c r="B71" t="s">
        <v>13</v>
      </c>
      <c r="C71" s="12">
        <v>45965</v>
      </c>
      <c r="D71" s="12">
        <v>46022</v>
      </c>
      <c r="E71" t="s">
        <v>787</v>
      </c>
      <c r="F71" t="s">
        <v>14</v>
      </c>
      <c r="G71">
        <v>98391531</v>
      </c>
      <c r="H71" t="s">
        <v>453</v>
      </c>
      <c r="I71">
        <v>43624414</v>
      </c>
      <c r="J71" t="s">
        <v>14</v>
      </c>
      <c r="K71" t="s">
        <v>18</v>
      </c>
      <c r="L71" s="42">
        <v>6300000</v>
      </c>
      <c r="M71" s="42">
        <v>6300000</v>
      </c>
      <c r="N71" s="10">
        <f t="shared" si="1"/>
        <v>0</v>
      </c>
      <c r="O71" t="s">
        <v>704</v>
      </c>
    </row>
    <row r="72" spans="1:15" x14ac:dyDescent="0.25">
      <c r="A72" t="s">
        <v>684</v>
      </c>
      <c r="B72" t="s">
        <v>13</v>
      </c>
      <c r="C72" s="12">
        <v>45965</v>
      </c>
      <c r="D72" s="12">
        <v>46022</v>
      </c>
      <c r="E72" t="s">
        <v>716</v>
      </c>
      <c r="F72" t="s">
        <v>14</v>
      </c>
      <c r="G72">
        <v>1081592769</v>
      </c>
      <c r="H72" t="s">
        <v>685</v>
      </c>
      <c r="I72">
        <v>98390119</v>
      </c>
      <c r="J72" t="s">
        <v>14</v>
      </c>
      <c r="K72" t="s">
        <v>63</v>
      </c>
      <c r="L72" s="42">
        <v>6300000</v>
      </c>
      <c r="M72" s="42">
        <v>6300000</v>
      </c>
      <c r="N72" s="10">
        <f t="shared" si="1"/>
        <v>0</v>
      </c>
      <c r="O72" t="s">
        <v>704</v>
      </c>
    </row>
    <row r="73" spans="1:15" x14ac:dyDescent="0.25">
      <c r="A73" t="s">
        <v>120</v>
      </c>
      <c r="B73" t="s">
        <v>13</v>
      </c>
      <c r="C73" s="12">
        <v>45965</v>
      </c>
      <c r="D73" s="12">
        <v>46022</v>
      </c>
      <c r="E73" t="s">
        <v>705</v>
      </c>
      <c r="F73" t="s">
        <v>14</v>
      </c>
      <c r="G73">
        <v>1085286742</v>
      </c>
      <c r="H73" t="s">
        <v>37</v>
      </c>
      <c r="I73">
        <v>98390119</v>
      </c>
      <c r="J73" t="s">
        <v>14</v>
      </c>
      <c r="K73" t="s">
        <v>63</v>
      </c>
      <c r="L73" s="42">
        <v>6300000</v>
      </c>
      <c r="M73" s="42">
        <v>6300000</v>
      </c>
      <c r="N73" s="10">
        <f t="shared" si="1"/>
        <v>0</v>
      </c>
      <c r="O73" t="s">
        <v>704</v>
      </c>
    </row>
    <row r="74" spans="1:15" x14ac:dyDescent="0.25">
      <c r="A74" t="s">
        <v>313</v>
      </c>
      <c r="B74" t="s">
        <v>13</v>
      </c>
      <c r="C74" s="12">
        <v>45960</v>
      </c>
      <c r="D74" s="12">
        <v>46022</v>
      </c>
      <c r="E74" t="s">
        <v>756</v>
      </c>
      <c r="F74" t="s">
        <v>14</v>
      </c>
      <c r="G74">
        <v>1085331558</v>
      </c>
      <c r="H74" t="s">
        <v>314</v>
      </c>
      <c r="I74">
        <v>98390119</v>
      </c>
      <c r="J74" t="s">
        <v>14</v>
      </c>
      <c r="K74" t="s">
        <v>63</v>
      </c>
      <c r="L74" s="42">
        <v>6300000</v>
      </c>
      <c r="M74" s="42">
        <v>6300000</v>
      </c>
      <c r="N74" s="10">
        <f t="shared" si="1"/>
        <v>0</v>
      </c>
      <c r="O74" t="s">
        <v>704</v>
      </c>
    </row>
    <row r="75" spans="1:15" x14ac:dyDescent="0.25">
      <c r="A75" t="s">
        <v>160</v>
      </c>
      <c r="B75" t="s">
        <v>13</v>
      </c>
      <c r="C75" s="12">
        <v>45960</v>
      </c>
      <c r="D75" s="12">
        <v>46022</v>
      </c>
      <c r="E75" t="s">
        <v>720</v>
      </c>
      <c r="F75" t="s">
        <v>14</v>
      </c>
      <c r="G75">
        <v>1086018841</v>
      </c>
      <c r="H75" t="s">
        <v>161</v>
      </c>
      <c r="I75">
        <v>43624414</v>
      </c>
      <c r="J75" t="s">
        <v>14</v>
      </c>
      <c r="K75" t="s">
        <v>18</v>
      </c>
      <c r="L75" s="42">
        <v>6300000</v>
      </c>
      <c r="M75" s="42">
        <v>6300000</v>
      </c>
      <c r="N75" s="10">
        <f t="shared" si="1"/>
        <v>0</v>
      </c>
      <c r="O75" t="s">
        <v>704</v>
      </c>
    </row>
    <row r="76" spans="1:15" x14ac:dyDescent="0.25">
      <c r="A76" t="s">
        <v>339</v>
      </c>
      <c r="B76" t="s">
        <v>13</v>
      </c>
      <c r="C76" s="12">
        <v>45960</v>
      </c>
      <c r="D76" s="12">
        <v>46022</v>
      </c>
      <c r="E76" t="s">
        <v>705</v>
      </c>
      <c r="F76" t="s">
        <v>14</v>
      </c>
      <c r="G76">
        <v>1085270448</v>
      </c>
      <c r="H76" t="s">
        <v>340</v>
      </c>
      <c r="I76">
        <v>98390119</v>
      </c>
      <c r="J76" t="s">
        <v>14</v>
      </c>
      <c r="K76" t="s">
        <v>63</v>
      </c>
      <c r="L76" s="42">
        <v>6300000</v>
      </c>
      <c r="M76" s="42">
        <v>6300000</v>
      </c>
      <c r="N76" s="10">
        <f t="shared" si="1"/>
        <v>0</v>
      </c>
      <c r="O76" t="s">
        <v>704</v>
      </c>
    </row>
    <row r="77" spans="1:15" x14ac:dyDescent="0.25">
      <c r="A77" t="s">
        <v>172</v>
      </c>
      <c r="B77" t="s">
        <v>13</v>
      </c>
      <c r="C77" s="12">
        <v>45947</v>
      </c>
      <c r="D77" s="12">
        <v>46022</v>
      </c>
      <c r="E77" t="s">
        <v>731</v>
      </c>
      <c r="F77" t="s">
        <v>14</v>
      </c>
      <c r="G77">
        <v>59834953</v>
      </c>
      <c r="H77" t="s">
        <v>35</v>
      </c>
      <c r="I77">
        <v>98390119</v>
      </c>
      <c r="J77" t="s">
        <v>14</v>
      </c>
      <c r="K77" t="s">
        <v>63</v>
      </c>
      <c r="L77" s="42">
        <v>7875000</v>
      </c>
      <c r="M77" s="42">
        <v>7875000</v>
      </c>
      <c r="N77" s="10">
        <f t="shared" si="1"/>
        <v>0</v>
      </c>
      <c r="O77" t="s">
        <v>704</v>
      </c>
    </row>
    <row r="78" spans="1:15" x14ac:dyDescent="0.25">
      <c r="A78" t="s">
        <v>469</v>
      </c>
      <c r="B78" t="s">
        <v>13</v>
      </c>
      <c r="C78" s="12">
        <v>45946</v>
      </c>
      <c r="D78" s="12">
        <v>46022</v>
      </c>
      <c r="E78" t="s">
        <v>720</v>
      </c>
      <c r="F78" t="s">
        <v>14</v>
      </c>
      <c r="G78">
        <v>59813323</v>
      </c>
      <c r="H78" t="s">
        <v>74</v>
      </c>
      <c r="I78">
        <v>59836926</v>
      </c>
      <c r="J78" t="s">
        <v>14</v>
      </c>
      <c r="K78" t="s">
        <v>17</v>
      </c>
      <c r="L78" s="42">
        <v>7875000</v>
      </c>
      <c r="M78" s="42">
        <v>7875000</v>
      </c>
      <c r="N78" s="10">
        <f t="shared" si="1"/>
        <v>0</v>
      </c>
      <c r="O78" t="s">
        <v>704</v>
      </c>
    </row>
    <row r="79" spans="1:15" x14ac:dyDescent="0.25">
      <c r="A79" t="s">
        <v>484</v>
      </c>
      <c r="B79" t="s">
        <v>13</v>
      </c>
      <c r="C79" s="12">
        <v>45946</v>
      </c>
      <c r="D79" s="12">
        <v>46022</v>
      </c>
      <c r="E79" t="s">
        <v>764</v>
      </c>
      <c r="F79" t="s">
        <v>14</v>
      </c>
      <c r="G79">
        <v>1193405962</v>
      </c>
      <c r="H79" t="s">
        <v>485</v>
      </c>
      <c r="I79">
        <v>59836926</v>
      </c>
      <c r="J79" t="s">
        <v>14</v>
      </c>
      <c r="K79" t="s">
        <v>17</v>
      </c>
      <c r="L79" s="42">
        <v>7875000</v>
      </c>
      <c r="M79" s="42">
        <v>7875000</v>
      </c>
      <c r="N79" s="10">
        <f t="shared" si="1"/>
        <v>0</v>
      </c>
      <c r="O79" t="s">
        <v>704</v>
      </c>
    </row>
    <row r="80" spans="1:15" x14ac:dyDescent="0.25">
      <c r="A80" t="s">
        <v>404</v>
      </c>
      <c r="B80" t="s">
        <v>13</v>
      </c>
      <c r="C80" s="12">
        <v>45946</v>
      </c>
      <c r="D80" s="12">
        <v>46022</v>
      </c>
      <c r="E80" t="s">
        <v>773</v>
      </c>
      <c r="F80" t="s">
        <v>14</v>
      </c>
      <c r="G80">
        <v>1085327677</v>
      </c>
      <c r="H80" t="s">
        <v>405</v>
      </c>
      <c r="I80">
        <v>43624414</v>
      </c>
      <c r="J80" t="s">
        <v>14</v>
      </c>
      <c r="K80" t="s">
        <v>18</v>
      </c>
      <c r="L80" s="42">
        <v>7875000</v>
      </c>
      <c r="M80" s="42">
        <v>7875000</v>
      </c>
      <c r="N80" s="10">
        <f t="shared" si="1"/>
        <v>0</v>
      </c>
      <c r="O80" t="s">
        <v>704</v>
      </c>
    </row>
    <row r="81" spans="1:15" x14ac:dyDescent="0.25">
      <c r="A81" t="s">
        <v>682</v>
      </c>
      <c r="B81" t="s">
        <v>13</v>
      </c>
      <c r="C81" s="12">
        <v>45946</v>
      </c>
      <c r="D81" s="12">
        <v>46022</v>
      </c>
      <c r="E81" t="s">
        <v>716</v>
      </c>
      <c r="F81" t="s">
        <v>14</v>
      </c>
      <c r="G81">
        <v>36950892</v>
      </c>
      <c r="H81" t="s">
        <v>683</v>
      </c>
      <c r="I81">
        <v>59836926</v>
      </c>
      <c r="J81" t="s">
        <v>14</v>
      </c>
      <c r="K81" t="s">
        <v>17</v>
      </c>
      <c r="L81" s="42">
        <v>7875000</v>
      </c>
      <c r="M81" s="42">
        <v>7875000</v>
      </c>
      <c r="N81" s="10">
        <f t="shared" si="1"/>
        <v>0</v>
      </c>
      <c r="O81" t="s">
        <v>704</v>
      </c>
    </row>
    <row r="82" spans="1:15" x14ac:dyDescent="0.25">
      <c r="A82" t="s">
        <v>551</v>
      </c>
      <c r="B82" t="s">
        <v>13</v>
      </c>
      <c r="C82" s="12">
        <v>45946</v>
      </c>
      <c r="D82" s="12">
        <v>46022</v>
      </c>
      <c r="E82" t="s">
        <v>801</v>
      </c>
      <c r="F82" t="s">
        <v>14</v>
      </c>
      <c r="G82">
        <v>1086329800</v>
      </c>
      <c r="H82" t="s">
        <v>552</v>
      </c>
      <c r="I82">
        <v>59836926</v>
      </c>
      <c r="J82" t="s">
        <v>14</v>
      </c>
      <c r="K82" t="s">
        <v>17</v>
      </c>
      <c r="L82" s="42">
        <v>7875000</v>
      </c>
      <c r="M82" s="42">
        <v>7875000</v>
      </c>
      <c r="N82" s="10">
        <f t="shared" si="1"/>
        <v>0</v>
      </c>
      <c r="O82" t="s">
        <v>704</v>
      </c>
    </row>
    <row r="83" spans="1:15" x14ac:dyDescent="0.25">
      <c r="A83" t="s">
        <v>467</v>
      </c>
      <c r="B83" t="s">
        <v>13</v>
      </c>
      <c r="C83" s="12">
        <v>45946</v>
      </c>
      <c r="D83" s="12">
        <v>46022</v>
      </c>
      <c r="E83" t="s">
        <v>716</v>
      </c>
      <c r="F83" t="s">
        <v>14</v>
      </c>
      <c r="G83">
        <v>27253636</v>
      </c>
      <c r="H83" t="s">
        <v>468</v>
      </c>
      <c r="I83">
        <v>98390119</v>
      </c>
      <c r="J83" t="s">
        <v>14</v>
      </c>
      <c r="K83" t="s">
        <v>63</v>
      </c>
      <c r="L83" s="42">
        <v>7875000</v>
      </c>
      <c r="M83" s="42">
        <v>7875000</v>
      </c>
      <c r="N83" s="10">
        <f t="shared" si="1"/>
        <v>0</v>
      </c>
      <c r="O83" t="s">
        <v>704</v>
      </c>
    </row>
    <row r="84" spans="1:15" x14ac:dyDescent="0.25">
      <c r="A84" t="s">
        <v>282</v>
      </c>
      <c r="B84" t="s">
        <v>13</v>
      </c>
      <c r="C84" s="12">
        <v>45946</v>
      </c>
      <c r="D84" s="12">
        <v>46022</v>
      </c>
      <c r="E84" t="s">
        <v>753</v>
      </c>
      <c r="F84" t="s">
        <v>14</v>
      </c>
      <c r="G84">
        <v>27285974</v>
      </c>
      <c r="H84" t="s">
        <v>283</v>
      </c>
      <c r="I84">
        <v>59836926</v>
      </c>
      <c r="J84" t="s">
        <v>14</v>
      </c>
      <c r="K84" t="s">
        <v>17</v>
      </c>
      <c r="L84" s="42">
        <v>7875000</v>
      </c>
      <c r="M84" s="42">
        <v>7875000</v>
      </c>
      <c r="N84" s="10">
        <f t="shared" si="1"/>
        <v>0</v>
      </c>
      <c r="O84" t="s">
        <v>704</v>
      </c>
    </row>
    <row r="85" spans="1:15" x14ac:dyDescent="0.25">
      <c r="A85" t="s">
        <v>619</v>
      </c>
      <c r="B85" t="s">
        <v>13</v>
      </c>
      <c r="C85" s="12">
        <v>45946</v>
      </c>
      <c r="D85" s="12">
        <v>46022</v>
      </c>
      <c r="E85" t="s">
        <v>811</v>
      </c>
      <c r="F85" t="s">
        <v>14</v>
      </c>
      <c r="G85">
        <v>1088975658</v>
      </c>
      <c r="H85" t="s">
        <v>620</v>
      </c>
      <c r="I85">
        <v>59836926</v>
      </c>
      <c r="J85" t="s">
        <v>14</v>
      </c>
      <c r="K85" t="s">
        <v>17</v>
      </c>
      <c r="L85" s="42">
        <v>7875000</v>
      </c>
      <c r="M85" s="42">
        <v>7875000</v>
      </c>
      <c r="N85" s="10">
        <f t="shared" si="1"/>
        <v>0</v>
      </c>
      <c r="O85" t="s">
        <v>704</v>
      </c>
    </row>
    <row r="86" spans="1:15" x14ac:dyDescent="0.25">
      <c r="A86" t="s">
        <v>138</v>
      </c>
      <c r="B86" t="s">
        <v>13</v>
      </c>
      <c r="C86" s="12">
        <v>45946</v>
      </c>
      <c r="D86" s="12">
        <v>46022</v>
      </c>
      <c r="E86" t="s">
        <v>720</v>
      </c>
      <c r="F86" t="s">
        <v>14</v>
      </c>
      <c r="G86">
        <v>1080693240</v>
      </c>
      <c r="H86" t="s">
        <v>139</v>
      </c>
      <c r="I86">
        <v>59836926</v>
      </c>
      <c r="J86" t="s">
        <v>14</v>
      </c>
      <c r="K86" t="s">
        <v>17</v>
      </c>
      <c r="L86" s="42">
        <v>7875000</v>
      </c>
      <c r="M86" s="42">
        <v>7875000</v>
      </c>
      <c r="N86" s="10">
        <f t="shared" si="1"/>
        <v>0</v>
      </c>
      <c r="O86" t="s">
        <v>704</v>
      </c>
    </row>
    <row r="87" spans="1:15" x14ac:dyDescent="0.25">
      <c r="A87" t="s">
        <v>622</v>
      </c>
      <c r="B87" t="s">
        <v>13</v>
      </c>
      <c r="C87" s="12">
        <v>45946</v>
      </c>
      <c r="D87" s="12">
        <v>46022</v>
      </c>
      <c r="E87" t="s">
        <v>705</v>
      </c>
      <c r="F87" t="s">
        <v>14</v>
      </c>
      <c r="G87">
        <v>1137089268</v>
      </c>
      <c r="H87" t="s">
        <v>623</v>
      </c>
      <c r="I87">
        <v>59836926</v>
      </c>
      <c r="J87" t="s">
        <v>14</v>
      </c>
      <c r="K87" t="s">
        <v>17</v>
      </c>
      <c r="L87" s="42">
        <v>7875000</v>
      </c>
      <c r="M87" s="42">
        <v>7875000</v>
      </c>
      <c r="N87" s="10">
        <f t="shared" si="1"/>
        <v>0</v>
      </c>
      <c r="O87" t="s">
        <v>704</v>
      </c>
    </row>
    <row r="88" spans="1:15" x14ac:dyDescent="0.25">
      <c r="A88" t="s">
        <v>188</v>
      </c>
      <c r="B88" t="s">
        <v>13</v>
      </c>
      <c r="C88" s="12">
        <v>45945</v>
      </c>
      <c r="D88" s="12">
        <v>46022</v>
      </c>
      <c r="E88" t="s">
        <v>720</v>
      </c>
      <c r="F88" t="s">
        <v>14</v>
      </c>
      <c r="G88">
        <v>1004343043</v>
      </c>
      <c r="H88" t="s">
        <v>189</v>
      </c>
      <c r="I88">
        <v>98390119</v>
      </c>
      <c r="J88" t="s">
        <v>14</v>
      </c>
      <c r="K88" t="s">
        <v>63</v>
      </c>
      <c r="L88" s="42">
        <v>7875000</v>
      </c>
      <c r="M88" s="42">
        <v>7875000</v>
      </c>
      <c r="N88" s="10">
        <f t="shared" si="1"/>
        <v>0</v>
      </c>
      <c r="O88" t="s">
        <v>704</v>
      </c>
    </row>
    <row r="89" spans="1:15" x14ac:dyDescent="0.25">
      <c r="A89" t="s">
        <v>100</v>
      </c>
      <c r="B89" t="s">
        <v>13</v>
      </c>
      <c r="C89" s="12">
        <v>45945</v>
      </c>
      <c r="D89" s="12">
        <v>46022</v>
      </c>
      <c r="E89" t="s">
        <v>712</v>
      </c>
      <c r="F89" t="s">
        <v>14</v>
      </c>
      <c r="G89">
        <v>87030128</v>
      </c>
      <c r="H89" t="s">
        <v>101</v>
      </c>
      <c r="I89">
        <v>98390119</v>
      </c>
      <c r="J89" t="s">
        <v>14</v>
      </c>
      <c r="K89" t="s">
        <v>63</v>
      </c>
      <c r="L89" s="42">
        <v>7875000</v>
      </c>
      <c r="M89" s="42">
        <v>7875000</v>
      </c>
      <c r="N89" s="10">
        <f t="shared" si="1"/>
        <v>0</v>
      </c>
      <c r="O89" t="s">
        <v>704</v>
      </c>
    </row>
    <row r="90" spans="1:15" x14ac:dyDescent="0.25">
      <c r="A90" t="s">
        <v>184</v>
      </c>
      <c r="B90" t="s">
        <v>13</v>
      </c>
      <c r="C90" s="12">
        <v>45945</v>
      </c>
      <c r="D90" s="12">
        <v>46022</v>
      </c>
      <c r="E90" t="s">
        <v>734</v>
      </c>
      <c r="F90" t="s">
        <v>14</v>
      </c>
      <c r="G90">
        <v>27388522</v>
      </c>
      <c r="H90" t="s">
        <v>38</v>
      </c>
      <c r="I90">
        <v>98390119</v>
      </c>
      <c r="J90" t="s">
        <v>14</v>
      </c>
      <c r="K90" t="s">
        <v>63</v>
      </c>
      <c r="L90" s="42">
        <v>7875000</v>
      </c>
      <c r="M90" s="42">
        <v>7875000</v>
      </c>
      <c r="N90" s="10">
        <f t="shared" si="1"/>
        <v>0</v>
      </c>
      <c r="O90" t="s">
        <v>704</v>
      </c>
    </row>
    <row r="91" spans="1:15" x14ac:dyDescent="0.25">
      <c r="A91" t="s">
        <v>655</v>
      </c>
      <c r="B91" t="s">
        <v>13</v>
      </c>
      <c r="C91" s="12">
        <v>45938</v>
      </c>
      <c r="D91" s="12">
        <v>46022</v>
      </c>
      <c r="E91" t="s">
        <v>720</v>
      </c>
      <c r="F91" t="s">
        <v>14</v>
      </c>
      <c r="G91">
        <v>1081592742</v>
      </c>
      <c r="H91" t="s">
        <v>656</v>
      </c>
      <c r="I91">
        <v>98333941</v>
      </c>
      <c r="J91" t="s">
        <v>14</v>
      </c>
      <c r="K91" t="s">
        <v>15</v>
      </c>
      <c r="L91" s="42">
        <v>9450000</v>
      </c>
      <c r="M91" s="42">
        <v>9450000</v>
      </c>
      <c r="N91" s="10">
        <f t="shared" si="1"/>
        <v>0</v>
      </c>
      <c r="O91" t="s">
        <v>704</v>
      </c>
    </row>
    <row r="92" spans="1:15" x14ac:dyDescent="0.25">
      <c r="A92" t="s">
        <v>392</v>
      </c>
      <c r="B92" t="s">
        <v>13</v>
      </c>
      <c r="C92" s="12">
        <v>45937</v>
      </c>
      <c r="D92" s="12">
        <v>46022</v>
      </c>
      <c r="E92" t="s">
        <v>770</v>
      </c>
      <c r="F92" t="s">
        <v>14</v>
      </c>
      <c r="G92">
        <v>1081272318</v>
      </c>
      <c r="H92" t="s">
        <v>393</v>
      </c>
      <c r="I92">
        <v>43624414</v>
      </c>
      <c r="J92" t="s">
        <v>14</v>
      </c>
      <c r="K92" t="s">
        <v>18</v>
      </c>
      <c r="L92" s="42">
        <v>9450000</v>
      </c>
      <c r="M92" s="42">
        <v>9450000</v>
      </c>
      <c r="N92" s="10">
        <f t="shared" si="1"/>
        <v>0</v>
      </c>
      <c r="O92" t="s">
        <v>704</v>
      </c>
    </row>
    <row r="93" spans="1:15" x14ac:dyDescent="0.25">
      <c r="A93" t="s">
        <v>669</v>
      </c>
      <c r="B93" t="s">
        <v>13</v>
      </c>
      <c r="C93" s="12">
        <v>45937</v>
      </c>
      <c r="D93" s="12">
        <v>46022</v>
      </c>
      <c r="E93" t="s">
        <v>724</v>
      </c>
      <c r="F93" t="s">
        <v>14</v>
      </c>
      <c r="G93">
        <v>27222016</v>
      </c>
      <c r="H93" t="s">
        <v>670</v>
      </c>
      <c r="I93">
        <v>59836926</v>
      </c>
      <c r="J93" t="s">
        <v>14</v>
      </c>
      <c r="K93" t="s">
        <v>17</v>
      </c>
      <c r="L93" s="42">
        <v>9450000</v>
      </c>
      <c r="M93" s="42">
        <v>9450000</v>
      </c>
      <c r="N93" s="10">
        <f t="shared" si="1"/>
        <v>0</v>
      </c>
      <c r="O93" t="s">
        <v>704</v>
      </c>
    </row>
    <row r="94" spans="1:15" x14ac:dyDescent="0.25">
      <c r="A94" t="s">
        <v>577</v>
      </c>
      <c r="B94" t="s">
        <v>13</v>
      </c>
      <c r="C94" s="12">
        <v>45937</v>
      </c>
      <c r="D94" s="12">
        <v>46022</v>
      </c>
      <c r="E94" t="s">
        <v>805</v>
      </c>
      <c r="F94" t="s">
        <v>14</v>
      </c>
      <c r="G94">
        <v>1085317094</v>
      </c>
      <c r="H94" t="s">
        <v>578</v>
      </c>
      <c r="I94">
        <v>59836926</v>
      </c>
      <c r="J94" t="s">
        <v>14</v>
      </c>
      <c r="K94" t="s">
        <v>17</v>
      </c>
      <c r="L94" s="42">
        <v>9450000</v>
      </c>
      <c r="M94" s="42">
        <v>9450000</v>
      </c>
      <c r="N94" s="10">
        <f t="shared" si="1"/>
        <v>0</v>
      </c>
      <c r="O94" t="s">
        <v>704</v>
      </c>
    </row>
    <row r="95" spans="1:15" x14ac:dyDescent="0.25">
      <c r="A95" t="s">
        <v>442</v>
      </c>
      <c r="B95" t="s">
        <v>13</v>
      </c>
      <c r="C95" s="12">
        <v>45936</v>
      </c>
      <c r="D95" s="12">
        <v>46022</v>
      </c>
      <c r="E95" t="s">
        <v>783</v>
      </c>
      <c r="F95" t="s">
        <v>14</v>
      </c>
      <c r="G95">
        <v>1085261053</v>
      </c>
      <c r="H95" t="s">
        <v>443</v>
      </c>
      <c r="I95">
        <v>98333941</v>
      </c>
      <c r="J95" t="s">
        <v>14</v>
      </c>
      <c r="K95" t="s">
        <v>15</v>
      </c>
      <c r="L95" s="42">
        <v>9450000</v>
      </c>
      <c r="M95" s="42">
        <v>9450000</v>
      </c>
      <c r="N95" s="10">
        <f t="shared" si="1"/>
        <v>0</v>
      </c>
      <c r="O95" t="s">
        <v>704</v>
      </c>
    </row>
    <row r="96" spans="1:15" x14ac:dyDescent="0.25">
      <c r="A96" t="s">
        <v>1034</v>
      </c>
      <c r="B96" t="s">
        <v>13</v>
      </c>
      <c r="C96" s="12">
        <v>46024</v>
      </c>
      <c r="D96" s="12">
        <v>46112</v>
      </c>
      <c r="E96" t="s">
        <v>775</v>
      </c>
      <c r="F96" t="s">
        <v>14</v>
      </c>
      <c r="G96">
        <v>1089458048</v>
      </c>
      <c r="H96" t="s">
        <v>492</v>
      </c>
      <c r="I96">
        <v>98333941</v>
      </c>
      <c r="J96" t="s">
        <v>14</v>
      </c>
      <c r="K96" t="s">
        <v>15</v>
      </c>
      <c r="L96" s="42">
        <v>3150000</v>
      </c>
      <c r="M96" s="10">
        <v>9450000</v>
      </c>
      <c r="N96" s="10">
        <f t="shared" si="1"/>
        <v>6300000</v>
      </c>
      <c r="O96" t="s">
        <v>704</v>
      </c>
    </row>
    <row r="97" spans="1:15" x14ac:dyDescent="0.25">
      <c r="A97" t="s">
        <v>1041</v>
      </c>
      <c r="B97" t="s">
        <v>13</v>
      </c>
      <c r="C97" s="12">
        <v>46024</v>
      </c>
      <c r="D97" s="12">
        <v>46112</v>
      </c>
      <c r="E97" t="s">
        <v>775</v>
      </c>
      <c r="F97" t="s">
        <v>14</v>
      </c>
      <c r="G97">
        <v>1081592303</v>
      </c>
      <c r="H97" t="s">
        <v>32</v>
      </c>
      <c r="I97">
        <v>43624414</v>
      </c>
      <c r="J97" t="s">
        <v>14</v>
      </c>
      <c r="K97" t="s">
        <v>18</v>
      </c>
      <c r="L97" s="42">
        <v>3150000</v>
      </c>
      <c r="M97" s="10">
        <v>9450000</v>
      </c>
      <c r="N97" s="10">
        <f t="shared" si="1"/>
        <v>6300000</v>
      </c>
      <c r="O97" t="s">
        <v>704</v>
      </c>
    </row>
    <row r="98" spans="1:15" x14ac:dyDescent="0.25">
      <c r="A98" t="s">
        <v>1042</v>
      </c>
      <c r="B98" t="s">
        <v>13</v>
      </c>
      <c r="C98" s="12">
        <v>46024</v>
      </c>
      <c r="D98" s="12">
        <v>46112</v>
      </c>
      <c r="E98" t="s">
        <v>775</v>
      </c>
      <c r="F98" t="s">
        <v>14</v>
      </c>
      <c r="G98">
        <v>1081272025</v>
      </c>
      <c r="H98" t="s">
        <v>850</v>
      </c>
      <c r="I98">
        <v>59836926</v>
      </c>
      <c r="J98" t="s">
        <v>14</v>
      </c>
      <c r="K98" t="s">
        <v>17</v>
      </c>
      <c r="L98" s="42">
        <v>3150000</v>
      </c>
      <c r="M98" s="10">
        <v>9450000</v>
      </c>
      <c r="N98" s="10">
        <f t="shared" si="1"/>
        <v>6300000</v>
      </c>
      <c r="O98" t="s">
        <v>704</v>
      </c>
    </row>
    <row r="99" spans="1:15" x14ac:dyDescent="0.25">
      <c r="A99" t="s">
        <v>477</v>
      </c>
      <c r="B99" t="s">
        <v>13</v>
      </c>
      <c r="C99" s="12">
        <v>45936</v>
      </c>
      <c r="D99" s="12">
        <v>46022</v>
      </c>
      <c r="E99" t="s">
        <v>731</v>
      </c>
      <c r="F99" t="s">
        <v>14</v>
      </c>
      <c r="G99">
        <v>1004190984</v>
      </c>
      <c r="H99" t="s">
        <v>478</v>
      </c>
      <c r="I99">
        <v>98333941</v>
      </c>
      <c r="J99" t="s">
        <v>14</v>
      </c>
      <c r="K99" t="s">
        <v>15</v>
      </c>
      <c r="L99" s="42">
        <v>9450000</v>
      </c>
      <c r="M99" s="42">
        <v>9450000</v>
      </c>
      <c r="N99" s="10">
        <f t="shared" si="1"/>
        <v>0</v>
      </c>
      <c r="O99" t="s">
        <v>704</v>
      </c>
    </row>
    <row r="100" spans="1:15" x14ac:dyDescent="0.25">
      <c r="A100" t="s">
        <v>661</v>
      </c>
      <c r="B100" t="s">
        <v>13</v>
      </c>
      <c r="C100" s="12">
        <v>45932</v>
      </c>
      <c r="D100" s="12">
        <v>46022</v>
      </c>
      <c r="E100" t="s">
        <v>747</v>
      </c>
      <c r="F100" t="s">
        <v>14</v>
      </c>
      <c r="G100">
        <v>1081052779</v>
      </c>
      <c r="H100" t="s">
        <v>662</v>
      </c>
      <c r="I100">
        <v>98390119</v>
      </c>
      <c r="J100" t="s">
        <v>14</v>
      </c>
      <c r="K100" t="s">
        <v>63</v>
      </c>
      <c r="L100" s="42">
        <v>9450000</v>
      </c>
      <c r="M100" s="42">
        <v>9450000</v>
      </c>
      <c r="N100" s="10">
        <f t="shared" si="1"/>
        <v>0</v>
      </c>
      <c r="O100" t="s">
        <v>704</v>
      </c>
    </row>
    <row r="101" spans="1:15" x14ac:dyDescent="0.25">
      <c r="A101" t="s">
        <v>448</v>
      </c>
      <c r="B101" t="s">
        <v>13</v>
      </c>
      <c r="C101" s="12">
        <v>45931</v>
      </c>
      <c r="D101" s="12">
        <v>46022</v>
      </c>
      <c r="E101" t="s">
        <v>785</v>
      </c>
      <c r="F101" t="s">
        <v>14</v>
      </c>
      <c r="G101">
        <v>1004592366</v>
      </c>
      <c r="H101" t="s">
        <v>449</v>
      </c>
      <c r="I101">
        <v>98390119</v>
      </c>
      <c r="J101" t="s">
        <v>14</v>
      </c>
      <c r="K101" t="s">
        <v>63</v>
      </c>
      <c r="L101" s="42">
        <v>9450000</v>
      </c>
      <c r="M101" s="42">
        <v>9450000</v>
      </c>
      <c r="N101" s="10">
        <f t="shared" si="1"/>
        <v>0</v>
      </c>
      <c r="O101" t="s">
        <v>704</v>
      </c>
    </row>
    <row r="102" spans="1:15" x14ac:dyDescent="0.25">
      <c r="A102" t="s">
        <v>675</v>
      </c>
      <c r="B102" t="s">
        <v>13</v>
      </c>
      <c r="C102" s="12">
        <v>45931</v>
      </c>
      <c r="D102" s="12">
        <v>46022</v>
      </c>
      <c r="E102" t="s">
        <v>815</v>
      </c>
      <c r="F102" t="s">
        <v>14</v>
      </c>
      <c r="G102">
        <v>1085304308</v>
      </c>
      <c r="H102" t="s">
        <v>68</v>
      </c>
      <c r="I102">
        <v>98333941</v>
      </c>
      <c r="J102" t="s">
        <v>14</v>
      </c>
      <c r="K102" t="s">
        <v>15</v>
      </c>
      <c r="L102" s="42">
        <v>9450000</v>
      </c>
      <c r="M102" s="42">
        <v>9450000</v>
      </c>
      <c r="N102" s="10">
        <f t="shared" si="1"/>
        <v>0</v>
      </c>
      <c r="O102" t="s">
        <v>704</v>
      </c>
    </row>
    <row r="103" spans="1:15" x14ac:dyDescent="0.25">
      <c r="A103" t="s">
        <v>144</v>
      </c>
      <c r="B103" t="s">
        <v>13</v>
      </c>
      <c r="C103" s="12">
        <v>45931</v>
      </c>
      <c r="D103" s="12">
        <v>46022</v>
      </c>
      <c r="E103" t="s">
        <v>724</v>
      </c>
      <c r="F103" t="s">
        <v>14</v>
      </c>
      <c r="G103">
        <v>1085275400</v>
      </c>
      <c r="H103" t="s">
        <v>145</v>
      </c>
      <c r="I103">
        <v>43624414</v>
      </c>
      <c r="J103" t="s">
        <v>14</v>
      </c>
      <c r="K103" t="s">
        <v>18</v>
      </c>
      <c r="L103" s="42">
        <v>9450000</v>
      </c>
      <c r="M103" s="42">
        <v>9450000</v>
      </c>
      <c r="N103" s="10">
        <f t="shared" si="1"/>
        <v>0</v>
      </c>
      <c r="O103" t="s">
        <v>704</v>
      </c>
    </row>
    <row r="104" spans="1:15" x14ac:dyDescent="0.25">
      <c r="A104" t="s">
        <v>255</v>
      </c>
      <c r="B104" t="s">
        <v>13</v>
      </c>
      <c r="C104" s="12">
        <v>45931</v>
      </c>
      <c r="D104" s="12">
        <v>46022</v>
      </c>
      <c r="E104" t="s">
        <v>747</v>
      </c>
      <c r="F104" t="s">
        <v>14</v>
      </c>
      <c r="G104">
        <v>36861874</v>
      </c>
      <c r="H104" t="s">
        <v>50</v>
      </c>
      <c r="I104">
        <v>98390119</v>
      </c>
      <c r="J104" t="s">
        <v>14</v>
      </c>
      <c r="K104" t="s">
        <v>63</v>
      </c>
      <c r="L104" s="42">
        <v>9450000</v>
      </c>
      <c r="M104" s="42">
        <v>9450000</v>
      </c>
      <c r="N104" s="10">
        <f t="shared" si="1"/>
        <v>0</v>
      </c>
      <c r="O104" t="s">
        <v>704</v>
      </c>
    </row>
    <row r="105" spans="1:15" x14ac:dyDescent="0.25">
      <c r="A105" t="s">
        <v>266</v>
      </c>
      <c r="B105" t="s">
        <v>13</v>
      </c>
      <c r="C105" s="12">
        <v>45929</v>
      </c>
      <c r="D105" s="12">
        <v>46022</v>
      </c>
      <c r="E105" t="s">
        <v>720</v>
      </c>
      <c r="F105" t="s">
        <v>14</v>
      </c>
      <c r="G105">
        <v>1086361622</v>
      </c>
      <c r="H105" t="s">
        <v>267</v>
      </c>
      <c r="I105">
        <v>98390119</v>
      </c>
      <c r="J105" t="s">
        <v>14</v>
      </c>
      <c r="K105" t="s">
        <v>63</v>
      </c>
      <c r="L105" s="42">
        <v>9450000</v>
      </c>
      <c r="M105" s="42">
        <v>9450000</v>
      </c>
      <c r="N105" s="10">
        <f t="shared" si="1"/>
        <v>0</v>
      </c>
      <c r="O105" t="s">
        <v>704</v>
      </c>
    </row>
    <row r="106" spans="1:15" x14ac:dyDescent="0.25">
      <c r="A106" t="s">
        <v>640</v>
      </c>
      <c r="B106" t="s">
        <v>13</v>
      </c>
      <c r="C106" s="12">
        <v>45929</v>
      </c>
      <c r="D106" s="12">
        <v>46022</v>
      </c>
      <c r="E106" t="s">
        <v>818</v>
      </c>
      <c r="F106" t="s">
        <v>14</v>
      </c>
      <c r="G106">
        <v>1081572042</v>
      </c>
      <c r="H106" t="s">
        <v>641</v>
      </c>
      <c r="I106">
        <v>98390119</v>
      </c>
      <c r="J106" t="s">
        <v>14</v>
      </c>
      <c r="K106" t="s">
        <v>63</v>
      </c>
      <c r="L106" s="42">
        <v>9450000</v>
      </c>
      <c r="M106" s="42">
        <v>9450000</v>
      </c>
      <c r="N106" s="10">
        <f t="shared" si="1"/>
        <v>0</v>
      </c>
      <c r="O106" t="s">
        <v>704</v>
      </c>
    </row>
    <row r="107" spans="1:15" x14ac:dyDescent="0.25">
      <c r="A107" t="s">
        <v>547</v>
      </c>
      <c r="B107" t="s">
        <v>13</v>
      </c>
      <c r="C107" s="12">
        <v>45929</v>
      </c>
      <c r="D107" s="12">
        <v>46022</v>
      </c>
      <c r="E107" t="s">
        <v>800</v>
      </c>
      <c r="F107" t="s">
        <v>14</v>
      </c>
      <c r="G107">
        <v>1082748032</v>
      </c>
      <c r="H107" t="s">
        <v>548</v>
      </c>
      <c r="I107">
        <v>98333941</v>
      </c>
      <c r="J107" t="s">
        <v>14</v>
      </c>
      <c r="K107" t="s">
        <v>15</v>
      </c>
      <c r="L107" s="42">
        <v>9450000</v>
      </c>
      <c r="M107" s="42">
        <v>9450000</v>
      </c>
      <c r="N107" s="10">
        <f t="shared" si="1"/>
        <v>0</v>
      </c>
      <c r="O107" t="s">
        <v>704</v>
      </c>
    </row>
    <row r="108" spans="1:15" x14ac:dyDescent="0.25">
      <c r="A108" t="s">
        <v>384</v>
      </c>
      <c r="B108" t="s">
        <v>13</v>
      </c>
      <c r="C108" s="12">
        <v>45929</v>
      </c>
      <c r="D108" s="12">
        <v>46022</v>
      </c>
      <c r="E108" t="s">
        <v>724</v>
      </c>
      <c r="F108" t="s">
        <v>14</v>
      </c>
      <c r="G108">
        <v>1085346528</v>
      </c>
      <c r="H108" t="s">
        <v>385</v>
      </c>
      <c r="I108">
        <v>43624414</v>
      </c>
      <c r="J108" t="s">
        <v>14</v>
      </c>
      <c r="K108" t="s">
        <v>18</v>
      </c>
      <c r="L108" s="42">
        <v>9450000</v>
      </c>
      <c r="M108" s="42">
        <v>9450000</v>
      </c>
      <c r="N108" s="10">
        <f t="shared" si="1"/>
        <v>0</v>
      </c>
      <c r="O108" t="s">
        <v>704</v>
      </c>
    </row>
    <row r="109" spans="1:15" x14ac:dyDescent="0.25">
      <c r="A109" t="s">
        <v>690</v>
      </c>
      <c r="B109" t="s">
        <v>13</v>
      </c>
      <c r="C109" s="12">
        <v>45981</v>
      </c>
      <c r="D109" s="12">
        <v>46022</v>
      </c>
      <c r="E109" t="s">
        <v>323</v>
      </c>
      <c r="F109" t="s">
        <v>14</v>
      </c>
      <c r="G109">
        <v>1085246134</v>
      </c>
      <c r="H109" t="s">
        <v>691</v>
      </c>
      <c r="I109">
        <v>98390119</v>
      </c>
      <c r="J109" t="s">
        <v>14</v>
      </c>
      <c r="K109" t="s">
        <v>63</v>
      </c>
      <c r="L109" s="42">
        <v>9450000</v>
      </c>
      <c r="M109" s="42">
        <v>9450000</v>
      </c>
      <c r="N109" s="10">
        <f t="shared" si="1"/>
        <v>0</v>
      </c>
      <c r="O109" t="s">
        <v>704</v>
      </c>
    </row>
    <row r="110" spans="1:15" x14ac:dyDescent="0.25">
      <c r="A110" t="s">
        <v>628</v>
      </c>
      <c r="B110" t="s">
        <v>13</v>
      </c>
      <c r="C110" s="12">
        <v>45975</v>
      </c>
      <c r="D110" s="12">
        <v>46022</v>
      </c>
      <c r="E110" t="s">
        <v>813</v>
      </c>
      <c r="F110" t="s">
        <v>14</v>
      </c>
      <c r="G110">
        <v>1193474724</v>
      </c>
      <c r="H110" t="s">
        <v>629</v>
      </c>
      <c r="I110">
        <v>98390119</v>
      </c>
      <c r="J110" t="s">
        <v>14</v>
      </c>
      <c r="K110" t="s">
        <v>63</v>
      </c>
      <c r="L110" s="42">
        <v>9450000</v>
      </c>
      <c r="M110" s="42">
        <v>9450000</v>
      </c>
      <c r="N110" s="10">
        <f t="shared" si="1"/>
        <v>0</v>
      </c>
      <c r="O110" t="s">
        <v>704</v>
      </c>
    </row>
    <row r="111" spans="1:15" x14ac:dyDescent="0.25">
      <c r="A111" t="s">
        <v>200</v>
      </c>
      <c r="B111" t="s">
        <v>13</v>
      </c>
      <c r="C111" s="12">
        <v>45944</v>
      </c>
      <c r="D111" s="12">
        <v>46022</v>
      </c>
      <c r="E111" t="s">
        <v>737</v>
      </c>
      <c r="F111" t="s">
        <v>14</v>
      </c>
      <c r="G111">
        <v>1233191675</v>
      </c>
      <c r="H111" t="s">
        <v>28</v>
      </c>
      <c r="I111">
        <v>98390119</v>
      </c>
      <c r="J111" t="s">
        <v>14</v>
      </c>
      <c r="K111" t="s">
        <v>63</v>
      </c>
      <c r="L111" s="42">
        <v>9450000</v>
      </c>
      <c r="M111" s="42">
        <v>9450000</v>
      </c>
      <c r="N111" s="10">
        <f t="shared" si="1"/>
        <v>0</v>
      </c>
      <c r="O111" t="s">
        <v>704</v>
      </c>
    </row>
    <row r="112" spans="1:15" x14ac:dyDescent="0.25">
      <c r="A112" t="s">
        <v>505</v>
      </c>
      <c r="B112" t="s">
        <v>13</v>
      </c>
      <c r="C112" s="12">
        <v>45966</v>
      </c>
      <c r="D112" s="12">
        <v>46022</v>
      </c>
      <c r="E112" t="s">
        <v>744</v>
      </c>
      <c r="F112" t="s">
        <v>14</v>
      </c>
      <c r="G112">
        <v>13070247</v>
      </c>
      <c r="H112" t="s">
        <v>506</v>
      </c>
      <c r="I112">
        <v>98390119</v>
      </c>
      <c r="J112" t="s">
        <v>14</v>
      </c>
      <c r="K112" t="s">
        <v>63</v>
      </c>
      <c r="L112" s="42">
        <v>9460000</v>
      </c>
      <c r="M112" s="42">
        <v>9460000</v>
      </c>
      <c r="N112" s="10">
        <f t="shared" si="1"/>
        <v>0</v>
      </c>
      <c r="O112" t="s">
        <v>704</v>
      </c>
    </row>
    <row r="113" spans="1:15" x14ac:dyDescent="0.25">
      <c r="A113" t="s">
        <v>132</v>
      </c>
      <c r="B113" t="s">
        <v>13</v>
      </c>
      <c r="C113" s="12">
        <v>45925</v>
      </c>
      <c r="D113" s="12">
        <v>46022</v>
      </c>
      <c r="E113" t="s">
        <v>716</v>
      </c>
      <c r="F113" t="s">
        <v>14</v>
      </c>
      <c r="G113">
        <v>1005977438</v>
      </c>
      <c r="H113" t="s">
        <v>133</v>
      </c>
      <c r="I113">
        <v>98390119</v>
      </c>
      <c r="J113" t="s">
        <v>14</v>
      </c>
      <c r="K113" t="s">
        <v>63</v>
      </c>
      <c r="L113" s="42">
        <v>11025000</v>
      </c>
      <c r="M113" s="42">
        <v>11025000</v>
      </c>
      <c r="N113" s="10">
        <f t="shared" si="1"/>
        <v>0</v>
      </c>
      <c r="O113" t="s">
        <v>704</v>
      </c>
    </row>
    <row r="114" spans="1:15" x14ac:dyDescent="0.25">
      <c r="A114" t="s">
        <v>353</v>
      </c>
      <c r="B114" t="s">
        <v>13</v>
      </c>
      <c r="C114" s="12">
        <v>45925</v>
      </c>
      <c r="D114" s="12">
        <v>46022</v>
      </c>
      <c r="E114" t="s">
        <v>720</v>
      </c>
      <c r="F114" t="s">
        <v>14</v>
      </c>
      <c r="G114">
        <v>37083086</v>
      </c>
      <c r="H114" t="s">
        <v>354</v>
      </c>
      <c r="I114">
        <v>98333941</v>
      </c>
      <c r="J114" t="s">
        <v>14</v>
      </c>
      <c r="K114" t="s">
        <v>15</v>
      </c>
      <c r="L114" s="42">
        <v>11025000</v>
      </c>
      <c r="M114" s="42">
        <v>11025000</v>
      </c>
      <c r="N114" s="10">
        <f t="shared" si="1"/>
        <v>0</v>
      </c>
      <c r="O114" t="s">
        <v>704</v>
      </c>
    </row>
    <row r="115" spans="1:15" x14ac:dyDescent="0.25">
      <c r="A115" t="s">
        <v>347</v>
      </c>
      <c r="B115" t="s">
        <v>13</v>
      </c>
      <c r="C115" s="12">
        <v>45924</v>
      </c>
      <c r="D115" s="12">
        <v>46022</v>
      </c>
      <c r="E115" t="s">
        <v>763</v>
      </c>
      <c r="F115" t="s">
        <v>14</v>
      </c>
      <c r="G115">
        <v>1086330124</v>
      </c>
      <c r="H115" t="s">
        <v>348</v>
      </c>
      <c r="I115">
        <v>98333941</v>
      </c>
      <c r="J115" t="s">
        <v>14</v>
      </c>
      <c r="K115" t="s">
        <v>15</v>
      </c>
      <c r="L115" s="42">
        <v>11025000</v>
      </c>
      <c r="M115" s="42">
        <v>11025000</v>
      </c>
      <c r="N115" s="10">
        <f t="shared" si="1"/>
        <v>0</v>
      </c>
      <c r="O115" t="s">
        <v>704</v>
      </c>
    </row>
    <row r="116" spans="1:15" x14ac:dyDescent="0.25">
      <c r="A116" t="s">
        <v>380</v>
      </c>
      <c r="B116" t="s">
        <v>13</v>
      </c>
      <c r="C116" s="12">
        <v>45924</v>
      </c>
      <c r="D116" s="12">
        <v>46022</v>
      </c>
      <c r="E116" t="s">
        <v>720</v>
      </c>
      <c r="F116" t="s">
        <v>14</v>
      </c>
      <c r="G116">
        <v>1004437571</v>
      </c>
      <c r="H116" t="s">
        <v>381</v>
      </c>
      <c r="I116">
        <v>98390119</v>
      </c>
      <c r="J116" t="s">
        <v>14</v>
      </c>
      <c r="K116" t="s">
        <v>63</v>
      </c>
      <c r="L116" s="42">
        <v>11025000</v>
      </c>
      <c r="M116" s="42">
        <v>11025000</v>
      </c>
      <c r="N116" s="10">
        <f t="shared" si="1"/>
        <v>0</v>
      </c>
      <c r="O116" t="s">
        <v>704</v>
      </c>
    </row>
    <row r="117" spans="1:15" x14ac:dyDescent="0.25">
      <c r="A117" t="s">
        <v>632</v>
      </c>
      <c r="B117" t="s">
        <v>13</v>
      </c>
      <c r="C117" s="12">
        <v>45923</v>
      </c>
      <c r="D117" s="12">
        <v>46022</v>
      </c>
      <c r="E117" t="s">
        <v>814</v>
      </c>
      <c r="F117" t="s">
        <v>14</v>
      </c>
      <c r="G117">
        <v>1004134014</v>
      </c>
      <c r="H117" t="s">
        <v>633</v>
      </c>
      <c r="I117">
        <v>43624414</v>
      </c>
      <c r="J117" t="s">
        <v>14</v>
      </c>
      <c r="K117" t="s">
        <v>18</v>
      </c>
      <c r="L117" s="42">
        <v>11025000</v>
      </c>
      <c r="M117" s="42">
        <v>11025000</v>
      </c>
      <c r="N117" s="10">
        <f t="shared" si="1"/>
        <v>0</v>
      </c>
      <c r="O117" t="s">
        <v>704</v>
      </c>
    </row>
    <row r="118" spans="1:15" x14ac:dyDescent="0.25">
      <c r="A118" t="s">
        <v>559</v>
      </c>
      <c r="B118" t="s">
        <v>13</v>
      </c>
      <c r="C118" s="12">
        <v>45923</v>
      </c>
      <c r="D118" s="12">
        <v>46022</v>
      </c>
      <c r="E118" t="s">
        <v>716</v>
      </c>
      <c r="F118" t="s">
        <v>14</v>
      </c>
      <c r="G118">
        <v>1004726621</v>
      </c>
      <c r="H118" t="s">
        <v>560</v>
      </c>
      <c r="I118">
        <v>98390119</v>
      </c>
      <c r="J118" t="s">
        <v>14</v>
      </c>
      <c r="K118" t="s">
        <v>63</v>
      </c>
      <c r="L118" s="42">
        <v>11025000</v>
      </c>
      <c r="M118" s="42">
        <v>11025000</v>
      </c>
      <c r="N118" s="10">
        <f t="shared" si="1"/>
        <v>0</v>
      </c>
      <c r="O118" t="s">
        <v>704</v>
      </c>
    </row>
    <row r="119" spans="1:15" x14ac:dyDescent="0.25">
      <c r="A119" t="s">
        <v>460</v>
      </c>
      <c r="B119" t="s">
        <v>13</v>
      </c>
      <c r="C119" s="12">
        <v>45923</v>
      </c>
      <c r="D119" s="12">
        <v>46022</v>
      </c>
      <c r="E119" t="s">
        <v>736</v>
      </c>
      <c r="F119" t="s">
        <v>14</v>
      </c>
      <c r="G119">
        <v>37082272</v>
      </c>
      <c r="H119" t="s">
        <v>461</v>
      </c>
      <c r="I119">
        <v>98390119</v>
      </c>
      <c r="J119" t="s">
        <v>14</v>
      </c>
      <c r="K119" t="s">
        <v>63</v>
      </c>
      <c r="L119" s="42">
        <v>11025000</v>
      </c>
      <c r="M119" s="42">
        <v>11025000</v>
      </c>
      <c r="N119" s="10">
        <f t="shared" si="1"/>
        <v>0</v>
      </c>
      <c r="O119" t="s">
        <v>704</v>
      </c>
    </row>
    <row r="120" spans="1:15" x14ac:dyDescent="0.25">
      <c r="A120" t="s">
        <v>597</v>
      </c>
      <c r="B120" t="s">
        <v>13</v>
      </c>
      <c r="C120" s="12">
        <v>45922</v>
      </c>
      <c r="D120" s="12">
        <v>46022</v>
      </c>
      <c r="E120" t="s">
        <v>720</v>
      </c>
      <c r="F120" t="s">
        <v>14</v>
      </c>
      <c r="G120">
        <v>1085323163</v>
      </c>
      <c r="H120" t="s">
        <v>598</v>
      </c>
      <c r="I120">
        <v>98390119</v>
      </c>
      <c r="J120" t="s">
        <v>14</v>
      </c>
      <c r="K120" t="s">
        <v>63</v>
      </c>
      <c r="L120" s="42">
        <v>11025000</v>
      </c>
      <c r="M120" s="42">
        <v>11025000</v>
      </c>
      <c r="N120" s="10">
        <f t="shared" si="1"/>
        <v>0</v>
      </c>
      <c r="O120" t="s">
        <v>704</v>
      </c>
    </row>
    <row r="121" spans="1:15" x14ac:dyDescent="0.25">
      <c r="A121" t="s">
        <v>235</v>
      </c>
      <c r="B121" t="s">
        <v>13</v>
      </c>
      <c r="C121" s="12">
        <v>45922</v>
      </c>
      <c r="D121" s="12">
        <v>46022</v>
      </c>
      <c r="E121" t="s">
        <v>716</v>
      </c>
      <c r="F121" t="s">
        <v>14</v>
      </c>
      <c r="G121">
        <v>1081592303</v>
      </c>
      <c r="H121" t="s">
        <v>32</v>
      </c>
      <c r="I121">
        <v>43624414</v>
      </c>
      <c r="J121" t="s">
        <v>14</v>
      </c>
      <c r="K121" t="s">
        <v>18</v>
      </c>
      <c r="L121" s="42">
        <v>11025000</v>
      </c>
      <c r="M121" s="42">
        <v>11025000</v>
      </c>
      <c r="N121" s="10">
        <f t="shared" si="1"/>
        <v>0</v>
      </c>
      <c r="O121" t="s">
        <v>704</v>
      </c>
    </row>
    <row r="122" spans="1:15" x14ac:dyDescent="0.25">
      <c r="A122" t="s">
        <v>621</v>
      </c>
      <c r="B122" t="s">
        <v>13</v>
      </c>
      <c r="C122" s="12">
        <v>45919</v>
      </c>
      <c r="D122" s="12">
        <v>46022</v>
      </c>
      <c r="E122" t="s">
        <v>711</v>
      </c>
      <c r="F122" t="s">
        <v>14</v>
      </c>
      <c r="G122">
        <v>1081594639</v>
      </c>
      <c r="H122" t="s">
        <v>39</v>
      </c>
      <c r="I122">
        <v>43624414</v>
      </c>
      <c r="J122" t="s">
        <v>14</v>
      </c>
      <c r="K122" t="s">
        <v>18</v>
      </c>
      <c r="L122" s="42">
        <v>11025000</v>
      </c>
      <c r="M122" s="42">
        <v>11025000</v>
      </c>
      <c r="N122" s="10">
        <f t="shared" si="1"/>
        <v>0</v>
      </c>
      <c r="O122" t="s">
        <v>704</v>
      </c>
    </row>
    <row r="123" spans="1:15" x14ac:dyDescent="0.25">
      <c r="A123" t="s">
        <v>1001</v>
      </c>
      <c r="B123" t="s">
        <v>13</v>
      </c>
      <c r="C123" s="12">
        <v>46024</v>
      </c>
      <c r="D123" s="12">
        <v>46112</v>
      </c>
      <c r="E123" t="s">
        <v>775</v>
      </c>
      <c r="F123" t="s">
        <v>14</v>
      </c>
      <c r="G123">
        <v>36752202</v>
      </c>
      <c r="H123" t="s">
        <v>168</v>
      </c>
      <c r="I123">
        <v>59836926</v>
      </c>
      <c r="J123" t="s">
        <v>14</v>
      </c>
      <c r="K123" t="s">
        <v>17</v>
      </c>
      <c r="L123" s="42">
        <v>3150000</v>
      </c>
      <c r="M123" s="10">
        <v>9450000</v>
      </c>
      <c r="N123" s="10">
        <f t="shared" si="1"/>
        <v>6300000</v>
      </c>
      <c r="O123" t="s">
        <v>704</v>
      </c>
    </row>
    <row r="124" spans="1:15" x14ac:dyDescent="0.25">
      <c r="A124" t="s">
        <v>642</v>
      </c>
      <c r="B124" t="s">
        <v>13</v>
      </c>
      <c r="C124" s="12">
        <v>45919</v>
      </c>
      <c r="D124" s="12">
        <v>46022</v>
      </c>
      <c r="E124" t="s">
        <v>716</v>
      </c>
      <c r="F124" t="s">
        <v>14</v>
      </c>
      <c r="G124">
        <v>1085315209</v>
      </c>
      <c r="H124" t="s">
        <v>643</v>
      </c>
      <c r="I124">
        <v>43624414</v>
      </c>
      <c r="J124" t="s">
        <v>14</v>
      </c>
      <c r="K124" t="s">
        <v>18</v>
      </c>
      <c r="L124" s="42">
        <v>11025000</v>
      </c>
      <c r="M124" s="42">
        <v>11025000</v>
      </c>
      <c r="N124" s="10">
        <f t="shared" si="1"/>
        <v>0</v>
      </c>
      <c r="O124" t="s">
        <v>704</v>
      </c>
    </row>
    <row r="125" spans="1:15" x14ac:dyDescent="0.25">
      <c r="A125" t="s">
        <v>678</v>
      </c>
      <c r="B125" t="s">
        <v>13</v>
      </c>
      <c r="C125" s="12">
        <v>45919</v>
      </c>
      <c r="D125" s="12">
        <v>46022</v>
      </c>
      <c r="E125" t="s">
        <v>716</v>
      </c>
      <c r="F125" t="s">
        <v>14</v>
      </c>
      <c r="G125">
        <v>1085295583</v>
      </c>
      <c r="H125" t="s">
        <v>679</v>
      </c>
      <c r="I125">
        <v>98390119</v>
      </c>
      <c r="J125" t="s">
        <v>14</v>
      </c>
      <c r="K125" t="s">
        <v>63</v>
      </c>
      <c r="L125" s="42">
        <v>11025000</v>
      </c>
      <c r="M125" s="42">
        <v>11025000</v>
      </c>
      <c r="N125" s="10">
        <f t="shared" si="1"/>
        <v>0</v>
      </c>
      <c r="O125" t="s">
        <v>704</v>
      </c>
    </row>
    <row r="126" spans="1:15" x14ac:dyDescent="0.25">
      <c r="A126" t="s">
        <v>243</v>
      </c>
      <c r="B126" t="s">
        <v>13</v>
      </c>
      <c r="C126" s="12">
        <v>45919</v>
      </c>
      <c r="D126" s="12">
        <v>46022</v>
      </c>
      <c r="E126" t="s">
        <v>716</v>
      </c>
      <c r="F126" t="s">
        <v>14</v>
      </c>
      <c r="G126">
        <v>27444591</v>
      </c>
      <c r="H126" t="s">
        <v>244</v>
      </c>
      <c r="I126">
        <v>98390119</v>
      </c>
      <c r="J126" t="s">
        <v>14</v>
      </c>
      <c r="K126" t="s">
        <v>63</v>
      </c>
      <c r="L126" s="42">
        <v>11025000</v>
      </c>
      <c r="M126" s="42">
        <v>11025000</v>
      </c>
      <c r="N126" s="10">
        <f t="shared" si="1"/>
        <v>0</v>
      </c>
      <c r="O126" t="s">
        <v>704</v>
      </c>
    </row>
    <row r="127" spans="1:15" x14ac:dyDescent="0.25">
      <c r="A127" t="s">
        <v>450</v>
      </c>
      <c r="B127" t="s">
        <v>13</v>
      </c>
      <c r="C127" s="12">
        <v>45918</v>
      </c>
      <c r="D127" s="12">
        <v>46022</v>
      </c>
      <c r="E127" t="s">
        <v>786</v>
      </c>
      <c r="F127" t="s">
        <v>14</v>
      </c>
      <c r="G127">
        <v>1086224204</v>
      </c>
      <c r="H127" t="s">
        <v>451</v>
      </c>
      <c r="I127">
        <v>98333941</v>
      </c>
      <c r="J127" t="s">
        <v>14</v>
      </c>
      <c r="K127" t="s">
        <v>15</v>
      </c>
      <c r="L127" s="42">
        <v>11025000</v>
      </c>
      <c r="M127" s="42">
        <v>11025000</v>
      </c>
      <c r="N127" s="10">
        <f t="shared" si="1"/>
        <v>0</v>
      </c>
      <c r="O127" t="s">
        <v>704</v>
      </c>
    </row>
    <row r="128" spans="1:15" x14ac:dyDescent="0.25">
      <c r="A128" t="s">
        <v>627</v>
      </c>
      <c r="B128" t="s">
        <v>13</v>
      </c>
      <c r="C128" s="12">
        <v>45918</v>
      </c>
      <c r="D128" s="12">
        <v>46022</v>
      </c>
      <c r="E128" t="s">
        <v>716</v>
      </c>
      <c r="F128" t="s">
        <v>14</v>
      </c>
      <c r="G128">
        <v>1084552048</v>
      </c>
      <c r="H128" t="s">
        <v>66</v>
      </c>
      <c r="I128">
        <v>98333941</v>
      </c>
      <c r="J128" t="s">
        <v>14</v>
      </c>
      <c r="K128" t="s">
        <v>15</v>
      </c>
      <c r="L128" s="42">
        <v>11025000</v>
      </c>
      <c r="M128" s="42">
        <v>11025000</v>
      </c>
      <c r="N128" s="10">
        <f t="shared" si="1"/>
        <v>0</v>
      </c>
      <c r="O128" t="s">
        <v>704</v>
      </c>
    </row>
    <row r="129" spans="1:15" x14ac:dyDescent="0.25">
      <c r="A129" t="s">
        <v>369</v>
      </c>
      <c r="B129" t="s">
        <v>13</v>
      </c>
      <c r="C129" s="12">
        <v>45917</v>
      </c>
      <c r="D129" s="12">
        <v>46022</v>
      </c>
      <c r="E129" t="s">
        <v>716</v>
      </c>
      <c r="F129" t="s">
        <v>14</v>
      </c>
      <c r="G129">
        <v>5930737</v>
      </c>
      <c r="H129" t="s">
        <v>370</v>
      </c>
      <c r="I129">
        <v>98390119</v>
      </c>
      <c r="J129" t="s">
        <v>14</v>
      </c>
      <c r="K129" t="s">
        <v>63</v>
      </c>
      <c r="L129" s="42">
        <v>11025000</v>
      </c>
      <c r="M129" s="42">
        <v>11025000</v>
      </c>
      <c r="N129" s="10">
        <f t="shared" si="1"/>
        <v>0</v>
      </c>
      <c r="O129" t="s">
        <v>704</v>
      </c>
    </row>
    <row r="130" spans="1:15" x14ac:dyDescent="0.25">
      <c r="A130" t="s">
        <v>270</v>
      </c>
      <c r="B130" t="s">
        <v>13</v>
      </c>
      <c r="C130" s="12">
        <v>45917</v>
      </c>
      <c r="D130" s="12">
        <v>46022</v>
      </c>
      <c r="E130" t="s">
        <v>711</v>
      </c>
      <c r="F130" t="s">
        <v>14</v>
      </c>
      <c r="G130">
        <v>1085317226</v>
      </c>
      <c r="H130" t="s">
        <v>271</v>
      </c>
      <c r="I130">
        <v>98333941</v>
      </c>
      <c r="J130" t="s">
        <v>14</v>
      </c>
      <c r="K130" t="s">
        <v>15</v>
      </c>
      <c r="L130" s="42">
        <v>11025000</v>
      </c>
      <c r="M130" s="42">
        <v>11025000</v>
      </c>
      <c r="N130" s="10">
        <f t="shared" si="1"/>
        <v>0</v>
      </c>
      <c r="O130" t="s">
        <v>704</v>
      </c>
    </row>
    <row r="131" spans="1:15" x14ac:dyDescent="0.25">
      <c r="A131" t="s">
        <v>537</v>
      </c>
      <c r="B131" t="s">
        <v>13</v>
      </c>
      <c r="C131" s="12">
        <v>45917</v>
      </c>
      <c r="D131" s="12">
        <v>46022</v>
      </c>
      <c r="E131" t="s">
        <v>711</v>
      </c>
      <c r="F131" t="s">
        <v>14</v>
      </c>
      <c r="G131">
        <v>1082749295</v>
      </c>
      <c r="H131" t="s">
        <v>538</v>
      </c>
      <c r="I131">
        <v>98333941</v>
      </c>
      <c r="J131" t="s">
        <v>14</v>
      </c>
      <c r="K131" t="s">
        <v>15</v>
      </c>
      <c r="L131" s="42">
        <v>11025000</v>
      </c>
      <c r="M131" s="42">
        <v>11025000</v>
      </c>
      <c r="N131" s="10">
        <f t="shared" ref="N131:N194" si="2">M131-L131</f>
        <v>0</v>
      </c>
      <c r="O131" t="s">
        <v>704</v>
      </c>
    </row>
    <row r="132" spans="1:15" x14ac:dyDescent="0.25">
      <c r="A132" t="s">
        <v>264</v>
      </c>
      <c r="B132" t="s">
        <v>13</v>
      </c>
      <c r="C132" s="12">
        <v>45917</v>
      </c>
      <c r="D132" s="12">
        <v>46022</v>
      </c>
      <c r="E132" t="s">
        <v>711</v>
      </c>
      <c r="F132" t="s">
        <v>14</v>
      </c>
      <c r="G132">
        <v>1086328063</v>
      </c>
      <c r="H132" t="s">
        <v>265</v>
      </c>
      <c r="I132">
        <v>98390119</v>
      </c>
      <c r="J132" t="s">
        <v>14</v>
      </c>
      <c r="K132" t="s">
        <v>63</v>
      </c>
      <c r="L132" s="42">
        <v>11025000</v>
      </c>
      <c r="M132" s="42">
        <v>11025000</v>
      </c>
      <c r="N132" s="10">
        <f t="shared" si="2"/>
        <v>0</v>
      </c>
      <c r="O132" t="s">
        <v>704</v>
      </c>
    </row>
    <row r="133" spans="1:15" x14ac:dyDescent="0.25">
      <c r="A133" t="s">
        <v>591</v>
      </c>
      <c r="B133" t="s">
        <v>13</v>
      </c>
      <c r="C133" s="12">
        <v>45946</v>
      </c>
      <c r="D133" s="12">
        <v>46022</v>
      </c>
      <c r="E133" t="s">
        <v>784</v>
      </c>
      <c r="F133" t="s">
        <v>14</v>
      </c>
      <c r="G133">
        <v>1085335069</v>
      </c>
      <c r="H133" t="s">
        <v>592</v>
      </c>
      <c r="I133">
        <v>98390119</v>
      </c>
      <c r="J133" t="s">
        <v>14</v>
      </c>
      <c r="K133" t="s">
        <v>63</v>
      </c>
      <c r="L133" s="42">
        <v>11825000</v>
      </c>
      <c r="M133" s="42">
        <v>11825000</v>
      </c>
      <c r="N133" s="10">
        <f t="shared" si="2"/>
        <v>0</v>
      </c>
      <c r="O133" t="s">
        <v>704</v>
      </c>
    </row>
    <row r="134" spans="1:15" x14ac:dyDescent="0.25">
      <c r="A134" t="s">
        <v>109</v>
      </c>
      <c r="B134" t="s">
        <v>13</v>
      </c>
      <c r="C134" s="12">
        <v>45917</v>
      </c>
      <c r="D134" s="12">
        <v>46022</v>
      </c>
      <c r="E134" t="s">
        <v>711</v>
      </c>
      <c r="F134" t="s">
        <v>14</v>
      </c>
      <c r="G134">
        <v>1004547484</v>
      </c>
      <c r="H134" t="s">
        <v>110</v>
      </c>
      <c r="I134">
        <v>98333941</v>
      </c>
      <c r="J134" t="s">
        <v>14</v>
      </c>
      <c r="K134" t="s">
        <v>15</v>
      </c>
      <c r="L134" s="42">
        <v>12600000</v>
      </c>
      <c r="M134" s="42">
        <v>12600000</v>
      </c>
      <c r="N134" s="10">
        <f t="shared" si="2"/>
        <v>0</v>
      </c>
      <c r="O134" t="s">
        <v>704</v>
      </c>
    </row>
    <row r="135" spans="1:15" x14ac:dyDescent="0.25">
      <c r="A135" t="s">
        <v>277</v>
      </c>
      <c r="B135" t="s">
        <v>13</v>
      </c>
      <c r="C135" s="12">
        <v>45915</v>
      </c>
      <c r="D135" s="12">
        <v>46022</v>
      </c>
      <c r="E135" t="s">
        <v>711</v>
      </c>
      <c r="F135" t="s">
        <v>14</v>
      </c>
      <c r="G135">
        <v>1085265947</v>
      </c>
      <c r="H135" t="s">
        <v>278</v>
      </c>
      <c r="I135">
        <v>43624414</v>
      </c>
      <c r="J135" t="s">
        <v>14</v>
      </c>
      <c r="K135" t="s">
        <v>18</v>
      </c>
      <c r="L135" s="42">
        <v>12600000</v>
      </c>
      <c r="M135" s="42">
        <v>12600000</v>
      </c>
      <c r="N135" s="10">
        <f t="shared" si="2"/>
        <v>0</v>
      </c>
      <c r="O135" t="s">
        <v>704</v>
      </c>
    </row>
    <row r="136" spans="1:15" x14ac:dyDescent="0.25">
      <c r="A136" t="s">
        <v>605</v>
      </c>
      <c r="B136" t="s">
        <v>13</v>
      </c>
      <c r="C136" s="12">
        <v>45915</v>
      </c>
      <c r="D136" s="12">
        <v>46022</v>
      </c>
      <c r="E136" t="s">
        <v>711</v>
      </c>
      <c r="F136" t="s">
        <v>14</v>
      </c>
      <c r="G136">
        <v>59311295</v>
      </c>
      <c r="H136" t="s">
        <v>606</v>
      </c>
      <c r="I136">
        <v>43624414</v>
      </c>
      <c r="J136" t="s">
        <v>14</v>
      </c>
      <c r="K136" t="s">
        <v>18</v>
      </c>
      <c r="L136" s="42">
        <v>12600000</v>
      </c>
      <c r="M136" s="42">
        <v>12600000</v>
      </c>
      <c r="N136" s="10">
        <f t="shared" si="2"/>
        <v>0</v>
      </c>
      <c r="O136" t="s">
        <v>704</v>
      </c>
    </row>
    <row r="137" spans="1:15" x14ac:dyDescent="0.25">
      <c r="A137" t="s">
        <v>497</v>
      </c>
      <c r="B137" t="s">
        <v>13</v>
      </c>
      <c r="C137" s="12">
        <v>45912</v>
      </c>
      <c r="D137" s="12">
        <v>46022</v>
      </c>
      <c r="E137" t="s">
        <v>711</v>
      </c>
      <c r="F137" t="s">
        <v>14</v>
      </c>
      <c r="G137">
        <v>1085247449</v>
      </c>
      <c r="H137" t="s">
        <v>498</v>
      </c>
      <c r="I137">
        <v>98333941</v>
      </c>
      <c r="J137" t="s">
        <v>14</v>
      </c>
      <c r="K137" t="s">
        <v>15</v>
      </c>
      <c r="L137" s="42">
        <v>12600000</v>
      </c>
      <c r="M137" s="42">
        <v>12600000</v>
      </c>
      <c r="N137" s="10">
        <f t="shared" si="2"/>
        <v>0</v>
      </c>
      <c r="O137" t="s">
        <v>704</v>
      </c>
    </row>
    <row r="138" spans="1:15" x14ac:dyDescent="0.25">
      <c r="A138" t="s">
        <v>462</v>
      </c>
      <c r="B138" t="s">
        <v>13</v>
      </c>
      <c r="C138" s="12">
        <v>45912</v>
      </c>
      <c r="D138" s="12">
        <v>46022</v>
      </c>
      <c r="E138" t="s">
        <v>711</v>
      </c>
      <c r="F138" t="s">
        <v>14</v>
      </c>
      <c r="G138">
        <v>59122805</v>
      </c>
      <c r="H138" t="s">
        <v>463</v>
      </c>
      <c r="I138">
        <v>98333941</v>
      </c>
      <c r="J138" t="s">
        <v>14</v>
      </c>
      <c r="K138" t="s">
        <v>15</v>
      </c>
      <c r="L138" s="42">
        <v>12600000</v>
      </c>
      <c r="M138" s="42">
        <v>12600000</v>
      </c>
      <c r="N138" s="10">
        <f t="shared" si="2"/>
        <v>0</v>
      </c>
      <c r="O138" t="s">
        <v>704</v>
      </c>
    </row>
    <row r="139" spans="1:15" x14ac:dyDescent="0.25">
      <c r="A139" t="s">
        <v>543</v>
      </c>
      <c r="B139" t="s">
        <v>13</v>
      </c>
      <c r="C139" s="12">
        <v>45912</v>
      </c>
      <c r="D139" s="12">
        <v>46022</v>
      </c>
      <c r="E139" t="s">
        <v>711</v>
      </c>
      <c r="F139" t="s">
        <v>14</v>
      </c>
      <c r="G139">
        <v>1085252263</v>
      </c>
      <c r="H139" t="s">
        <v>544</v>
      </c>
      <c r="I139">
        <v>43624414</v>
      </c>
      <c r="J139" t="s">
        <v>14</v>
      </c>
      <c r="K139" t="s">
        <v>18</v>
      </c>
      <c r="L139" s="42">
        <v>12600000</v>
      </c>
      <c r="M139" s="42">
        <v>12600000</v>
      </c>
      <c r="N139" s="10">
        <f t="shared" si="2"/>
        <v>0</v>
      </c>
      <c r="O139" t="s">
        <v>704</v>
      </c>
    </row>
    <row r="140" spans="1:15" x14ac:dyDescent="0.25">
      <c r="A140" t="s">
        <v>417</v>
      </c>
      <c r="B140" t="s">
        <v>13</v>
      </c>
      <c r="C140" s="12">
        <v>45911</v>
      </c>
      <c r="D140" s="12">
        <v>46022</v>
      </c>
      <c r="E140" t="s">
        <v>711</v>
      </c>
      <c r="F140" t="s">
        <v>14</v>
      </c>
      <c r="G140">
        <v>1085267332</v>
      </c>
      <c r="H140" t="s">
        <v>418</v>
      </c>
      <c r="I140">
        <v>98333941</v>
      </c>
      <c r="J140" t="s">
        <v>14</v>
      </c>
      <c r="K140" t="s">
        <v>15</v>
      </c>
      <c r="L140" s="42">
        <v>12600000</v>
      </c>
      <c r="M140" s="42">
        <v>12600000</v>
      </c>
      <c r="N140" s="10">
        <f t="shared" si="2"/>
        <v>0</v>
      </c>
      <c r="O140" t="s">
        <v>704</v>
      </c>
    </row>
    <row r="141" spans="1:15" x14ac:dyDescent="0.25">
      <c r="A141" t="s">
        <v>268</v>
      </c>
      <c r="B141" t="s">
        <v>13</v>
      </c>
      <c r="C141" s="12">
        <v>45911</v>
      </c>
      <c r="D141" s="12">
        <v>46022</v>
      </c>
      <c r="E141" t="s">
        <v>711</v>
      </c>
      <c r="F141" t="s">
        <v>14</v>
      </c>
      <c r="G141">
        <v>1089458776</v>
      </c>
      <c r="H141" t="s">
        <v>269</v>
      </c>
      <c r="I141">
        <v>98333941</v>
      </c>
      <c r="J141" t="s">
        <v>14</v>
      </c>
      <c r="K141" t="s">
        <v>15</v>
      </c>
      <c r="L141" s="42">
        <v>12600000</v>
      </c>
      <c r="M141" s="42">
        <v>12600000</v>
      </c>
      <c r="N141" s="10">
        <f t="shared" si="2"/>
        <v>0</v>
      </c>
      <c r="O141" t="s">
        <v>704</v>
      </c>
    </row>
    <row r="142" spans="1:15" x14ac:dyDescent="0.25">
      <c r="A142" t="s">
        <v>375</v>
      </c>
      <c r="B142" t="s">
        <v>13</v>
      </c>
      <c r="C142" s="12">
        <v>45911</v>
      </c>
      <c r="D142" s="12">
        <v>46022</v>
      </c>
      <c r="E142" t="s">
        <v>711</v>
      </c>
      <c r="F142" t="s">
        <v>14</v>
      </c>
      <c r="G142">
        <v>1081052746</v>
      </c>
      <c r="H142" t="s">
        <v>376</v>
      </c>
      <c r="I142">
        <v>98333941</v>
      </c>
      <c r="J142" t="s">
        <v>14</v>
      </c>
      <c r="K142" t="s">
        <v>15</v>
      </c>
      <c r="L142" s="42">
        <v>12600000</v>
      </c>
      <c r="M142" s="42">
        <v>12600000</v>
      </c>
      <c r="N142" s="10">
        <f t="shared" si="2"/>
        <v>0</v>
      </c>
      <c r="O142" t="s">
        <v>704</v>
      </c>
    </row>
    <row r="143" spans="1:15" x14ac:dyDescent="0.25">
      <c r="A143" t="s">
        <v>175</v>
      </c>
      <c r="B143" t="s">
        <v>13</v>
      </c>
      <c r="C143" s="12">
        <v>45911</v>
      </c>
      <c r="D143" s="12">
        <v>46022</v>
      </c>
      <c r="E143" t="s">
        <v>711</v>
      </c>
      <c r="F143" t="s">
        <v>14</v>
      </c>
      <c r="G143">
        <v>1082747438</v>
      </c>
      <c r="H143" t="s">
        <v>61</v>
      </c>
      <c r="I143">
        <v>98333941</v>
      </c>
      <c r="J143" t="s">
        <v>14</v>
      </c>
      <c r="K143" t="s">
        <v>15</v>
      </c>
      <c r="L143" s="42">
        <v>12600000</v>
      </c>
      <c r="M143" s="42">
        <v>12600000</v>
      </c>
      <c r="N143" s="10">
        <f t="shared" si="2"/>
        <v>0</v>
      </c>
      <c r="O143" t="s">
        <v>704</v>
      </c>
    </row>
    <row r="144" spans="1:15" x14ac:dyDescent="0.25">
      <c r="A144" t="s">
        <v>98</v>
      </c>
      <c r="B144" t="s">
        <v>13</v>
      </c>
      <c r="C144" s="12">
        <v>45910</v>
      </c>
      <c r="D144" s="12">
        <v>46022</v>
      </c>
      <c r="E144" t="s">
        <v>711</v>
      </c>
      <c r="F144" t="s">
        <v>14</v>
      </c>
      <c r="G144">
        <v>1004543161</v>
      </c>
      <c r="H144" t="s">
        <v>99</v>
      </c>
      <c r="I144">
        <v>98333941</v>
      </c>
      <c r="J144" t="s">
        <v>14</v>
      </c>
      <c r="K144" t="s">
        <v>15</v>
      </c>
      <c r="L144" s="42">
        <v>12600000</v>
      </c>
      <c r="M144" s="42">
        <v>12600000</v>
      </c>
      <c r="N144" s="10">
        <f t="shared" si="2"/>
        <v>0</v>
      </c>
      <c r="O144" t="s">
        <v>704</v>
      </c>
    </row>
    <row r="145" spans="1:15" x14ac:dyDescent="0.25">
      <c r="A145" t="s">
        <v>123</v>
      </c>
      <c r="B145" t="s">
        <v>13</v>
      </c>
      <c r="C145" s="12">
        <v>45910</v>
      </c>
      <c r="D145" s="12">
        <v>46022</v>
      </c>
      <c r="E145" t="s">
        <v>711</v>
      </c>
      <c r="F145" t="s">
        <v>14</v>
      </c>
      <c r="G145">
        <v>1081572043</v>
      </c>
      <c r="H145" t="s">
        <v>54</v>
      </c>
      <c r="I145">
        <v>59836926</v>
      </c>
      <c r="J145" t="s">
        <v>14</v>
      </c>
      <c r="K145" t="s">
        <v>17</v>
      </c>
      <c r="L145" s="42">
        <v>12600000</v>
      </c>
      <c r="M145" s="42">
        <v>12600000</v>
      </c>
      <c r="N145" s="10">
        <f t="shared" si="2"/>
        <v>0</v>
      </c>
      <c r="O145" t="s">
        <v>704</v>
      </c>
    </row>
    <row r="146" spans="1:15" x14ac:dyDescent="0.25">
      <c r="A146" t="s">
        <v>284</v>
      </c>
      <c r="B146" t="s">
        <v>13</v>
      </c>
      <c r="C146" s="12">
        <v>45910</v>
      </c>
      <c r="D146" s="12">
        <v>46022</v>
      </c>
      <c r="E146" t="s">
        <v>711</v>
      </c>
      <c r="F146" t="s">
        <v>14</v>
      </c>
      <c r="G146">
        <v>1080690337</v>
      </c>
      <c r="H146" t="s">
        <v>285</v>
      </c>
      <c r="I146">
        <v>59836926</v>
      </c>
      <c r="J146" t="s">
        <v>14</v>
      </c>
      <c r="K146" t="s">
        <v>17</v>
      </c>
      <c r="L146" s="42">
        <v>12600000</v>
      </c>
      <c r="M146" s="42">
        <v>12600000</v>
      </c>
      <c r="N146" s="10">
        <f t="shared" si="2"/>
        <v>0</v>
      </c>
      <c r="O146" t="s">
        <v>704</v>
      </c>
    </row>
    <row r="147" spans="1:15" x14ac:dyDescent="0.25">
      <c r="A147" t="s">
        <v>194</v>
      </c>
      <c r="B147" t="s">
        <v>13</v>
      </c>
      <c r="C147" s="12">
        <v>45910</v>
      </c>
      <c r="D147" s="12">
        <v>46022</v>
      </c>
      <c r="E147" t="s">
        <v>711</v>
      </c>
      <c r="F147" t="s">
        <v>14</v>
      </c>
      <c r="G147">
        <v>1233193191</v>
      </c>
      <c r="H147" t="s">
        <v>195</v>
      </c>
      <c r="I147">
        <v>98333941</v>
      </c>
      <c r="J147" t="s">
        <v>14</v>
      </c>
      <c r="K147" t="s">
        <v>15</v>
      </c>
      <c r="L147" s="42">
        <v>12600000</v>
      </c>
      <c r="M147" s="42">
        <v>12600000</v>
      </c>
      <c r="N147" s="10">
        <f t="shared" si="2"/>
        <v>0</v>
      </c>
      <c r="O147" t="s">
        <v>704</v>
      </c>
    </row>
    <row r="148" spans="1:15" x14ac:dyDescent="0.25">
      <c r="A148" t="s">
        <v>230</v>
      </c>
      <c r="B148" t="s">
        <v>13</v>
      </c>
      <c r="C148" s="12">
        <v>45910</v>
      </c>
      <c r="D148" s="12">
        <v>46022</v>
      </c>
      <c r="E148" t="s">
        <v>711</v>
      </c>
      <c r="F148" t="s">
        <v>14</v>
      </c>
      <c r="G148">
        <v>59313711</v>
      </c>
      <c r="H148" t="s">
        <v>231</v>
      </c>
      <c r="I148">
        <v>98333941</v>
      </c>
      <c r="J148" t="s">
        <v>14</v>
      </c>
      <c r="K148" t="s">
        <v>15</v>
      </c>
      <c r="L148" s="42">
        <v>12600000</v>
      </c>
      <c r="M148" s="42">
        <v>12600000</v>
      </c>
      <c r="N148" s="10">
        <f t="shared" si="2"/>
        <v>0</v>
      </c>
      <c r="O148" t="s">
        <v>704</v>
      </c>
    </row>
    <row r="149" spans="1:15" x14ac:dyDescent="0.25">
      <c r="A149" t="s">
        <v>256</v>
      </c>
      <c r="B149" t="s">
        <v>13</v>
      </c>
      <c r="C149" s="12">
        <v>45910</v>
      </c>
      <c r="D149" s="12">
        <v>46022</v>
      </c>
      <c r="E149" t="s">
        <v>711</v>
      </c>
      <c r="F149" t="s">
        <v>14</v>
      </c>
      <c r="G149">
        <v>1085302942</v>
      </c>
      <c r="H149" t="s">
        <v>257</v>
      </c>
      <c r="I149">
        <v>98333941</v>
      </c>
      <c r="J149" t="s">
        <v>14</v>
      </c>
      <c r="K149" t="s">
        <v>15</v>
      </c>
      <c r="L149" s="42">
        <v>12600000</v>
      </c>
      <c r="M149" s="42">
        <v>12600000</v>
      </c>
      <c r="N149" s="10">
        <f t="shared" si="2"/>
        <v>0</v>
      </c>
      <c r="O149" t="s">
        <v>704</v>
      </c>
    </row>
    <row r="150" spans="1:15" x14ac:dyDescent="0.25">
      <c r="A150" t="s">
        <v>341</v>
      </c>
      <c r="B150" t="s">
        <v>13</v>
      </c>
      <c r="C150" s="12">
        <v>45910</v>
      </c>
      <c r="D150" s="12">
        <v>46022</v>
      </c>
      <c r="E150" t="s">
        <v>711</v>
      </c>
      <c r="F150" t="s">
        <v>14</v>
      </c>
      <c r="G150">
        <v>1085275473</v>
      </c>
      <c r="H150" t="s">
        <v>342</v>
      </c>
      <c r="I150">
        <v>98390119</v>
      </c>
      <c r="J150" t="s">
        <v>14</v>
      </c>
      <c r="K150" t="s">
        <v>63</v>
      </c>
      <c r="L150" s="42">
        <v>12600000</v>
      </c>
      <c r="M150" s="42">
        <v>12600000</v>
      </c>
      <c r="N150" s="10">
        <f t="shared" si="2"/>
        <v>0</v>
      </c>
      <c r="O150" t="s">
        <v>704</v>
      </c>
    </row>
    <row r="151" spans="1:15" x14ac:dyDescent="0.25">
      <c r="A151" t="s">
        <v>298</v>
      </c>
      <c r="B151" t="s">
        <v>13</v>
      </c>
      <c r="C151" s="12">
        <v>45909</v>
      </c>
      <c r="D151" s="12">
        <v>46022</v>
      </c>
      <c r="E151" t="s">
        <v>711</v>
      </c>
      <c r="F151" t="s">
        <v>14</v>
      </c>
      <c r="G151">
        <v>59310853</v>
      </c>
      <c r="H151" t="s">
        <v>57</v>
      </c>
      <c r="I151">
        <v>43624414</v>
      </c>
      <c r="J151" t="s">
        <v>14</v>
      </c>
      <c r="K151" t="s">
        <v>18</v>
      </c>
      <c r="L151" s="42">
        <v>12600000</v>
      </c>
      <c r="M151" s="42">
        <v>12600000</v>
      </c>
      <c r="N151" s="10">
        <f t="shared" si="2"/>
        <v>0</v>
      </c>
      <c r="O151" t="s">
        <v>704</v>
      </c>
    </row>
    <row r="152" spans="1:15" x14ac:dyDescent="0.25">
      <c r="A152" t="s">
        <v>196</v>
      </c>
      <c r="B152" t="s">
        <v>13</v>
      </c>
      <c r="C152" s="12">
        <v>45909</v>
      </c>
      <c r="D152" s="12">
        <v>46022</v>
      </c>
      <c r="E152" t="s">
        <v>711</v>
      </c>
      <c r="F152" t="s">
        <v>14</v>
      </c>
      <c r="G152">
        <v>37087117</v>
      </c>
      <c r="H152" t="s">
        <v>197</v>
      </c>
      <c r="I152">
        <v>98333941</v>
      </c>
      <c r="J152" t="s">
        <v>14</v>
      </c>
      <c r="K152" t="s">
        <v>15</v>
      </c>
      <c r="L152" s="42">
        <v>12600000</v>
      </c>
      <c r="M152" s="42">
        <v>12600000</v>
      </c>
      <c r="N152" s="10">
        <f t="shared" si="2"/>
        <v>0</v>
      </c>
      <c r="O152" t="s">
        <v>704</v>
      </c>
    </row>
    <row r="153" spans="1:15" x14ac:dyDescent="0.25">
      <c r="A153" t="s">
        <v>649</v>
      </c>
      <c r="B153" t="s">
        <v>13</v>
      </c>
      <c r="C153" s="12">
        <v>45909</v>
      </c>
      <c r="D153" s="12">
        <v>46022</v>
      </c>
      <c r="E153" t="s">
        <v>711</v>
      </c>
      <c r="F153" t="s">
        <v>14</v>
      </c>
      <c r="G153">
        <v>1085335033</v>
      </c>
      <c r="H153" t="s">
        <v>650</v>
      </c>
      <c r="I153">
        <v>98333941</v>
      </c>
      <c r="J153" t="s">
        <v>14</v>
      </c>
      <c r="K153" t="s">
        <v>15</v>
      </c>
      <c r="L153" s="42">
        <v>12600000</v>
      </c>
      <c r="M153" s="42">
        <v>12600000</v>
      </c>
      <c r="N153" s="10">
        <f t="shared" si="2"/>
        <v>0</v>
      </c>
      <c r="O153" t="s">
        <v>704</v>
      </c>
    </row>
    <row r="154" spans="1:15" x14ac:dyDescent="0.25">
      <c r="A154" t="s">
        <v>301</v>
      </c>
      <c r="B154" t="s">
        <v>13</v>
      </c>
      <c r="C154" s="12">
        <v>45909</v>
      </c>
      <c r="D154" s="12">
        <v>46022</v>
      </c>
      <c r="E154" t="s">
        <v>711</v>
      </c>
      <c r="F154" t="s">
        <v>14</v>
      </c>
      <c r="G154">
        <v>1086329609</v>
      </c>
      <c r="H154" t="s">
        <v>64</v>
      </c>
      <c r="I154">
        <v>98333941</v>
      </c>
      <c r="J154" t="s">
        <v>14</v>
      </c>
      <c r="K154" t="s">
        <v>15</v>
      </c>
      <c r="L154" s="42">
        <v>12600000</v>
      </c>
      <c r="M154" s="42">
        <v>12600000</v>
      </c>
      <c r="N154" s="10">
        <f t="shared" si="2"/>
        <v>0</v>
      </c>
      <c r="O154" t="s">
        <v>704</v>
      </c>
    </row>
    <row r="155" spans="1:15" x14ac:dyDescent="0.25">
      <c r="A155" t="s">
        <v>104</v>
      </c>
      <c r="B155" t="s">
        <v>13</v>
      </c>
      <c r="C155" s="12">
        <v>45909</v>
      </c>
      <c r="D155" s="12">
        <v>46022</v>
      </c>
      <c r="E155" t="s">
        <v>711</v>
      </c>
      <c r="F155" t="s">
        <v>14</v>
      </c>
      <c r="G155">
        <v>59310056</v>
      </c>
      <c r="H155" t="s">
        <v>105</v>
      </c>
      <c r="I155">
        <v>98333941</v>
      </c>
      <c r="J155" t="s">
        <v>14</v>
      </c>
      <c r="K155" t="s">
        <v>15</v>
      </c>
      <c r="L155" s="42">
        <v>12600000</v>
      </c>
      <c r="M155" s="42">
        <v>12600000</v>
      </c>
      <c r="N155" s="10">
        <f t="shared" si="2"/>
        <v>0</v>
      </c>
      <c r="O155" t="s">
        <v>704</v>
      </c>
    </row>
    <row r="156" spans="1:15" x14ac:dyDescent="0.25">
      <c r="A156" t="s">
        <v>171</v>
      </c>
      <c r="B156" t="s">
        <v>13</v>
      </c>
      <c r="C156" s="12">
        <v>45909</v>
      </c>
      <c r="D156" s="12">
        <v>46022</v>
      </c>
      <c r="E156" t="s">
        <v>711</v>
      </c>
      <c r="F156" t="s">
        <v>14</v>
      </c>
      <c r="G156">
        <v>27088197</v>
      </c>
      <c r="H156" t="s">
        <v>62</v>
      </c>
      <c r="I156">
        <v>59836926</v>
      </c>
      <c r="J156" t="s">
        <v>14</v>
      </c>
      <c r="K156" t="s">
        <v>17</v>
      </c>
      <c r="L156" s="42">
        <v>12600000</v>
      </c>
      <c r="M156" s="42">
        <v>12600000</v>
      </c>
      <c r="N156" s="10">
        <f t="shared" si="2"/>
        <v>0</v>
      </c>
      <c r="O156" t="s">
        <v>704</v>
      </c>
    </row>
    <row r="157" spans="1:15" x14ac:dyDescent="0.25">
      <c r="A157" t="s">
        <v>532</v>
      </c>
      <c r="B157" t="s">
        <v>13</v>
      </c>
      <c r="C157" s="12">
        <v>45909</v>
      </c>
      <c r="D157" s="12">
        <v>46022</v>
      </c>
      <c r="E157" t="s">
        <v>711</v>
      </c>
      <c r="F157" t="s">
        <v>14</v>
      </c>
      <c r="G157">
        <v>1085286725</v>
      </c>
      <c r="H157" t="s">
        <v>40</v>
      </c>
      <c r="I157">
        <v>98333941</v>
      </c>
      <c r="J157" t="s">
        <v>14</v>
      </c>
      <c r="K157" t="s">
        <v>15</v>
      </c>
      <c r="L157" s="42">
        <v>12600000</v>
      </c>
      <c r="M157" s="42">
        <v>12600000</v>
      </c>
      <c r="N157" s="10">
        <f t="shared" si="2"/>
        <v>0</v>
      </c>
      <c r="O157" t="s">
        <v>704</v>
      </c>
    </row>
    <row r="158" spans="1:15" x14ac:dyDescent="0.25">
      <c r="A158" t="s">
        <v>238</v>
      </c>
      <c r="B158" t="s">
        <v>13</v>
      </c>
      <c r="C158" s="12">
        <v>45909</v>
      </c>
      <c r="D158" s="12">
        <v>46022</v>
      </c>
      <c r="E158" t="s">
        <v>711</v>
      </c>
      <c r="F158" t="s">
        <v>14</v>
      </c>
      <c r="G158">
        <v>59310524</v>
      </c>
      <c r="H158" t="s">
        <v>22</v>
      </c>
      <c r="I158">
        <v>98390119</v>
      </c>
      <c r="J158" t="s">
        <v>14</v>
      </c>
      <c r="K158" t="s">
        <v>63</v>
      </c>
      <c r="L158" s="42">
        <v>12600000</v>
      </c>
      <c r="M158" s="42">
        <v>12600000</v>
      </c>
      <c r="N158" s="10">
        <f t="shared" si="2"/>
        <v>0</v>
      </c>
      <c r="O158" t="s">
        <v>704</v>
      </c>
    </row>
    <row r="159" spans="1:15" x14ac:dyDescent="0.25">
      <c r="A159" t="s">
        <v>173</v>
      </c>
      <c r="B159" t="s">
        <v>13</v>
      </c>
      <c r="C159" s="12">
        <v>45909</v>
      </c>
      <c r="D159" s="12">
        <v>46022</v>
      </c>
      <c r="E159" t="s">
        <v>711</v>
      </c>
      <c r="F159" t="s">
        <v>14</v>
      </c>
      <c r="G159">
        <v>27082649</v>
      </c>
      <c r="H159" t="s">
        <v>174</v>
      </c>
      <c r="I159">
        <v>43624414</v>
      </c>
      <c r="J159" t="s">
        <v>14</v>
      </c>
      <c r="K159" t="s">
        <v>18</v>
      </c>
      <c r="L159" s="42">
        <v>12600000</v>
      </c>
      <c r="M159" s="42">
        <v>12600000</v>
      </c>
      <c r="N159" s="10">
        <f t="shared" si="2"/>
        <v>0</v>
      </c>
      <c r="O159" t="s">
        <v>704</v>
      </c>
    </row>
    <row r="160" spans="1:15" x14ac:dyDescent="0.25">
      <c r="A160" t="s">
        <v>185</v>
      </c>
      <c r="B160" t="s">
        <v>13</v>
      </c>
      <c r="C160" s="12">
        <v>45909</v>
      </c>
      <c r="D160" s="12">
        <v>46022</v>
      </c>
      <c r="E160" t="s">
        <v>711</v>
      </c>
      <c r="F160" t="s">
        <v>14</v>
      </c>
      <c r="G160">
        <v>1087960258</v>
      </c>
      <c r="H160" t="s">
        <v>186</v>
      </c>
      <c r="I160">
        <v>98333941</v>
      </c>
      <c r="J160" t="s">
        <v>14</v>
      </c>
      <c r="K160" t="s">
        <v>15</v>
      </c>
      <c r="L160" s="42">
        <v>12600000</v>
      </c>
      <c r="M160" s="42">
        <v>12600000</v>
      </c>
      <c r="N160" s="10">
        <f t="shared" si="2"/>
        <v>0</v>
      </c>
      <c r="O160" t="s">
        <v>704</v>
      </c>
    </row>
    <row r="161" spans="1:15" x14ac:dyDescent="0.25">
      <c r="A161" t="s">
        <v>345</v>
      </c>
      <c r="B161" t="s">
        <v>13</v>
      </c>
      <c r="C161" s="12">
        <v>45908</v>
      </c>
      <c r="D161" s="12">
        <v>46022</v>
      </c>
      <c r="E161" t="s">
        <v>711</v>
      </c>
      <c r="F161" t="s">
        <v>14</v>
      </c>
      <c r="G161">
        <v>1085339190</v>
      </c>
      <c r="H161" t="s">
        <v>346</v>
      </c>
      <c r="I161">
        <v>98390119</v>
      </c>
      <c r="J161" t="s">
        <v>14</v>
      </c>
      <c r="K161" t="s">
        <v>63</v>
      </c>
      <c r="L161" s="42">
        <v>12600000</v>
      </c>
      <c r="M161" s="42">
        <v>12600000</v>
      </c>
      <c r="N161" s="10">
        <f t="shared" si="2"/>
        <v>0</v>
      </c>
      <c r="O161" t="s">
        <v>704</v>
      </c>
    </row>
    <row r="162" spans="1:15" x14ac:dyDescent="0.25">
      <c r="A162" t="s">
        <v>290</v>
      </c>
      <c r="B162" t="s">
        <v>13</v>
      </c>
      <c r="C162" s="12">
        <v>45908</v>
      </c>
      <c r="D162" s="12">
        <v>46022</v>
      </c>
      <c r="E162" t="s">
        <v>711</v>
      </c>
      <c r="F162" t="s">
        <v>14</v>
      </c>
      <c r="G162">
        <v>1004131976</v>
      </c>
      <c r="H162" t="s">
        <v>291</v>
      </c>
      <c r="I162">
        <v>98390119</v>
      </c>
      <c r="J162" t="s">
        <v>14</v>
      </c>
      <c r="K162" t="s">
        <v>63</v>
      </c>
      <c r="L162" s="42">
        <v>12600000</v>
      </c>
      <c r="M162" s="42">
        <v>12600000</v>
      </c>
      <c r="N162" s="10">
        <f t="shared" si="2"/>
        <v>0</v>
      </c>
      <c r="O162" t="s">
        <v>704</v>
      </c>
    </row>
    <row r="163" spans="1:15" x14ac:dyDescent="0.25">
      <c r="A163" t="s">
        <v>491</v>
      </c>
      <c r="B163" t="s">
        <v>13</v>
      </c>
      <c r="C163" s="12">
        <v>45908</v>
      </c>
      <c r="D163" s="12">
        <v>46022</v>
      </c>
      <c r="E163" t="s">
        <v>711</v>
      </c>
      <c r="F163" t="s">
        <v>14</v>
      </c>
      <c r="G163">
        <v>1089458048</v>
      </c>
      <c r="H163" t="s">
        <v>492</v>
      </c>
      <c r="I163">
        <v>98333941</v>
      </c>
      <c r="J163" t="s">
        <v>14</v>
      </c>
      <c r="K163" t="s">
        <v>15</v>
      </c>
      <c r="L163" s="42">
        <v>12600000</v>
      </c>
      <c r="M163" s="42">
        <v>12600000</v>
      </c>
      <c r="N163" s="10">
        <f t="shared" si="2"/>
        <v>0</v>
      </c>
      <c r="O163" t="s">
        <v>704</v>
      </c>
    </row>
    <row r="164" spans="1:15" x14ac:dyDescent="0.25">
      <c r="A164" t="s">
        <v>579</v>
      </c>
      <c r="B164" t="s">
        <v>13</v>
      </c>
      <c r="C164" s="12">
        <v>45908</v>
      </c>
      <c r="D164" s="12">
        <v>46022</v>
      </c>
      <c r="E164" t="s">
        <v>711</v>
      </c>
      <c r="F164" t="s">
        <v>14</v>
      </c>
      <c r="G164">
        <v>1192717330</v>
      </c>
      <c r="H164" t="s">
        <v>58</v>
      </c>
      <c r="I164">
        <v>43624414</v>
      </c>
      <c r="J164" t="s">
        <v>14</v>
      </c>
      <c r="K164" t="s">
        <v>18</v>
      </c>
      <c r="L164" s="42">
        <v>12600000</v>
      </c>
      <c r="M164" s="42">
        <v>12600000</v>
      </c>
      <c r="N164" s="10">
        <f t="shared" si="2"/>
        <v>0</v>
      </c>
      <c r="O164" t="s">
        <v>704</v>
      </c>
    </row>
    <row r="165" spans="1:15" x14ac:dyDescent="0.25">
      <c r="A165" t="s">
        <v>124</v>
      </c>
      <c r="B165" t="s">
        <v>13</v>
      </c>
      <c r="C165" s="12">
        <v>45908</v>
      </c>
      <c r="D165" s="12">
        <v>46022</v>
      </c>
      <c r="E165" t="s">
        <v>711</v>
      </c>
      <c r="F165" t="s">
        <v>14</v>
      </c>
      <c r="G165">
        <v>1004235479</v>
      </c>
      <c r="H165" t="s">
        <v>56</v>
      </c>
      <c r="I165">
        <v>98333941</v>
      </c>
      <c r="J165" t="s">
        <v>14</v>
      </c>
      <c r="K165" t="s">
        <v>15</v>
      </c>
      <c r="L165" s="42">
        <v>12600000</v>
      </c>
      <c r="M165" s="42">
        <v>12600000</v>
      </c>
      <c r="N165" s="10">
        <f t="shared" si="2"/>
        <v>0</v>
      </c>
      <c r="O165" t="s">
        <v>704</v>
      </c>
    </row>
    <row r="166" spans="1:15" x14ac:dyDescent="0.25">
      <c r="A166" t="s">
        <v>377</v>
      </c>
      <c r="B166" t="s">
        <v>13</v>
      </c>
      <c r="C166" s="12">
        <v>45908</v>
      </c>
      <c r="D166" s="12">
        <v>46022</v>
      </c>
      <c r="E166" t="s">
        <v>711</v>
      </c>
      <c r="F166" t="s">
        <v>14</v>
      </c>
      <c r="G166">
        <v>37084285</v>
      </c>
      <c r="H166" t="s">
        <v>29</v>
      </c>
      <c r="I166">
        <v>98333941</v>
      </c>
      <c r="J166" t="s">
        <v>14</v>
      </c>
      <c r="K166" t="s">
        <v>15</v>
      </c>
      <c r="L166" s="42">
        <v>12600000</v>
      </c>
      <c r="M166" s="42">
        <v>12600000</v>
      </c>
      <c r="N166" s="10">
        <f t="shared" si="2"/>
        <v>0</v>
      </c>
      <c r="O166" t="s">
        <v>704</v>
      </c>
    </row>
    <row r="167" spans="1:15" x14ac:dyDescent="0.25">
      <c r="A167" t="s">
        <v>201</v>
      </c>
      <c r="B167" t="s">
        <v>13</v>
      </c>
      <c r="C167" s="12">
        <v>45908</v>
      </c>
      <c r="D167" s="12">
        <v>46022</v>
      </c>
      <c r="E167" t="s">
        <v>711</v>
      </c>
      <c r="F167" t="s">
        <v>14</v>
      </c>
      <c r="G167">
        <v>1004236159</v>
      </c>
      <c r="H167" t="s">
        <v>202</v>
      </c>
      <c r="I167">
        <v>98333941</v>
      </c>
      <c r="J167" t="s">
        <v>14</v>
      </c>
      <c r="K167" t="s">
        <v>15</v>
      </c>
      <c r="L167" s="42">
        <v>12600000</v>
      </c>
      <c r="M167" s="42">
        <v>12600000</v>
      </c>
      <c r="N167" s="10">
        <f t="shared" si="2"/>
        <v>0</v>
      </c>
      <c r="O167" t="s">
        <v>704</v>
      </c>
    </row>
    <row r="168" spans="1:15" x14ac:dyDescent="0.25">
      <c r="A168" t="s">
        <v>286</v>
      </c>
      <c r="B168" t="s">
        <v>13</v>
      </c>
      <c r="C168" s="12">
        <v>45908</v>
      </c>
      <c r="D168" s="12">
        <v>46022</v>
      </c>
      <c r="E168" t="s">
        <v>719</v>
      </c>
      <c r="F168" t="s">
        <v>14</v>
      </c>
      <c r="G168">
        <v>1081053045</v>
      </c>
      <c r="H168" t="s">
        <v>287</v>
      </c>
      <c r="I168">
        <v>98333941</v>
      </c>
      <c r="J168" t="s">
        <v>14</v>
      </c>
      <c r="K168" t="s">
        <v>15</v>
      </c>
      <c r="L168" s="42">
        <v>12600000</v>
      </c>
      <c r="M168" s="42">
        <v>12600000</v>
      </c>
      <c r="N168" s="10">
        <f t="shared" si="2"/>
        <v>0</v>
      </c>
      <c r="O168" t="s">
        <v>704</v>
      </c>
    </row>
    <row r="169" spans="1:15" x14ac:dyDescent="0.25">
      <c r="A169" t="s">
        <v>663</v>
      </c>
      <c r="B169" t="s">
        <v>13</v>
      </c>
      <c r="C169" s="12">
        <v>45908</v>
      </c>
      <c r="D169" s="12">
        <v>46022</v>
      </c>
      <c r="E169" t="s">
        <v>711</v>
      </c>
      <c r="F169" t="s">
        <v>14</v>
      </c>
      <c r="G169">
        <v>1081272656</v>
      </c>
      <c r="H169" t="s">
        <v>664</v>
      </c>
      <c r="I169">
        <v>59836926</v>
      </c>
      <c r="J169" t="s">
        <v>14</v>
      </c>
      <c r="K169" t="s">
        <v>17</v>
      </c>
      <c r="L169" s="42">
        <v>12600000</v>
      </c>
      <c r="M169" s="42">
        <v>12600000</v>
      </c>
      <c r="N169" s="10">
        <f t="shared" si="2"/>
        <v>0</v>
      </c>
      <c r="O169" t="s">
        <v>704</v>
      </c>
    </row>
    <row r="170" spans="1:15" x14ac:dyDescent="0.25">
      <c r="A170" t="s">
        <v>511</v>
      </c>
      <c r="B170" t="s">
        <v>13</v>
      </c>
      <c r="C170" s="12">
        <v>45908</v>
      </c>
      <c r="D170" s="12">
        <v>46022</v>
      </c>
      <c r="E170" t="s">
        <v>711</v>
      </c>
      <c r="F170" t="s">
        <v>14</v>
      </c>
      <c r="G170">
        <v>1086358836</v>
      </c>
      <c r="H170" t="s">
        <v>512</v>
      </c>
      <c r="I170">
        <v>98333941</v>
      </c>
      <c r="J170" t="s">
        <v>14</v>
      </c>
      <c r="K170" t="s">
        <v>15</v>
      </c>
      <c r="L170" s="42">
        <v>12600000</v>
      </c>
      <c r="M170" s="42">
        <v>12600000</v>
      </c>
      <c r="N170" s="10">
        <f t="shared" si="2"/>
        <v>0</v>
      </c>
      <c r="O170" t="s">
        <v>704</v>
      </c>
    </row>
    <row r="171" spans="1:15" x14ac:dyDescent="0.25">
      <c r="A171" t="s">
        <v>306</v>
      </c>
      <c r="B171" t="s">
        <v>13</v>
      </c>
      <c r="C171" s="12">
        <v>45908</v>
      </c>
      <c r="D171" s="12">
        <v>46022</v>
      </c>
      <c r="E171" t="s">
        <v>711</v>
      </c>
      <c r="F171" t="s">
        <v>14</v>
      </c>
      <c r="G171">
        <v>1085271641</v>
      </c>
      <c r="H171" t="s">
        <v>30</v>
      </c>
      <c r="I171">
        <v>43624414</v>
      </c>
      <c r="J171" t="s">
        <v>14</v>
      </c>
      <c r="K171" t="s">
        <v>18</v>
      </c>
      <c r="L171" s="42">
        <v>12600000</v>
      </c>
      <c r="M171" s="42">
        <v>12600000</v>
      </c>
      <c r="N171" s="10">
        <f t="shared" si="2"/>
        <v>0</v>
      </c>
      <c r="O171" t="s">
        <v>704</v>
      </c>
    </row>
    <row r="172" spans="1:15" x14ac:dyDescent="0.25">
      <c r="A172" t="s">
        <v>599</v>
      </c>
      <c r="B172" t="s">
        <v>13</v>
      </c>
      <c r="C172" s="12">
        <v>45908</v>
      </c>
      <c r="D172" s="12">
        <v>46022</v>
      </c>
      <c r="E172" t="s">
        <v>711</v>
      </c>
      <c r="F172" t="s">
        <v>14</v>
      </c>
      <c r="G172">
        <v>1085343154</v>
      </c>
      <c r="H172" t="s">
        <v>600</v>
      </c>
      <c r="I172">
        <v>59836926</v>
      </c>
      <c r="J172" t="s">
        <v>14</v>
      </c>
      <c r="K172" t="s">
        <v>17</v>
      </c>
      <c r="L172" s="42">
        <v>12600000</v>
      </c>
      <c r="M172" s="42">
        <v>12600000</v>
      </c>
      <c r="N172" s="10">
        <f t="shared" si="2"/>
        <v>0</v>
      </c>
      <c r="O172" t="s">
        <v>704</v>
      </c>
    </row>
    <row r="173" spans="1:15" x14ac:dyDescent="0.25">
      <c r="A173" t="s">
        <v>299</v>
      </c>
      <c r="B173" t="s">
        <v>13</v>
      </c>
      <c r="C173" s="12">
        <v>45908</v>
      </c>
      <c r="D173" s="12">
        <v>46022</v>
      </c>
      <c r="E173" t="s">
        <v>711</v>
      </c>
      <c r="F173" t="s">
        <v>14</v>
      </c>
      <c r="G173">
        <v>36758143</v>
      </c>
      <c r="H173" t="s">
        <v>300</v>
      </c>
      <c r="I173">
        <v>43624414</v>
      </c>
      <c r="J173" t="s">
        <v>14</v>
      </c>
      <c r="K173" t="s">
        <v>18</v>
      </c>
      <c r="L173" s="42">
        <v>12600000</v>
      </c>
      <c r="M173" s="42">
        <v>12600000</v>
      </c>
      <c r="N173" s="10">
        <f t="shared" si="2"/>
        <v>0</v>
      </c>
      <c r="O173" t="s">
        <v>704</v>
      </c>
    </row>
    <row r="174" spans="1:15" x14ac:dyDescent="0.25">
      <c r="A174" t="s">
        <v>674</v>
      </c>
      <c r="B174" t="s">
        <v>13</v>
      </c>
      <c r="C174" s="12">
        <v>45908</v>
      </c>
      <c r="D174" s="12">
        <v>46022</v>
      </c>
      <c r="E174" t="s">
        <v>711</v>
      </c>
      <c r="F174" t="s">
        <v>14</v>
      </c>
      <c r="G174">
        <v>1085300095</v>
      </c>
      <c r="H174" t="s">
        <v>27</v>
      </c>
      <c r="I174">
        <v>59836926</v>
      </c>
      <c r="J174" t="s">
        <v>14</v>
      </c>
      <c r="K174" t="s">
        <v>17</v>
      </c>
      <c r="L174" s="42">
        <v>12600000</v>
      </c>
      <c r="M174" s="42">
        <v>12600000</v>
      </c>
      <c r="N174" s="10">
        <f t="shared" si="2"/>
        <v>0</v>
      </c>
      <c r="O174" t="s">
        <v>704</v>
      </c>
    </row>
    <row r="175" spans="1:15" x14ac:dyDescent="0.25">
      <c r="A175" t="s">
        <v>355</v>
      </c>
      <c r="B175" t="s">
        <v>13</v>
      </c>
      <c r="C175" s="12">
        <v>45908</v>
      </c>
      <c r="D175" s="12">
        <v>46022</v>
      </c>
      <c r="E175" t="s">
        <v>711</v>
      </c>
      <c r="F175" t="s">
        <v>14</v>
      </c>
      <c r="G175">
        <v>1137624011</v>
      </c>
      <c r="H175" t="s">
        <v>356</v>
      </c>
      <c r="I175">
        <v>98390119</v>
      </c>
      <c r="J175" t="s">
        <v>14</v>
      </c>
      <c r="K175" t="s">
        <v>63</v>
      </c>
      <c r="L175" s="42">
        <v>12600000</v>
      </c>
      <c r="M175" s="42">
        <v>12600000</v>
      </c>
      <c r="N175" s="10">
        <f t="shared" si="2"/>
        <v>0</v>
      </c>
      <c r="O175" t="s">
        <v>704</v>
      </c>
    </row>
    <row r="176" spans="1:15" x14ac:dyDescent="0.25">
      <c r="A176" t="s">
        <v>518</v>
      </c>
      <c r="B176" t="s">
        <v>13</v>
      </c>
      <c r="C176" s="12">
        <v>45908</v>
      </c>
      <c r="D176" s="12">
        <v>46022</v>
      </c>
      <c r="E176" t="s">
        <v>716</v>
      </c>
      <c r="F176" t="s">
        <v>14</v>
      </c>
      <c r="G176">
        <v>1085288636</v>
      </c>
      <c r="H176" t="s">
        <v>519</v>
      </c>
      <c r="I176">
        <v>98390119</v>
      </c>
      <c r="J176" t="s">
        <v>14</v>
      </c>
      <c r="K176" t="s">
        <v>63</v>
      </c>
      <c r="L176" s="42">
        <v>12600000</v>
      </c>
      <c r="M176" s="42">
        <v>12600000</v>
      </c>
      <c r="N176" s="10">
        <f t="shared" si="2"/>
        <v>0</v>
      </c>
      <c r="O176" t="s">
        <v>704</v>
      </c>
    </row>
    <row r="177" spans="1:15" x14ac:dyDescent="0.25">
      <c r="A177" t="s">
        <v>428</v>
      </c>
      <c r="B177" t="s">
        <v>13</v>
      </c>
      <c r="C177" s="12">
        <v>45908</v>
      </c>
      <c r="D177" s="12">
        <v>46022</v>
      </c>
      <c r="E177" t="s">
        <v>724</v>
      </c>
      <c r="F177" t="s">
        <v>14</v>
      </c>
      <c r="G177">
        <v>1089291166</v>
      </c>
      <c r="H177" t="s">
        <v>429</v>
      </c>
      <c r="I177">
        <v>98333941</v>
      </c>
      <c r="J177" t="s">
        <v>14</v>
      </c>
      <c r="K177" t="s">
        <v>15</v>
      </c>
      <c r="L177" s="42">
        <v>12600000</v>
      </c>
      <c r="M177" s="42">
        <v>12600000</v>
      </c>
      <c r="N177" s="10">
        <f t="shared" si="2"/>
        <v>0</v>
      </c>
      <c r="O177" t="s">
        <v>704</v>
      </c>
    </row>
    <row r="178" spans="1:15" x14ac:dyDescent="0.25">
      <c r="A178" t="s">
        <v>435</v>
      </c>
      <c r="B178" t="s">
        <v>13</v>
      </c>
      <c r="C178" s="12">
        <v>45908</v>
      </c>
      <c r="D178" s="12">
        <v>46022</v>
      </c>
      <c r="E178" t="s">
        <v>780</v>
      </c>
      <c r="F178" t="s">
        <v>14</v>
      </c>
      <c r="G178">
        <v>30743783</v>
      </c>
      <c r="H178" t="s">
        <v>436</v>
      </c>
      <c r="I178">
        <v>59836926</v>
      </c>
      <c r="J178" t="s">
        <v>14</v>
      </c>
      <c r="K178" t="s">
        <v>17</v>
      </c>
      <c r="L178" s="42">
        <v>12600000</v>
      </c>
      <c r="M178" s="42">
        <v>12600000</v>
      </c>
      <c r="N178" s="10">
        <f t="shared" si="2"/>
        <v>0</v>
      </c>
      <c r="O178" t="s">
        <v>704</v>
      </c>
    </row>
    <row r="179" spans="1:15" x14ac:dyDescent="0.25">
      <c r="A179" t="s">
        <v>636</v>
      </c>
      <c r="B179" t="s">
        <v>13</v>
      </c>
      <c r="C179" s="12">
        <v>45908</v>
      </c>
      <c r="D179" s="12">
        <v>46022</v>
      </c>
      <c r="E179" t="s">
        <v>816</v>
      </c>
      <c r="F179" t="s">
        <v>14</v>
      </c>
      <c r="G179">
        <v>1081272025</v>
      </c>
      <c r="H179" t="s">
        <v>637</v>
      </c>
      <c r="I179">
        <v>59836926</v>
      </c>
      <c r="J179" t="s">
        <v>14</v>
      </c>
      <c r="K179" t="s">
        <v>17</v>
      </c>
      <c r="L179" s="42">
        <v>12600000</v>
      </c>
      <c r="M179" s="42">
        <v>12600000</v>
      </c>
      <c r="N179" s="10">
        <f t="shared" si="2"/>
        <v>0</v>
      </c>
      <c r="O179" t="s">
        <v>704</v>
      </c>
    </row>
    <row r="180" spans="1:15" x14ac:dyDescent="0.25">
      <c r="A180" t="s">
        <v>483</v>
      </c>
      <c r="B180" t="s">
        <v>13</v>
      </c>
      <c r="C180" s="12">
        <v>45908</v>
      </c>
      <c r="D180" s="12">
        <v>46022</v>
      </c>
      <c r="E180" t="s">
        <v>716</v>
      </c>
      <c r="F180" t="s">
        <v>14</v>
      </c>
      <c r="G180">
        <v>1193224810</v>
      </c>
      <c r="H180" t="s">
        <v>31</v>
      </c>
      <c r="I180">
        <v>98333941</v>
      </c>
      <c r="J180" t="s">
        <v>14</v>
      </c>
      <c r="K180" t="s">
        <v>15</v>
      </c>
      <c r="L180" s="42">
        <v>12600000</v>
      </c>
      <c r="M180" s="42">
        <v>12600000</v>
      </c>
      <c r="N180" s="10">
        <f t="shared" si="2"/>
        <v>0</v>
      </c>
      <c r="O180" t="s">
        <v>704</v>
      </c>
    </row>
    <row r="181" spans="1:15" x14ac:dyDescent="0.25">
      <c r="A181" t="s">
        <v>509</v>
      </c>
      <c r="B181" t="s">
        <v>13</v>
      </c>
      <c r="C181" s="12">
        <v>45908</v>
      </c>
      <c r="D181" s="12">
        <v>46022</v>
      </c>
      <c r="E181" t="s">
        <v>794</v>
      </c>
      <c r="F181" t="s">
        <v>14</v>
      </c>
      <c r="G181">
        <v>1087644986</v>
      </c>
      <c r="H181" t="s">
        <v>510</v>
      </c>
      <c r="I181">
        <v>98333941</v>
      </c>
      <c r="J181" t="s">
        <v>14</v>
      </c>
      <c r="K181" t="s">
        <v>15</v>
      </c>
      <c r="L181" s="42">
        <v>12600000</v>
      </c>
      <c r="M181" s="42">
        <v>12600000</v>
      </c>
      <c r="N181" s="10">
        <f t="shared" si="2"/>
        <v>0</v>
      </c>
      <c r="O181" t="s">
        <v>704</v>
      </c>
    </row>
    <row r="182" spans="1:15" x14ac:dyDescent="0.25">
      <c r="A182" t="s">
        <v>281</v>
      </c>
      <c r="B182" t="s">
        <v>13</v>
      </c>
      <c r="C182" s="12">
        <v>45905</v>
      </c>
      <c r="D182" s="12">
        <v>46022</v>
      </c>
      <c r="E182" t="s">
        <v>720</v>
      </c>
      <c r="F182" t="s">
        <v>14</v>
      </c>
      <c r="G182">
        <v>69028150</v>
      </c>
      <c r="H182" t="s">
        <v>21</v>
      </c>
      <c r="I182">
        <v>59836926</v>
      </c>
      <c r="J182" t="s">
        <v>14</v>
      </c>
      <c r="K182" t="s">
        <v>17</v>
      </c>
      <c r="L182" s="42">
        <v>12600000</v>
      </c>
      <c r="M182" s="42">
        <v>12600000</v>
      </c>
      <c r="N182" s="10">
        <f t="shared" si="2"/>
        <v>0</v>
      </c>
      <c r="O182" t="s">
        <v>704</v>
      </c>
    </row>
    <row r="183" spans="1:15" x14ac:dyDescent="0.25">
      <c r="A183" t="s">
        <v>660</v>
      </c>
      <c r="B183" t="s">
        <v>13</v>
      </c>
      <c r="C183" s="12">
        <v>45905</v>
      </c>
      <c r="D183" s="12">
        <v>46022</v>
      </c>
      <c r="E183" t="s">
        <v>716</v>
      </c>
      <c r="F183" t="s">
        <v>14</v>
      </c>
      <c r="G183">
        <v>1085315013</v>
      </c>
      <c r="H183" t="s">
        <v>60</v>
      </c>
      <c r="I183">
        <v>98390119</v>
      </c>
      <c r="J183" t="s">
        <v>14</v>
      </c>
      <c r="K183" t="s">
        <v>63</v>
      </c>
      <c r="L183" s="42">
        <v>12600000</v>
      </c>
      <c r="M183" s="42">
        <v>12600000</v>
      </c>
      <c r="N183" s="10">
        <f t="shared" si="2"/>
        <v>0</v>
      </c>
      <c r="O183" t="s">
        <v>704</v>
      </c>
    </row>
    <row r="184" spans="1:15" x14ac:dyDescent="0.25">
      <c r="A184" t="s">
        <v>475</v>
      </c>
      <c r="B184" t="s">
        <v>13</v>
      </c>
      <c r="C184" s="12">
        <v>45904</v>
      </c>
      <c r="D184" s="12">
        <v>46022</v>
      </c>
      <c r="E184" t="s">
        <v>708</v>
      </c>
      <c r="F184" t="s">
        <v>14</v>
      </c>
      <c r="G184">
        <v>1085269090</v>
      </c>
      <c r="H184" t="s">
        <v>52</v>
      </c>
      <c r="I184">
        <v>98333941</v>
      </c>
      <c r="J184" t="s">
        <v>14</v>
      </c>
      <c r="K184" t="s">
        <v>15</v>
      </c>
      <c r="L184" s="42">
        <v>12600000</v>
      </c>
      <c r="M184" s="42">
        <v>12600000</v>
      </c>
      <c r="N184" s="10">
        <f t="shared" si="2"/>
        <v>0</v>
      </c>
      <c r="O184" t="s">
        <v>704</v>
      </c>
    </row>
    <row r="185" spans="1:15" x14ac:dyDescent="0.25">
      <c r="A185" t="s">
        <v>398</v>
      </c>
      <c r="B185" t="s">
        <v>13</v>
      </c>
      <c r="C185" s="12">
        <v>45904</v>
      </c>
      <c r="D185" s="12">
        <v>46022</v>
      </c>
      <c r="E185" t="s">
        <v>708</v>
      </c>
      <c r="F185" t="s">
        <v>14</v>
      </c>
      <c r="G185">
        <v>1085255829</v>
      </c>
      <c r="H185" t="s">
        <v>23</v>
      </c>
      <c r="I185">
        <v>98390119</v>
      </c>
      <c r="J185" t="s">
        <v>14</v>
      </c>
      <c r="K185" t="s">
        <v>63</v>
      </c>
      <c r="L185" s="42">
        <v>12600000</v>
      </c>
      <c r="M185" s="42">
        <v>12600000</v>
      </c>
      <c r="N185" s="10">
        <f t="shared" si="2"/>
        <v>0</v>
      </c>
      <c r="O185" t="s">
        <v>704</v>
      </c>
    </row>
    <row r="186" spans="1:15" x14ac:dyDescent="0.25">
      <c r="A186" t="s">
        <v>93</v>
      </c>
      <c r="B186" t="s">
        <v>13</v>
      </c>
      <c r="C186" s="12">
        <v>45904</v>
      </c>
      <c r="D186" s="12">
        <v>46022</v>
      </c>
      <c r="E186" t="s">
        <v>708</v>
      </c>
      <c r="F186" t="s">
        <v>14</v>
      </c>
      <c r="G186">
        <v>1233189234</v>
      </c>
      <c r="H186" t="s">
        <v>53</v>
      </c>
      <c r="I186">
        <v>59836926</v>
      </c>
      <c r="J186" t="s">
        <v>14</v>
      </c>
      <c r="K186" t="s">
        <v>17</v>
      </c>
      <c r="L186" s="42">
        <v>12600000</v>
      </c>
      <c r="M186" s="42">
        <v>12600000</v>
      </c>
      <c r="N186" s="10">
        <f t="shared" si="2"/>
        <v>0</v>
      </c>
      <c r="O186" t="s">
        <v>704</v>
      </c>
    </row>
    <row r="187" spans="1:15" x14ac:dyDescent="0.25">
      <c r="A187" t="s">
        <v>434</v>
      </c>
      <c r="B187" t="s">
        <v>13</v>
      </c>
      <c r="C187" s="12">
        <v>45903</v>
      </c>
      <c r="D187" s="12">
        <v>46022</v>
      </c>
      <c r="E187" t="s">
        <v>708</v>
      </c>
      <c r="F187" t="s">
        <v>14</v>
      </c>
      <c r="G187">
        <v>1010082397</v>
      </c>
      <c r="H187" t="s">
        <v>44</v>
      </c>
      <c r="I187">
        <v>98390119</v>
      </c>
      <c r="J187" t="s">
        <v>14</v>
      </c>
      <c r="K187" t="s">
        <v>63</v>
      </c>
      <c r="L187" s="42">
        <v>12600000</v>
      </c>
      <c r="M187" s="42">
        <v>12600000</v>
      </c>
      <c r="N187" s="10">
        <f t="shared" si="2"/>
        <v>0</v>
      </c>
      <c r="O187" t="s">
        <v>704</v>
      </c>
    </row>
    <row r="188" spans="1:15" x14ac:dyDescent="0.25">
      <c r="A188" t="s">
        <v>215</v>
      </c>
      <c r="B188" t="s">
        <v>13</v>
      </c>
      <c r="C188" s="12">
        <v>45903</v>
      </c>
      <c r="D188" s="12">
        <v>46022</v>
      </c>
      <c r="E188" t="s">
        <v>708</v>
      </c>
      <c r="F188" t="s">
        <v>14</v>
      </c>
      <c r="G188">
        <v>1087006717</v>
      </c>
      <c r="H188" t="s">
        <v>42</v>
      </c>
      <c r="I188">
        <v>59836926</v>
      </c>
      <c r="J188" t="s">
        <v>14</v>
      </c>
      <c r="K188" t="s">
        <v>17</v>
      </c>
      <c r="L188" s="42">
        <v>12600000</v>
      </c>
      <c r="M188" s="42">
        <v>12600000</v>
      </c>
      <c r="N188" s="10">
        <f t="shared" si="2"/>
        <v>0</v>
      </c>
      <c r="O188" t="s">
        <v>704</v>
      </c>
    </row>
    <row r="189" spans="1:15" x14ac:dyDescent="0.25">
      <c r="A189" t="s">
        <v>167</v>
      </c>
      <c r="B189" t="s">
        <v>13</v>
      </c>
      <c r="C189" s="12">
        <v>45902</v>
      </c>
      <c r="D189" s="12">
        <v>46022</v>
      </c>
      <c r="E189" t="s">
        <v>730</v>
      </c>
      <c r="F189" t="s">
        <v>14</v>
      </c>
      <c r="G189">
        <v>36752202</v>
      </c>
      <c r="H189" t="s">
        <v>168</v>
      </c>
      <c r="I189">
        <v>59836926</v>
      </c>
      <c r="J189" t="s">
        <v>14</v>
      </c>
      <c r="K189" t="s">
        <v>17</v>
      </c>
      <c r="L189" s="42">
        <v>12600000</v>
      </c>
      <c r="M189" s="42">
        <v>12600000</v>
      </c>
      <c r="N189" s="10">
        <f t="shared" si="2"/>
        <v>0</v>
      </c>
      <c r="O189" t="s">
        <v>704</v>
      </c>
    </row>
    <row r="190" spans="1:15" x14ac:dyDescent="0.25">
      <c r="A190" t="s">
        <v>464</v>
      </c>
      <c r="B190" t="s">
        <v>13</v>
      </c>
      <c r="C190" s="12">
        <v>45971</v>
      </c>
      <c r="D190" s="12">
        <v>46022</v>
      </c>
      <c r="E190" t="s">
        <v>323</v>
      </c>
      <c r="F190" t="s">
        <v>14</v>
      </c>
      <c r="G190">
        <v>1193223736</v>
      </c>
      <c r="H190" t="s">
        <v>75</v>
      </c>
      <c r="I190">
        <v>59836926</v>
      </c>
      <c r="J190" t="s">
        <v>14</v>
      </c>
      <c r="K190" t="s">
        <v>17</v>
      </c>
      <c r="L190" s="42">
        <v>12600000</v>
      </c>
      <c r="M190" s="42">
        <v>12600000</v>
      </c>
      <c r="N190" s="10">
        <f t="shared" si="2"/>
        <v>0</v>
      </c>
      <c r="O190" t="s">
        <v>704</v>
      </c>
    </row>
    <row r="191" spans="1:15" x14ac:dyDescent="0.25">
      <c r="A191" t="s">
        <v>307</v>
      </c>
      <c r="B191" t="s">
        <v>13</v>
      </c>
      <c r="C191" s="12">
        <v>45966</v>
      </c>
      <c r="D191" s="12">
        <v>46022</v>
      </c>
      <c r="E191" t="s">
        <v>754</v>
      </c>
      <c r="F191" t="s">
        <v>14</v>
      </c>
      <c r="G191">
        <v>1085254153</v>
      </c>
      <c r="H191" t="s">
        <v>308</v>
      </c>
      <c r="I191">
        <v>59836926</v>
      </c>
      <c r="J191" t="s">
        <v>14</v>
      </c>
      <c r="K191" t="s">
        <v>17</v>
      </c>
      <c r="L191" s="42">
        <v>12600000</v>
      </c>
      <c r="M191" s="42">
        <v>12600000</v>
      </c>
      <c r="N191" s="10">
        <f t="shared" si="2"/>
        <v>0</v>
      </c>
      <c r="O191" t="s">
        <v>704</v>
      </c>
    </row>
    <row r="192" spans="1:15" x14ac:dyDescent="0.25">
      <c r="A192" t="s">
        <v>309</v>
      </c>
      <c r="B192" t="s">
        <v>13</v>
      </c>
      <c r="C192" s="12">
        <v>45937</v>
      </c>
      <c r="D192" s="12">
        <v>46022</v>
      </c>
      <c r="E192" t="s">
        <v>755</v>
      </c>
      <c r="F192" t="s">
        <v>14</v>
      </c>
      <c r="G192">
        <v>1233190311</v>
      </c>
      <c r="H192" t="s">
        <v>310</v>
      </c>
      <c r="I192">
        <v>98390119</v>
      </c>
      <c r="J192" t="s">
        <v>14</v>
      </c>
      <c r="K192" t="s">
        <v>63</v>
      </c>
      <c r="L192" s="42">
        <v>14190000</v>
      </c>
      <c r="M192" s="42">
        <v>14190000</v>
      </c>
      <c r="N192" s="10">
        <f t="shared" si="2"/>
        <v>0</v>
      </c>
      <c r="O192" t="s">
        <v>704</v>
      </c>
    </row>
    <row r="193" spans="1:15" x14ac:dyDescent="0.25">
      <c r="A193" t="s">
        <v>419</v>
      </c>
      <c r="B193" t="s">
        <v>13</v>
      </c>
      <c r="C193" s="12">
        <v>45932</v>
      </c>
      <c r="D193" s="12">
        <v>46022</v>
      </c>
      <c r="E193" t="s">
        <v>755</v>
      </c>
      <c r="F193" t="s">
        <v>14</v>
      </c>
      <c r="G193">
        <v>1085293619</v>
      </c>
      <c r="H193" t="s">
        <v>420</v>
      </c>
      <c r="I193">
        <v>43624414</v>
      </c>
      <c r="J193" t="s">
        <v>14</v>
      </c>
      <c r="K193" t="s">
        <v>18</v>
      </c>
      <c r="L193" s="42">
        <v>14190000</v>
      </c>
      <c r="M193" s="42">
        <v>14190000</v>
      </c>
      <c r="N193" s="10">
        <f t="shared" si="2"/>
        <v>0</v>
      </c>
      <c r="O193" t="s">
        <v>704</v>
      </c>
    </row>
    <row r="194" spans="1:15" x14ac:dyDescent="0.25">
      <c r="A194" t="s">
        <v>437</v>
      </c>
      <c r="B194" t="s">
        <v>13</v>
      </c>
      <c r="C194" s="12">
        <v>45932</v>
      </c>
      <c r="D194" s="12">
        <v>46022</v>
      </c>
      <c r="E194" t="s">
        <v>781</v>
      </c>
      <c r="F194" t="s">
        <v>14</v>
      </c>
      <c r="G194">
        <v>37084258</v>
      </c>
      <c r="H194" t="s">
        <v>438</v>
      </c>
      <c r="I194">
        <v>43624414</v>
      </c>
      <c r="J194" t="s">
        <v>14</v>
      </c>
      <c r="K194" t="s">
        <v>18</v>
      </c>
      <c r="L194" s="42">
        <v>14190000</v>
      </c>
      <c r="M194" s="42">
        <v>14190000</v>
      </c>
      <c r="N194" s="10">
        <f t="shared" si="2"/>
        <v>0</v>
      </c>
      <c r="O194" t="s">
        <v>704</v>
      </c>
    </row>
    <row r="195" spans="1:15" x14ac:dyDescent="0.25">
      <c r="A195" t="s">
        <v>672</v>
      </c>
      <c r="B195" t="s">
        <v>13</v>
      </c>
      <c r="C195" s="12">
        <v>45932</v>
      </c>
      <c r="D195" s="12">
        <v>46022</v>
      </c>
      <c r="E195" t="s">
        <v>744</v>
      </c>
      <c r="F195" t="s">
        <v>14</v>
      </c>
      <c r="G195">
        <v>1085331301</v>
      </c>
      <c r="H195" t="s">
        <v>673</v>
      </c>
      <c r="I195">
        <v>43624414</v>
      </c>
      <c r="J195" t="s">
        <v>14</v>
      </c>
      <c r="K195" t="s">
        <v>18</v>
      </c>
      <c r="L195" s="42">
        <v>14190000</v>
      </c>
      <c r="M195" s="42">
        <v>14190000</v>
      </c>
      <c r="N195" s="10">
        <f t="shared" ref="N195:N258" si="3">M195-L195</f>
        <v>0</v>
      </c>
      <c r="O195" t="s">
        <v>704</v>
      </c>
    </row>
    <row r="196" spans="1:15" x14ac:dyDescent="0.25">
      <c r="A196" t="s">
        <v>394</v>
      </c>
      <c r="B196" t="s">
        <v>13</v>
      </c>
      <c r="C196" s="12">
        <v>45931</v>
      </c>
      <c r="D196" s="12">
        <v>46022</v>
      </c>
      <c r="E196" t="s">
        <v>771</v>
      </c>
      <c r="F196" t="s">
        <v>14</v>
      </c>
      <c r="G196">
        <v>1233188033</v>
      </c>
      <c r="H196" t="s">
        <v>395</v>
      </c>
      <c r="I196">
        <v>98390119</v>
      </c>
      <c r="J196" t="s">
        <v>14</v>
      </c>
      <c r="K196" t="s">
        <v>63</v>
      </c>
      <c r="L196" s="42">
        <v>14190000</v>
      </c>
      <c r="M196" s="42">
        <v>14190000</v>
      </c>
      <c r="N196" s="10">
        <f t="shared" si="3"/>
        <v>0</v>
      </c>
      <c r="O196" t="s">
        <v>704</v>
      </c>
    </row>
    <row r="197" spans="1:15" x14ac:dyDescent="0.25">
      <c r="A197" t="s">
        <v>220</v>
      </c>
      <c r="B197" t="s">
        <v>13</v>
      </c>
      <c r="C197" s="12">
        <v>45930</v>
      </c>
      <c r="D197" s="12">
        <v>46022</v>
      </c>
      <c r="E197" t="s">
        <v>744</v>
      </c>
      <c r="F197" t="s">
        <v>14</v>
      </c>
      <c r="G197">
        <v>27105277</v>
      </c>
      <c r="H197" t="s">
        <v>221</v>
      </c>
      <c r="I197">
        <v>59836926</v>
      </c>
      <c r="J197" t="s">
        <v>14</v>
      </c>
      <c r="K197" t="s">
        <v>17</v>
      </c>
      <c r="L197" s="42">
        <v>14190000</v>
      </c>
      <c r="M197" s="42">
        <v>14190000</v>
      </c>
      <c r="N197" s="10">
        <f t="shared" si="3"/>
        <v>0</v>
      </c>
      <c r="O197" t="s">
        <v>704</v>
      </c>
    </row>
    <row r="198" spans="1:15" x14ac:dyDescent="0.25">
      <c r="A198" t="s">
        <v>582</v>
      </c>
      <c r="B198" t="s">
        <v>13</v>
      </c>
      <c r="C198" s="12">
        <v>45930</v>
      </c>
      <c r="D198" s="12">
        <v>46022</v>
      </c>
      <c r="E198" t="s">
        <v>744</v>
      </c>
      <c r="F198" t="s">
        <v>14</v>
      </c>
      <c r="G198">
        <v>1085313870</v>
      </c>
      <c r="H198" t="s">
        <v>87</v>
      </c>
      <c r="I198">
        <v>43624414</v>
      </c>
      <c r="J198" t="s">
        <v>14</v>
      </c>
      <c r="K198" t="s">
        <v>18</v>
      </c>
      <c r="L198" s="42">
        <v>14190000</v>
      </c>
      <c r="M198" s="42">
        <v>14190000</v>
      </c>
      <c r="N198" s="10">
        <f t="shared" si="3"/>
        <v>0</v>
      </c>
      <c r="O198" t="s">
        <v>704</v>
      </c>
    </row>
    <row r="199" spans="1:15" x14ac:dyDescent="0.25">
      <c r="A199" t="s">
        <v>446</v>
      </c>
      <c r="B199" t="s">
        <v>13</v>
      </c>
      <c r="C199" s="12">
        <v>45930</v>
      </c>
      <c r="D199" s="12">
        <v>46022</v>
      </c>
      <c r="E199" t="s">
        <v>784</v>
      </c>
      <c r="F199" t="s">
        <v>14</v>
      </c>
      <c r="G199">
        <v>59816986</v>
      </c>
      <c r="H199" t="s">
        <v>447</v>
      </c>
      <c r="I199">
        <v>98390119</v>
      </c>
      <c r="J199" t="s">
        <v>14</v>
      </c>
      <c r="K199" t="s">
        <v>63</v>
      </c>
      <c r="L199" s="42">
        <v>14190000</v>
      </c>
      <c r="M199" s="42">
        <v>14190000</v>
      </c>
      <c r="N199" s="10">
        <f t="shared" si="3"/>
        <v>0</v>
      </c>
      <c r="O199" t="s">
        <v>704</v>
      </c>
    </row>
    <row r="200" spans="1:15" x14ac:dyDescent="0.25">
      <c r="A200" t="s">
        <v>382</v>
      </c>
      <c r="B200" t="s">
        <v>13</v>
      </c>
      <c r="C200" s="12">
        <v>45929</v>
      </c>
      <c r="D200" s="12">
        <v>46022</v>
      </c>
      <c r="E200" t="s">
        <v>767</v>
      </c>
      <c r="F200" t="s">
        <v>14</v>
      </c>
      <c r="G200">
        <v>1085323338</v>
      </c>
      <c r="H200" t="s">
        <v>383</v>
      </c>
      <c r="I200">
        <v>98390119</v>
      </c>
      <c r="J200" t="s">
        <v>14</v>
      </c>
      <c r="K200" t="s">
        <v>63</v>
      </c>
      <c r="L200" s="42">
        <v>14190000</v>
      </c>
      <c r="M200" s="42">
        <v>14190000</v>
      </c>
      <c r="N200" s="10">
        <f t="shared" si="3"/>
        <v>0</v>
      </c>
      <c r="O200" t="s">
        <v>704</v>
      </c>
    </row>
    <row r="201" spans="1:15" x14ac:dyDescent="0.25">
      <c r="A201" t="s">
        <v>146</v>
      </c>
      <c r="B201" t="s">
        <v>13</v>
      </c>
      <c r="C201" s="12">
        <v>45929</v>
      </c>
      <c r="D201" s="12">
        <v>46022</v>
      </c>
      <c r="E201" t="s">
        <v>725</v>
      </c>
      <c r="F201" t="s">
        <v>14</v>
      </c>
      <c r="G201">
        <v>52381227</v>
      </c>
      <c r="H201" t="s">
        <v>147</v>
      </c>
      <c r="I201">
        <v>98390119</v>
      </c>
      <c r="J201" t="s">
        <v>14</v>
      </c>
      <c r="K201" t="s">
        <v>63</v>
      </c>
      <c r="L201" s="42">
        <v>14190000</v>
      </c>
      <c r="M201" s="42">
        <v>14190000</v>
      </c>
      <c r="N201" s="10">
        <f t="shared" si="3"/>
        <v>0</v>
      </c>
      <c r="O201" t="s">
        <v>704</v>
      </c>
    </row>
    <row r="202" spans="1:15" x14ac:dyDescent="0.25">
      <c r="A202" t="s">
        <v>440</v>
      </c>
      <c r="B202" t="s">
        <v>13</v>
      </c>
      <c r="C202" s="12">
        <v>45971</v>
      </c>
      <c r="D202" s="12">
        <v>46022</v>
      </c>
      <c r="E202" t="s">
        <v>749</v>
      </c>
      <c r="F202" t="s">
        <v>14</v>
      </c>
      <c r="G202">
        <v>1086018206</v>
      </c>
      <c r="H202" t="s">
        <v>441</v>
      </c>
      <c r="I202">
        <v>98390119</v>
      </c>
      <c r="J202" t="s">
        <v>14</v>
      </c>
      <c r="K202" t="s">
        <v>63</v>
      </c>
      <c r="L202" s="42">
        <v>15600000</v>
      </c>
      <c r="M202" s="42">
        <v>15600000</v>
      </c>
      <c r="N202" s="10">
        <f t="shared" si="3"/>
        <v>0</v>
      </c>
      <c r="O202" t="s">
        <v>704</v>
      </c>
    </row>
    <row r="203" spans="1:15" x14ac:dyDescent="0.25">
      <c r="A203" t="s">
        <v>573</v>
      </c>
      <c r="B203" t="s">
        <v>13</v>
      </c>
      <c r="C203" s="12">
        <v>45971</v>
      </c>
      <c r="D203" s="12">
        <v>46022</v>
      </c>
      <c r="E203" t="s">
        <v>722</v>
      </c>
      <c r="F203" t="s">
        <v>14</v>
      </c>
      <c r="G203">
        <v>1010141840</v>
      </c>
      <c r="H203" t="s">
        <v>574</v>
      </c>
      <c r="I203">
        <v>43624414</v>
      </c>
      <c r="J203" t="s">
        <v>14</v>
      </c>
      <c r="K203" t="s">
        <v>18</v>
      </c>
      <c r="L203" s="42">
        <v>15600000</v>
      </c>
      <c r="M203" s="42">
        <v>15600000</v>
      </c>
      <c r="N203" s="10">
        <f t="shared" si="3"/>
        <v>0</v>
      </c>
      <c r="O203" t="s">
        <v>704</v>
      </c>
    </row>
    <row r="204" spans="1:15" x14ac:dyDescent="0.25">
      <c r="A204" t="s">
        <v>154</v>
      </c>
      <c r="B204" t="s">
        <v>13</v>
      </c>
      <c r="C204" s="12">
        <v>45971</v>
      </c>
      <c r="D204" s="12">
        <v>46022</v>
      </c>
      <c r="E204" t="s">
        <v>727</v>
      </c>
      <c r="F204" t="s">
        <v>14</v>
      </c>
      <c r="G204">
        <v>1086331521</v>
      </c>
      <c r="H204" t="s">
        <v>155</v>
      </c>
      <c r="I204">
        <v>98333941</v>
      </c>
      <c r="J204" t="s">
        <v>14</v>
      </c>
      <c r="K204" t="s">
        <v>15</v>
      </c>
      <c r="L204" s="42">
        <v>15600000</v>
      </c>
      <c r="M204" s="42">
        <v>15600000</v>
      </c>
      <c r="N204" s="10">
        <f t="shared" si="3"/>
        <v>0</v>
      </c>
      <c r="O204" t="s">
        <v>704</v>
      </c>
    </row>
    <row r="205" spans="1:15" x14ac:dyDescent="0.25">
      <c r="A205" t="s">
        <v>569</v>
      </c>
      <c r="B205" t="s">
        <v>13</v>
      </c>
      <c r="C205" s="12">
        <v>45967</v>
      </c>
      <c r="D205" s="12">
        <v>46022</v>
      </c>
      <c r="E205" t="s">
        <v>804</v>
      </c>
      <c r="F205" t="s">
        <v>14</v>
      </c>
      <c r="G205">
        <v>1085307962</v>
      </c>
      <c r="H205" t="s">
        <v>570</v>
      </c>
      <c r="I205">
        <v>59836926</v>
      </c>
      <c r="J205" t="s">
        <v>14</v>
      </c>
      <c r="K205" t="s">
        <v>17</v>
      </c>
      <c r="L205" s="42">
        <v>15600000</v>
      </c>
      <c r="M205" s="42">
        <v>15600000</v>
      </c>
      <c r="N205" s="10">
        <f t="shared" si="3"/>
        <v>0</v>
      </c>
      <c r="O205" t="s">
        <v>704</v>
      </c>
    </row>
    <row r="206" spans="1:15" x14ac:dyDescent="0.25">
      <c r="A206" t="s">
        <v>400</v>
      </c>
      <c r="B206" t="s">
        <v>13</v>
      </c>
      <c r="C206" s="12">
        <v>45966</v>
      </c>
      <c r="D206" s="12">
        <v>46022</v>
      </c>
      <c r="E206" t="s">
        <v>749</v>
      </c>
      <c r="F206" t="s">
        <v>14</v>
      </c>
      <c r="G206">
        <v>12969231</v>
      </c>
      <c r="H206" t="s">
        <v>401</v>
      </c>
      <c r="I206">
        <v>43624414</v>
      </c>
      <c r="J206" t="s">
        <v>14</v>
      </c>
      <c r="K206" t="s">
        <v>18</v>
      </c>
      <c r="L206" s="42">
        <v>15600000</v>
      </c>
      <c r="M206" s="42">
        <v>15600000</v>
      </c>
      <c r="N206" s="10">
        <f t="shared" si="3"/>
        <v>0</v>
      </c>
      <c r="O206" t="s">
        <v>704</v>
      </c>
    </row>
    <row r="207" spans="1:15" x14ac:dyDescent="0.25">
      <c r="A207" t="s">
        <v>454</v>
      </c>
      <c r="B207" t="s">
        <v>13</v>
      </c>
      <c r="C207" s="12">
        <v>45966</v>
      </c>
      <c r="D207" s="12">
        <v>46022</v>
      </c>
      <c r="E207" t="s">
        <v>749</v>
      </c>
      <c r="F207" t="s">
        <v>14</v>
      </c>
      <c r="G207">
        <v>1233193848</v>
      </c>
      <c r="H207" t="s">
        <v>455</v>
      </c>
      <c r="I207">
        <v>43624414</v>
      </c>
      <c r="J207" t="s">
        <v>14</v>
      </c>
      <c r="K207" t="s">
        <v>18</v>
      </c>
      <c r="L207" s="42">
        <v>15600000</v>
      </c>
      <c r="M207" s="42">
        <v>15600000</v>
      </c>
      <c r="N207" s="10">
        <f t="shared" si="3"/>
        <v>0</v>
      </c>
      <c r="O207" t="s">
        <v>704</v>
      </c>
    </row>
    <row r="208" spans="1:15" x14ac:dyDescent="0.25">
      <c r="A208" t="s">
        <v>209</v>
      </c>
      <c r="B208" t="s">
        <v>13</v>
      </c>
      <c r="C208" s="12">
        <v>45946</v>
      </c>
      <c r="D208" s="12">
        <v>46022</v>
      </c>
      <c r="E208" t="s">
        <v>740</v>
      </c>
      <c r="F208" t="s">
        <v>14</v>
      </c>
      <c r="G208">
        <v>27252200</v>
      </c>
      <c r="H208" t="s">
        <v>210</v>
      </c>
      <c r="I208">
        <v>59836926</v>
      </c>
      <c r="J208" t="s">
        <v>14</v>
      </c>
      <c r="K208" t="s">
        <v>17</v>
      </c>
      <c r="L208" s="42">
        <v>15750000</v>
      </c>
      <c r="M208" s="42">
        <v>15750000</v>
      </c>
      <c r="N208" s="10">
        <f t="shared" si="3"/>
        <v>0</v>
      </c>
      <c r="O208" t="s">
        <v>704</v>
      </c>
    </row>
    <row r="209" spans="1:15" x14ac:dyDescent="0.25">
      <c r="A209" t="s">
        <v>1028</v>
      </c>
      <c r="B209" t="s">
        <v>13</v>
      </c>
      <c r="C209" s="12">
        <v>46024</v>
      </c>
      <c r="D209" s="12">
        <v>46112</v>
      </c>
      <c r="E209" t="s">
        <v>775</v>
      </c>
      <c r="F209" t="s">
        <v>14</v>
      </c>
      <c r="G209">
        <v>1233189234</v>
      </c>
      <c r="H209" t="s">
        <v>848</v>
      </c>
      <c r="I209">
        <v>59836926</v>
      </c>
      <c r="J209" t="s">
        <v>14</v>
      </c>
      <c r="K209" t="s">
        <v>17</v>
      </c>
      <c r="L209" s="42">
        <v>3150000</v>
      </c>
      <c r="M209" s="10">
        <v>9450000</v>
      </c>
      <c r="N209" s="10">
        <f t="shared" si="3"/>
        <v>6300000</v>
      </c>
      <c r="O209" t="s">
        <v>704</v>
      </c>
    </row>
    <row r="210" spans="1:15" x14ac:dyDescent="0.25">
      <c r="A210" t="s">
        <v>222</v>
      </c>
      <c r="B210" t="s">
        <v>13</v>
      </c>
      <c r="C210" s="12">
        <v>45946</v>
      </c>
      <c r="D210" s="12">
        <v>46022</v>
      </c>
      <c r="E210" t="s">
        <v>745</v>
      </c>
      <c r="F210" t="s">
        <v>14</v>
      </c>
      <c r="G210">
        <v>1085278004</v>
      </c>
      <c r="H210" t="s">
        <v>223</v>
      </c>
      <c r="I210">
        <v>59836926</v>
      </c>
      <c r="J210" t="s">
        <v>14</v>
      </c>
      <c r="K210" t="s">
        <v>17</v>
      </c>
      <c r="L210" s="42">
        <v>15750000</v>
      </c>
      <c r="M210" s="42">
        <v>15750000</v>
      </c>
      <c r="N210" s="10">
        <f t="shared" si="3"/>
        <v>0</v>
      </c>
      <c r="O210" t="s">
        <v>704</v>
      </c>
    </row>
    <row r="211" spans="1:15" x14ac:dyDescent="0.25">
      <c r="A211" t="s">
        <v>423</v>
      </c>
      <c r="B211" t="s">
        <v>13</v>
      </c>
      <c r="C211" s="12">
        <v>45938</v>
      </c>
      <c r="D211" s="12">
        <v>46022</v>
      </c>
      <c r="E211" t="s">
        <v>777</v>
      </c>
      <c r="F211" t="s">
        <v>14</v>
      </c>
      <c r="G211">
        <v>1004213964</v>
      </c>
      <c r="H211" t="s">
        <v>72</v>
      </c>
      <c r="I211">
        <v>59836926</v>
      </c>
      <c r="J211" t="s">
        <v>14</v>
      </c>
      <c r="K211" t="s">
        <v>17</v>
      </c>
      <c r="L211" s="42">
        <v>18900000</v>
      </c>
      <c r="M211" s="42">
        <v>18900000</v>
      </c>
      <c r="N211" s="10">
        <f t="shared" si="3"/>
        <v>0</v>
      </c>
      <c r="O211" t="s">
        <v>704</v>
      </c>
    </row>
    <row r="212" spans="1:15" x14ac:dyDescent="0.25">
      <c r="A212" t="s">
        <v>653</v>
      </c>
      <c r="B212" t="s">
        <v>13</v>
      </c>
      <c r="C212" s="12">
        <v>45930</v>
      </c>
      <c r="D212" s="12">
        <v>46022</v>
      </c>
      <c r="E212" t="s">
        <v>821</v>
      </c>
      <c r="F212" t="s">
        <v>14</v>
      </c>
      <c r="G212">
        <v>37085864</v>
      </c>
      <c r="H212" t="s">
        <v>654</v>
      </c>
      <c r="I212">
        <v>59836926</v>
      </c>
      <c r="J212" t="s">
        <v>14</v>
      </c>
      <c r="K212" t="s">
        <v>17</v>
      </c>
      <c r="L212" s="42">
        <v>18900000</v>
      </c>
      <c r="M212" s="42">
        <v>18900000</v>
      </c>
      <c r="N212" s="10">
        <f t="shared" si="3"/>
        <v>0</v>
      </c>
      <c r="O212" t="s">
        <v>704</v>
      </c>
    </row>
    <row r="213" spans="1:15" x14ac:dyDescent="0.25">
      <c r="A213" t="s">
        <v>315</v>
      </c>
      <c r="B213" t="s">
        <v>13</v>
      </c>
      <c r="C213" s="12">
        <v>45930</v>
      </c>
      <c r="D213" s="12">
        <v>46022</v>
      </c>
      <c r="E213" t="s">
        <v>754</v>
      </c>
      <c r="F213" t="s">
        <v>14</v>
      </c>
      <c r="G213">
        <v>1085253062</v>
      </c>
      <c r="H213" t="s">
        <v>316</v>
      </c>
      <c r="I213">
        <v>98390119</v>
      </c>
      <c r="J213" t="s">
        <v>14</v>
      </c>
      <c r="K213" t="s">
        <v>63</v>
      </c>
      <c r="L213" s="42">
        <v>18900000</v>
      </c>
      <c r="M213" s="42">
        <v>18900000</v>
      </c>
      <c r="N213" s="10">
        <f t="shared" si="3"/>
        <v>0</v>
      </c>
      <c r="O213" t="s">
        <v>704</v>
      </c>
    </row>
    <row r="214" spans="1:15" x14ac:dyDescent="0.25">
      <c r="A214" t="s">
        <v>203</v>
      </c>
      <c r="B214" t="s">
        <v>13</v>
      </c>
      <c r="C214" s="12">
        <v>45930</v>
      </c>
      <c r="D214" s="12">
        <v>46022</v>
      </c>
      <c r="E214" t="s">
        <v>738</v>
      </c>
      <c r="F214" t="s">
        <v>14</v>
      </c>
      <c r="G214">
        <v>1193271485</v>
      </c>
      <c r="H214" t="s">
        <v>204</v>
      </c>
      <c r="I214">
        <v>98390119</v>
      </c>
      <c r="J214" t="s">
        <v>14</v>
      </c>
      <c r="K214" t="s">
        <v>63</v>
      </c>
      <c r="L214" s="42">
        <v>18900000</v>
      </c>
      <c r="M214" s="42">
        <v>18900000</v>
      </c>
      <c r="N214" s="10">
        <f t="shared" si="3"/>
        <v>0</v>
      </c>
      <c r="O214" t="s">
        <v>704</v>
      </c>
    </row>
    <row r="215" spans="1:15" x14ac:dyDescent="0.25">
      <c r="A215" t="s">
        <v>396</v>
      </c>
      <c r="B215" t="s">
        <v>13</v>
      </c>
      <c r="C215" s="12">
        <v>45929</v>
      </c>
      <c r="D215" s="12">
        <v>46022</v>
      </c>
      <c r="E215" t="s">
        <v>772</v>
      </c>
      <c r="F215" t="s">
        <v>14</v>
      </c>
      <c r="G215">
        <v>1086360087</v>
      </c>
      <c r="H215" t="s">
        <v>397</v>
      </c>
      <c r="I215">
        <v>98390119</v>
      </c>
      <c r="J215" t="s">
        <v>14</v>
      </c>
      <c r="K215" t="s">
        <v>63</v>
      </c>
      <c r="L215" s="42">
        <v>18900000</v>
      </c>
      <c r="M215" s="42">
        <v>18900000</v>
      </c>
      <c r="N215" s="10">
        <f t="shared" si="3"/>
        <v>0</v>
      </c>
      <c r="O215" t="s">
        <v>704</v>
      </c>
    </row>
    <row r="216" spans="1:15" x14ac:dyDescent="0.25">
      <c r="A216" t="s">
        <v>585</v>
      </c>
      <c r="B216" t="s">
        <v>13</v>
      </c>
      <c r="C216" s="12">
        <v>45940</v>
      </c>
      <c r="D216" s="12">
        <v>46022</v>
      </c>
      <c r="E216" t="s">
        <v>807</v>
      </c>
      <c r="F216" t="s">
        <v>14</v>
      </c>
      <c r="G216">
        <v>1085248939</v>
      </c>
      <c r="H216" t="s">
        <v>586</v>
      </c>
      <c r="I216">
        <v>98333941</v>
      </c>
      <c r="J216" t="s">
        <v>14</v>
      </c>
      <c r="K216" t="s">
        <v>15</v>
      </c>
      <c r="L216" s="42">
        <v>18900000</v>
      </c>
      <c r="M216" s="42">
        <v>18900000</v>
      </c>
      <c r="N216" s="10">
        <f t="shared" si="3"/>
        <v>0</v>
      </c>
      <c r="O216" t="s">
        <v>704</v>
      </c>
    </row>
    <row r="217" spans="1:15" x14ac:dyDescent="0.25">
      <c r="A217" t="s">
        <v>486</v>
      </c>
      <c r="B217" t="s">
        <v>13</v>
      </c>
      <c r="C217" s="12">
        <v>45911</v>
      </c>
      <c r="D217" s="12">
        <v>46022</v>
      </c>
      <c r="E217" t="s">
        <v>706</v>
      </c>
      <c r="F217" t="s">
        <v>14</v>
      </c>
      <c r="G217">
        <v>1005829176</v>
      </c>
      <c r="H217" t="s">
        <v>487</v>
      </c>
      <c r="I217">
        <v>59836926</v>
      </c>
      <c r="J217" t="s">
        <v>14</v>
      </c>
      <c r="K217" t="s">
        <v>17</v>
      </c>
      <c r="L217" s="42">
        <v>18920000</v>
      </c>
      <c r="M217" s="42">
        <v>18920000</v>
      </c>
      <c r="N217" s="10">
        <f t="shared" si="3"/>
        <v>0</v>
      </c>
      <c r="O217" t="s">
        <v>704</v>
      </c>
    </row>
    <row r="218" spans="1:15" x14ac:dyDescent="0.25">
      <c r="A218" t="s">
        <v>657</v>
      </c>
      <c r="B218" t="s">
        <v>13</v>
      </c>
      <c r="C218" s="12">
        <v>45911</v>
      </c>
      <c r="D218" s="12">
        <v>46022</v>
      </c>
      <c r="E218" t="s">
        <v>706</v>
      </c>
      <c r="F218" t="s">
        <v>14</v>
      </c>
      <c r="G218">
        <v>1086137686</v>
      </c>
      <c r="H218" t="s">
        <v>658</v>
      </c>
      <c r="I218">
        <v>98333941</v>
      </c>
      <c r="J218" t="s">
        <v>14</v>
      </c>
      <c r="K218" t="s">
        <v>15</v>
      </c>
      <c r="L218" s="42">
        <v>18920000</v>
      </c>
      <c r="M218" s="42">
        <v>18920000</v>
      </c>
      <c r="N218" s="10">
        <f t="shared" si="3"/>
        <v>0</v>
      </c>
      <c r="O218" t="s">
        <v>704</v>
      </c>
    </row>
    <row r="219" spans="1:15" x14ac:dyDescent="0.25">
      <c r="A219" t="s">
        <v>89</v>
      </c>
      <c r="B219" t="s">
        <v>13</v>
      </c>
      <c r="C219" s="12">
        <v>45910</v>
      </c>
      <c r="D219" s="12">
        <v>46022</v>
      </c>
      <c r="E219" t="s">
        <v>706</v>
      </c>
      <c r="F219" t="s">
        <v>14</v>
      </c>
      <c r="G219">
        <v>1086360022</v>
      </c>
      <c r="H219" t="s">
        <v>90</v>
      </c>
      <c r="I219">
        <v>98333941</v>
      </c>
      <c r="J219" t="s">
        <v>14</v>
      </c>
      <c r="K219" t="s">
        <v>15</v>
      </c>
      <c r="L219" s="42">
        <v>18920000</v>
      </c>
      <c r="M219" s="42">
        <v>18920000</v>
      </c>
      <c r="N219" s="10">
        <f t="shared" si="3"/>
        <v>0</v>
      </c>
      <c r="O219" t="s">
        <v>704</v>
      </c>
    </row>
    <row r="220" spans="1:15" x14ac:dyDescent="0.25">
      <c r="A220" t="s">
        <v>575</v>
      </c>
      <c r="B220" t="s">
        <v>13</v>
      </c>
      <c r="C220" s="12">
        <v>45910</v>
      </c>
      <c r="D220" s="12">
        <v>46022</v>
      </c>
      <c r="E220" t="s">
        <v>706</v>
      </c>
      <c r="F220" t="s">
        <v>14</v>
      </c>
      <c r="G220">
        <v>1087960287</v>
      </c>
      <c r="H220" t="s">
        <v>576</v>
      </c>
      <c r="I220">
        <v>59836926</v>
      </c>
      <c r="J220" t="s">
        <v>14</v>
      </c>
      <c r="K220" t="s">
        <v>17</v>
      </c>
      <c r="L220" s="42">
        <v>18920000</v>
      </c>
      <c r="M220" s="42">
        <v>18920000</v>
      </c>
      <c r="N220" s="10">
        <f t="shared" si="3"/>
        <v>0</v>
      </c>
      <c r="O220" t="s">
        <v>704</v>
      </c>
    </row>
    <row r="221" spans="1:15" x14ac:dyDescent="0.25">
      <c r="A221" t="s">
        <v>158</v>
      </c>
      <c r="B221" t="s">
        <v>13</v>
      </c>
      <c r="C221" s="12">
        <v>45908</v>
      </c>
      <c r="D221" s="12">
        <v>46022</v>
      </c>
      <c r="E221" t="s">
        <v>706</v>
      </c>
      <c r="F221" t="s">
        <v>14</v>
      </c>
      <c r="G221">
        <v>36756149</v>
      </c>
      <c r="H221" t="s">
        <v>159</v>
      </c>
      <c r="I221">
        <v>98333941</v>
      </c>
      <c r="J221" t="s">
        <v>14</v>
      </c>
      <c r="K221" t="s">
        <v>15</v>
      </c>
      <c r="L221" s="42">
        <v>18920000</v>
      </c>
      <c r="M221" s="42">
        <v>18920000</v>
      </c>
      <c r="N221" s="10">
        <f t="shared" si="3"/>
        <v>0</v>
      </c>
      <c r="O221" t="s">
        <v>704</v>
      </c>
    </row>
    <row r="222" spans="1:15" x14ac:dyDescent="0.25">
      <c r="A222" t="s">
        <v>444</v>
      </c>
      <c r="B222" t="s">
        <v>13</v>
      </c>
      <c r="C222" s="12">
        <v>45908</v>
      </c>
      <c r="D222" s="12">
        <v>46022</v>
      </c>
      <c r="E222" t="s">
        <v>706</v>
      </c>
      <c r="F222" t="s">
        <v>14</v>
      </c>
      <c r="G222">
        <v>36950073</v>
      </c>
      <c r="H222" t="s">
        <v>445</v>
      </c>
      <c r="I222">
        <v>98333941</v>
      </c>
      <c r="J222" t="s">
        <v>14</v>
      </c>
      <c r="K222" t="s">
        <v>15</v>
      </c>
      <c r="L222" s="42">
        <v>18920000</v>
      </c>
      <c r="M222" s="42">
        <v>18920000</v>
      </c>
      <c r="N222" s="10">
        <f t="shared" si="3"/>
        <v>0</v>
      </c>
      <c r="O222" t="s">
        <v>704</v>
      </c>
    </row>
    <row r="223" spans="1:15" x14ac:dyDescent="0.25">
      <c r="A223" t="s">
        <v>568</v>
      </c>
      <c r="B223" t="s">
        <v>13</v>
      </c>
      <c r="C223" s="12">
        <v>45908</v>
      </c>
      <c r="D223" s="12">
        <v>46022</v>
      </c>
      <c r="E223" t="s">
        <v>803</v>
      </c>
      <c r="F223" t="s">
        <v>14</v>
      </c>
      <c r="G223">
        <v>1085343783</v>
      </c>
      <c r="H223" t="s">
        <v>19</v>
      </c>
      <c r="I223">
        <v>59836926</v>
      </c>
      <c r="J223" t="s">
        <v>14</v>
      </c>
      <c r="K223" t="s">
        <v>17</v>
      </c>
      <c r="L223" s="42">
        <v>18920000</v>
      </c>
      <c r="M223" s="42">
        <v>18920000</v>
      </c>
      <c r="N223" s="10">
        <f t="shared" si="3"/>
        <v>0</v>
      </c>
      <c r="O223" t="s">
        <v>704</v>
      </c>
    </row>
    <row r="224" spans="1:15" x14ac:dyDescent="0.25">
      <c r="A224" t="s">
        <v>430</v>
      </c>
      <c r="B224" t="s">
        <v>13</v>
      </c>
      <c r="C224" s="12">
        <v>45905</v>
      </c>
      <c r="D224" s="12">
        <v>46022</v>
      </c>
      <c r="E224" t="s">
        <v>744</v>
      </c>
      <c r="F224" t="s">
        <v>14</v>
      </c>
      <c r="G224">
        <v>1085318201</v>
      </c>
      <c r="H224" t="s">
        <v>431</v>
      </c>
      <c r="I224">
        <v>98333941</v>
      </c>
      <c r="J224" t="s">
        <v>14</v>
      </c>
      <c r="K224" t="s">
        <v>15</v>
      </c>
      <c r="L224" s="42">
        <v>18920000</v>
      </c>
      <c r="M224" s="42">
        <v>18920000</v>
      </c>
      <c r="N224" s="10">
        <f t="shared" si="3"/>
        <v>0</v>
      </c>
      <c r="O224" t="s">
        <v>704</v>
      </c>
    </row>
    <row r="225" spans="1:15" x14ac:dyDescent="0.25">
      <c r="A225" t="s">
        <v>426</v>
      </c>
      <c r="B225" t="s">
        <v>13</v>
      </c>
      <c r="C225" s="12">
        <v>45905</v>
      </c>
      <c r="D225" s="12">
        <v>46022</v>
      </c>
      <c r="E225" t="s">
        <v>744</v>
      </c>
      <c r="F225" t="s">
        <v>14</v>
      </c>
      <c r="G225">
        <v>1085318684</v>
      </c>
      <c r="H225" t="s">
        <v>427</v>
      </c>
      <c r="I225">
        <v>98333941</v>
      </c>
      <c r="J225" t="s">
        <v>14</v>
      </c>
      <c r="K225" t="s">
        <v>15</v>
      </c>
      <c r="L225" s="42">
        <v>18920000</v>
      </c>
      <c r="M225" s="42">
        <v>18920000</v>
      </c>
      <c r="N225" s="10">
        <f t="shared" si="3"/>
        <v>0</v>
      </c>
      <c r="O225" t="s">
        <v>704</v>
      </c>
    </row>
    <row r="226" spans="1:15" x14ac:dyDescent="0.25">
      <c r="A226" t="s">
        <v>439</v>
      </c>
      <c r="B226" t="s">
        <v>13</v>
      </c>
      <c r="C226" s="12">
        <v>45905</v>
      </c>
      <c r="D226" s="12">
        <v>46022</v>
      </c>
      <c r="E226" t="s">
        <v>782</v>
      </c>
      <c r="F226" t="s">
        <v>14</v>
      </c>
      <c r="G226">
        <v>27087475</v>
      </c>
      <c r="H226" t="s">
        <v>48</v>
      </c>
      <c r="I226">
        <v>43624414</v>
      </c>
      <c r="J226" t="s">
        <v>14</v>
      </c>
      <c r="K226" t="s">
        <v>18</v>
      </c>
      <c r="L226" s="42">
        <v>18920000</v>
      </c>
      <c r="M226" s="42">
        <v>18920000</v>
      </c>
      <c r="N226" s="10">
        <f t="shared" si="3"/>
        <v>0</v>
      </c>
      <c r="O226" t="s">
        <v>704</v>
      </c>
    </row>
    <row r="227" spans="1:15" x14ac:dyDescent="0.25">
      <c r="A227" t="s">
        <v>561</v>
      </c>
      <c r="B227" t="s">
        <v>13</v>
      </c>
      <c r="C227" s="12">
        <v>45905</v>
      </c>
      <c r="D227" s="12">
        <v>46022</v>
      </c>
      <c r="E227" t="s">
        <v>755</v>
      </c>
      <c r="F227" t="s">
        <v>14</v>
      </c>
      <c r="G227">
        <v>1085264667</v>
      </c>
      <c r="H227" t="s">
        <v>562</v>
      </c>
      <c r="I227">
        <v>98333941</v>
      </c>
      <c r="J227" t="s">
        <v>14</v>
      </c>
      <c r="K227" t="s">
        <v>15</v>
      </c>
      <c r="L227" s="42">
        <v>18920000</v>
      </c>
      <c r="M227" s="42">
        <v>18920000</v>
      </c>
      <c r="N227" s="10">
        <f t="shared" si="3"/>
        <v>0</v>
      </c>
      <c r="O227" t="s">
        <v>704</v>
      </c>
    </row>
    <row r="228" spans="1:15" x14ac:dyDescent="0.25">
      <c r="A228" t="s">
        <v>94</v>
      </c>
      <c r="B228" t="s">
        <v>13</v>
      </c>
      <c r="C228" s="12">
        <v>45905</v>
      </c>
      <c r="D228" s="12">
        <v>46022</v>
      </c>
      <c r="E228" t="s">
        <v>709</v>
      </c>
      <c r="F228" t="s">
        <v>14</v>
      </c>
      <c r="G228">
        <v>1193424771</v>
      </c>
      <c r="H228" t="s">
        <v>95</v>
      </c>
      <c r="I228">
        <v>98333941</v>
      </c>
      <c r="J228" t="s">
        <v>14</v>
      </c>
      <c r="K228" t="s">
        <v>15</v>
      </c>
      <c r="L228" s="42">
        <v>18920000</v>
      </c>
      <c r="M228" s="42">
        <v>18920000</v>
      </c>
      <c r="N228" s="10">
        <f t="shared" si="3"/>
        <v>0</v>
      </c>
      <c r="O228" t="s">
        <v>704</v>
      </c>
    </row>
    <row r="229" spans="1:15" x14ac:dyDescent="0.25">
      <c r="A229" t="s">
        <v>524</v>
      </c>
      <c r="B229" t="s">
        <v>13</v>
      </c>
      <c r="C229" s="12">
        <v>45905</v>
      </c>
      <c r="D229" s="12">
        <v>46022</v>
      </c>
      <c r="E229" t="s">
        <v>725</v>
      </c>
      <c r="F229" t="s">
        <v>14</v>
      </c>
      <c r="G229">
        <v>59651018</v>
      </c>
      <c r="H229" t="s">
        <v>525</v>
      </c>
      <c r="I229">
        <v>43624414</v>
      </c>
      <c r="J229" t="s">
        <v>14</v>
      </c>
      <c r="K229" t="s">
        <v>18</v>
      </c>
      <c r="L229" s="42">
        <v>18920000</v>
      </c>
      <c r="M229" s="42">
        <v>18920000</v>
      </c>
      <c r="N229" s="10">
        <f t="shared" si="3"/>
        <v>0</v>
      </c>
      <c r="O229" t="s">
        <v>704</v>
      </c>
    </row>
    <row r="230" spans="1:15" x14ac:dyDescent="0.25">
      <c r="A230" t="s">
        <v>91</v>
      </c>
      <c r="B230" t="s">
        <v>13</v>
      </c>
      <c r="C230" s="12">
        <v>45904</v>
      </c>
      <c r="D230" s="12">
        <v>46022</v>
      </c>
      <c r="E230" t="s">
        <v>707</v>
      </c>
      <c r="F230" t="s">
        <v>14</v>
      </c>
      <c r="G230">
        <v>1087414586</v>
      </c>
      <c r="H230" t="s">
        <v>92</v>
      </c>
      <c r="I230">
        <v>43624414</v>
      </c>
      <c r="J230" t="s">
        <v>14</v>
      </c>
      <c r="K230" t="s">
        <v>18</v>
      </c>
      <c r="L230" s="42">
        <v>18920000</v>
      </c>
      <c r="M230" s="42">
        <v>18920000</v>
      </c>
      <c r="N230" s="10">
        <f t="shared" si="3"/>
        <v>0</v>
      </c>
      <c r="O230" t="s">
        <v>704</v>
      </c>
    </row>
    <row r="231" spans="1:15" x14ac:dyDescent="0.25">
      <c r="A231" t="s">
        <v>294</v>
      </c>
      <c r="B231" t="s">
        <v>13</v>
      </c>
      <c r="C231" s="12">
        <v>45904</v>
      </c>
      <c r="D231" s="12">
        <v>46022</v>
      </c>
      <c r="E231" t="s">
        <v>707</v>
      </c>
      <c r="F231" t="s">
        <v>14</v>
      </c>
      <c r="G231">
        <v>1085263018</v>
      </c>
      <c r="H231" t="s">
        <v>295</v>
      </c>
      <c r="I231">
        <v>98333941</v>
      </c>
      <c r="J231" t="s">
        <v>14</v>
      </c>
      <c r="K231" t="s">
        <v>15</v>
      </c>
      <c r="L231" s="42">
        <v>18920000</v>
      </c>
      <c r="M231" s="42">
        <v>18920000</v>
      </c>
      <c r="N231" s="10">
        <f t="shared" si="3"/>
        <v>0</v>
      </c>
      <c r="O231" t="s">
        <v>704</v>
      </c>
    </row>
    <row r="232" spans="1:15" x14ac:dyDescent="0.25">
      <c r="A232" t="s">
        <v>163</v>
      </c>
      <c r="B232" t="s">
        <v>13</v>
      </c>
      <c r="C232" s="12">
        <v>45904</v>
      </c>
      <c r="D232" s="12">
        <v>46022</v>
      </c>
      <c r="E232" t="s">
        <v>707</v>
      </c>
      <c r="F232" t="s">
        <v>14</v>
      </c>
      <c r="G232">
        <v>36757491</v>
      </c>
      <c r="H232" t="s">
        <v>164</v>
      </c>
      <c r="I232">
        <v>98333941</v>
      </c>
      <c r="J232" t="s">
        <v>14</v>
      </c>
      <c r="K232" t="s">
        <v>15</v>
      </c>
      <c r="L232" s="42">
        <v>18920000</v>
      </c>
      <c r="M232" s="42">
        <v>18920000</v>
      </c>
      <c r="N232" s="10">
        <f t="shared" si="3"/>
        <v>0</v>
      </c>
      <c r="O232" t="s">
        <v>704</v>
      </c>
    </row>
    <row r="233" spans="1:15" x14ac:dyDescent="0.25">
      <c r="A233" t="s">
        <v>388</v>
      </c>
      <c r="B233" t="s">
        <v>13</v>
      </c>
      <c r="C233" s="12">
        <v>45904</v>
      </c>
      <c r="D233" s="12">
        <v>46022</v>
      </c>
      <c r="E233" t="s">
        <v>707</v>
      </c>
      <c r="F233" t="s">
        <v>14</v>
      </c>
      <c r="G233">
        <v>1085260497</v>
      </c>
      <c r="H233" t="s">
        <v>389</v>
      </c>
      <c r="I233">
        <v>98333941</v>
      </c>
      <c r="J233" t="s">
        <v>14</v>
      </c>
      <c r="K233" t="s">
        <v>15</v>
      </c>
      <c r="L233" s="42">
        <v>18920000</v>
      </c>
      <c r="M233" s="42">
        <v>18920000</v>
      </c>
      <c r="N233" s="10">
        <f t="shared" si="3"/>
        <v>0</v>
      </c>
      <c r="O233" t="s">
        <v>704</v>
      </c>
    </row>
    <row r="234" spans="1:15" x14ac:dyDescent="0.25">
      <c r="A234" t="s">
        <v>458</v>
      </c>
      <c r="B234" t="s">
        <v>13</v>
      </c>
      <c r="C234" s="12">
        <v>45904</v>
      </c>
      <c r="D234" s="12">
        <v>46022</v>
      </c>
      <c r="E234" t="s">
        <v>707</v>
      </c>
      <c r="F234" t="s">
        <v>14</v>
      </c>
      <c r="G234">
        <v>1082749648</v>
      </c>
      <c r="H234" t="s">
        <v>459</v>
      </c>
      <c r="I234">
        <v>98333941</v>
      </c>
      <c r="J234" t="s">
        <v>14</v>
      </c>
      <c r="K234" t="s">
        <v>15</v>
      </c>
      <c r="L234" s="42">
        <v>18920000</v>
      </c>
      <c r="M234" s="42">
        <v>18920000</v>
      </c>
      <c r="N234" s="10">
        <f t="shared" si="3"/>
        <v>0</v>
      </c>
      <c r="O234" t="s">
        <v>704</v>
      </c>
    </row>
    <row r="235" spans="1:15" x14ac:dyDescent="0.25">
      <c r="A235" t="s">
        <v>336</v>
      </c>
      <c r="B235" t="s">
        <v>13</v>
      </c>
      <c r="C235" s="12">
        <v>45903</v>
      </c>
      <c r="D235" s="12">
        <v>46022</v>
      </c>
      <c r="E235" t="s">
        <v>707</v>
      </c>
      <c r="F235" t="s">
        <v>14</v>
      </c>
      <c r="G235">
        <v>36759759</v>
      </c>
      <c r="H235" t="s">
        <v>26</v>
      </c>
      <c r="I235">
        <v>98390119</v>
      </c>
      <c r="J235" t="s">
        <v>14</v>
      </c>
      <c r="K235" t="s">
        <v>63</v>
      </c>
      <c r="L235" s="42">
        <v>18920000</v>
      </c>
      <c r="M235" s="42">
        <v>18920000</v>
      </c>
      <c r="N235" s="10">
        <f t="shared" si="3"/>
        <v>0</v>
      </c>
      <c r="O235" t="s">
        <v>704</v>
      </c>
    </row>
    <row r="236" spans="1:15" x14ac:dyDescent="0.25">
      <c r="A236" t="s">
        <v>699</v>
      </c>
      <c r="B236" t="s">
        <v>13</v>
      </c>
      <c r="C236" s="12">
        <v>45903</v>
      </c>
      <c r="D236" s="12">
        <v>46022</v>
      </c>
      <c r="E236" t="s">
        <v>825</v>
      </c>
      <c r="F236" t="s">
        <v>14</v>
      </c>
      <c r="G236">
        <v>1084227101</v>
      </c>
      <c r="H236" t="s">
        <v>700</v>
      </c>
      <c r="I236">
        <v>98333941</v>
      </c>
      <c r="J236" t="s">
        <v>14</v>
      </c>
      <c r="K236" t="s">
        <v>15</v>
      </c>
      <c r="L236" s="42">
        <v>18920000</v>
      </c>
      <c r="M236" s="42">
        <v>18920000</v>
      </c>
      <c r="N236" s="10">
        <f t="shared" si="3"/>
        <v>0</v>
      </c>
      <c r="O236" t="s">
        <v>704</v>
      </c>
    </row>
    <row r="237" spans="1:15" x14ac:dyDescent="0.25">
      <c r="A237" t="s">
        <v>479</v>
      </c>
      <c r="B237" t="s">
        <v>13</v>
      </c>
      <c r="C237" s="12">
        <v>45903</v>
      </c>
      <c r="D237" s="12">
        <v>46022</v>
      </c>
      <c r="E237" t="s">
        <v>790</v>
      </c>
      <c r="F237" t="s">
        <v>14</v>
      </c>
      <c r="G237">
        <v>59824313</v>
      </c>
      <c r="H237" t="s">
        <v>480</v>
      </c>
      <c r="I237">
        <v>98390119</v>
      </c>
      <c r="J237" t="s">
        <v>14</v>
      </c>
      <c r="K237" t="s">
        <v>63</v>
      </c>
      <c r="L237" s="42">
        <v>18920000</v>
      </c>
      <c r="M237" s="42">
        <v>18920000</v>
      </c>
      <c r="N237" s="10">
        <f t="shared" si="3"/>
        <v>0</v>
      </c>
      <c r="O237" t="s">
        <v>704</v>
      </c>
    </row>
    <row r="238" spans="1:15" x14ac:dyDescent="0.25">
      <c r="A238" t="s">
        <v>1043</v>
      </c>
      <c r="B238" t="s">
        <v>13</v>
      </c>
      <c r="C238" s="12">
        <v>46024</v>
      </c>
      <c r="D238" s="12">
        <v>46112</v>
      </c>
      <c r="E238" t="s">
        <v>775</v>
      </c>
      <c r="F238" t="s">
        <v>14</v>
      </c>
      <c r="G238">
        <v>5930737</v>
      </c>
      <c r="H238" t="s">
        <v>370</v>
      </c>
      <c r="I238">
        <v>98390119</v>
      </c>
      <c r="J238" t="s">
        <v>14</v>
      </c>
      <c r="K238" t="s">
        <v>63</v>
      </c>
      <c r="L238" s="42">
        <v>3150000</v>
      </c>
      <c r="M238" s="10">
        <v>9450000</v>
      </c>
      <c r="N238" s="10">
        <f t="shared" si="3"/>
        <v>6300000</v>
      </c>
      <c r="O238" t="s">
        <v>704</v>
      </c>
    </row>
    <row r="239" spans="1:15" x14ac:dyDescent="0.25">
      <c r="A239" t="s">
        <v>328</v>
      </c>
      <c r="B239" t="s">
        <v>13</v>
      </c>
      <c r="C239" s="12">
        <v>45902</v>
      </c>
      <c r="D239" s="12">
        <v>46022</v>
      </c>
      <c r="E239" t="s">
        <v>759</v>
      </c>
      <c r="F239" t="s">
        <v>14</v>
      </c>
      <c r="G239">
        <v>1085330309</v>
      </c>
      <c r="H239" t="s">
        <v>16</v>
      </c>
      <c r="I239">
        <v>43624414</v>
      </c>
      <c r="J239" t="s">
        <v>14</v>
      </c>
      <c r="K239" t="s">
        <v>18</v>
      </c>
      <c r="L239" s="42">
        <v>18920000</v>
      </c>
      <c r="M239" s="42">
        <v>18920000</v>
      </c>
      <c r="N239" s="10">
        <f t="shared" si="3"/>
        <v>0</v>
      </c>
      <c r="O239" t="s">
        <v>704</v>
      </c>
    </row>
    <row r="240" spans="1:15" x14ac:dyDescent="0.25">
      <c r="A240" t="s">
        <v>218</v>
      </c>
      <c r="B240" t="s">
        <v>13</v>
      </c>
      <c r="C240" s="12">
        <v>45902</v>
      </c>
      <c r="D240" s="12">
        <v>46022</v>
      </c>
      <c r="E240" t="s">
        <v>743</v>
      </c>
      <c r="F240" t="s">
        <v>14</v>
      </c>
      <c r="G240">
        <v>1087413951</v>
      </c>
      <c r="H240" t="s">
        <v>219</v>
      </c>
      <c r="I240">
        <v>98333941</v>
      </c>
      <c r="J240" t="s">
        <v>14</v>
      </c>
      <c r="K240" t="s">
        <v>15</v>
      </c>
      <c r="L240" s="42">
        <v>18920000</v>
      </c>
      <c r="M240" s="42">
        <v>18920000</v>
      </c>
      <c r="N240" s="10">
        <f t="shared" si="3"/>
        <v>0</v>
      </c>
      <c r="O240" t="s">
        <v>704</v>
      </c>
    </row>
    <row r="241" spans="1:15" x14ac:dyDescent="0.25">
      <c r="A241" t="s">
        <v>432</v>
      </c>
      <c r="B241" t="s">
        <v>13</v>
      </c>
      <c r="C241" s="12">
        <v>45902</v>
      </c>
      <c r="D241" s="12">
        <v>46022</v>
      </c>
      <c r="E241" t="s">
        <v>779</v>
      </c>
      <c r="F241" t="s">
        <v>14</v>
      </c>
      <c r="G241">
        <v>1085340885</v>
      </c>
      <c r="H241" t="s">
        <v>433</v>
      </c>
      <c r="I241">
        <v>98333941</v>
      </c>
      <c r="J241" t="s">
        <v>14</v>
      </c>
      <c r="K241" t="s">
        <v>15</v>
      </c>
      <c r="L241" s="42">
        <v>18920000</v>
      </c>
      <c r="M241" s="42">
        <v>18920000</v>
      </c>
      <c r="N241" s="10">
        <f t="shared" si="3"/>
        <v>0</v>
      </c>
      <c r="O241" t="s">
        <v>704</v>
      </c>
    </row>
    <row r="242" spans="1:15" x14ac:dyDescent="0.25">
      <c r="A242" t="s">
        <v>273</v>
      </c>
      <c r="B242" t="s">
        <v>13</v>
      </c>
      <c r="C242" s="12">
        <v>45901</v>
      </c>
      <c r="D242" s="12">
        <v>46022</v>
      </c>
      <c r="E242" t="s">
        <v>752</v>
      </c>
      <c r="F242" t="s">
        <v>14</v>
      </c>
      <c r="G242">
        <v>1193383306</v>
      </c>
      <c r="H242" t="s">
        <v>274</v>
      </c>
      <c r="I242">
        <v>59836926</v>
      </c>
      <c r="J242" t="s">
        <v>14</v>
      </c>
      <c r="K242" t="s">
        <v>17</v>
      </c>
      <c r="L242" s="42">
        <v>18920000</v>
      </c>
      <c r="M242" s="42">
        <v>18920000</v>
      </c>
      <c r="N242" s="10">
        <f t="shared" si="3"/>
        <v>0</v>
      </c>
      <c r="O242" t="s">
        <v>704</v>
      </c>
    </row>
    <row r="243" spans="1:15" x14ac:dyDescent="0.25">
      <c r="A243" t="s">
        <v>176</v>
      </c>
      <c r="B243" t="s">
        <v>13</v>
      </c>
      <c r="C243" s="12">
        <v>45946</v>
      </c>
      <c r="D243" s="12">
        <v>46022</v>
      </c>
      <c r="E243" t="s">
        <v>717</v>
      </c>
      <c r="F243" t="s">
        <v>14</v>
      </c>
      <c r="G243">
        <v>1061794455</v>
      </c>
      <c r="H243" t="s">
        <v>177</v>
      </c>
      <c r="I243">
        <v>59836926</v>
      </c>
      <c r="J243" t="s">
        <v>14</v>
      </c>
      <c r="K243" t="s">
        <v>17</v>
      </c>
      <c r="L243" s="42">
        <v>19500000</v>
      </c>
      <c r="M243" s="42">
        <v>19500000</v>
      </c>
      <c r="N243" s="10">
        <f t="shared" si="3"/>
        <v>0</v>
      </c>
      <c r="O243" t="s">
        <v>704</v>
      </c>
    </row>
    <row r="244" spans="1:15" x14ac:dyDescent="0.25">
      <c r="A244" t="s">
        <v>390</v>
      </c>
      <c r="B244" t="s">
        <v>13</v>
      </c>
      <c r="C244" s="12">
        <v>45946</v>
      </c>
      <c r="D244" s="12">
        <v>46022</v>
      </c>
      <c r="E244" t="s">
        <v>769</v>
      </c>
      <c r="F244" t="s">
        <v>14</v>
      </c>
      <c r="G244">
        <v>98398376</v>
      </c>
      <c r="H244" t="s">
        <v>391</v>
      </c>
      <c r="I244">
        <v>59836926</v>
      </c>
      <c r="J244" t="s">
        <v>14</v>
      </c>
      <c r="K244" t="s">
        <v>17</v>
      </c>
      <c r="L244" s="42">
        <v>19500000</v>
      </c>
      <c r="M244" s="42">
        <v>19500000</v>
      </c>
      <c r="N244" s="10">
        <f t="shared" si="3"/>
        <v>0</v>
      </c>
      <c r="O244" t="s">
        <v>704</v>
      </c>
    </row>
    <row r="245" spans="1:15" x14ac:dyDescent="0.25">
      <c r="A245" t="s">
        <v>409</v>
      </c>
      <c r="B245" t="s">
        <v>13</v>
      </c>
      <c r="C245" s="12">
        <v>45945</v>
      </c>
      <c r="D245" s="12">
        <v>46022</v>
      </c>
      <c r="E245" t="s">
        <v>776</v>
      </c>
      <c r="F245" t="s">
        <v>14</v>
      </c>
      <c r="G245">
        <v>87065647</v>
      </c>
      <c r="H245" t="s">
        <v>410</v>
      </c>
      <c r="I245">
        <v>59836926</v>
      </c>
      <c r="J245" t="s">
        <v>14</v>
      </c>
      <c r="K245" t="s">
        <v>17</v>
      </c>
      <c r="L245" s="42">
        <v>19500000</v>
      </c>
      <c r="M245" s="42">
        <v>19500000</v>
      </c>
      <c r="N245" s="10">
        <f t="shared" si="3"/>
        <v>0</v>
      </c>
      <c r="O245" t="s">
        <v>704</v>
      </c>
    </row>
    <row r="246" spans="1:15" x14ac:dyDescent="0.25">
      <c r="A246" t="s">
        <v>607</v>
      </c>
      <c r="B246" t="s">
        <v>13</v>
      </c>
      <c r="C246" s="12">
        <v>45923</v>
      </c>
      <c r="D246" s="12">
        <v>46022</v>
      </c>
      <c r="E246" t="s">
        <v>745</v>
      </c>
      <c r="F246" t="s">
        <v>14</v>
      </c>
      <c r="G246">
        <v>27456421</v>
      </c>
      <c r="H246" t="s">
        <v>608</v>
      </c>
      <c r="I246">
        <v>98390119</v>
      </c>
      <c r="J246" t="s">
        <v>14</v>
      </c>
      <c r="K246" t="s">
        <v>63</v>
      </c>
      <c r="L246" s="42">
        <v>22050000</v>
      </c>
      <c r="M246" s="42">
        <v>22050000</v>
      </c>
      <c r="N246" s="10">
        <f t="shared" si="3"/>
        <v>0</v>
      </c>
      <c r="O246" t="s">
        <v>704</v>
      </c>
    </row>
    <row r="247" spans="1:15" x14ac:dyDescent="0.25">
      <c r="A247" t="s">
        <v>329</v>
      </c>
      <c r="B247" t="s">
        <v>13</v>
      </c>
      <c r="C247" s="12">
        <v>45922</v>
      </c>
      <c r="D247" s="12">
        <v>46022</v>
      </c>
      <c r="E247" t="s">
        <v>760</v>
      </c>
      <c r="F247" t="s">
        <v>14</v>
      </c>
      <c r="G247">
        <v>59314458</v>
      </c>
      <c r="H247" t="s">
        <v>25</v>
      </c>
      <c r="I247">
        <v>98390119</v>
      </c>
      <c r="J247" t="s">
        <v>14</v>
      </c>
      <c r="K247" t="s">
        <v>63</v>
      </c>
      <c r="L247" s="42">
        <v>22050000</v>
      </c>
      <c r="M247" s="42">
        <v>22050000</v>
      </c>
      <c r="N247" s="10">
        <f t="shared" si="3"/>
        <v>0</v>
      </c>
      <c r="O247" t="s">
        <v>704</v>
      </c>
    </row>
    <row r="248" spans="1:15" x14ac:dyDescent="0.25">
      <c r="A248" t="s">
        <v>121</v>
      </c>
      <c r="B248" t="s">
        <v>13</v>
      </c>
      <c r="C248" s="12">
        <v>45922</v>
      </c>
      <c r="D248" s="12">
        <v>46022</v>
      </c>
      <c r="E248" t="s">
        <v>718</v>
      </c>
      <c r="F248" t="s">
        <v>14</v>
      </c>
      <c r="G248">
        <v>1193383314</v>
      </c>
      <c r="H248" t="s">
        <v>122</v>
      </c>
      <c r="I248">
        <v>98390119</v>
      </c>
      <c r="J248" t="s">
        <v>14</v>
      </c>
      <c r="K248" t="s">
        <v>63</v>
      </c>
      <c r="L248" s="42">
        <v>22050000</v>
      </c>
      <c r="M248" s="42">
        <v>22050000</v>
      </c>
      <c r="N248" s="10">
        <f t="shared" si="3"/>
        <v>0</v>
      </c>
      <c r="O248" t="s">
        <v>704</v>
      </c>
    </row>
    <row r="249" spans="1:15" x14ac:dyDescent="0.25">
      <c r="A249" t="s">
        <v>671</v>
      </c>
      <c r="B249" t="s">
        <v>13</v>
      </c>
      <c r="C249" s="12">
        <v>45919</v>
      </c>
      <c r="D249" s="12">
        <v>46022</v>
      </c>
      <c r="E249" t="s">
        <v>822</v>
      </c>
      <c r="F249" t="s">
        <v>14</v>
      </c>
      <c r="G249">
        <v>59837608</v>
      </c>
      <c r="H249" t="s">
        <v>47</v>
      </c>
      <c r="I249">
        <v>98333941</v>
      </c>
      <c r="J249" t="s">
        <v>14</v>
      </c>
      <c r="K249" t="s">
        <v>15</v>
      </c>
      <c r="L249" s="42">
        <v>22050000</v>
      </c>
      <c r="M249" s="42">
        <v>22050000</v>
      </c>
      <c r="N249" s="10">
        <f t="shared" si="3"/>
        <v>0</v>
      </c>
      <c r="O249" t="s">
        <v>704</v>
      </c>
    </row>
    <row r="250" spans="1:15" x14ac:dyDescent="0.25">
      <c r="A250" t="s">
        <v>638</v>
      </c>
      <c r="B250" t="s">
        <v>13</v>
      </c>
      <c r="C250" s="12">
        <v>45919</v>
      </c>
      <c r="D250" s="12">
        <v>46022</v>
      </c>
      <c r="E250" t="s">
        <v>817</v>
      </c>
      <c r="F250" t="s">
        <v>14</v>
      </c>
      <c r="G250">
        <v>1004564013</v>
      </c>
      <c r="H250" t="s">
        <v>639</v>
      </c>
      <c r="I250">
        <v>43624414</v>
      </c>
      <c r="J250" t="s">
        <v>14</v>
      </c>
      <c r="K250" t="s">
        <v>18</v>
      </c>
      <c r="L250" s="42">
        <v>22050000</v>
      </c>
      <c r="M250" s="42">
        <v>22050000</v>
      </c>
      <c r="N250" s="10">
        <f t="shared" si="3"/>
        <v>0</v>
      </c>
      <c r="O250" t="s">
        <v>704</v>
      </c>
    </row>
    <row r="251" spans="1:15" x14ac:dyDescent="0.25">
      <c r="A251" t="s">
        <v>563</v>
      </c>
      <c r="B251" t="s">
        <v>13</v>
      </c>
      <c r="C251" s="12">
        <v>45917</v>
      </c>
      <c r="D251" s="12">
        <v>46022</v>
      </c>
      <c r="E251" t="s">
        <v>802</v>
      </c>
      <c r="F251" t="s">
        <v>14</v>
      </c>
      <c r="G251">
        <v>1085275879</v>
      </c>
      <c r="H251" t="s">
        <v>59</v>
      </c>
      <c r="I251">
        <v>98390119</v>
      </c>
      <c r="J251" t="s">
        <v>14</v>
      </c>
      <c r="K251" t="s">
        <v>63</v>
      </c>
      <c r="L251" s="42">
        <v>22050000</v>
      </c>
      <c r="M251" s="42">
        <v>22050000</v>
      </c>
      <c r="N251" s="10">
        <f t="shared" si="3"/>
        <v>0</v>
      </c>
      <c r="O251" t="s">
        <v>704</v>
      </c>
    </row>
    <row r="252" spans="1:15" x14ac:dyDescent="0.25">
      <c r="A252" t="s">
        <v>371</v>
      </c>
      <c r="B252" t="s">
        <v>13</v>
      </c>
      <c r="C252" s="12">
        <v>45938</v>
      </c>
      <c r="D252" s="12">
        <v>46022</v>
      </c>
      <c r="E252" t="s">
        <v>722</v>
      </c>
      <c r="F252" t="s">
        <v>14</v>
      </c>
      <c r="G252">
        <v>1123327071</v>
      </c>
      <c r="H252" t="s">
        <v>372</v>
      </c>
      <c r="I252">
        <v>43624414</v>
      </c>
      <c r="J252" t="s">
        <v>14</v>
      </c>
      <c r="K252" t="s">
        <v>18</v>
      </c>
      <c r="L252" s="42">
        <v>23400000</v>
      </c>
      <c r="M252" s="42">
        <v>23400000</v>
      </c>
      <c r="N252" s="10">
        <f t="shared" si="3"/>
        <v>0</v>
      </c>
      <c r="O252" t="s">
        <v>704</v>
      </c>
    </row>
    <row r="253" spans="1:15" x14ac:dyDescent="0.25">
      <c r="A253" t="s">
        <v>472</v>
      </c>
      <c r="B253" t="s">
        <v>13</v>
      </c>
      <c r="C253" s="12">
        <v>45930</v>
      </c>
      <c r="D253" s="12">
        <v>46022</v>
      </c>
      <c r="E253" t="s">
        <v>789</v>
      </c>
      <c r="F253" t="s">
        <v>14</v>
      </c>
      <c r="G253">
        <v>12961407</v>
      </c>
      <c r="H253" t="s">
        <v>473</v>
      </c>
      <c r="I253">
        <v>59836926</v>
      </c>
      <c r="J253" t="s">
        <v>14</v>
      </c>
      <c r="K253" t="s">
        <v>17</v>
      </c>
      <c r="L253" s="42">
        <v>23400000</v>
      </c>
      <c r="M253" s="42">
        <v>23400000</v>
      </c>
      <c r="N253" s="10">
        <f t="shared" si="3"/>
        <v>0</v>
      </c>
      <c r="O253" t="s">
        <v>704</v>
      </c>
    </row>
    <row r="254" spans="1:15" x14ac:dyDescent="0.25">
      <c r="A254" t="s">
        <v>613</v>
      </c>
      <c r="B254" t="s">
        <v>13</v>
      </c>
      <c r="C254" s="12">
        <v>45940</v>
      </c>
      <c r="D254" s="12">
        <v>46022</v>
      </c>
      <c r="E254" t="s">
        <v>809</v>
      </c>
      <c r="F254" t="s">
        <v>14</v>
      </c>
      <c r="G254">
        <v>59313415</v>
      </c>
      <c r="H254" t="s">
        <v>614</v>
      </c>
      <c r="I254">
        <v>98390119</v>
      </c>
      <c r="J254" t="s">
        <v>14</v>
      </c>
      <c r="K254" t="s">
        <v>63</v>
      </c>
      <c r="L254" s="42">
        <v>23400000</v>
      </c>
      <c r="M254" s="42">
        <v>23400000</v>
      </c>
      <c r="N254" s="10">
        <f t="shared" si="3"/>
        <v>0</v>
      </c>
      <c r="O254" t="s">
        <v>704</v>
      </c>
    </row>
    <row r="255" spans="1:15" x14ac:dyDescent="0.25">
      <c r="A255" t="s">
        <v>596</v>
      </c>
      <c r="B255" t="s">
        <v>13</v>
      </c>
      <c r="C255" s="12">
        <v>45911</v>
      </c>
      <c r="D255" s="12">
        <v>46022</v>
      </c>
      <c r="E255" t="s">
        <v>719</v>
      </c>
      <c r="F255" t="s">
        <v>14</v>
      </c>
      <c r="G255">
        <v>59825948</v>
      </c>
      <c r="H255" t="s">
        <v>34</v>
      </c>
      <c r="I255">
        <v>43624414</v>
      </c>
      <c r="J255" t="s">
        <v>14</v>
      </c>
      <c r="K255" t="s">
        <v>18</v>
      </c>
      <c r="L255" s="42">
        <v>25200000</v>
      </c>
      <c r="M255" s="42">
        <v>25200000</v>
      </c>
      <c r="N255" s="10">
        <f t="shared" si="3"/>
        <v>0</v>
      </c>
      <c r="O255" t="s">
        <v>704</v>
      </c>
    </row>
    <row r="256" spans="1:15" x14ac:dyDescent="0.25">
      <c r="A256" t="s">
        <v>125</v>
      </c>
      <c r="B256" t="s">
        <v>13</v>
      </c>
      <c r="C256" s="12">
        <v>45911</v>
      </c>
      <c r="D256" s="12">
        <v>46022</v>
      </c>
      <c r="E256" t="s">
        <v>719</v>
      </c>
      <c r="F256" t="s">
        <v>14</v>
      </c>
      <c r="G256">
        <v>1085347312</v>
      </c>
      <c r="H256" t="s">
        <v>126</v>
      </c>
      <c r="I256">
        <v>98333941</v>
      </c>
      <c r="J256" t="s">
        <v>14</v>
      </c>
      <c r="K256" t="s">
        <v>15</v>
      </c>
      <c r="L256" s="42">
        <v>25200000</v>
      </c>
      <c r="M256" s="42">
        <v>25200000</v>
      </c>
      <c r="N256" s="10">
        <f t="shared" si="3"/>
        <v>0</v>
      </c>
      <c r="O256" t="s">
        <v>704</v>
      </c>
    </row>
    <row r="257" spans="1:15" x14ac:dyDescent="0.25">
      <c r="A257" t="s">
        <v>667</v>
      </c>
      <c r="B257" t="s">
        <v>13</v>
      </c>
      <c r="C257" s="12">
        <v>45911</v>
      </c>
      <c r="D257" s="12">
        <v>46022</v>
      </c>
      <c r="E257" t="s">
        <v>719</v>
      </c>
      <c r="F257" t="s">
        <v>14</v>
      </c>
      <c r="G257">
        <v>1084551863</v>
      </c>
      <c r="H257" t="s">
        <v>668</v>
      </c>
      <c r="I257">
        <v>98333941</v>
      </c>
      <c r="J257" t="s">
        <v>14</v>
      </c>
      <c r="K257" t="s">
        <v>15</v>
      </c>
      <c r="L257" s="42">
        <v>25200000</v>
      </c>
      <c r="M257" s="42">
        <v>25200000</v>
      </c>
      <c r="N257" s="10">
        <f t="shared" si="3"/>
        <v>0</v>
      </c>
      <c r="O257" t="s">
        <v>704</v>
      </c>
    </row>
    <row r="258" spans="1:15" x14ac:dyDescent="0.25">
      <c r="A258" t="s">
        <v>476</v>
      </c>
      <c r="B258" t="s">
        <v>13</v>
      </c>
      <c r="C258" s="12">
        <v>45910</v>
      </c>
      <c r="D258" s="12">
        <v>46022</v>
      </c>
      <c r="E258" t="s">
        <v>719</v>
      </c>
      <c r="F258" t="s">
        <v>14</v>
      </c>
      <c r="G258">
        <v>97470681</v>
      </c>
      <c r="H258" t="s">
        <v>55</v>
      </c>
      <c r="I258">
        <v>98333941</v>
      </c>
      <c r="J258" t="s">
        <v>14</v>
      </c>
      <c r="K258" t="s">
        <v>15</v>
      </c>
      <c r="L258" s="42">
        <v>25200000</v>
      </c>
      <c r="M258" s="42">
        <v>25200000</v>
      </c>
      <c r="N258" s="10">
        <f t="shared" si="3"/>
        <v>0</v>
      </c>
      <c r="O258" t="s">
        <v>704</v>
      </c>
    </row>
    <row r="259" spans="1:15" x14ac:dyDescent="0.25">
      <c r="A259" t="s">
        <v>205</v>
      </c>
      <c r="B259" t="s">
        <v>13</v>
      </c>
      <c r="C259" s="12">
        <v>45910</v>
      </c>
      <c r="D259" s="12">
        <v>46022</v>
      </c>
      <c r="E259" t="s">
        <v>719</v>
      </c>
      <c r="F259" t="s">
        <v>14</v>
      </c>
      <c r="G259">
        <v>1082748420</v>
      </c>
      <c r="H259" t="s">
        <v>65</v>
      </c>
      <c r="I259">
        <v>98333941</v>
      </c>
      <c r="J259" t="s">
        <v>14</v>
      </c>
      <c r="K259" t="s">
        <v>15</v>
      </c>
      <c r="L259" s="42">
        <v>25200000</v>
      </c>
      <c r="M259" s="42">
        <v>25200000</v>
      </c>
      <c r="N259" s="10">
        <f t="shared" ref="N259:N322" si="4">M259-L259</f>
        <v>0</v>
      </c>
      <c r="O259" t="s">
        <v>704</v>
      </c>
    </row>
    <row r="260" spans="1:15" x14ac:dyDescent="0.25">
      <c r="A260" t="s">
        <v>134</v>
      </c>
      <c r="B260" t="s">
        <v>13</v>
      </c>
      <c r="C260" s="12">
        <v>45909</v>
      </c>
      <c r="D260" s="12">
        <v>46022</v>
      </c>
      <c r="E260" t="s">
        <v>719</v>
      </c>
      <c r="F260" t="s">
        <v>14</v>
      </c>
      <c r="G260">
        <v>59310291</v>
      </c>
      <c r="H260" t="s">
        <v>135</v>
      </c>
      <c r="I260">
        <v>98333941</v>
      </c>
      <c r="J260" t="s">
        <v>14</v>
      </c>
      <c r="K260" t="s">
        <v>15</v>
      </c>
      <c r="L260" s="42">
        <v>25200000</v>
      </c>
      <c r="M260" s="42">
        <v>25200000</v>
      </c>
      <c r="N260" s="10">
        <f t="shared" si="4"/>
        <v>0</v>
      </c>
      <c r="O260" t="s">
        <v>704</v>
      </c>
    </row>
    <row r="261" spans="1:15" x14ac:dyDescent="0.25">
      <c r="A261" t="s">
        <v>411</v>
      </c>
      <c r="B261" t="s">
        <v>13</v>
      </c>
      <c r="C261" s="12">
        <v>45909</v>
      </c>
      <c r="D261" s="12">
        <v>46022</v>
      </c>
      <c r="E261" t="s">
        <v>719</v>
      </c>
      <c r="F261" t="s">
        <v>14</v>
      </c>
      <c r="G261">
        <v>1085272491</v>
      </c>
      <c r="H261" t="s">
        <v>412</v>
      </c>
      <c r="I261">
        <v>98390119</v>
      </c>
      <c r="J261" t="s">
        <v>14</v>
      </c>
      <c r="K261" t="s">
        <v>63</v>
      </c>
      <c r="L261" s="42">
        <v>25200000</v>
      </c>
      <c r="M261" s="42">
        <v>25200000</v>
      </c>
      <c r="N261" s="10">
        <f t="shared" si="4"/>
        <v>0</v>
      </c>
      <c r="O261" t="s">
        <v>704</v>
      </c>
    </row>
    <row r="262" spans="1:15" x14ac:dyDescent="0.25">
      <c r="A262" t="s">
        <v>260</v>
      </c>
      <c r="B262" t="s">
        <v>13</v>
      </c>
      <c r="C262" s="12">
        <v>45908</v>
      </c>
      <c r="D262" s="12">
        <v>46022</v>
      </c>
      <c r="E262" t="s">
        <v>719</v>
      </c>
      <c r="F262" t="s">
        <v>14</v>
      </c>
      <c r="G262">
        <v>1053793750</v>
      </c>
      <c r="H262" t="s">
        <v>261</v>
      </c>
      <c r="I262">
        <v>98333941</v>
      </c>
      <c r="J262" t="s">
        <v>14</v>
      </c>
      <c r="K262" t="s">
        <v>15</v>
      </c>
      <c r="L262" s="42">
        <v>25200000</v>
      </c>
      <c r="M262" s="42">
        <v>25200000</v>
      </c>
      <c r="N262" s="10">
        <f t="shared" si="4"/>
        <v>0</v>
      </c>
      <c r="O262" t="s">
        <v>704</v>
      </c>
    </row>
    <row r="263" spans="1:15" x14ac:dyDescent="0.25">
      <c r="A263" t="s">
        <v>192</v>
      </c>
      <c r="B263" t="s">
        <v>13</v>
      </c>
      <c r="C263" s="12">
        <v>45908</v>
      </c>
      <c r="D263" s="12">
        <v>46022</v>
      </c>
      <c r="E263" t="s">
        <v>719</v>
      </c>
      <c r="F263" t="s">
        <v>14</v>
      </c>
      <c r="G263">
        <v>27146489</v>
      </c>
      <c r="H263" t="s">
        <v>193</v>
      </c>
      <c r="I263">
        <v>98390119</v>
      </c>
      <c r="J263" t="s">
        <v>14</v>
      </c>
      <c r="K263" t="s">
        <v>63</v>
      </c>
      <c r="L263" s="42">
        <v>25200000</v>
      </c>
      <c r="M263" s="42">
        <v>25200000</v>
      </c>
      <c r="N263" s="10">
        <f t="shared" si="4"/>
        <v>0</v>
      </c>
      <c r="O263" t="s">
        <v>704</v>
      </c>
    </row>
    <row r="264" spans="1:15" x14ac:dyDescent="0.25">
      <c r="A264" t="s">
        <v>180</v>
      </c>
      <c r="B264" t="s">
        <v>13</v>
      </c>
      <c r="C264" s="12">
        <v>45908</v>
      </c>
      <c r="D264" s="12">
        <v>46022</v>
      </c>
      <c r="E264" t="s">
        <v>719</v>
      </c>
      <c r="F264" t="s">
        <v>14</v>
      </c>
      <c r="G264">
        <v>59836480</v>
      </c>
      <c r="H264" t="s">
        <v>181</v>
      </c>
      <c r="I264">
        <v>43624414</v>
      </c>
      <c r="J264" t="s">
        <v>14</v>
      </c>
      <c r="K264" t="s">
        <v>18</v>
      </c>
      <c r="L264" s="42">
        <v>25200000</v>
      </c>
      <c r="M264" s="42">
        <v>25200000</v>
      </c>
      <c r="N264" s="10">
        <f t="shared" si="4"/>
        <v>0</v>
      </c>
      <c r="O264" t="s">
        <v>704</v>
      </c>
    </row>
    <row r="265" spans="1:15" x14ac:dyDescent="0.25">
      <c r="A265" t="s">
        <v>378</v>
      </c>
      <c r="B265" t="s">
        <v>13</v>
      </c>
      <c r="C265" s="12">
        <v>45908</v>
      </c>
      <c r="D265" s="12">
        <v>46022</v>
      </c>
      <c r="E265" t="s">
        <v>766</v>
      </c>
      <c r="F265" t="s">
        <v>14</v>
      </c>
      <c r="G265">
        <v>1010010954</v>
      </c>
      <c r="H265" t="s">
        <v>379</v>
      </c>
      <c r="I265">
        <v>43624414</v>
      </c>
      <c r="J265" t="s">
        <v>14</v>
      </c>
      <c r="K265" t="s">
        <v>18</v>
      </c>
      <c r="L265" s="42">
        <v>25200000</v>
      </c>
      <c r="M265" s="42">
        <v>25200000</v>
      </c>
      <c r="N265" s="10">
        <f t="shared" si="4"/>
        <v>0</v>
      </c>
      <c r="O265" t="s">
        <v>704</v>
      </c>
    </row>
    <row r="266" spans="1:15" x14ac:dyDescent="0.25">
      <c r="A266" t="s">
        <v>526</v>
      </c>
      <c r="B266" t="s">
        <v>13</v>
      </c>
      <c r="C266" s="12">
        <v>45905</v>
      </c>
      <c r="D266" s="12">
        <v>46022</v>
      </c>
      <c r="E266" t="s">
        <v>754</v>
      </c>
      <c r="F266" t="s">
        <v>14</v>
      </c>
      <c r="G266">
        <v>1085299577</v>
      </c>
      <c r="H266" t="s">
        <v>527</v>
      </c>
      <c r="I266">
        <v>98390119</v>
      </c>
      <c r="J266" t="s">
        <v>14</v>
      </c>
      <c r="K266" t="s">
        <v>63</v>
      </c>
      <c r="L266" s="42">
        <v>25200000</v>
      </c>
      <c r="M266" s="42">
        <v>25200000</v>
      </c>
      <c r="N266" s="10">
        <f t="shared" si="4"/>
        <v>0</v>
      </c>
      <c r="O266" t="s">
        <v>704</v>
      </c>
    </row>
    <row r="267" spans="1:15" x14ac:dyDescent="0.25">
      <c r="A267" t="s">
        <v>402</v>
      </c>
      <c r="B267" t="s">
        <v>13</v>
      </c>
      <c r="C267" s="12">
        <v>45905</v>
      </c>
      <c r="D267" s="12">
        <v>46022</v>
      </c>
      <c r="E267" t="s">
        <v>754</v>
      </c>
      <c r="F267" t="s">
        <v>14</v>
      </c>
      <c r="G267">
        <v>1084228089</v>
      </c>
      <c r="H267" t="s">
        <v>403</v>
      </c>
      <c r="I267">
        <v>98333941</v>
      </c>
      <c r="J267" t="s">
        <v>14</v>
      </c>
      <c r="K267" t="s">
        <v>15</v>
      </c>
      <c r="L267" s="42">
        <v>25200000</v>
      </c>
      <c r="M267" s="42">
        <v>25200000</v>
      </c>
      <c r="N267" s="10">
        <f t="shared" si="4"/>
        <v>0</v>
      </c>
      <c r="O267" t="s">
        <v>704</v>
      </c>
    </row>
    <row r="268" spans="1:15" x14ac:dyDescent="0.25">
      <c r="A268" t="s">
        <v>499</v>
      </c>
      <c r="B268" t="s">
        <v>13</v>
      </c>
      <c r="C268" s="12">
        <v>45905</v>
      </c>
      <c r="D268" s="12">
        <v>46022</v>
      </c>
      <c r="E268" t="s">
        <v>745</v>
      </c>
      <c r="F268" t="s">
        <v>14</v>
      </c>
      <c r="G268">
        <v>1085286476</v>
      </c>
      <c r="H268" t="s">
        <v>500</v>
      </c>
      <c r="I268">
        <v>59836926</v>
      </c>
      <c r="J268" t="s">
        <v>14</v>
      </c>
      <c r="K268" t="s">
        <v>17</v>
      </c>
      <c r="L268" s="42">
        <v>25200000</v>
      </c>
      <c r="M268" s="42">
        <v>25200000</v>
      </c>
      <c r="N268" s="10">
        <f t="shared" si="4"/>
        <v>0</v>
      </c>
      <c r="O268" t="s">
        <v>704</v>
      </c>
    </row>
    <row r="269" spans="1:15" x14ac:dyDescent="0.25">
      <c r="A269" t="s">
        <v>680</v>
      </c>
      <c r="B269" t="s">
        <v>13</v>
      </c>
      <c r="C269" s="12">
        <v>45904</v>
      </c>
      <c r="D269" s="12">
        <v>46022</v>
      </c>
      <c r="E269" t="s">
        <v>823</v>
      </c>
      <c r="F269" t="s">
        <v>14</v>
      </c>
      <c r="G269">
        <v>1085277976</v>
      </c>
      <c r="H269" t="s">
        <v>681</v>
      </c>
      <c r="I269">
        <v>43624414</v>
      </c>
      <c r="J269" t="s">
        <v>14</v>
      </c>
      <c r="K269" t="s">
        <v>18</v>
      </c>
      <c r="L269" s="42">
        <v>25200000</v>
      </c>
      <c r="M269" s="42">
        <v>25200000</v>
      </c>
      <c r="N269" s="10">
        <f t="shared" si="4"/>
        <v>0</v>
      </c>
      <c r="O269" t="s">
        <v>704</v>
      </c>
    </row>
    <row r="270" spans="1:15" x14ac:dyDescent="0.25">
      <c r="A270" t="s">
        <v>413</v>
      </c>
      <c r="B270" t="s">
        <v>13</v>
      </c>
      <c r="C270" s="12">
        <v>45904</v>
      </c>
      <c r="D270" s="12">
        <v>46022</v>
      </c>
      <c r="E270" t="s">
        <v>777</v>
      </c>
      <c r="F270" t="s">
        <v>14</v>
      </c>
      <c r="G270">
        <v>1085283868</v>
      </c>
      <c r="H270" t="s">
        <v>414</v>
      </c>
      <c r="I270">
        <v>43624414</v>
      </c>
      <c r="J270" t="s">
        <v>14</v>
      </c>
      <c r="K270" t="s">
        <v>18</v>
      </c>
      <c r="L270" s="42">
        <v>25200000</v>
      </c>
      <c r="M270" s="42">
        <v>25200000</v>
      </c>
      <c r="N270" s="10">
        <f t="shared" si="4"/>
        <v>0</v>
      </c>
      <c r="O270" t="s">
        <v>704</v>
      </c>
    </row>
    <row r="271" spans="1:15" x14ac:dyDescent="0.25">
      <c r="A271" t="s">
        <v>553</v>
      </c>
      <c r="B271" t="s">
        <v>13</v>
      </c>
      <c r="C271" s="12">
        <v>45904</v>
      </c>
      <c r="D271" s="12">
        <v>46022</v>
      </c>
      <c r="E271" t="s">
        <v>777</v>
      </c>
      <c r="F271" t="s">
        <v>14</v>
      </c>
      <c r="G271">
        <v>1085296068</v>
      </c>
      <c r="H271" t="s">
        <v>554</v>
      </c>
      <c r="I271">
        <v>98333941</v>
      </c>
      <c r="J271" t="s">
        <v>14</v>
      </c>
      <c r="K271" t="s">
        <v>15</v>
      </c>
      <c r="L271" s="42">
        <v>25200000</v>
      </c>
      <c r="M271" s="42">
        <v>25200000</v>
      </c>
      <c r="N271" s="10">
        <f t="shared" si="4"/>
        <v>0</v>
      </c>
      <c r="O271" t="s">
        <v>704</v>
      </c>
    </row>
    <row r="272" spans="1:15" x14ac:dyDescent="0.25">
      <c r="A272" t="s">
        <v>583</v>
      </c>
      <c r="B272" t="s">
        <v>13</v>
      </c>
      <c r="C272" s="12">
        <v>45903</v>
      </c>
      <c r="D272" s="12">
        <v>46022</v>
      </c>
      <c r="E272" t="s">
        <v>777</v>
      </c>
      <c r="F272" t="s">
        <v>14</v>
      </c>
      <c r="G272">
        <v>59820414</v>
      </c>
      <c r="H272" t="s">
        <v>584</v>
      </c>
      <c r="I272">
        <v>43624414</v>
      </c>
      <c r="J272" t="s">
        <v>14</v>
      </c>
      <c r="K272" t="s">
        <v>18</v>
      </c>
      <c r="L272" s="42">
        <v>25200000</v>
      </c>
      <c r="M272" s="42">
        <v>25200000</v>
      </c>
      <c r="N272" s="10">
        <f t="shared" si="4"/>
        <v>0</v>
      </c>
      <c r="O272" t="s">
        <v>704</v>
      </c>
    </row>
    <row r="273" spans="1:15" x14ac:dyDescent="0.25">
      <c r="A273" t="s">
        <v>357</v>
      </c>
      <c r="B273" t="s">
        <v>13</v>
      </c>
      <c r="C273" s="12">
        <v>45925</v>
      </c>
      <c r="D273" s="12">
        <v>46022</v>
      </c>
      <c r="E273" t="s">
        <v>722</v>
      </c>
      <c r="F273" t="s">
        <v>14</v>
      </c>
      <c r="G273">
        <v>1233188295</v>
      </c>
      <c r="H273" t="s">
        <v>358</v>
      </c>
      <c r="I273">
        <v>98390119</v>
      </c>
      <c r="J273" t="s">
        <v>14</v>
      </c>
      <c r="K273" t="s">
        <v>63</v>
      </c>
      <c r="L273" s="42">
        <v>27300000</v>
      </c>
      <c r="M273" s="42">
        <v>27300000</v>
      </c>
      <c r="N273" s="10">
        <f t="shared" si="4"/>
        <v>0</v>
      </c>
      <c r="O273" t="s">
        <v>704</v>
      </c>
    </row>
    <row r="274" spans="1:15" x14ac:dyDescent="0.25">
      <c r="A274" t="s">
        <v>279</v>
      </c>
      <c r="B274" t="s">
        <v>13</v>
      </c>
      <c r="C274" s="12">
        <v>45925</v>
      </c>
      <c r="D274" s="12">
        <v>46022</v>
      </c>
      <c r="E274" t="s">
        <v>722</v>
      </c>
      <c r="F274" t="s">
        <v>14</v>
      </c>
      <c r="G274">
        <v>1144172704</v>
      </c>
      <c r="H274" t="s">
        <v>280</v>
      </c>
      <c r="I274">
        <v>43624414</v>
      </c>
      <c r="J274" t="s">
        <v>14</v>
      </c>
      <c r="K274" t="s">
        <v>18</v>
      </c>
      <c r="L274" s="42">
        <v>27300000</v>
      </c>
      <c r="M274" s="42">
        <v>27300000</v>
      </c>
      <c r="N274" s="10">
        <f t="shared" si="4"/>
        <v>0</v>
      </c>
      <c r="O274" t="s">
        <v>704</v>
      </c>
    </row>
    <row r="275" spans="1:15" x14ac:dyDescent="0.25">
      <c r="A275" t="s">
        <v>102</v>
      </c>
      <c r="B275" t="s">
        <v>13</v>
      </c>
      <c r="C275" s="12">
        <v>45923</v>
      </c>
      <c r="D275" s="12">
        <v>46022</v>
      </c>
      <c r="E275" t="s">
        <v>713</v>
      </c>
      <c r="F275" t="s">
        <v>14</v>
      </c>
      <c r="G275">
        <v>1089846684</v>
      </c>
      <c r="H275" t="s">
        <v>103</v>
      </c>
      <c r="I275">
        <v>98390119</v>
      </c>
      <c r="J275" t="s">
        <v>14</v>
      </c>
      <c r="K275" t="s">
        <v>63</v>
      </c>
      <c r="L275" s="42">
        <v>27300000</v>
      </c>
      <c r="M275" s="42">
        <v>27300000</v>
      </c>
      <c r="N275" s="10">
        <f t="shared" si="4"/>
        <v>0</v>
      </c>
      <c r="O275" t="s">
        <v>704</v>
      </c>
    </row>
    <row r="276" spans="1:15" x14ac:dyDescent="0.25">
      <c r="A276" t="s">
        <v>363</v>
      </c>
      <c r="B276" t="s">
        <v>13</v>
      </c>
      <c r="C276" s="12">
        <v>45922</v>
      </c>
      <c r="D276" s="12">
        <v>46022</v>
      </c>
      <c r="E276" t="s">
        <v>749</v>
      </c>
      <c r="F276" t="s">
        <v>14</v>
      </c>
      <c r="G276">
        <v>1085274300</v>
      </c>
      <c r="H276" t="s">
        <v>364</v>
      </c>
      <c r="I276">
        <v>98390119</v>
      </c>
      <c r="J276" t="s">
        <v>14</v>
      </c>
      <c r="K276" t="s">
        <v>63</v>
      </c>
      <c r="L276" s="42">
        <v>27300000</v>
      </c>
      <c r="M276" s="42">
        <v>27300000</v>
      </c>
      <c r="N276" s="10">
        <f t="shared" si="4"/>
        <v>0</v>
      </c>
      <c r="O276" t="s">
        <v>704</v>
      </c>
    </row>
    <row r="277" spans="1:15" x14ac:dyDescent="0.25">
      <c r="A277" t="s">
        <v>152</v>
      </c>
      <c r="B277" t="s">
        <v>13</v>
      </c>
      <c r="C277" s="12">
        <v>45919</v>
      </c>
      <c r="D277" s="12">
        <v>46022</v>
      </c>
      <c r="E277" t="s">
        <v>722</v>
      </c>
      <c r="F277" t="s">
        <v>14</v>
      </c>
      <c r="G277">
        <v>1087645723</v>
      </c>
      <c r="H277" t="s">
        <v>153</v>
      </c>
      <c r="I277">
        <v>98390119</v>
      </c>
      <c r="J277" t="s">
        <v>14</v>
      </c>
      <c r="K277" t="s">
        <v>63</v>
      </c>
      <c r="L277" s="42">
        <v>27300000</v>
      </c>
      <c r="M277" s="42">
        <v>27300000</v>
      </c>
      <c r="N277" s="10">
        <f t="shared" si="4"/>
        <v>0</v>
      </c>
      <c r="O277" t="s">
        <v>704</v>
      </c>
    </row>
    <row r="278" spans="1:15" x14ac:dyDescent="0.25">
      <c r="A278" t="s">
        <v>245</v>
      </c>
      <c r="B278" t="s">
        <v>13</v>
      </c>
      <c r="C278" s="12">
        <v>45919</v>
      </c>
      <c r="D278" s="12">
        <v>46022</v>
      </c>
      <c r="E278" t="s">
        <v>749</v>
      </c>
      <c r="F278" t="s">
        <v>14</v>
      </c>
      <c r="G278">
        <v>1110594073</v>
      </c>
      <c r="H278" t="s">
        <v>246</v>
      </c>
      <c r="I278">
        <v>98390119</v>
      </c>
      <c r="J278" t="s">
        <v>14</v>
      </c>
      <c r="K278" t="s">
        <v>63</v>
      </c>
      <c r="L278" s="42">
        <v>27300000</v>
      </c>
      <c r="M278" s="42">
        <v>27300000</v>
      </c>
      <c r="N278" s="10">
        <f t="shared" si="4"/>
        <v>0</v>
      </c>
      <c r="O278" t="s">
        <v>704</v>
      </c>
    </row>
    <row r="279" spans="1:15" x14ac:dyDescent="0.25">
      <c r="A279" t="s">
        <v>337</v>
      </c>
      <c r="B279" t="s">
        <v>13</v>
      </c>
      <c r="C279" s="12">
        <v>45917</v>
      </c>
      <c r="D279" s="12">
        <v>46022</v>
      </c>
      <c r="E279" t="s">
        <v>749</v>
      </c>
      <c r="F279" t="s">
        <v>14</v>
      </c>
      <c r="G279">
        <v>1233193769</v>
      </c>
      <c r="H279" t="s">
        <v>338</v>
      </c>
      <c r="I279">
        <v>98390119</v>
      </c>
      <c r="J279" t="s">
        <v>14</v>
      </c>
      <c r="K279" t="s">
        <v>63</v>
      </c>
      <c r="L279" s="42">
        <v>27300000</v>
      </c>
      <c r="M279" s="42">
        <v>27300000</v>
      </c>
      <c r="N279" s="10">
        <f t="shared" si="4"/>
        <v>0</v>
      </c>
      <c r="O279" t="s">
        <v>704</v>
      </c>
    </row>
    <row r="280" spans="1:15" x14ac:dyDescent="0.25">
      <c r="A280" t="s">
        <v>113</v>
      </c>
      <c r="B280" t="s">
        <v>13</v>
      </c>
      <c r="C280" s="12">
        <v>45915</v>
      </c>
      <c r="D280" s="12">
        <v>46022</v>
      </c>
      <c r="E280" t="s">
        <v>710</v>
      </c>
      <c r="F280" t="s">
        <v>14</v>
      </c>
      <c r="G280">
        <v>1086361969</v>
      </c>
      <c r="H280" t="s">
        <v>114</v>
      </c>
      <c r="I280">
        <v>98333941</v>
      </c>
      <c r="J280" t="s">
        <v>14</v>
      </c>
      <c r="K280" t="s">
        <v>15</v>
      </c>
      <c r="L280" s="42">
        <v>31200000</v>
      </c>
      <c r="M280" s="42">
        <v>31200000</v>
      </c>
      <c r="N280" s="10">
        <f t="shared" si="4"/>
        <v>0</v>
      </c>
      <c r="O280" t="s">
        <v>704</v>
      </c>
    </row>
    <row r="281" spans="1:15" x14ac:dyDescent="0.25">
      <c r="A281" t="s">
        <v>324</v>
      </c>
      <c r="B281" t="s">
        <v>13</v>
      </c>
      <c r="C281" s="12">
        <v>45912</v>
      </c>
      <c r="D281" s="12">
        <v>46022</v>
      </c>
      <c r="E281" t="s">
        <v>710</v>
      </c>
      <c r="F281" t="s">
        <v>14</v>
      </c>
      <c r="G281">
        <v>1089483067</v>
      </c>
      <c r="H281" t="s">
        <v>325</v>
      </c>
      <c r="I281">
        <v>43624414</v>
      </c>
      <c r="J281" t="s">
        <v>14</v>
      </c>
      <c r="K281" t="s">
        <v>18</v>
      </c>
      <c r="L281" s="42">
        <v>31200000</v>
      </c>
      <c r="M281" s="42">
        <v>31200000</v>
      </c>
      <c r="N281" s="10">
        <f t="shared" si="4"/>
        <v>0</v>
      </c>
      <c r="O281" t="s">
        <v>704</v>
      </c>
    </row>
    <row r="282" spans="1:15" x14ac:dyDescent="0.25">
      <c r="A282" t="s">
        <v>465</v>
      </c>
      <c r="B282" t="s">
        <v>13</v>
      </c>
      <c r="C282" s="12">
        <v>45909</v>
      </c>
      <c r="D282" s="12">
        <v>46022</v>
      </c>
      <c r="E282" t="s">
        <v>710</v>
      </c>
      <c r="F282" t="s">
        <v>14</v>
      </c>
      <c r="G282">
        <v>1233189066</v>
      </c>
      <c r="H282" t="s">
        <v>466</v>
      </c>
      <c r="I282">
        <v>98390119</v>
      </c>
      <c r="J282" t="s">
        <v>14</v>
      </c>
      <c r="K282" t="s">
        <v>63</v>
      </c>
      <c r="L282" s="42">
        <v>31200000</v>
      </c>
      <c r="M282" s="42">
        <v>31200000</v>
      </c>
      <c r="N282" s="10">
        <f t="shared" si="4"/>
        <v>0</v>
      </c>
      <c r="O282" t="s">
        <v>704</v>
      </c>
    </row>
    <row r="283" spans="1:15" x14ac:dyDescent="0.25">
      <c r="A283" t="s">
        <v>326</v>
      </c>
      <c r="B283" t="s">
        <v>13</v>
      </c>
      <c r="C283" s="12">
        <v>45909</v>
      </c>
      <c r="D283" s="12">
        <v>46022</v>
      </c>
      <c r="E283" t="s">
        <v>710</v>
      </c>
      <c r="F283" t="s">
        <v>14</v>
      </c>
      <c r="G283">
        <v>1084552063</v>
      </c>
      <c r="H283" t="s">
        <v>327</v>
      </c>
      <c r="I283">
        <v>98333941</v>
      </c>
      <c r="J283" t="s">
        <v>14</v>
      </c>
      <c r="K283" t="s">
        <v>15</v>
      </c>
      <c r="L283" s="42">
        <v>31200000</v>
      </c>
      <c r="M283" s="42">
        <v>31200000</v>
      </c>
      <c r="N283" s="10">
        <f t="shared" si="4"/>
        <v>0</v>
      </c>
      <c r="O283" t="s">
        <v>704</v>
      </c>
    </row>
    <row r="284" spans="1:15" x14ac:dyDescent="0.25">
      <c r="A284" t="s">
        <v>399</v>
      </c>
      <c r="B284" t="s">
        <v>13</v>
      </c>
      <c r="C284" s="12">
        <v>45909</v>
      </c>
      <c r="D284" s="12">
        <v>46022</v>
      </c>
      <c r="E284" t="s">
        <v>710</v>
      </c>
      <c r="F284" t="s">
        <v>14</v>
      </c>
      <c r="G284">
        <v>37087120</v>
      </c>
      <c r="H284" t="s">
        <v>51</v>
      </c>
      <c r="I284">
        <v>98333941</v>
      </c>
      <c r="J284" t="s">
        <v>14</v>
      </c>
      <c r="K284" t="s">
        <v>15</v>
      </c>
      <c r="L284" s="42">
        <v>31200000</v>
      </c>
      <c r="M284" s="42">
        <v>31200000</v>
      </c>
      <c r="N284" s="10">
        <f t="shared" si="4"/>
        <v>0</v>
      </c>
      <c r="O284" t="s">
        <v>704</v>
      </c>
    </row>
    <row r="285" spans="1:15" x14ac:dyDescent="0.25">
      <c r="A285" t="s">
        <v>515</v>
      </c>
      <c r="B285" t="s">
        <v>13</v>
      </c>
      <c r="C285" s="12">
        <v>45908</v>
      </c>
      <c r="D285" s="12">
        <v>46022</v>
      </c>
      <c r="E285" t="s">
        <v>710</v>
      </c>
      <c r="F285" t="s">
        <v>14</v>
      </c>
      <c r="G285">
        <v>1233192708</v>
      </c>
      <c r="H285" t="s">
        <v>516</v>
      </c>
      <c r="I285">
        <v>43624414</v>
      </c>
      <c r="J285" t="s">
        <v>14</v>
      </c>
      <c r="K285" t="s">
        <v>18</v>
      </c>
      <c r="L285" s="42">
        <v>31200000</v>
      </c>
      <c r="M285" s="42">
        <v>31200000</v>
      </c>
      <c r="N285" s="10">
        <f t="shared" si="4"/>
        <v>0</v>
      </c>
      <c r="O285" t="s">
        <v>704</v>
      </c>
    </row>
    <row r="286" spans="1:15" x14ac:dyDescent="0.25">
      <c r="A286" t="s">
        <v>474</v>
      </c>
      <c r="B286" t="s">
        <v>13</v>
      </c>
      <c r="C286" s="12">
        <v>45908</v>
      </c>
      <c r="D286" s="12">
        <v>46022</v>
      </c>
      <c r="E286" t="s">
        <v>710</v>
      </c>
      <c r="F286" t="s">
        <v>14</v>
      </c>
      <c r="G286">
        <v>80765093</v>
      </c>
      <c r="H286" t="s">
        <v>20</v>
      </c>
      <c r="I286">
        <v>59836926</v>
      </c>
      <c r="J286" t="s">
        <v>14</v>
      </c>
      <c r="K286" t="s">
        <v>17</v>
      </c>
      <c r="L286" s="42">
        <v>31200000</v>
      </c>
      <c r="M286" s="42">
        <v>31200000</v>
      </c>
      <c r="N286" s="10">
        <f t="shared" si="4"/>
        <v>0</v>
      </c>
      <c r="O286" t="s">
        <v>704</v>
      </c>
    </row>
    <row r="287" spans="1:15" x14ac:dyDescent="0.25">
      <c r="A287" t="s">
        <v>589</v>
      </c>
      <c r="B287" t="s">
        <v>13</v>
      </c>
      <c r="C287" s="12">
        <v>45908</v>
      </c>
      <c r="D287" s="12">
        <v>46022</v>
      </c>
      <c r="E287" t="s">
        <v>710</v>
      </c>
      <c r="F287" t="s">
        <v>14</v>
      </c>
      <c r="G287">
        <v>1083814276</v>
      </c>
      <c r="H287" t="s">
        <v>590</v>
      </c>
      <c r="I287">
        <v>98333941</v>
      </c>
      <c r="J287" t="s">
        <v>14</v>
      </c>
      <c r="K287" t="s">
        <v>15</v>
      </c>
      <c r="L287" s="42">
        <v>31200000</v>
      </c>
      <c r="M287" s="42">
        <v>31200000</v>
      </c>
      <c r="N287" s="10">
        <f t="shared" si="4"/>
        <v>0</v>
      </c>
      <c r="O287" t="s">
        <v>704</v>
      </c>
    </row>
    <row r="288" spans="1:15" x14ac:dyDescent="0.25">
      <c r="A288" t="s">
        <v>365</v>
      </c>
      <c r="B288" t="s">
        <v>13</v>
      </c>
      <c r="C288" s="12">
        <v>45905</v>
      </c>
      <c r="D288" s="12">
        <v>46022</v>
      </c>
      <c r="E288" t="s">
        <v>722</v>
      </c>
      <c r="F288" t="s">
        <v>14</v>
      </c>
      <c r="G288">
        <v>1022426162</v>
      </c>
      <c r="H288" t="s">
        <v>366</v>
      </c>
      <c r="I288">
        <v>98333941</v>
      </c>
      <c r="J288" t="s">
        <v>14</v>
      </c>
      <c r="K288" t="s">
        <v>15</v>
      </c>
      <c r="L288" s="42">
        <v>31200000</v>
      </c>
      <c r="M288" s="42">
        <v>31200000</v>
      </c>
      <c r="N288" s="10">
        <f t="shared" si="4"/>
        <v>0</v>
      </c>
      <c r="O288" t="s">
        <v>704</v>
      </c>
    </row>
    <row r="289" spans="1:16" x14ac:dyDescent="0.25">
      <c r="A289" t="s">
        <v>564</v>
      </c>
      <c r="B289" t="s">
        <v>13</v>
      </c>
      <c r="C289" s="12">
        <v>45905</v>
      </c>
      <c r="D289" s="12">
        <v>46022</v>
      </c>
      <c r="E289" t="s">
        <v>749</v>
      </c>
      <c r="F289" t="s">
        <v>14</v>
      </c>
      <c r="G289">
        <v>1088734182</v>
      </c>
      <c r="H289" t="s">
        <v>565</v>
      </c>
      <c r="I289">
        <v>98333941</v>
      </c>
      <c r="J289" t="s">
        <v>14</v>
      </c>
      <c r="K289" t="s">
        <v>15</v>
      </c>
      <c r="L289" s="42">
        <v>31200000</v>
      </c>
      <c r="M289" s="42">
        <v>31200000</v>
      </c>
      <c r="N289" s="10">
        <f t="shared" si="4"/>
        <v>0</v>
      </c>
      <c r="O289" t="s">
        <v>704</v>
      </c>
    </row>
    <row r="290" spans="1:16" x14ac:dyDescent="0.25">
      <c r="A290" t="s">
        <v>630</v>
      </c>
      <c r="B290" t="s">
        <v>13</v>
      </c>
      <c r="C290" s="12">
        <v>45905</v>
      </c>
      <c r="D290" s="12">
        <v>46022</v>
      </c>
      <c r="E290" t="s">
        <v>722</v>
      </c>
      <c r="F290" t="s">
        <v>14</v>
      </c>
      <c r="G290">
        <v>1193292339</v>
      </c>
      <c r="H290" t="s">
        <v>631</v>
      </c>
      <c r="I290">
        <v>98333941</v>
      </c>
      <c r="J290" t="s">
        <v>14</v>
      </c>
      <c r="K290" t="s">
        <v>15</v>
      </c>
      <c r="L290" s="42">
        <v>31200000</v>
      </c>
      <c r="M290" s="42">
        <v>31200000</v>
      </c>
      <c r="N290" s="10">
        <f t="shared" si="4"/>
        <v>0</v>
      </c>
      <c r="O290" t="s">
        <v>704</v>
      </c>
    </row>
    <row r="291" spans="1:16" x14ac:dyDescent="0.25">
      <c r="A291" t="s">
        <v>593</v>
      </c>
      <c r="B291" t="s">
        <v>13</v>
      </c>
      <c r="C291" s="12">
        <v>45905</v>
      </c>
      <c r="D291" s="12">
        <v>46022</v>
      </c>
      <c r="E291" t="s">
        <v>722</v>
      </c>
      <c r="F291" t="s">
        <v>14</v>
      </c>
      <c r="G291">
        <v>1085293105</v>
      </c>
      <c r="H291" t="s">
        <v>33</v>
      </c>
      <c r="I291">
        <v>43624414</v>
      </c>
      <c r="J291" t="s">
        <v>14</v>
      </c>
      <c r="K291" t="s">
        <v>18</v>
      </c>
      <c r="L291" s="42">
        <v>31200000</v>
      </c>
      <c r="M291" s="42">
        <v>31200000</v>
      </c>
      <c r="N291" s="10">
        <f t="shared" si="4"/>
        <v>0</v>
      </c>
      <c r="O291" t="s">
        <v>704</v>
      </c>
    </row>
    <row r="292" spans="1:16" x14ac:dyDescent="0.25">
      <c r="A292" t="s">
        <v>275</v>
      </c>
      <c r="B292" t="s">
        <v>13</v>
      </c>
      <c r="C292" s="12">
        <v>45904</v>
      </c>
      <c r="D292" s="12">
        <v>46022</v>
      </c>
      <c r="E292" t="s">
        <v>722</v>
      </c>
      <c r="F292" t="s">
        <v>14</v>
      </c>
      <c r="G292">
        <v>1085329980</v>
      </c>
      <c r="H292" t="s">
        <v>276</v>
      </c>
      <c r="I292">
        <v>98333941</v>
      </c>
      <c r="J292" t="s">
        <v>14</v>
      </c>
      <c r="K292" t="s">
        <v>15</v>
      </c>
      <c r="L292" s="42">
        <v>31200000</v>
      </c>
      <c r="M292" s="42">
        <v>31200000</v>
      </c>
      <c r="N292" s="10">
        <f t="shared" si="4"/>
        <v>0</v>
      </c>
      <c r="O292" t="s">
        <v>704</v>
      </c>
    </row>
    <row r="293" spans="1:16" x14ac:dyDescent="0.25">
      <c r="A293" t="s">
        <v>456</v>
      </c>
      <c r="B293" t="s">
        <v>13</v>
      </c>
      <c r="C293" s="12">
        <v>45904</v>
      </c>
      <c r="D293" s="12">
        <v>46022</v>
      </c>
      <c r="E293" t="s">
        <v>710</v>
      </c>
      <c r="F293" t="s">
        <v>14</v>
      </c>
      <c r="G293">
        <v>1087006619</v>
      </c>
      <c r="H293" t="s">
        <v>457</v>
      </c>
      <c r="I293">
        <v>98333941</v>
      </c>
      <c r="J293" t="s">
        <v>14</v>
      </c>
      <c r="K293" t="s">
        <v>15</v>
      </c>
      <c r="L293" s="42">
        <v>31200000</v>
      </c>
      <c r="M293" s="42">
        <v>31200000</v>
      </c>
      <c r="N293" s="10">
        <f t="shared" si="4"/>
        <v>0</v>
      </c>
      <c r="O293" t="s">
        <v>704</v>
      </c>
    </row>
    <row r="294" spans="1:16" x14ac:dyDescent="0.25">
      <c r="A294" t="s">
        <v>96</v>
      </c>
      <c r="B294" t="s">
        <v>13</v>
      </c>
      <c r="C294" s="12">
        <v>45904</v>
      </c>
      <c r="D294" s="12">
        <v>46022</v>
      </c>
      <c r="E294" t="s">
        <v>710</v>
      </c>
      <c r="F294" t="s">
        <v>14</v>
      </c>
      <c r="G294">
        <v>1233193882</v>
      </c>
      <c r="H294" t="s">
        <v>97</v>
      </c>
      <c r="I294">
        <v>98390119</v>
      </c>
      <c r="J294" t="s">
        <v>14</v>
      </c>
      <c r="K294" t="s">
        <v>63</v>
      </c>
      <c r="L294" s="42">
        <v>31200000</v>
      </c>
      <c r="M294" s="42">
        <v>31200000</v>
      </c>
      <c r="N294" s="10">
        <f t="shared" si="4"/>
        <v>0</v>
      </c>
      <c r="O294" t="s">
        <v>704</v>
      </c>
    </row>
    <row r="295" spans="1:16" x14ac:dyDescent="0.25">
      <c r="A295" t="s">
        <v>557</v>
      </c>
      <c r="B295" t="s">
        <v>13</v>
      </c>
      <c r="C295" s="12">
        <v>45903</v>
      </c>
      <c r="D295" s="12">
        <v>46022</v>
      </c>
      <c r="E295" t="s">
        <v>710</v>
      </c>
      <c r="F295" t="s">
        <v>14</v>
      </c>
      <c r="G295">
        <v>1085334279</v>
      </c>
      <c r="H295" t="s">
        <v>558</v>
      </c>
      <c r="I295">
        <v>98333941</v>
      </c>
      <c r="J295" t="s">
        <v>14</v>
      </c>
      <c r="K295" t="s">
        <v>15</v>
      </c>
      <c r="L295" s="42">
        <v>31200000</v>
      </c>
      <c r="M295" s="42">
        <v>31200000</v>
      </c>
      <c r="N295" s="10">
        <f t="shared" si="4"/>
        <v>0</v>
      </c>
      <c r="O295" t="s">
        <v>704</v>
      </c>
    </row>
    <row r="296" spans="1:16" x14ac:dyDescent="0.25">
      <c r="A296" t="s">
        <v>302</v>
      </c>
      <c r="B296" t="s">
        <v>13</v>
      </c>
      <c r="C296" s="12">
        <v>45902</v>
      </c>
      <c r="D296" s="12">
        <v>46022</v>
      </c>
      <c r="E296" t="s">
        <v>710</v>
      </c>
      <c r="F296" t="s">
        <v>14</v>
      </c>
      <c r="G296">
        <v>1006946167</v>
      </c>
      <c r="H296" t="s">
        <v>303</v>
      </c>
      <c r="I296">
        <v>59836926</v>
      </c>
      <c r="J296" t="s">
        <v>14</v>
      </c>
      <c r="K296" t="s">
        <v>17</v>
      </c>
      <c r="L296" s="42">
        <v>31200000</v>
      </c>
      <c r="M296" s="42">
        <v>31200000</v>
      </c>
      <c r="N296" s="10">
        <f t="shared" si="4"/>
        <v>0</v>
      </c>
      <c r="O296" t="s">
        <v>704</v>
      </c>
    </row>
    <row r="297" spans="1:16" x14ac:dyDescent="0.25">
      <c r="A297" t="s">
        <v>131</v>
      </c>
      <c r="B297" t="s">
        <v>13</v>
      </c>
      <c r="C297" s="12">
        <v>45901</v>
      </c>
      <c r="D297" s="12">
        <v>46022</v>
      </c>
      <c r="E297" t="s">
        <v>722</v>
      </c>
      <c r="F297" t="s">
        <v>14</v>
      </c>
      <c r="G297">
        <v>1085336362</v>
      </c>
      <c r="H297" t="s">
        <v>49</v>
      </c>
      <c r="I297">
        <v>98333941</v>
      </c>
      <c r="J297" t="s">
        <v>14</v>
      </c>
      <c r="K297" t="s">
        <v>15</v>
      </c>
      <c r="L297" s="42">
        <v>31200000</v>
      </c>
      <c r="M297" s="42">
        <v>31200000</v>
      </c>
      <c r="N297" s="10">
        <f t="shared" si="4"/>
        <v>0</v>
      </c>
      <c r="O297" t="s">
        <v>704</v>
      </c>
    </row>
    <row r="298" spans="1:16" x14ac:dyDescent="0.25">
      <c r="A298" t="s">
        <v>119</v>
      </c>
      <c r="B298" t="s">
        <v>13</v>
      </c>
      <c r="C298" s="12">
        <v>45901</v>
      </c>
      <c r="D298" s="12">
        <v>46022</v>
      </c>
      <c r="E298" t="s">
        <v>717</v>
      </c>
      <c r="F298" t="s">
        <v>14</v>
      </c>
      <c r="G298">
        <v>1193202097</v>
      </c>
      <c r="H298" t="s">
        <v>43</v>
      </c>
      <c r="I298">
        <v>43624414</v>
      </c>
      <c r="J298" t="s">
        <v>14</v>
      </c>
      <c r="K298" t="s">
        <v>18</v>
      </c>
      <c r="L298" s="42">
        <v>31200000</v>
      </c>
      <c r="M298" s="42">
        <v>31200000</v>
      </c>
      <c r="N298" s="10">
        <f t="shared" si="4"/>
        <v>0</v>
      </c>
      <c r="O298" t="s">
        <v>704</v>
      </c>
    </row>
    <row r="299" spans="1:16" x14ac:dyDescent="0.25">
      <c r="A299" t="s">
        <v>140</v>
      </c>
      <c r="B299" t="s">
        <v>13</v>
      </c>
      <c r="C299" s="12">
        <v>45940</v>
      </c>
      <c r="D299" s="12">
        <v>46022</v>
      </c>
      <c r="E299" t="s">
        <v>141</v>
      </c>
      <c r="F299" t="s">
        <v>83</v>
      </c>
      <c r="G299">
        <v>900752343</v>
      </c>
      <c r="H299" t="s">
        <v>107</v>
      </c>
      <c r="I299">
        <v>17658216</v>
      </c>
      <c r="J299" t="s">
        <v>14</v>
      </c>
      <c r="K299" t="s">
        <v>108</v>
      </c>
      <c r="L299" s="42">
        <v>283000000</v>
      </c>
      <c r="M299" s="42">
        <v>283000000</v>
      </c>
      <c r="N299" s="10">
        <f t="shared" si="4"/>
        <v>0</v>
      </c>
      <c r="O299" t="s">
        <v>704</v>
      </c>
    </row>
    <row r="300" spans="1:16" x14ac:dyDescent="0.25">
      <c r="A300" t="s">
        <v>555</v>
      </c>
      <c r="B300" t="s">
        <v>13</v>
      </c>
      <c r="C300" s="12">
        <v>45944</v>
      </c>
      <c r="D300" s="12">
        <v>46022</v>
      </c>
      <c r="E300" t="s">
        <v>715</v>
      </c>
      <c r="F300" t="s">
        <v>14</v>
      </c>
      <c r="G300">
        <v>87070742</v>
      </c>
      <c r="H300" t="s">
        <v>556</v>
      </c>
      <c r="I300">
        <v>98390119</v>
      </c>
      <c r="J300" t="s">
        <v>14</v>
      </c>
      <c r="K300" t="s">
        <v>63</v>
      </c>
      <c r="L300" s="42">
        <v>2000000</v>
      </c>
      <c r="M300" s="42">
        <v>6000000</v>
      </c>
      <c r="N300" s="10">
        <f t="shared" si="4"/>
        <v>4000000</v>
      </c>
      <c r="O300" t="s">
        <v>704</v>
      </c>
      <c r="P300" s="2" t="s">
        <v>828</v>
      </c>
    </row>
    <row r="301" spans="1:16" x14ac:dyDescent="0.25">
      <c r="A301" t="s">
        <v>292</v>
      </c>
      <c r="B301" t="s">
        <v>13</v>
      </c>
      <c r="C301" s="12">
        <v>45960</v>
      </c>
      <c r="D301" s="12">
        <v>46022</v>
      </c>
      <c r="E301" t="s">
        <v>720</v>
      </c>
      <c r="F301" t="s">
        <v>14</v>
      </c>
      <c r="G301">
        <v>1233191359</v>
      </c>
      <c r="H301" t="s">
        <v>293</v>
      </c>
      <c r="I301">
        <v>98390119</v>
      </c>
      <c r="J301" t="s">
        <v>14</v>
      </c>
      <c r="K301" t="s">
        <v>63</v>
      </c>
      <c r="L301" s="42">
        <v>3150000</v>
      </c>
      <c r="M301" s="42">
        <v>6300000</v>
      </c>
      <c r="N301" s="10">
        <f t="shared" si="4"/>
        <v>3150000</v>
      </c>
      <c r="O301" t="s">
        <v>704</v>
      </c>
      <c r="P301" s="2" t="s">
        <v>828</v>
      </c>
    </row>
    <row r="302" spans="1:16" x14ac:dyDescent="0.25">
      <c r="A302" t="s">
        <v>386</v>
      </c>
      <c r="B302" t="s">
        <v>13</v>
      </c>
      <c r="C302" s="12">
        <v>45950</v>
      </c>
      <c r="D302" s="12">
        <v>46015</v>
      </c>
      <c r="E302" t="s">
        <v>720</v>
      </c>
      <c r="F302" t="s">
        <v>14</v>
      </c>
      <c r="G302">
        <v>1193271854</v>
      </c>
      <c r="H302" t="s">
        <v>24</v>
      </c>
      <c r="I302">
        <v>98390119</v>
      </c>
      <c r="J302" t="s">
        <v>14</v>
      </c>
      <c r="K302" t="s">
        <v>63</v>
      </c>
      <c r="L302" s="42">
        <v>3150000</v>
      </c>
      <c r="M302" s="42">
        <v>6720000</v>
      </c>
      <c r="N302" s="10">
        <f t="shared" si="4"/>
        <v>3570000</v>
      </c>
      <c r="O302" t="s">
        <v>704</v>
      </c>
      <c r="P302" s="2" t="s">
        <v>828</v>
      </c>
    </row>
    <row r="303" spans="1:16" x14ac:dyDescent="0.25">
      <c r="A303" t="s">
        <v>647</v>
      </c>
      <c r="B303" t="s">
        <v>13</v>
      </c>
      <c r="C303" s="12">
        <v>45939</v>
      </c>
      <c r="D303" s="12">
        <v>46006</v>
      </c>
      <c r="E303" t="s">
        <v>819</v>
      </c>
      <c r="F303" t="s">
        <v>14</v>
      </c>
      <c r="G303">
        <v>1030606749</v>
      </c>
      <c r="H303" t="s">
        <v>86</v>
      </c>
      <c r="I303">
        <v>98390119</v>
      </c>
      <c r="J303" t="s">
        <v>14</v>
      </c>
      <c r="K303" t="s">
        <v>63</v>
      </c>
      <c r="L303" s="42">
        <v>4200000</v>
      </c>
      <c r="M303" s="42">
        <v>7875000</v>
      </c>
      <c r="N303" s="10">
        <f t="shared" si="4"/>
        <v>3675000</v>
      </c>
      <c r="O303" t="s">
        <v>704</v>
      </c>
      <c r="P303" s="2" t="s">
        <v>828</v>
      </c>
    </row>
    <row r="304" spans="1:16" x14ac:dyDescent="0.25">
      <c r="A304" t="s">
        <v>367</v>
      </c>
      <c r="B304" t="s">
        <v>13</v>
      </c>
      <c r="C304" s="12">
        <v>45930</v>
      </c>
      <c r="D304" s="12">
        <v>46022</v>
      </c>
      <c r="E304" t="s">
        <v>765</v>
      </c>
      <c r="F304" t="s">
        <v>14</v>
      </c>
      <c r="G304">
        <v>1193035720</v>
      </c>
      <c r="H304" t="s">
        <v>368</v>
      </c>
      <c r="I304">
        <v>43624414</v>
      </c>
      <c r="J304" t="s">
        <v>14</v>
      </c>
      <c r="K304" t="s">
        <v>18</v>
      </c>
      <c r="L304" s="42">
        <v>6300000</v>
      </c>
      <c r="M304" s="42">
        <v>9450000</v>
      </c>
      <c r="N304" s="10">
        <f t="shared" si="4"/>
        <v>3150000</v>
      </c>
      <c r="O304" t="s">
        <v>704</v>
      </c>
      <c r="P304" s="2" t="s">
        <v>828</v>
      </c>
    </row>
    <row r="305" spans="1:16" x14ac:dyDescent="0.25">
      <c r="A305" t="s">
        <v>651</v>
      </c>
      <c r="B305" t="s">
        <v>13</v>
      </c>
      <c r="C305" s="12">
        <v>45930</v>
      </c>
      <c r="D305" s="12">
        <v>46022</v>
      </c>
      <c r="E305" t="s">
        <v>820</v>
      </c>
      <c r="F305" t="s">
        <v>14</v>
      </c>
      <c r="G305">
        <v>1081053820</v>
      </c>
      <c r="H305" t="s">
        <v>652</v>
      </c>
      <c r="I305">
        <v>98333941</v>
      </c>
      <c r="J305" t="s">
        <v>14</v>
      </c>
      <c r="K305" t="s">
        <v>15</v>
      </c>
      <c r="L305" s="42">
        <v>9450000</v>
      </c>
      <c r="M305" s="42">
        <v>11025000</v>
      </c>
      <c r="N305" s="10">
        <f t="shared" si="4"/>
        <v>1575000</v>
      </c>
      <c r="O305" t="s">
        <v>704</v>
      </c>
      <c r="P305" s="2" t="s">
        <v>828</v>
      </c>
    </row>
    <row r="306" spans="1:16" x14ac:dyDescent="0.25">
      <c r="A306" t="s">
        <v>330</v>
      </c>
      <c r="B306" t="s">
        <v>13</v>
      </c>
      <c r="C306" s="12">
        <v>45930</v>
      </c>
      <c r="D306" s="12">
        <v>46022</v>
      </c>
      <c r="E306" t="s">
        <v>761</v>
      </c>
      <c r="F306" t="s">
        <v>14</v>
      </c>
      <c r="G306">
        <v>1080041553</v>
      </c>
      <c r="H306" t="s">
        <v>331</v>
      </c>
      <c r="I306">
        <v>98390119</v>
      </c>
      <c r="J306" t="s">
        <v>14</v>
      </c>
      <c r="K306" t="s">
        <v>63</v>
      </c>
      <c r="L306" s="42">
        <v>9450000</v>
      </c>
      <c r="M306" s="42">
        <v>11025000</v>
      </c>
      <c r="N306" s="10">
        <f t="shared" si="4"/>
        <v>1575000</v>
      </c>
      <c r="O306" t="s">
        <v>704</v>
      </c>
      <c r="P306" s="2" t="s">
        <v>828</v>
      </c>
    </row>
    <row r="307" spans="1:16" x14ac:dyDescent="0.25">
      <c r="A307" t="s">
        <v>470</v>
      </c>
      <c r="B307" t="s">
        <v>13</v>
      </c>
      <c r="C307" s="12">
        <v>45924</v>
      </c>
      <c r="D307" s="12">
        <v>46022</v>
      </c>
      <c r="E307" t="s">
        <v>788</v>
      </c>
      <c r="F307" t="s">
        <v>14</v>
      </c>
      <c r="G307">
        <v>1004508406</v>
      </c>
      <c r="H307" t="s">
        <v>471</v>
      </c>
      <c r="I307">
        <v>43624414</v>
      </c>
      <c r="J307" t="s">
        <v>14</v>
      </c>
      <c r="K307" t="s">
        <v>18</v>
      </c>
      <c r="L307" s="42">
        <v>7875000</v>
      </c>
      <c r="M307" s="42">
        <v>11025000</v>
      </c>
      <c r="N307" s="10">
        <f t="shared" si="4"/>
        <v>3150000</v>
      </c>
      <c r="O307" t="s">
        <v>704</v>
      </c>
      <c r="P307" s="2" t="s">
        <v>828</v>
      </c>
    </row>
    <row r="308" spans="1:16" x14ac:dyDescent="0.25">
      <c r="A308" t="s">
        <v>545</v>
      </c>
      <c r="B308" t="s">
        <v>13</v>
      </c>
      <c r="C308" s="12">
        <v>45922</v>
      </c>
      <c r="D308" s="12">
        <v>46022</v>
      </c>
      <c r="E308" t="s">
        <v>799</v>
      </c>
      <c r="F308" t="s">
        <v>14</v>
      </c>
      <c r="G308">
        <v>1004709928</v>
      </c>
      <c r="H308" t="s">
        <v>546</v>
      </c>
      <c r="I308">
        <v>98333941</v>
      </c>
      <c r="J308" t="s">
        <v>14</v>
      </c>
      <c r="K308" t="s">
        <v>15</v>
      </c>
      <c r="L308" s="42">
        <v>7875000</v>
      </c>
      <c r="M308" s="42">
        <v>11025000</v>
      </c>
      <c r="N308" s="10">
        <f t="shared" si="4"/>
        <v>3150000</v>
      </c>
      <c r="O308" t="s">
        <v>704</v>
      </c>
      <c r="P308" s="2" t="s">
        <v>828</v>
      </c>
    </row>
    <row r="309" spans="1:16" x14ac:dyDescent="0.25">
      <c r="A309" t="s">
        <v>234</v>
      </c>
      <c r="B309" t="s">
        <v>13</v>
      </c>
      <c r="C309" s="12">
        <v>45918</v>
      </c>
      <c r="D309" s="12">
        <v>46022</v>
      </c>
      <c r="E309" t="s">
        <v>711</v>
      </c>
      <c r="F309" t="s">
        <v>14</v>
      </c>
      <c r="G309">
        <v>27087122</v>
      </c>
      <c r="H309" t="s">
        <v>69</v>
      </c>
      <c r="I309">
        <v>43624414</v>
      </c>
      <c r="J309" t="s">
        <v>14</v>
      </c>
      <c r="K309" t="s">
        <v>18</v>
      </c>
      <c r="L309" s="42">
        <v>11025000</v>
      </c>
      <c r="M309" s="42">
        <v>11025000</v>
      </c>
      <c r="N309" s="10">
        <f t="shared" si="4"/>
        <v>0</v>
      </c>
      <c r="O309" t="s">
        <v>704</v>
      </c>
      <c r="P309" s="2" t="s">
        <v>828</v>
      </c>
    </row>
    <row r="310" spans="1:16" x14ac:dyDescent="0.25">
      <c r="A310" t="s">
        <v>150</v>
      </c>
      <c r="B310" t="s">
        <v>13</v>
      </c>
      <c r="C310" s="12">
        <v>45915</v>
      </c>
      <c r="D310" s="12">
        <v>46022</v>
      </c>
      <c r="E310" t="s">
        <v>711</v>
      </c>
      <c r="F310" t="s">
        <v>14</v>
      </c>
      <c r="G310">
        <v>1087645341</v>
      </c>
      <c r="H310" t="s">
        <v>151</v>
      </c>
      <c r="I310">
        <v>98333941</v>
      </c>
      <c r="J310" t="s">
        <v>14</v>
      </c>
      <c r="K310" t="s">
        <v>15</v>
      </c>
      <c r="L310" s="42">
        <v>4725000</v>
      </c>
      <c r="M310" s="42">
        <v>12600000</v>
      </c>
      <c r="N310" s="10">
        <f t="shared" si="4"/>
        <v>7875000</v>
      </c>
      <c r="O310" t="s">
        <v>704</v>
      </c>
      <c r="P310" s="2" t="s">
        <v>828</v>
      </c>
    </row>
    <row r="311" spans="1:16" x14ac:dyDescent="0.25">
      <c r="A311" t="s">
        <v>226</v>
      </c>
      <c r="B311" t="s">
        <v>13</v>
      </c>
      <c r="C311" s="12">
        <v>45912</v>
      </c>
      <c r="D311" s="12">
        <v>46022</v>
      </c>
      <c r="E311" t="s">
        <v>711</v>
      </c>
      <c r="F311" t="s">
        <v>14</v>
      </c>
      <c r="G311">
        <v>27549931</v>
      </c>
      <c r="H311" t="s">
        <v>227</v>
      </c>
      <c r="I311">
        <v>98333941</v>
      </c>
      <c r="J311" t="s">
        <v>14</v>
      </c>
      <c r="K311" t="s">
        <v>15</v>
      </c>
      <c r="L311" s="42">
        <v>4725000</v>
      </c>
      <c r="M311" s="42">
        <v>12600000</v>
      </c>
      <c r="N311" s="10">
        <f t="shared" si="4"/>
        <v>7875000</v>
      </c>
      <c r="O311" t="s">
        <v>704</v>
      </c>
      <c r="P311" s="2" t="s">
        <v>828</v>
      </c>
    </row>
    <row r="312" spans="1:16" x14ac:dyDescent="0.25">
      <c r="A312" t="s">
        <v>1017</v>
      </c>
      <c r="B312" t="s">
        <v>13</v>
      </c>
      <c r="C312" s="12">
        <v>46024</v>
      </c>
      <c r="D312" s="12">
        <v>46112</v>
      </c>
      <c r="E312" t="s">
        <v>775</v>
      </c>
      <c r="F312" t="s">
        <v>14</v>
      </c>
      <c r="G312">
        <v>1085325325</v>
      </c>
      <c r="H312" t="s">
        <v>610</v>
      </c>
      <c r="I312">
        <v>43624414</v>
      </c>
      <c r="J312" t="s">
        <v>14</v>
      </c>
      <c r="K312" t="s">
        <v>18</v>
      </c>
      <c r="L312" s="42">
        <v>3150000</v>
      </c>
      <c r="M312" s="10">
        <v>9450000</v>
      </c>
      <c r="N312" s="10">
        <f t="shared" si="4"/>
        <v>6300000</v>
      </c>
      <c r="O312" t="s">
        <v>704</v>
      </c>
    </row>
    <row r="313" spans="1:16" x14ac:dyDescent="0.25">
      <c r="A313" t="s">
        <v>296</v>
      </c>
      <c r="B313" t="s">
        <v>13</v>
      </c>
      <c r="C313" s="12">
        <v>45910</v>
      </c>
      <c r="D313" s="12">
        <v>46022</v>
      </c>
      <c r="E313" t="s">
        <v>711</v>
      </c>
      <c r="F313" t="s">
        <v>14</v>
      </c>
      <c r="G313">
        <v>27276869</v>
      </c>
      <c r="H313" t="s">
        <v>297</v>
      </c>
      <c r="I313">
        <v>98333941</v>
      </c>
      <c r="J313" t="s">
        <v>14</v>
      </c>
      <c r="K313" t="s">
        <v>15</v>
      </c>
      <c r="L313" s="42">
        <v>9450000</v>
      </c>
      <c r="M313" s="42">
        <v>12600000</v>
      </c>
      <c r="N313" s="10">
        <f t="shared" si="4"/>
        <v>3150000</v>
      </c>
      <c r="O313" t="s">
        <v>704</v>
      </c>
      <c r="P313" s="2" t="s">
        <v>828</v>
      </c>
    </row>
    <row r="314" spans="1:16" x14ac:dyDescent="0.25">
      <c r="A314" t="s">
        <v>136</v>
      </c>
      <c r="B314" t="s">
        <v>13</v>
      </c>
      <c r="C314" s="12">
        <v>45910</v>
      </c>
      <c r="D314" s="12">
        <v>46022</v>
      </c>
      <c r="E314" t="s">
        <v>711</v>
      </c>
      <c r="F314" t="s">
        <v>14</v>
      </c>
      <c r="G314">
        <v>1086016304</v>
      </c>
      <c r="H314" t="s">
        <v>137</v>
      </c>
      <c r="I314">
        <v>98333941</v>
      </c>
      <c r="J314" t="s">
        <v>14</v>
      </c>
      <c r="K314" t="s">
        <v>15</v>
      </c>
      <c r="L314" s="42">
        <v>3150000</v>
      </c>
      <c r="M314" s="42">
        <v>12600000</v>
      </c>
      <c r="N314" s="10">
        <f t="shared" si="4"/>
        <v>9450000</v>
      </c>
      <c r="O314" t="s">
        <v>704</v>
      </c>
      <c r="P314" s="2" t="s">
        <v>828</v>
      </c>
    </row>
    <row r="315" spans="1:16" x14ac:dyDescent="0.25">
      <c r="A315" t="s">
        <v>541</v>
      </c>
      <c r="B315" t="s">
        <v>13</v>
      </c>
      <c r="C315" s="12">
        <v>45909</v>
      </c>
      <c r="D315" s="12">
        <v>46022</v>
      </c>
      <c r="E315" t="s">
        <v>711</v>
      </c>
      <c r="F315" t="s">
        <v>14</v>
      </c>
      <c r="G315">
        <v>36953590</v>
      </c>
      <c r="H315" t="s">
        <v>542</v>
      </c>
      <c r="I315">
        <v>98333941</v>
      </c>
      <c r="J315" t="s">
        <v>14</v>
      </c>
      <c r="K315" t="s">
        <v>15</v>
      </c>
      <c r="L315" s="42">
        <v>4200000</v>
      </c>
      <c r="M315" s="42">
        <v>12600000</v>
      </c>
      <c r="N315" s="10">
        <f t="shared" si="4"/>
        <v>8400000</v>
      </c>
      <c r="O315" t="s">
        <v>704</v>
      </c>
      <c r="P315" s="2" t="s">
        <v>828</v>
      </c>
    </row>
    <row r="316" spans="1:16" x14ac:dyDescent="0.25">
      <c r="A316" t="s">
        <v>387</v>
      </c>
      <c r="B316" t="s">
        <v>13</v>
      </c>
      <c r="C316" s="12">
        <v>45905</v>
      </c>
      <c r="D316" s="12">
        <v>46022</v>
      </c>
      <c r="E316" t="s">
        <v>768</v>
      </c>
      <c r="F316" t="s">
        <v>14</v>
      </c>
      <c r="G316">
        <v>98382500</v>
      </c>
      <c r="H316" t="s">
        <v>45</v>
      </c>
      <c r="I316">
        <v>43624414</v>
      </c>
      <c r="J316" t="s">
        <v>14</v>
      </c>
      <c r="K316" t="s">
        <v>18</v>
      </c>
      <c r="L316" s="42">
        <v>9450000</v>
      </c>
      <c r="M316" s="42">
        <v>12600000</v>
      </c>
      <c r="N316" s="10">
        <f t="shared" si="4"/>
        <v>3150000</v>
      </c>
      <c r="O316" t="s">
        <v>704</v>
      </c>
      <c r="P316" s="2" t="s">
        <v>828</v>
      </c>
    </row>
    <row r="317" spans="1:16" x14ac:dyDescent="0.25">
      <c r="A317" t="s">
        <v>488</v>
      </c>
      <c r="B317" t="s">
        <v>13</v>
      </c>
      <c r="C317" s="12">
        <v>45929</v>
      </c>
      <c r="D317" s="12">
        <v>46022</v>
      </c>
      <c r="E317" t="s">
        <v>791</v>
      </c>
      <c r="F317" t="s">
        <v>14</v>
      </c>
      <c r="G317">
        <v>12754447</v>
      </c>
      <c r="H317" t="s">
        <v>489</v>
      </c>
      <c r="I317">
        <v>59836926</v>
      </c>
      <c r="J317" t="s">
        <v>14</v>
      </c>
      <c r="K317" t="s">
        <v>17</v>
      </c>
      <c r="L317" s="42">
        <v>6306000</v>
      </c>
      <c r="M317" s="42">
        <v>14190000</v>
      </c>
      <c r="N317" s="10">
        <f t="shared" si="4"/>
        <v>7884000</v>
      </c>
      <c r="O317" t="s">
        <v>704</v>
      </c>
      <c r="P317" s="2" t="s">
        <v>828</v>
      </c>
    </row>
    <row r="318" spans="1:16" x14ac:dyDescent="0.25">
      <c r="A318" t="s">
        <v>566</v>
      </c>
      <c r="B318" t="s">
        <v>13</v>
      </c>
      <c r="C318" s="12">
        <v>45910</v>
      </c>
      <c r="D318" s="12">
        <v>46022</v>
      </c>
      <c r="E318" t="s">
        <v>706</v>
      </c>
      <c r="F318" t="s">
        <v>14</v>
      </c>
      <c r="G318">
        <v>1088730615</v>
      </c>
      <c r="H318" t="s">
        <v>567</v>
      </c>
      <c r="I318">
        <v>59836926</v>
      </c>
      <c r="J318" t="s">
        <v>14</v>
      </c>
      <c r="K318" t="s">
        <v>17</v>
      </c>
      <c r="L318" s="42">
        <v>6149000</v>
      </c>
      <c r="M318" s="42">
        <v>18920000</v>
      </c>
      <c r="N318" s="10">
        <f t="shared" si="4"/>
        <v>12771000</v>
      </c>
      <c r="O318" t="s">
        <v>704</v>
      </c>
      <c r="P318" s="2" t="s">
        <v>828</v>
      </c>
    </row>
    <row r="319" spans="1:16" x14ac:dyDescent="0.25">
      <c r="A319" t="s">
        <v>594</v>
      </c>
      <c r="B319" t="s">
        <v>13</v>
      </c>
      <c r="C319" s="12">
        <v>45910</v>
      </c>
      <c r="D319" s="12">
        <v>46022</v>
      </c>
      <c r="E319" t="s">
        <v>706</v>
      </c>
      <c r="F319" t="s">
        <v>14</v>
      </c>
      <c r="G319">
        <v>1085333467</v>
      </c>
      <c r="H319" t="s">
        <v>595</v>
      </c>
      <c r="I319">
        <v>98333941</v>
      </c>
      <c r="J319" t="s">
        <v>14</v>
      </c>
      <c r="K319" t="s">
        <v>15</v>
      </c>
      <c r="L319" s="42">
        <v>4572333</v>
      </c>
      <c r="M319" s="42">
        <v>18920000</v>
      </c>
      <c r="N319" s="10">
        <f t="shared" si="4"/>
        <v>14347667</v>
      </c>
      <c r="O319" t="s">
        <v>704</v>
      </c>
      <c r="P319" s="2" t="s">
        <v>828</v>
      </c>
    </row>
    <row r="320" spans="1:16" x14ac:dyDescent="0.25">
      <c r="A320" t="s">
        <v>206</v>
      </c>
      <c r="B320" t="s">
        <v>13</v>
      </c>
      <c r="C320" s="12">
        <v>45905</v>
      </c>
      <c r="D320" s="12">
        <v>46022</v>
      </c>
      <c r="E320" t="s">
        <v>739</v>
      </c>
      <c r="F320" t="s">
        <v>14</v>
      </c>
      <c r="G320">
        <v>36953206</v>
      </c>
      <c r="H320" t="s">
        <v>46</v>
      </c>
      <c r="I320">
        <v>43624414</v>
      </c>
      <c r="J320" t="s">
        <v>14</v>
      </c>
      <c r="K320" t="s">
        <v>18</v>
      </c>
      <c r="L320" s="42">
        <v>4730000</v>
      </c>
      <c r="M320" s="42">
        <v>18920000</v>
      </c>
      <c r="N320" s="10">
        <f t="shared" si="4"/>
        <v>14190000</v>
      </c>
      <c r="O320" t="s">
        <v>704</v>
      </c>
      <c r="P320" s="2" t="s">
        <v>828</v>
      </c>
    </row>
    <row r="321" spans="1:16" x14ac:dyDescent="0.25">
      <c r="A321" t="s">
        <v>533</v>
      </c>
      <c r="B321" t="s">
        <v>13</v>
      </c>
      <c r="C321" s="12">
        <v>45903</v>
      </c>
      <c r="D321" s="12">
        <v>46022</v>
      </c>
      <c r="E321" t="s">
        <v>796</v>
      </c>
      <c r="F321" t="s">
        <v>14</v>
      </c>
      <c r="G321">
        <v>59312865</v>
      </c>
      <c r="H321" t="s">
        <v>534</v>
      </c>
      <c r="I321">
        <v>43624414</v>
      </c>
      <c r="J321" t="s">
        <v>14</v>
      </c>
      <c r="K321" t="s">
        <v>18</v>
      </c>
      <c r="L321" s="42">
        <v>16239333</v>
      </c>
      <c r="M321" s="42">
        <v>18920000</v>
      </c>
      <c r="N321" s="10">
        <f t="shared" si="4"/>
        <v>2680667</v>
      </c>
      <c r="O321" t="s">
        <v>704</v>
      </c>
      <c r="P321" s="2" t="s">
        <v>828</v>
      </c>
    </row>
    <row r="322" spans="1:16" x14ac:dyDescent="0.25">
      <c r="A322" t="s">
        <v>187</v>
      </c>
      <c r="B322" t="s">
        <v>13</v>
      </c>
      <c r="C322" s="12">
        <v>45926</v>
      </c>
      <c r="D322" s="12">
        <v>46022</v>
      </c>
      <c r="E322" t="s">
        <v>735</v>
      </c>
      <c r="F322" t="s">
        <v>14</v>
      </c>
      <c r="G322">
        <v>27097745</v>
      </c>
      <c r="H322" t="s">
        <v>70</v>
      </c>
      <c r="I322">
        <v>98390119</v>
      </c>
      <c r="J322" t="s">
        <v>14</v>
      </c>
      <c r="K322" t="s">
        <v>63</v>
      </c>
      <c r="L322" s="42">
        <v>9450000</v>
      </c>
      <c r="M322" s="42">
        <v>22050000</v>
      </c>
      <c r="N322" s="10">
        <f t="shared" si="4"/>
        <v>12600000</v>
      </c>
      <c r="O322" t="s">
        <v>704</v>
      </c>
      <c r="P322" s="2" t="s">
        <v>828</v>
      </c>
    </row>
    <row r="323" spans="1:16" x14ac:dyDescent="0.25">
      <c r="A323" t="s">
        <v>253</v>
      </c>
      <c r="B323" t="s">
        <v>13</v>
      </c>
      <c r="C323" s="12">
        <v>45923</v>
      </c>
      <c r="D323" s="12">
        <v>46022</v>
      </c>
      <c r="E323" t="s">
        <v>750</v>
      </c>
      <c r="F323" t="s">
        <v>14</v>
      </c>
      <c r="G323">
        <v>36952916</v>
      </c>
      <c r="H323" t="s">
        <v>254</v>
      </c>
      <c r="I323">
        <v>59836926</v>
      </c>
      <c r="J323" t="s">
        <v>14</v>
      </c>
      <c r="K323" t="s">
        <v>17</v>
      </c>
      <c r="L323" s="42">
        <v>7350000</v>
      </c>
      <c r="M323" s="42">
        <v>22050000</v>
      </c>
      <c r="N323" s="10">
        <f t="shared" ref="N323:N386" si="5">M323-L323</f>
        <v>14700000</v>
      </c>
      <c r="O323" t="s">
        <v>704</v>
      </c>
      <c r="P323" s="2" t="s">
        <v>828</v>
      </c>
    </row>
    <row r="324" spans="1:16" x14ac:dyDescent="0.25">
      <c r="A324" t="s">
        <v>601</v>
      </c>
      <c r="B324" t="s">
        <v>13</v>
      </c>
      <c r="C324" s="12">
        <v>45931</v>
      </c>
      <c r="D324" s="12">
        <v>46022</v>
      </c>
      <c r="E324" t="s">
        <v>808</v>
      </c>
      <c r="F324" t="s">
        <v>14</v>
      </c>
      <c r="G324">
        <v>1085298800</v>
      </c>
      <c r="H324" t="s">
        <v>602</v>
      </c>
      <c r="I324">
        <v>98390119</v>
      </c>
      <c r="J324" t="s">
        <v>14</v>
      </c>
      <c r="K324" t="s">
        <v>63</v>
      </c>
      <c r="L324" s="42">
        <v>15600000</v>
      </c>
      <c r="M324" s="42">
        <v>23400000</v>
      </c>
      <c r="N324" s="10">
        <f t="shared" si="5"/>
        <v>7800000</v>
      </c>
      <c r="O324" t="s">
        <v>704</v>
      </c>
      <c r="P324" s="2" t="s">
        <v>828</v>
      </c>
    </row>
    <row r="325" spans="1:16" x14ac:dyDescent="0.25">
      <c r="A325" t="s">
        <v>503</v>
      </c>
      <c r="B325" t="s">
        <v>13</v>
      </c>
      <c r="C325" s="12">
        <v>45911</v>
      </c>
      <c r="D325" s="12">
        <v>46022</v>
      </c>
      <c r="E325" t="s">
        <v>719</v>
      </c>
      <c r="F325" t="s">
        <v>14</v>
      </c>
      <c r="G325">
        <v>1084224761</v>
      </c>
      <c r="H325" t="s">
        <v>504</v>
      </c>
      <c r="I325">
        <v>98333941</v>
      </c>
      <c r="J325" t="s">
        <v>14</v>
      </c>
      <c r="K325" t="s">
        <v>15</v>
      </c>
      <c r="L325" s="42">
        <v>22050000</v>
      </c>
      <c r="M325" s="42">
        <v>25200000</v>
      </c>
      <c r="N325" s="10">
        <f t="shared" si="5"/>
        <v>3150000</v>
      </c>
      <c r="O325" t="s">
        <v>704</v>
      </c>
      <c r="P325" s="2" t="s">
        <v>828</v>
      </c>
    </row>
    <row r="326" spans="1:16" x14ac:dyDescent="0.25">
      <c r="A326" t="s">
        <v>603</v>
      </c>
      <c r="B326" t="s">
        <v>13</v>
      </c>
      <c r="C326" s="12">
        <v>45911</v>
      </c>
      <c r="D326" s="12">
        <v>46022</v>
      </c>
      <c r="E326" t="s">
        <v>719</v>
      </c>
      <c r="F326" t="s">
        <v>14</v>
      </c>
      <c r="G326">
        <v>27090399</v>
      </c>
      <c r="H326" t="s">
        <v>604</v>
      </c>
      <c r="I326">
        <v>98333941</v>
      </c>
      <c r="J326" t="s">
        <v>14</v>
      </c>
      <c r="K326" t="s">
        <v>15</v>
      </c>
      <c r="L326" s="42">
        <v>12600000</v>
      </c>
      <c r="M326" s="42">
        <v>25200000</v>
      </c>
      <c r="N326" s="10">
        <f t="shared" si="5"/>
        <v>12600000</v>
      </c>
      <c r="O326" t="s">
        <v>704</v>
      </c>
      <c r="P326" s="2" t="s">
        <v>828</v>
      </c>
    </row>
    <row r="327" spans="1:16" x14ac:dyDescent="0.25">
      <c r="A327" t="s">
        <v>343</v>
      </c>
      <c r="B327" t="s">
        <v>13</v>
      </c>
      <c r="C327" s="12">
        <v>45909</v>
      </c>
      <c r="D327" s="12">
        <v>46022</v>
      </c>
      <c r="E327" t="s">
        <v>719</v>
      </c>
      <c r="F327" t="s">
        <v>14</v>
      </c>
      <c r="G327">
        <v>1014212900</v>
      </c>
      <c r="H327" t="s">
        <v>344</v>
      </c>
      <c r="I327">
        <v>98390119</v>
      </c>
      <c r="J327" t="s">
        <v>14</v>
      </c>
      <c r="K327" t="s">
        <v>63</v>
      </c>
      <c r="L327" s="42">
        <v>18900000</v>
      </c>
      <c r="M327" s="42">
        <v>25200000</v>
      </c>
      <c r="N327" s="10">
        <f t="shared" si="5"/>
        <v>6300000</v>
      </c>
      <c r="O327" t="s">
        <v>704</v>
      </c>
      <c r="P327" s="2" t="s">
        <v>828</v>
      </c>
    </row>
    <row r="328" spans="1:16" x14ac:dyDescent="0.25">
      <c r="A328" t="s">
        <v>334</v>
      </c>
      <c r="B328" t="s">
        <v>13</v>
      </c>
      <c r="C328" s="12">
        <v>45908</v>
      </c>
      <c r="D328" s="12">
        <v>46022</v>
      </c>
      <c r="E328" t="s">
        <v>735</v>
      </c>
      <c r="F328" t="s">
        <v>14</v>
      </c>
      <c r="G328">
        <v>37086513</v>
      </c>
      <c r="H328" t="s">
        <v>335</v>
      </c>
      <c r="I328">
        <v>98333941</v>
      </c>
      <c r="J328" t="s">
        <v>14</v>
      </c>
      <c r="K328" t="s">
        <v>15</v>
      </c>
      <c r="L328" s="42">
        <v>6300000</v>
      </c>
      <c r="M328" s="42">
        <v>25200000</v>
      </c>
      <c r="N328" s="10">
        <f t="shared" si="5"/>
        <v>18900000</v>
      </c>
      <c r="O328" t="s">
        <v>704</v>
      </c>
      <c r="P328" s="2" t="s">
        <v>828</v>
      </c>
    </row>
    <row r="329" spans="1:16" x14ac:dyDescent="0.25">
      <c r="A329" t="s">
        <v>493</v>
      </c>
      <c r="B329" t="s">
        <v>13</v>
      </c>
      <c r="C329" s="12">
        <v>45908</v>
      </c>
      <c r="D329" s="12">
        <v>46022</v>
      </c>
      <c r="E329" t="s">
        <v>792</v>
      </c>
      <c r="F329" t="s">
        <v>14</v>
      </c>
      <c r="G329">
        <v>1085284997</v>
      </c>
      <c r="H329" t="s">
        <v>494</v>
      </c>
      <c r="I329">
        <v>98333941</v>
      </c>
      <c r="J329" t="s">
        <v>14</v>
      </c>
      <c r="K329" t="s">
        <v>15</v>
      </c>
      <c r="L329" s="42">
        <v>18900000</v>
      </c>
      <c r="M329" s="42">
        <v>25200000</v>
      </c>
      <c r="N329" s="10">
        <f t="shared" si="5"/>
        <v>6300000</v>
      </c>
      <c r="O329" t="s">
        <v>704</v>
      </c>
      <c r="P329" s="2" t="s">
        <v>828</v>
      </c>
    </row>
    <row r="330" spans="1:16" x14ac:dyDescent="0.25">
      <c r="A330" t="s">
        <v>481</v>
      </c>
      <c r="B330" t="s">
        <v>13</v>
      </c>
      <c r="C330" s="12">
        <v>45904</v>
      </c>
      <c r="D330" s="12">
        <v>46022</v>
      </c>
      <c r="E330" t="s">
        <v>777</v>
      </c>
      <c r="F330" t="s">
        <v>14</v>
      </c>
      <c r="G330">
        <v>36757221</v>
      </c>
      <c r="H330" t="s">
        <v>482</v>
      </c>
      <c r="I330">
        <v>43624414</v>
      </c>
      <c r="J330" t="s">
        <v>14</v>
      </c>
      <c r="K330" t="s">
        <v>18</v>
      </c>
      <c r="L330" s="42">
        <v>21140000</v>
      </c>
      <c r="M330" s="42">
        <v>25200000</v>
      </c>
      <c r="N330" s="10">
        <f t="shared" si="5"/>
        <v>4060000</v>
      </c>
      <c r="O330" t="s">
        <v>704</v>
      </c>
      <c r="P330" s="2" t="s">
        <v>828</v>
      </c>
    </row>
    <row r="331" spans="1:16" x14ac:dyDescent="0.25">
      <c r="A331" t="s">
        <v>415</v>
      </c>
      <c r="B331" t="s">
        <v>13</v>
      </c>
      <c r="C331" s="12">
        <v>45911</v>
      </c>
      <c r="D331" s="12">
        <v>46022</v>
      </c>
      <c r="E331" t="s">
        <v>710</v>
      </c>
      <c r="F331" t="s">
        <v>14</v>
      </c>
      <c r="G331">
        <v>1085246871</v>
      </c>
      <c r="H331" t="s">
        <v>416</v>
      </c>
      <c r="I331">
        <v>98333941</v>
      </c>
      <c r="J331" t="s">
        <v>14</v>
      </c>
      <c r="K331" t="s">
        <v>15</v>
      </c>
      <c r="L331" s="42">
        <v>7800000</v>
      </c>
      <c r="M331" s="42">
        <v>31200000</v>
      </c>
      <c r="N331" s="10">
        <f t="shared" si="5"/>
        <v>23400000</v>
      </c>
      <c r="O331" t="s">
        <v>704</v>
      </c>
      <c r="P331" s="2" t="s">
        <v>828</v>
      </c>
    </row>
    <row r="332" spans="1:16" x14ac:dyDescent="0.25">
      <c r="A332" t="s">
        <v>995</v>
      </c>
      <c r="B332" t="s">
        <v>13</v>
      </c>
      <c r="C332" s="12">
        <v>46024</v>
      </c>
      <c r="D332" s="12">
        <v>46112</v>
      </c>
      <c r="E332" t="s">
        <v>775</v>
      </c>
      <c r="F332" t="s">
        <v>14</v>
      </c>
      <c r="G332">
        <v>1085275879</v>
      </c>
      <c r="H332" t="s">
        <v>59</v>
      </c>
      <c r="I332">
        <v>98390119</v>
      </c>
      <c r="J332" t="s">
        <v>14</v>
      </c>
      <c r="K332" t="s">
        <v>63</v>
      </c>
      <c r="L332" s="42">
        <v>6300000</v>
      </c>
      <c r="M332" s="10">
        <v>18900000</v>
      </c>
      <c r="N332" s="10">
        <f t="shared" si="5"/>
        <v>12600000</v>
      </c>
      <c r="O332" t="s">
        <v>704</v>
      </c>
    </row>
    <row r="333" spans="1:16" x14ac:dyDescent="0.25">
      <c r="A333" t="s">
        <v>1044</v>
      </c>
      <c r="B333" t="s">
        <v>13</v>
      </c>
      <c r="C333" s="12">
        <v>46024</v>
      </c>
      <c r="D333" s="12">
        <v>46112</v>
      </c>
      <c r="E333" t="s">
        <v>775</v>
      </c>
      <c r="F333" t="s">
        <v>14</v>
      </c>
      <c r="G333">
        <v>1081594639</v>
      </c>
      <c r="H333" t="s">
        <v>887</v>
      </c>
      <c r="I333">
        <v>43624414</v>
      </c>
      <c r="J333" t="s">
        <v>14</v>
      </c>
      <c r="K333" t="s">
        <v>18</v>
      </c>
      <c r="L333" s="42">
        <v>3150000</v>
      </c>
      <c r="M333" s="10">
        <v>9450000</v>
      </c>
      <c r="N333" s="10">
        <f t="shared" si="5"/>
        <v>6300000</v>
      </c>
      <c r="O333" t="s">
        <v>704</v>
      </c>
    </row>
    <row r="334" spans="1:16" x14ac:dyDescent="0.25">
      <c r="A334" t="s">
        <v>1018</v>
      </c>
      <c r="B334" t="s">
        <v>13</v>
      </c>
      <c r="C334" s="12">
        <v>46024</v>
      </c>
      <c r="D334" s="12">
        <v>46112</v>
      </c>
      <c r="E334" t="s">
        <v>775</v>
      </c>
      <c r="F334" t="s">
        <v>14</v>
      </c>
      <c r="G334">
        <v>1086328142</v>
      </c>
      <c r="H334" t="s">
        <v>85</v>
      </c>
      <c r="I334">
        <v>43624414</v>
      </c>
      <c r="J334" t="s">
        <v>14</v>
      </c>
      <c r="K334" t="s">
        <v>18</v>
      </c>
      <c r="L334" s="42">
        <v>3150000</v>
      </c>
      <c r="M334" s="10">
        <v>9450000</v>
      </c>
      <c r="N334" s="10">
        <f t="shared" si="5"/>
        <v>6300000</v>
      </c>
      <c r="O334" t="s">
        <v>704</v>
      </c>
    </row>
    <row r="335" spans="1:16" x14ac:dyDescent="0.25">
      <c r="A335" t="s">
        <v>1019</v>
      </c>
      <c r="B335" t="s">
        <v>13</v>
      </c>
      <c r="C335" s="12">
        <v>46024</v>
      </c>
      <c r="D335" s="12">
        <v>46112</v>
      </c>
      <c r="E335" t="s">
        <v>775</v>
      </c>
      <c r="F335" t="s">
        <v>14</v>
      </c>
      <c r="G335">
        <v>37084285</v>
      </c>
      <c r="H335" t="s">
        <v>29</v>
      </c>
      <c r="I335">
        <v>98333941</v>
      </c>
      <c r="J335" t="s">
        <v>14</v>
      </c>
      <c r="K335" t="s">
        <v>15</v>
      </c>
      <c r="L335" s="42">
        <v>3150000</v>
      </c>
      <c r="M335" s="10">
        <v>9450000</v>
      </c>
      <c r="N335" s="10">
        <f t="shared" si="5"/>
        <v>6300000</v>
      </c>
      <c r="O335" t="s">
        <v>704</v>
      </c>
    </row>
    <row r="336" spans="1:16" x14ac:dyDescent="0.25">
      <c r="A336" t="s">
        <v>665</v>
      </c>
      <c r="B336" t="s">
        <v>13</v>
      </c>
      <c r="C336" s="12">
        <v>45909</v>
      </c>
      <c r="D336" s="12">
        <v>46022</v>
      </c>
      <c r="E336" t="s">
        <v>710</v>
      </c>
      <c r="F336" t="s">
        <v>14</v>
      </c>
      <c r="G336">
        <v>1085244624</v>
      </c>
      <c r="H336" t="s">
        <v>666</v>
      </c>
      <c r="I336">
        <v>98333941</v>
      </c>
      <c r="J336" t="s">
        <v>14</v>
      </c>
      <c r="K336" t="s">
        <v>15</v>
      </c>
      <c r="L336" s="42">
        <v>3900000</v>
      </c>
      <c r="M336" s="42">
        <v>31200000</v>
      </c>
      <c r="N336" s="10">
        <f t="shared" si="5"/>
        <v>27300000</v>
      </c>
      <c r="O336" t="s">
        <v>704</v>
      </c>
      <c r="P336" s="2" t="s">
        <v>828</v>
      </c>
    </row>
    <row r="337" spans="1:15" x14ac:dyDescent="0.25">
      <c r="A337" t="s">
        <v>1045</v>
      </c>
      <c r="B337" t="s">
        <v>13</v>
      </c>
      <c r="C337" s="12">
        <v>46024</v>
      </c>
      <c r="D337" s="12">
        <v>46112</v>
      </c>
      <c r="E337" t="s">
        <v>775</v>
      </c>
      <c r="F337" t="s">
        <v>14</v>
      </c>
      <c r="G337">
        <v>1086361622</v>
      </c>
      <c r="H337" t="s">
        <v>267</v>
      </c>
      <c r="I337">
        <v>98390119</v>
      </c>
      <c r="J337" t="s">
        <v>14</v>
      </c>
      <c r="K337" t="s">
        <v>63</v>
      </c>
      <c r="L337" s="42">
        <v>0</v>
      </c>
      <c r="M337" s="10">
        <v>9450000</v>
      </c>
      <c r="N337" s="10">
        <f t="shared" si="5"/>
        <v>9450000</v>
      </c>
      <c r="O337" t="s">
        <v>704</v>
      </c>
    </row>
    <row r="338" spans="1:15" x14ac:dyDescent="0.25">
      <c r="A338" t="s">
        <v>1046</v>
      </c>
      <c r="B338" t="s">
        <v>13</v>
      </c>
      <c r="C338" s="12">
        <v>46024</v>
      </c>
      <c r="D338" s="12">
        <v>46112</v>
      </c>
      <c r="E338" t="s">
        <v>775</v>
      </c>
      <c r="F338" t="s">
        <v>14</v>
      </c>
      <c r="G338">
        <v>1005977438</v>
      </c>
      <c r="H338" t="s">
        <v>133</v>
      </c>
      <c r="I338">
        <v>98390119</v>
      </c>
      <c r="J338" t="s">
        <v>14</v>
      </c>
      <c r="K338" t="s">
        <v>63</v>
      </c>
      <c r="L338" s="42">
        <v>3150000</v>
      </c>
      <c r="M338" s="10">
        <v>9450000</v>
      </c>
      <c r="N338" s="10">
        <f t="shared" si="5"/>
        <v>6300000</v>
      </c>
      <c r="O338" t="s">
        <v>704</v>
      </c>
    </row>
    <row r="339" spans="1:15" x14ac:dyDescent="0.25">
      <c r="A339" t="s">
        <v>1047</v>
      </c>
      <c r="B339" t="s">
        <v>13</v>
      </c>
      <c r="C339" s="12">
        <v>46024</v>
      </c>
      <c r="D339" s="12">
        <v>46112</v>
      </c>
      <c r="E339" t="s">
        <v>775</v>
      </c>
      <c r="F339" t="s">
        <v>14</v>
      </c>
      <c r="G339">
        <v>1086755989</v>
      </c>
      <c r="H339" t="s">
        <v>930</v>
      </c>
      <c r="I339">
        <v>59836926</v>
      </c>
      <c r="J339" t="s">
        <v>14</v>
      </c>
      <c r="K339" t="s">
        <v>17</v>
      </c>
      <c r="L339" s="42">
        <v>6300000</v>
      </c>
      <c r="M339" s="10">
        <v>18900000</v>
      </c>
      <c r="N339" s="10">
        <f t="shared" si="5"/>
        <v>12600000</v>
      </c>
      <c r="O339" t="s">
        <v>704</v>
      </c>
    </row>
    <row r="340" spans="1:15" x14ac:dyDescent="0.25">
      <c r="A340" t="s">
        <v>998</v>
      </c>
      <c r="B340" t="s">
        <v>13</v>
      </c>
      <c r="C340" s="12">
        <v>46024</v>
      </c>
      <c r="D340" s="12">
        <v>46112</v>
      </c>
      <c r="E340" t="s">
        <v>744</v>
      </c>
      <c r="F340" t="s">
        <v>14</v>
      </c>
      <c r="G340">
        <v>1233189066</v>
      </c>
      <c r="H340" t="s">
        <v>854</v>
      </c>
      <c r="I340">
        <v>98390119</v>
      </c>
      <c r="J340" t="s">
        <v>14</v>
      </c>
      <c r="K340" t="s">
        <v>63</v>
      </c>
      <c r="L340" s="42">
        <v>7800000</v>
      </c>
      <c r="M340" s="10">
        <v>7800000</v>
      </c>
      <c r="N340" s="10">
        <f t="shared" si="5"/>
        <v>0</v>
      </c>
      <c r="O340" t="s">
        <v>704</v>
      </c>
    </row>
    <row r="341" spans="1:15" x14ac:dyDescent="0.25">
      <c r="A341" t="s">
        <v>1003</v>
      </c>
      <c r="B341" t="s">
        <v>13</v>
      </c>
      <c r="C341" s="12">
        <v>46024</v>
      </c>
      <c r="D341" s="12">
        <v>46112</v>
      </c>
      <c r="E341" t="s">
        <v>744</v>
      </c>
      <c r="F341" t="s">
        <v>14</v>
      </c>
      <c r="G341">
        <v>80765093</v>
      </c>
      <c r="H341" t="s">
        <v>20</v>
      </c>
      <c r="I341">
        <v>59836926</v>
      </c>
      <c r="J341" t="s">
        <v>14</v>
      </c>
      <c r="K341" t="s">
        <v>17</v>
      </c>
      <c r="L341" s="42">
        <v>7800000</v>
      </c>
      <c r="M341" s="10">
        <v>23400000</v>
      </c>
      <c r="N341" s="10">
        <f t="shared" si="5"/>
        <v>15600000</v>
      </c>
      <c r="O341" t="s">
        <v>704</v>
      </c>
    </row>
    <row r="342" spans="1:15" x14ac:dyDescent="0.25">
      <c r="A342" t="s">
        <v>1048</v>
      </c>
      <c r="B342" t="s">
        <v>13</v>
      </c>
      <c r="C342" s="12">
        <v>46024</v>
      </c>
      <c r="D342" s="12">
        <v>46112</v>
      </c>
      <c r="E342" t="s">
        <v>775</v>
      </c>
      <c r="F342" t="s">
        <v>14</v>
      </c>
      <c r="G342">
        <v>1085283868</v>
      </c>
      <c r="H342" t="s">
        <v>414</v>
      </c>
      <c r="I342">
        <v>43624414</v>
      </c>
      <c r="J342" t="s">
        <v>14</v>
      </c>
      <c r="K342" t="s">
        <v>18</v>
      </c>
      <c r="L342" s="42">
        <v>6300000</v>
      </c>
      <c r="M342" s="10">
        <v>18900000</v>
      </c>
      <c r="N342" s="10">
        <f t="shared" si="5"/>
        <v>12600000</v>
      </c>
      <c r="O342" t="s">
        <v>704</v>
      </c>
    </row>
    <row r="343" spans="1:15" x14ac:dyDescent="0.25">
      <c r="A343" t="s">
        <v>999</v>
      </c>
      <c r="B343" t="s">
        <v>13</v>
      </c>
      <c r="C343" s="12">
        <v>46024</v>
      </c>
      <c r="D343" s="12">
        <v>46112</v>
      </c>
      <c r="E343" t="s">
        <v>744</v>
      </c>
      <c r="F343" t="s">
        <v>14</v>
      </c>
      <c r="G343">
        <v>59816986</v>
      </c>
      <c r="H343" t="s">
        <v>447</v>
      </c>
      <c r="I343">
        <v>98390119</v>
      </c>
      <c r="J343" t="s">
        <v>14</v>
      </c>
      <c r="K343" t="s">
        <v>63</v>
      </c>
      <c r="L343" s="42">
        <v>4730000</v>
      </c>
      <c r="M343" s="10">
        <v>14190000</v>
      </c>
      <c r="N343" s="10">
        <f t="shared" si="5"/>
        <v>9460000</v>
      </c>
      <c r="O343" t="s">
        <v>704</v>
      </c>
    </row>
    <row r="344" spans="1:15" x14ac:dyDescent="0.25">
      <c r="A344" t="s">
        <v>1026</v>
      </c>
      <c r="B344" t="s">
        <v>13</v>
      </c>
      <c r="C344" s="12">
        <v>46024</v>
      </c>
      <c r="D344" s="12">
        <v>46112</v>
      </c>
      <c r="E344" t="s">
        <v>744</v>
      </c>
      <c r="F344" t="s">
        <v>14</v>
      </c>
      <c r="G344">
        <v>36756149</v>
      </c>
      <c r="H344" t="s">
        <v>159</v>
      </c>
      <c r="I344">
        <v>98390119</v>
      </c>
      <c r="J344" t="s">
        <v>14</v>
      </c>
      <c r="K344" t="s">
        <v>63</v>
      </c>
      <c r="L344" s="42">
        <v>4730000</v>
      </c>
      <c r="M344" s="10">
        <v>14190000</v>
      </c>
      <c r="N344" s="10">
        <f t="shared" si="5"/>
        <v>9460000</v>
      </c>
      <c r="O344" t="s">
        <v>704</v>
      </c>
    </row>
    <row r="345" spans="1:15" x14ac:dyDescent="0.25">
      <c r="A345" t="s">
        <v>1049</v>
      </c>
      <c r="B345" t="s">
        <v>13</v>
      </c>
      <c r="C345" s="12">
        <v>46024</v>
      </c>
      <c r="D345" s="12">
        <v>46112</v>
      </c>
      <c r="E345" t="s">
        <v>744</v>
      </c>
      <c r="F345" t="s">
        <v>14</v>
      </c>
      <c r="G345">
        <v>1082749648</v>
      </c>
      <c r="H345" t="s">
        <v>459</v>
      </c>
      <c r="I345">
        <v>43624414</v>
      </c>
      <c r="J345" t="s">
        <v>14</v>
      </c>
      <c r="K345" t="s">
        <v>18</v>
      </c>
      <c r="L345" s="42">
        <v>4730000</v>
      </c>
      <c r="M345" s="10">
        <v>14190000</v>
      </c>
      <c r="N345" s="10">
        <f t="shared" si="5"/>
        <v>9460000</v>
      </c>
      <c r="O345" t="s">
        <v>704</v>
      </c>
    </row>
    <row r="346" spans="1:15" x14ac:dyDescent="0.25">
      <c r="A346" t="s">
        <v>1050</v>
      </c>
      <c r="B346" t="s">
        <v>13</v>
      </c>
      <c r="C346" s="12">
        <v>46024</v>
      </c>
      <c r="D346" s="12">
        <v>46112</v>
      </c>
      <c r="E346" t="s">
        <v>775</v>
      </c>
      <c r="F346" t="s">
        <v>14</v>
      </c>
      <c r="G346">
        <v>59825948</v>
      </c>
      <c r="H346" t="s">
        <v>34</v>
      </c>
      <c r="I346">
        <v>43624414</v>
      </c>
      <c r="J346" t="s">
        <v>14</v>
      </c>
      <c r="K346" t="s">
        <v>18</v>
      </c>
      <c r="L346" s="42">
        <v>6300000</v>
      </c>
      <c r="M346" s="10">
        <v>18900000</v>
      </c>
      <c r="N346" s="10">
        <f t="shared" si="5"/>
        <v>12600000</v>
      </c>
      <c r="O346" t="s">
        <v>704</v>
      </c>
    </row>
    <row r="347" spans="1:15" x14ac:dyDescent="0.25">
      <c r="A347" t="s">
        <v>986</v>
      </c>
      <c r="B347" t="s">
        <v>13</v>
      </c>
      <c r="C347" s="12">
        <v>46024</v>
      </c>
      <c r="D347" s="12">
        <v>46112</v>
      </c>
      <c r="E347" t="s">
        <v>744</v>
      </c>
      <c r="F347" t="s">
        <v>14</v>
      </c>
      <c r="G347">
        <v>1085336362</v>
      </c>
      <c r="H347" t="s">
        <v>49</v>
      </c>
      <c r="I347">
        <v>98333941</v>
      </c>
      <c r="J347" t="s">
        <v>14</v>
      </c>
      <c r="K347" t="s">
        <v>15</v>
      </c>
      <c r="L347" s="42">
        <v>7800000</v>
      </c>
      <c r="M347" s="10">
        <v>23400000</v>
      </c>
      <c r="N347" s="10">
        <f t="shared" si="5"/>
        <v>15600000</v>
      </c>
      <c r="O347" t="s">
        <v>704</v>
      </c>
    </row>
    <row r="348" spans="1:15" x14ac:dyDescent="0.25">
      <c r="A348" t="s">
        <v>1004</v>
      </c>
      <c r="B348" t="s">
        <v>13</v>
      </c>
      <c r="C348" s="12">
        <v>46024</v>
      </c>
      <c r="D348" s="12">
        <v>46112</v>
      </c>
      <c r="E348" t="s">
        <v>744</v>
      </c>
      <c r="F348" t="s">
        <v>14</v>
      </c>
      <c r="G348">
        <v>1006946167</v>
      </c>
      <c r="H348" t="s">
        <v>303</v>
      </c>
      <c r="I348">
        <v>59836926</v>
      </c>
      <c r="J348" t="s">
        <v>14</v>
      </c>
      <c r="K348" t="s">
        <v>17</v>
      </c>
      <c r="L348" s="42">
        <v>7800000</v>
      </c>
      <c r="M348" s="10">
        <v>23400000</v>
      </c>
      <c r="N348" s="10">
        <f t="shared" si="5"/>
        <v>15600000</v>
      </c>
      <c r="O348" t="s">
        <v>704</v>
      </c>
    </row>
    <row r="349" spans="1:15" x14ac:dyDescent="0.25">
      <c r="A349" t="s">
        <v>1051</v>
      </c>
      <c r="B349" t="s">
        <v>13</v>
      </c>
      <c r="C349" s="12">
        <v>46024</v>
      </c>
      <c r="D349" s="12">
        <v>46112</v>
      </c>
      <c r="E349" t="s">
        <v>775</v>
      </c>
      <c r="F349" t="s">
        <v>14</v>
      </c>
      <c r="G349">
        <v>1085275473</v>
      </c>
      <c r="H349" t="s">
        <v>857</v>
      </c>
      <c r="I349">
        <v>98390119</v>
      </c>
      <c r="J349" t="s">
        <v>14</v>
      </c>
      <c r="K349" t="s">
        <v>63</v>
      </c>
      <c r="L349" s="42">
        <v>3150000</v>
      </c>
      <c r="M349" s="10">
        <v>9450000</v>
      </c>
      <c r="N349" s="10">
        <f t="shared" si="5"/>
        <v>6300000</v>
      </c>
      <c r="O349" t="s">
        <v>704</v>
      </c>
    </row>
    <row r="350" spans="1:15" x14ac:dyDescent="0.25">
      <c r="A350" t="s">
        <v>1025</v>
      </c>
      <c r="B350" t="s">
        <v>13</v>
      </c>
      <c r="C350" s="12">
        <v>46024</v>
      </c>
      <c r="D350" s="12">
        <v>46112</v>
      </c>
      <c r="E350" t="s">
        <v>775</v>
      </c>
      <c r="F350" t="s">
        <v>14</v>
      </c>
      <c r="G350">
        <v>59833899</v>
      </c>
      <c r="H350" t="s">
        <v>78</v>
      </c>
      <c r="I350">
        <v>43624414</v>
      </c>
      <c r="J350" t="s">
        <v>14</v>
      </c>
      <c r="K350" t="s">
        <v>18</v>
      </c>
      <c r="L350" s="42">
        <v>3150000</v>
      </c>
      <c r="M350" s="10">
        <v>9450000</v>
      </c>
      <c r="N350" s="10">
        <f t="shared" si="5"/>
        <v>6300000</v>
      </c>
      <c r="O350" t="s">
        <v>704</v>
      </c>
    </row>
    <row r="351" spans="1:15" x14ac:dyDescent="0.25">
      <c r="A351" t="s">
        <v>993</v>
      </c>
      <c r="B351" t="s">
        <v>13</v>
      </c>
      <c r="C351" s="12">
        <v>46024</v>
      </c>
      <c r="D351" s="12">
        <v>46112</v>
      </c>
      <c r="E351" t="s">
        <v>744</v>
      </c>
      <c r="F351" t="s">
        <v>14</v>
      </c>
      <c r="G351">
        <v>36759759</v>
      </c>
      <c r="H351" t="s">
        <v>26</v>
      </c>
      <c r="I351">
        <v>98390119</v>
      </c>
      <c r="J351" t="s">
        <v>14</v>
      </c>
      <c r="K351" t="s">
        <v>63</v>
      </c>
      <c r="L351" s="42">
        <v>4730000</v>
      </c>
      <c r="M351" s="10">
        <v>14190000</v>
      </c>
      <c r="N351" s="10">
        <f t="shared" si="5"/>
        <v>9460000</v>
      </c>
      <c r="O351" t="s">
        <v>704</v>
      </c>
    </row>
    <row r="352" spans="1:15" x14ac:dyDescent="0.25">
      <c r="A352" t="s">
        <v>1052</v>
      </c>
      <c r="B352" t="s">
        <v>13</v>
      </c>
      <c r="C352" s="12">
        <v>46024</v>
      </c>
      <c r="D352" s="12">
        <v>46112</v>
      </c>
      <c r="E352" t="s">
        <v>775</v>
      </c>
      <c r="F352" t="s">
        <v>14</v>
      </c>
      <c r="G352">
        <v>1085248939</v>
      </c>
      <c r="H352" t="s">
        <v>586</v>
      </c>
      <c r="I352">
        <v>98333941</v>
      </c>
      <c r="J352" t="s">
        <v>14</v>
      </c>
      <c r="K352" t="s">
        <v>15</v>
      </c>
      <c r="L352" s="42">
        <v>0</v>
      </c>
      <c r="M352" s="10">
        <v>18900000</v>
      </c>
      <c r="N352" s="10">
        <f t="shared" si="5"/>
        <v>18900000</v>
      </c>
      <c r="O352" t="s">
        <v>704</v>
      </c>
    </row>
    <row r="353" spans="1:15" x14ac:dyDescent="0.25">
      <c r="A353" t="s">
        <v>992</v>
      </c>
      <c r="B353" t="s">
        <v>13</v>
      </c>
      <c r="C353" s="12">
        <v>46024</v>
      </c>
      <c r="D353" s="12">
        <v>46112</v>
      </c>
      <c r="E353" t="s">
        <v>775</v>
      </c>
      <c r="F353" t="s">
        <v>14</v>
      </c>
      <c r="G353">
        <v>1085339190</v>
      </c>
      <c r="H353" t="s">
        <v>860</v>
      </c>
      <c r="I353">
        <v>98390119</v>
      </c>
      <c r="J353" t="s">
        <v>14</v>
      </c>
      <c r="K353" t="s">
        <v>63</v>
      </c>
      <c r="L353" s="42">
        <v>3150000</v>
      </c>
      <c r="M353" s="10">
        <v>9450000</v>
      </c>
      <c r="N353" s="10">
        <f t="shared" si="5"/>
        <v>6300000</v>
      </c>
      <c r="O353" t="s">
        <v>704</v>
      </c>
    </row>
    <row r="354" spans="1:15" x14ac:dyDescent="0.25">
      <c r="A354" t="s">
        <v>991</v>
      </c>
      <c r="B354" t="s">
        <v>13</v>
      </c>
      <c r="C354" s="12">
        <v>46024</v>
      </c>
      <c r="D354" s="12">
        <v>46112</v>
      </c>
      <c r="E354" t="s">
        <v>775</v>
      </c>
      <c r="F354" t="s">
        <v>14</v>
      </c>
      <c r="G354">
        <v>1085300095</v>
      </c>
      <c r="H354" t="s">
        <v>27</v>
      </c>
      <c r="I354">
        <v>59836926</v>
      </c>
      <c r="J354" t="s">
        <v>14</v>
      </c>
      <c r="K354" t="s">
        <v>17</v>
      </c>
      <c r="L354" s="42">
        <v>3150000</v>
      </c>
      <c r="M354" s="10">
        <v>9450000</v>
      </c>
      <c r="N354" s="10">
        <f t="shared" si="5"/>
        <v>6300000</v>
      </c>
      <c r="O354" t="s">
        <v>704</v>
      </c>
    </row>
    <row r="355" spans="1:15" x14ac:dyDescent="0.25">
      <c r="A355" t="s">
        <v>1053</v>
      </c>
      <c r="B355" t="s">
        <v>13</v>
      </c>
      <c r="C355" s="12">
        <v>46024</v>
      </c>
      <c r="D355" s="12">
        <v>46112</v>
      </c>
      <c r="E355" t="s">
        <v>775</v>
      </c>
      <c r="F355" t="s">
        <v>14</v>
      </c>
      <c r="G355">
        <v>59820414</v>
      </c>
      <c r="H355" t="s">
        <v>847</v>
      </c>
      <c r="I355">
        <v>43624414</v>
      </c>
      <c r="J355" t="s">
        <v>14</v>
      </c>
      <c r="K355" t="s">
        <v>18</v>
      </c>
      <c r="L355" s="42">
        <v>6300000</v>
      </c>
      <c r="M355" s="10">
        <v>18900000</v>
      </c>
      <c r="N355" s="10">
        <f t="shared" si="5"/>
        <v>12600000</v>
      </c>
      <c r="O355" t="s">
        <v>704</v>
      </c>
    </row>
    <row r="356" spans="1:15" x14ac:dyDescent="0.25">
      <c r="A356" t="s">
        <v>997</v>
      </c>
      <c r="B356" t="s">
        <v>13</v>
      </c>
      <c r="C356" s="12">
        <v>46024</v>
      </c>
      <c r="D356" s="12">
        <v>46112</v>
      </c>
      <c r="E356" t="s">
        <v>775</v>
      </c>
      <c r="F356" t="s">
        <v>14</v>
      </c>
      <c r="G356">
        <v>1085338921</v>
      </c>
      <c r="H356" t="s">
        <v>362</v>
      </c>
      <c r="I356">
        <v>98390119</v>
      </c>
      <c r="J356" t="s">
        <v>14</v>
      </c>
      <c r="K356" t="s">
        <v>63</v>
      </c>
      <c r="L356" s="42">
        <v>3150000</v>
      </c>
      <c r="M356" s="10">
        <v>9450000</v>
      </c>
      <c r="N356" s="10">
        <f t="shared" si="5"/>
        <v>6300000</v>
      </c>
      <c r="O356" t="s">
        <v>704</v>
      </c>
    </row>
    <row r="357" spans="1:15" x14ac:dyDescent="0.25">
      <c r="A357" t="s">
        <v>1007</v>
      </c>
      <c r="B357" t="s">
        <v>13</v>
      </c>
      <c r="C357" s="12">
        <v>46024</v>
      </c>
      <c r="D357" s="12">
        <v>46112</v>
      </c>
      <c r="E357" t="s">
        <v>775</v>
      </c>
      <c r="F357" t="s">
        <v>14</v>
      </c>
      <c r="G357">
        <v>1137624011</v>
      </c>
      <c r="H357" t="s">
        <v>356</v>
      </c>
      <c r="I357">
        <v>98390119</v>
      </c>
      <c r="J357" t="s">
        <v>14</v>
      </c>
      <c r="K357" t="s">
        <v>63</v>
      </c>
      <c r="L357" s="42">
        <v>3150000</v>
      </c>
      <c r="M357" s="10">
        <v>9450000</v>
      </c>
      <c r="N357" s="10">
        <f t="shared" si="5"/>
        <v>6300000</v>
      </c>
      <c r="O357" t="s">
        <v>704</v>
      </c>
    </row>
    <row r="358" spans="1:15" x14ac:dyDescent="0.25">
      <c r="A358" t="s">
        <v>1054</v>
      </c>
      <c r="B358" t="s">
        <v>13</v>
      </c>
      <c r="C358" s="12">
        <v>46024</v>
      </c>
      <c r="D358" s="12">
        <v>46112</v>
      </c>
      <c r="E358" t="s">
        <v>744</v>
      </c>
      <c r="F358" t="s">
        <v>14</v>
      </c>
      <c r="G358">
        <v>1086331521</v>
      </c>
      <c r="H358" t="s">
        <v>927</v>
      </c>
      <c r="I358">
        <v>43624414</v>
      </c>
      <c r="J358" t="s">
        <v>14</v>
      </c>
      <c r="K358" t="s">
        <v>18</v>
      </c>
      <c r="L358" s="42">
        <v>7800000</v>
      </c>
      <c r="M358" s="10">
        <v>23400000</v>
      </c>
      <c r="N358" s="10">
        <f t="shared" si="5"/>
        <v>15600000</v>
      </c>
      <c r="O358" t="s">
        <v>704</v>
      </c>
    </row>
    <row r="359" spans="1:15" x14ac:dyDescent="0.25">
      <c r="A359" t="s">
        <v>1055</v>
      </c>
      <c r="B359" t="s">
        <v>13</v>
      </c>
      <c r="C359" s="12">
        <v>46024</v>
      </c>
      <c r="D359" s="12">
        <v>46112</v>
      </c>
      <c r="E359" t="s">
        <v>744</v>
      </c>
      <c r="F359" t="s">
        <v>14</v>
      </c>
      <c r="G359">
        <v>1233193882</v>
      </c>
      <c r="H359" t="s">
        <v>97</v>
      </c>
      <c r="I359">
        <v>43624414</v>
      </c>
      <c r="J359" t="s">
        <v>14</v>
      </c>
      <c r="K359" t="s">
        <v>18</v>
      </c>
      <c r="L359" s="42">
        <v>7800000</v>
      </c>
      <c r="M359" s="10">
        <v>23400000</v>
      </c>
      <c r="N359" s="10">
        <f t="shared" si="5"/>
        <v>15600000</v>
      </c>
      <c r="O359" t="s">
        <v>704</v>
      </c>
    </row>
    <row r="360" spans="1:15" x14ac:dyDescent="0.25">
      <c r="A360" t="s">
        <v>1005</v>
      </c>
      <c r="B360" t="s">
        <v>13</v>
      </c>
      <c r="C360" s="12">
        <v>46024</v>
      </c>
      <c r="D360" s="12">
        <v>46112</v>
      </c>
      <c r="E360" t="s">
        <v>744</v>
      </c>
      <c r="F360" t="s">
        <v>14</v>
      </c>
      <c r="G360">
        <v>1193383306</v>
      </c>
      <c r="H360" t="s">
        <v>274</v>
      </c>
      <c r="I360">
        <v>59836926</v>
      </c>
      <c r="J360" t="s">
        <v>14</v>
      </c>
      <c r="K360" t="s">
        <v>17</v>
      </c>
      <c r="L360" s="42">
        <v>4730000</v>
      </c>
      <c r="M360" s="10">
        <v>14190000</v>
      </c>
      <c r="N360" s="10">
        <f t="shared" si="5"/>
        <v>9460000</v>
      </c>
      <c r="O360" t="s">
        <v>704</v>
      </c>
    </row>
    <row r="361" spans="1:15" x14ac:dyDescent="0.25">
      <c r="A361" t="s">
        <v>994</v>
      </c>
      <c r="B361" t="s">
        <v>13</v>
      </c>
      <c r="C361" s="12">
        <v>46024</v>
      </c>
      <c r="D361" s="12">
        <v>46112</v>
      </c>
      <c r="E361" t="s">
        <v>775</v>
      </c>
      <c r="F361" t="s">
        <v>14</v>
      </c>
      <c r="G361">
        <v>1010082397</v>
      </c>
      <c r="H361" t="s">
        <v>44</v>
      </c>
      <c r="I361">
        <v>59836926</v>
      </c>
      <c r="J361" t="s">
        <v>14</v>
      </c>
      <c r="K361" t="s">
        <v>17</v>
      </c>
      <c r="L361" s="42">
        <v>3150000</v>
      </c>
      <c r="M361" s="10">
        <v>9450000</v>
      </c>
      <c r="N361" s="10">
        <f t="shared" si="5"/>
        <v>6300000</v>
      </c>
      <c r="O361" t="s">
        <v>704</v>
      </c>
    </row>
    <row r="362" spans="1:15" x14ac:dyDescent="0.25">
      <c r="A362" t="s">
        <v>1056</v>
      </c>
      <c r="B362" t="s">
        <v>13</v>
      </c>
      <c r="C362" s="12">
        <v>46024</v>
      </c>
      <c r="D362" s="12">
        <v>46112</v>
      </c>
      <c r="E362" t="s">
        <v>775</v>
      </c>
      <c r="F362" t="s">
        <v>14</v>
      </c>
      <c r="G362">
        <v>30743783</v>
      </c>
      <c r="H362" t="s">
        <v>436</v>
      </c>
      <c r="I362">
        <v>59836926</v>
      </c>
      <c r="J362" t="s">
        <v>14</v>
      </c>
      <c r="K362" t="s">
        <v>17</v>
      </c>
      <c r="L362" s="42">
        <v>1260000</v>
      </c>
      <c r="M362" s="10">
        <v>9450000</v>
      </c>
      <c r="N362" s="10">
        <f t="shared" si="5"/>
        <v>8190000</v>
      </c>
      <c r="O362" t="s">
        <v>704</v>
      </c>
    </row>
    <row r="363" spans="1:15" x14ac:dyDescent="0.25">
      <c r="A363" t="s">
        <v>1035</v>
      </c>
      <c r="B363" t="s">
        <v>13</v>
      </c>
      <c r="C363" s="12">
        <v>46024</v>
      </c>
      <c r="D363" s="12">
        <v>46112</v>
      </c>
      <c r="E363" t="s">
        <v>744</v>
      </c>
      <c r="F363" t="s">
        <v>14</v>
      </c>
      <c r="G363">
        <v>1087006619</v>
      </c>
      <c r="H363" t="s">
        <v>457</v>
      </c>
      <c r="I363">
        <v>98333941</v>
      </c>
      <c r="J363" t="s">
        <v>14</v>
      </c>
      <c r="K363" t="s">
        <v>15</v>
      </c>
      <c r="L363" s="42">
        <v>7800000</v>
      </c>
      <c r="M363" s="10">
        <v>23400000</v>
      </c>
      <c r="N363" s="10">
        <f t="shared" si="5"/>
        <v>15600000</v>
      </c>
      <c r="O363" t="s">
        <v>704</v>
      </c>
    </row>
    <row r="364" spans="1:15" x14ac:dyDescent="0.25">
      <c r="A364" t="s">
        <v>1002</v>
      </c>
      <c r="B364" t="s">
        <v>13</v>
      </c>
      <c r="C364" s="12">
        <v>46024</v>
      </c>
      <c r="D364" s="12">
        <v>46112</v>
      </c>
      <c r="E364" t="s">
        <v>744</v>
      </c>
      <c r="F364" t="s">
        <v>14</v>
      </c>
      <c r="G364">
        <v>1085343783</v>
      </c>
      <c r="H364" t="s">
        <v>19</v>
      </c>
      <c r="I364">
        <v>59836926</v>
      </c>
      <c r="J364" t="s">
        <v>14</v>
      </c>
      <c r="K364" t="s">
        <v>17</v>
      </c>
      <c r="L364" s="42">
        <v>4730000</v>
      </c>
      <c r="M364" s="10">
        <v>14190000</v>
      </c>
      <c r="N364" s="10">
        <f t="shared" si="5"/>
        <v>9460000</v>
      </c>
      <c r="O364" t="s">
        <v>704</v>
      </c>
    </row>
    <row r="365" spans="1:15" x14ac:dyDescent="0.25">
      <c r="A365" t="s">
        <v>989</v>
      </c>
      <c r="B365" t="s">
        <v>13</v>
      </c>
      <c r="C365" s="12">
        <v>46024</v>
      </c>
      <c r="D365" s="12">
        <v>46112</v>
      </c>
      <c r="E365" t="s">
        <v>775</v>
      </c>
      <c r="F365" t="s">
        <v>14</v>
      </c>
      <c r="G365">
        <v>1004235479</v>
      </c>
      <c r="H365" t="s">
        <v>56</v>
      </c>
      <c r="I365">
        <v>98333941</v>
      </c>
      <c r="J365" t="s">
        <v>14</v>
      </c>
      <c r="K365" t="s">
        <v>15</v>
      </c>
      <c r="L365" s="42">
        <v>3150000</v>
      </c>
      <c r="M365" s="10">
        <v>9450000</v>
      </c>
      <c r="N365" s="10">
        <f t="shared" si="5"/>
        <v>6300000</v>
      </c>
      <c r="O365" t="s">
        <v>704</v>
      </c>
    </row>
    <row r="366" spans="1:15" x14ac:dyDescent="0.25">
      <c r="A366" t="s">
        <v>1024</v>
      </c>
      <c r="B366" t="s">
        <v>13</v>
      </c>
      <c r="C366" s="12">
        <v>46024</v>
      </c>
      <c r="D366" s="12">
        <v>46112</v>
      </c>
      <c r="E366" t="s">
        <v>775</v>
      </c>
      <c r="F366" t="s">
        <v>14</v>
      </c>
      <c r="G366">
        <v>1085344795</v>
      </c>
      <c r="H366" t="s">
        <v>79</v>
      </c>
      <c r="I366">
        <v>43624414</v>
      </c>
      <c r="J366" t="s">
        <v>14</v>
      </c>
      <c r="K366" t="s">
        <v>18</v>
      </c>
      <c r="L366" s="42">
        <v>3150000</v>
      </c>
      <c r="M366" s="10">
        <v>9450000</v>
      </c>
      <c r="N366" s="10">
        <f t="shared" si="5"/>
        <v>6300000</v>
      </c>
      <c r="O366" t="s">
        <v>704</v>
      </c>
    </row>
    <row r="367" spans="1:15" x14ac:dyDescent="0.25">
      <c r="A367" t="s">
        <v>987</v>
      </c>
      <c r="B367" t="s">
        <v>13</v>
      </c>
      <c r="C367" s="12">
        <v>46024</v>
      </c>
      <c r="D367" s="12">
        <v>46112</v>
      </c>
      <c r="E367" t="s">
        <v>744</v>
      </c>
      <c r="F367" t="s">
        <v>14</v>
      </c>
      <c r="G367">
        <v>1085334279</v>
      </c>
      <c r="H367" t="s">
        <v>558</v>
      </c>
      <c r="I367">
        <v>98333941</v>
      </c>
      <c r="J367" t="s">
        <v>14</v>
      </c>
      <c r="K367" t="s">
        <v>15</v>
      </c>
      <c r="L367" s="42">
        <v>7800000</v>
      </c>
      <c r="M367" s="10">
        <v>23400000</v>
      </c>
      <c r="N367" s="10">
        <f t="shared" si="5"/>
        <v>15600000</v>
      </c>
      <c r="O367" t="s">
        <v>704</v>
      </c>
    </row>
    <row r="368" spans="1:15" x14ac:dyDescent="0.25">
      <c r="A368" t="s">
        <v>1000</v>
      </c>
      <c r="B368" t="s">
        <v>13</v>
      </c>
      <c r="C368" s="12">
        <v>46024</v>
      </c>
      <c r="D368" s="12">
        <v>46112</v>
      </c>
      <c r="E368" t="s">
        <v>775</v>
      </c>
      <c r="F368" t="s">
        <v>14</v>
      </c>
      <c r="G368">
        <v>1085331508</v>
      </c>
      <c r="H368" t="s">
        <v>191</v>
      </c>
      <c r="I368">
        <v>59836926</v>
      </c>
      <c r="J368" t="s">
        <v>14</v>
      </c>
      <c r="K368" t="s">
        <v>17</v>
      </c>
      <c r="L368" s="42">
        <v>3150000</v>
      </c>
      <c r="M368" s="10">
        <v>9450000</v>
      </c>
      <c r="N368" s="10">
        <f t="shared" si="5"/>
        <v>6300000</v>
      </c>
      <c r="O368" t="s">
        <v>704</v>
      </c>
    </row>
    <row r="369" spans="1:15" x14ac:dyDescent="0.25">
      <c r="A369" t="s">
        <v>1014</v>
      </c>
      <c r="B369" t="s">
        <v>13</v>
      </c>
      <c r="C369" s="12">
        <v>46024</v>
      </c>
      <c r="D369" s="12">
        <v>46112</v>
      </c>
      <c r="E369" t="s">
        <v>775</v>
      </c>
      <c r="F369" t="s">
        <v>14</v>
      </c>
      <c r="G369">
        <v>1085269090</v>
      </c>
      <c r="H369" t="s">
        <v>52</v>
      </c>
      <c r="I369">
        <v>98333941</v>
      </c>
      <c r="J369" t="s">
        <v>14</v>
      </c>
      <c r="K369" t="s">
        <v>15</v>
      </c>
      <c r="L369" s="42">
        <v>3150000</v>
      </c>
      <c r="M369" s="10">
        <v>9450000</v>
      </c>
      <c r="N369" s="10">
        <f t="shared" si="5"/>
        <v>6300000</v>
      </c>
      <c r="O369" t="s">
        <v>704</v>
      </c>
    </row>
    <row r="370" spans="1:15" x14ac:dyDescent="0.25">
      <c r="A370" t="s">
        <v>988</v>
      </c>
      <c r="B370" t="s">
        <v>13</v>
      </c>
      <c r="C370" s="12">
        <v>46024</v>
      </c>
      <c r="D370" s="12">
        <v>46112</v>
      </c>
      <c r="E370" t="s">
        <v>775</v>
      </c>
      <c r="F370" t="s">
        <v>14</v>
      </c>
      <c r="G370">
        <v>1086329609</v>
      </c>
      <c r="H370" t="s">
        <v>64</v>
      </c>
      <c r="I370">
        <v>98333941</v>
      </c>
      <c r="J370" t="s">
        <v>14</v>
      </c>
      <c r="K370" t="s">
        <v>15</v>
      </c>
      <c r="L370" s="42">
        <v>3150000</v>
      </c>
      <c r="M370" s="10">
        <v>9450000</v>
      </c>
      <c r="N370" s="10">
        <f t="shared" si="5"/>
        <v>6300000</v>
      </c>
      <c r="O370" t="s">
        <v>704</v>
      </c>
    </row>
    <row r="371" spans="1:15" x14ac:dyDescent="0.25">
      <c r="A371" t="s">
        <v>996</v>
      </c>
      <c r="B371" t="s">
        <v>13</v>
      </c>
      <c r="C371" s="12">
        <v>46024</v>
      </c>
      <c r="D371" s="12">
        <v>46112</v>
      </c>
      <c r="E371" t="s">
        <v>744</v>
      </c>
      <c r="F371" t="s">
        <v>14</v>
      </c>
      <c r="G371">
        <v>1085264667</v>
      </c>
      <c r="H371" t="s">
        <v>844</v>
      </c>
      <c r="I371">
        <v>98390119</v>
      </c>
      <c r="J371" t="s">
        <v>14</v>
      </c>
      <c r="K371" t="s">
        <v>63</v>
      </c>
      <c r="L371" s="42">
        <v>4730000</v>
      </c>
      <c r="M371" s="10">
        <v>14190000</v>
      </c>
      <c r="N371" s="10">
        <f t="shared" si="5"/>
        <v>9460000</v>
      </c>
      <c r="O371" t="s">
        <v>704</v>
      </c>
    </row>
    <row r="372" spans="1:15" x14ac:dyDescent="0.25">
      <c r="A372" t="s">
        <v>1057</v>
      </c>
      <c r="B372" t="s">
        <v>13</v>
      </c>
      <c r="C372" s="12">
        <v>46024</v>
      </c>
      <c r="D372" s="12">
        <v>46112</v>
      </c>
      <c r="E372" t="s">
        <v>775</v>
      </c>
      <c r="F372" t="s">
        <v>14</v>
      </c>
      <c r="G372">
        <v>97470681</v>
      </c>
      <c r="H372" t="s">
        <v>55</v>
      </c>
      <c r="I372">
        <v>98333941</v>
      </c>
      <c r="J372" t="s">
        <v>14</v>
      </c>
      <c r="K372" t="s">
        <v>15</v>
      </c>
      <c r="L372" s="42">
        <v>0</v>
      </c>
      <c r="M372" s="10">
        <v>18900000</v>
      </c>
      <c r="N372" s="10">
        <f t="shared" si="5"/>
        <v>18900000</v>
      </c>
      <c r="O372" t="s">
        <v>704</v>
      </c>
    </row>
    <row r="373" spans="1:15" x14ac:dyDescent="0.25">
      <c r="A373" t="s">
        <v>1058</v>
      </c>
      <c r="B373" t="s">
        <v>13</v>
      </c>
      <c r="C373" s="12">
        <v>46024</v>
      </c>
      <c r="D373" s="12">
        <v>46112</v>
      </c>
      <c r="E373" t="s">
        <v>775</v>
      </c>
      <c r="F373" t="s">
        <v>14</v>
      </c>
      <c r="G373">
        <v>1004213964</v>
      </c>
      <c r="H373" t="s">
        <v>905</v>
      </c>
      <c r="I373">
        <v>98390119</v>
      </c>
      <c r="J373" t="s">
        <v>14</v>
      </c>
      <c r="K373" t="s">
        <v>63</v>
      </c>
      <c r="L373" s="42">
        <v>6300000</v>
      </c>
      <c r="M373" s="10">
        <v>18900000</v>
      </c>
      <c r="N373" s="10">
        <f t="shared" si="5"/>
        <v>12600000</v>
      </c>
      <c r="O373" t="s">
        <v>704</v>
      </c>
    </row>
    <row r="374" spans="1:15" x14ac:dyDescent="0.25">
      <c r="A374" t="s">
        <v>1009</v>
      </c>
      <c r="B374" t="s">
        <v>13</v>
      </c>
      <c r="C374" s="12">
        <v>46024</v>
      </c>
      <c r="D374" s="12">
        <v>46112</v>
      </c>
      <c r="E374" t="s">
        <v>744</v>
      </c>
      <c r="F374" t="s">
        <v>14</v>
      </c>
      <c r="G374">
        <v>1087413951</v>
      </c>
      <c r="H374" t="s">
        <v>219</v>
      </c>
      <c r="I374">
        <v>98333941</v>
      </c>
      <c r="J374" t="s">
        <v>14</v>
      </c>
      <c r="K374" t="s">
        <v>15</v>
      </c>
      <c r="L374" s="42">
        <v>4730000</v>
      </c>
      <c r="M374" s="10">
        <v>14190000</v>
      </c>
      <c r="N374" s="10">
        <f t="shared" si="5"/>
        <v>9460000</v>
      </c>
      <c r="O374" t="s">
        <v>704</v>
      </c>
    </row>
    <row r="375" spans="1:15" x14ac:dyDescent="0.25">
      <c r="A375" t="s">
        <v>1023</v>
      </c>
      <c r="B375" t="s">
        <v>13</v>
      </c>
      <c r="C375" s="12">
        <v>46024</v>
      </c>
      <c r="D375" s="12">
        <v>46112</v>
      </c>
      <c r="E375" t="s">
        <v>744</v>
      </c>
      <c r="F375" t="s">
        <v>14</v>
      </c>
      <c r="G375">
        <v>27087475</v>
      </c>
      <c r="H375" t="s">
        <v>48</v>
      </c>
      <c r="I375">
        <v>43624414</v>
      </c>
      <c r="J375" t="s">
        <v>14</v>
      </c>
      <c r="K375" t="s">
        <v>18</v>
      </c>
      <c r="L375" s="42">
        <v>4730000</v>
      </c>
      <c r="M375" s="10">
        <v>14190000</v>
      </c>
      <c r="N375" s="10">
        <f t="shared" si="5"/>
        <v>9460000</v>
      </c>
      <c r="O375" t="s">
        <v>704</v>
      </c>
    </row>
    <row r="376" spans="1:15" x14ac:dyDescent="0.25">
      <c r="A376" t="s">
        <v>1015</v>
      </c>
      <c r="B376" t="s">
        <v>13</v>
      </c>
      <c r="C376" s="12">
        <v>46024</v>
      </c>
      <c r="D376" s="12">
        <v>46112</v>
      </c>
      <c r="E376" t="s">
        <v>744</v>
      </c>
      <c r="F376" t="s">
        <v>14</v>
      </c>
      <c r="G376">
        <v>1085318684</v>
      </c>
      <c r="H376" t="s">
        <v>427</v>
      </c>
      <c r="I376">
        <v>98333941</v>
      </c>
      <c r="J376" t="s">
        <v>14</v>
      </c>
      <c r="K376" t="s">
        <v>15</v>
      </c>
      <c r="L376" s="42">
        <v>4730000</v>
      </c>
      <c r="M376" s="10">
        <v>14190000</v>
      </c>
      <c r="N376" s="10">
        <f t="shared" si="5"/>
        <v>9460000</v>
      </c>
      <c r="O376" t="s">
        <v>704</v>
      </c>
    </row>
    <row r="377" spans="1:15" x14ac:dyDescent="0.25">
      <c r="A377" t="s">
        <v>1059</v>
      </c>
      <c r="B377" t="s">
        <v>13</v>
      </c>
      <c r="C377" s="12">
        <v>46024</v>
      </c>
      <c r="D377" s="12">
        <v>46112</v>
      </c>
      <c r="E377" t="s">
        <v>744</v>
      </c>
      <c r="F377" t="s">
        <v>14</v>
      </c>
      <c r="G377">
        <v>1087414586</v>
      </c>
      <c r="H377" t="s">
        <v>92</v>
      </c>
      <c r="I377">
        <v>43624414</v>
      </c>
      <c r="J377" t="s">
        <v>14</v>
      </c>
      <c r="K377" t="s">
        <v>18</v>
      </c>
      <c r="L377" s="42">
        <v>4730000</v>
      </c>
      <c r="M377" s="10">
        <v>14190000</v>
      </c>
      <c r="N377" s="10">
        <f t="shared" si="5"/>
        <v>9460000</v>
      </c>
      <c r="O377" t="s">
        <v>704</v>
      </c>
    </row>
    <row r="378" spans="1:15" x14ac:dyDescent="0.25">
      <c r="A378" t="s">
        <v>1060</v>
      </c>
      <c r="B378" t="s">
        <v>13</v>
      </c>
      <c r="C378" s="12">
        <v>46024</v>
      </c>
      <c r="D378" s="12">
        <v>46112</v>
      </c>
      <c r="E378" t="s">
        <v>775</v>
      </c>
      <c r="F378" t="s">
        <v>14</v>
      </c>
      <c r="G378">
        <v>98391531</v>
      </c>
      <c r="H378" t="s">
        <v>453</v>
      </c>
      <c r="I378">
        <v>43624414</v>
      </c>
      <c r="J378" t="s">
        <v>14</v>
      </c>
      <c r="K378" t="s">
        <v>18</v>
      </c>
      <c r="L378" s="42">
        <v>3150000</v>
      </c>
      <c r="M378" s="10">
        <v>9450000</v>
      </c>
      <c r="N378" s="10">
        <f t="shared" si="5"/>
        <v>6300000</v>
      </c>
      <c r="O378" t="s">
        <v>704</v>
      </c>
    </row>
    <row r="379" spans="1:15" x14ac:dyDescent="0.25">
      <c r="A379" t="s">
        <v>1010</v>
      </c>
      <c r="B379" t="s">
        <v>13</v>
      </c>
      <c r="C379" s="12">
        <v>46024</v>
      </c>
      <c r="D379" s="12">
        <v>46112</v>
      </c>
      <c r="E379" t="s">
        <v>775</v>
      </c>
      <c r="F379" t="s">
        <v>14</v>
      </c>
      <c r="G379">
        <v>37082272</v>
      </c>
      <c r="H379" t="s">
        <v>461</v>
      </c>
      <c r="I379">
        <v>98390119</v>
      </c>
      <c r="J379" t="s">
        <v>14</v>
      </c>
      <c r="K379" t="s">
        <v>63</v>
      </c>
      <c r="L379" s="42">
        <v>3150000</v>
      </c>
      <c r="M379" s="10">
        <v>9450000</v>
      </c>
      <c r="N379" s="10">
        <f t="shared" si="5"/>
        <v>6300000</v>
      </c>
      <c r="O379" t="s">
        <v>704</v>
      </c>
    </row>
    <row r="380" spans="1:15" x14ac:dyDescent="0.25">
      <c r="A380" t="s">
        <v>1061</v>
      </c>
      <c r="B380" t="s">
        <v>13</v>
      </c>
      <c r="C380" s="12">
        <v>46024</v>
      </c>
      <c r="D380" s="12">
        <v>46112</v>
      </c>
      <c r="E380" t="s">
        <v>775</v>
      </c>
      <c r="F380" t="s">
        <v>14</v>
      </c>
      <c r="G380">
        <v>1082748783</v>
      </c>
      <c r="H380" t="s">
        <v>67</v>
      </c>
      <c r="I380">
        <v>43624414</v>
      </c>
      <c r="J380" t="s">
        <v>14</v>
      </c>
      <c r="K380" t="s">
        <v>18</v>
      </c>
      <c r="L380" s="42">
        <v>0</v>
      </c>
      <c r="M380" s="10">
        <v>9450000</v>
      </c>
      <c r="N380" s="10">
        <f t="shared" si="5"/>
        <v>9450000</v>
      </c>
      <c r="O380" t="s">
        <v>704</v>
      </c>
    </row>
    <row r="381" spans="1:15" x14ac:dyDescent="0.25">
      <c r="A381" t="s">
        <v>1016</v>
      </c>
      <c r="B381" t="s">
        <v>13</v>
      </c>
      <c r="C381" s="12">
        <v>46024</v>
      </c>
      <c r="D381" s="12">
        <v>46112</v>
      </c>
      <c r="E381" t="s">
        <v>775</v>
      </c>
      <c r="F381" t="s">
        <v>14</v>
      </c>
      <c r="G381">
        <v>1193223736</v>
      </c>
      <c r="H381" t="s">
        <v>75</v>
      </c>
      <c r="I381">
        <v>43624414</v>
      </c>
      <c r="J381" t="s">
        <v>14</v>
      </c>
      <c r="K381" t="s">
        <v>18</v>
      </c>
      <c r="L381" s="42">
        <v>6300000</v>
      </c>
      <c r="M381" s="10">
        <v>18900000</v>
      </c>
      <c r="N381" s="10">
        <f t="shared" si="5"/>
        <v>12600000</v>
      </c>
      <c r="O381" t="s">
        <v>704</v>
      </c>
    </row>
    <row r="382" spans="1:15" x14ac:dyDescent="0.25">
      <c r="A382" t="s">
        <v>1006</v>
      </c>
      <c r="B382" t="s">
        <v>13</v>
      </c>
      <c r="C382" s="12">
        <v>46024</v>
      </c>
      <c r="D382" s="12">
        <v>46112</v>
      </c>
      <c r="E382" t="s">
        <v>775</v>
      </c>
      <c r="F382" t="s">
        <v>14</v>
      </c>
      <c r="G382">
        <v>1004190751</v>
      </c>
      <c r="H382" t="s">
        <v>233</v>
      </c>
      <c r="I382">
        <v>43624414</v>
      </c>
      <c r="J382" t="s">
        <v>14</v>
      </c>
      <c r="K382" t="s">
        <v>18</v>
      </c>
      <c r="L382" s="42">
        <v>3150000</v>
      </c>
      <c r="M382" s="10">
        <v>9450000</v>
      </c>
      <c r="N382" s="10">
        <f t="shared" si="5"/>
        <v>6300000</v>
      </c>
      <c r="O382" t="s">
        <v>704</v>
      </c>
    </row>
    <row r="383" spans="1:15" x14ac:dyDescent="0.25">
      <c r="A383" t="s">
        <v>1032</v>
      </c>
      <c r="B383" t="s">
        <v>13</v>
      </c>
      <c r="C383" s="12">
        <v>46024</v>
      </c>
      <c r="D383" s="12">
        <v>46112</v>
      </c>
      <c r="E383" t="s">
        <v>775</v>
      </c>
      <c r="F383" t="s">
        <v>14</v>
      </c>
      <c r="G383">
        <v>1085317833</v>
      </c>
      <c r="H383" t="s">
        <v>41</v>
      </c>
      <c r="I383">
        <v>59836926</v>
      </c>
      <c r="J383" t="s">
        <v>14</v>
      </c>
      <c r="K383" t="s">
        <v>17</v>
      </c>
      <c r="L383" s="42">
        <v>3150000</v>
      </c>
      <c r="M383" s="10">
        <v>9450000</v>
      </c>
      <c r="N383" s="10">
        <f t="shared" si="5"/>
        <v>6300000</v>
      </c>
      <c r="O383" t="s">
        <v>704</v>
      </c>
    </row>
    <row r="384" spans="1:15" x14ac:dyDescent="0.25">
      <c r="A384" t="s">
        <v>1062</v>
      </c>
      <c r="B384" t="s">
        <v>13</v>
      </c>
      <c r="C384" s="12">
        <v>46024</v>
      </c>
      <c r="D384" s="12">
        <v>46112</v>
      </c>
      <c r="E384" t="s">
        <v>775</v>
      </c>
      <c r="F384" t="s">
        <v>14</v>
      </c>
      <c r="G384">
        <v>1085286725</v>
      </c>
      <c r="H384" t="s">
        <v>40</v>
      </c>
      <c r="I384">
        <v>98333941</v>
      </c>
      <c r="J384" t="s">
        <v>14</v>
      </c>
      <c r="K384" t="s">
        <v>15</v>
      </c>
      <c r="L384" s="42">
        <v>0</v>
      </c>
      <c r="M384" s="10">
        <v>9450000</v>
      </c>
      <c r="N384" s="10">
        <f t="shared" si="5"/>
        <v>9450000</v>
      </c>
      <c r="O384" t="s">
        <v>704</v>
      </c>
    </row>
    <row r="385" spans="1:15" x14ac:dyDescent="0.25">
      <c r="A385" t="s">
        <v>1008</v>
      </c>
      <c r="B385" t="s">
        <v>13</v>
      </c>
      <c r="C385" s="12">
        <v>46024</v>
      </c>
      <c r="D385" s="12">
        <v>46112</v>
      </c>
      <c r="E385" t="s">
        <v>744</v>
      </c>
      <c r="F385" t="s">
        <v>14</v>
      </c>
      <c r="G385">
        <v>1089846684</v>
      </c>
      <c r="H385" t="s">
        <v>103</v>
      </c>
      <c r="I385">
        <v>98390119</v>
      </c>
      <c r="J385" t="s">
        <v>14</v>
      </c>
      <c r="K385" t="s">
        <v>63</v>
      </c>
      <c r="L385" s="42">
        <v>7800000</v>
      </c>
      <c r="M385" s="10">
        <v>23400000</v>
      </c>
      <c r="N385" s="10">
        <f t="shared" si="5"/>
        <v>15600000</v>
      </c>
      <c r="O385" t="s">
        <v>704</v>
      </c>
    </row>
    <row r="386" spans="1:15" x14ac:dyDescent="0.25">
      <c r="A386" t="s">
        <v>990</v>
      </c>
      <c r="B386" t="s">
        <v>13</v>
      </c>
      <c r="C386" s="12">
        <v>46024</v>
      </c>
      <c r="D386" s="12">
        <v>46112</v>
      </c>
      <c r="E386" t="s">
        <v>744</v>
      </c>
      <c r="F386" t="s">
        <v>14</v>
      </c>
      <c r="G386">
        <v>1010141840</v>
      </c>
      <c r="H386" t="s">
        <v>574</v>
      </c>
      <c r="I386">
        <v>43624414</v>
      </c>
      <c r="J386" t="s">
        <v>14</v>
      </c>
      <c r="K386" t="s">
        <v>18</v>
      </c>
      <c r="L386" s="42">
        <v>7800000</v>
      </c>
      <c r="M386" s="10">
        <v>23400000</v>
      </c>
      <c r="N386" s="10">
        <f t="shared" si="5"/>
        <v>15600000</v>
      </c>
      <c r="O386" t="s">
        <v>704</v>
      </c>
    </row>
    <row r="387" spans="1:15" x14ac:dyDescent="0.25">
      <c r="A387" t="s">
        <v>985</v>
      </c>
      <c r="B387" t="s">
        <v>13</v>
      </c>
      <c r="C387" s="12">
        <v>46024</v>
      </c>
      <c r="D387" s="12">
        <v>46112</v>
      </c>
      <c r="E387" t="s">
        <v>981</v>
      </c>
      <c r="F387" t="s">
        <v>14</v>
      </c>
      <c r="G387">
        <v>1085340885</v>
      </c>
      <c r="H387" t="s">
        <v>837</v>
      </c>
      <c r="I387">
        <v>98333941</v>
      </c>
      <c r="J387" t="s">
        <v>14</v>
      </c>
      <c r="K387" t="s">
        <v>15</v>
      </c>
      <c r="L387" s="42">
        <v>4730000</v>
      </c>
      <c r="M387" s="10">
        <v>14190000</v>
      </c>
      <c r="N387" s="10">
        <f t="shared" ref="N387:N450" si="6">M387-L387</f>
        <v>9460000</v>
      </c>
      <c r="O387" t="s">
        <v>704</v>
      </c>
    </row>
    <row r="388" spans="1:15" x14ac:dyDescent="0.25">
      <c r="A388" t="s">
        <v>1011</v>
      </c>
      <c r="B388" t="s">
        <v>13</v>
      </c>
      <c r="C388" s="12">
        <v>46024</v>
      </c>
      <c r="D388" s="12">
        <v>46112</v>
      </c>
      <c r="E388" t="s">
        <v>744</v>
      </c>
      <c r="F388" t="s">
        <v>14</v>
      </c>
      <c r="G388">
        <v>1085260497</v>
      </c>
      <c r="H388" t="s">
        <v>389</v>
      </c>
      <c r="I388">
        <v>98333941</v>
      </c>
      <c r="J388" t="s">
        <v>14</v>
      </c>
      <c r="K388" t="s">
        <v>15</v>
      </c>
      <c r="L388" s="42">
        <v>4730000</v>
      </c>
      <c r="M388" s="10">
        <v>14190000</v>
      </c>
      <c r="N388" s="10">
        <f t="shared" si="6"/>
        <v>9460000</v>
      </c>
      <c r="O388" t="s">
        <v>704</v>
      </c>
    </row>
    <row r="389" spans="1:15" x14ac:dyDescent="0.25">
      <c r="A389" t="s">
        <v>1063</v>
      </c>
      <c r="B389" t="s">
        <v>13</v>
      </c>
      <c r="C389" s="12">
        <v>46038</v>
      </c>
      <c r="D389" s="12">
        <v>46128</v>
      </c>
      <c r="E389" t="s">
        <v>775</v>
      </c>
      <c r="F389" t="s">
        <v>14</v>
      </c>
      <c r="G389">
        <v>27091114</v>
      </c>
      <c r="H389" t="s">
        <v>80</v>
      </c>
      <c r="I389">
        <v>98390119</v>
      </c>
      <c r="J389" t="s">
        <v>14</v>
      </c>
      <c r="K389" t="s">
        <v>63</v>
      </c>
      <c r="L389" s="42">
        <v>0</v>
      </c>
      <c r="M389" s="10">
        <v>9450000</v>
      </c>
      <c r="N389" s="10">
        <f t="shared" si="6"/>
        <v>9450000</v>
      </c>
      <c r="O389" t="s">
        <v>704</v>
      </c>
    </row>
    <row r="390" spans="1:15" x14ac:dyDescent="0.25">
      <c r="A390" t="s">
        <v>1064</v>
      </c>
      <c r="B390" t="s">
        <v>13</v>
      </c>
      <c r="C390" s="12">
        <v>46038</v>
      </c>
      <c r="D390" s="12">
        <v>46069</v>
      </c>
      <c r="E390" t="s">
        <v>775</v>
      </c>
      <c r="F390" t="s">
        <v>14</v>
      </c>
      <c r="G390">
        <v>1233192104</v>
      </c>
      <c r="H390" t="s">
        <v>514</v>
      </c>
      <c r="I390">
        <v>59836926</v>
      </c>
      <c r="J390" t="s">
        <v>14</v>
      </c>
      <c r="K390" t="s">
        <v>17</v>
      </c>
      <c r="L390" s="42">
        <v>0</v>
      </c>
      <c r="M390" s="10">
        <v>3150000</v>
      </c>
      <c r="N390" s="10">
        <f t="shared" si="6"/>
        <v>3150000</v>
      </c>
      <c r="O390" t="s">
        <v>704</v>
      </c>
    </row>
    <row r="391" spans="1:15" x14ac:dyDescent="0.25">
      <c r="A391" t="s">
        <v>1065</v>
      </c>
      <c r="B391" t="s">
        <v>13</v>
      </c>
      <c r="C391" s="12">
        <v>46038</v>
      </c>
      <c r="D391" s="12">
        <v>46128</v>
      </c>
      <c r="E391" t="s">
        <v>775</v>
      </c>
      <c r="F391" t="s">
        <v>14</v>
      </c>
      <c r="G391">
        <v>27088197</v>
      </c>
      <c r="H391" t="s">
        <v>62</v>
      </c>
      <c r="I391">
        <v>59836926</v>
      </c>
      <c r="J391" t="s">
        <v>14</v>
      </c>
      <c r="K391" t="s">
        <v>17</v>
      </c>
      <c r="L391" s="42">
        <v>3150000</v>
      </c>
      <c r="M391" s="10">
        <v>9450000</v>
      </c>
      <c r="N391" s="10">
        <f t="shared" si="6"/>
        <v>6300000</v>
      </c>
      <c r="O391" t="s">
        <v>704</v>
      </c>
    </row>
    <row r="392" spans="1:15" x14ac:dyDescent="0.25">
      <c r="A392" t="s">
        <v>1066</v>
      </c>
      <c r="B392" t="s">
        <v>13</v>
      </c>
      <c r="C392" s="12">
        <v>46038</v>
      </c>
      <c r="D392" s="12">
        <v>46069</v>
      </c>
      <c r="E392" t="s">
        <v>775</v>
      </c>
      <c r="F392" t="s">
        <v>14</v>
      </c>
      <c r="G392">
        <v>1081272318</v>
      </c>
      <c r="H392" t="s">
        <v>393</v>
      </c>
      <c r="I392">
        <v>43624414</v>
      </c>
      <c r="J392" t="s">
        <v>14</v>
      </c>
      <c r="K392" t="s">
        <v>18</v>
      </c>
      <c r="L392" s="42">
        <v>0</v>
      </c>
      <c r="M392" s="10">
        <v>3150000</v>
      </c>
      <c r="N392" s="10">
        <f t="shared" si="6"/>
        <v>3150000</v>
      </c>
      <c r="O392" t="s">
        <v>704</v>
      </c>
    </row>
    <row r="393" spans="1:15" x14ac:dyDescent="0.25">
      <c r="A393" t="s">
        <v>1067</v>
      </c>
      <c r="B393" t="s">
        <v>13</v>
      </c>
      <c r="C393" s="12">
        <v>46038</v>
      </c>
      <c r="D393" s="12">
        <v>46189</v>
      </c>
      <c r="E393" t="s">
        <v>775</v>
      </c>
      <c r="F393" t="s">
        <v>14</v>
      </c>
      <c r="G393">
        <v>1233191675</v>
      </c>
      <c r="H393" t="s">
        <v>28</v>
      </c>
      <c r="I393">
        <v>98390119</v>
      </c>
      <c r="J393" t="s">
        <v>14</v>
      </c>
      <c r="K393" t="s">
        <v>63</v>
      </c>
      <c r="L393" s="42">
        <v>0</v>
      </c>
      <c r="M393" s="10">
        <v>15750000</v>
      </c>
      <c r="N393" s="10">
        <f t="shared" si="6"/>
        <v>15750000</v>
      </c>
      <c r="O393" t="s">
        <v>704</v>
      </c>
    </row>
    <row r="394" spans="1:15" x14ac:dyDescent="0.25">
      <c r="A394" t="s">
        <v>1068</v>
      </c>
      <c r="B394" t="s">
        <v>13</v>
      </c>
      <c r="C394" s="12">
        <v>46038</v>
      </c>
      <c r="D394" s="12">
        <v>46128</v>
      </c>
      <c r="E394" t="s">
        <v>775</v>
      </c>
      <c r="F394" t="s">
        <v>14</v>
      </c>
      <c r="G394">
        <v>1193224810</v>
      </c>
      <c r="H394" t="s">
        <v>31</v>
      </c>
      <c r="I394">
        <v>98333941</v>
      </c>
      <c r="J394" t="s">
        <v>14</v>
      </c>
      <c r="K394" t="s">
        <v>15</v>
      </c>
      <c r="L394" s="42">
        <v>0</v>
      </c>
      <c r="M394" s="10">
        <v>9450000</v>
      </c>
      <c r="N394" s="10">
        <f t="shared" si="6"/>
        <v>9450000</v>
      </c>
      <c r="O394" t="s">
        <v>704</v>
      </c>
    </row>
    <row r="395" spans="1:15" x14ac:dyDescent="0.25">
      <c r="A395" t="s">
        <v>1030</v>
      </c>
      <c r="B395" t="s">
        <v>13</v>
      </c>
      <c r="C395" s="12">
        <v>46038</v>
      </c>
      <c r="D395" s="12">
        <v>46128</v>
      </c>
      <c r="E395" t="s">
        <v>775</v>
      </c>
      <c r="F395" t="s">
        <v>14</v>
      </c>
      <c r="G395">
        <v>1004543161</v>
      </c>
      <c r="H395" t="s">
        <v>866</v>
      </c>
      <c r="I395">
        <v>59836926</v>
      </c>
      <c r="J395" t="s">
        <v>14</v>
      </c>
      <c r="K395" t="s">
        <v>17</v>
      </c>
      <c r="L395" s="42">
        <v>3150000</v>
      </c>
      <c r="M395" s="10">
        <v>9450000</v>
      </c>
      <c r="N395" s="10">
        <f t="shared" si="6"/>
        <v>6300000</v>
      </c>
      <c r="O395" t="s">
        <v>704</v>
      </c>
    </row>
    <row r="396" spans="1:15" x14ac:dyDescent="0.25">
      <c r="A396" t="s">
        <v>1069</v>
      </c>
      <c r="B396" t="s">
        <v>13</v>
      </c>
      <c r="C396" s="12">
        <v>46038</v>
      </c>
      <c r="D396" s="12">
        <v>46189</v>
      </c>
      <c r="E396" t="s">
        <v>775</v>
      </c>
      <c r="F396" t="s">
        <v>14</v>
      </c>
      <c r="G396">
        <v>1085315013</v>
      </c>
      <c r="H396" t="s">
        <v>60</v>
      </c>
      <c r="I396">
        <v>98390119</v>
      </c>
      <c r="J396" t="s">
        <v>14</v>
      </c>
      <c r="K396" t="s">
        <v>63</v>
      </c>
      <c r="L396" s="42">
        <v>3150000</v>
      </c>
      <c r="M396" s="10">
        <v>15750000</v>
      </c>
      <c r="N396" s="10">
        <f t="shared" si="6"/>
        <v>12600000</v>
      </c>
      <c r="O396" t="s">
        <v>704</v>
      </c>
    </row>
    <row r="397" spans="1:15" x14ac:dyDescent="0.25">
      <c r="A397" t="s">
        <v>1070</v>
      </c>
      <c r="B397" t="s">
        <v>13</v>
      </c>
      <c r="C397" s="12">
        <v>46038</v>
      </c>
      <c r="D397" s="12">
        <v>46189</v>
      </c>
      <c r="E397" t="s">
        <v>775</v>
      </c>
      <c r="F397" t="s">
        <v>14</v>
      </c>
      <c r="G397">
        <v>1193271485</v>
      </c>
      <c r="H397" t="s">
        <v>204</v>
      </c>
      <c r="I397">
        <v>98390119</v>
      </c>
      <c r="J397" t="s">
        <v>14</v>
      </c>
      <c r="K397" t="s">
        <v>63</v>
      </c>
      <c r="L397" s="42">
        <v>0</v>
      </c>
      <c r="M397" s="10">
        <v>31500000</v>
      </c>
      <c r="N397" s="10">
        <f t="shared" si="6"/>
        <v>31500000</v>
      </c>
      <c r="O397" t="s">
        <v>704</v>
      </c>
    </row>
    <row r="398" spans="1:15" x14ac:dyDescent="0.25">
      <c r="A398" t="s">
        <v>1071</v>
      </c>
      <c r="B398" t="s">
        <v>13</v>
      </c>
      <c r="C398" s="12">
        <v>46038</v>
      </c>
      <c r="D398" s="12">
        <v>46128</v>
      </c>
      <c r="E398" t="s">
        <v>775</v>
      </c>
      <c r="F398" t="s">
        <v>14</v>
      </c>
      <c r="G398">
        <v>1081053045</v>
      </c>
      <c r="H398" t="s">
        <v>287</v>
      </c>
      <c r="I398">
        <v>98333941</v>
      </c>
      <c r="J398" t="s">
        <v>14</v>
      </c>
      <c r="K398" t="s">
        <v>15</v>
      </c>
      <c r="L398" s="42">
        <v>0</v>
      </c>
      <c r="M398" s="10">
        <v>9450000</v>
      </c>
      <c r="N398" s="10">
        <f t="shared" si="6"/>
        <v>9450000</v>
      </c>
      <c r="O398" t="s">
        <v>704</v>
      </c>
    </row>
    <row r="399" spans="1:15" x14ac:dyDescent="0.25">
      <c r="A399" t="s">
        <v>1072</v>
      </c>
      <c r="B399" t="s">
        <v>13</v>
      </c>
      <c r="C399" s="12">
        <v>46038</v>
      </c>
      <c r="D399" s="12">
        <v>46128</v>
      </c>
      <c r="E399" t="s">
        <v>775</v>
      </c>
      <c r="F399" t="s">
        <v>14</v>
      </c>
      <c r="G399">
        <v>1085275400</v>
      </c>
      <c r="H399" t="s">
        <v>145</v>
      </c>
      <c r="I399">
        <v>43624414</v>
      </c>
      <c r="J399" t="s">
        <v>14</v>
      </c>
      <c r="K399" t="s">
        <v>18</v>
      </c>
      <c r="L399" s="42">
        <v>3150000</v>
      </c>
      <c r="M399" s="10">
        <v>9450000</v>
      </c>
      <c r="N399" s="10">
        <f t="shared" si="6"/>
        <v>6300000</v>
      </c>
      <c r="O399" t="s">
        <v>704</v>
      </c>
    </row>
    <row r="400" spans="1:15" x14ac:dyDescent="0.25">
      <c r="A400" t="s">
        <v>1073</v>
      </c>
      <c r="B400" t="s">
        <v>13</v>
      </c>
      <c r="C400" s="12">
        <v>46038</v>
      </c>
      <c r="D400" s="12">
        <v>46069</v>
      </c>
      <c r="E400" t="s">
        <v>775</v>
      </c>
      <c r="F400" t="s">
        <v>14</v>
      </c>
      <c r="G400">
        <v>1193035720</v>
      </c>
      <c r="H400" t="s">
        <v>904</v>
      </c>
      <c r="I400">
        <v>43624414</v>
      </c>
      <c r="J400" t="s">
        <v>14</v>
      </c>
      <c r="K400" t="s">
        <v>18</v>
      </c>
      <c r="L400" s="42">
        <v>0</v>
      </c>
      <c r="M400" s="10">
        <v>3150000</v>
      </c>
      <c r="N400" s="10">
        <f t="shared" si="6"/>
        <v>3150000</v>
      </c>
      <c r="O400" t="s">
        <v>704</v>
      </c>
    </row>
    <row r="401" spans="1:15" x14ac:dyDescent="0.25">
      <c r="A401" t="s">
        <v>1074</v>
      </c>
      <c r="B401" t="s">
        <v>13</v>
      </c>
      <c r="C401" s="12">
        <v>46038</v>
      </c>
      <c r="D401" s="12">
        <v>46069</v>
      </c>
      <c r="E401" t="s">
        <v>775</v>
      </c>
      <c r="F401" t="s">
        <v>14</v>
      </c>
      <c r="G401">
        <v>59813323</v>
      </c>
      <c r="H401" t="s">
        <v>74</v>
      </c>
      <c r="I401">
        <v>59836926</v>
      </c>
      <c r="J401" t="s">
        <v>14</v>
      </c>
      <c r="K401" t="s">
        <v>17</v>
      </c>
      <c r="L401" s="42">
        <v>0</v>
      </c>
      <c r="M401" s="10">
        <v>3150000</v>
      </c>
      <c r="N401" s="10">
        <f t="shared" si="6"/>
        <v>3150000</v>
      </c>
      <c r="O401" t="s">
        <v>704</v>
      </c>
    </row>
    <row r="402" spans="1:15" x14ac:dyDescent="0.25">
      <c r="A402" t="s">
        <v>1075</v>
      </c>
      <c r="B402" t="s">
        <v>13</v>
      </c>
      <c r="C402" s="12">
        <v>46038</v>
      </c>
      <c r="D402" s="12">
        <v>46128</v>
      </c>
      <c r="E402" t="s">
        <v>775</v>
      </c>
      <c r="F402" t="s">
        <v>14</v>
      </c>
      <c r="G402">
        <v>1004592366</v>
      </c>
      <c r="H402" t="s">
        <v>449</v>
      </c>
      <c r="I402">
        <v>43624414</v>
      </c>
      <c r="J402" t="s">
        <v>14</v>
      </c>
      <c r="K402" t="s">
        <v>18</v>
      </c>
      <c r="L402" s="42">
        <v>3150000</v>
      </c>
      <c r="M402" s="10">
        <v>9450000</v>
      </c>
      <c r="N402" s="10">
        <f t="shared" si="6"/>
        <v>6300000</v>
      </c>
      <c r="O402" t="s">
        <v>704</v>
      </c>
    </row>
    <row r="403" spans="1:15" x14ac:dyDescent="0.25">
      <c r="A403" t="s">
        <v>1076</v>
      </c>
      <c r="B403" t="s">
        <v>13</v>
      </c>
      <c r="C403" s="12">
        <v>46038</v>
      </c>
      <c r="D403" s="12">
        <v>46128</v>
      </c>
      <c r="E403" t="s">
        <v>775</v>
      </c>
      <c r="F403" t="s">
        <v>14</v>
      </c>
      <c r="G403">
        <v>1085253062</v>
      </c>
      <c r="H403" t="s">
        <v>316</v>
      </c>
      <c r="I403">
        <v>43624414</v>
      </c>
      <c r="J403" t="s">
        <v>14</v>
      </c>
      <c r="K403" t="s">
        <v>18</v>
      </c>
      <c r="L403" s="42">
        <v>0</v>
      </c>
      <c r="M403" s="10">
        <v>18900000</v>
      </c>
      <c r="N403" s="10">
        <f t="shared" si="6"/>
        <v>18900000</v>
      </c>
      <c r="O403" t="s">
        <v>704</v>
      </c>
    </row>
    <row r="404" spans="1:15" x14ac:dyDescent="0.25">
      <c r="A404" t="s">
        <v>1077</v>
      </c>
      <c r="B404" t="s">
        <v>13</v>
      </c>
      <c r="C404" s="12">
        <v>46038</v>
      </c>
      <c r="D404" s="12">
        <v>46069</v>
      </c>
      <c r="E404" t="s">
        <v>775</v>
      </c>
      <c r="F404" t="s">
        <v>14</v>
      </c>
      <c r="G404">
        <v>87030128</v>
      </c>
      <c r="H404" t="s">
        <v>101</v>
      </c>
      <c r="I404">
        <v>98390119</v>
      </c>
      <c r="J404" t="s">
        <v>14</v>
      </c>
      <c r="K404" t="s">
        <v>63</v>
      </c>
      <c r="L404" s="42">
        <v>0</v>
      </c>
      <c r="M404" s="10">
        <v>3150000</v>
      </c>
      <c r="N404" s="10">
        <f t="shared" si="6"/>
        <v>3150000</v>
      </c>
      <c r="O404" t="s">
        <v>704</v>
      </c>
    </row>
    <row r="405" spans="1:15" x14ac:dyDescent="0.25">
      <c r="A405" t="s">
        <v>1078</v>
      </c>
      <c r="B405" t="s">
        <v>13</v>
      </c>
      <c r="C405" s="12">
        <v>46038</v>
      </c>
      <c r="D405" s="12">
        <v>46189</v>
      </c>
      <c r="E405" t="s">
        <v>775</v>
      </c>
      <c r="F405" t="s">
        <v>14</v>
      </c>
      <c r="G405">
        <v>59310524</v>
      </c>
      <c r="H405" t="s">
        <v>22</v>
      </c>
      <c r="I405">
        <v>59836926</v>
      </c>
      <c r="J405" t="s">
        <v>14</v>
      </c>
      <c r="K405" t="s">
        <v>17</v>
      </c>
      <c r="L405" s="42">
        <v>0</v>
      </c>
      <c r="M405" s="10">
        <v>15750000</v>
      </c>
      <c r="N405" s="10">
        <f t="shared" si="6"/>
        <v>15750000</v>
      </c>
      <c r="O405" t="s">
        <v>704</v>
      </c>
    </row>
    <row r="406" spans="1:15" x14ac:dyDescent="0.25">
      <c r="A406" t="s">
        <v>1022</v>
      </c>
      <c r="B406" t="s">
        <v>13</v>
      </c>
      <c r="C406" s="12">
        <v>46038</v>
      </c>
      <c r="D406" s="12">
        <v>46069</v>
      </c>
      <c r="E406" t="s">
        <v>775</v>
      </c>
      <c r="F406" t="s">
        <v>14</v>
      </c>
      <c r="G406">
        <v>1086360087</v>
      </c>
      <c r="H406" t="s">
        <v>397</v>
      </c>
      <c r="I406">
        <v>98390119</v>
      </c>
      <c r="J406" t="s">
        <v>14</v>
      </c>
      <c r="K406" t="s">
        <v>63</v>
      </c>
      <c r="L406" s="42">
        <v>6300000</v>
      </c>
      <c r="M406" s="10">
        <v>6300000</v>
      </c>
      <c r="N406" s="10">
        <f t="shared" si="6"/>
        <v>0</v>
      </c>
      <c r="O406" t="s">
        <v>704</v>
      </c>
    </row>
    <row r="407" spans="1:15" x14ac:dyDescent="0.25">
      <c r="A407" t="s">
        <v>1079</v>
      </c>
      <c r="B407" t="s">
        <v>13</v>
      </c>
      <c r="C407" s="12">
        <v>46038</v>
      </c>
      <c r="D407" s="12">
        <v>46128</v>
      </c>
      <c r="E407" t="s">
        <v>775</v>
      </c>
      <c r="F407" t="s">
        <v>14</v>
      </c>
      <c r="G407">
        <v>1081572042</v>
      </c>
      <c r="H407" t="s">
        <v>641</v>
      </c>
      <c r="I407">
        <v>98390119</v>
      </c>
      <c r="J407" t="s">
        <v>14</v>
      </c>
      <c r="K407" t="s">
        <v>63</v>
      </c>
      <c r="L407" s="42">
        <v>3150000</v>
      </c>
      <c r="M407" s="10">
        <v>9450000</v>
      </c>
      <c r="N407" s="10">
        <f t="shared" si="6"/>
        <v>6300000</v>
      </c>
      <c r="O407" t="s">
        <v>704</v>
      </c>
    </row>
    <row r="408" spans="1:15" x14ac:dyDescent="0.25">
      <c r="A408" t="s">
        <v>1080</v>
      </c>
      <c r="B408" t="s">
        <v>13</v>
      </c>
      <c r="C408" s="12">
        <v>46038</v>
      </c>
      <c r="D408" s="12">
        <v>46128</v>
      </c>
      <c r="E408" t="s">
        <v>744</v>
      </c>
      <c r="F408" t="s">
        <v>14</v>
      </c>
      <c r="G408">
        <v>1233193848</v>
      </c>
      <c r="H408" t="s">
        <v>455</v>
      </c>
      <c r="I408">
        <v>43624414</v>
      </c>
      <c r="J408" t="s">
        <v>14</v>
      </c>
      <c r="K408" t="s">
        <v>18</v>
      </c>
      <c r="L408" s="42">
        <v>0</v>
      </c>
      <c r="M408" s="10">
        <v>23400000</v>
      </c>
      <c r="N408" s="10">
        <f t="shared" si="6"/>
        <v>23400000</v>
      </c>
      <c r="O408" t="s">
        <v>704</v>
      </c>
    </row>
    <row r="409" spans="1:15" x14ac:dyDescent="0.25">
      <c r="A409" t="s">
        <v>1081</v>
      </c>
      <c r="B409" t="s">
        <v>13</v>
      </c>
      <c r="C409" s="12">
        <v>46038</v>
      </c>
      <c r="D409" s="12">
        <v>46069</v>
      </c>
      <c r="E409" t="s">
        <v>775</v>
      </c>
      <c r="F409" t="s">
        <v>14</v>
      </c>
      <c r="G409">
        <v>1085254153</v>
      </c>
      <c r="H409" t="s">
        <v>308</v>
      </c>
      <c r="I409">
        <v>59836926</v>
      </c>
      <c r="J409" t="s">
        <v>14</v>
      </c>
      <c r="K409" t="s">
        <v>17</v>
      </c>
      <c r="L409" s="42">
        <v>0</v>
      </c>
      <c r="M409" s="10">
        <v>6300000</v>
      </c>
      <c r="N409" s="10">
        <f t="shared" si="6"/>
        <v>6300000</v>
      </c>
      <c r="O409" t="s">
        <v>704</v>
      </c>
    </row>
    <row r="410" spans="1:15" x14ac:dyDescent="0.25">
      <c r="A410" t="s">
        <v>1082</v>
      </c>
      <c r="B410" t="s">
        <v>13</v>
      </c>
      <c r="C410" s="12">
        <v>46038</v>
      </c>
      <c r="D410" s="12">
        <v>46069</v>
      </c>
      <c r="E410" t="s">
        <v>775</v>
      </c>
      <c r="F410" t="s">
        <v>14</v>
      </c>
      <c r="G410">
        <v>1085265947</v>
      </c>
      <c r="H410" t="s">
        <v>278</v>
      </c>
      <c r="I410">
        <v>59836926</v>
      </c>
      <c r="J410" t="s">
        <v>14</v>
      </c>
      <c r="K410" t="s">
        <v>17</v>
      </c>
      <c r="L410" s="42">
        <v>0</v>
      </c>
      <c r="M410" s="10">
        <v>3150000</v>
      </c>
      <c r="N410" s="10">
        <f t="shared" si="6"/>
        <v>3150000</v>
      </c>
      <c r="O410" t="s">
        <v>704</v>
      </c>
    </row>
    <row r="411" spans="1:15" x14ac:dyDescent="0.25">
      <c r="A411" t="s">
        <v>1027</v>
      </c>
      <c r="B411" t="s">
        <v>13</v>
      </c>
      <c r="C411" s="12">
        <v>46038</v>
      </c>
      <c r="D411" s="12">
        <v>46189</v>
      </c>
      <c r="E411" t="s">
        <v>775</v>
      </c>
      <c r="F411" t="s">
        <v>14</v>
      </c>
      <c r="G411">
        <v>1085286476</v>
      </c>
      <c r="H411" t="s">
        <v>842</v>
      </c>
      <c r="I411">
        <v>59836926</v>
      </c>
      <c r="J411" t="s">
        <v>14</v>
      </c>
      <c r="K411" t="s">
        <v>17</v>
      </c>
      <c r="L411" s="42">
        <v>6300000</v>
      </c>
      <c r="M411" s="10">
        <v>31500000</v>
      </c>
      <c r="N411" s="10">
        <f t="shared" si="6"/>
        <v>25200000</v>
      </c>
      <c r="O411" t="s">
        <v>704</v>
      </c>
    </row>
    <row r="412" spans="1:15" x14ac:dyDescent="0.25">
      <c r="A412" t="s">
        <v>1083</v>
      </c>
      <c r="B412" t="s">
        <v>13</v>
      </c>
      <c r="C412" s="12">
        <v>46038</v>
      </c>
      <c r="D412" s="12">
        <v>46128</v>
      </c>
      <c r="E412" t="s">
        <v>775</v>
      </c>
      <c r="F412" t="s">
        <v>14</v>
      </c>
      <c r="G412">
        <v>1010010954</v>
      </c>
      <c r="H412" t="s">
        <v>379</v>
      </c>
      <c r="I412">
        <v>43624414</v>
      </c>
      <c r="J412" t="s">
        <v>14</v>
      </c>
      <c r="K412" t="s">
        <v>18</v>
      </c>
      <c r="L412" s="42">
        <v>6300000</v>
      </c>
      <c r="M412" s="10">
        <v>18900000</v>
      </c>
      <c r="N412" s="10">
        <f t="shared" si="6"/>
        <v>12600000</v>
      </c>
      <c r="O412" t="s">
        <v>704</v>
      </c>
    </row>
    <row r="413" spans="1:15" x14ac:dyDescent="0.25">
      <c r="A413" t="s">
        <v>1084</v>
      </c>
      <c r="B413" t="s">
        <v>13</v>
      </c>
      <c r="C413" s="12">
        <v>46038</v>
      </c>
      <c r="D413" s="12">
        <v>46069</v>
      </c>
      <c r="E413" t="s">
        <v>775</v>
      </c>
      <c r="F413" t="s">
        <v>14</v>
      </c>
      <c r="G413">
        <v>36757221</v>
      </c>
      <c r="H413" t="s">
        <v>482</v>
      </c>
      <c r="I413">
        <v>43624414</v>
      </c>
      <c r="J413" t="s">
        <v>14</v>
      </c>
      <c r="K413" t="s">
        <v>18</v>
      </c>
      <c r="L413" s="42">
        <v>6300000</v>
      </c>
      <c r="M413" s="10">
        <v>6300000</v>
      </c>
      <c r="N413" s="10">
        <f t="shared" si="6"/>
        <v>0</v>
      </c>
      <c r="O413" t="s">
        <v>704</v>
      </c>
    </row>
    <row r="414" spans="1:15" x14ac:dyDescent="0.25">
      <c r="A414" t="s">
        <v>1085</v>
      </c>
      <c r="B414" t="s">
        <v>13</v>
      </c>
      <c r="C414" s="12">
        <v>46038</v>
      </c>
      <c r="D414" s="12">
        <v>46189</v>
      </c>
      <c r="E414" t="s">
        <v>775</v>
      </c>
      <c r="F414" t="s">
        <v>14</v>
      </c>
      <c r="G414">
        <v>1084224761</v>
      </c>
      <c r="H414" t="s">
        <v>504</v>
      </c>
      <c r="I414">
        <v>98333941</v>
      </c>
      <c r="J414" t="s">
        <v>14</v>
      </c>
      <c r="K414" t="s">
        <v>15</v>
      </c>
      <c r="L414" s="42">
        <v>0</v>
      </c>
      <c r="M414" s="10">
        <v>31500000</v>
      </c>
      <c r="N414" s="10">
        <f t="shared" si="6"/>
        <v>31500000</v>
      </c>
      <c r="O414" t="s">
        <v>704</v>
      </c>
    </row>
    <row r="415" spans="1:15" x14ac:dyDescent="0.25">
      <c r="A415" t="s">
        <v>1086</v>
      </c>
      <c r="B415" t="s">
        <v>13</v>
      </c>
      <c r="C415" s="12">
        <v>46038</v>
      </c>
      <c r="D415" s="12">
        <v>46189</v>
      </c>
      <c r="E415" t="s">
        <v>775</v>
      </c>
      <c r="F415" t="s">
        <v>14</v>
      </c>
      <c r="G415">
        <v>59836480</v>
      </c>
      <c r="H415" t="s">
        <v>181</v>
      </c>
      <c r="I415">
        <v>43624414</v>
      </c>
      <c r="J415" t="s">
        <v>14</v>
      </c>
      <c r="K415" t="s">
        <v>18</v>
      </c>
      <c r="L415" s="42">
        <v>0</v>
      </c>
      <c r="M415" s="10">
        <v>31500000</v>
      </c>
      <c r="N415" s="10">
        <f t="shared" si="6"/>
        <v>31500000</v>
      </c>
      <c r="O415" t="s">
        <v>704</v>
      </c>
    </row>
    <row r="416" spans="1:15" x14ac:dyDescent="0.25">
      <c r="A416" t="s">
        <v>1087</v>
      </c>
      <c r="B416" t="s">
        <v>13</v>
      </c>
      <c r="C416" s="12">
        <v>46038</v>
      </c>
      <c r="D416" s="12">
        <v>46189</v>
      </c>
      <c r="E416" t="s">
        <v>775</v>
      </c>
      <c r="F416" t="s">
        <v>14</v>
      </c>
      <c r="G416">
        <v>1085299577</v>
      </c>
      <c r="H416" t="s">
        <v>527</v>
      </c>
      <c r="I416">
        <v>98390119</v>
      </c>
      <c r="J416" t="s">
        <v>14</v>
      </c>
      <c r="K416" t="s">
        <v>63</v>
      </c>
      <c r="L416" s="42">
        <v>6300000</v>
      </c>
      <c r="M416" s="10">
        <v>31500000</v>
      </c>
      <c r="N416" s="10">
        <f t="shared" si="6"/>
        <v>25200000</v>
      </c>
      <c r="O416" t="s">
        <v>704</v>
      </c>
    </row>
    <row r="417" spans="1:15" x14ac:dyDescent="0.25">
      <c r="A417" t="s">
        <v>1088</v>
      </c>
      <c r="B417" t="s">
        <v>13</v>
      </c>
      <c r="C417" s="12">
        <v>46038</v>
      </c>
      <c r="D417" s="12">
        <v>46069</v>
      </c>
      <c r="E417" t="s">
        <v>744</v>
      </c>
      <c r="F417" t="s">
        <v>14</v>
      </c>
      <c r="G417">
        <v>59824313</v>
      </c>
      <c r="H417" t="s">
        <v>480</v>
      </c>
      <c r="I417">
        <v>98390119</v>
      </c>
      <c r="J417" t="s">
        <v>14</v>
      </c>
      <c r="K417" t="s">
        <v>63</v>
      </c>
      <c r="L417" s="42">
        <v>0</v>
      </c>
      <c r="M417" s="10">
        <v>4730000</v>
      </c>
      <c r="N417" s="10">
        <f t="shared" si="6"/>
        <v>4730000</v>
      </c>
      <c r="O417" t="s">
        <v>704</v>
      </c>
    </row>
    <row r="418" spans="1:15" x14ac:dyDescent="0.25">
      <c r="A418" t="s">
        <v>1089</v>
      </c>
      <c r="B418" t="s">
        <v>13</v>
      </c>
      <c r="C418" s="12">
        <v>46038</v>
      </c>
      <c r="D418" s="12">
        <v>46128</v>
      </c>
      <c r="E418" t="s">
        <v>775</v>
      </c>
      <c r="F418" t="s">
        <v>14</v>
      </c>
      <c r="G418">
        <v>69028150</v>
      </c>
      <c r="H418" t="s">
        <v>21</v>
      </c>
      <c r="I418">
        <v>59836926</v>
      </c>
      <c r="J418" t="s">
        <v>14</v>
      </c>
      <c r="K418" t="s">
        <v>17</v>
      </c>
      <c r="L418" s="42">
        <v>3150000</v>
      </c>
      <c r="M418" s="10">
        <v>9450000</v>
      </c>
      <c r="N418" s="10">
        <f t="shared" si="6"/>
        <v>6300000</v>
      </c>
      <c r="O418" t="s">
        <v>704</v>
      </c>
    </row>
    <row r="419" spans="1:15" x14ac:dyDescent="0.25">
      <c r="A419" t="s">
        <v>1090</v>
      </c>
      <c r="B419" t="s">
        <v>13</v>
      </c>
      <c r="C419" s="12">
        <v>46041</v>
      </c>
      <c r="D419" s="12">
        <v>46072</v>
      </c>
      <c r="E419" t="s">
        <v>775</v>
      </c>
      <c r="F419" t="s">
        <v>14</v>
      </c>
      <c r="G419">
        <v>1085277976</v>
      </c>
      <c r="H419" t="s">
        <v>681</v>
      </c>
      <c r="I419">
        <v>43624414</v>
      </c>
      <c r="J419" t="s">
        <v>14</v>
      </c>
      <c r="K419" t="s">
        <v>18</v>
      </c>
      <c r="L419" s="42">
        <v>6300000</v>
      </c>
      <c r="M419" s="10">
        <v>6300000</v>
      </c>
      <c r="N419" s="10">
        <f t="shared" si="6"/>
        <v>0</v>
      </c>
      <c r="O419" t="s">
        <v>704</v>
      </c>
    </row>
    <row r="420" spans="1:15" x14ac:dyDescent="0.25">
      <c r="A420" t="s">
        <v>1091</v>
      </c>
      <c r="B420" t="s">
        <v>13</v>
      </c>
      <c r="C420" s="12">
        <v>46041</v>
      </c>
      <c r="D420" s="12">
        <v>46131</v>
      </c>
      <c r="E420" t="s">
        <v>775</v>
      </c>
      <c r="F420" t="s">
        <v>14</v>
      </c>
      <c r="G420">
        <v>27285974</v>
      </c>
      <c r="H420" t="s">
        <v>283</v>
      </c>
      <c r="I420">
        <v>59836926</v>
      </c>
      <c r="J420" t="s">
        <v>14</v>
      </c>
      <c r="K420" t="s">
        <v>17</v>
      </c>
      <c r="L420" s="42">
        <v>0</v>
      </c>
      <c r="M420" s="10">
        <v>9450000</v>
      </c>
      <c r="N420" s="10">
        <f t="shared" si="6"/>
        <v>9450000</v>
      </c>
      <c r="O420" t="s">
        <v>704</v>
      </c>
    </row>
    <row r="421" spans="1:15" x14ac:dyDescent="0.25">
      <c r="A421" t="s">
        <v>1092</v>
      </c>
      <c r="B421" t="s">
        <v>13</v>
      </c>
      <c r="C421" s="12">
        <v>46041</v>
      </c>
      <c r="D421" s="12">
        <v>46131</v>
      </c>
      <c r="E421" t="s">
        <v>775</v>
      </c>
      <c r="F421" t="s">
        <v>14</v>
      </c>
      <c r="G421">
        <v>37083086</v>
      </c>
      <c r="H421" t="s">
        <v>354</v>
      </c>
      <c r="I421">
        <v>98333941</v>
      </c>
      <c r="J421" t="s">
        <v>14</v>
      </c>
      <c r="K421" t="s">
        <v>15</v>
      </c>
      <c r="L421" s="42">
        <v>0</v>
      </c>
      <c r="M421" s="10">
        <v>9450000</v>
      </c>
      <c r="N421" s="10">
        <f t="shared" si="6"/>
        <v>9450000</v>
      </c>
      <c r="O421" t="s">
        <v>704</v>
      </c>
    </row>
    <row r="422" spans="1:15" x14ac:dyDescent="0.25">
      <c r="A422" t="s">
        <v>1093</v>
      </c>
      <c r="B422" t="s">
        <v>13</v>
      </c>
      <c r="C422" s="12">
        <v>46041</v>
      </c>
      <c r="D422" s="12">
        <v>46131</v>
      </c>
      <c r="E422" t="s">
        <v>775</v>
      </c>
      <c r="F422" t="s">
        <v>14</v>
      </c>
      <c r="G422">
        <v>59311295</v>
      </c>
      <c r="H422" t="s">
        <v>606</v>
      </c>
      <c r="I422">
        <v>43624414</v>
      </c>
      <c r="J422" t="s">
        <v>14</v>
      </c>
      <c r="K422" t="s">
        <v>18</v>
      </c>
      <c r="L422" s="42">
        <v>0</v>
      </c>
      <c r="M422" s="10">
        <v>9450000</v>
      </c>
      <c r="N422" s="10">
        <f t="shared" si="6"/>
        <v>9450000</v>
      </c>
      <c r="O422" t="s">
        <v>704</v>
      </c>
    </row>
    <row r="423" spans="1:15" x14ac:dyDescent="0.25">
      <c r="A423" t="s">
        <v>1094</v>
      </c>
      <c r="B423" t="s">
        <v>13</v>
      </c>
      <c r="C423" s="12">
        <v>46041</v>
      </c>
      <c r="D423" s="12">
        <v>46131</v>
      </c>
      <c r="E423" t="s">
        <v>775</v>
      </c>
      <c r="F423" t="s">
        <v>14</v>
      </c>
      <c r="G423">
        <v>1087960258</v>
      </c>
      <c r="H423" t="s">
        <v>865</v>
      </c>
      <c r="I423">
        <v>98333941</v>
      </c>
      <c r="J423" t="s">
        <v>14</v>
      </c>
      <c r="K423" t="s">
        <v>15</v>
      </c>
      <c r="L423" s="42">
        <v>0</v>
      </c>
      <c r="M423" s="10">
        <v>9450000</v>
      </c>
      <c r="N423" s="10">
        <f t="shared" si="6"/>
        <v>9450000</v>
      </c>
      <c r="O423" t="s">
        <v>704</v>
      </c>
    </row>
    <row r="424" spans="1:15" x14ac:dyDescent="0.25">
      <c r="A424" t="s">
        <v>1095</v>
      </c>
      <c r="B424" t="s">
        <v>13</v>
      </c>
      <c r="C424" s="12">
        <v>46041</v>
      </c>
      <c r="D424" s="12">
        <v>46131</v>
      </c>
      <c r="E424" t="s">
        <v>744</v>
      </c>
      <c r="F424" t="s">
        <v>14</v>
      </c>
      <c r="G424">
        <v>59312865</v>
      </c>
      <c r="H424" t="s">
        <v>534</v>
      </c>
      <c r="I424">
        <v>43624414</v>
      </c>
      <c r="J424" t="s">
        <v>14</v>
      </c>
      <c r="K424" t="s">
        <v>18</v>
      </c>
      <c r="L424" s="42">
        <v>0</v>
      </c>
      <c r="M424" s="10">
        <v>14190000</v>
      </c>
      <c r="N424" s="10">
        <f t="shared" si="6"/>
        <v>14190000</v>
      </c>
      <c r="O424" t="s">
        <v>704</v>
      </c>
    </row>
    <row r="425" spans="1:15" x14ac:dyDescent="0.25">
      <c r="A425" t="s">
        <v>1096</v>
      </c>
      <c r="B425" t="s">
        <v>13</v>
      </c>
      <c r="C425" s="12">
        <v>46041</v>
      </c>
      <c r="D425" s="12">
        <v>46072</v>
      </c>
      <c r="E425" t="s">
        <v>744</v>
      </c>
      <c r="F425" t="s">
        <v>14</v>
      </c>
      <c r="G425">
        <v>59651018</v>
      </c>
      <c r="H425" t="s">
        <v>839</v>
      </c>
      <c r="I425">
        <v>43624414</v>
      </c>
      <c r="J425" t="s">
        <v>14</v>
      </c>
      <c r="K425" t="s">
        <v>18</v>
      </c>
      <c r="L425" s="42">
        <v>4730000</v>
      </c>
      <c r="M425" s="10">
        <v>4730000</v>
      </c>
      <c r="N425" s="10">
        <f t="shared" si="6"/>
        <v>0</v>
      </c>
      <c r="O425" t="s">
        <v>704</v>
      </c>
    </row>
    <row r="426" spans="1:15" x14ac:dyDescent="0.25">
      <c r="A426" t="s">
        <v>1097</v>
      </c>
      <c r="B426" t="s">
        <v>13</v>
      </c>
      <c r="C426" s="12">
        <v>46041</v>
      </c>
      <c r="D426" s="12">
        <v>46072</v>
      </c>
      <c r="E426" t="s">
        <v>775</v>
      </c>
      <c r="F426" t="s">
        <v>14</v>
      </c>
      <c r="G426">
        <v>1004134014</v>
      </c>
      <c r="H426" t="s">
        <v>633</v>
      </c>
      <c r="I426">
        <v>43624414</v>
      </c>
      <c r="J426" t="s">
        <v>14</v>
      </c>
      <c r="K426" t="s">
        <v>18</v>
      </c>
      <c r="L426" s="42">
        <v>0</v>
      </c>
      <c r="M426" s="10">
        <v>3150000</v>
      </c>
      <c r="N426" s="10">
        <f t="shared" si="6"/>
        <v>3150000</v>
      </c>
      <c r="O426" t="s">
        <v>704</v>
      </c>
    </row>
    <row r="427" spans="1:15" x14ac:dyDescent="0.25">
      <c r="A427" t="s">
        <v>1098</v>
      </c>
      <c r="B427" t="s">
        <v>13</v>
      </c>
      <c r="C427" s="12">
        <v>46041</v>
      </c>
      <c r="D427" s="12">
        <v>46192</v>
      </c>
      <c r="E427" t="s">
        <v>744</v>
      </c>
      <c r="F427" t="s">
        <v>14</v>
      </c>
      <c r="G427">
        <v>37084258</v>
      </c>
      <c r="H427" t="s">
        <v>901</v>
      </c>
      <c r="I427">
        <v>43624414</v>
      </c>
      <c r="J427" t="s">
        <v>14</v>
      </c>
      <c r="K427" t="s">
        <v>18</v>
      </c>
      <c r="L427" s="42">
        <v>0</v>
      </c>
      <c r="M427" s="10">
        <v>23650000</v>
      </c>
      <c r="N427" s="10">
        <f t="shared" si="6"/>
        <v>23650000</v>
      </c>
      <c r="O427" t="s">
        <v>704</v>
      </c>
    </row>
    <row r="428" spans="1:15" x14ac:dyDescent="0.25">
      <c r="A428" t="s">
        <v>1099</v>
      </c>
      <c r="B428" t="s">
        <v>13</v>
      </c>
      <c r="C428" s="12">
        <v>46041</v>
      </c>
      <c r="D428" s="12">
        <v>46131</v>
      </c>
      <c r="E428" t="s">
        <v>744</v>
      </c>
      <c r="F428" t="s">
        <v>14</v>
      </c>
      <c r="G428">
        <v>1005829176</v>
      </c>
      <c r="H428" t="s">
        <v>487</v>
      </c>
      <c r="I428">
        <v>59836926</v>
      </c>
      <c r="J428" t="s">
        <v>14</v>
      </c>
      <c r="K428" t="s">
        <v>17</v>
      </c>
      <c r="L428" s="42">
        <v>4730000</v>
      </c>
      <c r="M428" s="10">
        <v>14190000</v>
      </c>
      <c r="N428" s="10">
        <f t="shared" si="6"/>
        <v>9460000</v>
      </c>
      <c r="O428" t="s">
        <v>704</v>
      </c>
    </row>
    <row r="429" spans="1:15" x14ac:dyDescent="0.25">
      <c r="A429" t="s">
        <v>1100</v>
      </c>
      <c r="B429" t="s">
        <v>13</v>
      </c>
      <c r="C429" s="12">
        <v>46041</v>
      </c>
      <c r="D429" s="12">
        <v>46192</v>
      </c>
      <c r="E429" t="s">
        <v>744</v>
      </c>
      <c r="F429" t="s">
        <v>14</v>
      </c>
      <c r="G429">
        <v>27105277</v>
      </c>
      <c r="H429" t="s">
        <v>221</v>
      </c>
      <c r="I429">
        <v>59836926</v>
      </c>
      <c r="J429" t="s">
        <v>14</v>
      </c>
      <c r="K429" t="s">
        <v>17</v>
      </c>
      <c r="L429" s="42">
        <v>0</v>
      </c>
      <c r="M429" s="10">
        <v>23650000</v>
      </c>
      <c r="N429" s="10">
        <f t="shared" si="6"/>
        <v>23650000</v>
      </c>
      <c r="O429" t="s">
        <v>704</v>
      </c>
    </row>
    <row r="430" spans="1:15" x14ac:dyDescent="0.25">
      <c r="A430" t="s">
        <v>1101</v>
      </c>
      <c r="B430" t="s">
        <v>13</v>
      </c>
      <c r="C430" s="12">
        <v>46041</v>
      </c>
      <c r="D430" s="12">
        <v>46192</v>
      </c>
      <c r="E430" t="s">
        <v>775</v>
      </c>
      <c r="F430" t="s">
        <v>14</v>
      </c>
      <c r="G430">
        <v>27146489</v>
      </c>
      <c r="H430" t="s">
        <v>193</v>
      </c>
      <c r="I430">
        <v>98390119</v>
      </c>
      <c r="J430" t="s">
        <v>14</v>
      </c>
      <c r="K430" t="s">
        <v>63</v>
      </c>
      <c r="L430" s="42">
        <v>6300000</v>
      </c>
      <c r="M430" s="10">
        <v>31500000</v>
      </c>
      <c r="N430" s="10">
        <f t="shared" si="6"/>
        <v>25200000</v>
      </c>
      <c r="O430" t="s">
        <v>704</v>
      </c>
    </row>
    <row r="431" spans="1:15" x14ac:dyDescent="0.25">
      <c r="A431" t="s">
        <v>1102</v>
      </c>
      <c r="B431" t="s">
        <v>13</v>
      </c>
      <c r="C431" s="12">
        <v>46041</v>
      </c>
      <c r="D431" s="12">
        <v>46192</v>
      </c>
      <c r="E431" t="s">
        <v>744</v>
      </c>
      <c r="F431" t="s">
        <v>14</v>
      </c>
      <c r="G431">
        <v>52381227</v>
      </c>
      <c r="H431" t="s">
        <v>147</v>
      </c>
      <c r="I431">
        <v>98333941</v>
      </c>
      <c r="J431" t="s">
        <v>14</v>
      </c>
      <c r="K431" t="s">
        <v>15</v>
      </c>
      <c r="L431" s="42">
        <v>0</v>
      </c>
      <c r="M431" s="10">
        <v>23650000</v>
      </c>
      <c r="N431" s="10">
        <f t="shared" si="6"/>
        <v>23650000</v>
      </c>
      <c r="O431" t="s">
        <v>704</v>
      </c>
    </row>
    <row r="432" spans="1:15" x14ac:dyDescent="0.25">
      <c r="A432" t="s">
        <v>1103</v>
      </c>
      <c r="B432" t="s">
        <v>13</v>
      </c>
      <c r="C432" s="12">
        <v>46041</v>
      </c>
      <c r="D432" s="12">
        <v>46131</v>
      </c>
      <c r="E432" t="s">
        <v>744</v>
      </c>
      <c r="F432" t="s">
        <v>14</v>
      </c>
      <c r="G432">
        <v>1083814276</v>
      </c>
      <c r="H432" t="s">
        <v>590</v>
      </c>
      <c r="I432">
        <v>98333941</v>
      </c>
      <c r="J432" t="s">
        <v>14</v>
      </c>
      <c r="K432" t="s">
        <v>15</v>
      </c>
      <c r="L432" s="42">
        <v>0</v>
      </c>
      <c r="M432" s="10">
        <v>23400000</v>
      </c>
      <c r="N432" s="10">
        <f t="shared" si="6"/>
        <v>23400000</v>
      </c>
      <c r="O432" t="s">
        <v>704</v>
      </c>
    </row>
    <row r="433" spans="1:15" x14ac:dyDescent="0.25">
      <c r="A433" t="s">
        <v>1104</v>
      </c>
      <c r="B433" t="s">
        <v>13</v>
      </c>
      <c r="C433" s="12">
        <v>46041</v>
      </c>
      <c r="D433" s="12">
        <v>46131</v>
      </c>
      <c r="E433" t="s">
        <v>744</v>
      </c>
      <c r="F433" t="s">
        <v>14</v>
      </c>
      <c r="G433">
        <v>1084227101</v>
      </c>
      <c r="H433" t="s">
        <v>700</v>
      </c>
      <c r="I433">
        <v>98333941</v>
      </c>
      <c r="J433" t="s">
        <v>14</v>
      </c>
      <c r="K433" t="s">
        <v>15</v>
      </c>
      <c r="L433" s="42">
        <v>0</v>
      </c>
      <c r="M433" s="10">
        <v>14190000</v>
      </c>
      <c r="N433" s="10">
        <f t="shared" si="6"/>
        <v>14190000</v>
      </c>
      <c r="O433" t="s">
        <v>704</v>
      </c>
    </row>
    <row r="434" spans="1:15" x14ac:dyDescent="0.25">
      <c r="A434" t="s">
        <v>1105</v>
      </c>
      <c r="B434" t="s">
        <v>13</v>
      </c>
      <c r="C434" s="12">
        <v>46041</v>
      </c>
      <c r="D434" s="12">
        <v>46192</v>
      </c>
      <c r="E434" t="s">
        <v>744</v>
      </c>
      <c r="F434" t="s">
        <v>14</v>
      </c>
      <c r="G434">
        <v>1233193769</v>
      </c>
      <c r="H434" t="s">
        <v>890</v>
      </c>
      <c r="I434">
        <v>98390119</v>
      </c>
      <c r="J434" t="s">
        <v>14</v>
      </c>
      <c r="K434" t="s">
        <v>63</v>
      </c>
      <c r="L434" s="42">
        <v>0</v>
      </c>
      <c r="M434" s="10">
        <v>39000000</v>
      </c>
      <c r="N434" s="10">
        <f t="shared" si="6"/>
        <v>39000000</v>
      </c>
      <c r="O434" t="s">
        <v>704</v>
      </c>
    </row>
    <row r="435" spans="1:15" x14ac:dyDescent="0.25">
      <c r="A435" t="s">
        <v>1106</v>
      </c>
      <c r="B435" t="s">
        <v>13</v>
      </c>
      <c r="C435" s="12">
        <v>46041</v>
      </c>
      <c r="D435" s="12">
        <v>46131</v>
      </c>
      <c r="E435" t="s">
        <v>744</v>
      </c>
      <c r="F435" t="s">
        <v>14</v>
      </c>
      <c r="G435">
        <v>1086137686</v>
      </c>
      <c r="H435" t="s">
        <v>658</v>
      </c>
      <c r="I435">
        <v>98390119</v>
      </c>
      <c r="J435" t="s">
        <v>14</v>
      </c>
      <c r="K435" t="s">
        <v>63</v>
      </c>
      <c r="L435" s="42">
        <v>0</v>
      </c>
      <c r="M435" s="10">
        <v>14190000</v>
      </c>
      <c r="N435" s="10">
        <f t="shared" si="6"/>
        <v>14190000</v>
      </c>
      <c r="O435" t="s">
        <v>704</v>
      </c>
    </row>
    <row r="436" spans="1:15" x14ac:dyDescent="0.25">
      <c r="A436" t="s">
        <v>1107</v>
      </c>
      <c r="B436" t="s">
        <v>13</v>
      </c>
      <c r="C436" s="12">
        <v>46041</v>
      </c>
      <c r="D436" s="12">
        <v>46192</v>
      </c>
      <c r="E436" t="s">
        <v>744</v>
      </c>
      <c r="F436" t="s">
        <v>14</v>
      </c>
      <c r="G436">
        <v>1086360022</v>
      </c>
      <c r="H436" t="s">
        <v>90</v>
      </c>
      <c r="I436">
        <v>98390119</v>
      </c>
      <c r="J436" t="s">
        <v>14</v>
      </c>
      <c r="K436" t="s">
        <v>63</v>
      </c>
      <c r="L436" s="42">
        <v>0</v>
      </c>
      <c r="M436" s="10">
        <v>23650000</v>
      </c>
      <c r="N436" s="10">
        <f t="shared" si="6"/>
        <v>23650000</v>
      </c>
      <c r="O436" t="s">
        <v>704</v>
      </c>
    </row>
    <row r="437" spans="1:15" x14ac:dyDescent="0.25">
      <c r="A437" t="s">
        <v>1108</v>
      </c>
      <c r="B437" t="s">
        <v>13</v>
      </c>
      <c r="C437" s="12">
        <v>46041</v>
      </c>
      <c r="D437" s="12">
        <v>46192</v>
      </c>
      <c r="E437" t="s">
        <v>744</v>
      </c>
      <c r="F437" t="s">
        <v>14</v>
      </c>
      <c r="G437">
        <v>1087645723</v>
      </c>
      <c r="H437" t="s">
        <v>153</v>
      </c>
      <c r="I437">
        <v>98390119</v>
      </c>
      <c r="J437" t="s">
        <v>14</v>
      </c>
      <c r="K437" t="s">
        <v>63</v>
      </c>
      <c r="L437" s="42">
        <v>0</v>
      </c>
      <c r="M437" s="10">
        <v>39000000</v>
      </c>
      <c r="N437" s="10">
        <f t="shared" si="6"/>
        <v>39000000</v>
      </c>
      <c r="O437" t="s">
        <v>704</v>
      </c>
    </row>
    <row r="438" spans="1:15" x14ac:dyDescent="0.25">
      <c r="A438" t="s">
        <v>1109</v>
      </c>
      <c r="B438" t="s">
        <v>13</v>
      </c>
      <c r="C438" s="12">
        <v>46041</v>
      </c>
      <c r="D438" s="12">
        <v>46131</v>
      </c>
      <c r="E438" t="s">
        <v>744</v>
      </c>
      <c r="F438" t="s">
        <v>14</v>
      </c>
      <c r="G438">
        <v>1233188033</v>
      </c>
      <c r="H438" t="s">
        <v>894</v>
      </c>
      <c r="I438">
        <v>98390119</v>
      </c>
      <c r="J438" t="s">
        <v>14</v>
      </c>
      <c r="K438" t="s">
        <v>63</v>
      </c>
      <c r="L438" s="42">
        <v>0</v>
      </c>
      <c r="M438" s="10">
        <v>14190000</v>
      </c>
      <c r="N438" s="10">
        <f t="shared" si="6"/>
        <v>14190000</v>
      </c>
      <c r="O438" t="s">
        <v>704</v>
      </c>
    </row>
    <row r="439" spans="1:15" x14ac:dyDescent="0.25">
      <c r="A439" t="s">
        <v>1110</v>
      </c>
      <c r="B439" t="s">
        <v>13</v>
      </c>
      <c r="C439" s="12">
        <v>46041</v>
      </c>
      <c r="D439" s="12">
        <v>46072</v>
      </c>
      <c r="E439" t="s">
        <v>775</v>
      </c>
      <c r="F439" t="s">
        <v>14</v>
      </c>
      <c r="G439">
        <v>1085343154</v>
      </c>
      <c r="H439" t="s">
        <v>600</v>
      </c>
      <c r="I439">
        <v>98333941</v>
      </c>
      <c r="J439" t="s">
        <v>14</v>
      </c>
      <c r="K439" t="s">
        <v>15</v>
      </c>
      <c r="L439" s="42">
        <v>0</v>
      </c>
      <c r="M439" s="10">
        <v>3150000</v>
      </c>
      <c r="N439" s="10">
        <f t="shared" si="6"/>
        <v>3150000</v>
      </c>
      <c r="O439" t="s">
        <v>704</v>
      </c>
    </row>
    <row r="440" spans="1:15" x14ac:dyDescent="0.25">
      <c r="A440" t="s">
        <v>1111</v>
      </c>
      <c r="B440" t="s">
        <v>13</v>
      </c>
      <c r="C440" s="12">
        <v>46041</v>
      </c>
      <c r="D440" s="12">
        <v>46192</v>
      </c>
      <c r="E440" t="s">
        <v>744</v>
      </c>
      <c r="F440" t="s">
        <v>14</v>
      </c>
      <c r="G440">
        <v>1127080390</v>
      </c>
      <c r="H440" t="s">
        <v>934</v>
      </c>
      <c r="I440">
        <v>59836926</v>
      </c>
      <c r="J440" t="s">
        <v>14</v>
      </c>
      <c r="K440" t="s">
        <v>17</v>
      </c>
      <c r="L440" s="42">
        <v>0</v>
      </c>
      <c r="M440" s="10">
        <v>23650000</v>
      </c>
      <c r="N440" s="10">
        <f t="shared" si="6"/>
        <v>23650000</v>
      </c>
      <c r="O440" t="s">
        <v>704</v>
      </c>
    </row>
    <row r="441" spans="1:15" x14ac:dyDescent="0.25">
      <c r="A441" t="s">
        <v>1112</v>
      </c>
      <c r="B441" t="s">
        <v>13</v>
      </c>
      <c r="C441" s="12">
        <v>46041</v>
      </c>
      <c r="D441" s="12">
        <v>46131</v>
      </c>
      <c r="E441" t="s">
        <v>744</v>
      </c>
      <c r="F441" t="s">
        <v>14</v>
      </c>
      <c r="G441">
        <v>1233190311</v>
      </c>
      <c r="H441" t="s">
        <v>906</v>
      </c>
      <c r="I441">
        <v>98390119</v>
      </c>
      <c r="J441" t="s">
        <v>14</v>
      </c>
      <c r="K441" t="s">
        <v>63</v>
      </c>
      <c r="L441" s="42">
        <v>0</v>
      </c>
      <c r="M441" s="10">
        <v>14190000</v>
      </c>
      <c r="N441" s="10">
        <f t="shared" si="6"/>
        <v>14190000</v>
      </c>
      <c r="O441" t="s">
        <v>704</v>
      </c>
    </row>
    <row r="442" spans="1:15" x14ac:dyDescent="0.25">
      <c r="A442" t="s">
        <v>1113</v>
      </c>
      <c r="B442" t="s">
        <v>13</v>
      </c>
      <c r="C442" s="12">
        <v>46041</v>
      </c>
      <c r="D442" s="12">
        <v>46131</v>
      </c>
      <c r="E442" t="s">
        <v>775</v>
      </c>
      <c r="F442" t="s">
        <v>14</v>
      </c>
      <c r="G442">
        <v>37085864</v>
      </c>
      <c r="H442" t="s">
        <v>654</v>
      </c>
      <c r="I442">
        <v>59836926</v>
      </c>
      <c r="J442" t="s">
        <v>14</v>
      </c>
      <c r="K442" t="s">
        <v>17</v>
      </c>
      <c r="L442" s="42">
        <v>0</v>
      </c>
      <c r="M442" s="10">
        <v>18900000</v>
      </c>
      <c r="N442" s="10">
        <f t="shared" si="6"/>
        <v>18900000</v>
      </c>
      <c r="O442" t="s">
        <v>704</v>
      </c>
    </row>
    <row r="443" spans="1:15" x14ac:dyDescent="0.25">
      <c r="A443" t="s">
        <v>1114</v>
      </c>
      <c r="B443" t="s">
        <v>13</v>
      </c>
      <c r="C443" s="12">
        <v>46041</v>
      </c>
      <c r="D443" s="12">
        <v>46131</v>
      </c>
      <c r="E443" t="s">
        <v>744</v>
      </c>
      <c r="F443" t="s">
        <v>14</v>
      </c>
      <c r="G443">
        <v>36757491</v>
      </c>
      <c r="H443" t="s">
        <v>164</v>
      </c>
      <c r="I443">
        <v>59836926</v>
      </c>
      <c r="J443" t="s">
        <v>14</v>
      </c>
      <c r="K443" t="s">
        <v>17</v>
      </c>
      <c r="L443" s="42">
        <v>0</v>
      </c>
      <c r="M443" s="10">
        <v>14190000</v>
      </c>
      <c r="N443" s="10">
        <f t="shared" si="6"/>
        <v>14190000</v>
      </c>
      <c r="O443" t="s">
        <v>704</v>
      </c>
    </row>
    <row r="444" spans="1:15" x14ac:dyDescent="0.25">
      <c r="A444" t="s">
        <v>1115</v>
      </c>
      <c r="B444" t="s">
        <v>13</v>
      </c>
      <c r="C444" s="12">
        <v>46041</v>
      </c>
      <c r="D444" s="12">
        <v>46192</v>
      </c>
      <c r="E444" t="s">
        <v>744</v>
      </c>
      <c r="F444" t="s">
        <v>14</v>
      </c>
      <c r="G444">
        <v>1144172704</v>
      </c>
      <c r="H444" t="s">
        <v>280</v>
      </c>
      <c r="I444">
        <v>43624414</v>
      </c>
      <c r="J444" t="s">
        <v>14</v>
      </c>
      <c r="K444" t="s">
        <v>18</v>
      </c>
      <c r="L444" s="42">
        <v>0</v>
      </c>
      <c r="M444" s="10">
        <v>39000000</v>
      </c>
      <c r="N444" s="10">
        <f t="shared" si="6"/>
        <v>39000000</v>
      </c>
      <c r="O444" t="s">
        <v>704</v>
      </c>
    </row>
    <row r="445" spans="1:15" x14ac:dyDescent="0.25">
      <c r="A445" t="s">
        <v>1116</v>
      </c>
      <c r="B445" t="s">
        <v>13</v>
      </c>
      <c r="C445" s="12">
        <v>46041</v>
      </c>
      <c r="D445" s="12">
        <v>46131</v>
      </c>
      <c r="E445" t="s">
        <v>775</v>
      </c>
      <c r="F445" t="s">
        <v>14</v>
      </c>
      <c r="G445">
        <v>1085255829</v>
      </c>
      <c r="H445" t="s">
        <v>23</v>
      </c>
      <c r="I445">
        <v>98390119</v>
      </c>
      <c r="J445" t="s">
        <v>14</v>
      </c>
      <c r="K445" t="s">
        <v>63</v>
      </c>
      <c r="L445" s="42">
        <v>0</v>
      </c>
      <c r="M445" s="10">
        <v>9450000</v>
      </c>
      <c r="N445" s="10">
        <f t="shared" si="6"/>
        <v>9450000</v>
      </c>
      <c r="O445" t="s">
        <v>704</v>
      </c>
    </row>
    <row r="446" spans="1:15" x14ac:dyDescent="0.25">
      <c r="A446" t="s">
        <v>1117</v>
      </c>
      <c r="B446" t="s">
        <v>13</v>
      </c>
      <c r="C446" s="12">
        <v>46041</v>
      </c>
      <c r="D446" s="12">
        <v>46131</v>
      </c>
      <c r="E446" t="s">
        <v>775</v>
      </c>
      <c r="F446" t="s">
        <v>14</v>
      </c>
      <c r="G446">
        <v>1085281002</v>
      </c>
      <c r="H446" t="s">
        <v>199</v>
      </c>
      <c r="I446">
        <v>59836926</v>
      </c>
      <c r="J446" t="s">
        <v>14</v>
      </c>
      <c r="K446" t="s">
        <v>17</v>
      </c>
      <c r="L446" s="42">
        <v>3150000</v>
      </c>
      <c r="M446" s="10">
        <v>9450000</v>
      </c>
      <c r="N446" s="10">
        <f t="shared" si="6"/>
        <v>6300000</v>
      </c>
      <c r="O446" t="s">
        <v>704</v>
      </c>
    </row>
    <row r="447" spans="1:15" x14ac:dyDescent="0.25">
      <c r="A447" t="s">
        <v>1029</v>
      </c>
      <c r="B447" t="s">
        <v>13</v>
      </c>
      <c r="C447" s="12">
        <v>46041</v>
      </c>
      <c r="D447" s="12">
        <v>46131</v>
      </c>
      <c r="E447" t="s">
        <v>744</v>
      </c>
      <c r="F447" t="s">
        <v>14</v>
      </c>
      <c r="G447">
        <v>1087960287</v>
      </c>
      <c r="H447" t="s">
        <v>576</v>
      </c>
      <c r="I447">
        <v>59836926</v>
      </c>
      <c r="J447" t="s">
        <v>14</v>
      </c>
      <c r="K447" t="s">
        <v>17</v>
      </c>
      <c r="L447" s="42">
        <v>4730000</v>
      </c>
      <c r="M447" s="10">
        <v>14190000</v>
      </c>
      <c r="N447" s="10">
        <f t="shared" si="6"/>
        <v>9460000</v>
      </c>
      <c r="O447" t="s">
        <v>704</v>
      </c>
    </row>
    <row r="448" spans="1:15" x14ac:dyDescent="0.25">
      <c r="A448" t="s">
        <v>1118</v>
      </c>
      <c r="B448" t="s">
        <v>13</v>
      </c>
      <c r="C448" s="12">
        <v>46041</v>
      </c>
      <c r="D448" s="12">
        <v>46072</v>
      </c>
      <c r="E448" t="s">
        <v>775</v>
      </c>
      <c r="F448" t="s">
        <v>14</v>
      </c>
      <c r="G448">
        <v>27082649</v>
      </c>
      <c r="H448" t="s">
        <v>174</v>
      </c>
      <c r="I448">
        <v>43624414</v>
      </c>
      <c r="J448" t="s">
        <v>14</v>
      </c>
      <c r="K448" t="s">
        <v>18</v>
      </c>
      <c r="L448" s="42">
        <v>0</v>
      </c>
      <c r="M448" s="10">
        <v>3150000</v>
      </c>
      <c r="N448" s="10">
        <f t="shared" si="6"/>
        <v>3150000</v>
      </c>
      <c r="O448" t="s">
        <v>704</v>
      </c>
    </row>
    <row r="449" spans="1:15" x14ac:dyDescent="0.25">
      <c r="A449" t="s">
        <v>1119</v>
      </c>
      <c r="B449" t="s">
        <v>13</v>
      </c>
      <c r="C449" s="12">
        <v>46041</v>
      </c>
      <c r="D449" s="12">
        <v>46192</v>
      </c>
      <c r="E449" t="s">
        <v>744</v>
      </c>
      <c r="F449" t="s">
        <v>14</v>
      </c>
      <c r="G449">
        <v>1085274300</v>
      </c>
      <c r="H449" t="s">
        <v>891</v>
      </c>
      <c r="I449">
        <v>98390119</v>
      </c>
      <c r="J449" t="s">
        <v>14</v>
      </c>
      <c r="K449" t="s">
        <v>63</v>
      </c>
      <c r="L449" s="42">
        <v>0</v>
      </c>
      <c r="M449" s="10">
        <v>39000000</v>
      </c>
      <c r="N449" s="10">
        <f t="shared" si="6"/>
        <v>39000000</v>
      </c>
      <c r="O449" t="s">
        <v>704</v>
      </c>
    </row>
    <row r="450" spans="1:15" x14ac:dyDescent="0.25">
      <c r="A450" t="s">
        <v>1120</v>
      </c>
      <c r="B450" t="s">
        <v>13</v>
      </c>
      <c r="C450" s="12">
        <v>46041</v>
      </c>
      <c r="D450" s="12">
        <v>46131</v>
      </c>
      <c r="E450" t="s">
        <v>775</v>
      </c>
      <c r="F450" t="s">
        <v>14</v>
      </c>
      <c r="G450">
        <v>1085296068</v>
      </c>
      <c r="H450" t="s">
        <v>845</v>
      </c>
      <c r="I450">
        <v>98333941</v>
      </c>
      <c r="J450" t="s">
        <v>14</v>
      </c>
      <c r="K450" t="s">
        <v>15</v>
      </c>
      <c r="L450" s="42">
        <v>0</v>
      </c>
      <c r="M450" s="10">
        <v>18900000</v>
      </c>
      <c r="N450" s="10">
        <f t="shared" si="6"/>
        <v>18900000</v>
      </c>
      <c r="O450" t="s">
        <v>704</v>
      </c>
    </row>
    <row r="451" spans="1:15" x14ac:dyDescent="0.25">
      <c r="A451" t="s">
        <v>1121</v>
      </c>
      <c r="B451" t="s">
        <v>13</v>
      </c>
      <c r="C451" s="12">
        <v>46041</v>
      </c>
      <c r="D451" s="12">
        <v>46192</v>
      </c>
      <c r="E451" t="s">
        <v>775</v>
      </c>
      <c r="F451" t="s">
        <v>14</v>
      </c>
      <c r="G451">
        <v>1085302942</v>
      </c>
      <c r="H451" t="s">
        <v>257</v>
      </c>
      <c r="I451">
        <v>98333941</v>
      </c>
      <c r="J451" t="s">
        <v>14</v>
      </c>
      <c r="K451" t="s">
        <v>15</v>
      </c>
      <c r="L451" s="42">
        <v>0</v>
      </c>
      <c r="M451" s="10">
        <v>15750000</v>
      </c>
      <c r="N451" s="10">
        <f t="shared" ref="N451:N514" si="7">M451-L451</f>
        <v>15750000</v>
      </c>
      <c r="O451" t="s">
        <v>704</v>
      </c>
    </row>
    <row r="452" spans="1:15" x14ac:dyDescent="0.25">
      <c r="A452" t="s">
        <v>1122</v>
      </c>
      <c r="B452" t="s">
        <v>13</v>
      </c>
      <c r="C452" s="12">
        <v>46041</v>
      </c>
      <c r="D452" s="12">
        <v>46072</v>
      </c>
      <c r="E452" t="s">
        <v>744</v>
      </c>
      <c r="F452" t="s">
        <v>14</v>
      </c>
      <c r="G452">
        <v>1085263018</v>
      </c>
      <c r="H452" t="s">
        <v>843</v>
      </c>
      <c r="I452">
        <v>98333941</v>
      </c>
      <c r="J452" t="s">
        <v>14</v>
      </c>
      <c r="K452" t="s">
        <v>15</v>
      </c>
      <c r="L452" s="42">
        <v>0</v>
      </c>
      <c r="M452" s="10">
        <v>4730000</v>
      </c>
      <c r="N452" s="10">
        <f t="shared" si="7"/>
        <v>4730000</v>
      </c>
      <c r="O452" t="s">
        <v>704</v>
      </c>
    </row>
    <row r="453" spans="1:15" x14ac:dyDescent="0.25">
      <c r="A453" t="s">
        <v>1123</v>
      </c>
      <c r="B453" t="s">
        <v>13</v>
      </c>
      <c r="C453" s="12">
        <v>46041</v>
      </c>
      <c r="D453" s="12">
        <v>46131</v>
      </c>
      <c r="E453" t="s">
        <v>744</v>
      </c>
      <c r="F453" t="s">
        <v>14</v>
      </c>
      <c r="G453">
        <v>1085330309</v>
      </c>
      <c r="H453" t="s">
        <v>16</v>
      </c>
      <c r="I453">
        <v>43624414</v>
      </c>
      <c r="J453" t="s">
        <v>14</v>
      </c>
      <c r="K453" t="s">
        <v>18</v>
      </c>
      <c r="L453" s="42">
        <v>4730000</v>
      </c>
      <c r="M453" s="10">
        <v>14190000</v>
      </c>
      <c r="N453" s="10">
        <f t="shared" si="7"/>
        <v>9460000</v>
      </c>
      <c r="O453" t="s">
        <v>704</v>
      </c>
    </row>
    <row r="454" spans="1:15" x14ac:dyDescent="0.25">
      <c r="A454" t="s">
        <v>1124</v>
      </c>
      <c r="B454" t="s">
        <v>13</v>
      </c>
      <c r="C454" s="12">
        <v>46041</v>
      </c>
      <c r="D454" s="12">
        <v>46072</v>
      </c>
      <c r="E454" t="s">
        <v>775</v>
      </c>
      <c r="F454" t="s">
        <v>14</v>
      </c>
      <c r="G454">
        <v>1004726621</v>
      </c>
      <c r="H454" t="s">
        <v>560</v>
      </c>
      <c r="I454">
        <v>98390119</v>
      </c>
      <c r="J454" t="s">
        <v>14</v>
      </c>
      <c r="K454" t="s">
        <v>63</v>
      </c>
      <c r="L454" s="42">
        <v>0</v>
      </c>
      <c r="M454" s="10">
        <v>3150000</v>
      </c>
      <c r="N454" s="10">
        <f t="shared" si="7"/>
        <v>3150000</v>
      </c>
      <c r="O454" t="s">
        <v>704</v>
      </c>
    </row>
    <row r="455" spans="1:15" x14ac:dyDescent="0.25">
      <c r="A455" t="s">
        <v>1125</v>
      </c>
      <c r="B455" t="s">
        <v>13</v>
      </c>
      <c r="C455" s="12">
        <v>46041</v>
      </c>
      <c r="D455" s="12">
        <v>46131</v>
      </c>
      <c r="E455" t="s">
        <v>744</v>
      </c>
      <c r="F455" t="s">
        <v>14</v>
      </c>
      <c r="G455">
        <v>1061794455</v>
      </c>
      <c r="H455" t="s">
        <v>177</v>
      </c>
      <c r="I455">
        <v>59836926</v>
      </c>
      <c r="J455" t="s">
        <v>14</v>
      </c>
      <c r="K455" t="s">
        <v>17</v>
      </c>
      <c r="L455" s="42">
        <v>7800000</v>
      </c>
      <c r="M455" s="10">
        <v>23400000</v>
      </c>
      <c r="N455" s="10">
        <f t="shared" si="7"/>
        <v>15600000</v>
      </c>
      <c r="O455" t="s">
        <v>704</v>
      </c>
    </row>
    <row r="456" spans="1:15" x14ac:dyDescent="0.25">
      <c r="A456" t="s">
        <v>1126</v>
      </c>
      <c r="B456" t="s">
        <v>13</v>
      </c>
      <c r="C456" s="12">
        <v>46041</v>
      </c>
      <c r="D456" s="12">
        <v>46131</v>
      </c>
      <c r="E456" t="s">
        <v>775</v>
      </c>
      <c r="F456" t="s">
        <v>14</v>
      </c>
      <c r="G456">
        <v>59828916</v>
      </c>
      <c r="H456" t="s">
        <v>73</v>
      </c>
      <c r="I456">
        <v>43624414</v>
      </c>
      <c r="J456" t="s">
        <v>14</v>
      </c>
      <c r="K456" t="s">
        <v>18</v>
      </c>
      <c r="L456" s="42">
        <v>0</v>
      </c>
      <c r="M456" s="10">
        <v>9450000</v>
      </c>
      <c r="N456" s="10">
        <f t="shared" si="7"/>
        <v>9450000</v>
      </c>
      <c r="O456" t="s">
        <v>704</v>
      </c>
    </row>
    <row r="457" spans="1:15" x14ac:dyDescent="0.25">
      <c r="A457" t="s">
        <v>1127</v>
      </c>
      <c r="B457" t="s">
        <v>13</v>
      </c>
      <c r="C457" s="12">
        <v>46041</v>
      </c>
      <c r="D457" s="12">
        <v>46131</v>
      </c>
      <c r="E457" t="s">
        <v>775</v>
      </c>
      <c r="F457" t="s">
        <v>14</v>
      </c>
      <c r="G457">
        <v>1085286742</v>
      </c>
      <c r="H457" t="s">
        <v>37</v>
      </c>
      <c r="I457">
        <v>43624414</v>
      </c>
      <c r="J457" t="s">
        <v>14</v>
      </c>
      <c r="K457" t="s">
        <v>18</v>
      </c>
      <c r="L457" s="42">
        <v>0</v>
      </c>
      <c r="M457" s="10">
        <v>9450000</v>
      </c>
      <c r="N457" s="10">
        <f t="shared" si="7"/>
        <v>9450000</v>
      </c>
      <c r="O457" t="s">
        <v>704</v>
      </c>
    </row>
    <row r="458" spans="1:15" x14ac:dyDescent="0.25">
      <c r="A458" t="s">
        <v>1128</v>
      </c>
      <c r="B458" t="s">
        <v>13</v>
      </c>
      <c r="C458" s="12">
        <v>46041</v>
      </c>
      <c r="D458" s="12">
        <v>46131</v>
      </c>
      <c r="E458" t="s">
        <v>775</v>
      </c>
      <c r="F458" t="s">
        <v>14</v>
      </c>
      <c r="G458">
        <v>1085278004</v>
      </c>
      <c r="H458" t="s">
        <v>223</v>
      </c>
      <c r="I458">
        <v>59836926</v>
      </c>
      <c r="J458" t="s">
        <v>14</v>
      </c>
      <c r="K458" t="s">
        <v>17</v>
      </c>
      <c r="L458" s="42">
        <v>6300000</v>
      </c>
      <c r="M458" s="10">
        <v>18900000</v>
      </c>
      <c r="N458" s="10">
        <f t="shared" si="7"/>
        <v>12600000</v>
      </c>
      <c r="O458" t="s">
        <v>704</v>
      </c>
    </row>
    <row r="459" spans="1:15" x14ac:dyDescent="0.25">
      <c r="A459" t="s">
        <v>1129</v>
      </c>
      <c r="B459" t="s">
        <v>13</v>
      </c>
      <c r="C459" s="12">
        <v>46041</v>
      </c>
      <c r="D459" s="12">
        <v>46131</v>
      </c>
      <c r="E459" t="s">
        <v>775</v>
      </c>
      <c r="F459" t="s">
        <v>14</v>
      </c>
      <c r="G459">
        <v>1085270448</v>
      </c>
      <c r="H459" t="s">
        <v>340</v>
      </c>
      <c r="I459">
        <v>98390119</v>
      </c>
      <c r="J459" t="s">
        <v>14</v>
      </c>
      <c r="K459" t="s">
        <v>63</v>
      </c>
      <c r="L459" s="42">
        <v>0</v>
      </c>
      <c r="M459" s="10">
        <v>9450000</v>
      </c>
      <c r="N459" s="10">
        <f t="shared" si="7"/>
        <v>9450000</v>
      </c>
      <c r="O459" t="s">
        <v>704</v>
      </c>
    </row>
    <row r="460" spans="1:15" x14ac:dyDescent="0.25">
      <c r="A460" t="s">
        <v>1130</v>
      </c>
      <c r="B460" t="s">
        <v>13</v>
      </c>
      <c r="C460" s="12">
        <v>46041</v>
      </c>
      <c r="D460" s="12">
        <v>46192</v>
      </c>
      <c r="E460" t="s">
        <v>775</v>
      </c>
      <c r="F460" t="s">
        <v>14</v>
      </c>
      <c r="G460">
        <v>1085266584</v>
      </c>
      <c r="H460" t="s">
        <v>71</v>
      </c>
      <c r="I460">
        <v>43624414</v>
      </c>
      <c r="J460" t="s">
        <v>14</v>
      </c>
      <c r="K460" t="s">
        <v>18</v>
      </c>
      <c r="L460" s="42">
        <v>0</v>
      </c>
      <c r="M460" s="10">
        <v>15750000</v>
      </c>
      <c r="N460" s="10">
        <f t="shared" si="7"/>
        <v>15750000</v>
      </c>
      <c r="O460" t="s">
        <v>704</v>
      </c>
    </row>
    <row r="461" spans="1:15" x14ac:dyDescent="0.25">
      <c r="A461" t="s">
        <v>1131</v>
      </c>
      <c r="B461" t="s">
        <v>13</v>
      </c>
      <c r="C461" s="12">
        <v>46041</v>
      </c>
      <c r="D461" s="12">
        <v>46192</v>
      </c>
      <c r="E461" t="s">
        <v>775</v>
      </c>
      <c r="F461" t="s">
        <v>14</v>
      </c>
      <c r="G461">
        <v>59310291</v>
      </c>
      <c r="H461" t="s">
        <v>135</v>
      </c>
      <c r="I461">
        <v>98333941</v>
      </c>
      <c r="J461" t="s">
        <v>14</v>
      </c>
      <c r="K461" t="s">
        <v>15</v>
      </c>
      <c r="L461" s="42">
        <v>0</v>
      </c>
      <c r="M461" s="10">
        <v>31500000</v>
      </c>
      <c r="N461" s="10">
        <f t="shared" si="7"/>
        <v>31500000</v>
      </c>
      <c r="O461" t="s">
        <v>704</v>
      </c>
    </row>
    <row r="462" spans="1:15" x14ac:dyDescent="0.25">
      <c r="A462" t="s">
        <v>1132</v>
      </c>
      <c r="B462" t="s">
        <v>13</v>
      </c>
      <c r="C462" s="12">
        <v>46041</v>
      </c>
      <c r="D462" s="12">
        <v>46131</v>
      </c>
      <c r="E462" t="s">
        <v>744</v>
      </c>
      <c r="F462" t="s">
        <v>14</v>
      </c>
      <c r="G462">
        <v>1089483067</v>
      </c>
      <c r="H462" t="s">
        <v>325</v>
      </c>
      <c r="I462">
        <v>43624414</v>
      </c>
      <c r="J462" t="s">
        <v>14</v>
      </c>
      <c r="K462" t="s">
        <v>18</v>
      </c>
      <c r="L462" s="42">
        <v>0</v>
      </c>
      <c r="M462" s="10">
        <v>23400000</v>
      </c>
      <c r="N462" s="10">
        <f t="shared" si="7"/>
        <v>23400000</v>
      </c>
      <c r="O462" t="s">
        <v>704</v>
      </c>
    </row>
    <row r="463" spans="1:15" x14ac:dyDescent="0.25">
      <c r="A463" t="s">
        <v>1133</v>
      </c>
      <c r="B463" t="s">
        <v>13</v>
      </c>
      <c r="C463" s="12">
        <v>46041</v>
      </c>
      <c r="D463" s="12">
        <v>46072</v>
      </c>
      <c r="E463" t="s">
        <v>775</v>
      </c>
      <c r="F463" t="s">
        <v>14</v>
      </c>
      <c r="G463">
        <v>27456421</v>
      </c>
      <c r="H463" t="s">
        <v>608</v>
      </c>
      <c r="I463">
        <v>98390119</v>
      </c>
      <c r="J463" t="s">
        <v>14</v>
      </c>
      <c r="K463" t="s">
        <v>63</v>
      </c>
      <c r="L463" s="42">
        <v>0</v>
      </c>
      <c r="M463" s="10">
        <v>6300000</v>
      </c>
      <c r="N463" s="10">
        <f t="shared" si="7"/>
        <v>6300000</v>
      </c>
      <c r="O463" t="s">
        <v>704</v>
      </c>
    </row>
    <row r="464" spans="1:15" x14ac:dyDescent="0.25">
      <c r="A464" t="s">
        <v>1134</v>
      </c>
      <c r="B464" t="s">
        <v>13</v>
      </c>
      <c r="C464" s="12">
        <v>46041</v>
      </c>
      <c r="D464" s="12">
        <v>46131</v>
      </c>
      <c r="E464" t="s">
        <v>744</v>
      </c>
      <c r="F464" t="s">
        <v>14</v>
      </c>
      <c r="G464">
        <v>1193292339</v>
      </c>
      <c r="H464" t="s">
        <v>631</v>
      </c>
      <c r="I464">
        <v>98333941</v>
      </c>
      <c r="J464" t="s">
        <v>14</v>
      </c>
      <c r="K464" t="s">
        <v>15</v>
      </c>
      <c r="L464" s="42">
        <v>0</v>
      </c>
      <c r="M464" s="10">
        <v>23400000</v>
      </c>
      <c r="N464" s="10">
        <f t="shared" si="7"/>
        <v>23400000</v>
      </c>
      <c r="O464" t="s">
        <v>704</v>
      </c>
    </row>
    <row r="465" spans="1:15" x14ac:dyDescent="0.25">
      <c r="A465" t="s">
        <v>1135</v>
      </c>
      <c r="B465" t="s">
        <v>13</v>
      </c>
      <c r="C465" s="12">
        <v>46041</v>
      </c>
      <c r="D465" s="12">
        <v>46131</v>
      </c>
      <c r="E465" t="s">
        <v>775</v>
      </c>
      <c r="F465" t="s">
        <v>14</v>
      </c>
      <c r="G465">
        <v>1084228089</v>
      </c>
      <c r="H465" t="s">
        <v>403</v>
      </c>
      <c r="I465">
        <v>98333941</v>
      </c>
      <c r="J465" t="s">
        <v>14</v>
      </c>
      <c r="K465" t="s">
        <v>15</v>
      </c>
      <c r="L465" s="42">
        <v>0</v>
      </c>
      <c r="M465" s="10">
        <v>18900000</v>
      </c>
      <c r="N465" s="10">
        <f t="shared" si="7"/>
        <v>18900000</v>
      </c>
      <c r="O465" t="s">
        <v>704</v>
      </c>
    </row>
    <row r="466" spans="1:15" x14ac:dyDescent="0.25">
      <c r="A466" t="s">
        <v>1136</v>
      </c>
      <c r="B466" t="s">
        <v>13</v>
      </c>
      <c r="C466" s="12">
        <v>46041</v>
      </c>
      <c r="D466" s="12">
        <v>46131</v>
      </c>
      <c r="E466" t="s">
        <v>744</v>
      </c>
      <c r="F466" t="s">
        <v>14</v>
      </c>
      <c r="G466">
        <v>1086018206</v>
      </c>
      <c r="H466" t="s">
        <v>922</v>
      </c>
      <c r="I466">
        <v>43624414</v>
      </c>
      <c r="J466" t="s">
        <v>14</v>
      </c>
      <c r="K466" t="s">
        <v>18</v>
      </c>
      <c r="L466" s="42">
        <v>0</v>
      </c>
      <c r="M466" s="10">
        <v>23400000</v>
      </c>
      <c r="N466" s="10">
        <f t="shared" si="7"/>
        <v>23400000</v>
      </c>
      <c r="O466" t="s">
        <v>704</v>
      </c>
    </row>
    <row r="467" spans="1:15" x14ac:dyDescent="0.25">
      <c r="A467" t="s">
        <v>1137</v>
      </c>
      <c r="B467" t="s">
        <v>13</v>
      </c>
      <c r="C467" s="12">
        <v>46041</v>
      </c>
      <c r="D467" s="12">
        <v>46192</v>
      </c>
      <c r="E467" t="s">
        <v>744</v>
      </c>
      <c r="F467" t="s">
        <v>14</v>
      </c>
      <c r="G467">
        <v>36950073</v>
      </c>
      <c r="H467" t="s">
        <v>445</v>
      </c>
      <c r="I467">
        <v>98390119</v>
      </c>
      <c r="J467" t="s">
        <v>14</v>
      </c>
      <c r="K467" t="s">
        <v>63</v>
      </c>
      <c r="L467" s="42">
        <v>0</v>
      </c>
      <c r="M467" s="10">
        <v>23650000</v>
      </c>
      <c r="N467" s="10">
        <f t="shared" si="7"/>
        <v>23650000</v>
      </c>
      <c r="O467" t="s">
        <v>704</v>
      </c>
    </row>
    <row r="468" spans="1:15" x14ac:dyDescent="0.25">
      <c r="A468" t="s">
        <v>1138</v>
      </c>
      <c r="B468" t="s">
        <v>13</v>
      </c>
      <c r="C468" s="12">
        <v>46041</v>
      </c>
      <c r="D468" s="12">
        <v>46192</v>
      </c>
      <c r="E468" t="s">
        <v>775</v>
      </c>
      <c r="F468" t="s">
        <v>14</v>
      </c>
      <c r="G468">
        <v>1193383314</v>
      </c>
      <c r="H468" t="s">
        <v>122</v>
      </c>
      <c r="I468">
        <v>98390119</v>
      </c>
      <c r="J468" t="s">
        <v>14</v>
      </c>
      <c r="K468" t="s">
        <v>63</v>
      </c>
      <c r="L468" s="42">
        <v>0</v>
      </c>
      <c r="M468" s="10">
        <v>31500000</v>
      </c>
      <c r="N468" s="10">
        <f t="shared" si="7"/>
        <v>31500000</v>
      </c>
      <c r="O468" t="s">
        <v>704</v>
      </c>
    </row>
    <row r="469" spans="1:15" x14ac:dyDescent="0.25">
      <c r="A469" t="s">
        <v>1139</v>
      </c>
      <c r="B469" t="s">
        <v>13</v>
      </c>
      <c r="C469" s="12">
        <v>46041</v>
      </c>
      <c r="D469" s="12">
        <v>46072</v>
      </c>
      <c r="E469" t="s">
        <v>775</v>
      </c>
      <c r="F469" t="s">
        <v>14</v>
      </c>
      <c r="G469">
        <v>1085246134</v>
      </c>
      <c r="H469" t="s">
        <v>691</v>
      </c>
      <c r="I469">
        <v>98390119</v>
      </c>
      <c r="J469" t="s">
        <v>14</v>
      </c>
      <c r="K469" t="s">
        <v>63</v>
      </c>
      <c r="L469" s="42">
        <v>0</v>
      </c>
      <c r="M469" s="10">
        <v>6300000</v>
      </c>
      <c r="N469" s="10">
        <f t="shared" si="7"/>
        <v>6300000</v>
      </c>
      <c r="O469" t="s">
        <v>704</v>
      </c>
    </row>
    <row r="470" spans="1:15" x14ac:dyDescent="0.25">
      <c r="A470" t="s">
        <v>1140</v>
      </c>
      <c r="B470" t="s">
        <v>13</v>
      </c>
      <c r="C470" s="12">
        <v>46041</v>
      </c>
      <c r="D470" s="12">
        <v>46072</v>
      </c>
      <c r="E470" t="s">
        <v>744</v>
      </c>
      <c r="F470" t="s">
        <v>14</v>
      </c>
      <c r="G470">
        <v>1022426162</v>
      </c>
      <c r="H470" t="s">
        <v>366</v>
      </c>
      <c r="I470">
        <v>98333941</v>
      </c>
      <c r="J470" t="s">
        <v>14</v>
      </c>
      <c r="K470" t="s">
        <v>15</v>
      </c>
      <c r="L470" s="42">
        <v>0</v>
      </c>
      <c r="M470" s="10">
        <v>7800000</v>
      </c>
      <c r="N470" s="10">
        <f t="shared" si="7"/>
        <v>7800000</v>
      </c>
      <c r="O470" t="s">
        <v>704</v>
      </c>
    </row>
    <row r="471" spans="1:15" x14ac:dyDescent="0.25">
      <c r="A471" t="s">
        <v>1141</v>
      </c>
      <c r="B471" t="s">
        <v>13</v>
      </c>
      <c r="C471" s="12">
        <v>46041</v>
      </c>
      <c r="D471" s="12">
        <v>46131</v>
      </c>
      <c r="E471" t="s">
        <v>775</v>
      </c>
      <c r="F471" t="s">
        <v>14</v>
      </c>
      <c r="G471">
        <v>1086224204</v>
      </c>
      <c r="H471" t="s">
        <v>451</v>
      </c>
      <c r="I471">
        <v>98333941</v>
      </c>
      <c r="J471" t="s">
        <v>14</v>
      </c>
      <c r="K471" t="s">
        <v>15</v>
      </c>
      <c r="L471" s="42">
        <v>0</v>
      </c>
      <c r="M471" s="10">
        <v>9450000</v>
      </c>
      <c r="N471" s="10">
        <f t="shared" si="7"/>
        <v>9450000</v>
      </c>
      <c r="O471" t="s">
        <v>704</v>
      </c>
    </row>
    <row r="472" spans="1:15" x14ac:dyDescent="0.25">
      <c r="A472" t="s">
        <v>1142</v>
      </c>
      <c r="B472" t="s">
        <v>13</v>
      </c>
      <c r="C472" s="12">
        <v>46041</v>
      </c>
      <c r="D472" s="12">
        <v>46192</v>
      </c>
      <c r="E472" t="s">
        <v>775</v>
      </c>
      <c r="F472" t="s">
        <v>14</v>
      </c>
      <c r="G472">
        <v>1082748032</v>
      </c>
      <c r="H472" t="s">
        <v>548</v>
      </c>
      <c r="I472">
        <v>98333941</v>
      </c>
      <c r="J472" t="s">
        <v>14</v>
      </c>
      <c r="K472" t="s">
        <v>15</v>
      </c>
      <c r="L472" s="42">
        <v>0</v>
      </c>
      <c r="M472" s="10">
        <v>15750000</v>
      </c>
      <c r="N472" s="10">
        <f t="shared" si="7"/>
        <v>15750000</v>
      </c>
      <c r="O472" t="s">
        <v>704</v>
      </c>
    </row>
    <row r="473" spans="1:15" x14ac:dyDescent="0.25">
      <c r="A473" t="s">
        <v>1143</v>
      </c>
      <c r="B473" t="s">
        <v>13</v>
      </c>
      <c r="C473" s="12">
        <v>46041</v>
      </c>
      <c r="D473" s="12">
        <v>46072</v>
      </c>
      <c r="E473" t="s">
        <v>775</v>
      </c>
      <c r="F473" t="s">
        <v>14</v>
      </c>
      <c r="G473">
        <v>59122805</v>
      </c>
      <c r="H473" t="s">
        <v>463</v>
      </c>
      <c r="I473">
        <v>98333941</v>
      </c>
      <c r="J473" t="s">
        <v>14</v>
      </c>
      <c r="K473" t="s">
        <v>15</v>
      </c>
      <c r="L473" s="42">
        <v>0</v>
      </c>
      <c r="M473" s="10">
        <v>3150000</v>
      </c>
      <c r="N473" s="10">
        <f t="shared" si="7"/>
        <v>3150000</v>
      </c>
      <c r="O473" t="s">
        <v>704</v>
      </c>
    </row>
    <row r="474" spans="1:15" x14ac:dyDescent="0.25">
      <c r="A474" t="s">
        <v>1144</v>
      </c>
      <c r="B474" t="s">
        <v>13</v>
      </c>
      <c r="C474" s="12">
        <v>46041</v>
      </c>
      <c r="D474" s="12">
        <v>46131</v>
      </c>
      <c r="E474" t="s">
        <v>744</v>
      </c>
      <c r="F474" t="s">
        <v>14</v>
      </c>
      <c r="G474">
        <v>12961407</v>
      </c>
      <c r="H474" t="s">
        <v>473</v>
      </c>
      <c r="I474">
        <v>43624414</v>
      </c>
      <c r="J474" t="s">
        <v>14</v>
      </c>
      <c r="K474" t="s">
        <v>18</v>
      </c>
      <c r="L474" s="42">
        <v>0</v>
      </c>
      <c r="M474" s="10">
        <v>23400000</v>
      </c>
      <c r="N474" s="10">
        <f t="shared" si="7"/>
        <v>23400000</v>
      </c>
      <c r="O474" t="s">
        <v>704</v>
      </c>
    </row>
    <row r="475" spans="1:15" x14ac:dyDescent="0.25">
      <c r="A475" t="s">
        <v>1145</v>
      </c>
      <c r="B475" t="s">
        <v>13</v>
      </c>
      <c r="C475" s="12">
        <v>46041</v>
      </c>
      <c r="D475" s="12">
        <v>46131</v>
      </c>
      <c r="E475" t="s">
        <v>775</v>
      </c>
      <c r="F475" t="s">
        <v>14</v>
      </c>
      <c r="G475">
        <v>1081052779</v>
      </c>
      <c r="H475" t="s">
        <v>662</v>
      </c>
      <c r="I475">
        <v>98390119</v>
      </c>
      <c r="J475" t="s">
        <v>14</v>
      </c>
      <c r="K475" t="s">
        <v>63</v>
      </c>
      <c r="L475" s="42">
        <v>0</v>
      </c>
      <c r="M475" s="10">
        <v>9450000</v>
      </c>
      <c r="N475" s="10">
        <f t="shared" si="7"/>
        <v>9450000</v>
      </c>
      <c r="O475" t="s">
        <v>704</v>
      </c>
    </row>
    <row r="476" spans="1:15" x14ac:dyDescent="0.25">
      <c r="A476" t="s">
        <v>1146</v>
      </c>
      <c r="B476" t="s">
        <v>13</v>
      </c>
      <c r="C476" s="12">
        <v>46041</v>
      </c>
      <c r="D476" s="12">
        <v>46072</v>
      </c>
      <c r="E476" t="s">
        <v>744</v>
      </c>
      <c r="F476" t="s">
        <v>14</v>
      </c>
      <c r="G476">
        <v>1085331301</v>
      </c>
      <c r="H476" t="s">
        <v>673</v>
      </c>
      <c r="I476">
        <v>43624414</v>
      </c>
      <c r="J476" t="s">
        <v>14</v>
      </c>
      <c r="K476" t="s">
        <v>18</v>
      </c>
      <c r="L476" s="42">
        <v>0</v>
      </c>
      <c r="M476" s="10">
        <v>4730000</v>
      </c>
      <c r="N476" s="10">
        <f t="shared" si="7"/>
        <v>4730000</v>
      </c>
      <c r="O476" t="s">
        <v>704</v>
      </c>
    </row>
    <row r="477" spans="1:15" x14ac:dyDescent="0.25">
      <c r="A477" t="s">
        <v>1147</v>
      </c>
      <c r="B477" t="s">
        <v>13</v>
      </c>
      <c r="C477" s="12">
        <v>46041</v>
      </c>
      <c r="D477" s="12">
        <v>46131</v>
      </c>
      <c r="E477" t="s">
        <v>775</v>
      </c>
      <c r="F477" t="s">
        <v>14</v>
      </c>
      <c r="G477">
        <v>1085347312</v>
      </c>
      <c r="H477" t="s">
        <v>126</v>
      </c>
      <c r="I477">
        <v>98333941</v>
      </c>
      <c r="J477" t="s">
        <v>14</v>
      </c>
      <c r="K477" t="s">
        <v>15</v>
      </c>
      <c r="L477" s="42">
        <v>0</v>
      </c>
      <c r="M477" s="10">
        <v>18900000</v>
      </c>
      <c r="N477" s="10">
        <f t="shared" si="7"/>
        <v>18900000</v>
      </c>
      <c r="O477" t="s">
        <v>704</v>
      </c>
    </row>
    <row r="478" spans="1:15" x14ac:dyDescent="0.25">
      <c r="A478" t="s">
        <v>1148</v>
      </c>
      <c r="B478" t="s">
        <v>13</v>
      </c>
      <c r="C478" s="12">
        <v>46041</v>
      </c>
      <c r="D478" s="12">
        <v>46072</v>
      </c>
      <c r="E478" t="s">
        <v>775</v>
      </c>
      <c r="F478" t="s">
        <v>14</v>
      </c>
      <c r="G478">
        <v>1053793750</v>
      </c>
      <c r="H478" t="s">
        <v>261</v>
      </c>
      <c r="I478">
        <v>98333941</v>
      </c>
      <c r="J478" t="s">
        <v>14</v>
      </c>
      <c r="K478" t="s">
        <v>15</v>
      </c>
      <c r="L478" s="42">
        <v>0</v>
      </c>
      <c r="M478" s="10">
        <v>6300000</v>
      </c>
      <c r="N478" s="10">
        <f t="shared" si="7"/>
        <v>6300000</v>
      </c>
      <c r="O478" t="s">
        <v>704</v>
      </c>
    </row>
    <row r="479" spans="1:15" x14ac:dyDescent="0.25">
      <c r="A479" t="s">
        <v>1149</v>
      </c>
      <c r="B479" t="s">
        <v>13</v>
      </c>
      <c r="C479" s="12">
        <v>46041</v>
      </c>
      <c r="D479" s="12">
        <v>46131</v>
      </c>
      <c r="E479" t="s">
        <v>744</v>
      </c>
      <c r="F479" t="s">
        <v>14</v>
      </c>
      <c r="G479">
        <v>1193202097</v>
      </c>
      <c r="H479" t="s">
        <v>43</v>
      </c>
      <c r="I479">
        <v>43624414</v>
      </c>
      <c r="J479" t="s">
        <v>14</v>
      </c>
      <c r="K479" t="s">
        <v>18</v>
      </c>
      <c r="L479" s="42">
        <v>7800000</v>
      </c>
      <c r="M479" s="10">
        <v>23400000</v>
      </c>
      <c r="N479" s="10">
        <f t="shared" si="7"/>
        <v>15600000</v>
      </c>
      <c r="O479" t="s">
        <v>704</v>
      </c>
    </row>
    <row r="480" spans="1:15" x14ac:dyDescent="0.25">
      <c r="A480" t="s">
        <v>1150</v>
      </c>
      <c r="B480" t="s">
        <v>13</v>
      </c>
      <c r="C480" s="12">
        <v>46041</v>
      </c>
      <c r="D480" s="12">
        <v>46131</v>
      </c>
      <c r="E480" t="s">
        <v>775</v>
      </c>
      <c r="F480" t="s">
        <v>14</v>
      </c>
      <c r="G480">
        <v>59837608</v>
      </c>
      <c r="H480" t="s">
        <v>47</v>
      </c>
      <c r="I480">
        <v>98333941</v>
      </c>
      <c r="J480" t="s">
        <v>14</v>
      </c>
      <c r="K480" t="s">
        <v>15</v>
      </c>
      <c r="L480" s="42">
        <v>0</v>
      </c>
      <c r="M480" s="10">
        <v>18900000</v>
      </c>
      <c r="N480" s="10">
        <f t="shared" si="7"/>
        <v>18900000</v>
      </c>
      <c r="O480" t="s">
        <v>704</v>
      </c>
    </row>
    <row r="481" spans="1:15" x14ac:dyDescent="0.25">
      <c r="A481" t="s">
        <v>1151</v>
      </c>
      <c r="B481" t="s">
        <v>13</v>
      </c>
      <c r="C481" s="12">
        <v>46041</v>
      </c>
      <c r="D481" s="12">
        <v>46192</v>
      </c>
      <c r="E481" t="s">
        <v>775</v>
      </c>
      <c r="F481" t="s">
        <v>14</v>
      </c>
      <c r="G481">
        <v>1193405962</v>
      </c>
      <c r="H481" t="s">
        <v>485</v>
      </c>
      <c r="I481">
        <v>59836926</v>
      </c>
      <c r="J481" t="s">
        <v>14</v>
      </c>
      <c r="K481" t="s">
        <v>17</v>
      </c>
      <c r="L481" s="42">
        <v>0</v>
      </c>
      <c r="M481" s="10">
        <v>15750000</v>
      </c>
      <c r="N481" s="10">
        <f t="shared" si="7"/>
        <v>15750000</v>
      </c>
      <c r="O481" t="s">
        <v>704</v>
      </c>
    </row>
    <row r="482" spans="1:15" x14ac:dyDescent="0.25">
      <c r="A482" t="s">
        <v>1152</v>
      </c>
      <c r="B482" t="s">
        <v>13</v>
      </c>
      <c r="C482" s="12">
        <v>46041</v>
      </c>
      <c r="D482" s="12">
        <v>46192</v>
      </c>
      <c r="E482" t="s">
        <v>775</v>
      </c>
      <c r="F482" t="s">
        <v>14</v>
      </c>
      <c r="G482">
        <v>1081053820</v>
      </c>
      <c r="H482" t="s">
        <v>652</v>
      </c>
      <c r="I482">
        <v>98333941</v>
      </c>
      <c r="J482" t="s">
        <v>14</v>
      </c>
      <c r="K482" t="s">
        <v>15</v>
      </c>
      <c r="L482" s="42">
        <v>0</v>
      </c>
      <c r="M482" s="10">
        <v>15750000</v>
      </c>
      <c r="N482" s="10">
        <f t="shared" si="7"/>
        <v>15750000</v>
      </c>
      <c r="O482" t="s">
        <v>704</v>
      </c>
    </row>
    <row r="483" spans="1:15" x14ac:dyDescent="0.25">
      <c r="A483" t="s">
        <v>1153</v>
      </c>
      <c r="B483" t="s">
        <v>13</v>
      </c>
      <c r="C483" s="12">
        <v>46041</v>
      </c>
      <c r="D483" s="12">
        <v>46072</v>
      </c>
      <c r="E483" t="s">
        <v>775</v>
      </c>
      <c r="F483" t="s">
        <v>14</v>
      </c>
      <c r="G483">
        <v>1085246674</v>
      </c>
      <c r="H483" t="s">
        <v>240</v>
      </c>
      <c r="I483">
        <v>43624414</v>
      </c>
      <c r="J483" t="s">
        <v>14</v>
      </c>
      <c r="K483" t="s">
        <v>18</v>
      </c>
      <c r="L483" s="42">
        <v>3150000</v>
      </c>
      <c r="M483" s="10">
        <v>3150000</v>
      </c>
      <c r="N483" s="10">
        <f t="shared" si="7"/>
        <v>0</v>
      </c>
      <c r="O483" t="s">
        <v>704</v>
      </c>
    </row>
    <row r="484" spans="1:15" x14ac:dyDescent="0.25">
      <c r="A484" t="s">
        <v>1154</v>
      </c>
      <c r="B484" t="s">
        <v>13</v>
      </c>
      <c r="C484" s="12">
        <v>46041</v>
      </c>
      <c r="D484" s="12">
        <v>46072</v>
      </c>
      <c r="E484" t="s">
        <v>775</v>
      </c>
      <c r="F484" t="s">
        <v>14</v>
      </c>
      <c r="G484">
        <v>1085315209</v>
      </c>
      <c r="H484" t="s">
        <v>643</v>
      </c>
      <c r="I484">
        <v>43624414</v>
      </c>
      <c r="J484" t="s">
        <v>14</v>
      </c>
      <c r="K484" t="s">
        <v>18</v>
      </c>
      <c r="L484" s="42">
        <v>3150000</v>
      </c>
      <c r="M484" s="10">
        <v>3150000</v>
      </c>
      <c r="N484" s="10">
        <f t="shared" si="7"/>
        <v>0</v>
      </c>
      <c r="O484" t="s">
        <v>704</v>
      </c>
    </row>
    <row r="485" spans="1:15" x14ac:dyDescent="0.25">
      <c r="A485" t="s">
        <v>1155</v>
      </c>
      <c r="B485" t="s">
        <v>13</v>
      </c>
      <c r="C485" s="12">
        <v>46041</v>
      </c>
      <c r="D485" s="12">
        <v>46072</v>
      </c>
      <c r="E485" t="s">
        <v>775</v>
      </c>
      <c r="F485" t="s">
        <v>14</v>
      </c>
      <c r="G485">
        <v>1004437571</v>
      </c>
      <c r="H485" t="s">
        <v>381</v>
      </c>
      <c r="I485">
        <v>43624414</v>
      </c>
      <c r="J485" t="s">
        <v>14</v>
      </c>
      <c r="K485" t="s">
        <v>18</v>
      </c>
      <c r="L485" s="42">
        <v>0</v>
      </c>
      <c r="M485" s="10">
        <v>3150000</v>
      </c>
      <c r="N485" s="10">
        <f t="shared" si="7"/>
        <v>3150000</v>
      </c>
      <c r="O485" t="s">
        <v>704</v>
      </c>
    </row>
    <row r="486" spans="1:15" x14ac:dyDescent="0.25">
      <c r="A486" t="s">
        <v>1156</v>
      </c>
      <c r="B486" t="s">
        <v>13</v>
      </c>
      <c r="C486" s="12">
        <v>46042</v>
      </c>
      <c r="D486" s="12">
        <v>46132</v>
      </c>
      <c r="E486" t="s">
        <v>775</v>
      </c>
      <c r="F486" t="s">
        <v>14</v>
      </c>
      <c r="G486">
        <v>36950892</v>
      </c>
      <c r="H486" t="s">
        <v>683</v>
      </c>
      <c r="I486">
        <v>59836926</v>
      </c>
      <c r="J486" t="s">
        <v>14</v>
      </c>
      <c r="K486" t="s">
        <v>17</v>
      </c>
      <c r="L486" s="42">
        <v>3150000</v>
      </c>
      <c r="M486" s="10">
        <v>9450000</v>
      </c>
      <c r="N486" s="10">
        <f t="shared" si="7"/>
        <v>6300000</v>
      </c>
      <c r="O486" t="s">
        <v>704</v>
      </c>
    </row>
    <row r="487" spans="1:15" x14ac:dyDescent="0.25">
      <c r="A487" t="s">
        <v>1157</v>
      </c>
      <c r="B487" t="s">
        <v>13</v>
      </c>
      <c r="C487" s="12">
        <v>46042</v>
      </c>
      <c r="D487" s="12">
        <v>46073</v>
      </c>
      <c r="E487" t="s">
        <v>744</v>
      </c>
      <c r="F487" t="s">
        <v>14</v>
      </c>
      <c r="G487">
        <v>1088734182</v>
      </c>
      <c r="H487" t="s">
        <v>565</v>
      </c>
      <c r="I487">
        <v>98333941</v>
      </c>
      <c r="J487" t="s">
        <v>14</v>
      </c>
      <c r="K487" t="s">
        <v>15</v>
      </c>
      <c r="L487" s="42">
        <v>0</v>
      </c>
      <c r="M487" s="10">
        <v>7800000</v>
      </c>
      <c r="N487" s="10">
        <f t="shared" si="7"/>
        <v>7800000</v>
      </c>
      <c r="O487" t="s">
        <v>704</v>
      </c>
    </row>
    <row r="488" spans="1:15" x14ac:dyDescent="0.25">
      <c r="A488" t="s">
        <v>1158</v>
      </c>
      <c r="B488" t="s">
        <v>13</v>
      </c>
      <c r="C488" s="12">
        <v>46042</v>
      </c>
      <c r="D488" s="12">
        <v>46193</v>
      </c>
      <c r="E488" t="s">
        <v>775</v>
      </c>
      <c r="F488" t="s">
        <v>14</v>
      </c>
      <c r="G488">
        <v>1087006717</v>
      </c>
      <c r="H488" t="s">
        <v>42</v>
      </c>
      <c r="I488">
        <v>59836926</v>
      </c>
      <c r="J488" t="s">
        <v>14</v>
      </c>
      <c r="K488" t="s">
        <v>17</v>
      </c>
      <c r="L488" s="42">
        <v>3150000</v>
      </c>
      <c r="M488" s="10">
        <v>15750000</v>
      </c>
      <c r="N488" s="10">
        <f t="shared" si="7"/>
        <v>12600000</v>
      </c>
      <c r="O488" t="s">
        <v>704</v>
      </c>
    </row>
    <row r="489" spans="1:15" x14ac:dyDescent="0.25">
      <c r="A489" t="s">
        <v>1159</v>
      </c>
      <c r="B489" t="s">
        <v>13</v>
      </c>
      <c r="C489" s="12">
        <v>46042</v>
      </c>
      <c r="D489" s="12">
        <v>46132</v>
      </c>
      <c r="E489" t="s">
        <v>775</v>
      </c>
      <c r="F489" t="s">
        <v>14</v>
      </c>
      <c r="G489">
        <v>1086018841</v>
      </c>
      <c r="H489" t="s">
        <v>161</v>
      </c>
      <c r="I489">
        <v>43624414</v>
      </c>
      <c r="J489" t="s">
        <v>14</v>
      </c>
      <c r="K489" t="s">
        <v>18</v>
      </c>
      <c r="L489" s="42">
        <v>0</v>
      </c>
      <c r="M489" s="10">
        <v>9450000</v>
      </c>
      <c r="N489" s="10">
        <f t="shared" si="7"/>
        <v>9450000</v>
      </c>
      <c r="O489" t="s">
        <v>704</v>
      </c>
    </row>
    <row r="490" spans="1:15" x14ac:dyDescent="0.25">
      <c r="A490" t="s">
        <v>1160</v>
      </c>
      <c r="B490" t="s">
        <v>13</v>
      </c>
      <c r="C490" s="12">
        <v>46042</v>
      </c>
      <c r="D490" s="12">
        <v>46193</v>
      </c>
      <c r="E490" t="s">
        <v>744</v>
      </c>
      <c r="F490" t="s">
        <v>14</v>
      </c>
      <c r="G490">
        <v>1084552063</v>
      </c>
      <c r="H490" t="s">
        <v>327</v>
      </c>
      <c r="I490">
        <v>98333941</v>
      </c>
      <c r="J490" t="s">
        <v>14</v>
      </c>
      <c r="K490" t="s">
        <v>15</v>
      </c>
      <c r="L490" s="42">
        <v>0</v>
      </c>
      <c r="M490" s="10">
        <v>39000000</v>
      </c>
      <c r="N490" s="10">
        <f t="shared" si="7"/>
        <v>39000000</v>
      </c>
      <c r="O490" t="s">
        <v>704</v>
      </c>
    </row>
    <row r="491" spans="1:15" x14ac:dyDescent="0.25">
      <c r="A491" t="s">
        <v>1161</v>
      </c>
      <c r="B491" t="s">
        <v>13</v>
      </c>
      <c r="C491" s="12">
        <v>46042</v>
      </c>
      <c r="D491" s="12">
        <v>46132</v>
      </c>
      <c r="E491" t="s">
        <v>775</v>
      </c>
      <c r="F491" t="s">
        <v>14</v>
      </c>
      <c r="H491" t="s">
        <v>443</v>
      </c>
      <c r="I491">
        <v>43624414</v>
      </c>
      <c r="J491" t="s">
        <v>14</v>
      </c>
      <c r="K491" t="s">
        <v>18</v>
      </c>
      <c r="L491" s="42">
        <v>0</v>
      </c>
      <c r="M491" s="10">
        <v>9450000</v>
      </c>
      <c r="N491" s="10">
        <f t="shared" si="7"/>
        <v>9450000</v>
      </c>
      <c r="O491" t="s">
        <v>704</v>
      </c>
    </row>
    <row r="492" spans="1:15" x14ac:dyDescent="0.25">
      <c r="A492" t="s">
        <v>1162</v>
      </c>
      <c r="B492" t="s">
        <v>13</v>
      </c>
      <c r="C492" s="12">
        <v>46042</v>
      </c>
      <c r="D492" s="12">
        <v>46132</v>
      </c>
      <c r="E492" t="s">
        <v>775</v>
      </c>
      <c r="F492" t="s">
        <v>14</v>
      </c>
      <c r="G492">
        <v>1085324685</v>
      </c>
      <c r="H492" t="s">
        <v>312</v>
      </c>
      <c r="I492">
        <v>43624414</v>
      </c>
      <c r="J492" t="s">
        <v>14</v>
      </c>
      <c r="K492" t="s">
        <v>18</v>
      </c>
      <c r="L492" s="42">
        <v>3150000</v>
      </c>
      <c r="M492" s="10">
        <v>9450000</v>
      </c>
      <c r="N492" s="10">
        <f t="shared" si="7"/>
        <v>6300000</v>
      </c>
      <c r="O492" t="s">
        <v>704</v>
      </c>
    </row>
    <row r="493" spans="1:15" x14ac:dyDescent="0.25">
      <c r="A493" t="s">
        <v>1163</v>
      </c>
      <c r="B493" t="s">
        <v>13</v>
      </c>
      <c r="C493" s="12">
        <v>46042</v>
      </c>
      <c r="D493" s="12">
        <v>46132</v>
      </c>
      <c r="E493" t="s">
        <v>775</v>
      </c>
      <c r="F493" t="s">
        <v>14</v>
      </c>
      <c r="G493">
        <v>1080041553</v>
      </c>
      <c r="H493" t="s">
        <v>331</v>
      </c>
      <c r="I493">
        <v>98390119</v>
      </c>
      <c r="J493" t="s">
        <v>14</v>
      </c>
      <c r="K493" t="s">
        <v>63</v>
      </c>
      <c r="L493" s="42">
        <v>0</v>
      </c>
      <c r="M493" s="10">
        <v>9450000</v>
      </c>
      <c r="N493" s="10">
        <f t="shared" si="7"/>
        <v>9450000</v>
      </c>
      <c r="O493" t="s">
        <v>704</v>
      </c>
    </row>
    <row r="494" spans="1:15" x14ac:dyDescent="0.25">
      <c r="A494" t="s">
        <v>1164</v>
      </c>
      <c r="B494" t="s">
        <v>13</v>
      </c>
      <c r="C494" s="12">
        <v>46042</v>
      </c>
      <c r="D494" s="12">
        <v>46193</v>
      </c>
      <c r="E494" t="s">
        <v>775</v>
      </c>
      <c r="F494" t="s">
        <v>14</v>
      </c>
      <c r="G494">
        <v>1086328063</v>
      </c>
      <c r="H494" t="s">
        <v>881</v>
      </c>
      <c r="I494">
        <v>98390119</v>
      </c>
      <c r="J494" t="s">
        <v>14</v>
      </c>
      <c r="K494" t="s">
        <v>63</v>
      </c>
      <c r="L494" s="42">
        <v>0</v>
      </c>
      <c r="M494" s="10">
        <v>15750000</v>
      </c>
      <c r="N494" s="10">
        <f t="shared" si="7"/>
        <v>15750000</v>
      </c>
      <c r="O494" t="s">
        <v>704</v>
      </c>
    </row>
    <row r="495" spans="1:15" x14ac:dyDescent="0.25">
      <c r="A495" t="s">
        <v>1165</v>
      </c>
      <c r="B495" t="s">
        <v>13</v>
      </c>
      <c r="C495" s="12">
        <v>46042</v>
      </c>
      <c r="D495" s="12">
        <v>46132</v>
      </c>
      <c r="E495" t="s">
        <v>775</v>
      </c>
      <c r="F495" t="s">
        <v>14</v>
      </c>
      <c r="G495">
        <v>59310853</v>
      </c>
      <c r="H495" t="s">
        <v>57</v>
      </c>
      <c r="I495">
        <v>43624414</v>
      </c>
      <c r="J495" t="s">
        <v>14</v>
      </c>
      <c r="K495" t="s">
        <v>18</v>
      </c>
      <c r="L495" s="42">
        <v>0</v>
      </c>
      <c r="M495" s="10">
        <v>9450000</v>
      </c>
      <c r="N495" s="10">
        <f t="shared" si="7"/>
        <v>9450000</v>
      </c>
      <c r="O495" t="s">
        <v>704</v>
      </c>
    </row>
    <row r="496" spans="1:15" x14ac:dyDescent="0.25">
      <c r="A496" t="s">
        <v>1166</v>
      </c>
      <c r="B496" t="s">
        <v>13</v>
      </c>
      <c r="C496" s="12">
        <v>46042</v>
      </c>
      <c r="D496" s="12">
        <v>46132</v>
      </c>
      <c r="E496" t="s">
        <v>775</v>
      </c>
      <c r="F496" t="s">
        <v>14</v>
      </c>
      <c r="G496">
        <v>1086330124</v>
      </c>
      <c r="H496" t="s">
        <v>348</v>
      </c>
      <c r="I496">
        <v>98333941</v>
      </c>
      <c r="J496" t="s">
        <v>14</v>
      </c>
      <c r="K496" t="s">
        <v>15</v>
      </c>
      <c r="L496" s="42">
        <v>0</v>
      </c>
      <c r="M496" s="10">
        <v>9450000</v>
      </c>
      <c r="N496" s="10">
        <f t="shared" si="7"/>
        <v>9450000</v>
      </c>
      <c r="O496" t="s">
        <v>704</v>
      </c>
    </row>
    <row r="497" spans="1:15" x14ac:dyDescent="0.25">
      <c r="A497" t="s">
        <v>1031</v>
      </c>
      <c r="B497" t="s">
        <v>13</v>
      </c>
      <c r="C497" s="12">
        <v>46042</v>
      </c>
      <c r="D497" s="12">
        <v>46132</v>
      </c>
      <c r="E497" t="s">
        <v>775</v>
      </c>
      <c r="F497" t="s">
        <v>14</v>
      </c>
      <c r="G497">
        <v>1081272656</v>
      </c>
      <c r="H497" t="s">
        <v>664</v>
      </c>
      <c r="I497">
        <v>59836926</v>
      </c>
      <c r="J497" t="s">
        <v>14</v>
      </c>
      <c r="K497" t="s">
        <v>17</v>
      </c>
      <c r="L497" s="42">
        <v>3150000</v>
      </c>
      <c r="M497" s="10">
        <v>9450000</v>
      </c>
      <c r="N497" s="10">
        <f t="shared" si="7"/>
        <v>6300000</v>
      </c>
      <c r="O497" t="s">
        <v>704</v>
      </c>
    </row>
    <row r="498" spans="1:15" x14ac:dyDescent="0.25">
      <c r="A498" t="s">
        <v>1167</v>
      </c>
      <c r="B498" t="s">
        <v>13</v>
      </c>
      <c r="C498" s="12">
        <v>46042</v>
      </c>
      <c r="D498" s="12">
        <v>46193</v>
      </c>
      <c r="E498" t="s">
        <v>775</v>
      </c>
      <c r="F498" t="s">
        <v>14</v>
      </c>
      <c r="G498">
        <v>27388522</v>
      </c>
      <c r="H498" t="s">
        <v>38</v>
      </c>
      <c r="I498">
        <v>59836926</v>
      </c>
      <c r="J498" t="s">
        <v>14</v>
      </c>
      <c r="K498" t="s">
        <v>17</v>
      </c>
      <c r="L498" s="42">
        <v>0</v>
      </c>
      <c r="M498" s="10">
        <v>15750000</v>
      </c>
      <c r="N498" s="10">
        <f t="shared" si="7"/>
        <v>15750000</v>
      </c>
      <c r="O498" t="s">
        <v>704</v>
      </c>
    </row>
    <row r="499" spans="1:15" x14ac:dyDescent="0.25">
      <c r="A499" t="s">
        <v>1168</v>
      </c>
      <c r="B499" t="s">
        <v>13</v>
      </c>
      <c r="C499" s="12">
        <v>46042</v>
      </c>
      <c r="D499" s="12">
        <v>46073</v>
      </c>
      <c r="E499" t="s">
        <v>775</v>
      </c>
      <c r="F499" t="s">
        <v>14</v>
      </c>
      <c r="G499">
        <v>59834953</v>
      </c>
      <c r="H499" t="s">
        <v>35</v>
      </c>
      <c r="I499">
        <v>98390119</v>
      </c>
      <c r="J499" t="s">
        <v>14</v>
      </c>
      <c r="K499" t="s">
        <v>63</v>
      </c>
      <c r="L499" s="42">
        <v>0</v>
      </c>
      <c r="M499" s="10">
        <v>3150000</v>
      </c>
      <c r="N499" s="10">
        <f t="shared" si="7"/>
        <v>3150000</v>
      </c>
      <c r="O499" t="s">
        <v>704</v>
      </c>
    </row>
    <row r="500" spans="1:15" x14ac:dyDescent="0.25">
      <c r="A500" t="s">
        <v>1169</v>
      </c>
      <c r="B500" t="s">
        <v>13</v>
      </c>
      <c r="C500" s="12">
        <v>46042</v>
      </c>
      <c r="D500" s="12">
        <v>46073</v>
      </c>
      <c r="E500" t="s">
        <v>744</v>
      </c>
      <c r="F500" t="s">
        <v>14</v>
      </c>
      <c r="G500">
        <v>1233188295</v>
      </c>
      <c r="H500" t="s">
        <v>358</v>
      </c>
      <c r="I500">
        <v>98390119</v>
      </c>
      <c r="J500" t="s">
        <v>14</v>
      </c>
      <c r="K500" t="s">
        <v>63</v>
      </c>
      <c r="L500" s="42">
        <v>0</v>
      </c>
      <c r="M500" s="10">
        <v>7800000</v>
      </c>
      <c r="N500" s="10">
        <f t="shared" si="7"/>
        <v>7800000</v>
      </c>
      <c r="O500" t="s">
        <v>704</v>
      </c>
    </row>
    <row r="501" spans="1:15" x14ac:dyDescent="0.25">
      <c r="A501" t="s">
        <v>1170</v>
      </c>
      <c r="B501" t="s">
        <v>13</v>
      </c>
      <c r="C501" s="12">
        <v>46042</v>
      </c>
      <c r="D501" s="12">
        <v>46073</v>
      </c>
      <c r="E501" t="s">
        <v>775</v>
      </c>
      <c r="F501" t="s">
        <v>14</v>
      </c>
      <c r="G501">
        <v>59830040</v>
      </c>
      <c r="H501" t="s">
        <v>76</v>
      </c>
      <c r="I501">
        <v>59836926</v>
      </c>
      <c r="J501" t="s">
        <v>14</v>
      </c>
      <c r="K501" t="s">
        <v>17</v>
      </c>
      <c r="L501" s="42">
        <v>0</v>
      </c>
      <c r="M501" s="10">
        <v>3150000</v>
      </c>
      <c r="N501" s="10">
        <f t="shared" si="7"/>
        <v>3150000</v>
      </c>
      <c r="O501" t="s">
        <v>704</v>
      </c>
    </row>
    <row r="502" spans="1:15" x14ac:dyDescent="0.25">
      <c r="A502" t="s">
        <v>1020</v>
      </c>
      <c r="B502" t="s">
        <v>13</v>
      </c>
      <c r="C502" s="12">
        <v>46042</v>
      </c>
      <c r="D502" s="12">
        <v>46193</v>
      </c>
      <c r="E502" t="s">
        <v>775</v>
      </c>
      <c r="F502" t="s">
        <v>14</v>
      </c>
      <c r="G502">
        <v>1082749295</v>
      </c>
      <c r="H502" t="s">
        <v>538</v>
      </c>
      <c r="I502">
        <v>98333941</v>
      </c>
      <c r="J502" t="s">
        <v>14</v>
      </c>
      <c r="K502" t="s">
        <v>15</v>
      </c>
      <c r="L502" s="42">
        <v>3150000</v>
      </c>
      <c r="M502" s="10">
        <v>15750000</v>
      </c>
      <c r="N502" s="10">
        <f t="shared" si="7"/>
        <v>12600000</v>
      </c>
      <c r="O502" t="s">
        <v>704</v>
      </c>
    </row>
    <row r="503" spans="1:15" x14ac:dyDescent="0.25">
      <c r="A503" t="s">
        <v>1171</v>
      </c>
      <c r="B503" t="s">
        <v>13</v>
      </c>
      <c r="C503" s="12">
        <v>46042</v>
      </c>
      <c r="D503" s="12">
        <v>46132</v>
      </c>
      <c r="E503" t="s">
        <v>775</v>
      </c>
      <c r="F503" t="s">
        <v>14</v>
      </c>
      <c r="G503">
        <v>59313711</v>
      </c>
      <c r="H503" t="s">
        <v>231</v>
      </c>
      <c r="I503">
        <v>98333941</v>
      </c>
      <c r="J503" t="s">
        <v>14</v>
      </c>
      <c r="K503" t="s">
        <v>15</v>
      </c>
      <c r="L503" s="42">
        <v>0</v>
      </c>
      <c r="M503" s="10">
        <v>9450000</v>
      </c>
      <c r="N503" s="10">
        <f t="shared" si="7"/>
        <v>9450000</v>
      </c>
      <c r="O503" t="s">
        <v>704</v>
      </c>
    </row>
    <row r="504" spans="1:15" x14ac:dyDescent="0.25">
      <c r="A504" t="s">
        <v>1172</v>
      </c>
      <c r="B504" t="s">
        <v>13</v>
      </c>
      <c r="C504" s="12">
        <v>46042</v>
      </c>
      <c r="D504" s="12">
        <v>46073</v>
      </c>
      <c r="E504" t="s">
        <v>775</v>
      </c>
      <c r="F504" t="s">
        <v>14</v>
      </c>
      <c r="G504">
        <v>1081572043</v>
      </c>
      <c r="H504" t="s">
        <v>54</v>
      </c>
      <c r="I504">
        <v>59836926</v>
      </c>
      <c r="J504" t="s">
        <v>14</v>
      </c>
      <c r="K504" t="s">
        <v>17</v>
      </c>
      <c r="L504" s="42">
        <v>0</v>
      </c>
      <c r="M504" s="10">
        <v>3150000</v>
      </c>
      <c r="N504" s="10">
        <f t="shared" si="7"/>
        <v>3150000</v>
      </c>
      <c r="O504" t="s">
        <v>704</v>
      </c>
    </row>
    <row r="505" spans="1:15" x14ac:dyDescent="0.25">
      <c r="A505" t="s">
        <v>1173</v>
      </c>
      <c r="B505" t="s">
        <v>13</v>
      </c>
      <c r="C505" s="12">
        <v>46042</v>
      </c>
      <c r="D505" s="12">
        <v>46193</v>
      </c>
      <c r="E505" t="s">
        <v>775</v>
      </c>
      <c r="F505" t="s">
        <v>14</v>
      </c>
      <c r="G505">
        <v>1084552048</v>
      </c>
      <c r="H505" t="s">
        <v>66</v>
      </c>
      <c r="I505">
        <v>98333941</v>
      </c>
      <c r="J505" t="s">
        <v>14</v>
      </c>
      <c r="K505" t="s">
        <v>15</v>
      </c>
      <c r="L505" s="42">
        <v>0</v>
      </c>
      <c r="M505" s="10">
        <v>15750000</v>
      </c>
      <c r="N505" s="10">
        <f t="shared" si="7"/>
        <v>15750000</v>
      </c>
      <c r="O505" t="s">
        <v>704</v>
      </c>
    </row>
    <row r="506" spans="1:15" x14ac:dyDescent="0.25">
      <c r="A506" t="s">
        <v>1174</v>
      </c>
      <c r="B506" t="s">
        <v>13</v>
      </c>
      <c r="C506" s="12">
        <v>46042</v>
      </c>
      <c r="D506" s="12">
        <v>46132</v>
      </c>
      <c r="E506" t="s">
        <v>744</v>
      </c>
      <c r="F506" t="s">
        <v>14</v>
      </c>
      <c r="G506">
        <v>1085335069</v>
      </c>
      <c r="H506" t="s">
        <v>592</v>
      </c>
      <c r="I506">
        <v>98390119</v>
      </c>
      <c r="J506" t="s">
        <v>14</v>
      </c>
      <c r="K506" t="s">
        <v>63</v>
      </c>
      <c r="L506" s="42">
        <v>0</v>
      </c>
      <c r="M506" s="10">
        <v>14190000</v>
      </c>
      <c r="N506" s="10">
        <f t="shared" si="7"/>
        <v>14190000</v>
      </c>
      <c r="O506" t="s">
        <v>704</v>
      </c>
    </row>
    <row r="507" spans="1:15" x14ac:dyDescent="0.25">
      <c r="A507" t="s">
        <v>1175</v>
      </c>
      <c r="B507" t="s">
        <v>13</v>
      </c>
      <c r="C507" s="12">
        <v>46042</v>
      </c>
      <c r="D507" s="12">
        <v>46132</v>
      </c>
      <c r="E507" t="s">
        <v>775</v>
      </c>
      <c r="F507" t="s">
        <v>14</v>
      </c>
      <c r="G507">
        <v>1086222689</v>
      </c>
      <c r="H507" t="s">
        <v>36</v>
      </c>
      <c r="I507">
        <v>59836926</v>
      </c>
      <c r="J507" t="s">
        <v>14</v>
      </c>
      <c r="K507" t="s">
        <v>17</v>
      </c>
      <c r="L507" s="42">
        <v>3150000</v>
      </c>
      <c r="M507" s="10">
        <v>9450000</v>
      </c>
      <c r="N507" s="10">
        <f t="shared" si="7"/>
        <v>6300000</v>
      </c>
      <c r="O507" t="s">
        <v>704</v>
      </c>
    </row>
    <row r="508" spans="1:15" x14ac:dyDescent="0.25">
      <c r="A508" t="s">
        <v>1176</v>
      </c>
      <c r="B508" t="s">
        <v>13</v>
      </c>
      <c r="C508" s="12">
        <v>46042</v>
      </c>
      <c r="D508" s="12">
        <v>46132</v>
      </c>
      <c r="E508" t="s">
        <v>744</v>
      </c>
      <c r="F508" t="s">
        <v>14</v>
      </c>
      <c r="G508">
        <v>1085293619</v>
      </c>
      <c r="H508" t="s">
        <v>420</v>
      </c>
      <c r="I508">
        <v>43624414</v>
      </c>
      <c r="J508" t="s">
        <v>14</v>
      </c>
      <c r="K508" t="s">
        <v>18</v>
      </c>
      <c r="L508" s="42">
        <v>0</v>
      </c>
      <c r="M508" s="10">
        <v>14190000</v>
      </c>
      <c r="N508" s="10">
        <f t="shared" si="7"/>
        <v>14190000</v>
      </c>
      <c r="O508" t="s">
        <v>704</v>
      </c>
    </row>
    <row r="509" spans="1:15" x14ac:dyDescent="0.25">
      <c r="A509" t="s">
        <v>1177</v>
      </c>
      <c r="B509" t="s">
        <v>13</v>
      </c>
      <c r="C509" s="12">
        <v>46042</v>
      </c>
      <c r="D509" s="12">
        <v>46073</v>
      </c>
      <c r="E509" t="s">
        <v>775</v>
      </c>
      <c r="F509" t="s">
        <v>14</v>
      </c>
      <c r="G509">
        <v>1004131976</v>
      </c>
      <c r="H509" t="s">
        <v>291</v>
      </c>
      <c r="I509">
        <v>98390119</v>
      </c>
      <c r="J509" t="s">
        <v>14</v>
      </c>
      <c r="K509" t="s">
        <v>63</v>
      </c>
      <c r="L509" s="42">
        <v>0</v>
      </c>
      <c r="M509" s="10">
        <v>3150000</v>
      </c>
      <c r="N509" s="10">
        <f t="shared" si="7"/>
        <v>3150000</v>
      </c>
      <c r="O509" t="s">
        <v>704</v>
      </c>
    </row>
    <row r="510" spans="1:15" x14ac:dyDescent="0.25">
      <c r="A510" t="s">
        <v>1178</v>
      </c>
      <c r="B510" t="s">
        <v>13</v>
      </c>
      <c r="C510" s="12">
        <v>46042</v>
      </c>
      <c r="D510" s="12">
        <v>46132</v>
      </c>
      <c r="E510" t="s">
        <v>775</v>
      </c>
      <c r="F510" t="s">
        <v>14</v>
      </c>
      <c r="G510">
        <v>1085267332</v>
      </c>
      <c r="H510" t="s">
        <v>873</v>
      </c>
      <c r="I510">
        <v>98333941</v>
      </c>
      <c r="J510" t="s">
        <v>14</v>
      </c>
      <c r="K510" t="s">
        <v>15</v>
      </c>
      <c r="L510" s="42">
        <v>0</v>
      </c>
      <c r="M510" s="10">
        <v>9450000</v>
      </c>
      <c r="N510" s="10">
        <f t="shared" si="7"/>
        <v>9450000</v>
      </c>
      <c r="O510" t="s">
        <v>704</v>
      </c>
    </row>
    <row r="511" spans="1:15" x14ac:dyDescent="0.25">
      <c r="A511" t="s">
        <v>1179</v>
      </c>
      <c r="B511" t="s">
        <v>13</v>
      </c>
      <c r="C511" s="12">
        <v>46043</v>
      </c>
      <c r="D511" s="12">
        <v>46194</v>
      </c>
      <c r="E511" t="s">
        <v>775</v>
      </c>
      <c r="F511" t="s">
        <v>14</v>
      </c>
      <c r="G511">
        <v>36751255</v>
      </c>
      <c r="H511" t="s">
        <v>677</v>
      </c>
      <c r="I511">
        <v>98390119</v>
      </c>
      <c r="J511" t="s">
        <v>14</v>
      </c>
      <c r="K511" t="s">
        <v>63</v>
      </c>
      <c r="L511" s="42">
        <v>0</v>
      </c>
      <c r="M511" s="10">
        <v>15750000</v>
      </c>
      <c r="N511" s="10">
        <f t="shared" si="7"/>
        <v>15750000</v>
      </c>
      <c r="O511" t="s">
        <v>704</v>
      </c>
    </row>
    <row r="512" spans="1:15" x14ac:dyDescent="0.25">
      <c r="A512" t="s">
        <v>1180</v>
      </c>
      <c r="B512" t="s">
        <v>13</v>
      </c>
      <c r="C512" s="12">
        <v>46043</v>
      </c>
      <c r="D512" s="12">
        <v>46074</v>
      </c>
      <c r="E512" t="s">
        <v>775</v>
      </c>
      <c r="F512" t="s">
        <v>14</v>
      </c>
      <c r="G512">
        <v>27436186</v>
      </c>
      <c r="H512" t="s">
        <v>932</v>
      </c>
      <c r="I512">
        <v>43624414</v>
      </c>
      <c r="J512" t="s">
        <v>14</v>
      </c>
      <c r="K512" t="s">
        <v>18</v>
      </c>
      <c r="L512" s="42">
        <v>0</v>
      </c>
      <c r="M512" s="10">
        <v>3150000</v>
      </c>
      <c r="N512" s="10">
        <f t="shared" si="7"/>
        <v>3150000</v>
      </c>
      <c r="O512" t="s">
        <v>704</v>
      </c>
    </row>
    <row r="513" spans="1:15" x14ac:dyDescent="0.25">
      <c r="A513" t="s">
        <v>1181</v>
      </c>
      <c r="B513" t="s">
        <v>13</v>
      </c>
      <c r="C513" s="12">
        <v>46043</v>
      </c>
      <c r="D513" s="12">
        <v>46133</v>
      </c>
      <c r="E513" t="s">
        <v>775</v>
      </c>
      <c r="F513" t="s">
        <v>14</v>
      </c>
      <c r="G513">
        <v>1087644986</v>
      </c>
      <c r="H513" t="s">
        <v>510</v>
      </c>
      <c r="I513">
        <v>98333941</v>
      </c>
      <c r="J513" t="s">
        <v>14</v>
      </c>
      <c r="K513" t="s">
        <v>15</v>
      </c>
      <c r="L513" s="42">
        <v>0</v>
      </c>
      <c r="M513" s="10">
        <v>9450000</v>
      </c>
      <c r="N513" s="10">
        <f t="shared" si="7"/>
        <v>9450000</v>
      </c>
      <c r="O513" t="s">
        <v>704</v>
      </c>
    </row>
    <row r="514" spans="1:15" x14ac:dyDescent="0.25">
      <c r="A514" t="s">
        <v>1182</v>
      </c>
      <c r="B514" t="s">
        <v>13</v>
      </c>
      <c r="C514" s="12">
        <v>46043</v>
      </c>
      <c r="D514" s="12">
        <v>46133</v>
      </c>
      <c r="E514" t="s">
        <v>775</v>
      </c>
      <c r="F514" t="s">
        <v>14</v>
      </c>
      <c r="G514">
        <v>1084224968</v>
      </c>
      <c r="H514" t="s">
        <v>118</v>
      </c>
      <c r="I514">
        <v>59836926</v>
      </c>
      <c r="J514" t="s">
        <v>14</v>
      </c>
      <c r="K514" t="s">
        <v>17</v>
      </c>
      <c r="L514" s="42">
        <v>0</v>
      </c>
      <c r="M514" s="10">
        <v>9450000</v>
      </c>
      <c r="N514" s="10">
        <f t="shared" si="7"/>
        <v>9450000</v>
      </c>
      <c r="O514" t="s">
        <v>704</v>
      </c>
    </row>
    <row r="515" spans="1:15" x14ac:dyDescent="0.25">
      <c r="A515" t="s">
        <v>1183</v>
      </c>
      <c r="B515" t="s">
        <v>13</v>
      </c>
      <c r="C515" s="12">
        <v>46043</v>
      </c>
      <c r="D515" s="12">
        <v>46194</v>
      </c>
      <c r="E515" t="s">
        <v>775</v>
      </c>
      <c r="F515" t="s">
        <v>14</v>
      </c>
      <c r="G515">
        <v>1085288636</v>
      </c>
      <c r="H515" t="s">
        <v>519</v>
      </c>
      <c r="I515">
        <v>98390119</v>
      </c>
      <c r="J515" t="s">
        <v>14</v>
      </c>
      <c r="K515" t="s">
        <v>63</v>
      </c>
      <c r="L515" s="42">
        <v>0</v>
      </c>
      <c r="M515" s="10">
        <v>15750000</v>
      </c>
      <c r="N515" s="10">
        <f t="shared" ref="N515:N578" si="8">M515-L515</f>
        <v>15750000</v>
      </c>
      <c r="O515" t="s">
        <v>704</v>
      </c>
    </row>
    <row r="516" spans="1:15" x14ac:dyDescent="0.25">
      <c r="A516" t="s">
        <v>1021</v>
      </c>
      <c r="B516" t="s">
        <v>13</v>
      </c>
      <c r="C516" s="12">
        <v>46043</v>
      </c>
      <c r="D516" s="12">
        <v>46194</v>
      </c>
      <c r="E516" t="s">
        <v>775</v>
      </c>
      <c r="F516" t="s">
        <v>14</v>
      </c>
      <c r="G516">
        <v>1085317226</v>
      </c>
      <c r="H516" t="s">
        <v>271</v>
      </c>
      <c r="I516">
        <v>98333941</v>
      </c>
      <c r="J516" t="s">
        <v>14</v>
      </c>
      <c r="K516" t="s">
        <v>15</v>
      </c>
      <c r="L516" s="42">
        <v>3150000</v>
      </c>
      <c r="M516" s="10">
        <v>15750000</v>
      </c>
      <c r="N516" s="10">
        <f t="shared" si="8"/>
        <v>12600000</v>
      </c>
      <c r="O516" t="s">
        <v>704</v>
      </c>
    </row>
    <row r="517" spans="1:15" x14ac:dyDescent="0.25">
      <c r="A517" t="s">
        <v>1184</v>
      </c>
      <c r="B517" t="s">
        <v>13</v>
      </c>
      <c r="C517" s="12">
        <v>46043</v>
      </c>
      <c r="D517" s="12">
        <v>46194</v>
      </c>
      <c r="E517" t="s">
        <v>775</v>
      </c>
      <c r="F517" t="s">
        <v>14</v>
      </c>
      <c r="G517">
        <v>27549932</v>
      </c>
      <c r="H517" t="s">
        <v>931</v>
      </c>
      <c r="I517">
        <v>43624414</v>
      </c>
      <c r="J517" t="s">
        <v>14</v>
      </c>
      <c r="K517" t="s">
        <v>18</v>
      </c>
      <c r="L517" s="42">
        <v>0</v>
      </c>
      <c r="M517" s="10">
        <v>15750000</v>
      </c>
      <c r="N517" s="10">
        <f t="shared" si="8"/>
        <v>15750000</v>
      </c>
      <c r="O517" t="s">
        <v>704</v>
      </c>
    </row>
    <row r="518" spans="1:15" x14ac:dyDescent="0.25">
      <c r="A518" t="s">
        <v>1185</v>
      </c>
      <c r="B518" t="s">
        <v>13</v>
      </c>
      <c r="C518" s="12">
        <v>46043</v>
      </c>
      <c r="D518" s="12">
        <v>46074</v>
      </c>
      <c r="E518" t="s">
        <v>775</v>
      </c>
      <c r="F518" t="s">
        <v>14</v>
      </c>
      <c r="G518">
        <v>1085346528</v>
      </c>
      <c r="H518" t="s">
        <v>385</v>
      </c>
      <c r="I518">
        <v>43624414</v>
      </c>
      <c r="J518" t="s">
        <v>14</v>
      </c>
      <c r="K518" t="s">
        <v>18</v>
      </c>
      <c r="L518" s="42">
        <v>3150000</v>
      </c>
      <c r="M518" s="10">
        <v>3150000</v>
      </c>
      <c r="N518" s="10">
        <f t="shared" si="8"/>
        <v>0</v>
      </c>
      <c r="O518" t="s">
        <v>704</v>
      </c>
    </row>
    <row r="519" spans="1:15" x14ac:dyDescent="0.25">
      <c r="A519" t="s">
        <v>1186</v>
      </c>
      <c r="B519" t="s">
        <v>13</v>
      </c>
      <c r="C519" s="12">
        <v>46043</v>
      </c>
      <c r="D519" s="12">
        <v>46194</v>
      </c>
      <c r="E519" t="s">
        <v>775</v>
      </c>
      <c r="F519" t="s">
        <v>14</v>
      </c>
      <c r="G519">
        <v>1010099104</v>
      </c>
      <c r="H519" t="s">
        <v>635</v>
      </c>
      <c r="I519">
        <v>59836926</v>
      </c>
      <c r="J519" t="s">
        <v>14</v>
      </c>
      <c r="K519" t="s">
        <v>17</v>
      </c>
      <c r="L519" s="42">
        <v>0</v>
      </c>
      <c r="M519" s="10">
        <v>15750000</v>
      </c>
      <c r="N519" s="10">
        <f t="shared" si="8"/>
        <v>15750000</v>
      </c>
      <c r="O519" t="s">
        <v>704</v>
      </c>
    </row>
    <row r="520" spans="1:15" x14ac:dyDescent="0.25">
      <c r="A520" t="s">
        <v>1187</v>
      </c>
      <c r="B520" t="s">
        <v>13</v>
      </c>
      <c r="C520" s="12">
        <v>46043</v>
      </c>
      <c r="D520" s="12">
        <v>46194</v>
      </c>
      <c r="E520" t="s">
        <v>775</v>
      </c>
      <c r="F520" t="s">
        <v>14</v>
      </c>
      <c r="G520">
        <v>27253636</v>
      </c>
      <c r="H520" t="s">
        <v>468</v>
      </c>
      <c r="I520">
        <v>98390119</v>
      </c>
      <c r="J520" t="s">
        <v>14</v>
      </c>
      <c r="K520" t="s">
        <v>63</v>
      </c>
      <c r="L520" s="42">
        <v>0</v>
      </c>
      <c r="M520" s="10">
        <v>15750000</v>
      </c>
      <c r="N520" s="10">
        <f t="shared" si="8"/>
        <v>15750000</v>
      </c>
      <c r="O520" t="s">
        <v>704</v>
      </c>
    </row>
    <row r="521" spans="1:15" x14ac:dyDescent="0.25">
      <c r="A521" t="s">
        <v>1188</v>
      </c>
      <c r="B521" t="s">
        <v>13</v>
      </c>
      <c r="C521" s="12">
        <v>46043</v>
      </c>
      <c r="D521" s="12">
        <v>46194</v>
      </c>
      <c r="E521" t="s">
        <v>775</v>
      </c>
      <c r="F521" t="s">
        <v>14</v>
      </c>
      <c r="G521">
        <v>1089291166</v>
      </c>
      <c r="H521" t="s">
        <v>429</v>
      </c>
      <c r="I521">
        <v>98333941</v>
      </c>
      <c r="J521" t="s">
        <v>14</v>
      </c>
      <c r="K521" t="s">
        <v>15</v>
      </c>
      <c r="L521" s="42">
        <v>0</v>
      </c>
      <c r="M521" s="10">
        <v>15750000</v>
      </c>
      <c r="N521" s="10">
        <f t="shared" si="8"/>
        <v>15750000</v>
      </c>
      <c r="O521" t="s">
        <v>704</v>
      </c>
    </row>
    <row r="522" spans="1:15" x14ac:dyDescent="0.25">
      <c r="A522" t="s">
        <v>1189</v>
      </c>
      <c r="B522" t="s">
        <v>13</v>
      </c>
      <c r="C522" s="12">
        <v>46043</v>
      </c>
      <c r="D522" s="12">
        <v>46133</v>
      </c>
      <c r="E522" t="s">
        <v>744</v>
      </c>
      <c r="F522" t="s">
        <v>14</v>
      </c>
      <c r="G522">
        <v>87065647</v>
      </c>
      <c r="H522" t="s">
        <v>410</v>
      </c>
      <c r="I522">
        <v>59836926</v>
      </c>
      <c r="J522" t="s">
        <v>14</v>
      </c>
      <c r="K522" t="s">
        <v>17</v>
      </c>
      <c r="L522" s="42">
        <v>0</v>
      </c>
      <c r="M522" s="10">
        <v>23400000</v>
      </c>
      <c r="N522" s="10">
        <f t="shared" si="8"/>
        <v>23400000</v>
      </c>
      <c r="O522" t="s">
        <v>704</v>
      </c>
    </row>
    <row r="523" spans="1:15" x14ac:dyDescent="0.25">
      <c r="A523" t="s">
        <v>1190</v>
      </c>
      <c r="B523" t="s">
        <v>13</v>
      </c>
      <c r="C523" s="12">
        <v>46043</v>
      </c>
      <c r="D523" s="12">
        <v>46194</v>
      </c>
      <c r="E523" t="s">
        <v>775</v>
      </c>
      <c r="F523" t="s">
        <v>14</v>
      </c>
      <c r="G523">
        <v>1004236159</v>
      </c>
      <c r="H523" t="s">
        <v>202</v>
      </c>
      <c r="I523">
        <v>98333941</v>
      </c>
      <c r="J523" t="s">
        <v>14</v>
      </c>
      <c r="K523" t="s">
        <v>15</v>
      </c>
      <c r="L523" s="42">
        <v>0</v>
      </c>
      <c r="M523" s="10">
        <v>15750000</v>
      </c>
      <c r="N523" s="10">
        <f t="shared" si="8"/>
        <v>15750000</v>
      </c>
      <c r="O523" t="s">
        <v>704</v>
      </c>
    </row>
    <row r="524" spans="1:15" x14ac:dyDescent="0.25">
      <c r="A524" t="s">
        <v>1191</v>
      </c>
      <c r="B524" t="s">
        <v>13</v>
      </c>
      <c r="C524" s="12">
        <v>46043</v>
      </c>
      <c r="D524" s="12">
        <v>46194</v>
      </c>
      <c r="E524" t="s">
        <v>775</v>
      </c>
      <c r="F524" t="s">
        <v>14</v>
      </c>
      <c r="G524">
        <v>1085331558</v>
      </c>
      <c r="H524" t="s">
        <v>314</v>
      </c>
      <c r="I524">
        <v>98390119</v>
      </c>
      <c r="J524" t="s">
        <v>14</v>
      </c>
      <c r="K524" t="s">
        <v>63</v>
      </c>
      <c r="L524" s="42">
        <v>0</v>
      </c>
      <c r="M524" s="10">
        <v>15750000</v>
      </c>
      <c r="N524" s="10">
        <f t="shared" si="8"/>
        <v>15750000</v>
      </c>
      <c r="O524" t="s">
        <v>704</v>
      </c>
    </row>
    <row r="525" spans="1:15" x14ac:dyDescent="0.25">
      <c r="A525" t="s">
        <v>1192</v>
      </c>
      <c r="B525" t="s">
        <v>13</v>
      </c>
      <c r="C525" s="12">
        <v>46043</v>
      </c>
      <c r="D525" s="12">
        <v>46194</v>
      </c>
      <c r="E525" t="s">
        <v>775</v>
      </c>
      <c r="F525" t="s">
        <v>14</v>
      </c>
      <c r="G525">
        <v>1081592742</v>
      </c>
      <c r="H525" t="s">
        <v>656</v>
      </c>
      <c r="I525">
        <v>98333941</v>
      </c>
      <c r="J525" t="s">
        <v>14</v>
      </c>
      <c r="K525" t="s">
        <v>15</v>
      </c>
      <c r="L525" s="42">
        <v>0</v>
      </c>
      <c r="M525" s="10">
        <v>15750000</v>
      </c>
      <c r="N525" s="10">
        <f t="shared" si="8"/>
        <v>15750000</v>
      </c>
      <c r="O525" t="s">
        <v>704</v>
      </c>
    </row>
    <row r="526" spans="1:15" x14ac:dyDescent="0.25">
      <c r="A526" t="s">
        <v>1193</v>
      </c>
      <c r="B526" t="s">
        <v>13</v>
      </c>
      <c r="C526" s="12">
        <v>46043</v>
      </c>
      <c r="D526" s="12">
        <v>46133</v>
      </c>
      <c r="E526" t="s">
        <v>775</v>
      </c>
      <c r="F526" t="s">
        <v>14</v>
      </c>
      <c r="G526">
        <v>1137089268</v>
      </c>
      <c r="H526" t="s">
        <v>623</v>
      </c>
      <c r="I526">
        <v>59836926</v>
      </c>
      <c r="J526" t="s">
        <v>14</v>
      </c>
      <c r="K526" t="s">
        <v>17</v>
      </c>
      <c r="L526" s="42">
        <v>3150000</v>
      </c>
      <c r="M526" s="10">
        <v>9450000</v>
      </c>
      <c r="N526" s="10">
        <f t="shared" si="8"/>
        <v>6300000</v>
      </c>
      <c r="O526" t="s">
        <v>704</v>
      </c>
    </row>
    <row r="527" spans="1:15" x14ac:dyDescent="0.25">
      <c r="A527" t="s">
        <v>1194</v>
      </c>
      <c r="B527" t="s">
        <v>13</v>
      </c>
      <c r="C527" s="12">
        <v>46043</v>
      </c>
      <c r="D527" s="12">
        <v>46133</v>
      </c>
      <c r="E527" t="s">
        <v>775</v>
      </c>
      <c r="F527" t="s">
        <v>14</v>
      </c>
      <c r="G527">
        <v>1088216350</v>
      </c>
      <c r="H527" t="s">
        <v>333</v>
      </c>
      <c r="I527">
        <v>43624414</v>
      </c>
      <c r="J527" t="s">
        <v>14</v>
      </c>
      <c r="K527" t="s">
        <v>18</v>
      </c>
      <c r="L527" s="42">
        <v>3150000</v>
      </c>
      <c r="M527" s="10">
        <v>9450000</v>
      </c>
      <c r="N527" s="10">
        <f t="shared" si="8"/>
        <v>6300000</v>
      </c>
      <c r="O527" t="s">
        <v>704</v>
      </c>
    </row>
    <row r="528" spans="1:15" x14ac:dyDescent="0.25">
      <c r="A528" t="s">
        <v>1195</v>
      </c>
      <c r="B528" t="s">
        <v>13</v>
      </c>
      <c r="C528" s="12">
        <v>46043</v>
      </c>
      <c r="D528" s="12">
        <v>46133</v>
      </c>
      <c r="E528" t="s">
        <v>775</v>
      </c>
      <c r="F528" t="s">
        <v>14</v>
      </c>
      <c r="G528">
        <v>1086222977</v>
      </c>
      <c r="H528" t="s">
        <v>872</v>
      </c>
      <c r="I528">
        <v>98333941</v>
      </c>
      <c r="J528" t="s">
        <v>14</v>
      </c>
      <c r="K528" t="s">
        <v>15</v>
      </c>
      <c r="L528" s="42">
        <v>0</v>
      </c>
      <c r="M528" s="10">
        <v>9450000</v>
      </c>
      <c r="N528" s="10">
        <f t="shared" si="8"/>
        <v>9450000</v>
      </c>
      <c r="O528" t="s">
        <v>704</v>
      </c>
    </row>
    <row r="529" spans="1:15" x14ac:dyDescent="0.25">
      <c r="A529" t="s">
        <v>1196</v>
      </c>
      <c r="B529" t="s">
        <v>13</v>
      </c>
      <c r="C529" s="12">
        <v>46043</v>
      </c>
      <c r="D529" s="12">
        <v>46133</v>
      </c>
      <c r="E529" t="s">
        <v>775</v>
      </c>
      <c r="F529" t="s">
        <v>14</v>
      </c>
      <c r="G529">
        <v>1192717330</v>
      </c>
      <c r="H529" t="s">
        <v>58</v>
      </c>
      <c r="I529">
        <v>43624414</v>
      </c>
      <c r="J529" t="s">
        <v>14</v>
      </c>
      <c r="K529" t="s">
        <v>18</v>
      </c>
      <c r="L529" s="42">
        <v>0</v>
      </c>
      <c r="M529" s="10">
        <v>9450000</v>
      </c>
      <c r="N529" s="10">
        <f t="shared" si="8"/>
        <v>9450000</v>
      </c>
      <c r="O529" t="s">
        <v>704</v>
      </c>
    </row>
    <row r="530" spans="1:15" x14ac:dyDescent="0.25">
      <c r="A530" t="s">
        <v>1197</v>
      </c>
      <c r="B530" t="s">
        <v>13</v>
      </c>
      <c r="C530" s="12">
        <v>46043</v>
      </c>
      <c r="D530" s="12">
        <v>46194</v>
      </c>
      <c r="E530" t="s">
        <v>775</v>
      </c>
      <c r="F530" t="s">
        <v>14</v>
      </c>
      <c r="G530">
        <v>1085247449</v>
      </c>
      <c r="H530" t="s">
        <v>498</v>
      </c>
      <c r="I530">
        <v>98333941</v>
      </c>
      <c r="J530" t="s">
        <v>14</v>
      </c>
      <c r="K530" t="s">
        <v>15</v>
      </c>
      <c r="L530" s="42">
        <v>0</v>
      </c>
      <c r="M530" s="10">
        <v>15750000</v>
      </c>
      <c r="N530" s="10">
        <f t="shared" si="8"/>
        <v>15750000</v>
      </c>
      <c r="O530" t="s">
        <v>704</v>
      </c>
    </row>
    <row r="531" spans="1:15" x14ac:dyDescent="0.25">
      <c r="A531" t="s">
        <v>1198</v>
      </c>
      <c r="B531" t="s">
        <v>13</v>
      </c>
      <c r="C531" s="12">
        <v>46043</v>
      </c>
      <c r="D531" s="12">
        <v>46133</v>
      </c>
      <c r="E531" t="s">
        <v>775</v>
      </c>
      <c r="F531" t="s">
        <v>14</v>
      </c>
      <c r="G531">
        <v>1085335033</v>
      </c>
      <c r="H531" t="s">
        <v>650</v>
      </c>
      <c r="I531">
        <v>98333941</v>
      </c>
      <c r="J531" t="s">
        <v>14</v>
      </c>
      <c r="K531" t="s">
        <v>15</v>
      </c>
      <c r="L531" s="42">
        <v>0</v>
      </c>
      <c r="M531" s="10">
        <v>9450000</v>
      </c>
      <c r="N531" s="10">
        <f t="shared" si="8"/>
        <v>9450000</v>
      </c>
      <c r="O531" t="s">
        <v>704</v>
      </c>
    </row>
    <row r="532" spans="1:15" x14ac:dyDescent="0.25">
      <c r="A532" t="s">
        <v>1199</v>
      </c>
      <c r="B532" t="s">
        <v>13</v>
      </c>
      <c r="C532" s="12">
        <v>46043</v>
      </c>
      <c r="D532" s="12">
        <v>46074</v>
      </c>
      <c r="E532" t="s">
        <v>775</v>
      </c>
      <c r="F532" t="s">
        <v>14</v>
      </c>
      <c r="G532">
        <v>1088799080</v>
      </c>
      <c r="H532" t="s">
        <v>157</v>
      </c>
      <c r="I532">
        <v>43624414</v>
      </c>
      <c r="J532" t="s">
        <v>14</v>
      </c>
      <c r="K532" t="s">
        <v>18</v>
      </c>
      <c r="L532" s="42">
        <v>0</v>
      </c>
      <c r="M532" s="10">
        <v>3150000</v>
      </c>
      <c r="N532" s="10">
        <f t="shared" si="8"/>
        <v>3150000</v>
      </c>
      <c r="O532" t="s">
        <v>704</v>
      </c>
    </row>
    <row r="533" spans="1:15" x14ac:dyDescent="0.25">
      <c r="A533" t="s">
        <v>1200</v>
      </c>
      <c r="B533" t="s">
        <v>13</v>
      </c>
      <c r="C533" s="12">
        <v>46043</v>
      </c>
      <c r="D533" s="12">
        <v>46133</v>
      </c>
      <c r="E533" t="s">
        <v>775</v>
      </c>
      <c r="F533" t="s">
        <v>14</v>
      </c>
      <c r="G533">
        <v>1004547484</v>
      </c>
      <c r="H533" t="s">
        <v>874</v>
      </c>
      <c r="I533">
        <v>98333941</v>
      </c>
      <c r="J533" t="s">
        <v>14</v>
      </c>
      <c r="K533" t="s">
        <v>15</v>
      </c>
      <c r="L533" s="42">
        <v>0</v>
      </c>
      <c r="M533" s="10">
        <v>9450000</v>
      </c>
      <c r="N533" s="10">
        <f t="shared" si="8"/>
        <v>9450000</v>
      </c>
      <c r="O533" t="s">
        <v>704</v>
      </c>
    </row>
    <row r="534" spans="1:15" x14ac:dyDescent="0.25">
      <c r="A534" t="s">
        <v>1201</v>
      </c>
      <c r="B534" t="s">
        <v>13</v>
      </c>
      <c r="C534" s="12">
        <v>46043</v>
      </c>
      <c r="D534" s="12">
        <v>46133</v>
      </c>
      <c r="E534" t="s">
        <v>775</v>
      </c>
      <c r="F534" t="s">
        <v>14</v>
      </c>
      <c r="G534">
        <v>1080693240</v>
      </c>
      <c r="H534" t="s">
        <v>139</v>
      </c>
      <c r="I534">
        <v>59836926</v>
      </c>
      <c r="J534" t="s">
        <v>14</v>
      </c>
      <c r="K534" t="s">
        <v>17</v>
      </c>
      <c r="L534" s="42">
        <v>3150000</v>
      </c>
      <c r="M534" s="10">
        <v>9450000</v>
      </c>
      <c r="N534" s="10">
        <f t="shared" si="8"/>
        <v>6300000</v>
      </c>
      <c r="O534" t="s">
        <v>704</v>
      </c>
    </row>
    <row r="535" spans="1:15" x14ac:dyDescent="0.25">
      <c r="A535" t="s">
        <v>1202</v>
      </c>
      <c r="B535" t="s">
        <v>13</v>
      </c>
      <c r="C535" s="12">
        <v>46044</v>
      </c>
      <c r="D535" s="12">
        <v>46075</v>
      </c>
      <c r="E535" t="s">
        <v>775</v>
      </c>
      <c r="F535" t="s">
        <v>14</v>
      </c>
      <c r="G535">
        <v>36861874</v>
      </c>
      <c r="H535" t="s">
        <v>50</v>
      </c>
      <c r="I535">
        <v>98390119</v>
      </c>
      <c r="J535" t="s">
        <v>14</v>
      </c>
      <c r="K535" t="s">
        <v>63</v>
      </c>
      <c r="L535" s="42">
        <v>0</v>
      </c>
      <c r="M535" s="10">
        <v>3150000</v>
      </c>
      <c r="N535" s="10">
        <f t="shared" si="8"/>
        <v>3150000</v>
      </c>
      <c r="O535" t="s">
        <v>704</v>
      </c>
    </row>
    <row r="536" spans="1:15" x14ac:dyDescent="0.25">
      <c r="A536" t="s">
        <v>1203</v>
      </c>
      <c r="B536" t="s">
        <v>13</v>
      </c>
      <c r="C536" s="12">
        <v>46044</v>
      </c>
      <c r="D536" s="12">
        <v>46134</v>
      </c>
      <c r="E536" t="s">
        <v>775</v>
      </c>
      <c r="F536" t="s">
        <v>14</v>
      </c>
      <c r="G536">
        <v>1086358836</v>
      </c>
      <c r="H536" t="s">
        <v>512</v>
      </c>
      <c r="I536">
        <v>98333941</v>
      </c>
      <c r="J536" t="s">
        <v>14</v>
      </c>
      <c r="K536" t="s">
        <v>15</v>
      </c>
      <c r="L536" s="42">
        <v>0</v>
      </c>
      <c r="M536" s="10">
        <v>9450000</v>
      </c>
      <c r="N536" s="10">
        <f t="shared" si="8"/>
        <v>9450000</v>
      </c>
      <c r="O536" t="s">
        <v>704</v>
      </c>
    </row>
    <row r="537" spans="1:15" x14ac:dyDescent="0.25">
      <c r="A537" t="s">
        <v>1204</v>
      </c>
      <c r="B537" t="s">
        <v>13</v>
      </c>
      <c r="C537" s="12">
        <v>46044</v>
      </c>
      <c r="D537" s="12">
        <v>46134</v>
      </c>
      <c r="E537" t="s">
        <v>793</v>
      </c>
      <c r="F537" t="s">
        <v>14</v>
      </c>
      <c r="G537">
        <v>1010113730</v>
      </c>
      <c r="H537" t="s">
        <v>521</v>
      </c>
      <c r="I537">
        <v>98333941</v>
      </c>
      <c r="J537" t="s">
        <v>14</v>
      </c>
      <c r="K537" t="s">
        <v>15</v>
      </c>
      <c r="L537" s="42">
        <v>0</v>
      </c>
      <c r="M537" s="10">
        <v>6000000</v>
      </c>
      <c r="N537" s="10">
        <f t="shared" si="8"/>
        <v>6000000</v>
      </c>
      <c r="O537" t="s">
        <v>704</v>
      </c>
    </row>
    <row r="538" spans="1:15" x14ac:dyDescent="0.25">
      <c r="A538" t="s">
        <v>1205</v>
      </c>
      <c r="B538" t="s">
        <v>13</v>
      </c>
      <c r="C538" s="12">
        <v>46044</v>
      </c>
      <c r="D538" s="12">
        <v>46134</v>
      </c>
      <c r="E538" t="s">
        <v>775</v>
      </c>
      <c r="F538" t="s">
        <v>14</v>
      </c>
      <c r="G538">
        <v>1081052746</v>
      </c>
      <c r="H538" t="s">
        <v>376</v>
      </c>
      <c r="I538">
        <v>98333941</v>
      </c>
      <c r="J538" t="s">
        <v>14</v>
      </c>
      <c r="K538" t="s">
        <v>15</v>
      </c>
      <c r="L538" s="42">
        <v>0</v>
      </c>
      <c r="M538" s="10">
        <v>9450000</v>
      </c>
      <c r="N538" s="10">
        <f t="shared" si="8"/>
        <v>9450000</v>
      </c>
      <c r="O538" t="s">
        <v>704</v>
      </c>
    </row>
    <row r="539" spans="1:15" x14ac:dyDescent="0.25">
      <c r="A539" t="s">
        <v>1206</v>
      </c>
      <c r="B539" t="s">
        <v>13</v>
      </c>
      <c r="C539" s="12">
        <v>46044</v>
      </c>
      <c r="D539" s="12">
        <v>46134</v>
      </c>
      <c r="E539" t="s">
        <v>793</v>
      </c>
      <c r="F539" t="s">
        <v>14</v>
      </c>
      <c r="G539">
        <v>37083933</v>
      </c>
      <c r="H539" t="s">
        <v>305</v>
      </c>
      <c r="I539">
        <v>43624414</v>
      </c>
      <c r="J539" t="s">
        <v>14</v>
      </c>
      <c r="K539" t="s">
        <v>18</v>
      </c>
      <c r="L539" s="42">
        <v>0</v>
      </c>
      <c r="M539" s="10">
        <v>6000000</v>
      </c>
      <c r="N539" s="10">
        <f t="shared" si="8"/>
        <v>6000000</v>
      </c>
      <c r="O539" t="s">
        <v>704</v>
      </c>
    </row>
    <row r="540" spans="1:15" x14ac:dyDescent="0.25">
      <c r="A540" t="s">
        <v>1207</v>
      </c>
      <c r="B540" t="s">
        <v>13</v>
      </c>
      <c r="C540" s="12">
        <v>46044</v>
      </c>
      <c r="D540" s="12">
        <v>46195</v>
      </c>
      <c r="E540" t="s">
        <v>775</v>
      </c>
      <c r="F540" t="s">
        <v>14</v>
      </c>
      <c r="G540">
        <v>59310056</v>
      </c>
      <c r="H540" t="s">
        <v>105</v>
      </c>
      <c r="I540">
        <v>98333941</v>
      </c>
      <c r="J540" t="s">
        <v>14</v>
      </c>
      <c r="K540" t="s">
        <v>15</v>
      </c>
      <c r="L540" s="42">
        <v>0</v>
      </c>
      <c r="M540" s="10">
        <v>15750000</v>
      </c>
      <c r="N540" s="10">
        <f t="shared" si="8"/>
        <v>15750000</v>
      </c>
      <c r="O540" t="s">
        <v>704</v>
      </c>
    </row>
    <row r="541" spans="1:15" x14ac:dyDescent="0.25">
      <c r="A541" t="s">
        <v>1208</v>
      </c>
      <c r="B541" t="s">
        <v>13</v>
      </c>
      <c r="C541" s="12">
        <v>46044</v>
      </c>
      <c r="D541" s="12">
        <v>46134</v>
      </c>
      <c r="E541" t="s">
        <v>775</v>
      </c>
      <c r="F541" t="s">
        <v>14</v>
      </c>
      <c r="G541">
        <v>1089975658</v>
      </c>
      <c r="H541" t="s">
        <v>620</v>
      </c>
      <c r="I541">
        <v>59836926</v>
      </c>
      <c r="J541" t="s">
        <v>14</v>
      </c>
      <c r="K541" t="s">
        <v>17</v>
      </c>
      <c r="L541" s="42">
        <v>3150000</v>
      </c>
      <c r="M541" s="10">
        <v>9450000</v>
      </c>
      <c r="N541" s="10">
        <f t="shared" si="8"/>
        <v>6300000</v>
      </c>
      <c r="O541" t="s">
        <v>704</v>
      </c>
    </row>
    <row r="542" spans="1:15" x14ac:dyDescent="0.25">
      <c r="A542" t="s">
        <v>1209</v>
      </c>
      <c r="B542" t="s">
        <v>13</v>
      </c>
      <c r="C542" s="12">
        <v>46044</v>
      </c>
      <c r="D542" s="12">
        <v>46134</v>
      </c>
      <c r="E542" t="s">
        <v>793</v>
      </c>
      <c r="F542" t="s">
        <v>14</v>
      </c>
      <c r="G542">
        <v>1085327836</v>
      </c>
      <c r="H542" t="s">
        <v>77</v>
      </c>
      <c r="I542">
        <v>43624414</v>
      </c>
      <c r="J542" t="s">
        <v>14</v>
      </c>
      <c r="K542" t="s">
        <v>18</v>
      </c>
      <c r="L542" s="42">
        <v>2000000</v>
      </c>
      <c r="M542" s="10">
        <v>6000000</v>
      </c>
      <c r="N542" s="10">
        <f t="shared" si="8"/>
        <v>4000000</v>
      </c>
      <c r="O542" t="s">
        <v>704</v>
      </c>
    </row>
    <row r="543" spans="1:15" x14ac:dyDescent="0.25">
      <c r="A543" t="s">
        <v>1210</v>
      </c>
      <c r="B543" t="s">
        <v>13</v>
      </c>
      <c r="C543" s="12">
        <v>46044</v>
      </c>
      <c r="D543" s="12">
        <v>46195</v>
      </c>
      <c r="E543" t="s">
        <v>775</v>
      </c>
      <c r="F543" t="s">
        <v>14</v>
      </c>
      <c r="G543">
        <v>1085323163</v>
      </c>
      <c r="H543" t="s">
        <v>598</v>
      </c>
      <c r="I543">
        <v>98390119</v>
      </c>
      <c r="J543" t="s">
        <v>14</v>
      </c>
      <c r="K543" t="s">
        <v>63</v>
      </c>
      <c r="L543" s="42">
        <v>0</v>
      </c>
      <c r="M543" s="10">
        <v>15750000</v>
      </c>
      <c r="N543" s="10">
        <f t="shared" si="8"/>
        <v>15750000</v>
      </c>
      <c r="O543" t="s">
        <v>704</v>
      </c>
    </row>
    <row r="544" spans="1:15" x14ac:dyDescent="0.25">
      <c r="A544" t="s">
        <v>1211</v>
      </c>
      <c r="B544" t="s">
        <v>13</v>
      </c>
      <c r="C544" s="12">
        <v>46044</v>
      </c>
      <c r="D544" s="12">
        <v>46134</v>
      </c>
      <c r="E544" t="s">
        <v>793</v>
      </c>
      <c r="F544" t="s">
        <v>14</v>
      </c>
      <c r="G544">
        <v>59312779</v>
      </c>
      <c r="H544" t="s">
        <v>920</v>
      </c>
      <c r="I544">
        <v>98390119</v>
      </c>
      <c r="J544" t="s">
        <v>14</v>
      </c>
      <c r="K544" t="s">
        <v>63</v>
      </c>
      <c r="L544" s="42">
        <v>0</v>
      </c>
      <c r="M544" s="10">
        <v>6000000</v>
      </c>
      <c r="N544" s="10">
        <f t="shared" si="8"/>
        <v>6000000</v>
      </c>
      <c r="O544" t="s">
        <v>704</v>
      </c>
    </row>
    <row r="545" spans="1:15" x14ac:dyDescent="0.25">
      <c r="A545" t="s">
        <v>1212</v>
      </c>
      <c r="B545" t="s">
        <v>13</v>
      </c>
      <c r="C545" s="12">
        <v>46044</v>
      </c>
      <c r="D545" s="12">
        <v>46134</v>
      </c>
      <c r="E545" t="s">
        <v>793</v>
      </c>
      <c r="F545" t="s">
        <v>14</v>
      </c>
      <c r="G545">
        <v>1085334752</v>
      </c>
      <c r="H545" t="s">
        <v>263</v>
      </c>
      <c r="I545">
        <v>98333941</v>
      </c>
      <c r="J545" t="s">
        <v>14</v>
      </c>
      <c r="K545" t="s">
        <v>15</v>
      </c>
      <c r="L545" s="42">
        <v>0</v>
      </c>
      <c r="M545" s="10">
        <v>6000000</v>
      </c>
      <c r="N545" s="10">
        <f t="shared" si="8"/>
        <v>6000000</v>
      </c>
      <c r="O545" t="s">
        <v>704</v>
      </c>
    </row>
    <row r="546" spans="1:15" x14ac:dyDescent="0.25">
      <c r="A546" t="s">
        <v>1213</v>
      </c>
      <c r="B546" t="s">
        <v>13</v>
      </c>
      <c r="C546" s="12">
        <v>46044</v>
      </c>
      <c r="D546" s="12">
        <v>46134</v>
      </c>
      <c r="E546" t="s">
        <v>793</v>
      </c>
      <c r="F546" t="s">
        <v>14</v>
      </c>
      <c r="G546">
        <v>59313273</v>
      </c>
      <c r="H546" t="s">
        <v>616</v>
      </c>
      <c r="I546">
        <v>59836926</v>
      </c>
      <c r="J546" t="s">
        <v>14</v>
      </c>
      <c r="K546" t="s">
        <v>17</v>
      </c>
      <c r="L546" s="42">
        <v>0</v>
      </c>
      <c r="M546" s="10">
        <v>6000000</v>
      </c>
      <c r="N546" s="10">
        <f t="shared" si="8"/>
        <v>6000000</v>
      </c>
      <c r="O546" t="s">
        <v>704</v>
      </c>
    </row>
    <row r="547" spans="1:15" x14ac:dyDescent="0.25">
      <c r="A547" t="s">
        <v>1214</v>
      </c>
      <c r="B547" t="s">
        <v>13</v>
      </c>
      <c r="C547" s="12">
        <v>46044</v>
      </c>
      <c r="D547" s="12">
        <v>46134</v>
      </c>
      <c r="E547" t="s">
        <v>744</v>
      </c>
      <c r="F547" t="s">
        <v>14</v>
      </c>
      <c r="G547">
        <v>1233192708</v>
      </c>
      <c r="H547" t="s">
        <v>516</v>
      </c>
      <c r="I547">
        <v>43624414</v>
      </c>
      <c r="J547" t="s">
        <v>14</v>
      </c>
      <c r="K547" t="s">
        <v>18</v>
      </c>
      <c r="L547" s="42">
        <v>0</v>
      </c>
      <c r="M547" s="10">
        <v>23400000</v>
      </c>
      <c r="N547" s="10">
        <f t="shared" si="8"/>
        <v>23400000</v>
      </c>
      <c r="O547" t="s">
        <v>704</v>
      </c>
    </row>
    <row r="548" spans="1:15" x14ac:dyDescent="0.25">
      <c r="A548" t="s">
        <v>1215</v>
      </c>
      <c r="B548" t="s">
        <v>13</v>
      </c>
      <c r="C548" s="12">
        <v>46044</v>
      </c>
      <c r="D548" s="12">
        <v>46195</v>
      </c>
      <c r="E548" t="s">
        <v>744</v>
      </c>
      <c r="F548" t="s">
        <v>14</v>
      </c>
      <c r="G548">
        <v>37087120</v>
      </c>
      <c r="H548" t="s">
        <v>51</v>
      </c>
      <c r="I548">
        <v>98333941</v>
      </c>
      <c r="J548" t="s">
        <v>14</v>
      </c>
      <c r="K548" t="s">
        <v>15</v>
      </c>
      <c r="L548" s="42">
        <v>0</v>
      </c>
      <c r="M548" s="10">
        <v>39000000</v>
      </c>
      <c r="N548" s="10">
        <f t="shared" si="8"/>
        <v>39000000</v>
      </c>
      <c r="O548" t="s">
        <v>704</v>
      </c>
    </row>
    <row r="549" spans="1:15" x14ac:dyDescent="0.25">
      <c r="A549" t="s">
        <v>1216</v>
      </c>
      <c r="B549" t="s">
        <v>13</v>
      </c>
      <c r="C549" s="12">
        <v>46044</v>
      </c>
      <c r="D549" s="12">
        <v>46134</v>
      </c>
      <c r="E549" t="s">
        <v>775</v>
      </c>
      <c r="F549" t="s">
        <v>14</v>
      </c>
      <c r="G549">
        <v>1193474724</v>
      </c>
      <c r="H549" t="s">
        <v>629</v>
      </c>
      <c r="I549">
        <v>98390119</v>
      </c>
      <c r="J549" t="s">
        <v>14</v>
      </c>
      <c r="K549" t="s">
        <v>63</v>
      </c>
      <c r="L549" s="42">
        <v>0</v>
      </c>
      <c r="M549" s="10">
        <v>18900000</v>
      </c>
      <c r="N549" s="10">
        <f t="shared" si="8"/>
        <v>18900000</v>
      </c>
      <c r="O549" t="s">
        <v>704</v>
      </c>
    </row>
    <row r="550" spans="1:15" x14ac:dyDescent="0.25">
      <c r="A550" t="s">
        <v>1217</v>
      </c>
      <c r="B550" t="s">
        <v>13</v>
      </c>
      <c r="C550" s="12">
        <v>46044</v>
      </c>
      <c r="D550" s="12">
        <v>46134</v>
      </c>
      <c r="E550" t="s">
        <v>793</v>
      </c>
      <c r="F550" t="s">
        <v>14</v>
      </c>
      <c r="G550">
        <v>12990231</v>
      </c>
      <c r="H550" t="s">
        <v>502</v>
      </c>
      <c r="I550">
        <v>59836926</v>
      </c>
      <c r="J550" t="s">
        <v>14</v>
      </c>
      <c r="K550" t="s">
        <v>17</v>
      </c>
      <c r="L550" s="42">
        <v>2000000</v>
      </c>
      <c r="M550" s="10">
        <v>6000000</v>
      </c>
      <c r="N550" s="10">
        <f t="shared" si="8"/>
        <v>4000000</v>
      </c>
      <c r="O550" t="s">
        <v>704</v>
      </c>
    </row>
    <row r="551" spans="1:15" x14ac:dyDescent="0.25">
      <c r="A551" t="s">
        <v>1218</v>
      </c>
      <c r="B551" t="s">
        <v>13</v>
      </c>
      <c r="C551" s="12">
        <v>46044</v>
      </c>
      <c r="D551" s="12">
        <v>46134</v>
      </c>
      <c r="E551" t="s">
        <v>793</v>
      </c>
      <c r="F551" t="s">
        <v>14</v>
      </c>
      <c r="G551">
        <v>36933095</v>
      </c>
      <c r="H551" t="s">
        <v>612</v>
      </c>
      <c r="I551">
        <v>98333941</v>
      </c>
      <c r="J551" t="s">
        <v>14</v>
      </c>
      <c r="K551" t="s">
        <v>15</v>
      </c>
      <c r="L551" s="42">
        <v>0</v>
      </c>
      <c r="M551" s="10">
        <v>6000000</v>
      </c>
      <c r="N551" s="10">
        <f t="shared" si="8"/>
        <v>6000000</v>
      </c>
      <c r="O551" t="s">
        <v>704</v>
      </c>
    </row>
    <row r="552" spans="1:15" x14ac:dyDescent="0.25">
      <c r="A552" t="s">
        <v>1219</v>
      </c>
      <c r="B552" t="s">
        <v>13</v>
      </c>
      <c r="C552" s="12">
        <v>46044</v>
      </c>
      <c r="D552" s="12">
        <v>46195</v>
      </c>
      <c r="E552" t="s">
        <v>775</v>
      </c>
      <c r="F552" t="s">
        <v>14</v>
      </c>
      <c r="G552">
        <v>59833702</v>
      </c>
      <c r="H552" t="s">
        <v>933</v>
      </c>
      <c r="I552">
        <v>98390119</v>
      </c>
      <c r="J552" t="s">
        <v>14</v>
      </c>
      <c r="K552" t="s">
        <v>63</v>
      </c>
      <c r="L552" s="42">
        <v>0</v>
      </c>
      <c r="M552" s="10">
        <v>15750000</v>
      </c>
      <c r="N552" s="10">
        <f t="shared" si="8"/>
        <v>15750000</v>
      </c>
      <c r="O552" t="s">
        <v>704</v>
      </c>
    </row>
    <row r="553" spans="1:15" x14ac:dyDescent="0.25">
      <c r="A553" t="s">
        <v>1220</v>
      </c>
      <c r="B553" t="s">
        <v>13</v>
      </c>
      <c r="C553" s="12">
        <v>46044</v>
      </c>
      <c r="D553" s="12">
        <v>46195</v>
      </c>
      <c r="E553" t="s">
        <v>775</v>
      </c>
      <c r="F553" t="s">
        <v>14</v>
      </c>
      <c r="G553">
        <v>59314458</v>
      </c>
      <c r="H553" t="s">
        <v>25</v>
      </c>
      <c r="I553">
        <v>98390119</v>
      </c>
      <c r="J553" t="s">
        <v>14</v>
      </c>
      <c r="K553" t="s">
        <v>63</v>
      </c>
      <c r="L553" s="42">
        <v>0</v>
      </c>
      <c r="M553" s="10">
        <v>31500000</v>
      </c>
      <c r="N553" s="10">
        <f t="shared" si="8"/>
        <v>31500000</v>
      </c>
      <c r="O553" t="s">
        <v>704</v>
      </c>
    </row>
    <row r="554" spans="1:15" x14ac:dyDescent="0.25">
      <c r="A554" t="s">
        <v>1221</v>
      </c>
      <c r="B554" t="s">
        <v>13</v>
      </c>
      <c r="C554" s="12">
        <v>46044</v>
      </c>
      <c r="D554" s="12">
        <v>46195</v>
      </c>
      <c r="E554" t="s">
        <v>793</v>
      </c>
      <c r="F554" t="s">
        <v>14</v>
      </c>
      <c r="G554">
        <v>1085287296</v>
      </c>
      <c r="H554" t="s">
        <v>926</v>
      </c>
      <c r="I554">
        <v>59836926</v>
      </c>
      <c r="J554" t="s">
        <v>14</v>
      </c>
      <c r="K554" t="s">
        <v>17</v>
      </c>
      <c r="L554" s="42">
        <v>0</v>
      </c>
      <c r="M554" s="10">
        <v>10000000</v>
      </c>
      <c r="N554" s="10">
        <f t="shared" si="8"/>
        <v>10000000</v>
      </c>
      <c r="O554" t="s">
        <v>704</v>
      </c>
    </row>
    <row r="555" spans="1:15" x14ac:dyDescent="0.25">
      <c r="A555" t="s">
        <v>1222</v>
      </c>
      <c r="B555" t="s">
        <v>13</v>
      </c>
      <c r="C555" s="12">
        <v>46044</v>
      </c>
      <c r="D555" s="12">
        <v>46075</v>
      </c>
      <c r="E555" t="s">
        <v>793</v>
      </c>
      <c r="F555" t="s">
        <v>14</v>
      </c>
      <c r="G555">
        <v>1085313195</v>
      </c>
      <c r="H555" t="s">
        <v>523</v>
      </c>
      <c r="I555">
        <v>43624414</v>
      </c>
      <c r="J555" t="s">
        <v>14</v>
      </c>
      <c r="K555" t="s">
        <v>18</v>
      </c>
      <c r="L555" s="42">
        <v>0</v>
      </c>
      <c r="M555" s="10">
        <v>2000000</v>
      </c>
      <c r="N555" s="10">
        <f t="shared" si="8"/>
        <v>2000000</v>
      </c>
      <c r="O555" t="s">
        <v>704</v>
      </c>
    </row>
    <row r="556" spans="1:15" x14ac:dyDescent="0.25">
      <c r="A556" t="s">
        <v>1223</v>
      </c>
      <c r="B556" t="s">
        <v>13</v>
      </c>
      <c r="C556" s="12">
        <v>46044</v>
      </c>
      <c r="D556" s="12">
        <v>46075</v>
      </c>
      <c r="E556" t="s">
        <v>793</v>
      </c>
      <c r="F556" t="s">
        <v>14</v>
      </c>
      <c r="G556">
        <v>1085268450</v>
      </c>
      <c r="H556" t="s">
        <v>208</v>
      </c>
      <c r="I556">
        <v>43624414</v>
      </c>
      <c r="J556" t="s">
        <v>14</v>
      </c>
      <c r="K556" t="s">
        <v>18</v>
      </c>
      <c r="L556" s="42">
        <v>0</v>
      </c>
      <c r="M556" s="10">
        <v>2000000</v>
      </c>
      <c r="N556" s="10">
        <f t="shared" si="8"/>
        <v>2000000</v>
      </c>
      <c r="O556" t="s">
        <v>704</v>
      </c>
    </row>
    <row r="557" spans="1:15" x14ac:dyDescent="0.25">
      <c r="A557" t="s">
        <v>1224</v>
      </c>
      <c r="B557" t="s">
        <v>13</v>
      </c>
      <c r="C557" s="12">
        <v>46044</v>
      </c>
      <c r="D557" s="12">
        <v>46134</v>
      </c>
      <c r="E557" t="s">
        <v>793</v>
      </c>
      <c r="F557" t="s">
        <v>14</v>
      </c>
      <c r="G557">
        <v>36757715</v>
      </c>
      <c r="H557" t="s">
        <v>130</v>
      </c>
      <c r="I557">
        <v>98390119</v>
      </c>
      <c r="J557" t="s">
        <v>14</v>
      </c>
      <c r="K557" t="s">
        <v>63</v>
      </c>
      <c r="L557" s="42">
        <v>0</v>
      </c>
      <c r="M557" s="10">
        <v>6000000</v>
      </c>
      <c r="N557" s="10">
        <f t="shared" si="8"/>
        <v>6000000</v>
      </c>
      <c r="O557" t="s">
        <v>704</v>
      </c>
    </row>
    <row r="558" spans="1:15" x14ac:dyDescent="0.25">
      <c r="A558" t="s">
        <v>1225</v>
      </c>
      <c r="B558" t="s">
        <v>13</v>
      </c>
      <c r="C558" s="12">
        <v>46044</v>
      </c>
      <c r="D558" s="12">
        <v>46134</v>
      </c>
      <c r="E558" t="s">
        <v>793</v>
      </c>
      <c r="F558" t="s">
        <v>14</v>
      </c>
      <c r="G558">
        <v>1085334831</v>
      </c>
      <c r="H558" t="s">
        <v>626</v>
      </c>
      <c r="I558">
        <v>98390119</v>
      </c>
      <c r="J558" t="s">
        <v>14</v>
      </c>
      <c r="K558" t="s">
        <v>63</v>
      </c>
      <c r="L558" s="42">
        <v>0</v>
      </c>
      <c r="M558" s="10">
        <v>6000000</v>
      </c>
      <c r="N558" s="10">
        <f t="shared" si="8"/>
        <v>6000000</v>
      </c>
      <c r="O558" t="s">
        <v>704</v>
      </c>
    </row>
    <row r="559" spans="1:15" x14ac:dyDescent="0.25">
      <c r="A559" t="s">
        <v>1226</v>
      </c>
      <c r="B559" t="s">
        <v>13</v>
      </c>
      <c r="C559" s="12">
        <v>46045</v>
      </c>
      <c r="D559" s="12">
        <v>46135</v>
      </c>
      <c r="E559" t="s">
        <v>793</v>
      </c>
      <c r="F559" t="s">
        <v>14</v>
      </c>
      <c r="G559">
        <v>1085310465</v>
      </c>
      <c r="H559" t="s">
        <v>112</v>
      </c>
      <c r="I559">
        <v>98390119</v>
      </c>
      <c r="J559" t="s">
        <v>14</v>
      </c>
      <c r="K559" t="s">
        <v>63</v>
      </c>
      <c r="L559" s="42">
        <v>0</v>
      </c>
      <c r="M559" s="10">
        <v>6000000</v>
      </c>
      <c r="N559" s="10">
        <f t="shared" si="8"/>
        <v>6000000</v>
      </c>
      <c r="O559" t="s">
        <v>704</v>
      </c>
    </row>
    <row r="560" spans="1:15" x14ac:dyDescent="0.25">
      <c r="A560" t="s">
        <v>1227</v>
      </c>
      <c r="B560" t="s">
        <v>13</v>
      </c>
      <c r="C560" s="12">
        <v>46045</v>
      </c>
      <c r="D560" s="12">
        <v>46076</v>
      </c>
      <c r="E560" t="s">
        <v>744</v>
      </c>
      <c r="F560" t="s">
        <v>14</v>
      </c>
      <c r="G560">
        <v>1193424771</v>
      </c>
      <c r="H560" t="s">
        <v>95</v>
      </c>
      <c r="I560">
        <v>98333941</v>
      </c>
      <c r="J560" t="s">
        <v>14</v>
      </c>
      <c r="K560" t="s">
        <v>15</v>
      </c>
      <c r="L560" s="42">
        <v>0</v>
      </c>
      <c r="M560" s="10">
        <v>4730000</v>
      </c>
      <c r="N560" s="10">
        <f t="shared" si="8"/>
        <v>4730000</v>
      </c>
      <c r="O560" t="s">
        <v>704</v>
      </c>
    </row>
    <row r="561" spans="1:15" x14ac:dyDescent="0.25">
      <c r="A561" t="s">
        <v>1228</v>
      </c>
      <c r="B561" t="s">
        <v>13</v>
      </c>
      <c r="C561" s="12">
        <v>46045</v>
      </c>
      <c r="D561" s="12">
        <v>46135</v>
      </c>
      <c r="E561" t="s">
        <v>744</v>
      </c>
      <c r="F561" t="s">
        <v>14</v>
      </c>
      <c r="G561">
        <v>1085244624</v>
      </c>
      <c r="H561" t="s">
        <v>868</v>
      </c>
      <c r="I561">
        <v>59836926</v>
      </c>
      <c r="J561" t="s">
        <v>14</v>
      </c>
      <c r="K561" t="s">
        <v>17</v>
      </c>
      <c r="L561" s="42">
        <v>0</v>
      </c>
      <c r="M561" s="10">
        <v>23400000</v>
      </c>
      <c r="N561" s="10">
        <f t="shared" si="8"/>
        <v>23400000</v>
      </c>
      <c r="O561" t="s">
        <v>704</v>
      </c>
    </row>
    <row r="562" spans="1:15" x14ac:dyDescent="0.25">
      <c r="A562" t="s">
        <v>1229</v>
      </c>
      <c r="B562" t="s">
        <v>13</v>
      </c>
      <c r="C562" s="12">
        <v>46045</v>
      </c>
      <c r="D562" s="12">
        <v>46196</v>
      </c>
      <c r="E562" t="s">
        <v>744</v>
      </c>
      <c r="F562" t="s">
        <v>14</v>
      </c>
      <c r="G562">
        <v>98398376</v>
      </c>
      <c r="H562" t="s">
        <v>875</v>
      </c>
      <c r="I562">
        <v>98333941</v>
      </c>
      <c r="J562" t="s">
        <v>14</v>
      </c>
      <c r="K562" t="s">
        <v>15</v>
      </c>
      <c r="L562" s="42">
        <v>0</v>
      </c>
      <c r="M562" s="10">
        <v>39000000</v>
      </c>
      <c r="N562" s="10">
        <f t="shared" si="8"/>
        <v>39000000</v>
      </c>
      <c r="O562" t="s">
        <v>704</v>
      </c>
    </row>
    <row r="563" spans="1:15" x14ac:dyDescent="0.25">
      <c r="A563" t="s">
        <v>1230</v>
      </c>
      <c r="B563" t="s">
        <v>13</v>
      </c>
      <c r="C563" s="12">
        <v>46045</v>
      </c>
      <c r="D563" s="12">
        <v>46135</v>
      </c>
      <c r="E563" t="s">
        <v>793</v>
      </c>
      <c r="F563" t="s">
        <v>14</v>
      </c>
      <c r="G563">
        <v>59815593</v>
      </c>
      <c r="H563" t="s">
        <v>183</v>
      </c>
      <c r="I563">
        <v>98333941</v>
      </c>
      <c r="J563" t="s">
        <v>14</v>
      </c>
      <c r="K563" t="s">
        <v>15</v>
      </c>
      <c r="L563" s="42">
        <v>0</v>
      </c>
      <c r="M563" s="10">
        <v>6000000</v>
      </c>
      <c r="N563" s="10">
        <f t="shared" si="8"/>
        <v>6000000</v>
      </c>
      <c r="O563" t="s">
        <v>704</v>
      </c>
    </row>
    <row r="564" spans="1:15" x14ac:dyDescent="0.25">
      <c r="A564" t="s">
        <v>1231</v>
      </c>
      <c r="B564" t="s">
        <v>13</v>
      </c>
      <c r="C564" s="12">
        <v>46045</v>
      </c>
      <c r="D564" s="12">
        <v>46135</v>
      </c>
      <c r="E564" t="s">
        <v>793</v>
      </c>
      <c r="F564" t="s">
        <v>14</v>
      </c>
      <c r="G564">
        <v>1085317094</v>
      </c>
      <c r="H564" t="s">
        <v>578</v>
      </c>
      <c r="I564">
        <v>98390119</v>
      </c>
      <c r="J564" t="s">
        <v>14</v>
      </c>
      <c r="K564" t="s">
        <v>63</v>
      </c>
      <c r="L564" s="42">
        <v>0</v>
      </c>
      <c r="M564" s="10">
        <v>9450000</v>
      </c>
      <c r="N564" s="10">
        <f t="shared" si="8"/>
        <v>9450000</v>
      </c>
      <c r="O564" t="s">
        <v>704</v>
      </c>
    </row>
    <row r="565" spans="1:15" x14ac:dyDescent="0.25">
      <c r="A565" t="s">
        <v>1232</v>
      </c>
      <c r="B565" t="s">
        <v>13</v>
      </c>
      <c r="C565" s="12">
        <v>46045</v>
      </c>
      <c r="D565" s="12">
        <v>46076</v>
      </c>
      <c r="E565" t="s">
        <v>793</v>
      </c>
      <c r="F565" t="s">
        <v>14</v>
      </c>
      <c r="G565">
        <v>1085312669</v>
      </c>
      <c r="H565" t="s">
        <v>321</v>
      </c>
      <c r="I565">
        <v>43624414</v>
      </c>
      <c r="J565" t="s">
        <v>14</v>
      </c>
      <c r="K565" t="s">
        <v>18</v>
      </c>
      <c r="L565" s="42">
        <v>0</v>
      </c>
      <c r="M565" s="10">
        <v>2000000</v>
      </c>
      <c r="N565" s="10">
        <f t="shared" si="8"/>
        <v>2000000</v>
      </c>
      <c r="O565" t="s">
        <v>704</v>
      </c>
    </row>
    <row r="566" spans="1:15" x14ac:dyDescent="0.25">
      <c r="A566" t="s">
        <v>1233</v>
      </c>
      <c r="B566" t="s">
        <v>13</v>
      </c>
      <c r="C566" s="12">
        <v>46045</v>
      </c>
      <c r="D566" s="12">
        <v>46135</v>
      </c>
      <c r="E566" t="s">
        <v>775</v>
      </c>
      <c r="F566" t="s">
        <v>14</v>
      </c>
      <c r="G566">
        <v>87069979</v>
      </c>
      <c r="H566" t="s">
        <v>928</v>
      </c>
      <c r="I566">
        <v>98390119</v>
      </c>
      <c r="J566" t="s">
        <v>14</v>
      </c>
      <c r="K566" t="s">
        <v>63</v>
      </c>
      <c r="L566" s="42">
        <v>0</v>
      </c>
      <c r="M566" s="10">
        <v>9450000</v>
      </c>
      <c r="N566" s="10">
        <f t="shared" si="8"/>
        <v>9450000</v>
      </c>
      <c r="O566" t="s">
        <v>704</v>
      </c>
    </row>
    <row r="567" spans="1:15" x14ac:dyDescent="0.25">
      <c r="A567" t="s">
        <v>1234</v>
      </c>
      <c r="B567" t="s">
        <v>13</v>
      </c>
      <c r="C567" s="12">
        <v>46048</v>
      </c>
      <c r="D567" s="12">
        <v>46138</v>
      </c>
      <c r="E567" t="s">
        <v>793</v>
      </c>
      <c r="F567" t="s">
        <v>14</v>
      </c>
      <c r="G567">
        <v>1085275445</v>
      </c>
      <c r="H567" t="s">
        <v>166</v>
      </c>
      <c r="I567">
        <v>98390119</v>
      </c>
      <c r="J567" t="s">
        <v>14</v>
      </c>
      <c r="K567" t="s">
        <v>63</v>
      </c>
      <c r="L567" s="42">
        <v>0</v>
      </c>
      <c r="M567" s="10">
        <v>6000000</v>
      </c>
      <c r="N567" s="10">
        <f t="shared" si="8"/>
        <v>6000000</v>
      </c>
      <c r="O567" t="s">
        <v>704</v>
      </c>
    </row>
    <row r="568" spans="1:15" x14ac:dyDescent="0.25">
      <c r="A568" t="s">
        <v>1235</v>
      </c>
      <c r="B568" t="s">
        <v>13</v>
      </c>
      <c r="C568" s="12">
        <v>46048</v>
      </c>
      <c r="D568" s="12">
        <v>46138</v>
      </c>
      <c r="E568" t="s">
        <v>793</v>
      </c>
      <c r="F568" t="s">
        <v>14</v>
      </c>
      <c r="G568">
        <v>27082650</v>
      </c>
      <c r="H568" t="s">
        <v>237</v>
      </c>
      <c r="I568">
        <v>43624414</v>
      </c>
      <c r="J568" t="s">
        <v>14</v>
      </c>
      <c r="K568" t="s">
        <v>18</v>
      </c>
      <c r="L568" s="42">
        <v>2000000</v>
      </c>
      <c r="M568" s="10">
        <v>6000000</v>
      </c>
      <c r="N568" s="10">
        <f t="shared" si="8"/>
        <v>4000000</v>
      </c>
      <c r="O568" t="s">
        <v>704</v>
      </c>
    </row>
    <row r="569" spans="1:15" x14ac:dyDescent="0.25">
      <c r="A569" t="s">
        <v>1236</v>
      </c>
      <c r="B569" t="s">
        <v>13</v>
      </c>
      <c r="C569" s="12">
        <v>46049</v>
      </c>
      <c r="D569" s="12">
        <v>46080</v>
      </c>
      <c r="E569" t="s">
        <v>775</v>
      </c>
      <c r="F569" t="s">
        <v>14</v>
      </c>
      <c r="G569">
        <v>1004343043</v>
      </c>
      <c r="H569" t="s">
        <v>189</v>
      </c>
      <c r="I569">
        <v>98390119</v>
      </c>
      <c r="J569" t="s">
        <v>14</v>
      </c>
      <c r="K569" t="s">
        <v>63</v>
      </c>
      <c r="L569" s="42">
        <v>0</v>
      </c>
      <c r="M569" s="10">
        <v>3150000</v>
      </c>
      <c r="N569" s="10">
        <f t="shared" si="8"/>
        <v>3150000</v>
      </c>
      <c r="O569" t="s">
        <v>704</v>
      </c>
    </row>
    <row r="570" spans="1:15" x14ac:dyDescent="0.25">
      <c r="A570" t="s">
        <v>1237</v>
      </c>
      <c r="B570" t="s">
        <v>13</v>
      </c>
      <c r="C570" s="12">
        <v>46049</v>
      </c>
      <c r="D570" s="12">
        <v>46139</v>
      </c>
      <c r="E570" t="s">
        <v>793</v>
      </c>
      <c r="F570" t="s">
        <v>14</v>
      </c>
      <c r="G570">
        <v>1081274779</v>
      </c>
      <c r="H570" t="s">
        <v>540</v>
      </c>
      <c r="I570">
        <v>59836926</v>
      </c>
      <c r="J570" t="s">
        <v>14</v>
      </c>
      <c r="K570" t="s">
        <v>17</v>
      </c>
      <c r="L570" s="42">
        <v>0</v>
      </c>
      <c r="M570" s="10">
        <v>6000000</v>
      </c>
      <c r="N570" s="10">
        <f t="shared" si="8"/>
        <v>6000000</v>
      </c>
      <c r="O570" t="s">
        <v>704</v>
      </c>
    </row>
    <row r="571" spans="1:15" x14ac:dyDescent="0.25">
      <c r="A571" t="s">
        <v>1238</v>
      </c>
      <c r="B571" t="s">
        <v>13</v>
      </c>
      <c r="C571" s="12">
        <v>46050</v>
      </c>
      <c r="D571" s="12">
        <v>46140</v>
      </c>
      <c r="E571" t="s">
        <v>793</v>
      </c>
      <c r="F571" t="s">
        <v>14</v>
      </c>
      <c r="G571">
        <v>1137089036</v>
      </c>
      <c r="H571" t="s">
        <v>350</v>
      </c>
      <c r="I571">
        <v>59836926</v>
      </c>
      <c r="J571" t="s">
        <v>14</v>
      </c>
      <c r="K571" t="s">
        <v>17</v>
      </c>
      <c r="L571" s="42">
        <v>0</v>
      </c>
      <c r="M571" s="10">
        <v>6000000</v>
      </c>
      <c r="N571" s="10">
        <f t="shared" si="8"/>
        <v>6000000</v>
      </c>
      <c r="O571" t="s">
        <v>704</v>
      </c>
    </row>
    <row r="572" spans="1:15" x14ac:dyDescent="0.25">
      <c r="A572" t="s">
        <v>1239</v>
      </c>
      <c r="B572" t="s">
        <v>13</v>
      </c>
      <c r="C572" s="12">
        <v>46050</v>
      </c>
      <c r="D572" s="12">
        <v>46140</v>
      </c>
      <c r="E572" t="s">
        <v>793</v>
      </c>
      <c r="F572" t="s">
        <v>14</v>
      </c>
      <c r="G572">
        <v>12974849</v>
      </c>
      <c r="H572" t="s">
        <v>179</v>
      </c>
      <c r="I572">
        <v>43624414</v>
      </c>
      <c r="J572" t="s">
        <v>14</v>
      </c>
      <c r="K572" t="s">
        <v>18</v>
      </c>
      <c r="L572" s="42">
        <v>0</v>
      </c>
      <c r="M572" s="10">
        <v>6000000</v>
      </c>
      <c r="N572" s="10">
        <f t="shared" si="8"/>
        <v>6000000</v>
      </c>
      <c r="O572" t="s">
        <v>704</v>
      </c>
    </row>
    <row r="573" spans="1:15" x14ac:dyDescent="0.25">
      <c r="A573" t="s">
        <v>1240</v>
      </c>
      <c r="B573" t="s">
        <v>13</v>
      </c>
      <c r="C573" s="12">
        <v>46050</v>
      </c>
      <c r="D573" s="12">
        <v>46140</v>
      </c>
      <c r="E573" t="s">
        <v>793</v>
      </c>
      <c r="F573" t="s">
        <v>14</v>
      </c>
      <c r="G573">
        <v>59314118</v>
      </c>
      <c r="H573" t="s">
        <v>259</v>
      </c>
      <c r="I573">
        <v>43624414</v>
      </c>
      <c r="J573" t="s">
        <v>14</v>
      </c>
      <c r="K573" t="s">
        <v>18</v>
      </c>
      <c r="L573" s="42">
        <v>0</v>
      </c>
      <c r="M573" s="10">
        <v>6000000</v>
      </c>
      <c r="N573" s="10">
        <f t="shared" si="8"/>
        <v>6000000</v>
      </c>
      <c r="O573" t="s">
        <v>704</v>
      </c>
    </row>
    <row r="574" spans="1:15" x14ac:dyDescent="0.25">
      <c r="A574" t="s">
        <v>1241</v>
      </c>
      <c r="B574" t="s">
        <v>13</v>
      </c>
      <c r="C574" s="12">
        <v>46050</v>
      </c>
      <c r="D574" s="12">
        <v>46140</v>
      </c>
      <c r="E574" t="s">
        <v>793</v>
      </c>
      <c r="F574" t="s">
        <v>14</v>
      </c>
      <c r="G574">
        <v>1081052090</v>
      </c>
      <c r="H574" t="s">
        <v>529</v>
      </c>
      <c r="I574">
        <v>98333941</v>
      </c>
      <c r="J574" t="s">
        <v>14</v>
      </c>
      <c r="K574" t="s">
        <v>15</v>
      </c>
      <c r="L574" s="42">
        <v>0</v>
      </c>
      <c r="M574" s="10">
        <v>6000000</v>
      </c>
      <c r="N574" s="10">
        <f t="shared" si="8"/>
        <v>6000000</v>
      </c>
      <c r="O574" t="s">
        <v>704</v>
      </c>
    </row>
    <row r="575" spans="1:15" x14ac:dyDescent="0.25">
      <c r="A575" t="s">
        <v>1242</v>
      </c>
      <c r="B575" t="s">
        <v>13</v>
      </c>
      <c r="C575" s="12">
        <v>46050</v>
      </c>
      <c r="D575" s="12">
        <v>46140</v>
      </c>
      <c r="E575" t="s">
        <v>793</v>
      </c>
      <c r="F575" t="s">
        <v>14</v>
      </c>
      <c r="G575">
        <v>1081282855</v>
      </c>
      <c r="H575" t="s">
        <v>242</v>
      </c>
      <c r="I575">
        <v>43624414</v>
      </c>
      <c r="J575" t="s">
        <v>14</v>
      </c>
      <c r="K575" t="s">
        <v>18</v>
      </c>
      <c r="L575" s="42">
        <v>0</v>
      </c>
      <c r="M575" s="10">
        <v>6000000</v>
      </c>
      <c r="N575" s="10">
        <f t="shared" si="8"/>
        <v>6000000</v>
      </c>
      <c r="O575" t="s">
        <v>704</v>
      </c>
    </row>
    <row r="576" spans="1:15" x14ac:dyDescent="0.25">
      <c r="A576" t="s">
        <v>1243</v>
      </c>
      <c r="B576" t="s">
        <v>13</v>
      </c>
      <c r="C576" s="12">
        <v>46052</v>
      </c>
      <c r="D576" s="12">
        <v>46203</v>
      </c>
      <c r="E576" t="s">
        <v>744</v>
      </c>
      <c r="F576" t="s">
        <v>14</v>
      </c>
      <c r="G576">
        <v>1085344910</v>
      </c>
      <c r="H576" t="s">
        <v>841</v>
      </c>
      <c r="I576">
        <v>59836926</v>
      </c>
      <c r="J576" t="s">
        <v>14</v>
      </c>
      <c r="K576" t="s">
        <v>17</v>
      </c>
      <c r="L576" s="42">
        <v>0</v>
      </c>
      <c r="M576" s="10">
        <v>39000000</v>
      </c>
      <c r="N576" s="10">
        <f t="shared" si="8"/>
        <v>39000000</v>
      </c>
      <c r="O576" t="s">
        <v>704</v>
      </c>
    </row>
    <row r="577" spans="1:15" x14ac:dyDescent="0.25">
      <c r="A577" t="s">
        <v>1244</v>
      </c>
      <c r="B577" t="s">
        <v>13</v>
      </c>
      <c r="C577" s="12">
        <v>46055</v>
      </c>
      <c r="D577" s="12">
        <v>46203</v>
      </c>
      <c r="E577" t="s">
        <v>775</v>
      </c>
      <c r="F577" t="s">
        <v>14</v>
      </c>
      <c r="G577">
        <v>1085313735</v>
      </c>
      <c r="H577" t="s">
        <v>885</v>
      </c>
      <c r="I577">
        <v>98333941</v>
      </c>
      <c r="J577" t="s">
        <v>14</v>
      </c>
      <c r="K577" t="s">
        <v>15</v>
      </c>
      <c r="L577" s="42">
        <v>0</v>
      </c>
      <c r="M577" s="10">
        <v>15750000</v>
      </c>
      <c r="N577" s="10">
        <f t="shared" si="8"/>
        <v>15750000</v>
      </c>
      <c r="O577" t="s">
        <v>704</v>
      </c>
    </row>
    <row r="578" spans="1:15" x14ac:dyDescent="0.25">
      <c r="A578" t="s">
        <v>1245</v>
      </c>
      <c r="B578" t="s">
        <v>13</v>
      </c>
      <c r="C578" s="12">
        <v>46055</v>
      </c>
      <c r="D578" s="12">
        <v>46144</v>
      </c>
      <c r="E578" t="s">
        <v>793</v>
      </c>
      <c r="F578" t="s">
        <v>14</v>
      </c>
      <c r="G578">
        <v>37082781</v>
      </c>
      <c r="H578" t="s">
        <v>959</v>
      </c>
      <c r="I578">
        <v>59836926</v>
      </c>
      <c r="J578" t="s">
        <v>14</v>
      </c>
      <c r="K578" t="s">
        <v>17</v>
      </c>
      <c r="L578" s="42">
        <v>0</v>
      </c>
      <c r="M578" s="10">
        <v>6000000</v>
      </c>
      <c r="N578" s="10">
        <f t="shared" si="8"/>
        <v>6000000</v>
      </c>
      <c r="O578" t="s">
        <v>704</v>
      </c>
    </row>
    <row r="579" spans="1:15" x14ac:dyDescent="0.25">
      <c r="A579" t="s">
        <v>1246</v>
      </c>
      <c r="B579" t="s">
        <v>13</v>
      </c>
      <c r="C579" s="12">
        <v>46055</v>
      </c>
      <c r="D579" s="12">
        <v>46203</v>
      </c>
      <c r="E579" t="s">
        <v>775</v>
      </c>
      <c r="F579" t="s">
        <v>14</v>
      </c>
      <c r="G579">
        <v>1004136704</v>
      </c>
      <c r="H579" t="s">
        <v>886</v>
      </c>
      <c r="I579">
        <v>98333941</v>
      </c>
      <c r="J579" t="s">
        <v>14</v>
      </c>
      <c r="K579" t="s">
        <v>15</v>
      </c>
      <c r="L579" s="42">
        <v>0</v>
      </c>
      <c r="M579" s="10">
        <v>15750000</v>
      </c>
      <c r="N579" s="10">
        <f t="shared" ref="N579:N642" si="9">M579-L579</f>
        <v>15750000</v>
      </c>
      <c r="O579" t="s">
        <v>704</v>
      </c>
    </row>
    <row r="580" spans="1:15" x14ac:dyDescent="0.25">
      <c r="A580" t="s">
        <v>1247</v>
      </c>
      <c r="B580" t="s">
        <v>13</v>
      </c>
      <c r="C580" s="12">
        <v>46055</v>
      </c>
      <c r="D580" s="12">
        <v>46203</v>
      </c>
      <c r="E580" t="s">
        <v>775</v>
      </c>
      <c r="F580" t="s">
        <v>14</v>
      </c>
      <c r="G580">
        <v>1085339060</v>
      </c>
      <c r="H580" t="s">
        <v>878</v>
      </c>
      <c r="I580">
        <v>98333941</v>
      </c>
      <c r="J580" t="s">
        <v>14</v>
      </c>
      <c r="K580" t="s">
        <v>15</v>
      </c>
      <c r="L580" s="42">
        <v>0</v>
      </c>
      <c r="M580" s="10">
        <v>15750000</v>
      </c>
      <c r="N580" s="10">
        <f t="shared" si="9"/>
        <v>15750000</v>
      </c>
      <c r="O580" t="s">
        <v>704</v>
      </c>
    </row>
    <row r="581" spans="1:15" x14ac:dyDescent="0.25">
      <c r="A581" t="s">
        <v>1248</v>
      </c>
      <c r="B581" t="s">
        <v>13</v>
      </c>
      <c r="C581" s="12">
        <v>46055</v>
      </c>
      <c r="D581" s="12">
        <v>46203</v>
      </c>
      <c r="E581" t="s">
        <v>744</v>
      </c>
      <c r="F581" t="s">
        <v>14</v>
      </c>
      <c r="G581">
        <v>1010143140</v>
      </c>
      <c r="H581" t="s">
        <v>870</v>
      </c>
      <c r="I581">
        <v>98390119</v>
      </c>
      <c r="J581" t="s">
        <v>14</v>
      </c>
      <c r="K581" t="s">
        <v>63</v>
      </c>
      <c r="L581" s="42">
        <v>0</v>
      </c>
      <c r="M581" s="10">
        <v>39000000</v>
      </c>
      <c r="N581" s="10">
        <f t="shared" si="9"/>
        <v>39000000</v>
      </c>
      <c r="O581" t="s">
        <v>704</v>
      </c>
    </row>
    <row r="582" spans="1:15" x14ac:dyDescent="0.25">
      <c r="A582" t="s">
        <v>1249</v>
      </c>
      <c r="B582" t="s">
        <v>13</v>
      </c>
      <c r="C582" s="12">
        <v>46055</v>
      </c>
      <c r="D582" s="12">
        <v>46203</v>
      </c>
      <c r="E582" t="s">
        <v>775</v>
      </c>
      <c r="F582" t="s">
        <v>14</v>
      </c>
      <c r="G582">
        <v>1087960681</v>
      </c>
      <c r="H582" t="s">
        <v>900</v>
      </c>
      <c r="I582">
        <v>98333941</v>
      </c>
      <c r="J582" t="s">
        <v>14</v>
      </c>
      <c r="K582" t="s">
        <v>15</v>
      </c>
      <c r="L582" s="42">
        <v>0</v>
      </c>
      <c r="M582" s="10">
        <v>15750000</v>
      </c>
      <c r="N582" s="10">
        <f t="shared" si="9"/>
        <v>15750000</v>
      </c>
      <c r="O582" t="s">
        <v>704</v>
      </c>
    </row>
    <row r="583" spans="1:15" x14ac:dyDescent="0.25">
      <c r="A583" t="s">
        <v>1250</v>
      </c>
      <c r="B583" t="s">
        <v>13</v>
      </c>
      <c r="C583" s="12">
        <v>46055</v>
      </c>
      <c r="D583" s="12">
        <v>46203</v>
      </c>
      <c r="E583" t="s">
        <v>775</v>
      </c>
      <c r="F583" t="s">
        <v>14</v>
      </c>
      <c r="G583">
        <v>1080040910</v>
      </c>
      <c r="H583" t="s">
        <v>861</v>
      </c>
      <c r="I583">
        <v>98390119</v>
      </c>
      <c r="J583" t="s">
        <v>14</v>
      </c>
      <c r="K583" t="s">
        <v>63</v>
      </c>
      <c r="L583" s="42">
        <v>0</v>
      </c>
      <c r="M583" s="10">
        <v>15750000</v>
      </c>
      <c r="N583" s="10">
        <f t="shared" si="9"/>
        <v>15750000</v>
      </c>
      <c r="O583" t="s">
        <v>704</v>
      </c>
    </row>
    <row r="584" spans="1:15" x14ac:dyDescent="0.25">
      <c r="A584" t="s">
        <v>1251</v>
      </c>
      <c r="B584" t="s">
        <v>13</v>
      </c>
      <c r="C584" s="12">
        <v>46055</v>
      </c>
      <c r="D584" s="12">
        <v>46203</v>
      </c>
      <c r="E584" t="s">
        <v>775</v>
      </c>
      <c r="F584" t="s">
        <v>14</v>
      </c>
      <c r="G584">
        <v>1004631427</v>
      </c>
      <c r="H584" t="s">
        <v>917</v>
      </c>
      <c r="I584">
        <v>98390119</v>
      </c>
      <c r="J584" t="s">
        <v>14</v>
      </c>
      <c r="K584" t="s">
        <v>63</v>
      </c>
      <c r="L584" s="42">
        <v>0</v>
      </c>
      <c r="M584" s="10">
        <v>31500000</v>
      </c>
      <c r="N584" s="10">
        <f t="shared" si="9"/>
        <v>31500000</v>
      </c>
      <c r="O584" t="s">
        <v>704</v>
      </c>
    </row>
    <row r="585" spans="1:15" x14ac:dyDescent="0.25">
      <c r="A585" t="s">
        <v>1252</v>
      </c>
      <c r="B585" t="s">
        <v>13</v>
      </c>
      <c r="C585" s="12">
        <v>46055</v>
      </c>
      <c r="D585" s="12">
        <v>46142</v>
      </c>
      <c r="E585" t="s">
        <v>744</v>
      </c>
      <c r="F585" t="s">
        <v>14</v>
      </c>
      <c r="G585">
        <v>36950112</v>
      </c>
      <c r="H585" t="s">
        <v>838</v>
      </c>
      <c r="I585">
        <v>59836926</v>
      </c>
      <c r="J585" t="s">
        <v>14</v>
      </c>
      <c r="K585" t="s">
        <v>17</v>
      </c>
      <c r="L585" s="42">
        <v>0</v>
      </c>
      <c r="M585" s="10">
        <v>23400000</v>
      </c>
      <c r="N585" s="10">
        <f t="shared" si="9"/>
        <v>23400000</v>
      </c>
      <c r="O585" t="s">
        <v>704</v>
      </c>
    </row>
    <row r="586" spans="1:15" x14ac:dyDescent="0.25">
      <c r="A586" t="s">
        <v>1253</v>
      </c>
      <c r="B586" t="s">
        <v>13</v>
      </c>
      <c r="C586" s="12">
        <v>46055</v>
      </c>
      <c r="D586" s="12">
        <v>46142</v>
      </c>
      <c r="E586" t="s">
        <v>744</v>
      </c>
      <c r="F586" t="s">
        <v>14</v>
      </c>
      <c r="G586">
        <v>37084101</v>
      </c>
      <c r="H586" t="s">
        <v>853</v>
      </c>
      <c r="I586">
        <v>59836926</v>
      </c>
      <c r="J586" t="s">
        <v>14</v>
      </c>
      <c r="K586" t="s">
        <v>17</v>
      </c>
      <c r="L586" s="42">
        <v>0</v>
      </c>
      <c r="M586" s="10">
        <v>23400000</v>
      </c>
      <c r="N586" s="10">
        <f t="shared" si="9"/>
        <v>23400000</v>
      </c>
      <c r="O586" t="s">
        <v>704</v>
      </c>
    </row>
    <row r="587" spans="1:15" x14ac:dyDescent="0.25">
      <c r="A587" t="s">
        <v>1254</v>
      </c>
      <c r="B587" t="s">
        <v>13</v>
      </c>
      <c r="C587" s="12">
        <v>46055</v>
      </c>
      <c r="D587" s="12">
        <v>46142</v>
      </c>
      <c r="E587" t="s">
        <v>775</v>
      </c>
      <c r="F587" t="s">
        <v>14</v>
      </c>
      <c r="G587">
        <v>1010035235</v>
      </c>
      <c r="H587" t="s">
        <v>913</v>
      </c>
      <c r="I587">
        <v>59836926</v>
      </c>
      <c r="J587" t="s">
        <v>14</v>
      </c>
      <c r="K587" t="s">
        <v>17</v>
      </c>
      <c r="L587" s="42">
        <v>0</v>
      </c>
      <c r="M587" s="10">
        <v>9450000</v>
      </c>
      <c r="N587" s="10">
        <f t="shared" si="9"/>
        <v>9450000</v>
      </c>
      <c r="O587" t="s">
        <v>704</v>
      </c>
    </row>
    <row r="588" spans="1:15" x14ac:dyDescent="0.25">
      <c r="A588" t="s">
        <v>1255</v>
      </c>
      <c r="B588" t="s">
        <v>13</v>
      </c>
      <c r="C588" s="12">
        <v>46055</v>
      </c>
      <c r="D588" s="12">
        <v>46142</v>
      </c>
      <c r="E588" t="s">
        <v>775</v>
      </c>
      <c r="F588" t="s">
        <v>14</v>
      </c>
      <c r="G588">
        <v>26453006</v>
      </c>
      <c r="H588" t="s">
        <v>851</v>
      </c>
      <c r="I588">
        <v>59836926</v>
      </c>
      <c r="J588" t="s">
        <v>14</v>
      </c>
      <c r="K588" t="s">
        <v>17</v>
      </c>
      <c r="L588" s="42">
        <v>0</v>
      </c>
      <c r="M588" s="10">
        <v>9450000</v>
      </c>
      <c r="N588" s="10">
        <f t="shared" si="9"/>
        <v>9450000</v>
      </c>
      <c r="O588" t="s">
        <v>704</v>
      </c>
    </row>
    <row r="589" spans="1:15" x14ac:dyDescent="0.25">
      <c r="A589" t="s">
        <v>1256</v>
      </c>
      <c r="B589" t="s">
        <v>13</v>
      </c>
      <c r="C589" s="12">
        <v>46055</v>
      </c>
      <c r="D589" s="12">
        <v>46203</v>
      </c>
      <c r="E589" t="s">
        <v>775</v>
      </c>
      <c r="F589" t="s">
        <v>14</v>
      </c>
      <c r="G589">
        <v>1086363655</v>
      </c>
      <c r="H589" t="s">
        <v>911</v>
      </c>
      <c r="I589">
        <v>98390119</v>
      </c>
      <c r="J589" t="s">
        <v>14</v>
      </c>
      <c r="K589" t="s">
        <v>63</v>
      </c>
      <c r="L589" s="42">
        <v>0</v>
      </c>
      <c r="M589" s="10">
        <v>15750000</v>
      </c>
      <c r="N589" s="10">
        <f t="shared" si="9"/>
        <v>15750000</v>
      </c>
      <c r="O589" t="s">
        <v>704</v>
      </c>
    </row>
    <row r="590" spans="1:15" x14ac:dyDescent="0.25">
      <c r="A590" t="s">
        <v>1257</v>
      </c>
      <c r="B590" t="s">
        <v>13</v>
      </c>
      <c r="C590" s="12">
        <v>46055</v>
      </c>
      <c r="D590" s="12">
        <v>46203</v>
      </c>
      <c r="E590" t="s">
        <v>775</v>
      </c>
      <c r="F590" t="s">
        <v>14</v>
      </c>
      <c r="G590">
        <v>98399200</v>
      </c>
      <c r="H590" t="s">
        <v>955</v>
      </c>
      <c r="I590">
        <v>43624414</v>
      </c>
      <c r="J590" t="s">
        <v>14</v>
      </c>
      <c r="K590" t="s">
        <v>18</v>
      </c>
      <c r="L590" s="42">
        <v>0</v>
      </c>
      <c r="M590" s="10">
        <v>18900000</v>
      </c>
      <c r="N590" s="10">
        <f t="shared" si="9"/>
        <v>18900000</v>
      </c>
      <c r="O590" t="s">
        <v>704</v>
      </c>
    </row>
    <row r="591" spans="1:15" x14ac:dyDescent="0.25">
      <c r="A591" t="s">
        <v>1258</v>
      </c>
      <c r="B591" t="s">
        <v>13</v>
      </c>
      <c r="C591" s="12">
        <v>46055</v>
      </c>
      <c r="D591" s="12">
        <v>46203</v>
      </c>
      <c r="E591" t="s">
        <v>775</v>
      </c>
      <c r="F591" t="s">
        <v>14</v>
      </c>
      <c r="G591">
        <v>27487890</v>
      </c>
      <c r="H591" t="s">
        <v>942</v>
      </c>
      <c r="I591">
        <v>43624414</v>
      </c>
      <c r="J591" t="s">
        <v>14</v>
      </c>
      <c r="K591" t="s">
        <v>18</v>
      </c>
      <c r="L591" s="42">
        <v>0</v>
      </c>
      <c r="M591" s="10">
        <v>31500000</v>
      </c>
      <c r="N591" s="10">
        <f t="shared" si="9"/>
        <v>31500000</v>
      </c>
      <c r="O591" t="s">
        <v>704</v>
      </c>
    </row>
    <row r="592" spans="1:15" x14ac:dyDescent="0.25">
      <c r="A592" t="s">
        <v>1259</v>
      </c>
      <c r="B592" t="s">
        <v>13</v>
      </c>
      <c r="C592" s="12">
        <v>46055</v>
      </c>
      <c r="D592" s="12">
        <v>46203</v>
      </c>
      <c r="E592" t="s">
        <v>775</v>
      </c>
      <c r="F592" t="s">
        <v>14</v>
      </c>
      <c r="G592">
        <v>59313585</v>
      </c>
      <c r="H592" t="s">
        <v>898</v>
      </c>
      <c r="I592">
        <v>98333941</v>
      </c>
      <c r="J592" t="s">
        <v>14</v>
      </c>
      <c r="K592" t="s">
        <v>15</v>
      </c>
      <c r="L592" s="42">
        <v>0</v>
      </c>
      <c r="M592" s="10">
        <v>15750000</v>
      </c>
      <c r="N592" s="10">
        <f t="shared" si="9"/>
        <v>15750000</v>
      </c>
      <c r="O592" t="s">
        <v>704</v>
      </c>
    </row>
    <row r="593" spans="1:15" x14ac:dyDescent="0.25">
      <c r="A593" t="s">
        <v>1260</v>
      </c>
      <c r="B593" t="s">
        <v>13</v>
      </c>
      <c r="C593" s="12">
        <v>46055</v>
      </c>
      <c r="D593" s="12">
        <v>46203</v>
      </c>
      <c r="E593" t="s">
        <v>775</v>
      </c>
      <c r="F593" t="s">
        <v>14</v>
      </c>
      <c r="G593">
        <v>1080691508</v>
      </c>
      <c r="H593" t="s">
        <v>899</v>
      </c>
      <c r="I593">
        <v>98333941</v>
      </c>
      <c r="J593" t="s">
        <v>14</v>
      </c>
      <c r="K593" t="s">
        <v>15</v>
      </c>
      <c r="L593" s="42">
        <v>0</v>
      </c>
      <c r="M593" s="10">
        <v>15750000</v>
      </c>
      <c r="N593" s="10">
        <f t="shared" si="9"/>
        <v>15750000</v>
      </c>
      <c r="O593" t="s">
        <v>704</v>
      </c>
    </row>
    <row r="594" spans="1:15" x14ac:dyDescent="0.25">
      <c r="A594" t="s">
        <v>1261</v>
      </c>
      <c r="B594" t="s">
        <v>13</v>
      </c>
      <c r="C594" s="12">
        <v>46055</v>
      </c>
      <c r="D594" s="12">
        <v>46203</v>
      </c>
      <c r="E594" t="s">
        <v>775</v>
      </c>
      <c r="F594" t="s">
        <v>14</v>
      </c>
      <c r="G594">
        <v>1004232029</v>
      </c>
      <c r="H594" t="s">
        <v>939</v>
      </c>
      <c r="I594">
        <v>43624414</v>
      </c>
      <c r="J594" t="s">
        <v>14</v>
      </c>
      <c r="K594" t="s">
        <v>18</v>
      </c>
      <c r="L594" s="42">
        <v>0</v>
      </c>
      <c r="M594" s="10">
        <v>31500000</v>
      </c>
      <c r="N594" s="10">
        <f t="shared" si="9"/>
        <v>31500000</v>
      </c>
      <c r="O594" t="s">
        <v>704</v>
      </c>
    </row>
    <row r="595" spans="1:15" x14ac:dyDescent="0.25">
      <c r="A595" t="s">
        <v>1262</v>
      </c>
      <c r="B595" t="s">
        <v>13</v>
      </c>
      <c r="C595" s="12">
        <v>46055</v>
      </c>
      <c r="D595" s="12">
        <v>46203</v>
      </c>
      <c r="E595" t="s">
        <v>775</v>
      </c>
      <c r="F595" t="s">
        <v>14</v>
      </c>
      <c r="G595">
        <v>1082630032</v>
      </c>
      <c r="H595" t="s">
        <v>912</v>
      </c>
      <c r="I595">
        <v>98390119</v>
      </c>
      <c r="J595" t="s">
        <v>14</v>
      </c>
      <c r="K595" t="s">
        <v>63</v>
      </c>
      <c r="L595" s="42">
        <v>0</v>
      </c>
      <c r="M595" s="10">
        <v>15750000</v>
      </c>
      <c r="N595" s="10">
        <f t="shared" si="9"/>
        <v>15750000</v>
      </c>
      <c r="O595" t="s">
        <v>704</v>
      </c>
    </row>
    <row r="596" spans="1:15" x14ac:dyDescent="0.25">
      <c r="A596" t="s">
        <v>1263</v>
      </c>
      <c r="B596" t="s">
        <v>13</v>
      </c>
      <c r="C596" s="12">
        <v>46055</v>
      </c>
      <c r="D596" s="12">
        <v>46205</v>
      </c>
      <c r="E596" t="s">
        <v>775</v>
      </c>
      <c r="F596" t="s">
        <v>14</v>
      </c>
      <c r="G596">
        <v>1085281034</v>
      </c>
      <c r="H596" t="s">
        <v>884</v>
      </c>
      <c r="I596">
        <v>98333941</v>
      </c>
      <c r="J596" t="s">
        <v>14</v>
      </c>
      <c r="K596" t="s">
        <v>15</v>
      </c>
      <c r="L596" s="42">
        <v>0</v>
      </c>
      <c r="M596" s="10">
        <v>31500000</v>
      </c>
      <c r="N596" s="10">
        <f t="shared" si="9"/>
        <v>31500000</v>
      </c>
      <c r="O596" t="s">
        <v>704</v>
      </c>
    </row>
    <row r="597" spans="1:15" x14ac:dyDescent="0.25">
      <c r="A597" t="s">
        <v>1264</v>
      </c>
      <c r="B597" t="s">
        <v>13</v>
      </c>
      <c r="C597" s="12">
        <v>46055</v>
      </c>
      <c r="D597" s="12">
        <v>46203</v>
      </c>
      <c r="E597" t="s">
        <v>775</v>
      </c>
      <c r="F597" t="s">
        <v>14</v>
      </c>
      <c r="G597">
        <v>1085313206</v>
      </c>
      <c r="H597" t="s">
        <v>867</v>
      </c>
      <c r="I597">
        <v>98333941</v>
      </c>
      <c r="J597" t="s">
        <v>14</v>
      </c>
      <c r="K597" t="s">
        <v>15</v>
      </c>
      <c r="L597" s="42">
        <v>0</v>
      </c>
      <c r="M597" s="10">
        <v>31500000</v>
      </c>
      <c r="N597" s="10">
        <f t="shared" si="9"/>
        <v>31500000</v>
      </c>
      <c r="O597" t="s">
        <v>704</v>
      </c>
    </row>
    <row r="598" spans="1:15" x14ac:dyDescent="0.25">
      <c r="A598" t="s">
        <v>1265</v>
      </c>
      <c r="B598" t="s">
        <v>13</v>
      </c>
      <c r="C598" s="12">
        <v>46055</v>
      </c>
      <c r="D598" s="12">
        <v>46203</v>
      </c>
      <c r="E598" t="s">
        <v>775</v>
      </c>
      <c r="F598" t="s">
        <v>14</v>
      </c>
      <c r="G598">
        <v>1085288297</v>
      </c>
      <c r="H598" t="s">
        <v>940</v>
      </c>
      <c r="I598">
        <v>43624414</v>
      </c>
      <c r="J598" t="s">
        <v>14</v>
      </c>
      <c r="K598" t="s">
        <v>18</v>
      </c>
      <c r="L598" s="42">
        <v>0</v>
      </c>
      <c r="M598" s="10">
        <v>15750000</v>
      </c>
      <c r="N598" s="10">
        <f t="shared" si="9"/>
        <v>15750000</v>
      </c>
      <c r="O598" t="s">
        <v>704</v>
      </c>
    </row>
    <row r="599" spans="1:15" x14ac:dyDescent="0.25">
      <c r="A599" t="s">
        <v>1266</v>
      </c>
      <c r="B599" t="s">
        <v>13</v>
      </c>
      <c r="C599" s="12">
        <v>46055</v>
      </c>
      <c r="D599" s="12">
        <v>46203</v>
      </c>
      <c r="E599" t="s">
        <v>775</v>
      </c>
      <c r="F599" t="s">
        <v>14</v>
      </c>
      <c r="G599">
        <v>1089458129</v>
      </c>
      <c r="H599" t="s">
        <v>862</v>
      </c>
      <c r="I599">
        <v>43624414</v>
      </c>
      <c r="J599" t="s">
        <v>14</v>
      </c>
      <c r="K599" t="s">
        <v>18</v>
      </c>
      <c r="L599" s="42">
        <v>0</v>
      </c>
      <c r="M599" s="10">
        <v>15750000</v>
      </c>
      <c r="N599" s="10">
        <f t="shared" si="9"/>
        <v>15750000</v>
      </c>
      <c r="O599" t="s">
        <v>704</v>
      </c>
    </row>
    <row r="600" spans="1:15" x14ac:dyDescent="0.25">
      <c r="A600" t="s">
        <v>1267</v>
      </c>
      <c r="B600" t="s">
        <v>13</v>
      </c>
      <c r="C600" s="12">
        <v>46055</v>
      </c>
      <c r="D600" s="12">
        <v>46203</v>
      </c>
      <c r="E600" t="s">
        <v>775</v>
      </c>
      <c r="F600" t="s">
        <v>14</v>
      </c>
      <c r="G600">
        <v>1085283202</v>
      </c>
      <c r="H600" t="s">
        <v>958</v>
      </c>
      <c r="I600">
        <v>98390119</v>
      </c>
      <c r="J600" t="s">
        <v>14</v>
      </c>
      <c r="K600" t="s">
        <v>63</v>
      </c>
      <c r="L600" s="42">
        <v>0</v>
      </c>
      <c r="M600" s="10">
        <v>31500000</v>
      </c>
      <c r="N600" s="10">
        <f t="shared" si="9"/>
        <v>31500000</v>
      </c>
      <c r="O600" t="s">
        <v>704</v>
      </c>
    </row>
    <row r="601" spans="1:15" x14ac:dyDescent="0.25">
      <c r="A601" t="s">
        <v>1268</v>
      </c>
      <c r="B601" t="s">
        <v>13</v>
      </c>
      <c r="C601" s="12">
        <v>46055</v>
      </c>
      <c r="D601" s="12">
        <v>46203</v>
      </c>
      <c r="E601" t="s">
        <v>775</v>
      </c>
      <c r="F601" t="s">
        <v>14</v>
      </c>
      <c r="G601">
        <v>27224982</v>
      </c>
      <c r="H601" t="s">
        <v>907</v>
      </c>
      <c r="I601">
        <v>98390119</v>
      </c>
      <c r="J601" t="s">
        <v>14</v>
      </c>
      <c r="K601" t="s">
        <v>63</v>
      </c>
      <c r="L601" s="42">
        <v>0</v>
      </c>
      <c r="M601" s="10">
        <v>31500000</v>
      </c>
      <c r="N601" s="10">
        <f t="shared" si="9"/>
        <v>31500000</v>
      </c>
      <c r="O601" t="s">
        <v>704</v>
      </c>
    </row>
    <row r="602" spans="1:15" x14ac:dyDescent="0.25">
      <c r="A602" t="s">
        <v>1269</v>
      </c>
      <c r="B602" t="s">
        <v>13</v>
      </c>
      <c r="C602" s="12">
        <v>46055</v>
      </c>
      <c r="D602" s="12">
        <v>46203</v>
      </c>
      <c r="E602" t="s">
        <v>775</v>
      </c>
      <c r="F602" t="s">
        <v>14</v>
      </c>
      <c r="G602">
        <v>1004542606</v>
      </c>
      <c r="H602" t="s">
        <v>876</v>
      </c>
      <c r="I602">
        <v>98333941</v>
      </c>
      <c r="J602" t="s">
        <v>14</v>
      </c>
      <c r="K602" t="s">
        <v>15</v>
      </c>
      <c r="L602" s="42">
        <v>0</v>
      </c>
      <c r="M602" s="10">
        <v>15750000</v>
      </c>
      <c r="N602" s="10">
        <f t="shared" si="9"/>
        <v>15750000</v>
      </c>
      <c r="O602" t="s">
        <v>704</v>
      </c>
    </row>
    <row r="603" spans="1:15" x14ac:dyDescent="0.25">
      <c r="A603" t="s">
        <v>1270</v>
      </c>
      <c r="B603" t="s">
        <v>13</v>
      </c>
      <c r="C603" s="12">
        <v>46055</v>
      </c>
      <c r="D603" s="12">
        <v>46203</v>
      </c>
      <c r="E603" t="s">
        <v>775</v>
      </c>
      <c r="F603" t="s">
        <v>14</v>
      </c>
      <c r="G603">
        <v>1085252484</v>
      </c>
      <c r="H603" t="s">
        <v>897</v>
      </c>
      <c r="I603">
        <v>98333941</v>
      </c>
      <c r="J603" t="s">
        <v>14</v>
      </c>
      <c r="K603" t="s">
        <v>15</v>
      </c>
      <c r="L603" s="42">
        <v>0</v>
      </c>
      <c r="M603" s="10">
        <v>31500000</v>
      </c>
      <c r="N603" s="10">
        <f t="shared" si="9"/>
        <v>31500000</v>
      </c>
      <c r="O603" t="s">
        <v>704</v>
      </c>
    </row>
    <row r="604" spans="1:15" x14ac:dyDescent="0.25">
      <c r="A604" t="s">
        <v>1271</v>
      </c>
      <c r="B604" t="s">
        <v>13</v>
      </c>
      <c r="C604" s="12">
        <v>46055</v>
      </c>
      <c r="D604" s="12">
        <v>46112</v>
      </c>
      <c r="E604" t="s">
        <v>744</v>
      </c>
      <c r="F604" t="s">
        <v>14</v>
      </c>
      <c r="G604">
        <v>1085310394</v>
      </c>
      <c r="H604" t="s">
        <v>840</v>
      </c>
      <c r="I604">
        <v>98333941</v>
      </c>
      <c r="J604" t="s">
        <v>14</v>
      </c>
      <c r="K604" t="s">
        <v>15</v>
      </c>
      <c r="L604" s="42">
        <v>0</v>
      </c>
      <c r="M604" s="10">
        <v>23400000</v>
      </c>
      <c r="N604" s="10">
        <f t="shared" si="9"/>
        <v>23400000</v>
      </c>
      <c r="O604" t="s">
        <v>704</v>
      </c>
    </row>
    <row r="605" spans="1:15" x14ac:dyDescent="0.25">
      <c r="A605" t="s">
        <v>1272</v>
      </c>
      <c r="B605" t="s">
        <v>13</v>
      </c>
      <c r="C605" s="12">
        <v>46055</v>
      </c>
      <c r="D605" s="12">
        <v>46203</v>
      </c>
      <c r="E605" t="s">
        <v>775</v>
      </c>
      <c r="F605" t="s">
        <v>14</v>
      </c>
      <c r="G605">
        <v>1086224323</v>
      </c>
      <c r="H605" t="s">
        <v>908</v>
      </c>
      <c r="I605">
        <v>98390119</v>
      </c>
      <c r="J605" t="s">
        <v>14</v>
      </c>
      <c r="K605" t="s">
        <v>63</v>
      </c>
      <c r="L605" s="42">
        <v>0</v>
      </c>
      <c r="M605" s="10">
        <v>15750000</v>
      </c>
      <c r="N605" s="10">
        <f t="shared" si="9"/>
        <v>15750000</v>
      </c>
      <c r="O605" t="s">
        <v>704</v>
      </c>
    </row>
    <row r="606" spans="1:15" x14ac:dyDescent="0.25">
      <c r="A606" t="s">
        <v>1273</v>
      </c>
      <c r="B606" t="s">
        <v>13</v>
      </c>
      <c r="C606" s="12">
        <v>46055</v>
      </c>
      <c r="D606" s="12">
        <v>46203</v>
      </c>
      <c r="E606" t="s">
        <v>775</v>
      </c>
      <c r="F606" t="s">
        <v>14</v>
      </c>
      <c r="G606">
        <v>1086362994</v>
      </c>
      <c r="H606" t="s">
        <v>877</v>
      </c>
      <c r="I606">
        <v>98333941</v>
      </c>
      <c r="J606" t="s">
        <v>14</v>
      </c>
      <c r="K606" t="s">
        <v>15</v>
      </c>
      <c r="L606" s="42">
        <v>0</v>
      </c>
      <c r="M606" s="10">
        <v>15750000</v>
      </c>
      <c r="N606" s="10">
        <f t="shared" si="9"/>
        <v>15750000</v>
      </c>
      <c r="O606" t="s">
        <v>704</v>
      </c>
    </row>
    <row r="607" spans="1:15" x14ac:dyDescent="0.25">
      <c r="A607" t="s">
        <v>1274</v>
      </c>
      <c r="B607" t="s">
        <v>13</v>
      </c>
      <c r="C607" s="12">
        <v>46056</v>
      </c>
      <c r="D607" s="12">
        <v>46203</v>
      </c>
      <c r="E607" t="s">
        <v>775</v>
      </c>
      <c r="F607" t="s">
        <v>14</v>
      </c>
      <c r="G607">
        <v>36951884</v>
      </c>
      <c r="H607" t="s">
        <v>880</v>
      </c>
      <c r="I607">
        <v>98390119</v>
      </c>
      <c r="J607" t="s">
        <v>14</v>
      </c>
      <c r="K607" t="s">
        <v>63</v>
      </c>
      <c r="L607" s="42">
        <v>0</v>
      </c>
      <c r="M607" s="10">
        <v>15750000</v>
      </c>
      <c r="N607" s="10">
        <f t="shared" si="9"/>
        <v>15750000</v>
      </c>
      <c r="O607" t="s">
        <v>704</v>
      </c>
    </row>
    <row r="608" spans="1:15" x14ac:dyDescent="0.25">
      <c r="A608" t="s">
        <v>1275</v>
      </c>
      <c r="B608" t="s">
        <v>13</v>
      </c>
      <c r="C608" s="12">
        <v>46056</v>
      </c>
      <c r="D608" s="12">
        <v>46203</v>
      </c>
      <c r="E608" t="s">
        <v>775</v>
      </c>
      <c r="F608" t="s">
        <v>14</v>
      </c>
      <c r="G608">
        <v>1085311576</v>
      </c>
      <c r="H608" t="s">
        <v>909</v>
      </c>
      <c r="I608">
        <v>98390119</v>
      </c>
      <c r="J608" t="s">
        <v>14</v>
      </c>
      <c r="K608" t="s">
        <v>63</v>
      </c>
      <c r="L608" s="42">
        <v>0</v>
      </c>
      <c r="M608" s="10">
        <v>15750000</v>
      </c>
      <c r="N608" s="10">
        <f t="shared" si="9"/>
        <v>15750000</v>
      </c>
      <c r="O608" t="s">
        <v>704</v>
      </c>
    </row>
    <row r="609" spans="1:15" x14ac:dyDescent="0.25">
      <c r="A609" t="s">
        <v>1276</v>
      </c>
      <c r="B609" t="s">
        <v>13</v>
      </c>
      <c r="C609" s="12">
        <v>46056</v>
      </c>
      <c r="D609" s="12">
        <v>46203</v>
      </c>
      <c r="E609" t="s">
        <v>775</v>
      </c>
      <c r="F609" t="s">
        <v>14</v>
      </c>
      <c r="G609">
        <v>27444591</v>
      </c>
      <c r="H609" t="s">
        <v>244</v>
      </c>
      <c r="I609">
        <v>43624414</v>
      </c>
      <c r="J609" t="s">
        <v>14</v>
      </c>
      <c r="K609" t="s">
        <v>18</v>
      </c>
      <c r="L609" s="42">
        <v>0</v>
      </c>
      <c r="M609" s="10">
        <v>15750000</v>
      </c>
      <c r="N609" s="10">
        <f t="shared" si="9"/>
        <v>15750000</v>
      </c>
      <c r="O609" t="s">
        <v>704</v>
      </c>
    </row>
    <row r="610" spans="1:15" x14ac:dyDescent="0.25">
      <c r="A610" t="s">
        <v>1277</v>
      </c>
      <c r="B610" t="s">
        <v>13</v>
      </c>
      <c r="C610" s="12">
        <v>46056</v>
      </c>
      <c r="D610" s="12">
        <v>46203</v>
      </c>
      <c r="E610" t="s">
        <v>775</v>
      </c>
      <c r="F610" t="s">
        <v>14</v>
      </c>
      <c r="G610">
        <v>1081276122</v>
      </c>
      <c r="H610" t="s">
        <v>918</v>
      </c>
      <c r="I610">
        <v>98390119</v>
      </c>
      <c r="J610" t="s">
        <v>14</v>
      </c>
      <c r="K610" t="s">
        <v>63</v>
      </c>
      <c r="L610" s="42">
        <v>0</v>
      </c>
      <c r="M610" s="10">
        <v>15750000</v>
      </c>
      <c r="N610" s="10">
        <f t="shared" si="9"/>
        <v>15750000</v>
      </c>
      <c r="O610" t="s">
        <v>704</v>
      </c>
    </row>
    <row r="611" spans="1:15" x14ac:dyDescent="0.25">
      <c r="A611" t="s">
        <v>1278</v>
      </c>
      <c r="B611" t="s">
        <v>13</v>
      </c>
      <c r="C611" s="12">
        <v>46056</v>
      </c>
      <c r="D611" s="12">
        <v>46081</v>
      </c>
      <c r="E611" t="s">
        <v>775</v>
      </c>
      <c r="F611" t="s">
        <v>14</v>
      </c>
      <c r="G611">
        <v>1084551863</v>
      </c>
      <c r="H611" t="s">
        <v>668</v>
      </c>
      <c r="I611">
        <v>98333941</v>
      </c>
      <c r="J611" t="s">
        <v>14</v>
      </c>
      <c r="K611" t="s">
        <v>15</v>
      </c>
      <c r="L611" s="42">
        <v>0</v>
      </c>
      <c r="M611" s="10">
        <v>6300000</v>
      </c>
      <c r="N611" s="10">
        <f t="shared" si="9"/>
        <v>6300000</v>
      </c>
      <c r="O611" t="s">
        <v>704</v>
      </c>
    </row>
    <row r="612" spans="1:15" x14ac:dyDescent="0.25">
      <c r="A612" t="s">
        <v>1279</v>
      </c>
      <c r="B612" t="s">
        <v>13</v>
      </c>
      <c r="C612" s="12">
        <v>46056</v>
      </c>
      <c r="D612" s="12">
        <v>46203</v>
      </c>
      <c r="E612" t="s">
        <v>775</v>
      </c>
      <c r="F612" t="s">
        <v>14</v>
      </c>
      <c r="G612">
        <v>1004696654</v>
      </c>
      <c r="H612" t="s">
        <v>893</v>
      </c>
      <c r="I612">
        <v>98333941</v>
      </c>
      <c r="J612" t="s">
        <v>14</v>
      </c>
      <c r="K612" t="s">
        <v>15</v>
      </c>
      <c r="L612" s="42">
        <v>0</v>
      </c>
      <c r="M612" s="10">
        <v>31500000</v>
      </c>
      <c r="N612" s="10">
        <f t="shared" si="9"/>
        <v>31500000</v>
      </c>
      <c r="O612" t="s">
        <v>704</v>
      </c>
    </row>
    <row r="613" spans="1:15" x14ac:dyDescent="0.25">
      <c r="A613" t="s">
        <v>1280</v>
      </c>
      <c r="B613" t="s">
        <v>13</v>
      </c>
      <c r="C613" s="12">
        <v>46057</v>
      </c>
      <c r="D613" s="12">
        <v>46142</v>
      </c>
      <c r="E613" t="s">
        <v>744</v>
      </c>
      <c r="F613" t="s">
        <v>14</v>
      </c>
      <c r="G613">
        <v>1085274738</v>
      </c>
      <c r="H613" t="s">
        <v>869</v>
      </c>
      <c r="I613">
        <v>59836926</v>
      </c>
      <c r="J613" t="s">
        <v>14</v>
      </c>
      <c r="K613" t="s">
        <v>17</v>
      </c>
      <c r="L613" s="42">
        <v>0</v>
      </c>
      <c r="M613" s="10">
        <v>14190000</v>
      </c>
      <c r="N613" s="10">
        <f t="shared" si="9"/>
        <v>14190000</v>
      </c>
      <c r="O613" t="s">
        <v>704</v>
      </c>
    </row>
    <row r="614" spans="1:15" x14ac:dyDescent="0.25">
      <c r="A614" t="s">
        <v>1281</v>
      </c>
      <c r="B614" t="s">
        <v>13</v>
      </c>
      <c r="C614" s="12">
        <v>46058</v>
      </c>
      <c r="D614" s="12">
        <v>46203</v>
      </c>
      <c r="E614" t="s">
        <v>775</v>
      </c>
      <c r="F614" t="s">
        <v>14</v>
      </c>
      <c r="G614">
        <v>59123038</v>
      </c>
      <c r="H614" t="s">
        <v>919</v>
      </c>
      <c r="I614">
        <v>98390119</v>
      </c>
      <c r="J614" t="s">
        <v>14</v>
      </c>
      <c r="K614" t="s">
        <v>63</v>
      </c>
      <c r="L614" s="42">
        <v>0</v>
      </c>
      <c r="M614" s="10">
        <v>15750000</v>
      </c>
      <c r="N614" s="10">
        <f t="shared" si="9"/>
        <v>15750000</v>
      </c>
      <c r="O614" t="s">
        <v>704</v>
      </c>
    </row>
    <row r="615" spans="1:15" x14ac:dyDescent="0.25">
      <c r="A615" t="s">
        <v>1282</v>
      </c>
      <c r="B615" t="s">
        <v>13</v>
      </c>
      <c r="C615" s="12">
        <v>46058</v>
      </c>
      <c r="D615" s="12">
        <v>46203</v>
      </c>
      <c r="E615" t="s">
        <v>775</v>
      </c>
      <c r="F615" t="s">
        <v>14</v>
      </c>
      <c r="G615">
        <v>1137089261</v>
      </c>
      <c r="H615" t="s">
        <v>945</v>
      </c>
      <c r="I615">
        <v>43624414</v>
      </c>
      <c r="J615" t="s">
        <v>14</v>
      </c>
      <c r="K615" t="s">
        <v>18</v>
      </c>
      <c r="L615" s="42">
        <v>0</v>
      </c>
      <c r="M615" s="10">
        <v>15750000</v>
      </c>
      <c r="N615" s="10">
        <f t="shared" si="9"/>
        <v>15750000</v>
      </c>
      <c r="O615" t="s">
        <v>704</v>
      </c>
    </row>
    <row r="616" spans="1:15" x14ac:dyDescent="0.25">
      <c r="A616" t="s">
        <v>1283</v>
      </c>
      <c r="B616" t="s">
        <v>13</v>
      </c>
      <c r="C616" s="12">
        <v>46058</v>
      </c>
      <c r="D616" s="12">
        <v>46203</v>
      </c>
      <c r="E616" t="s">
        <v>775</v>
      </c>
      <c r="F616" t="s">
        <v>14</v>
      </c>
      <c r="G616">
        <v>1086222412</v>
      </c>
      <c r="H616" t="s">
        <v>921</v>
      </c>
      <c r="I616">
        <v>59836926</v>
      </c>
      <c r="J616" t="s">
        <v>14</v>
      </c>
      <c r="K616" t="s">
        <v>17</v>
      </c>
      <c r="L616" s="42">
        <v>0</v>
      </c>
      <c r="M616" s="10">
        <v>15750000</v>
      </c>
      <c r="N616" s="10">
        <f t="shared" si="9"/>
        <v>15750000</v>
      </c>
      <c r="O616" t="s">
        <v>704</v>
      </c>
    </row>
    <row r="617" spans="1:15" x14ac:dyDescent="0.25">
      <c r="A617" t="s">
        <v>1284</v>
      </c>
      <c r="B617" t="s">
        <v>13</v>
      </c>
      <c r="C617" s="12">
        <v>46058</v>
      </c>
      <c r="D617" s="12">
        <v>46203</v>
      </c>
      <c r="E617" t="s">
        <v>775</v>
      </c>
      <c r="F617" t="s">
        <v>14</v>
      </c>
      <c r="G617">
        <v>1089197187</v>
      </c>
      <c r="H617" t="s">
        <v>950</v>
      </c>
      <c r="I617">
        <v>98333941</v>
      </c>
      <c r="J617" t="s">
        <v>14</v>
      </c>
      <c r="K617" t="s">
        <v>15</v>
      </c>
      <c r="L617" s="42">
        <v>0</v>
      </c>
      <c r="M617" s="10">
        <v>15750000</v>
      </c>
      <c r="N617" s="10">
        <f t="shared" si="9"/>
        <v>15750000</v>
      </c>
      <c r="O617" t="s">
        <v>704</v>
      </c>
    </row>
    <row r="618" spans="1:15" x14ac:dyDescent="0.25">
      <c r="A618" t="s">
        <v>1285</v>
      </c>
      <c r="B618" t="s">
        <v>13</v>
      </c>
      <c r="C618" s="12">
        <v>46058</v>
      </c>
      <c r="D618" s="12">
        <v>46203</v>
      </c>
      <c r="E618" t="s">
        <v>775</v>
      </c>
      <c r="F618" t="s">
        <v>14</v>
      </c>
      <c r="G618">
        <v>1086223716</v>
      </c>
      <c r="H618" t="s">
        <v>946</v>
      </c>
      <c r="I618">
        <v>43624414</v>
      </c>
      <c r="J618" t="s">
        <v>14</v>
      </c>
      <c r="K618" t="s">
        <v>18</v>
      </c>
      <c r="L618" s="42">
        <v>0</v>
      </c>
      <c r="M618" s="10">
        <v>15750000</v>
      </c>
      <c r="N618" s="10">
        <f t="shared" si="9"/>
        <v>15750000</v>
      </c>
      <c r="O618" t="s">
        <v>704</v>
      </c>
    </row>
    <row r="619" spans="1:15" x14ac:dyDescent="0.25">
      <c r="A619" t="s">
        <v>1286</v>
      </c>
      <c r="B619" t="s">
        <v>13</v>
      </c>
      <c r="C619" s="12">
        <v>46058</v>
      </c>
      <c r="D619" s="12">
        <v>46203</v>
      </c>
      <c r="E619" t="s">
        <v>775</v>
      </c>
      <c r="F619" t="s">
        <v>14</v>
      </c>
      <c r="G619">
        <v>1086225739</v>
      </c>
      <c r="H619" t="s">
        <v>943</v>
      </c>
      <c r="I619">
        <v>43624414</v>
      </c>
      <c r="J619" t="s">
        <v>14</v>
      </c>
      <c r="K619" t="s">
        <v>18</v>
      </c>
      <c r="L619" s="42">
        <v>0</v>
      </c>
      <c r="M619" s="10">
        <v>15750000</v>
      </c>
      <c r="N619" s="10">
        <f t="shared" si="9"/>
        <v>15750000</v>
      </c>
      <c r="O619" t="s">
        <v>704</v>
      </c>
    </row>
    <row r="620" spans="1:15" x14ac:dyDescent="0.25">
      <c r="A620" t="s">
        <v>1287</v>
      </c>
      <c r="B620" t="s">
        <v>13</v>
      </c>
      <c r="C620" s="12">
        <v>46059</v>
      </c>
      <c r="D620" s="12">
        <v>46203</v>
      </c>
      <c r="E620" t="s">
        <v>775</v>
      </c>
      <c r="F620" t="s">
        <v>14</v>
      </c>
      <c r="G620">
        <v>1193265831</v>
      </c>
      <c r="H620" t="s">
        <v>896</v>
      </c>
      <c r="I620">
        <v>98390119</v>
      </c>
      <c r="J620" t="s">
        <v>14</v>
      </c>
      <c r="K620" t="s">
        <v>63</v>
      </c>
      <c r="L620" s="42">
        <v>0</v>
      </c>
      <c r="M620" s="10">
        <v>15750000</v>
      </c>
      <c r="N620" s="10">
        <f t="shared" si="9"/>
        <v>15750000</v>
      </c>
      <c r="O620" t="s">
        <v>704</v>
      </c>
    </row>
    <row r="621" spans="1:15" x14ac:dyDescent="0.25">
      <c r="A621" t="s">
        <v>1288</v>
      </c>
      <c r="B621" t="s">
        <v>13</v>
      </c>
      <c r="C621" s="12">
        <v>46059</v>
      </c>
      <c r="D621" s="12">
        <v>46203</v>
      </c>
      <c r="E621" t="s">
        <v>775</v>
      </c>
      <c r="F621" t="s">
        <v>14</v>
      </c>
      <c r="G621">
        <v>1086223925</v>
      </c>
      <c r="H621" t="s">
        <v>947</v>
      </c>
      <c r="I621">
        <v>43624414</v>
      </c>
      <c r="J621" t="s">
        <v>14</v>
      </c>
      <c r="K621" t="s">
        <v>18</v>
      </c>
      <c r="L621" s="42">
        <v>0</v>
      </c>
      <c r="M621" s="10">
        <v>15750000</v>
      </c>
      <c r="N621" s="10">
        <f t="shared" si="9"/>
        <v>15750000</v>
      </c>
      <c r="O621" t="s">
        <v>704</v>
      </c>
    </row>
    <row r="622" spans="1:15" x14ac:dyDescent="0.25">
      <c r="A622" t="s">
        <v>1289</v>
      </c>
      <c r="B622" t="s">
        <v>13</v>
      </c>
      <c r="C622" s="12">
        <v>46059</v>
      </c>
      <c r="D622" s="12">
        <v>46203</v>
      </c>
      <c r="E622" t="s">
        <v>775</v>
      </c>
      <c r="F622" t="s">
        <v>14</v>
      </c>
      <c r="G622">
        <v>1089844032</v>
      </c>
      <c r="H622" t="s">
        <v>883</v>
      </c>
      <c r="I622">
        <v>98333941</v>
      </c>
      <c r="J622" t="s">
        <v>14</v>
      </c>
      <c r="K622" t="s">
        <v>15</v>
      </c>
      <c r="L622" s="42">
        <v>0</v>
      </c>
      <c r="M622" s="10">
        <v>31500000</v>
      </c>
      <c r="N622" s="10">
        <f t="shared" si="9"/>
        <v>31500000</v>
      </c>
      <c r="O622" t="s">
        <v>704</v>
      </c>
    </row>
    <row r="623" spans="1:15" x14ac:dyDescent="0.25">
      <c r="A623" t="s">
        <v>1290</v>
      </c>
      <c r="B623" t="s">
        <v>13</v>
      </c>
      <c r="C623" s="12">
        <v>46059</v>
      </c>
      <c r="D623" s="12">
        <v>46203</v>
      </c>
      <c r="E623" t="s">
        <v>775</v>
      </c>
      <c r="F623" t="s">
        <v>14</v>
      </c>
      <c r="G623">
        <v>1004595921</v>
      </c>
      <c r="H623" t="s">
        <v>882</v>
      </c>
      <c r="I623">
        <v>98390119</v>
      </c>
      <c r="J623" t="s">
        <v>14</v>
      </c>
      <c r="K623" t="s">
        <v>63</v>
      </c>
      <c r="L623" s="42">
        <v>0</v>
      </c>
      <c r="M623" s="10">
        <v>15750000</v>
      </c>
      <c r="N623" s="10">
        <f t="shared" si="9"/>
        <v>15750000</v>
      </c>
      <c r="O623" t="s">
        <v>704</v>
      </c>
    </row>
    <row r="624" spans="1:15" x14ac:dyDescent="0.25">
      <c r="A624" t="s">
        <v>1291</v>
      </c>
      <c r="B624" t="s">
        <v>13</v>
      </c>
      <c r="C624" s="12">
        <v>46059</v>
      </c>
      <c r="D624" s="12">
        <v>46081</v>
      </c>
      <c r="E624" t="s">
        <v>744</v>
      </c>
      <c r="F624" t="s">
        <v>14</v>
      </c>
      <c r="G624">
        <v>1233192618</v>
      </c>
      <c r="H624" t="s">
        <v>924</v>
      </c>
      <c r="I624">
        <v>43624414</v>
      </c>
      <c r="J624" t="s">
        <v>14</v>
      </c>
      <c r="K624" t="s">
        <v>18</v>
      </c>
      <c r="L624" s="42">
        <v>0</v>
      </c>
      <c r="M624" s="10">
        <v>4730000</v>
      </c>
      <c r="N624" s="10">
        <f t="shared" si="9"/>
        <v>4730000</v>
      </c>
      <c r="O624" t="s">
        <v>704</v>
      </c>
    </row>
    <row r="625" spans="1:15" x14ac:dyDescent="0.25">
      <c r="A625" t="s">
        <v>1292</v>
      </c>
      <c r="B625" t="s">
        <v>13</v>
      </c>
      <c r="C625" s="12">
        <v>46059</v>
      </c>
      <c r="D625" s="12">
        <v>46203</v>
      </c>
      <c r="E625" t="s">
        <v>775</v>
      </c>
      <c r="F625" t="s">
        <v>14</v>
      </c>
      <c r="G625">
        <v>1193458466</v>
      </c>
      <c r="H625" t="s">
        <v>889</v>
      </c>
      <c r="I625">
        <v>43624414</v>
      </c>
      <c r="J625" t="s">
        <v>14</v>
      </c>
      <c r="K625" t="s">
        <v>18</v>
      </c>
      <c r="L625" s="42">
        <v>0</v>
      </c>
      <c r="M625" s="10">
        <v>15750000</v>
      </c>
      <c r="N625" s="10">
        <f t="shared" si="9"/>
        <v>15750000</v>
      </c>
      <c r="O625" t="s">
        <v>704</v>
      </c>
    </row>
    <row r="626" spans="1:15" x14ac:dyDescent="0.25">
      <c r="A626" t="s">
        <v>1293</v>
      </c>
      <c r="B626" t="s">
        <v>13</v>
      </c>
      <c r="C626" s="12">
        <v>46062</v>
      </c>
      <c r="D626" s="12">
        <v>46203</v>
      </c>
      <c r="E626" t="s">
        <v>775</v>
      </c>
      <c r="F626" t="s">
        <v>14</v>
      </c>
      <c r="G626">
        <v>27110237</v>
      </c>
      <c r="H626" t="s">
        <v>952</v>
      </c>
      <c r="I626">
        <v>98333941</v>
      </c>
      <c r="J626" t="s">
        <v>14</v>
      </c>
      <c r="K626" t="s">
        <v>15</v>
      </c>
      <c r="L626" s="42">
        <v>0</v>
      </c>
      <c r="M626" s="10">
        <v>15750000</v>
      </c>
      <c r="N626" s="10">
        <f t="shared" si="9"/>
        <v>15750000</v>
      </c>
      <c r="O626" t="s">
        <v>704</v>
      </c>
    </row>
    <row r="627" spans="1:15" x14ac:dyDescent="0.25">
      <c r="A627" t="s">
        <v>1294</v>
      </c>
      <c r="B627" t="s">
        <v>13</v>
      </c>
      <c r="C627" s="12">
        <v>46062</v>
      </c>
      <c r="D627" s="12">
        <v>46142</v>
      </c>
      <c r="E627" t="s">
        <v>744</v>
      </c>
      <c r="F627" t="s">
        <v>14</v>
      </c>
      <c r="G627">
        <v>1004561553</v>
      </c>
      <c r="H627" t="s">
        <v>864</v>
      </c>
      <c r="I627">
        <v>98390119</v>
      </c>
      <c r="J627" t="s">
        <v>14</v>
      </c>
      <c r="K627" t="s">
        <v>63</v>
      </c>
      <c r="L627" s="42">
        <v>0</v>
      </c>
      <c r="M627" s="10">
        <v>23400000</v>
      </c>
      <c r="N627" s="10">
        <f t="shared" si="9"/>
        <v>23400000</v>
      </c>
      <c r="O627" t="s">
        <v>704</v>
      </c>
    </row>
    <row r="628" spans="1:15" x14ac:dyDescent="0.25">
      <c r="A628" t="s">
        <v>1295</v>
      </c>
      <c r="B628" t="s">
        <v>13</v>
      </c>
      <c r="C628" s="12">
        <v>46062</v>
      </c>
      <c r="D628" s="12">
        <v>46142</v>
      </c>
      <c r="E628" t="s">
        <v>744</v>
      </c>
      <c r="F628" t="s">
        <v>14</v>
      </c>
      <c r="G628">
        <v>1087119615</v>
      </c>
      <c r="H628" t="s">
        <v>964</v>
      </c>
      <c r="I628">
        <v>59836926</v>
      </c>
      <c r="J628" t="s">
        <v>14</v>
      </c>
      <c r="K628" t="s">
        <v>17</v>
      </c>
      <c r="L628" s="42">
        <v>0</v>
      </c>
      <c r="M628" s="10"/>
      <c r="N628" s="10">
        <f t="shared" si="9"/>
        <v>0</v>
      </c>
      <c r="O628" t="s">
        <v>704</v>
      </c>
    </row>
    <row r="629" spans="1:15" x14ac:dyDescent="0.25">
      <c r="A629" t="s">
        <v>1296</v>
      </c>
      <c r="B629" t="s">
        <v>13</v>
      </c>
      <c r="C629" s="12">
        <v>46063</v>
      </c>
      <c r="D629" s="12">
        <v>46203</v>
      </c>
      <c r="E629" t="s">
        <v>775</v>
      </c>
      <c r="F629" t="s">
        <v>14</v>
      </c>
      <c r="G629">
        <v>27090131</v>
      </c>
      <c r="H629" t="s">
        <v>951</v>
      </c>
      <c r="I629">
        <v>98390119</v>
      </c>
      <c r="J629" t="s">
        <v>14</v>
      </c>
      <c r="K629" t="s">
        <v>63</v>
      </c>
      <c r="L629" s="42">
        <v>0</v>
      </c>
      <c r="M629" s="10">
        <v>15750000</v>
      </c>
      <c r="N629" s="10">
        <f t="shared" si="9"/>
        <v>15750000</v>
      </c>
      <c r="O629" t="s">
        <v>704</v>
      </c>
    </row>
    <row r="630" spans="1:15" x14ac:dyDescent="0.25">
      <c r="A630" t="s">
        <v>1297</v>
      </c>
      <c r="B630" t="s">
        <v>13</v>
      </c>
      <c r="C630" s="12">
        <v>46063</v>
      </c>
      <c r="D630" s="12">
        <v>46203</v>
      </c>
      <c r="E630" t="s">
        <v>775</v>
      </c>
      <c r="F630" t="s">
        <v>14</v>
      </c>
      <c r="G630">
        <v>1004216587</v>
      </c>
      <c r="H630" t="s">
        <v>956</v>
      </c>
      <c r="I630">
        <v>98390119</v>
      </c>
      <c r="J630" t="s">
        <v>14</v>
      </c>
      <c r="K630" t="s">
        <v>63</v>
      </c>
      <c r="L630" s="42">
        <v>0</v>
      </c>
      <c r="M630" s="10">
        <v>15750000</v>
      </c>
      <c r="N630" s="10">
        <f t="shared" si="9"/>
        <v>15750000</v>
      </c>
      <c r="O630" t="s">
        <v>704</v>
      </c>
    </row>
    <row r="631" spans="1:15" x14ac:dyDescent="0.25">
      <c r="A631" t="s">
        <v>1298</v>
      </c>
      <c r="B631" t="s">
        <v>13</v>
      </c>
      <c r="C631" s="12">
        <v>46063</v>
      </c>
      <c r="D631" s="12">
        <v>46142</v>
      </c>
      <c r="E631" t="s">
        <v>793</v>
      </c>
      <c r="F631" t="s">
        <v>14</v>
      </c>
      <c r="G631">
        <v>1233190640</v>
      </c>
      <c r="H631" t="s">
        <v>536</v>
      </c>
      <c r="I631">
        <v>43624414</v>
      </c>
      <c r="J631" t="s">
        <v>14</v>
      </c>
      <c r="K631" t="s">
        <v>18</v>
      </c>
      <c r="L631" s="42">
        <v>0</v>
      </c>
      <c r="M631" s="10">
        <v>6000000</v>
      </c>
      <c r="N631" s="10">
        <f t="shared" si="9"/>
        <v>6000000</v>
      </c>
      <c r="O631" t="s">
        <v>704</v>
      </c>
    </row>
    <row r="632" spans="1:15" x14ac:dyDescent="0.25">
      <c r="A632" t="s">
        <v>1299</v>
      </c>
      <c r="B632" t="s">
        <v>13</v>
      </c>
      <c r="C632" s="12">
        <v>46063</v>
      </c>
      <c r="D632" s="12">
        <v>46142</v>
      </c>
      <c r="E632" t="s">
        <v>744</v>
      </c>
      <c r="F632" t="s">
        <v>14</v>
      </c>
      <c r="G632">
        <v>1085329230</v>
      </c>
      <c r="H632" t="s">
        <v>892</v>
      </c>
      <c r="I632">
        <v>98390119</v>
      </c>
      <c r="J632" t="s">
        <v>14</v>
      </c>
      <c r="K632" t="s">
        <v>63</v>
      </c>
      <c r="L632" s="42">
        <v>0</v>
      </c>
      <c r="M632" s="10">
        <v>23400000</v>
      </c>
      <c r="N632" s="10">
        <f t="shared" si="9"/>
        <v>23400000</v>
      </c>
      <c r="O632" t="s">
        <v>704</v>
      </c>
    </row>
    <row r="633" spans="1:15" x14ac:dyDescent="0.25">
      <c r="A633" t="s">
        <v>1300</v>
      </c>
      <c r="B633" t="s">
        <v>13</v>
      </c>
      <c r="C633" s="12">
        <v>46063</v>
      </c>
      <c r="D633" s="12">
        <v>46142</v>
      </c>
      <c r="E633" t="s">
        <v>775</v>
      </c>
      <c r="F633" t="s">
        <v>14</v>
      </c>
      <c r="G633">
        <v>1085344098</v>
      </c>
      <c r="H633" t="s">
        <v>910</v>
      </c>
      <c r="I633">
        <v>59836926</v>
      </c>
      <c r="J633" t="s">
        <v>14</v>
      </c>
      <c r="K633" t="s">
        <v>17</v>
      </c>
      <c r="L633" s="42">
        <v>0</v>
      </c>
      <c r="M633" s="10">
        <v>18900000</v>
      </c>
      <c r="N633" s="10">
        <f t="shared" si="9"/>
        <v>18900000</v>
      </c>
      <c r="O633" t="s">
        <v>704</v>
      </c>
    </row>
    <row r="634" spans="1:15" x14ac:dyDescent="0.25">
      <c r="A634" t="s">
        <v>1301</v>
      </c>
      <c r="B634" t="s">
        <v>13</v>
      </c>
      <c r="C634" s="12">
        <v>46063</v>
      </c>
      <c r="D634" s="12">
        <v>46203</v>
      </c>
      <c r="E634" t="s">
        <v>775</v>
      </c>
      <c r="F634" t="s">
        <v>14</v>
      </c>
      <c r="G634">
        <v>59314800</v>
      </c>
      <c r="H634" t="s">
        <v>953</v>
      </c>
      <c r="I634">
        <v>98333941</v>
      </c>
      <c r="J634" t="s">
        <v>14</v>
      </c>
      <c r="K634" t="s">
        <v>15</v>
      </c>
      <c r="L634" s="42">
        <v>0</v>
      </c>
      <c r="M634" s="10">
        <v>15750000</v>
      </c>
      <c r="N634" s="10">
        <f t="shared" si="9"/>
        <v>15750000</v>
      </c>
      <c r="O634" t="s">
        <v>704</v>
      </c>
    </row>
    <row r="635" spans="1:15" x14ac:dyDescent="0.25">
      <c r="A635" t="s">
        <v>1302</v>
      </c>
      <c r="B635" t="s">
        <v>13</v>
      </c>
      <c r="C635" s="12">
        <v>46063</v>
      </c>
      <c r="D635" s="12">
        <v>46089</v>
      </c>
      <c r="E635" t="s">
        <v>775</v>
      </c>
      <c r="F635" t="s">
        <v>14</v>
      </c>
      <c r="G635">
        <v>1087645520</v>
      </c>
      <c r="H635" t="s">
        <v>871</v>
      </c>
      <c r="I635">
        <v>98333941</v>
      </c>
      <c r="J635" t="s">
        <v>14</v>
      </c>
      <c r="K635" t="s">
        <v>15</v>
      </c>
      <c r="L635" s="42">
        <v>0</v>
      </c>
      <c r="M635" s="10">
        <v>6300000</v>
      </c>
      <c r="N635" s="10">
        <f t="shared" si="9"/>
        <v>6300000</v>
      </c>
      <c r="O635" t="s">
        <v>704</v>
      </c>
    </row>
    <row r="636" spans="1:15" x14ac:dyDescent="0.25">
      <c r="A636" t="s">
        <v>1303</v>
      </c>
      <c r="B636" t="s">
        <v>13</v>
      </c>
      <c r="C636" s="12">
        <v>46063</v>
      </c>
      <c r="D636" s="12">
        <v>46146</v>
      </c>
      <c r="E636" t="s">
        <v>793</v>
      </c>
      <c r="F636" t="s">
        <v>14</v>
      </c>
      <c r="G636">
        <v>1233188221</v>
      </c>
      <c r="H636" t="s">
        <v>425</v>
      </c>
      <c r="I636">
        <v>98333941</v>
      </c>
      <c r="J636" t="s">
        <v>14</v>
      </c>
      <c r="K636" t="s">
        <v>15</v>
      </c>
      <c r="L636" s="42">
        <v>0</v>
      </c>
      <c r="M636" s="10">
        <v>6000000</v>
      </c>
      <c r="N636" s="10">
        <f t="shared" si="9"/>
        <v>6000000</v>
      </c>
      <c r="O636" t="s">
        <v>704</v>
      </c>
    </row>
    <row r="637" spans="1:15" x14ac:dyDescent="0.25">
      <c r="A637" t="s">
        <v>1304</v>
      </c>
      <c r="B637" t="s">
        <v>13</v>
      </c>
      <c r="C637" s="12">
        <v>46063</v>
      </c>
      <c r="D637" s="12">
        <v>46203</v>
      </c>
      <c r="E637" t="s">
        <v>775</v>
      </c>
      <c r="F637" t="s">
        <v>14</v>
      </c>
      <c r="G637">
        <v>1085318696</v>
      </c>
      <c r="H637" t="s">
        <v>944</v>
      </c>
      <c r="I637">
        <v>43624414</v>
      </c>
      <c r="J637" t="s">
        <v>14</v>
      </c>
      <c r="K637" t="s">
        <v>18</v>
      </c>
      <c r="L637" s="42">
        <v>0</v>
      </c>
      <c r="M637" s="10">
        <v>31500000</v>
      </c>
      <c r="N637" s="10">
        <f t="shared" si="9"/>
        <v>31500000</v>
      </c>
      <c r="O637" t="s">
        <v>704</v>
      </c>
    </row>
    <row r="638" spans="1:15" x14ac:dyDescent="0.25">
      <c r="A638" t="s">
        <v>1305</v>
      </c>
      <c r="B638" t="s">
        <v>13</v>
      </c>
      <c r="C638" s="12">
        <v>46063</v>
      </c>
      <c r="D638" s="12">
        <v>46146</v>
      </c>
      <c r="E638" t="s">
        <v>775</v>
      </c>
      <c r="F638" t="s">
        <v>14</v>
      </c>
      <c r="G638">
        <v>1085283127</v>
      </c>
      <c r="H638" t="s">
        <v>888</v>
      </c>
      <c r="I638">
        <v>43624414</v>
      </c>
      <c r="J638" t="s">
        <v>14</v>
      </c>
      <c r="K638" t="s">
        <v>18</v>
      </c>
      <c r="L638" s="42">
        <v>0</v>
      </c>
      <c r="M638" s="10">
        <v>9450000</v>
      </c>
      <c r="N638" s="10">
        <f t="shared" si="9"/>
        <v>9450000</v>
      </c>
      <c r="O638" t="s">
        <v>704</v>
      </c>
    </row>
    <row r="639" spans="1:15" x14ac:dyDescent="0.25">
      <c r="A639" t="s">
        <v>1306</v>
      </c>
      <c r="B639" t="s">
        <v>13</v>
      </c>
      <c r="C639" s="12">
        <v>46063</v>
      </c>
      <c r="D639" s="12">
        <v>46089</v>
      </c>
      <c r="E639" t="s">
        <v>744</v>
      </c>
      <c r="F639" t="s">
        <v>14</v>
      </c>
      <c r="G639">
        <v>1123327071</v>
      </c>
      <c r="H639" t="s">
        <v>372</v>
      </c>
      <c r="I639">
        <v>59836926</v>
      </c>
      <c r="J639" t="s">
        <v>14</v>
      </c>
      <c r="K639" t="s">
        <v>17</v>
      </c>
      <c r="L639" s="42">
        <v>0</v>
      </c>
      <c r="M639" s="10">
        <v>7800000</v>
      </c>
      <c r="N639" s="10">
        <f t="shared" si="9"/>
        <v>7800000</v>
      </c>
      <c r="O639" t="s">
        <v>704</v>
      </c>
    </row>
    <row r="640" spans="1:15" x14ac:dyDescent="0.25">
      <c r="A640" t="s">
        <v>1307</v>
      </c>
      <c r="B640" t="s">
        <v>13</v>
      </c>
      <c r="C640" s="12">
        <v>46063</v>
      </c>
      <c r="D640" s="12">
        <v>46146</v>
      </c>
      <c r="E640" t="s">
        <v>775</v>
      </c>
      <c r="F640" t="s">
        <v>14</v>
      </c>
      <c r="G640">
        <v>98394398</v>
      </c>
      <c r="H640" t="s">
        <v>954</v>
      </c>
      <c r="I640">
        <v>43624414</v>
      </c>
      <c r="J640" t="s">
        <v>14</v>
      </c>
      <c r="K640" t="s">
        <v>18</v>
      </c>
      <c r="L640" s="42">
        <v>0</v>
      </c>
      <c r="M640" s="10">
        <v>18900000</v>
      </c>
      <c r="N640" s="10">
        <f t="shared" si="9"/>
        <v>18900000</v>
      </c>
      <c r="O640" t="s">
        <v>704</v>
      </c>
    </row>
    <row r="641" spans="1:15" x14ac:dyDescent="0.25">
      <c r="A641" t="s">
        <v>1308</v>
      </c>
      <c r="B641" t="s">
        <v>13</v>
      </c>
      <c r="C641" s="12">
        <v>46063</v>
      </c>
      <c r="D641" s="12">
        <v>46146</v>
      </c>
      <c r="E641" t="s">
        <v>793</v>
      </c>
      <c r="F641" t="s">
        <v>14</v>
      </c>
      <c r="G641">
        <v>66958357</v>
      </c>
      <c r="H641" t="s">
        <v>935</v>
      </c>
      <c r="I641">
        <v>98390119</v>
      </c>
      <c r="J641" t="s">
        <v>14</v>
      </c>
      <c r="K641" t="s">
        <v>63</v>
      </c>
      <c r="L641" s="42">
        <v>0</v>
      </c>
      <c r="M641" s="10">
        <v>6000000</v>
      </c>
      <c r="N641" s="10">
        <f t="shared" si="9"/>
        <v>6000000</v>
      </c>
      <c r="O641" t="s">
        <v>704</v>
      </c>
    </row>
    <row r="642" spans="1:15" x14ac:dyDescent="0.25">
      <c r="A642" t="s">
        <v>1309</v>
      </c>
      <c r="B642" t="s">
        <v>13</v>
      </c>
      <c r="C642" s="12">
        <v>46063</v>
      </c>
      <c r="D642" s="12">
        <v>46146</v>
      </c>
      <c r="E642" t="s">
        <v>744</v>
      </c>
      <c r="F642" t="s">
        <v>14</v>
      </c>
      <c r="G642">
        <v>1085307978</v>
      </c>
      <c r="H642" t="s">
        <v>895</v>
      </c>
      <c r="I642">
        <v>98390119</v>
      </c>
      <c r="J642" t="s">
        <v>14</v>
      </c>
      <c r="K642" t="s">
        <v>63</v>
      </c>
      <c r="L642" s="42">
        <v>0</v>
      </c>
      <c r="M642" s="10">
        <v>14190000</v>
      </c>
      <c r="N642" s="10">
        <f t="shared" si="9"/>
        <v>14190000</v>
      </c>
      <c r="O642" t="s">
        <v>704</v>
      </c>
    </row>
    <row r="643" spans="1:15" x14ac:dyDescent="0.25">
      <c r="A643" t="s">
        <v>1310</v>
      </c>
      <c r="B643" t="s">
        <v>13</v>
      </c>
      <c r="C643" s="12">
        <v>46063</v>
      </c>
      <c r="D643" s="12">
        <v>46203</v>
      </c>
      <c r="E643" t="s">
        <v>744</v>
      </c>
      <c r="F643" t="s">
        <v>14</v>
      </c>
      <c r="G643">
        <v>1085328217</v>
      </c>
      <c r="H643" t="s">
        <v>960</v>
      </c>
      <c r="I643">
        <v>43624414</v>
      </c>
      <c r="J643" t="s">
        <v>14</v>
      </c>
      <c r="K643" t="s">
        <v>18</v>
      </c>
      <c r="L643" s="42">
        <v>0</v>
      </c>
      <c r="M643" s="10">
        <v>39000000</v>
      </c>
      <c r="N643" s="10">
        <f t="shared" ref="N643:N706" si="10">M643-L643</f>
        <v>39000000</v>
      </c>
      <c r="O643" t="s">
        <v>704</v>
      </c>
    </row>
    <row r="644" spans="1:15" x14ac:dyDescent="0.25">
      <c r="A644" t="s">
        <v>1311</v>
      </c>
      <c r="B644" t="s">
        <v>13</v>
      </c>
      <c r="C644" s="12">
        <v>46063</v>
      </c>
      <c r="D644" s="12">
        <v>46203</v>
      </c>
      <c r="E644" t="s">
        <v>744</v>
      </c>
      <c r="F644" t="s">
        <v>14</v>
      </c>
      <c r="G644">
        <v>1088738533</v>
      </c>
      <c r="H644" t="s">
        <v>863</v>
      </c>
      <c r="I644">
        <v>43624414</v>
      </c>
      <c r="J644" t="s">
        <v>14</v>
      </c>
      <c r="K644" t="s">
        <v>18</v>
      </c>
      <c r="L644" s="42">
        <v>0</v>
      </c>
      <c r="M644" s="10">
        <v>23650000</v>
      </c>
      <c r="N644" s="10">
        <f t="shared" si="10"/>
        <v>23650000</v>
      </c>
      <c r="O644" t="s">
        <v>704</v>
      </c>
    </row>
    <row r="645" spans="1:15" x14ac:dyDescent="0.25">
      <c r="A645" t="s">
        <v>1312</v>
      </c>
      <c r="B645" t="s">
        <v>13</v>
      </c>
      <c r="C645" s="12">
        <v>46063</v>
      </c>
      <c r="D645" s="12">
        <v>46089</v>
      </c>
      <c r="E645" t="s">
        <v>744</v>
      </c>
      <c r="F645" t="s">
        <v>14</v>
      </c>
      <c r="G645">
        <v>59313415</v>
      </c>
      <c r="H645" t="s">
        <v>614</v>
      </c>
      <c r="I645">
        <v>59836926</v>
      </c>
      <c r="J645" t="s">
        <v>14</v>
      </c>
      <c r="K645" t="s">
        <v>17</v>
      </c>
      <c r="L645" s="42">
        <v>0</v>
      </c>
      <c r="M645" s="10">
        <v>7800000</v>
      </c>
      <c r="N645" s="10">
        <f t="shared" si="10"/>
        <v>7800000</v>
      </c>
      <c r="O645" t="s">
        <v>704</v>
      </c>
    </row>
    <row r="646" spans="1:15" x14ac:dyDescent="0.25">
      <c r="A646" t="s">
        <v>1313</v>
      </c>
      <c r="B646" t="s">
        <v>13</v>
      </c>
      <c r="C646" s="12">
        <v>46063</v>
      </c>
      <c r="D646" s="12">
        <v>46146</v>
      </c>
      <c r="E646" t="s">
        <v>744</v>
      </c>
      <c r="F646" t="s">
        <v>14</v>
      </c>
      <c r="G646">
        <v>1085343081</v>
      </c>
      <c r="H646" t="s">
        <v>903</v>
      </c>
      <c r="I646">
        <v>43624414</v>
      </c>
      <c r="J646" t="s">
        <v>14</v>
      </c>
      <c r="K646" t="s">
        <v>18</v>
      </c>
      <c r="L646" s="42">
        <v>0</v>
      </c>
      <c r="M646" s="10">
        <v>14190000</v>
      </c>
      <c r="N646" s="10">
        <f t="shared" si="10"/>
        <v>14190000</v>
      </c>
      <c r="O646" t="s">
        <v>704</v>
      </c>
    </row>
    <row r="647" spans="1:15" x14ac:dyDescent="0.25">
      <c r="A647" t="s">
        <v>1314</v>
      </c>
      <c r="B647" t="s">
        <v>13</v>
      </c>
      <c r="C647" s="12">
        <v>46063</v>
      </c>
      <c r="D647" s="12">
        <v>46203</v>
      </c>
      <c r="E647" t="s">
        <v>775</v>
      </c>
      <c r="F647" t="s">
        <v>14</v>
      </c>
      <c r="G647">
        <v>1081273836</v>
      </c>
      <c r="H647" t="s">
        <v>941</v>
      </c>
      <c r="I647">
        <v>43624414</v>
      </c>
      <c r="J647" t="s">
        <v>14</v>
      </c>
      <c r="K647" t="s">
        <v>18</v>
      </c>
      <c r="L647" s="42">
        <v>0</v>
      </c>
      <c r="M647" s="10">
        <v>15750000</v>
      </c>
      <c r="N647" s="10">
        <f t="shared" si="10"/>
        <v>15750000</v>
      </c>
      <c r="O647" t="s">
        <v>704</v>
      </c>
    </row>
    <row r="648" spans="1:15" x14ac:dyDescent="0.25">
      <c r="A648" t="s">
        <v>1315</v>
      </c>
      <c r="B648" t="s">
        <v>13</v>
      </c>
      <c r="C648" s="12">
        <v>46063</v>
      </c>
      <c r="D648" s="12">
        <v>46089</v>
      </c>
      <c r="E648" t="s">
        <v>775</v>
      </c>
      <c r="F648" t="s">
        <v>14</v>
      </c>
      <c r="G648">
        <v>30723627</v>
      </c>
      <c r="H648" t="s">
        <v>856</v>
      </c>
      <c r="I648">
        <v>59836926</v>
      </c>
      <c r="J648" t="s">
        <v>14</v>
      </c>
      <c r="K648" t="s">
        <v>17</v>
      </c>
      <c r="L648" s="42">
        <v>0</v>
      </c>
      <c r="M648" s="10">
        <v>6300000</v>
      </c>
      <c r="N648" s="10">
        <f t="shared" si="10"/>
        <v>6300000</v>
      </c>
      <c r="O648" t="s">
        <v>704</v>
      </c>
    </row>
    <row r="649" spans="1:15" x14ac:dyDescent="0.25">
      <c r="A649" t="s">
        <v>1316</v>
      </c>
      <c r="B649" t="s">
        <v>13</v>
      </c>
      <c r="C649" s="12">
        <v>46069</v>
      </c>
      <c r="D649" s="12">
        <v>46142</v>
      </c>
      <c r="E649" t="s">
        <v>775</v>
      </c>
      <c r="F649" t="s">
        <v>14</v>
      </c>
      <c r="G649">
        <v>37084485</v>
      </c>
      <c r="H649" t="s">
        <v>852</v>
      </c>
      <c r="I649">
        <v>98390119</v>
      </c>
      <c r="J649" t="s">
        <v>14</v>
      </c>
      <c r="K649" t="s">
        <v>63</v>
      </c>
      <c r="L649" s="42">
        <v>0</v>
      </c>
      <c r="M649" s="10">
        <v>18900000</v>
      </c>
      <c r="N649" s="10">
        <f t="shared" si="10"/>
        <v>18900000</v>
      </c>
      <c r="O649" t="s">
        <v>704</v>
      </c>
    </row>
    <row r="650" spans="1:15" x14ac:dyDescent="0.25">
      <c r="A650" t="s">
        <v>1317</v>
      </c>
      <c r="B650" t="s">
        <v>13</v>
      </c>
      <c r="C650" s="12">
        <v>46072</v>
      </c>
      <c r="D650" s="12">
        <v>46161</v>
      </c>
      <c r="E650" t="s">
        <v>793</v>
      </c>
      <c r="F650" t="s">
        <v>14</v>
      </c>
      <c r="G650">
        <v>1080040525</v>
      </c>
      <c r="H650" t="s">
        <v>143</v>
      </c>
      <c r="I650">
        <v>98333941</v>
      </c>
      <c r="J650" t="s">
        <v>14</v>
      </c>
      <c r="K650" t="s">
        <v>15</v>
      </c>
      <c r="L650" s="42">
        <v>0</v>
      </c>
      <c r="M650" s="10">
        <v>6000000</v>
      </c>
      <c r="N650" s="10">
        <f t="shared" si="10"/>
        <v>6000000</v>
      </c>
      <c r="O650" t="s">
        <v>704</v>
      </c>
    </row>
    <row r="651" spans="1:15" x14ac:dyDescent="0.25">
      <c r="A651" t="s">
        <v>1318</v>
      </c>
      <c r="B651" t="s">
        <v>13</v>
      </c>
      <c r="C651" s="12">
        <v>46073</v>
      </c>
      <c r="D651" s="12">
        <v>46162</v>
      </c>
      <c r="E651" t="s">
        <v>775</v>
      </c>
      <c r="F651" t="s">
        <v>14</v>
      </c>
      <c r="G651">
        <v>1004697868</v>
      </c>
      <c r="H651" t="s">
        <v>915</v>
      </c>
      <c r="I651">
        <v>59836926</v>
      </c>
      <c r="J651" t="s">
        <v>14</v>
      </c>
      <c r="K651" t="s">
        <v>17</v>
      </c>
      <c r="L651" s="42">
        <v>0</v>
      </c>
      <c r="M651" s="10">
        <v>18900000</v>
      </c>
      <c r="N651" s="10">
        <f t="shared" si="10"/>
        <v>18900000</v>
      </c>
      <c r="O651" t="s">
        <v>704</v>
      </c>
    </row>
    <row r="652" spans="1:15" x14ac:dyDescent="0.25">
      <c r="A652" t="s">
        <v>1319</v>
      </c>
      <c r="B652" t="s">
        <v>13</v>
      </c>
      <c r="C652" s="12">
        <v>46076</v>
      </c>
      <c r="D652" s="12">
        <v>46165</v>
      </c>
      <c r="E652" t="s">
        <v>744</v>
      </c>
      <c r="F652" t="s">
        <v>14</v>
      </c>
      <c r="G652">
        <v>87065491</v>
      </c>
      <c r="H652" t="s">
        <v>902</v>
      </c>
      <c r="I652">
        <v>59836926</v>
      </c>
      <c r="J652" t="s">
        <v>14</v>
      </c>
      <c r="K652" t="s">
        <v>17</v>
      </c>
      <c r="L652" s="42">
        <v>0</v>
      </c>
      <c r="M652" s="10">
        <v>14190000</v>
      </c>
      <c r="N652" s="10">
        <f t="shared" si="10"/>
        <v>14190000</v>
      </c>
      <c r="O652" t="s">
        <v>704</v>
      </c>
    </row>
    <row r="653" spans="1:15" x14ac:dyDescent="0.25">
      <c r="A653" t="s">
        <v>1320</v>
      </c>
      <c r="B653" t="s">
        <v>13</v>
      </c>
      <c r="C653" s="12">
        <v>46076</v>
      </c>
      <c r="D653" s="12">
        <v>46104</v>
      </c>
      <c r="E653" t="s">
        <v>775</v>
      </c>
      <c r="F653" t="s">
        <v>14</v>
      </c>
      <c r="G653">
        <v>37087117</v>
      </c>
      <c r="H653" t="s">
        <v>197</v>
      </c>
      <c r="I653">
        <v>98333941</v>
      </c>
      <c r="J653" t="s">
        <v>14</v>
      </c>
      <c r="K653" t="s">
        <v>15</v>
      </c>
      <c r="L653" s="42">
        <v>0</v>
      </c>
      <c r="M653" s="10">
        <v>3150000</v>
      </c>
      <c r="N653" s="10">
        <f t="shared" si="10"/>
        <v>3150000</v>
      </c>
      <c r="O653" t="s">
        <v>704</v>
      </c>
    </row>
    <row r="654" spans="1:15" x14ac:dyDescent="0.25">
      <c r="A654" t="s">
        <v>1321</v>
      </c>
      <c r="B654" t="s">
        <v>13</v>
      </c>
      <c r="C654" s="12">
        <v>46076</v>
      </c>
      <c r="D654" s="12">
        <v>46104</v>
      </c>
      <c r="E654" t="s">
        <v>744</v>
      </c>
      <c r="F654" t="s">
        <v>14</v>
      </c>
      <c r="G654">
        <v>1193406111</v>
      </c>
      <c r="H654" t="s">
        <v>858</v>
      </c>
      <c r="I654">
        <v>43624414</v>
      </c>
      <c r="J654" t="s">
        <v>14</v>
      </c>
      <c r="K654" t="s">
        <v>18</v>
      </c>
      <c r="L654" s="42">
        <v>0</v>
      </c>
      <c r="M654" s="10">
        <v>7800000</v>
      </c>
      <c r="N654" s="10">
        <f t="shared" si="10"/>
        <v>7800000</v>
      </c>
      <c r="O654" t="s">
        <v>704</v>
      </c>
    </row>
    <row r="655" spans="1:15" x14ac:dyDescent="0.25">
      <c r="A655" t="s">
        <v>1322</v>
      </c>
      <c r="B655" t="s">
        <v>13</v>
      </c>
      <c r="C655" s="12">
        <v>46077</v>
      </c>
      <c r="D655" s="12">
        <v>46166</v>
      </c>
      <c r="E655" t="s">
        <v>775</v>
      </c>
      <c r="F655" t="s">
        <v>14</v>
      </c>
      <c r="G655">
        <v>1085271641</v>
      </c>
      <c r="H655" t="s">
        <v>30</v>
      </c>
      <c r="I655">
        <v>43624414</v>
      </c>
      <c r="J655" t="s">
        <v>14</v>
      </c>
      <c r="K655" t="s">
        <v>18</v>
      </c>
      <c r="L655" s="42">
        <v>0</v>
      </c>
      <c r="M655" s="10">
        <v>9450000</v>
      </c>
      <c r="N655" s="10">
        <f t="shared" si="10"/>
        <v>9450000</v>
      </c>
      <c r="O655" t="s">
        <v>704</v>
      </c>
    </row>
    <row r="656" spans="1:15" x14ac:dyDescent="0.25">
      <c r="A656" t="s">
        <v>1323</v>
      </c>
      <c r="B656" t="s">
        <v>13</v>
      </c>
      <c r="C656" s="12">
        <v>46077</v>
      </c>
      <c r="D656" s="12">
        <v>46166</v>
      </c>
      <c r="E656" t="s">
        <v>775</v>
      </c>
      <c r="F656" t="s">
        <v>14</v>
      </c>
      <c r="G656">
        <v>1004543158</v>
      </c>
      <c r="H656" t="s">
        <v>937</v>
      </c>
      <c r="I656">
        <v>98333941</v>
      </c>
      <c r="J656" t="s">
        <v>14</v>
      </c>
      <c r="K656" t="s">
        <v>15</v>
      </c>
      <c r="L656" s="42">
        <v>0</v>
      </c>
      <c r="M656" s="10">
        <v>9450000</v>
      </c>
      <c r="N656" s="10">
        <f t="shared" si="10"/>
        <v>9450000</v>
      </c>
      <c r="O656" t="s">
        <v>704</v>
      </c>
    </row>
    <row r="657" spans="1:15" x14ac:dyDescent="0.25">
      <c r="A657" t="s">
        <v>1324</v>
      </c>
      <c r="B657" t="s">
        <v>13</v>
      </c>
      <c r="C657" s="12">
        <v>46077</v>
      </c>
      <c r="D657" s="12">
        <v>46105</v>
      </c>
      <c r="E657" t="s">
        <v>744</v>
      </c>
      <c r="F657" t="s">
        <v>14</v>
      </c>
      <c r="G657">
        <v>1085262812</v>
      </c>
      <c r="H657" t="s">
        <v>923</v>
      </c>
      <c r="I657">
        <v>59836926</v>
      </c>
      <c r="J657" t="s">
        <v>14</v>
      </c>
      <c r="K657" t="s">
        <v>17</v>
      </c>
      <c r="L657" s="42">
        <v>0</v>
      </c>
      <c r="M657" s="10">
        <v>7800000</v>
      </c>
      <c r="N657" s="10">
        <f t="shared" si="10"/>
        <v>7800000</v>
      </c>
      <c r="O657" t="s">
        <v>704</v>
      </c>
    </row>
    <row r="658" spans="1:15" x14ac:dyDescent="0.25">
      <c r="A658" t="s">
        <v>1325</v>
      </c>
      <c r="B658" t="s">
        <v>13</v>
      </c>
      <c r="C658" s="12">
        <v>46077</v>
      </c>
      <c r="D658" s="12">
        <v>46105</v>
      </c>
      <c r="E658" t="s">
        <v>744</v>
      </c>
      <c r="F658" t="s">
        <v>14</v>
      </c>
      <c r="G658">
        <v>1007736489</v>
      </c>
      <c r="H658" t="s">
        <v>961</v>
      </c>
      <c r="I658">
        <v>43624414</v>
      </c>
      <c r="J658" t="s">
        <v>14</v>
      </c>
      <c r="K658" t="s">
        <v>18</v>
      </c>
      <c r="L658" s="42">
        <v>0</v>
      </c>
      <c r="M658" s="10">
        <v>7800000</v>
      </c>
      <c r="N658" s="10">
        <f t="shared" si="10"/>
        <v>7800000</v>
      </c>
      <c r="O658" t="s">
        <v>704</v>
      </c>
    </row>
    <row r="659" spans="1:15" x14ac:dyDescent="0.25">
      <c r="A659" t="s">
        <v>1326</v>
      </c>
      <c r="B659" t="s">
        <v>13</v>
      </c>
      <c r="C659" s="12">
        <v>46077</v>
      </c>
      <c r="D659" s="12">
        <v>46166</v>
      </c>
      <c r="E659" t="s">
        <v>744</v>
      </c>
      <c r="F659" t="s">
        <v>14</v>
      </c>
      <c r="G659">
        <v>1085251979</v>
      </c>
      <c r="H659" t="s">
        <v>846</v>
      </c>
      <c r="I659">
        <v>43624414</v>
      </c>
      <c r="J659" t="s">
        <v>14</v>
      </c>
      <c r="K659" t="s">
        <v>18</v>
      </c>
      <c r="L659" s="42">
        <v>0</v>
      </c>
      <c r="M659" s="10">
        <v>14190000</v>
      </c>
      <c r="N659" s="10">
        <f t="shared" si="10"/>
        <v>14190000</v>
      </c>
      <c r="O659" t="s">
        <v>704</v>
      </c>
    </row>
    <row r="660" spans="1:15" x14ac:dyDescent="0.25">
      <c r="A660" t="s">
        <v>1327</v>
      </c>
      <c r="B660" t="s">
        <v>13</v>
      </c>
      <c r="C660" s="12">
        <v>46079</v>
      </c>
      <c r="D660" s="12">
        <v>46107</v>
      </c>
      <c r="E660" t="s">
        <v>775</v>
      </c>
      <c r="F660" t="s">
        <v>14</v>
      </c>
      <c r="G660">
        <v>36757522</v>
      </c>
      <c r="H660" t="s">
        <v>849</v>
      </c>
      <c r="I660">
        <v>59836926</v>
      </c>
      <c r="J660" t="s">
        <v>14</v>
      </c>
      <c r="K660" t="s">
        <v>17</v>
      </c>
      <c r="L660" s="42">
        <v>0</v>
      </c>
      <c r="M660" s="10">
        <v>3150000</v>
      </c>
      <c r="N660" s="10">
        <f t="shared" si="10"/>
        <v>3150000</v>
      </c>
      <c r="O660" t="s">
        <v>704</v>
      </c>
    </row>
    <row r="661" spans="1:15" x14ac:dyDescent="0.25">
      <c r="A661" t="s">
        <v>1328</v>
      </c>
      <c r="B661" t="s">
        <v>13</v>
      </c>
      <c r="C661" s="12">
        <v>46079</v>
      </c>
      <c r="D661" s="12">
        <v>46168</v>
      </c>
      <c r="E661" t="s">
        <v>775</v>
      </c>
      <c r="F661" t="s">
        <v>14</v>
      </c>
      <c r="G661">
        <v>1086224177</v>
      </c>
      <c r="H661" t="s">
        <v>925</v>
      </c>
      <c r="I661">
        <v>98390119</v>
      </c>
      <c r="J661" t="s">
        <v>14</v>
      </c>
      <c r="K661" t="s">
        <v>63</v>
      </c>
      <c r="L661" s="42">
        <v>0</v>
      </c>
      <c r="M661" s="10">
        <v>9450000</v>
      </c>
      <c r="N661" s="10">
        <f t="shared" si="10"/>
        <v>9450000</v>
      </c>
      <c r="O661" t="s">
        <v>704</v>
      </c>
    </row>
    <row r="662" spans="1:15" x14ac:dyDescent="0.25">
      <c r="A662" t="s">
        <v>1329</v>
      </c>
      <c r="B662" t="s">
        <v>13</v>
      </c>
      <c r="C662" s="12">
        <v>46079</v>
      </c>
      <c r="D662" s="12">
        <v>46168</v>
      </c>
      <c r="E662" t="s">
        <v>775</v>
      </c>
      <c r="F662" t="s">
        <v>14</v>
      </c>
      <c r="G662">
        <v>1004189754</v>
      </c>
      <c r="H662" t="s">
        <v>938</v>
      </c>
      <c r="I662">
        <v>98333941</v>
      </c>
      <c r="J662" t="s">
        <v>14</v>
      </c>
      <c r="K662" t="s">
        <v>15</v>
      </c>
      <c r="L662" s="42">
        <v>0</v>
      </c>
      <c r="M662" s="10">
        <v>9450000</v>
      </c>
      <c r="N662" s="10">
        <f t="shared" si="10"/>
        <v>9450000</v>
      </c>
      <c r="O662" t="s">
        <v>704</v>
      </c>
    </row>
    <row r="663" spans="1:15" x14ac:dyDescent="0.25">
      <c r="A663" t="s">
        <v>1330</v>
      </c>
      <c r="B663" t="s">
        <v>13</v>
      </c>
      <c r="C663" s="12">
        <v>46083</v>
      </c>
      <c r="D663" s="12">
        <v>46175</v>
      </c>
      <c r="E663" t="s">
        <v>775</v>
      </c>
      <c r="F663" t="s">
        <v>14</v>
      </c>
      <c r="G663">
        <v>1085291729</v>
      </c>
      <c r="H663" t="s">
        <v>949</v>
      </c>
      <c r="I663">
        <v>43624414</v>
      </c>
      <c r="J663" t="s">
        <v>14</v>
      </c>
      <c r="K663" t="s">
        <v>18</v>
      </c>
      <c r="L663" s="42">
        <v>0</v>
      </c>
      <c r="M663" s="10">
        <v>9450000</v>
      </c>
      <c r="N663" s="10">
        <f t="shared" si="10"/>
        <v>9450000</v>
      </c>
      <c r="O663" t="s">
        <v>704</v>
      </c>
    </row>
    <row r="664" spans="1:15" x14ac:dyDescent="0.25">
      <c r="A664" t="s">
        <v>1331</v>
      </c>
      <c r="B664" t="s">
        <v>13</v>
      </c>
      <c r="C664" s="12">
        <v>46084</v>
      </c>
      <c r="D664" s="12">
        <v>46203</v>
      </c>
      <c r="E664" t="s">
        <v>744</v>
      </c>
      <c r="F664" t="s">
        <v>14</v>
      </c>
      <c r="G664">
        <v>1085347123</v>
      </c>
      <c r="H664" t="s">
        <v>963</v>
      </c>
      <c r="I664">
        <v>59836926</v>
      </c>
      <c r="J664" t="s">
        <v>14</v>
      </c>
      <c r="K664" t="s">
        <v>17</v>
      </c>
      <c r="L664" s="42">
        <v>0</v>
      </c>
      <c r="M664" s="10">
        <v>31200000</v>
      </c>
      <c r="N664" s="10">
        <f t="shared" si="10"/>
        <v>31200000</v>
      </c>
      <c r="O664" t="s">
        <v>704</v>
      </c>
    </row>
    <row r="665" spans="1:15" x14ac:dyDescent="0.25">
      <c r="A665" t="s">
        <v>1332</v>
      </c>
      <c r="B665" t="s">
        <v>13</v>
      </c>
      <c r="C665" s="12">
        <v>46085</v>
      </c>
      <c r="D665" s="12">
        <v>46146</v>
      </c>
      <c r="E665" t="s">
        <v>775</v>
      </c>
      <c r="F665" t="s">
        <v>14</v>
      </c>
      <c r="G665">
        <v>1086360087</v>
      </c>
      <c r="H665" t="s">
        <v>397</v>
      </c>
      <c r="I665">
        <v>98390119</v>
      </c>
      <c r="J665" t="s">
        <v>14</v>
      </c>
      <c r="K665" t="s">
        <v>63</v>
      </c>
      <c r="L665" s="42">
        <v>0</v>
      </c>
      <c r="M665" s="10">
        <v>12600000</v>
      </c>
      <c r="N665" s="10">
        <f t="shared" si="10"/>
        <v>12600000</v>
      </c>
      <c r="O665" t="s">
        <v>704</v>
      </c>
    </row>
    <row r="666" spans="1:15" x14ac:dyDescent="0.25">
      <c r="A666" t="s">
        <v>1333</v>
      </c>
      <c r="B666" t="s">
        <v>13</v>
      </c>
      <c r="C666" s="12">
        <v>46085</v>
      </c>
      <c r="D666" s="12">
        <v>46146</v>
      </c>
      <c r="E666" t="s">
        <v>775</v>
      </c>
      <c r="F666" t="s">
        <v>14</v>
      </c>
      <c r="G666">
        <v>27436186</v>
      </c>
      <c r="H666" t="s">
        <v>932</v>
      </c>
      <c r="I666">
        <v>43624414</v>
      </c>
      <c r="J666" t="s">
        <v>14</v>
      </c>
      <c r="K666" t="s">
        <v>18</v>
      </c>
      <c r="L666" s="42">
        <v>0</v>
      </c>
      <c r="M666" s="10">
        <v>6300000</v>
      </c>
      <c r="N666" s="10">
        <f t="shared" si="10"/>
        <v>6300000</v>
      </c>
      <c r="O666" t="s">
        <v>704</v>
      </c>
    </row>
    <row r="667" spans="1:15" x14ac:dyDescent="0.25">
      <c r="A667" t="s">
        <v>1334</v>
      </c>
      <c r="B667" t="s">
        <v>13</v>
      </c>
      <c r="C667" s="12">
        <v>46085</v>
      </c>
      <c r="D667" s="12">
        <v>46177</v>
      </c>
      <c r="E667" t="s">
        <v>775</v>
      </c>
      <c r="F667" t="s">
        <v>14</v>
      </c>
      <c r="G667">
        <v>1085343154</v>
      </c>
      <c r="H667" t="s">
        <v>600</v>
      </c>
      <c r="I667">
        <v>98333941</v>
      </c>
      <c r="J667" t="s">
        <v>14</v>
      </c>
      <c r="K667" t="s">
        <v>15</v>
      </c>
      <c r="L667" s="42">
        <v>0</v>
      </c>
      <c r="M667" s="10">
        <v>9450000</v>
      </c>
      <c r="N667" s="10">
        <f t="shared" si="10"/>
        <v>9450000</v>
      </c>
      <c r="O667" t="s">
        <v>704</v>
      </c>
    </row>
    <row r="668" spans="1:15" x14ac:dyDescent="0.25">
      <c r="A668" t="s">
        <v>1335</v>
      </c>
      <c r="B668" t="s">
        <v>13</v>
      </c>
      <c r="C668" s="12">
        <v>46086</v>
      </c>
      <c r="D668" s="12">
        <v>46178</v>
      </c>
      <c r="E668" t="s">
        <v>775</v>
      </c>
      <c r="F668" t="s">
        <v>14</v>
      </c>
      <c r="G668">
        <v>1085346528</v>
      </c>
      <c r="H668" t="s">
        <v>385</v>
      </c>
      <c r="I668">
        <v>43624414</v>
      </c>
      <c r="J668" t="s">
        <v>14</v>
      </c>
      <c r="K668" t="s">
        <v>18</v>
      </c>
      <c r="L668" s="42">
        <v>0</v>
      </c>
      <c r="M668" s="10">
        <v>9450000</v>
      </c>
      <c r="N668" s="10">
        <f t="shared" si="10"/>
        <v>9450000</v>
      </c>
      <c r="O668" t="s">
        <v>704</v>
      </c>
    </row>
    <row r="669" spans="1:15" x14ac:dyDescent="0.25">
      <c r="A669" t="s">
        <v>1336</v>
      </c>
      <c r="B669" t="s">
        <v>13</v>
      </c>
      <c r="C669" s="12">
        <v>46087</v>
      </c>
      <c r="D669" s="12">
        <v>46179</v>
      </c>
      <c r="E669" t="s">
        <v>775</v>
      </c>
      <c r="F669" t="s">
        <v>14</v>
      </c>
      <c r="G669">
        <v>1086223270</v>
      </c>
      <c r="H669" t="s">
        <v>914</v>
      </c>
      <c r="I669">
        <v>59836926</v>
      </c>
      <c r="J669" t="s">
        <v>14</v>
      </c>
      <c r="K669" t="s">
        <v>17</v>
      </c>
      <c r="L669" s="42">
        <v>0</v>
      </c>
      <c r="M669" s="10">
        <v>9450000</v>
      </c>
      <c r="N669" s="10">
        <f t="shared" si="10"/>
        <v>9450000</v>
      </c>
      <c r="O669" t="s">
        <v>704</v>
      </c>
    </row>
    <row r="670" spans="1:15" x14ac:dyDescent="0.25">
      <c r="A670" t="s">
        <v>1337</v>
      </c>
      <c r="B670" t="s">
        <v>13</v>
      </c>
      <c r="C670" s="12">
        <v>46087</v>
      </c>
      <c r="D670" s="12">
        <v>46179</v>
      </c>
      <c r="E670" t="s">
        <v>775</v>
      </c>
      <c r="F670" t="s">
        <v>14</v>
      </c>
      <c r="G670">
        <v>1084550836</v>
      </c>
      <c r="H670" t="s">
        <v>929</v>
      </c>
      <c r="I670">
        <v>98390119</v>
      </c>
      <c r="J670" t="s">
        <v>14</v>
      </c>
      <c r="K670" t="s">
        <v>63</v>
      </c>
      <c r="L670" s="42">
        <v>0</v>
      </c>
      <c r="M670" s="10">
        <v>9450000</v>
      </c>
      <c r="N670" s="10">
        <f t="shared" si="10"/>
        <v>9450000</v>
      </c>
      <c r="O670" t="s">
        <v>704</v>
      </c>
    </row>
    <row r="671" spans="1:15" x14ac:dyDescent="0.25">
      <c r="A671" t="s">
        <v>1338</v>
      </c>
      <c r="B671" t="s">
        <v>13</v>
      </c>
      <c r="C671" s="12">
        <v>46087</v>
      </c>
      <c r="D671" s="12">
        <v>46179</v>
      </c>
      <c r="E671" t="s">
        <v>775</v>
      </c>
      <c r="F671" t="s">
        <v>14</v>
      </c>
      <c r="G671">
        <v>36757221</v>
      </c>
      <c r="H671" t="s">
        <v>482</v>
      </c>
      <c r="I671">
        <v>59836926</v>
      </c>
      <c r="J671" t="s">
        <v>14</v>
      </c>
      <c r="K671" t="s">
        <v>17</v>
      </c>
      <c r="L671" s="42">
        <v>0</v>
      </c>
      <c r="M671" s="10">
        <v>18900000</v>
      </c>
      <c r="N671" s="10">
        <f t="shared" si="10"/>
        <v>18900000</v>
      </c>
      <c r="O671" t="s">
        <v>704</v>
      </c>
    </row>
    <row r="672" spans="1:15" x14ac:dyDescent="0.25">
      <c r="A672" t="s">
        <v>1339</v>
      </c>
      <c r="B672" t="s">
        <v>13</v>
      </c>
      <c r="C672" s="12">
        <v>46087</v>
      </c>
      <c r="D672" s="12">
        <v>46118</v>
      </c>
      <c r="E672" t="s">
        <v>775</v>
      </c>
      <c r="F672" t="s">
        <v>14</v>
      </c>
      <c r="G672">
        <v>59123136</v>
      </c>
      <c r="H672" t="s">
        <v>859</v>
      </c>
      <c r="I672">
        <v>43624414</v>
      </c>
      <c r="J672" t="s">
        <v>14</v>
      </c>
      <c r="K672" t="s">
        <v>18</v>
      </c>
      <c r="L672" s="42">
        <v>0</v>
      </c>
      <c r="M672" s="10">
        <v>6300000</v>
      </c>
      <c r="N672" s="10">
        <f t="shared" si="10"/>
        <v>6300000</v>
      </c>
      <c r="O672" t="s">
        <v>704</v>
      </c>
    </row>
    <row r="673" spans="1:15" x14ac:dyDescent="0.25">
      <c r="A673" t="s">
        <v>1340</v>
      </c>
      <c r="B673" t="s">
        <v>13</v>
      </c>
      <c r="C673" s="12">
        <v>46087</v>
      </c>
      <c r="D673" s="12">
        <v>46148</v>
      </c>
      <c r="E673" t="s">
        <v>775</v>
      </c>
      <c r="F673" t="s">
        <v>14</v>
      </c>
      <c r="G673">
        <v>27456421</v>
      </c>
      <c r="H673" t="s">
        <v>608</v>
      </c>
      <c r="I673">
        <v>98390119</v>
      </c>
      <c r="J673" t="s">
        <v>14</v>
      </c>
      <c r="K673" t="s">
        <v>63</v>
      </c>
      <c r="L673" s="42">
        <v>0</v>
      </c>
      <c r="M673" s="10">
        <v>12600000</v>
      </c>
      <c r="N673" s="10">
        <f t="shared" si="10"/>
        <v>12600000</v>
      </c>
      <c r="O673" t="s">
        <v>704</v>
      </c>
    </row>
    <row r="674" spans="1:15" x14ac:dyDescent="0.25">
      <c r="A674" t="s">
        <v>1341</v>
      </c>
      <c r="B674" t="s">
        <v>13</v>
      </c>
      <c r="C674" s="12">
        <v>46087</v>
      </c>
      <c r="D674" s="12">
        <v>46203</v>
      </c>
      <c r="E674" t="s">
        <v>775</v>
      </c>
      <c r="F674" t="s">
        <v>14</v>
      </c>
      <c r="G674">
        <v>1085246134</v>
      </c>
      <c r="H674" t="s">
        <v>691</v>
      </c>
      <c r="I674">
        <v>98333941</v>
      </c>
      <c r="J674" t="s">
        <v>14</v>
      </c>
      <c r="K674" t="s">
        <v>15</v>
      </c>
      <c r="L674" s="42">
        <v>0</v>
      </c>
      <c r="M674" s="10">
        <v>25200000</v>
      </c>
      <c r="N674" s="10">
        <f t="shared" si="10"/>
        <v>25200000</v>
      </c>
      <c r="O674" t="s">
        <v>704</v>
      </c>
    </row>
    <row r="675" spans="1:15" x14ac:dyDescent="0.25">
      <c r="A675" t="s">
        <v>1342</v>
      </c>
      <c r="B675" t="s">
        <v>13</v>
      </c>
      <c r="C675" s="12">
        <v>46090</v>
      </c>
      <c r="D675" s="12">
        <v>46203</v>
      </c>
      <c r="E675" t="s">
        <v>744</v>
      </c>
      <c r="F675" t="s">
        <v>14</v>
      </c>
      <c r="G675">
        <v>59651018</v>
      </c>
      <c r="H675" t="s">
        <v>839</v>
      </c>
      <c r="I675">
        <v>98333941</v>
      </c>
      <c r="J675" t="s">
        <v>14</v>
      </c>
      <c r="K675" t="s">
        <v>15</v>
      </c>
      <c r="L675" s="42">
        <v>0</v>
      </c>
      <c r="M675" s="10">
        <v>18920000</v>
      </c>
      <c r="N675" s="10">
        <f t="shared" si="10"/>
        <v>18920000</v>
      </c>
      <c r="O675" t="s">
        <v>704</v>
      </c>
    </row>
    <row r="676" spans="1:15" x14ac:dyDescent="0.25">
      <c r="A676" t="s">
        <v>1343</v>
      </c>
      <c r="B676" t="s">
        <v>13</v>
      </c>
      <c r="C676" s="12">
        <v>46090</v>
      </c>
      <c r="D676" s="12">
        <v>46151</v>
      </c>
      <c r="E676" t="s">
        <v>775</v>
      </c>
      <c r="F676" t="s">
        <v>14</v>
      </c>
      <c r="G676">
        <v>59830040</v>
      </c>
      <c r="H676" t="s">
        <v>76</v>
      </c>
      <c r="I676">
        <v>59836926</v>
      </c>
      <c r="J676" t="s">
        <v>14</v>
      </c>
      <c r="K676" t="s">
        <v>17</v>
      </c>
      <c r="L676" s="42">
        <v>0</v>
      </c>
      <c r="M676" s="10">
        <v>6300000</v>
      </c>
      <c r="N676" s="10">
        <f t="shared" si="10"/>
        <v>6300000</v>
      </c>
      <c r="O676" t="s">
        <v>704</v>
      </c>
    </row>
    <row r="677" spans="1:15" x14ac:dyDescent="0.25">
      <c r="A677" t="s">
        <v>1344</v>
      </c>
      <c r="B677" t="s">
        <v>13</v>
      </c>
      <c r="C677" s="12">
        <v>46090</v>
      </c>
      <c r="D677" s="12">
        <v>46151</v>
      </c>
      <c r="E677" t="s">
        <v>775</v>
      </c>
      <c r="F677" t="s">
        <v>14</v>
      </c>
      <c r="G677">
        <v>1085254153</v>
      </c>
      <c r="H677" t="s">
        <v>308</v>
      </c>
      <c r="I677">
        <v>59836926</v>
      </c>
      <c r="J677" t="s">
        <v>14</v>
      </c>
      <c r="K677" t="s">
        <v>17</v>
      </c>
      <c r="L677" s="42">
        <v>0</v>
      </c>
      <c r="M677" s="10">
        <v>12600000</v>
      </c>
      <c r="N677" s="10">
        <f t="shared" si="10"/>
        <v>12600000</v>
      </c>
      <c r="O677" t="s">
        <v>704</v>
      </c>
    </row>
    <row r="678" spans="1:15" x14ac:dyDescent="0.25">
      <c r="A678" t="s">
        <v>1345</v>
      </c>
      <c r="B678" t="s">
        <v>13</v>
      </c>
      <c r="C678" s="12">
        <v>46090</v>
      </c>
      <c r="D678" s="12">
        <v>46203</v>
      </c>
      <c r="E678" t="s">
        <v>775</v>
      </c>
      <c r="F678" t="s">
        <v>14</v>
      </c>
      <c r="G678">
        <v>1004339825</v>
      </c>
      <c r="H678" t="s">
        <v>957</v>
      </c>
      <c r="I678">
        <v>98390119</v>
      </c>
      <c r="J678" t="s">
        <v>14</v>
      </c>
      <c r="K678" t="s">
        <v>63</v>
      </c>
      <c r="L678" s="42">
        <v>0</v>
      </c>
      <c r="M678" s="10">
        <v>12600000</v>
      </c>
      <c r="N678" s="10">
        <f t="shared" si="10"/>
        <v>12600000</v>
      </c>
      <c r="O678" t="s">
        <v>704</v>
      </c>
    </row>
    <row r="679" spans="1:15" x14ac:dyDescent="0.25">
      <c r="A679" t="s">
        <v>1346</v>
      </c>
      <c r="B679" t="s">
        <v>13</v>
      </c>
      <c r="C679" s="12">
        <v>46090</v>
      </c>
      <c r="D679" s="12">
        <v>46182</v>
      </c>
      <c r="E679" t="s">
        <v>744</v>
      </c>
      <c r="F679" t="s">
        <v>14</v>
      </c>
      <c r="G679">
        <v>1085333467</v>
      </c>
      <c r="H679" t="s">
        <v>595</v>
      </c>
      <c r="I679">
        <v>59836926</v>
      </c>
      <c r="J679" t="s">
        <v>14</v>
      </c>
      <c r="K679" t="s">
        <v>17</v>
      </c>
      <c r="L679" s="42">
        <v>0</v>
      </c>
      <c r="M679" s="10">
        <v>14190000</v>
      </c>
      <c r="N679" s="10">
        <f t="shared" si="10"/>
        <v>14190000</v>
      </c>
      <c r="O679" t="s">
        <v>704</v>
      </c>
    </row>
    <row r="680" spans="1:15" x14ac:dyDescent="0.25">
      <c r="A680" t="s">
        <v>1347</v>
      </c>
      <c r="B680" t="s">
        <v>13</v>
      </c>
      <c r="C680" s="12">
        <v>46090</v>
      </c>
      <c r="D680" s="12">
        <v>46182</v>
      </c>
      <c r="E680" t="s">
        <v>775</v>
      </c>
      <c r="F680" t="s">
        <v>14</v>
      </c>
      <c r="G680">
        <v>59313528</v>
      </c>
      <c r="H680" t="s">
        <v>948</v>
      </c>
      <c r="I680">
        <v>59836926</v>
      </c>
      <c r="J680" t="s">
        <v>14</v>
      </c>
      <c r="K680" t="s">
        <v>17</v>
      </c>
      <c r="L680" s="42">
        <v>0</v>
      </c>
      <c r="M680" s="10">
        <v>18900000</v>
      </c>
      <c r="N680" s="10">
        <f t="shared" si="10"/>
        <v>18900000</v>
      </c>
      <c r="O680" t="s">
        <v>704</v>
      </c>
    </row>
    <row r="681" spans="1:15" x14ac:dyDescent="0.25">
      <c r="A681" t="s">
        <v>1348</v>
      </c>
      <c r="B681" t="s">
        <v>13</v>
      </c>
      <c r="C681" s="12">
        <v>46090</v>
      </c>
      <c r="D681" s="12">
        <v>46203</v>
      </c>
      <c r="E681" t="s">
        <v>775</v>
      </c>
      <c r="F681" t="s">
        <v>14</v>
      </c>
      <c r="G681">
        <v>1004726621</v>
      </c>
      <c r="H681" t="s">
        <v>560</v>
      </c>
      <c r="I681">
        <v>98390119</v>
      </c>
      <c r="J681" t="s">
        <v>14</v>
      </c>
      <c r="K681" t="s">
        <v>63</v>
      </c>
      <c r="L681" s="42">
        <v>0</v>
      </c>
      <c r="M681" s="10">
        <v>12600000</v>
      </c>
      <c r="N681" s="10">
        <f t="shared" si="10"/>
        <v>12600000</v>
      </c>
      <c r="O681" t="s">
        <v>704</v>
      </c>
    </row>
    <row r="682" spans="1:15" x14ac:dyDescent="0.25">
      <c r="A682" t="s">
        <v>1349</v>
      </c>
      <c r="B682" t="s">
        <v>13</v>
      </c>
      <c r="C682" s="12">
        <v>46090</v>
      </c>
      <c r="D682" s="12">
        <v>46203</v>
      </c>
      <c r="E682" t="s">
        <v>775</v>
      </c>
      <c r="F682" t="s">
        <v>14</v>
      </c>
      <c r="G682">
        <v>1085315209</v>
      </c>
      <c r="H682" t="s">
        <v>643</v>
      </c>
      <c r="I682">
        <v>43624414</v>
      </c>
      <c r="J682" t="s">
        <v>14</v>
      </c>
      <c r="K682" t="s">
        <v>18</v>
      </c>
      <c r="L682" s="42">
        <v>0</v>
      </c>
      <c r="M682" s="10">
        <v>12600000</v>
      </c>
      <c r="N682" s="10">
        <f t="shared" si="10"/>
        <v>12600000</v>
      </c>
      <c r="O682" t="s">
        <v>704</v>
      </c>
    </row>
    <row r="683" spans="1:15" x14ac:dyDescent="0.25">
      <c r="A683" t="s">
        <v>1350</v>
      </c>
      <c r="B683" t="s">
        <v>13</v>
      </c>
      <c r="C683" s="12">
        <v>46090</v>
      </c>
      <c r="D683" s="12">
        <v>46203</v>
      </c>
      <c r="E683" t="s">
        <v>775</v>
      </c>
      <c r="F683" t="s">
        <v>14</v>
      </c>
      <c r="G683">
        <v>59813323</v>
      </c>
      <c r="H683" t="s">
        <v>74</v>
      </c>
      <c r="I683">
        <v>98333941</v>
      </c>
      <c r="J683" t="s">
        <v>14</v>
      </c>
      <c r="K683" t="s">
        <v>15</v>
      </c>
      <c r="L683" s="42">
        <v>0</v>
      </c>
      <c r="M683" s="10">
        <v>12600000</v>
      </c>
      <c r="N683" s="10">
        <f t="shared" si="10"/>
        <v>12600000</v>
      </c>
      <c r="O683" t="s">
        <v>704</v>
      </c>
    </row>
    <row r="684" spans="1:15" x14ac:dyDescent="0.25">
      <c r="A684" t="s">
        <v>1351</v>
      </c>
      <c r="B684" t="s">
        <v>13</v>
      </c>
      <c r="C684" s="12">
        <v>46090</v>
      </c>
      <c r="D684" s="12">
        <v>46182</v>
      </c>
      <c r="E684" t="s">
        <v>775</v>
      </c>
      <c r="F684" t="s">
        <v>14</v>
      </c>
      <c r="G684">
        <v>1193035720</v>
      </c>
      <c r="H684" t="s">
        <v>904</v>
      </c>
      <c r="I684">
        <v>43624414</v>
      </c>
      <c r="J684" t="s">
        <v>14</v>
      </c>
      <c r="K684" t="s">
        <v>18</v>
      </c>
      <c r="L684" s="42">
        <v>0</v>
      </c>
      <c r="M684" s="10">
        <v>9450000</v>
      </c>
      <c r="N684" s="10">
        <f t="shared" si="10"/>
        <v>9450000</v>
      </c>
      <c r="O684" t="s">
        <v>704</v>
      </c>
    </row>
    <row r="685" spans="1:15" x14ac:dyDescent="0.25">
      <c r="A685" t="s">
        <v>1352</v>
      </c>
      <c r="B685" t="s">
        <v>13</v>
      </c>
      <c r="C685" s="12">
        <v>46090</v>
      </c>
      <c r="D685" s="12">
        <v>46182</v>
      </c>
      <c r="E685" t="s">
        <v>775</v>
      </c>
      <c r="F685" t="s">
        <v>14</v>
      </c>
      <c r="G685">
        <v>1085277976</v>
      </c>
      <c r="H685" t="s">
        <v>681</v>
      </c>
      <c r="I685">
        <v>43624414</v>
      </c>
      <c r="J685" t="s">
        <v>14</v>
      </c>
      <c r="K685" t="s">
        <v>18</v>
      </c>
      <c r="L685" s="42">
        <v>0</v>
      </c>
      <c r="M685" s="10">
        <v>18900000</v>
      </c>
      <c r="N685" s="10">
        <f t="shared" si="10"/>
        <v>18900000</v>
      </c>
      <c r="O685" t="s">
        <v>704</v>
      </c>
    </row>
    <row r="686" spans="1:15" x14ac:dyDescent="0.25">
      <c r="A686" t="s">
        <v>1353</v>
      </c>
      <c r="B686" t="s">
        <v>13</v>
      </c>
      <c r="C686" s="12">
        <v>46090</v>
      </c>
      <c r="D686" s="12">
        <v>46203</v>
      </c>
      <c r="E686" t="s">
        <v>775</v>
      </c>
      <c r="F686" t="s">
        <v>14</v>
      </c>
      <c r="G686">
        <v>1004437571</v>
      </c>
      <c r="H686" t="s">
        <v>381</v>
      </c>
      <c r="I686">
        <v>59836926</v>
      </c>
      <c r="J686" t="s">
        <v>14</v>
      </c>
      <c r="K686" t="s">
        <v>17</v>
      </c>
      <c r="L686" s="42">
        <v>0</v>
      </c>
      <c r="M686" s="10">
        <v>12600000</v>
      </c>
      <c r="N686" s="10">
        <f t="shared" si="10"/>
        <v>12600000</v>
      </c>
      <c r="O686" t="s">
        <v>704</v>
      </c>
    </row>
    <row r="687" spans="1:15" x14ac:dyDescent="0.25">
      <c r="A687" t="s">
        <v>1354</v>
      </c>
      <c r="B687" t="s">
        <v>13</v>
      </c>
      <c r="C687" s="12">
        <v>46090</v>
      </c>
      <c r="D687" s="12">
        <v>46203</v>
      </c>
      <c r="E687" t="s">
        <v>775</v>
      </c>
      <c r="F687" t="s">
        <v>14</v>
      </c>
      <c r="G687">
        <v>59122805</v>
      </c>
      <c r="H687" t="s">
        <v>463</v>
      </c>
      <c r="I687">
        <v>98333941</v>
      </c>
      <c r="J687" t="s">
        <v>14</v>
      </c>
      <c r="K687" t="s">
        <v>15</v>
      </c>
      <c r="L687" s="42">
        <v>0</v>
      </c>
      <c r="M687" s="10">
        <v>12600000</v>
      </c>
      <c r="N687" s="10">
        <f t="shared" si="10"/>
        <v>12600000</v>
      </c>
      <c r="O687" t="s">
        <v>704</v>
      </c>
    </row>
    <row r="688" spans="1:15" x14ac:dyDescent="0.25">
      <c r="A688" t="s">
        <v>1355</v>
      </c>
      <c r="B688" t="s">
        <v>13</v>
      </c>
      <c r="C688" s="12">
        <v>46090</v>
      </c>
      <c r="D688" s="12">
        <v>46182</v>
      </c>
      <c r="E688" t="s">
        <v>775</v>
      </c>
      <c r="F688" t="s">
        <v>14</v>
      </c>
      <c r="G688">
        <v>87030128</v>
      </c>
      <c r="H688" t="s">
        <v>101</v>
      </c>
      <c r="I688">
        <v>59836926</v>
      </c>
      <c r="J688" t="s">
        <v>14</v>
      </c>
      <c r="K688" t="s">
        <v>17</v>
      </c>
      <c r="L688" s="42">
        <v>0</v>
      </c>
      <c r="M688" s="10">
        <v>9450000</v>
      </c>
      <c r="N688" s="10">
        <f t="shared" si="10"/>
        <v>9450000</v>
      </c>
      <c r="O688" t="s">
        <v>704</v>
      </c>
    </row>
    <row r="689" spans="1:16" x14ac:dyDescent="0.25">
      <c r="A689" t="s">
        <v>1356</v>
      </c>
      <c r="B689" t="s">
        <v>13</v>
      </c>
      <c r="C689" s="12">
        <v>46091</v>
      </c>
      <c r="D689" s="12">
        <v>46183</v>
      </c>
      <c r="E689" t="s">
        <v>775</v>
      </c>
      <c r="F689" t="s">
        <v>14</v>
      </c>
      <c r="G689">
        <v>1004134014</v>
      </c>
      <c r="H689" t="s">
        <v>633</v>
      </c>
      <c r="I689">
        <v>43624414</v>
      </c>
      <c r="J689" t="s">
        <v>14</v>
      </c>
      <c r="K689" t="s">
        <v>18</v>
      </c>
      <c r="L689" s="42">
        <v>0</v>
      </c>
      <c r="M689" s="10">
        <v>9450000</v>
      </c>
      <c r="N689" s="10">
        <f t="shared" si="10"/>
        <v>9450000</v>
      </c>
      <c r="O689" t="s">
        <v>704</v>
      </c>
    </row>
    <row r="690" spans="1:16" x14ac:dyDescent="0.25">
      <c r="A690" t="s">
        <v>1357</v>
      </c>
      <c r="B690" t="s">
        <v>13</v>
      </c>
      <c r="C690" s="12">
        <v>46091</v>
      </c>
      <c r="D690" s="12">
        <v>46213</v>
      </c>
      <c r="E690" t="s">
        <v>775</v>
      </c>
      <c r="F690" t="s">
        <v>14</v>
      </c>
      <c r="G690">
        <v>1081572043</v>
      </c>
      <c r="H690" t="s">
        <v>54</v>
      </c>
      <c r="I690">
        <v>98333941</v>
      </c>
      <c r="J690" t="s">
        <v>14</v>
      </c>
      <c r="K690" t="s">
        <v>15</v>
      </c>
      <c r="L690" s="42">
        <v>0</v>
      </c>
      <c r="M690" s="10">
        <v>12600000</v>
      </c>
      <c r="N690" s="10">
        <f t="shared" si="10"/>
        <v>12600000</v>
      </c>
      <c r="O690" t="s">
        <v>704</v>
      </c>
    </row>
    <row r="691" spans="1:16" x14ac:dyDescent="0.25">
      <c r="A691" t="s">
        <v>1358</v>
      </c>
      <c r="B691" t="s">
        <v>13</v>
      </c>
      <c r="C691" s="12">
        <v>46092</v>
      </c>
      <c r="D691" s="12">
        <v>46184</v>
      </c>
      <c r="E691" t="s">
        <v>775</v>
      </c>
      <c r="F691" t="s">
        <v>14</v>
      </c>
      <c r="G691">
        <v>36758868</v>
      </c>
      <c r="H691" t="s">
        <v>936</v>
      </c>
      <c r="I691">
        <v>43624414</v>
      </c>
      <c r="J691" t="s">
        <v>14</v>
      </c>
      <c r="K691" t="s">
        <v>18</v>
      </c>
      <c r="L691" s="42">
        <v>0</v>
      </c>
      <c r="M691" s="10">
        <v>9450000</v>
      </c>
      <c r="N691" s="10">
        <f t="shared" si="10"/>
        <v>9450000</v>
      </c>
      <c r="O691" t="s">
        <v>704</v>
      </c>
    </row>
    <row r="692" spans="1:16" x14ac:dyDescent="0.25">
      <c r="A692" t="s">
        <v>1359</v>
      </c>
      <c r="B692" t="s">
        <v>13</v>
      </c>
      <c r="C692" s="12">
        <v>46093</v>
      </c>
      <c r="D692" s="12">
        <v>46185</v>
      </c>
      <c r="E692" t="s">
        <v>775</v>
      </c>
      <c r="F692" t="s">
        <v>14</v>
      </c>
      <c r="G692">
        <v>1053793750</v>
      </c>
      <c r="H692" t="s">
        <v>261</v>
      </c>
      <c r="I692">
        <v>98390119</v>
      </c>
      <c r="J692" t="s">
        <v>14</v>
      </c>
      <c r="K692" t="s">
        <v>63</v>
      </c>
      <c r="L692" s="42">
        <v>0</v>
      </c>
      <c r="M692" s="10">
        <v>18900000</v>
      </c>
      <c r="N692" s="10">
        <f t="shared" si="10"/>
        <v>18900000</v>
      </c>
      <c r="O692" t="s">
        <v>704</v>
      </c>
    </row>
    <row r="693" spans="1:16" x14ac:dyDescent="0.25">
      <c r="A693" t="s">
        <v>1360</v>
      </c>
      <c r="B693" t="s">
        <v>13</v>
      </c>
      <c r="C693" s="12">
        <v>46093</v>
      </c>
      <c r="D693" s="12">
        <v>46185</v>
      </c>
      <c r="E693" t="s">
        <v>775</v>
      </c>
      <c r="F693" t="s">
        <v>14</v>
      </c>
      <c r="G693">
        <v>1086298268</v>
      </c>
      <c r="H693" t="s">
        <v>916</v>
      </c>
      <c r="I693">
        <v>98390119</v>
      </c>
      <c r="J693" t="s">
        <v>14</v>
      </c>
      <c r="K693" t="s">
        <v>63</v>
      </c>
      <c r="L693" s="42">
        <v>0</v>
      </c>
      <c r="M693" s="10">
        <v>9450000</v>
      </c>
      <c r="N693" s="10">
        <f t="shared" si="10"/>
        <v>9450000</v>
      </c>
      <c r="O693" t="s">
        <v>704</v>
      </c>
    </row>
    <row r="694" spans="1:16" x14ac:dyDescent="0.25">
      <c r="A694" t="s">
        <v>1361</v>
      </c>
      <c r="B694" t="s">
        <v>13</v>
      </c>
      <c r="C694" s="12">
        <v>46093</v>
      </c>
      <c r="D694" s="12">
        <v>46185</v>
      </c>
      <c r="E694" t="s">
        <v>775</v>
      </c>
      <c r="F694" t="s">
        <v>14</v>
      </c>
      <c r="G694">
        <v>1004131976</v>
      </c>
      <c r="H694" t="s">
        <v>291</v>
      </c>
      <c r="I694">
        <v>98390119</v>
      </c>
      <c r="J694" t="s">
        <v>14</v>
      </c>
      <c r="K694" t="s">
        <v>63</v>
      </c>
      <c r="L694" s="42">
        <v>0</v>
      </c>
      <c r="M694" s="10">
        <v>9450000</v>
      </c>
      <c r="N694" s="10">
        <f t="shared" si="10"/>
        <v>9450000</v>
      </c>
      <c r="O694" t="s">
        <v>704</v>
      </c>
    </row>
    <row r="695" spans="1:16" x14ac:dyDescent="0.25">
      <c r="A695" t="s">
        <v>1362</v>
      </c>
      <c r="B695" t="s">
        <v>13</v>
      </c>
      <c r="C695" s="12">
        <v>46094</v>
      </c>
      <c r="D695" s="12">
        <v>46155</v>
      </c>
      <c r="E695" t="s">
        <v>744</v>
      </c>
      <c r="F695" t="s">
        <v>14</v>
      </c>
      <c r="G695">
        <v>42144372</v>
      </c>
      <c r="H695" t="s">
        <v>855</v>
      </c>
      <c r="I695">
        <v>98390119</v>
      </c>
      <c r="J695" t="s">
        <v>14</v>
      </c>
      <c r="K695" t="s">
        <v>63</v>
      </c>
      <c r="L695" s="42">
        <v>0</v>
      </c>
      <c r="M695" s="10">
        <v>15600000</v>
      </c>
      <c r="N695" s="10">
        <f t="shared" si="10"/>
        <v>15600000</v>
      </c>
      <c r="O695" t="s">
        <v>704</v>
      </c>
    </row>
    <row r="696" spans="1:16" x14ac:dyDescent="0.25">
      <c r="A696" t="s">
        <v>1363</v>
      </c>
      <c r="B696" t="s">
        <v>13</v>
      </c>
      <c r="C696" s="12">
        <v>46094</v>
      </c>
      <c r="D696" s="12">
        <v>46125</v>
      </c>
      <c r="E696" t="s">
        <v>793</v>
      </c>
      <c r="F696" t="s">
        <v>14</v>
      </c>
      <c r="G696">
        <v>87070742</v>
      </c>
      <c r="H696" t="s">
        <v>556</v>
      </c>
      <c r="I696">
        <v>98390119</v>
      </c>
      <c r="J696" t="s">
        <v>14</v>
      </c>
      <c r="K696" t="s">
        <v>63</v>
      </c>
      <c r="L696" s="42">
        <v>0</v>
      </c>
      <c r="M696" s="10">
        <v>2000000</v>
      </c>
      <c r="N696" s="10">
        <f t="shared" si="10"/>
        <v>2000000</v>
      </c>
      <c r="O696" t="s">
        <v>704</v>
      </c>
    </row>
    <row r="697" spans="1:16" x14ac:dyDescent="0.25">
      <c r="A697" t="s">
        <v>1364</v>
      </c>
      <c r="B697" t="s">
        <v>13</v>
      </c>
      <c r="C697" s="12">
        <v>46097</v>
      </c>
      <c r="D697" s="12">
        <v>46158</v>
      </c>
      <c r="E697" t="s">
        <v>775</v>
      </c>
      <c r="F697" t="s">
        <v>14</v>
      </c>
      <c r="G697">
        <v>1233192104</v>
      </c>
      <c r="H697" t="s">
        <v>514</v>
      </c>
      <c r="I697">
        <v>59836926</v>
      </c>
      <c r="J697" t="s">
        <v>14</v>
      </c>
      <c r="K697" t="s">
        <v>17</v>
      </c>
      <c r="L697" s="42">
        <v>0</v>
      </c>
      <c r="M697" s="10">
        <v>6300000</v>
      </c>
      <c r="N697" s="10">
        <f t="shared" si="10"/>
        <v>6300000</v>
      </c>
      <c r="O697" t="s">
        <v>704</v>
      </c>
    </row>
    <row r="698" spans="1:16" x14ac:dyDescent="0.25">
      <c r="A698" t="s">
        <v>1365</v>
      </c>
      <c r="B698" t="s">
        <v>13</v>
      </c>
      <c r="C698" s="12">
        <v>46098</v>
      </c>
      <c r="D698" s="12">
        <v>46203</v>
      </c>
      <c r="E698" t="s">
        <v>775</v>
      </c>
      <c r="F698" t="s">
        <v>14</v>
      </c>
      <c r="G698">
        <v>1085317652</v>
      </c>
      <c r="H698" t="s">
        <v>962</v>
      </c>
      <c r="I698">
        <v>43624414</v>
      </c>
      <c r="J698" t="s">
        <v>14</v>
      </c>
      <c r="K698" t="s">
        <v>18</v>
      </c>
      <c r="L698" s="42">
        <v>0</v>
      </c>
      <c r="M698" s="10">
        <v>11550000</v>
      </c>
      <c r="N698" s="10">
        <f t="shared" si="10"/>
        <v>11550000</v>
      </c>
      <c r="O698" t="s">
        <v>704</v>
      </c>
    </row>
    <row r="699" spans="1:16" x14ac:dyDescent="0.25">
      <c r="A699" s="2" t="s">
        <v>106</v>
      </c>
      <c r="B699" t="s">
        <v>13</v>
      </c>
      <c r="C699" s="12">
        <v>45940</v>
      </c>
      <c r="D699" s="12">
        <v>46022</v>
      </c>
      <c r="E699" t="s">
        <v>714</v>
      </c>
      <c r="F699" t="s">
        <v>83</v>
      </c>
      <c r="G699">
        <v>900752343</v>
      </c>
      <c r="H699" t="s">
        <v>107</v>
      </c>
      <c r="I699">
        <v>17658216</v>
      </c>
      <c r="J699" t="s">
        <v>14</v>
      </c>
      <c r="K699" t="s">
        <v>108</v>
      </c>
      <c r="L699" s="42">
        <v>352600000</v>
      </c>
      <c r="M699" s="42">
        <v>352600000</v>
      </c>
      <c r="N699" s="10">
        <f t="shared" si="10"/>
        <v>0</v>
      </c>
      <c r="O699" t="s">
        <v>704</v>
      </c>
      <c r="P699" s="2" t="s">
        <v>827</v>
      </c>
    </row>
    <row r="700" spans="1:16" x14ac:dyDescent="0.25">
      <c r="A700" t="s">
        <v>169</v>
      </c>
      <c r="B700" t="s">
        <v>13</v>
      </c>
      <c r="C700" s="12">
        <v>45940</v>
      </c>
      <c r="D700" s="12">
        <v>46022</v>
      </c>
      <c r="E700" t="s">
        <v>170</v>
      </c>
      <c r="F700" t="s">
        <v>83</v>
      </c>
      <c r="G700">
        <v>900752343</v>
      </c>
      <c r="H700" t="s">
        <v>107</v>
      </c>
      <c r="I700">
        <v>17658216</v>
      </c>
      <c r="J700" t="s">
        <v>14</v>
      </c>
      <c r="K700" t="s">
        <v>108</v>
      </c>
      <c r="L700" s="42">
        <v>350950000</v>
      </c>
      <c r="M700" s="42">
        <v>350950000</v>
      </c>
      <c r="N700" s="10">
        <f t="shared" si="10"/>
        <v>0</v>
      </c>
      <c r="O700" t="s">
        <v>704</v>
      </c>
      <c r="P700" s="2" t="s">
        <v>827</v>
      </c>
    </row>
    <row r="701" spans="1:16" x14ac:dyDescent="0.25">
      <c r="A701" t="s">
        <v>211</v>
      </c>
      <c r="B701" t="s">
        <v>13</v>
      </c>
      <c r="C701" s="12">
        <v>45945</v>
      </c>
      <c r="D701" s="12">
        <v>46022</v>
      </c>
      <c r="E701" t="s">
        <v>212</v>
      </c>
      <c r="F701" t="s">
        <v>83</v>
      </c>
      <c r="G701">
        <v>805021222</v>
      </c>
      <c r="H701" t="s">
        <v>81</v>
      </c>
      <c r="I701">
        <v>17658216</v>
      </c>
      <c r="J701" t="s">
        <v>14</v>
      </c>
      <c r="K701" t="s">
        <v>108</v>
      </c>
      <c r="L701" s="42">
        <v>280000000</v>
      </c>
      <c r="M701" s="42">
        <v>280000000</v>
      </c>
      <c r="N701" s="10">
        <f t="shared" si="10"/>
        <v>0</v>
      </c>
      <c r="O701" t="s">
        <v>704</v>
      </c>
      <c r="P701" s="2" t="s">
        <v>828</v>
      </c>
    </row>
    <row r="702" spans="1:16" x14ac:dyDescent="0.25">
      <c r="A702" t="s">
        <v>317</v>
      </c>
      <c r="B702" t="s">
        <v>13</v>
      </c>
      <c r="C702" s="12">
        <v>45951</v>
      </c>
      <c r="D702" s="12">
        <v>45981</v>
      </c>
      <c r="E702" t="s">
        <v>757</v>
      </c>
      <c r="F702" t="s">
        <v>83</v>
      </c>
      <c r="G702">
        <v>901329717</v>
      </c>
      <c r="H702" t="s">
        <v>318</v>
      </c>
      <c r="I702">
        <v>36759470</v>
      </c>
      <c r="J702" t="s">
        <v>14</v>
      </c>
      <c r="K702" t="s">
        <v>319</v>
      </c>
      <c r="L702" s="42">
        <v>216656524.10000002</v>
      </c>
      <c r="M702" s="42">
        <v>216656524.10000002</v>
      </c>
      <c r="N702" s="10">
        <f t="shared" si="10"/>
        <v>0</v>
      </c>
      <c r="O702" t="s">
        <v>704</v>
      </c>
      <c r="P702" s="2" t="s">
        <v>827</v>
      </c>
    </row>
    <row r="703" spans="1:16" x14ac:dyDescent="0.25">
      <c r="A703" t="s">
        <v>688</v>
      </c>
      <c r="B703" t="s">
        <v>13</v>
      </c>
      <c r="C703" s="12">
        <v>45982</v>
      </c>
      <c r="D703" s="12">
        <v>46022</v>
      </c>
      <c r="E703" t="s">
        <v>813</v>
      </c>
      <c r="F703" t="s">
        <v>14</v>
      </c>
      <c r="G703">
        <v>1086755989</v>
      </c>
      <c r="H703" t="s">
        <v>689</v>
      </c>
      <c r="I703">
        <v>43624414</v>
      </c>
      <c r="J703" t="s">
        <v>14</v>
      </c>
      <c r="K703" t="s">
        <v>18</v>
      </c>
      <c r="L703" s="42">
        <v>9450000</v>
      </c>
      <c r="M703" s="42">
        <v>9450000</v>
      </c>
      <c r="N703" s="10">
        <f t="shared" si="10"/>
        <v>0</v>
      </c>
      <c r="O703" t="s">
        <v>704</v>
      </c>
      <c r="P703" s="2" t="s">
        <v>827</v>
      </c>
    </row>
    <row r="704" spans="1:16" x14ac:dyDescent="0.25">
      <c r="A704" t="s">
        <v>696</v>
      </c>
      <c r="B704" t="s">
        <v>13</v>
      </c>
      <c r="C704" s="12">
        <v>45897</v>
      </c>
      <c r="D704" s="12">
        <v>46019</v>
      </c>
      <c r="E704" t="s">
        <v>824</v>
      </c>
      <c r="F704" t="s">
        <v>83</v>
      </c>
      <c r="G704">
        <v>900994364</v>
      </c>
      <c r="H704" t="s">
        <v>697</v>
      </c>
      <c r="I704">
        <v>13016581</v>
      </c>
      <c r="J704" t="s">
        <v>14</v>
      </c>
      <c r="K704" t="s">
        <v>698</v>
      </c>
      <c r="L704" s="42">
        <v>605000000</v>
      </c>
      <c r="M704" s="42">
        <v>605000000</v>
      </c>
      <c r="N704" s="10">
        <f t="shared" si="10"/>
        <v>0</v>
      </c>
      <c r="O704" t="s">
        <v>704</v>
      </c>
      <c r="P704" s="2" t="s">
        <v>828</v>
      </c>
    </row>
    <row r="705" spans="1:16" x14ac:dyDescent="0.25">
      <c r="A705" t="s">
        <v>701</v>
      </c>
      <c r="B705" t="s">
        <v>13</v>
      </c>
      <c r="C705" s="12">
        <v>45912</v>
      </c>
      <c r="D705" s="12">
        <v>46022</v>
      </c>
      <c r="E705" t="s">
        <v>826</v>
      </c>
      <c r="F705" t="s">
        <v>83</v>
      </c>
      <c r="G705">
        <v>805021222</v>
      </c>
      <c r="H705" t="s">
        <v>702</v>
      </c>
      <c r="I705">
        <v>17658216</v>
      </c>
      <c r="J705" t="s">
        <v>14</v>
      </c>
      <c r="K705" t="s">
        <v>82</v>
      </c>
      <c r="L705" s="42">
        <v>270000000</v>
      </c>
      <c r="M705" s="42">
        <v>270000000</v>
      </c>
      <c r="N705" s="10">
        <f t="shared" si="10"/>
        <v>0</v>
      </c>
      <c r="O705" t="s">
        <v>704</v>
      </c>
      <c r="P705" s="2" t="s">
        <v>828</v>
      </c>
    </row>
    <row r="706" spans="1:16" x14ac:dyDescent="0.25">
      <c r="A706" s="38" t="s">
        <v>982</v>
      </c>
      <c r="B706" s="38" t="s">
        <v>13</v>
      </c>
      <c r="C706" s="43">
        <v>46024</v>
      </c>
      <c r="D706" s="43">
        <v>46112</v>
      </c>
      <c r="E706" s="37" t="s">
        <v>1381</v>
      </c>
      <c r="F706" s="38" t="s">
        <v>83</v>
      </c>
      <c r="G706" s="37">
        <v>900752343</v>
      </c>
      <c r="H706" s="37" t="s">
        <v>107</v>
      </c>
      <c r="I706" s="38">
        <v>17658216</v>
      </c>
      <c r="J706" s="38" t="s">
        <v>14</v>
      </c>
      <c r="K706" s="38" t="s">
        <v>108</v>
      </c>
      <c r="L706" s="42">
        <v>238752640</v>
      </c>
      <c r="M706" s="41">
        <v>280000000</v>
      </c>
      <c r="N706" s="10">
        <f t="shared" si="10"/>
        <v>41247360</v>
      </c>
      <c r="O706" t="s">
        <v>704</v>
      </c>
    </row>
    <row r="707" spans="1:16" x14ac:dyDescent="0.25">
      <c r="A707" s="38" t="s">
        <v>983</v>
      </c>
      <c r="B707" s="38" t="s">
        <v>13</v>
      </c>
      <c r="C707" s="43">
        <v>46024</v>
      </c>
      <c r="D707" s="43">
        <v>46112</v>
      </c>
      <c r="E707" s="37" t="s">
        <v>1382</v>
      </c>
      <c r="F707" s="38" t="s">
        <v>83</v>
      </c>
      <c r="G707" s="37">
        <v>900752343</v>
      </c>
      <c r="H707" s="37" t="s">
        <v>107</v>
      </c>
      <c r="I707" s="38">
        <v>17658217</v>
      </c>
      <c r="J707" s="38" t="s">
        <v>14</v>
      </c>
      <c r="K707" s="38" t="s">
        <v>108</v>
      </c>
      <c r="L707" s="42">
        <v>207105640</v>
      </c>
      <c r="M707" s="41">
        <v>270000000</v>
      </c>
      <c r="N707" s="10">
        <f t="shared" ref="N707:N712" si="11">M707-L707</f>
        <v>62894360</v>
      </c>
      <c r="O707" t="s">
        <v>704</v>
      </c>
    </row>
    <row r="708" spans="1:16" x14ac:dyDescent="0.25">
      <c r="A708" s="38" t="s">
        <v>984</v>
      </c>
      <c r="B708" s="38" t="s">
        <v>13</v>
      </c>
      <c r="C708" s="43">
        <v>46024</v>
      </c>
      <c r="D708" s="43">
        <v>46112</v>
      </c>
      <c r="E708" s="37" t="s">
        <v>1384</v>
      </c>
      <c r="F708" s="38" t="s">
        <v>83</v>
      </c>
      <c r="G708" s="37">
        <v>900994364</v>
      </c>
      <c r="H708" s="37" t="s">
        <v>1385</v>
      </c>
      <c r="I708" s="37">
        <v>13016581</v>
      </c>
      <c r="J708" s="38" t="s">
        <v>14</v>
      </c>
      <c r="K708" s="37" t="s">
        <v>1386</v>
      </c>
      <c r="L708" s="42">
        <v>98453314</v>
      </c>
      <c r="M708" s="41">
        <v>297142800</v>
      </c>
      <c r="N708" s="10">
        <f t="shared" si="11"/>
        <v>198689486</v>
      </c>
      <c r="O708" t="s">
        <v>704</v>
      </c>
    </row>
    <row r="709" spans="1:16" x14ac:dyDescent="0.25">
      <c r="A709" s="37" t="s">
        <v>1373</v>
      </c>
      <c r="B709" s="38" t="s">
        <v>13</v>
      </c>
      <c r="C709" s="43">
        <v>46000</v>
      </c>
      <c r="D709" s="43">
        <v>46022</v>
      </c>
      <c r="E709" s="37" t="s">
        <v>1387</v>
      </c>
      <c r="F709" s="38" t="s">
        <v>14</v>
      </c>
      <c r="G709" s="37">
        <v>66958357</v>
      </c>
      <c r="H709" s="37" t="s">
        <v>935</v>
      </c>
      <c r="I709" s="37">
        <v>98390119</v>
      </c>
      <c r="J709" s="38" t="s">
        <v>14</v>
      </c>
      <c r="K709" s="37" t="s">
        <v>63</v>
      </c>
      <c r="L709" s="42">
        <v>2000000</v>
      </c>
      <c r="M709" s="41">
        <v>2000000</v>
      </c>
      <c r="N709" s="10">
        <f t="shared" si="11"/>
        <v>0</v>
      </c>
      <c r="O709" t="s">
        <v>704</v>
      </c>
    </row>
    <row r="710" spans="1:16" x14ac:dyDescent="0.25">
      <c r="A710" s="37" t="s">
        <v>1374</v>
      </c>
      <c r="B710" s="38" t="s">
        <v>13</v>
      </c>
      <c r="C710" s="43">
        <v>46008</v>
      </c>
      <c r="D710" s="43">
        <v>46022</v>
      </c>
      <c r="E710" s="37" t="s">
        <v>1388</v>
      </c>
      <c r="F710" s="38" t="s">
        <v>14</v>
      </c>
      <c r="G710" s="37">
        <v>1086132023</v>
      </c>
      <c r="H710" s="37" t="s">
        <v>1379</v>
      </c>
      <c r="I710" s="37">
        <v>59836926</v>
      </c>
      <c r="J710" s="38" t="s">
        <v>14</v>
      </c>
      <c r="K710" s="37" t="s">
        <v>17</v>
      </c>
      <c r="L710" s="42">
        <v>6300000</v>
      </c>
      <c r="M710" s="41">
        <v>6300000</v>
      </c>
      <c r="N710" s="10">
        <f t="shared" si="11"/>
        <v>0</v>
      </c>
      <c r="O710" t="s">
        <v>704</v>
      </c>
    </row>
    <row r="711" spans="1:16" x14ac:dyDescent="0.25">
      <c r="A711" s="37" t="s">
        <v>1392</v>
      </c>
      <c r="B711" s="38" t="s">
        <v>13</v>
      </c>
      <c r="C711" s="43">
        <v>46009</v>
      </c>
      <c r="D711" s="43">
        <v>46022</v>
      </c>
      <c r="E711" s="37" t="s">
        <v>1393</v>
      </c>
      <c r="F711" s="38" t="s">
        <v>83</v>
      </c>
      <c r="G711" s="37">
        <v>900724450</v>
      </c>
      <c r="H711" s="37" t="s">
        <v>1394</v>
      </c>
      <c r="I711" s="38">
        <v>17658216</v>
      </c>
      <c r="J711" s="38" t="s">
        <v>14</v>
      </c>
      <c r="K711" s="38" t="s">
        <v>108</v>
      </c>
      <c r="L711" s="42">
        <v>10091198</v>
      </c>
      <c r="M711" s="41">
        <v>10457200</v>
      </c>
      <c r="N711" s="10">
        <f t="shared" si="11"/>
        <v>366002</v>
      </c>
      <c r="O711" t="s">
        <v>704</v>
      </c>
    </row>
    <row r="712" spans="1:16" x14ac:dyDescent="0.25">
      <c r="A712" s="38" t="s">
        <v>1395</v>
      </c>
      <c r="B712" s="38" t="s">
        <v>13</v>
      </c>
      <c r="C712" s="43">
        <v>45817</v>
      </c>
      <c r="D712" s="43">
        <v>45869</v>
      </c>
      <c r="E712" s="37" t="s">
        <v>1396</v>
      </c>
      <c r="F712" s="38" t="s">
        <v>14</v>
      </c>
      <c r="G712" s="37">
        <v>36751052</v>
      </c>
      <c r="H712" s="37" t="s">
        <v>1397</v>
      </c>
      <c r="I712" s="37">
        <v>98333941</v>
      </c>
      <c r="J712" s="38" t="s">
        <v>14</v>
      </c>
      <c r="K712" s="37" t="s">
        <v>63</v>
      </c>
      <c r="L712" s="42">
        <v>4825000</v>
      </c>
      <c r="M712" s="41">
        <v>9650000</v>
      </c>
      <c r="N712" s="10">
        <f t="shared" si="11"/>
        <v>4825000</v>
      </c>
      <c r="O712" t="s">
        <v>704</v>
      </c>
    </row>
  </sheetData>
  <autoFilter ref="A1:P712" xr:uid="{969CE6AA-B978-451E-9166-37046A388E6B}"/>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50F2C-D8C0-4675-84A2-F3958F336D69}">
  <dimension ref="A1:W730"/>
  <sheetViews>
    <sheetView topLeftCell="A4" workbookViewId="0">
      <selection activeCell="I2" sqref="I2:I407"/>
    </sheetView>
  </sheetViews>
  <sheetFormatPr baseColWidth="10" defaultRowHeight="15" x14ac:dyDescent="0.25"/>
  <cols>
    <col min="2" max="2" width="11.5703125" customWidth="1"/>
    <col min="3" max="4" width="11.5703125" style="12" customWidth="1"/>
    <col min="5" max="5" width="16.5703125" customWidth="1"/>
    <col min="6" max="6" width="11.5703125" customWidth="1"/>
    <col min="7" max="7" width="21.7109375" customWidth="1"/>
    <col min="8" max="8" width="42.5703125" customWidth="1"/>
    <col min="9" max="9" width="19" customWidth="1"/>
    <col min="10" max="10" width="11.5703125" customWidth="1"/>
    <col min="11" max="11" width="33.7109375" customWidth="1"/>
    <col min="12" max="12" width="16.28515625" style="1" bestFit="1" customWidth="1"/>
    <col min="13" max="13" width="16.28515625" style="1" customWidth="1"/>
    <col min="14" max="14" width="16.28515625" style="22" bestFit="1" customWidth="1"/>
    <col min="15" max="15" width="16.28515625" style="1" customWidth="1"/>
    <col min="16" max="16" width="15" customWidth="1"/>
    <col min="17" max="17" width="16.28515625" style="1" bestFit="1" customWidth="1"/>
    <col min="18" max="18" width="4.85546875" customWidth="1"/>
    <col min="19" max="19" width="17.85546875" customWidth="1"/>
    <col min="23" max="23" width="17.7109375" bestFit="1" customWidth="1"/>
  </cols>
  <sheetData>
    <row r="1" spans="1:21" ht="14.25" customHeight="1" x14ac:dyDescent="0.25">
      <c r="A1" t="s">
        <v>0</v>
      </c>
      <c r="B1" t="s">
        <v>1</v>
      </c>
      <c r="C1" s="12" t="s">
        <v>2</v>
      </c>
      <c r="D1" s="12" t="s">
        <v>3</v>
      </c>
      <c r="E1" t="s">
        <v>4</v>
      </c>
      <c r="F1" t="s">
        <v>5</v>
      </c>
      <c r="G1" t="s">
        <v>6</v>
      </c>
      <c r="H1" t="s">
        <v>7</v>
      </c>
      <c r="I1" t="s">
        <v>8</v>
      </c>
      <c r="J1" t="s">
        <v>9</v>
      </c>
      <c r="K1" t="s">
        <v>10</v>
      </c>
      <c r="L1" s="1" t="s">
        <v>11</v>
      </c>
      <c r="M1" s="17" t="s">
        <v>1368</v>
      </c>
      <c r="N1" s="22" t="s">
        <v>12</v>
      </c>
      <c r="O1" s="1" t="s">
        <v>1371</v>
      </c>
      <c r="P1" t="s">
        <v>84</v>
      </c>
      <c r="Q1" s="1" t="s">
        <v>703</v>
      </c>
      <c r="S1" s="1" t="s">
        <v>829</v>
      </c>
      <c r="T1" s="11"/>
      <c r="U1" s="1"/>
    </row>
    <row r="2" spans="1:21" x14ac:dyDescent="0.25">
      <c r="A2" t="s">
        <v>1013</v>
      </c>
      <c r="B2" t="s">
        <v>13</v>
      </c>
      <c r="C2" s="12">
        <v>46023</v>
      </c>
      <c r="D2" s="12">
        <v>46112</v>
      </c>
      <c r="E2" t="s">
        <v>775</v>
      </c>
      <c r="F2" t="s">
        <v>14</v>
      </c>
      <c r="G2">
        <v>1089458776</v>
      </c>
      <c r="H2" t="s">
        <v>269</v>
      </c>
      <c r="I2">
        <v>98333941</v>
      </c>
      <c r="J2" t="s">
        <v>14</v>
      </c>
      <c r="K2" t="s">
        <v>15</v>
      </c>
      <c r="L2" s="1">
        <v>3150000</v>
      </c>
      <c r="M2" s="1">
        <v>3150000</v>
      </c>
      <c r="N2" s="20">
        <v>9450000</v>
      </c>
      <c r="O2" s="10">
        <v>9450000</v>
      </c>
      <c r="P2" t="s">
        <v>704</v>
      </c>
      <c r="Q2" s="1">
        <v>6300000</v>
      </c>
      <c r="S2" s="11" t="s">
        <v>1036</v>
      </c>
    </row>
    <row r="3" spans="1:21" x14ac:dyDescent="0.25">
      <c r="A3" t="s">
        <v>1037</v>
      </c>
      <c r="B3" t="s">
        <v>13</v>
      </c>
      <c r="C3" s="12">
        <v>46023</v>
      </c>
      <c r="D3" s="12">
        <v>46112</v>
      </c>
      <c r="E3" t="s">
        <v>775</v>
      </c>
      <c r="F3" t="s">
        <v>14</v>
      </c>
      <c r="G3">
        <v>1233191133</v>
      </c>
      <c r="H3" t="s">
        <v>572</v>
      </c>
      <c r="I3">
        <v>59836926</v>
      </c>
      <c r="J3" t="s">
        <v>14</v>
      </c>
      <c r="K3" t="s">
        <v>17</v>
      </c>
      <c r="L3" s="1">
        <v>3150000</v>
      </c>
      <c r="M3" s="1">
        <v>3150000</v>
      </c>
      <c r="N3" s="20">
        <v>9450000</v>
      </c>
      <c r="O3" s="10">
        <v>9450000</v>
      </c>
      <c r="P3" t="s">
        <v>704</v>
      </c>
      <c r="Q3" s="1">
        <v>6300000</v>
      </c>
      <c r="S3" s="11" t="s">
        <v>1036</v>
      </c>
    </row>
    <row r="4" spans="1:21" x14ac:dyDescent="0.25">
      <c r="A4" t="s">
        <v>1038</v>
      </c>
      <c r="B4" t="s">
        <v>13</v>
      </c>
      <c r="C4" s="12">
        <v>46023</v>
      </c>
      <c r="D4" s="12">
        <v>46112</v>
      </c>
      <c r="E4" t="s">
        <v>775</v>
      </c>
      <c r="F4" t="s">
        <v>14</v>
      </c>
      <c r="G4">
        <v>1089243630</v>
      </c>
      <c r="H4" t="s">
        <v>687</v>
      </c>
      <c r="I4">
        <v>43624414</v>
      </c>
      <c r="J4" t="s">
        <v>14</v>
      </c>
      <c r="K4" t="s">
        <v>18</v>
      </c>
      <c r="L4" s="1">
        <v>3150000</v>
      </c>
      <c r="M4" s="1">
        <v>3150000</v>
      </c>
      <c r="N4" s="20">
        <v>9450000</v>
      </c>
      <c r="O4" s="10">
        <v>9450000</v>
      </c>
      <c r="P4" t="s">
        <v>704</v>
      </c>
      <c r="Q4" s="1">
        <v>6300000</v>
      </c>
      <c r="S4" s="11" t="s">
        <v>1036</v>
      </c>
    </row>
    <row r="5" spans="1:21" x14ac:dyDescent="0.25">
      <c r="A5" t="s">
        <v>1039</v>
      </c>
      <c r="B5" t="s">
        <v>13</v>
      </c>
      <c r="C5" s="12">
        <v>46024</v>
      </c>
      <c r="D5" s="12">
        <v>46112</v>
      </c>
      <c r="E5" t="s">
        <v>775</v>
      </c>
      <c r="F5" t="s">
        <v>14</v>
      </c>
      <c r="G5">
        <v>1085327677</v>
      </c>
      <c r="H5" t="s">
        <v>405</v>
      </c>
      <c r="I5">
        <v>43624414</v>
      </c>
      <c r="J5" t="s">
        <v>14</v>
      </c>
      <c r="K5" t="s">
        <v>18</v>
      </c>
      <c r="L5" s="1">
        <v>3150000</v>
      </c>
      <c r="M5" s="1">
        <v>3150000</v>
      </c>
      <c r="N5" s="20">
        <v>9450000</v>
      </c>
      <c r="O5" s="10">
        <v>9450000</v>
      </c>
      <c r="P5" t="s">
        <v>704</v>
      </c>
      <c r="Q5" s="1">
        <v>6300000</v>
      </c>
      <c r="S5" s="11" t="s">
        <v>1036</v>
      </c>
    </row>
    <row r="6" spans="1:21" x14ac:dyDescent="0.25">
      <c r="A6" t="s">
        <v>1012</v>
      </c>
      <c r="B6" t="s">
        <v>13</v>
      </c>
      <c r="C6" s="12">
        <v>46024</v>
      </c>
      <c r="D6" s="12">
        <v>46112</v>
      </c>
      <c r="E6" t="s">
        <v>775</v>
      </c>
      <c r="F6" t="s">
        <v>14</v>
      </c>
      <c r="G6">
        <v>1233193191</v>
      </c>
      <c r="H6" t="s">
        <v>195</v>
      </c>
      <c r="I6">
        <v>43624414</v>
      </c>
      <c r="J6" t="s">
        <v>14</v>
      </c>
      <c r="K6" t="s">
        <v>18</v>
      </c>
      <c r="L6" s="1">
        <v>3150000</v>
      </c>
      <c r="M6" s="1">
        <v>3150000</v>
      </c>
      <c r="N6" s="20">
        <v>9450000</v>
      </c>
      <c r="O6" s="10">
        <v>9450000</v>
      </c>
      <c r="P6" t="s">
        <v>704</v>
      </c>
      <c r="Q6" s="1">
        <v>6300000</v>
      </c>
      <c r="S6" s="11" t="s">
        <v>1036</v>
      </c>
    </row>
    <row r="7" spans="1:21" x14ac:dyDescent="0.25">
      <c r="A7" t="s">
        <v>1033</v>
      </c>
      <c r="B7" t="s">
        <v>13</v>
      </c>
      <c r="C7" s="12">
        <v>46024</v>
      </c>
      <c r="D7" s="12">
        <v>46112</v>
      </c>
      <c r="E7" t="s">
        <v>775</v>
      </c>
      <c r="F7" t="s">
        <v>14</v>
      </c>
      <c r="G7">
        <v>1082748420</v>
      </c>
      <c r="H7" t="s">
        <v>65</v>
      </c>
      <c r="I7">
        <v>98333941</v>
      </c>
      <c r="J7" t="s">
        <v>14</v>
      </c>
      <c r="K7" t="s">
        <v>15</v>
      </c>
      <c r="L7" s="1">
        <v>6300000</v>
      </c>
      <c r="M7" s="1">
        <v>6300000</v>
      </c>
      <c r="N7" s="20">
        <v>18900000</v>
      </c>
      <c r="O7" s="10">
        <v>18900000</v>
      </c>
      <c r="P7" t="s">
        <v>704</v>
      </c>
      <c r="Q7" s="1">
        <v>12600000</v>
      </c>
      <c r="S7" s="11" t="s">
        <v>1036</v>
      </c>
    </row>
    <row r="8" spans="1:21" x14ac:dyDescent="0.25">
      <c r="A8" t="s">
        <v>1040</v>
      </c>
      <c r="B8" t="s">
        <v>13</v>
      </c>
      <c r="C8" s="12">
        <v>46024</v>
      </c>
      <c r="D8" s="12">
        <v>46112</v>
      </c>
      <c r="E8" t="s">
        <v>775</v>
      </c>
      <c r="F8" t="s">
        <v>14</v>
      </c>
      <c r="G8">
        <v>1085252263</v>
      </c>
      <c r="H8" t="s">
        <v>879</v>
      </c>
      <c r="I8">
        <v>43624414</v>
      </c>
      <c r="J8" t="s">
        <v>14</v>
      </c>
      <c r="K8" t="s">
        <v>18</v>
      </c>
      <c r="L8" s="1">
        <v>3150000</v>
      </c>
      <c r="M8" s="1">
        <v>3150000</v>
      </c>
      <c r="N8" s="20">
        <v>9450000</v>
      </c>
      <c r="O8" s="10">
        <v>9450000</v>
      </c>
      <c r="P8" t="s">
        <v>704</v>
      </c>
      <c r="Q8" s="1">
        <v>6300000</v>
      </c>
      <c r="S8" s="11" t="s">
        <v>1036</v>
      </c>
    </row>
    <row r="9" spans="1:21" x14ac:dyDescent="0.25">
      <c r="A9" t="s">
        <v>1034</v>
      </c>
      <c r="B9" t="s">
        <v>13</v>
      </c>
      <c r="C9" s="12">
        <v>46024</v>
      </c>
      <c r="D9" s="12">
        <v>46112</v>
      </c>
      <c r="E9" t="s">
        <v>775</v>
      </c>
      <c r="F9" t="s">
        <v>14</v>
      </c>
      <c r="G9">
        <v>1089458048</v>
      </c>
      <c r="H9" t="s">
        <v>492</v>
      </c>
      <c r="I9">
        <v>98333941</v>
      </c>
      <c r="J9" t="s">
        <v>14</v>
      </c>
      <c r="K9" t="s">
        <v>15</v>
      </c>
      <c r="L9" s="1">
        <v>3150000</v>
      </c>
      <c r="M9" s="1">
        <v>3150000</v>
      </c>
      <c r="N9" s="20">
        <v>9450000</v>
      </c>
      <c r="O9" s="10">
        <v>9450000</v>
      </c>
      <c r="P9" t="s">
        <v>704</v>
      </c>
      <c r="Q9" s="1">
        <v>6300000</v>
      </c>
      <c r="S9" s="11" t="s">
        <v>1036</v>
      </c>
    </row>
    <row r="10" spans="1:21" x14ac:dyDescent="0.25">
      <c r="A10" t="s">
        <v>1041</v>
      </c>
      <c r="B10" t="s">
        <v>13</v>
      </c>
      <c r="C10" s="12">
        <v>46024</v>
      </c>
      <c r="D10" s="12">
        <v>46112</v>
      </c>
      <c r="E10" t="s">
        <v>775</v>
      </c>
      <c r="F10" t="s">
        <v>14</v>
      </c>
      <c r="G10">
        <v>1081592303</v>
      </c>
      <c r="H10" t="s">
        <v>32</v>
      </c>
      <c r="I10">
        <v>43624414</v>
      </c>
      <c r="J10" t="s">
        <v>14</v>
      </c>
      <c r="K10" t="s">
        <v>18</v>
      </c>
      <c r="L10" s="1">
        <v>3150000</v>
      </c>
      <c r="M10" s="1">
        <v>3150000</v>
      </c>
      <c r="N10" s="20">
        <v>9450000</v>
      </c>
      <c r="O10" s="10">
        <v>9450000</v>
      </c>
      <c r="P10" t="s">
        <v>704</v>
      </c>
      <c r="Q10" s="1">
        <v>6300000</v>
      </c>
      <c r="S10" s="11" t="s">
        <v>1036</v>
      </c>
    </row>
    <row r="11" spans="1:21" x14ac:dyDescent="0.25">
      <c r="A11" t="s">
        <v>1042</v>
      </c>
      <c r="B11" t="s">
        <v>13</v>
      </c>
      <c r="C11" s="12">
        <v>46024</v>
      </c>
      <c r="D11" s="12">
        <v>46112</v>
      </c>
      <c r="E11" t="s">
        <v>775</v>
      </c>
      <c r="F11" t="s">
        <v>14</v>
      </c>
      <c r="G11">
        <v>1081272025</v>
      </c>
      <c r="H11" t="s">
        <v>850</v>
      </c>
      <c r="I11">
        <v>59836926</v>
      </c>
      <c r="J11" t="s">
        <v>14</v>
      </c>
      <c r="K11" t="s">
        <v>17</v>
      </c>
      <c r="L11" s="1">
        <v>3150000</v>
      </c>
      <c r="M11" s="1">
        <v>3150000</v>
      </c>
      <c r="N11" s="20">
        <v>9450000</v>
      </c>
      <c r="O11" s="10">
        <v>9450000</v>
      </c>
      <c r="P11" t="s">
        <v>704</v>
      </c>
      <c r="Q11" s="1">
        <v>6300000</v>
      </c>
      <c r="S11" s="11" t="s">
        <v>1036</v>
      </c>
    </row>
    <row r="12" spans="1:21" x14ac:dyDescent="0.25">
      <c r="A12" t="s">
        <v>1001</v>
      </c>
      <c r="B12" t="s">
        <v>13</v>
      </c>
      <c r="C12" s="12">
        <v>46024</v>
      </c>
      <c r="D12" s="12">
        <v>46112</v>
      </c>
      <c r="E12" t="s">
        <v>775</v>
      </c>
      <c r="F12" t="s">
        <v>14</v>
      </c>
      <c r="G12">
        <v>36752202</v>
      </c>
      <c r="H12" t="s">
        <v>168</v>
      </c>
      <c r="I12">
        <v>59836926</v>
      </c>
      <c r="J12" t="s">
        <v>14</v>
      </c>
      <c r="K12" t="s">
        <v>17</v>
      </c>
      <c r="L12" s="1">
        <v>3150000</v>
      </c>
      <c r="M12" s="1">
        <v>3150000</v>
      </c>
      <c r="N12" s="20">
        <v>9450000</v>
      </c>
      <c r="O12" s="10">
        <v>9450000</v>
      </c>
      <c r="P12" t="s">
        <v>704</v>
      </c>
      <c r="Q12" s="1">
        <v>6300000</v>
      </c>
      <c r="S12" s="11" t="s">
        <v>1036</v>
      </c>
    </row>
    <row r="13" spans="1:21" x14ac:dyDescent="0.25">
      <c r="A13" t="s">
        <v>1028</v>
      </c>
      <c r="B13" t="s">
        <v>13</v>
      </c>
      <c r="C13" s="12">
        <v>46024</v>
      </c>
      <c r="D13" s="12">
        <v>46112</v>
      </c>
      <c r="E13" t="s">
        <v>775</v>
      </c>
      <c r="F13" t="s">
        <v>14</v>
      </c>
      <c r="G13">
        <v>1233189234</v>
      </c>
      <c r="H13" t="s">
        <v>848</v>
      </c>
      <c r="I13">
        <v>59836926</v>
      </c>
      <c r="J13" t="s">
        <v>14</v>
      </c>
      <c r="K13" t="s">
        <v>17</v>
      </c>
      <c r="L13" s="1">
        <v>3150000</v>
      </c>
      <c r="M13" s="1">
        <v>3150000</v>
      </c>
      <c r="N13" s="20">
        <v>9450000</v>
      </c>
      <c r="O13" s="10">
        <v>9450000</v>
      </c>
      <c r="P13" t="s">
        <v>704</v>
      </c>
      <c r="Q13" s="1">
        <v>6300000</v>
      </c>
      <c r="S13" s="11" t="s">
        <v>1036</v>
      </c>
    </row>
    <row r="14" spans="1:21" x14ac:dyDescent="0.25">
      <c r="A14" t="s">
        <v>1043</v>
      </c>
      <c r="B14" t="s">
        <v>13</v>
      </c>
      <c r="C14" s="12">
        <v>46024</v>
      </c>
      <c r="D14" s="12">
        <v>46112</v>
      </c>
      <c r="E14" t="s">
        <v>775</v>
      </c>
      <c r="F14" t="s">
        <v>14</v>
      </c>
      <c r="G14">
        <v>5930737</v>
      </c>
      <c r="H14" t="s">
        <v>370</v>
      </c>
      <c r="I14">
        <v>98390119</v>
      </c>
      <c r="J14" t="s">
        <v>14</v>
      </c>
      <c r="K14" t="s">
        <v>63</v>
      </c>
      <c r="L14" s="1">
        <v>3150000</v>
      </c>
      <c r="M14" s="1">
        <v>3150000</v>
      </c>
      <c r="N14" s="20">
        <v>9450000</v>
      </c>
      <c r="O14" s="10">
        <v>9450000</v>
      </c>
      <c r="P14" t="s">
        <v>704</v>
      </c>
      <c r="Q14" s="1">
        <v>6300000</v>
      </c>
      <c r="S14" s="11" t="s">
        <v>1036</v>
      </c>
    </row>
    <row r="15" spans="1:21" x14ac:dyDescent="0.25">
      <c r="A15" t="s">
        <v>1017</v>
      </c>
      <c r="B15" t="s">
        <v>13</v>
      </c>
      <c r="C15" s="12">
        <v>46024</v>
      </c>
      <c r="D15" s="12">
        <v>46112</v>
      </c>
      <c r="E15" t="s">
        <v>775</v>
      </c>
      <c r="F15" t="s">
        <v>14</v>
      </c>
      <c r="G15">
        <v>1085325325</v>
      </c>
      <c r="H15" t="s">
        <v>610</v>
      </c>
      <c r="I15">
        <v>43624414</v>
      </c>
      <c r="J15" t="s">
        <v>14</v>
      </c>
      <c r="K15" t="s">
        <v>18</v>
      </c>
      <c r="L15" s="1">
        <v>3150000</v>
      </c>
      <c r="M15" s="1">
        <v>3150000</v>
      </c>
      <c r="N15" s="20">
        <v>9450000</v>
      </c>
      <c r="O15" s="10">
        <v>9450000</v>
      </c>
      <c r="P15" t="s">
        <v>704</v>
      </c>
      <c r="Q15" s="9">
        <v>6300000</v>
      </c>
      <c r="S15" s="11" t="s">
        <v>1036</v>
      </c>
    </row>
    <row r="16" spans="1:21" x14ac:dyDescent="0.25">
      <c r="A16" t="s">
        <v>995</v>
      </c>
      <c r="B16" t="s">
        <v>13</v>
      </c>
      <c r="C16" s="12">
        <v>46024</v>
      </c>
      <c r="D16" s="12">
        <v>46112</v>
      </c>
      <c r="E16" t="s">
        <v>775</v>
      </c>
      <c r="F16" t="s">
        <v>14</v>
      </c>
      <c r="G16">
        <v>1085275879</v>
      </c>
      <c r="H16" t="s">
        <v>59</v>
      </c>
      <c r="I16">
        <v>98390119</v>
      </c>
      <c r="J16" t="s">
        <v>14</v>
      </c>
      <c r="K16" t="s">
        <v>63</v>
      </c>
      <c r="L16" s="1">
        <v>6300000</v>
      </c>
      <c r="M16" s="1">
        <v>6300000</v>
      </c>
      <c r="N16" s="20">
        <v>18900000</v>
      </c>
      <c r="O16" s="10">
        <v>18900000</v>
      </c>
      <c r="P16" t="s">
        <v>704</v>
      </c>
      <c r="Q16" s="1">
        <v>12600000</v>
      </c>
      <c r="S16" s="11" t="s">
        <v>1036</v>
      </c>
    </row>
    <row r="17" spans="1:19" x14ac:dyDescent="0.25">
      <c r="A17" t="s">
        <v>1044</v>
      </c>
      <c r="B17" t="s">
        <v>13</v>
      </c>
      <c r="C17" s="12">
        <v>46024</v>
      </c>
      <c r="D17" s="12">
        <v>46112</v>
      </c>
      <c r="E17" t="s">
        <v>775</v>
      </c>
      <c r="F17" t="s">
        <v>14</v>
      </c>
      <c r="G17">
        <v>1081594639</v>
      </c>
      <c r="H17" t="s">
        <v>887</v>
      </c>
      <c r="I17">
        <v>43624414</v>
      </c>
      <c r="J17" t="s">
        <v>14</v>
      </c>
      <c r="K17" t="s">
        <v>18</v>
      </c>
      <c r="L17" s="1">
        <v>3150000</v>
      </c>
      <c r="M17" s="1">
        <v>3150000</v>
      </c>
      <c r="N17" s="20">
        <v>9450000</v>
      </c>
      <c r="O17" s="10">
        <v>9450000</v>
      </c>
      <c r="P17" t="s">
        <v>704</v>
      </c>
      <c r="Q17" s="1">
        <v>6300000</v>
      </c>
      <c r="S17" s="11" t="s">
        <v>1036</v>
      </c>
    </row>
    <row r="18" spans="1:19" x14ac:dyDescent="0.25">
      <c r="A18" t="s">
        <v>1018</v>
      </c>
      <c r="B18" t="s">
        <v>13</v>
      </c>
      <c r="C18" s="12">
        <v>46024</v>
      </c>
      <c r="D18" s="12">
        <v>46112</v>
      </c>
      <c r="E18" t="s">
        <v>775</v>
      </c>
      <c r="F18" t="s">
        <v>14</v>
      </c>
      <c r="G18">
        <v>1086328142</v>
      </c>
      <c r="H18" t="s">
        <v>85</v>
      </c>
      <c r="I18">
        <v>43624414</v>
      </c>
      <c r="J18" t="s">
        <v>14</v>
      </c>
      <c r="K18" t="s">
        <v>18</v>
      </c>
      <c r="L18" s="1">
        <v>3150000</v>
      </c>
      <c r="M18" s="1">
        <v>3150000</v>
      </c>
      <c r="N18" s="20">
        <v>9450000</v>
      </c>
      <c r="O18" s="10">
        <v>9450000</v>
      </c>
      <c r="P18" t="s">
        <v>704</v>
      </c>
      <c r="Q18" s="1">
        <v>6300000</v>
      </c>
      <c r="S18" s="11" t="s">
        <v>1036</v>
      </c>
    </row>
    <row r="19" spans="1:19" x14ac:dyDescent="0.25">
      <c r="A19" t="s">
        <v>1019</v>
      </c>
      <c r="B19" t="s">
        <v>13</v>
      </c>
      <c r="C19" s="12">
        <v>46024</v>
      </c>
      <c r="D19" s="12">
        <v>46112</v>
      </c>
      <c r="E19" t="s">
        <v>775</v>
      </c>
      <c r="F19" t="s">
        <v>14</v>
      </c>
      <c r="G19">
        <v>37084285</v>
      </c>
      <c r="H19" t="s">
        <v>29</v>
      </c>
      <c r="I19">
        <v>98333941</v>
      </c>
      <c r="J19" t="s">
        <v>14</v>
      </c>
      <c r="K19" t="s">
        <v>15</v>
      </c>
      <c r="L19" s="1">
        <v>3150000</v>
      </c>
      <c r="M19" s="1">
        <v>3150000</v>
      </c>
      <c r="N19" s="20">
        <v>9450000</v>
      </c>
      <c r="O19" s="10">
        <v>9450000</v>
      </c>
      <c r="P19" t="s">
        <v>704</v>
      </c>
      <c r="Q19" s="1">
        <v>6300000</v>
      </c>
      <c r="S19" s="11" t="s">
        <v>1036</v>
      </c>
    </row>
    <row r="20" spans="1:19" x14ac:dyDescent="0.25">
      <c r="A20" t="s">
        <v>1045</v>
      </c>
      <c r="B20" t="s">
        <v>13</v>
      </c>
      <c r="C20" s="12">
        <v>46024</v>
      </c>
      <c r="D20" s="12">
        <v>46112</v>
      </c>
      <c r="E20" t="s">
        <v>775</v>
      </c>
      <c r="F20" t="s">
        <v>14</v>
      </c>
      <c r="G20">
        <v>1086361622</v>
      </c>
      <c r="H20" t="s">
        <v>267</v>
      </c>
      <c r="I20">
        <v>98390119</v>
      </c>
      <c r="J20" t="s">
        <v>14</v>
      </c>
      <c r="K20" t="s">
        <v>63</v>
      </c>
      <c r="L20" s="1" t="e">
        <v>#N/A</v>
      </c>
      <c r="M20" s="1">
        <v>0</v>
      </c>
      <c r="N20" s="20">
        <v>9450000</v>
      </c>
      <c r="O20" s="10">
        <v>9450000</v>
      </c>
      <c r="P20" t="s">
        <v>704</v>
      </c>
      <c r="Q20" s="1" t="e">
        <v>#N/A</v>
      </c>
      <c r="S20" s="11" t="s">
        <v>1036</v>
      </c>
    </row>
    <row r="21" spans="1:19" x14ac:dyDescent="0.25">
      <c r="A21" t="s">
        <v>1046</v>
      </c>
      <c r="B21" t="s">
        <v>13</v>
      </c>
      <c r="C21" s="12">
        <v>46024</v>
      </c>
      <c r="D21" s="12">
        <v>46112</v>
      </c>
      <c r="E21" t="s">
        <v>775</v>
      </c>
      <c r="F21" t="s">
        <v>14</v>
      </c>
      <c r="G21">
        <v>1005977438</v>
      </c>
      <c r="H21" t="s">
        <v>133</v>
      </c>
      <c r="I21">
        <v>98390119</v>
      </c>
      <c r="J21" t="s">
        <v>14</v>
      </c>
      <c r="K21" t="s">
        <v>63</v>
      </c>
      <c r="L21" s="1">
        <v>3150000</v>
      </c>
      <c r="M21" s="1">
        <v>3150000</v>
      </c>
      <c r="N21" s="20">
        <v>9450000</v>
      </c>
      <c r="O21" s="10">
        <v>9450000</v>
      </c>
      <c r="P21" t="s">
        <v>704</v>
      </c>
      <c r="Q21" s="1">
        <v>6300000</v>
      </c>
      <c r="S21" s="11" t="s">
        <v>1036</v>
      </c>
    </row>
    <row r="22" spans="1:19" x14ac:dyDescent="0.25">
      <c r="A22" t="s">
        <v>1047</v>
      </c>
      <c r="B22" t="s">
        <v>13</v>
      </c>
      <c r="C22" s="12">
        <v>46024</v>
      </c>
      <c r="D22" s="12">
        <v>46112</v>
      </c>
      <c r="E22" t="s">
        <v>775</v>
      </c>
      <c r="F22" t="s">
        <v>14</v>
      </c>
      <c r="G22">
        <v>1086755989</v>
      </c>
      <c r="H22" t="s">
        <v>930</v>
      </c>
      <c r="I22">
        <v>59836926</v>
      </c>
      <c r="J22" t="s">
        <v>14</v>
      </c>
      <c r="K22" t="s">
        <v>17</v>
      </c>
      <c r="L22" s="1">
        <v>6300000</v>
      </c>
      <c r="M22" s="1">
        <v>6300000</v>
      </c>
      <c r="N22" s="20">
        <v>18900000</v>
      </c>
      <c r="O22" s="10">
        <v>18900000</v>
      </c>
      <c r="P22" t="s">
        <v>704</v>
      </c>
      <c r="Q22" s="1">
        <v>12600000</v>
      </c>
      <c r="S22" s="11" t="s">
        <v>1036</v>
      </c>
    </row>
    <row r="23" spans="1:19" x14ac:dyDescent="0.25">
      <c r="A23" t="s">
        <v>998</v>
      </c>
      <c r="B23" t="s">
        <v>13</v>
      </c>
      <c r="C23" s="12">
        <v>46024</v>
      </c>
      <c r="D23" s="12">
        <v>46112</v>
      </c>
      <c r="E23" t="s">
        <v>744</v>
      </c>
      <c r="F23" t="s">
        <v>14</v>
      </c>
      <c r="G23">
        <v>1233189066</v>
      </c>
      <c r="H23" t="s">
        <v>854</v>
      </c>
      <c r="I23">
        <v>98390119</v>
      </c>
      <c r="J23" t="s">
        <v>14</v>
      </c>
      <c r="K23" t="s">
        <v>63</v>
      </c>
      <c r="L23" s="1">
        <v>7800000</v>
      </c>
      <c r="M23" s="1">
        <v>7800000</v>
      </c>
      <c r="N23" s="20">
        <v>7800000</v>
      </c>
      <c r="O23" s="10">
        <v>7800000</v>
      </c>
      <c r="P23" t="s">
        <v>704</v>
      </c>
      <c r="Q23" s="1">
        <v>0</v>
      </c>
      <c r="S23" s="11" t="s">
        <v>1036</v>
      </c>
    </row>
    <row r="24" spans="1:19" x14ac:dyDescent="0.25">
      <c r="A24" t="s">
        <v>1003</v>
      </c>
      <c r="B24" t="s">
        <v>13</v>
      </c>
      <c r="C24" s="12">
        <v>46024</v>
      </c>
      <c r="D24" s="12">
        <v>46112</v>
      </c>
      <c r="E24" t="s">
        <v>744</v>
      </c>
      <c r="F24" t="s">
        <v>14</v>
      </c>
      <c r="G24">
        <v>80765093</v>
      </c>
      <c r="H24" t="s">
        <v>20</v>
      </c>
      <c r="I24">
        <v>59836926</v>
      </c>
      <c r="J24" t="s">
        <v>14</v>
      </c>
      <c r="K24" t="s">
        <v>17</v>
      </c>
      <c r="L24" s="1">
        <v>7800000</v>
      </c>
      <c r="M24" s="1">
        <v>7800000</v>
      </c>
      <c r="N24" s="20">
        <v>23400000</v>
      </c>
      <c r="O24" s="10">
        <v>23400000</v>
      </c>
      <c r="P24" t="s">
        <v>704</v>
      </c>
      <c r="Q24" s="1">
        <v>15600000</v>
      </c>
      <c r="S24" s="11" t="s">
        <v>1036</v>
      </c>
    </row>
    <row r="25" spans="1:19" x14ac:dyDescent="0.25">
      <c r="A25" t="s">
        <v>1048</v>
      </c>
      <c r="B25" t="s">
        <v>13</v>
      </c>
      <c r="C25" s="12">
        <v>46024</v>
      </c>
      <c r="D25" s="12">
        <v>46112</v>
      </c>
      <c r="E25" t="s">
        <v>775</v>
      </c>
      <c r="F25" t="s">
        <v>14</v>
      </c>
      <c r="G25">
        <v>1085283868</v>
      </c>
      <c r="H25" t="s">
        <v>414</v>
      </c>
      <c r="I25">
        <v>43624414</v>
      </c>
      <c r="J25" t="s">
        <v>14</v>
      </c>
      <c r="K25" t="s">
        <v>18</v>
      </c>
      <c r="L25" s="1">
        <v>6300000</v>
      </c>
      <c r="M25" s="1">
        <v>6300000</v>
      </c>
      <c r="N25" s="20">
        <v>18900000</v>
      </c>
      <c r="O25" s="10">
        <v>18900000</v>
      </c>
      <c r="P25" t="s">
        <v>704</v>
      </c>
      <c r="Q25" s="1">
        <v>12600000</v>
      </c>
      <c r="S25" s="11" t="s">
        <v>1036</v>
      </c>
    </row>
    <row r="26" spans="1:19" x14ac:dyDescent="0.25">
      <c r="A26" t="s">
        <v>999</v>
      </c>
      <c r="B26" t="s">
        <v>13</v>
      </c>
      <c r="C26" s="12">
        <v>46024</v>
      </c>
      <c r="D26" s="12">
        <v>46112</v>
      </c>
      <c r="E26" t="s">
        <v>744</v>
      </c>
      <c r="F26" t="s">
        <v>14</v>
      </c>
      <c r="G26">
        <v>59816986</v>
      </c>
      <c r="H26" t="s">
        <v>447</v>
      </c>
      <c r="I26">
        <v>98390119</v>
      </c>
      <c r="J26" t="s">
        <v>14</v>
      </c>
      <c r="K26" t="s">
        <v>63</v>
      </c>
      <c r="L26" s="1">
        <v>4730000</v>
      </c>
      <c r="M26" s="1">
        <v>4730000</v>
      </c>
      <c r="N26" s="20">
        <v>14190000</v>
      </c>
      <c r="O26" s="10">
        <v>14190000</v>
      </c>
      <c r="P26" t="s">
        <v>704</v>
      </c>
      <c r="Q26" s="1">
        <v>9460000</v>
      </c>
      <c r="S26" s="11" t="s">
        <v>1036</v>
      </c>
    </row>
    <row r="27" spans="1:19" x14ac:dyDescent="0.25">
      <c r="A27" t="s">
        <v>1026</v>
      </c>
      <c r="B27" t="s">
        <v>13</v>
      </c>
      <c r="C27" s="12">
        <v>46024</v>
      </c>
      <c r="D27" s="12">
        <v>46112</v>
      </c>
      <c r="E27" t="s">
        <v>744</v>
      </c>
      <c r="F27" t="s">
        <v>14</v>
      </c>
      <c r="G27">
        <v>36756149</v>
      </c>
      <c r="H27" t="s">
        <v>159</v>
      </c>
      <c r="I27">
        <v>98390119</v>
      </c>
      <c r="J27" t="s">
        <v>14</v>
      </c>
      <c r="K27" t="s">
        <v>63</v>
      </c>
      <c r="L27" s="1">
        <v>4730000</v>
      </c>
      <c r="M27" s="1">
        <v>4730000</v>
      </c>
      <c r="N27" s="20">
        <v>14190000</v>
      </c>
      <c r="O27" s="10">
        <v>14190000</v>
      </c>
      <c r="P27" t="s">
        <v>704</v>
      </c>
      <c r="Q27" s="1">
        <v>9460000</v>
      </c>
      <c r="S27" s="11" t="s">
        <v>1036</v>
      </c>
    </row>
    <row r="28" spans="1:19" x14ac:dyDescent="0.25">
      <c r="A28" t="s">
        <v>1049</v>
      </c>
      <c r="B28" t="s">
        <v>13</v>
      </c>
      <c r="C28" s="12">
        <v>46024</v>
      </c>
      <c r="D28" s="12">
        <v>46112</v>
      </c>
      <c r="E28" t="s">
        <v>744</v>
      </c>
      <c r="F28" t="s">
        <v>14</v>
      </c>
      <c r="G28">
        <v>1082749648</v>
      </c>
      <c r="H28" t="s">
        <v>459</v>
      </c>
      <c r="I28">
        <v>43624414</v>
      </c>
      <c r="J28" t="s">
        <v>14</v>
      </c>
      <c r="K28" t="s">
        <v>18</v>
      </c>
      <c r="L28" s="1">
        <v>4730000</v>
      </c>
      <c r="M28" s="1">
        <v>4730000</v>
      </c>
      <c r="N28" s="20">
        <v>14190000</v>
      </c>
      <c r="O28" s="10">
        <v>14190000</v>
      </c>
      <c r="P28" t="s">
        <v>704</v>
      </c>
      <c r="Q28" s="1">
        <v>9460000</v>
      </c>
      <c r="S28" s="11" t="s">
        <v>1036</v>
      </c>
    </row>
    <row r="29" spans="1:19" x14ac:dyDescent="0.25">
      <c r="A29" t="s">
        <v>1050</v>
      </c>
      <c r="B29" t="s">
        <v>13</v>
      </c>
      <c r="C29" s="12">
        <v>46024</v>
      </c>
      <c r="D29" s="12">
        <v>46112</v>
      </c>
      <c r="E29" t="s">
        <v>775</v>
      </c>
      <c r="F29" t="s">
        <v>14</v>
      </c>
      <c r="G29">
        <v>59825948</v>
      </c>
      <c r="H29" t="s">
        <v>34</v>
      </c>
      <c r="I29">
        <v>43624414</v>
      </c>
      <c r="J29" t="s">
        <v>14</v>
      </c>
      <c r="K29" t="s">
        <v>18</v>
      </c>
      <c r="L29" s="1">
        <v>6300000</v>
      </c>
      <c r="M29" s="1">
        <v>6300000</v>
      </c>
      <c r="N29" s="20">
        <v>18900000</v>
      </c>
      <c r="O29" s="10">
        <v>18900000</v>
      </c>
      <c r="P29" t="s">
        <v>704</v>
      </c>
      <c r="Q29" s="1">
        <v>12600000</v>
      </c>
      <c r="S29" s="11" t="s">
        <v>1036</v>
      </c>
    </row>
    <row r="30" spans="1:19" x14ac:dyDescent="0.25">
      <c r="A30" t="s">
        <v>986</v>
      </c>
      <c r="B30" t="s">
        <v>13</v>
      </c>
      <c r="C30" s="12">
        <v>46024</v>
      </c>
      <c r="D30" s="12">
        <v>46112</v>
      </c>
      <c r="E30" t="s">
        <v>744</v>
      </c>
      <c r="F30" t="s">
        <v>14</v>
      </c>
      <c r="G30">
        <v>1085336362</v>
      </c>
      <c r="H30" t="s">
        <v>49</v>
      </c>
      <c r="I30">
        <v>98333941</v>
      </c>
      <c r="J30" t="s">
        <v>14</v>
      </c>
      <c r="K30" t="s">
        <v>15</v>
      </c>
      <c r="L30" s="1">
        <v>7800000</v>
      </c>
      <c r="M30" s="1">
        <v>7800000</v>
      </c>
      <c r="N30" s="20">
        <v>23400000</v>
      </c>
      <c r="O30" s="10">
        <v>23400000</v>
      </c>
      <c r="P30" t="s">
        <v>704</v>
      </c>
      <c r="Q30" s="1">
        <v>15600000</v>
      </c>
      <c r="S30" s="11" t="s">
        <v>1036</v>
      </c>
    </row>
    <row r="31" spans="1:19" x14ac:dyDescent="0.25">
      <c r="A31" t="s">
        <v>1004</v>
      </c>
      <c r="B31" t="s">
        <v>13</v>
      </c>
      <c r="C31" s="12">
        <v>46024</v>
      </c>
      <c r="D31" s="12">
        <v>46112</v>
      </c>
      <c r="E31" t="s">
        <v>744</v>
      </c>
      <c r="F31" t="s">
        <v>14</v>
      </c>
      <c r="G31">
        <v>1006946167</v>
      </c>
      <c r="H31" t="s">
        <v>303</v>
      </c>
      <c r="I31">
        <v>59836926</v>
      </c>
      <c r="J31" t="s">
        <v>14</v>
      </c>
      <c r="K31" t="s">
        <v>17</v>
      </c>
      <c r="L31" s="1">
        <v>7800000</v>
      </c>
      <c r="M31" s="1">
        <v>7800000</v>
      </c>
      <c r="N31" s="20">
        <v>23400000</v>
      </c>
      <c r="O31" s="10">
        <v>23400000</v>
      </c>
      <c r="P31" t="s">
        <v>704</v>
      </c>
      <c r="Q31" s="1">
        <v>15600000</v>
      </c>
      <c r="S31" s="11" t="s">
        <v>1036</v>
      </c>
    </row>
    <row r="32" spans="1:19" x14ac:dyDescent="0.25">
      <c r="A32" t="s">
        <v>1051</v>
      </c>
      <c r="B32" t="s">
        <v>13</v>
      </c>
      <c r="C32" s="12">
        <v>46024</v>
      </c>
      <c r="D32" s="12">
        <v>46112</v>
      </c>
      <c r="E32" t="s">
        <v>775</v>
      </c>
      <c r="F32" t="s">
        <v>14</v>
      </c>
      <c r="G32">
        <v>1085275473</v>
      </c>
      <c r="H32" t="s">
        <v>857</v>
      </c>
      <c r="I32">
        <v>98390119</v>
      </c>
      <c r="J32" t="s">
        <v>14</v>
      </c>
      <c r="K32" t="s">
        <v>63</v>
      </c>
      <c r="L32" s="1">
        <v>3150000</v>
      </c>
      <c r="M32" s="1">
        <v>3150000</v>
      </c>
      <c r="N32" s="20">
        <v>9450000</v>
      </c>
      <c r="O32" s="10">
        <v>9450000</v>
      </c>
      <c r="P32" t="s">
        <v>704</v>
      </c>
      <c r="Q32" s="1">
        <v>6300000</v>
      </c>
      <c r="S32" s="11" t="s">
        <v>1036</v>
      </c>
    </row>
    <row r="33" spans="1:19" x14ac:dyDescent="0.25">
      <c r="A33" t="s">
        <v>1025</v>
      </c>
      <c r="B33" t="s">
        <v>13</v>
      </c>
      <c r="C33" s="12">
        <v>46024</v>
      </c>
      <c r="D33" s="12">
        <v>46112</v>
      </c>
      <c r="E33" t="s">
        <v>775</v>
      </c>
      <c r="F33" t="s">
        <v>14</v>
      </c>
      <c r="G33">
        <v>59833899</v>
      </c>
      <c r="H33" t="s">
        <v>78</v>
      </c>
      <c r="I33">
        <v>43624414</v>
      </c>
      <c r="J33" t="s">
        <v>14</v>
      </c>
      <c r="K33" t="s">
        <v>18</v>
      </c>
      <c r="L33" s="1">
        <v>3150000</v>
      </c>
      <c r="M33" s="1">
        <v>3150000</v>
      </c>
      <c r="N33" s="20">
        <v>9450000</v>
      </c>
      <c r="O33" s="10">
        <v>9450000</v>
      </c>
      <c r="P33" t="s">
        <v>704</v>
      </c>
      <c r="Q33" s="1">
        <v>6300000</v>
      </c>
      <c r="S33" s="11" t="s">
        <v>1036</v>
      </c>
    </row>
    <row r="34" spans="1:19" x14ac:dyDescent="0.25">
      <c r="A34" t="s">
        <v>993</v>
      </c>
      <c r="B34" t="s">
        <v>13</v>
      </c>
      <c r="C34" s="12">
        <v>46024</v>
      </c>
      <c r="D34" s="12">
        <v>46112</v>
      </c>
      <c r="E34" t="s">
        <v>744</v>
      </c>
      <c r="F34" t="s">
        <v>14</v>
      </c>
      <c r="G34">
        <v>36759759</v>
      </c>
      <c r="H34" t="s">
        <v>26</v>
      </c>
      <c r="I34">
        <v>98390119</v>
      </c>
      <c r="J34" t="s">
        <v>14</v>
      </c>
      <c r="K34" t="s">
        <v>63</v>
      </c>
      <c r="L34" s="1">
        <v>4730000</v>
      </c>
      <c r="M34" s="1">
        <v>4730000</v>
      </c>
      <c r="N34" s="20">
        <v>14190000</v>
      </c>
      <c r="O34" s="10">
        <v>14190000</v>
      </c>
      <c r="P34" t="s">
        <v>704</v>
      </c>
      <c r="Q34" s="1">
        <v>9460000</v>
      </c>
      <c r="S34" s="11" t="s">
        <v>1036</v>
      </c>
    </row>
    <row r="35" spans="1:19" x14ac:dyDescent="0.25">
      <c r="A35" t="s">
        <v>1052</v>
      </c>
      <c r="B35" t="s">
        <v>13</v>
      </c>
      <c r="C35" s="12">
        <v>46024</v>
      </c>
      <c r="D35" s="12">
        <v>46112</v>
      </c>
      <c r="E35" t="s">
        <v>775</v>
      </c>
      <c r="F35" t="s">
        <v>14</v>
      </c>
      <c r="G35">
        <v>1085248939</v>
      </c>
      <c r="H35" t="s">
        <v>586</v>
      </c>
      <c r="I35">
        <v>98333941</v>
      </c>
      <c r="J35" t="s">
        <v>14</v>
      </c>
      <c r="K35" t="s">
        <v>15</v>
      </c>
      <c r="L35" s="1" t="e">
        <v>#N/A</v>
      </c>
      <c r="M35" s="1">
        <v>0</v>
      </c>
      <c r="N35" s="20">
        <v>18900000</v>
      </c>
      <c r="O35" s="10">
        <v>18900000</v>
      </c>
      <c r="P35" t="s">
        <v>704</v>
      </c>
      <c r="Q35" s="1" t="e">
        <v>#N/A</v>
      </c>
      <c r="S35" s="11" t="s">
        <v>1036</v>
      </c>
    </row>
    <row r="36" spans="1:19" x14ac:dyDescent="0.25">
      <c r="A36" t="s">
        <v>992</v>
      </c>
      <c r="B36" t="s">
        <v>13</v>
      </c>
      <c r="C36" s="12">
        <v>46024</v>
      </c>
      <c r="D36" s="12">
        <v>46112</v>
      </c>
      <c r="E36" t="s">
        <v>775</v>
      </c>
      <c r="F36" t="s">
        <v>14</v>
      </c>
      <c r="G36">
        <v>1085339190</v>
      </c>
      <c r="H36" t="s">
        <v>860</v>
      </c>
      <c r="I36">
        <v>98390119</v>
      </c>
      <c r="J36" t="s">
        <v>14</v>
      </c>
      <c r="K36" t="s">
        <v>63</v>
      </c>
      <c r="L36" s="1">
        <v>3150000</v>
      </c>
      <c r="M36" s="1">
        <v>3150000</v>
      </c>
      <c r="N36" s="20">
        <v>9450000</v>
      </c>
      <c r="O36" s="10">
        <v>9450000</v>
      </c>
      <c r="P36" t="s">
        <v>704</v>
      </c>
      <c r="Q36" s="1">
        <v>6300000</v>
      </c>
      <c r="S36" s="11" t="s">
        <v>1036</v>
      </c>
    </row>
    <row r="37" spans="1:19" x14ac:dyDescent="0.25">
      <c r="A37" t="s">
        <v>991</v>
      </c>
      <c r="B37" t="s">
        <v>13</v>
      </c>
      <c r="C37" s="12">
        <v>46024</v>
      </c>
      <c r="D37" s="12">
        <v>46112</v>
      </c>
      <c r="E37" t="s">
        <v>775</v>
      </c>
      <c r="F37" t="s">
        <v>14</v>
      </c>
      <c r="G37">
        <v>1085300095</v>
      </c>
      <c r="H37" t="s">
        <v>27</v>
      </c>
      <c r="I37">
        <v>59836926</v>
      </c>
      <c r="J37" t="s">
        <v>14</v>
      </c>
      <c r="K37" t="s">
        <v>17</v>
      </c>
      <c r="L37" s="1">
        <v>3150000</v>
      </c>
      <c r="M37" s="1">
        <v>3150000</v>
      </c>
      <c r="N37" s="20">
        <v>9450000</v>
      </c>
      <c r="O37" s="10">
        <v>9450000</v>
      </c>
      <c r="P37" t="s">
        <v>704</v>
      </c>
      <c r="Q37" s="1">
        <v>6300000</v>
      </c>
      <c r="S37" s="11" t="s">
        <v>1036</v>
      </c>
    </row>
    <row r="38" spans="1:19" x14ac:dyDescent="0.25">
      <c r="A38" t="s">
        <v>1053</v>
      </c>
      <c r="B38" t="s">
        <v>13</v>
      </c>
      <c r="C38" s="12">
        <v>46024</v>
      </c>
      <c r="D38" s="12">
        <v>46112</v>
      </c>
      <c r="E38" t="s">
        <v>775</v>
      </c>
      <c r="F38" t="s">
        <v>14</v>
      </c>
      <c r="G38">
        <v>59820414</v>
      </c>
      <c r="H38" t="s">
        <v>847</v>
      </c>
      <c r="I38">
        <v>43624414</v>
      </c>
      <c r="J38" t="s">
        <v>14</v>
      </c>
      <c r="K38" t="s">
        <v>18</v>
      </c>
      <c r="L38" s="1">
        <v>6300000</v>
      </c>
      <c r="M38" s="1">
        <v>6300000</v>
      </c>
      <c r="N38" s="20">
        <v>18900000</v>
      </c>
      <c r="O38" s="10">
        <v>18900000</v>
      </c>
      <c r="P38" t="s">
        <v>704</v>
      </c>
      <c r="Q38" s="1">
        <v>12600000</v>
      </c>
      <c r="S38" s="11" t="s">
        <v>1036</v>
      </c>
    </row>
    <row r="39" spans="1:19" x14ac:dyDescent="0.25">
      <c r="A39" t="s">
        <v>997</v>
      </c>
      <c r="B39" t="s">
        <v>13</v>
      </c>
      <c r="C39" s="12">
        <v>46024</v>
      </c>
      <c r="D39" s="12">
        <v>46112</v>
      </c>
      <c r="E39" t="s">
        <v>775</v>
      </c>
      <c r="F39" t="s">
        <v>14</v>
      </c>
      <c r="G39">
        <v>1085338921</v>
      </c>
      <c r="H39" t="s">
        <v>362</v>
      </c>
      <c r="I39">
        <v>98390119</v>
      </c>
      <c r="J39" t="s">
        <v>14</v>
      </c>
      <c r="K39" t="s">
        <v>63</v>
      </c>
      <c r="L39" s="1">
        <v>3150000</v>
      </c>
      <c r="M39" s="1">
        <v>3150000</v>
      </c>
      <c r="N39" s="20">
        <v>9450000</v>
      </c>
      <c r="O39" s="10">
        <v>9450000</v>
      </c>
      <c r="P39" t="s">
        <v>704</v>
      </c>
      <c r="Q39" s="1">
        <v>6300000</v>
      </c>
      <c r="S39" s="11" t="s">
        <v>1036</v>
      </c>
    </row>
    <row r="40" spans="1:19" x14ac:dyDescent="0.25">
      <c r="A40" t="s">
        <v>1007</v>
      </c>
      <c r="B40" t="s">
        <v>13</v>
      </c>
      <c r="C40" s="12">
        <v>46024</v>
      </c>
      <c r="D40" s="12">
        <v>46112</v>
      </c>
      <c r="E40" t="s">
        <v>775</v>
      </c>
      <c r="F40" t="s">
        <v>14</v>
      </c>
      <c r="G40">
        <v>1137624011</v>
      </c>
      <c r="H40" t="s">
        <v>356</v>
      </c>
      <c r="I40">
        <v>98390119</v>
      </c>
      <c r="J40" t="s">
        <v>14</v>
      </c>
      <c r="K40" t="s">
        <v>63</v>
      </c>
      <c r="L40" s="1">
        <v>3150000</v>
      </c>
      <c r="M40" s="1">
        <v>3150000</v>
      </c>
      <c r="N40" s="20">
        <v>9450000</v>
      </c>
      <c r="O40" s="10">
        <v>9450000</v>
      </c>
      <c r="P40" t="s">
        <v>704</v>
      </c>
      <c r="Q40" s="1">
        <v>6300000</v>
      </c>
      <c r="S40" s="11" t="s">
        <v>1036</v>
      </c>
    </row>
    <row r="41" spans="1:19" x14ac:dyDescent="0.25">
      <c r="A41" t="s">
        <v>1054</v>
      </c>
      <c r="B41" t="s">
        <v>13</v>
      </c>
      <c r="C41" s="12">
        <v>46024</v>
      </c>
      <c r="D41" s="12">
        <v>46112</v>
      </c>
      <c r="E41" t="s">
        <v>744</v>
      </c>
      <c r="F41" t="s">
        <v>14</v>
      </c>
      <c r="G41">
        <v>1086331521</v>
      </c>
      <c r="H41" t="s">
        <v>927</v>
      </c>
      <c r="I41">
        <v>43624414</v>
      </c>
      <c r="J41" t="s">
        <v>14</v>
      </c>
      <c r="K41" t="s">
        <v>18</v>
      </c>
      <c r="L41" s="1">
        <v>7800000</v>
      </c>
      <c r="M41" s="1">
        <v>7800000</v>
      </c>
      <c r="N41" s="20">
        <v>23400000</v>
      </c>
      <c r="O41" s="10">
        <v>23400000</v>
      </c>
      <c r="P41" t="s">
        <v>704</v>
      </c>
      <c r="Q41" s="1">
        <v>15600000</v>
      </c>
      <c r="S41" s="11" t="s">
        <v>1036</v>
      </c>
    </row>
    <row r="42" spans="1:19" x14ac:dyDescent="0.25">
      <c r="A42" t="s">
        <v>1055</v>
      </c>
      <c r="B42" t="s">
        <v>13</v>
      </c>
      <c r="C42" s="12">
        <v>46024</v>
      </c>
      <c r="D42" s="12">
        <v>46112</v>
      </c>
      <c r="E42" t="s">
        <v>744</v>
      </c>
      <c r="F42" t="s">
        <v>14</v>
      </c>
      <c r="G42">
        <v>1233193882</v>
      </c>
      <c r="H42" t="s">
        <v>97</v>
      </c>
      <c r="I42">
        <v>43624414</v>
      </c>
      <c r="J42" t="s">
        <v>14</v>
      </c>
      <c r="K42" t="s">
        <v>18</v>
      </c>
      <c r="L42" s="1">
        <v>7800000</v>
      </c>
      <c r="M42" s="1">
        <v>7800000</v>
      </c>
      <c r="N42" s="20">
        <v>23400000</v>
      </c>
      <c r="O42" s="10">
        <v>23400000</v>
      </c>
      <c r="P42" t="s">
        <v>704</v>
      </c>
      <c r="Q42" s="1">
        <v>15600000</v>
      </c>
      <c r="S42" s="11" t="s">
        <v>1036</v>
      </c>
    </row>
    <row r="43" spans="1:19" x14ac:dyDescent="0.25">
      <c r="A43" t="s">
        <v>1005</v>
      </c>
      <c r="B43" t="s">
        <v>13</v>
      </c>
      <c r="C43" s="12">
        <v>46024</v>
      </c>
      <c r="D43" s="12">
        <v>46112</v>
      </c>
      <c r="E43" t="s">
        <v>744</v>
      </c>
      <c r="F43" t="s">
        <v>14</v>
      </c>
      <c r="G43">
        <v>1193383306</v>
      </c>
      <c r="H43" t="s">
        <v>274</v>
      </c>
      <c r="I43">
        <v>59836926</v>
      </c>
      <c r="J43" t="s">
        <v>14</v>
      </c>
      <c r="K43" t="s">
        <v>17</v>
      </c>
      <c r="L43" s="1">
        <v>4730000</v>
      </c>
      <c r="M43" s="1">
        <v>4730000</v>
      </c>
      <c r="N43" s="20">
        <v>14190000</v>
      </c>
      <c r="O43" s="10">
        <v>14190000</v>
      </c>
      <c r="P43" t="s">
        <v>704</v>
      </c>
      <c r="Q43" s="1">
        <v>9460000</v>
      </c>
      <c r="S43" s="11" t="s">
        <v>1036</v>
      </c>
    </row>
    <row r="44" spans="1:19" x14ac:dyDescent="0.25">
      <c r="A44" t="s">
        <v>994</v>
      </c>
      <c r="B44" t="s">
        <v>13</v>
      </c>
      <c r="C44" s="12">
        <v>46024</v>
      </c>
      <c r="D44" s="12">
        <v>46112</v>
      </c>
      <c r="E44" t="s">
        <v>775</v>
      </c>
      <c r="F44" t="s">
        <v>14</v>
      </c>
      <c r="G44">
        <v>1010082397</v>
      </c>
      <c r="H44" t="s">
        <v>44</v>
      </c>
      <c r="I44">
        <v>59836926</v>
      </c>
      <c r="J44" t="s">
        <v>14</v>
      </c>
      <c r="K44" t="s">
        <v>17</v>
      </c>
      <c r="L44" s="1">
        <v>3150000</v>
      </c>
      <c r="M44" s="1">
        <v>3150000</v>
      </c>
      <c r="N44" s="20">
        <v>9450000</v>
      </c>
      <c r="O44" s="10">
        <v>9450000</v>
      </c>
      <c r="P44" t="s">
        <v>704</v>
      </c>
      <c r="Q44" s="1">
        <v>6300000</v>
      </c>
      <c r="S44" s="11" t="s">
        <v>1036</v>
      </c>
    </row>
    <row r="45" spans="1:19" x14ac:dyDescent="0.25">
      <c r="A45" t="s">
        <v>1056</v>
      </c>
      <c r="B45" t="s">
        <v>13</v>
      </c>
      <c r="C45" s="12">
        <v>46024</v>
      </c>
      <c r="D45" s="12">
        <v>46112</v>
      </c>
      <c r="E45" t="s">
        <v>775</v>
      </c>
      <c r="F45" t="s">
        <v>14</v>
      </c>
      <c r="G45">
        <v>30743783</v>
      </c>
      <c r="H45" t="s">
        <v>436</v>
      </c>
      <c r="I45">
        <v>59836926</v>
      </c>
      <c r="J45" t="s">
        <v>14</v>
      </c>
      <c r="K45" t="s">
        <v>17</v>
      </c>
      <c r="L45" s="1">
        <v>1260000</v>
      </c>
      <c r="M45" s="1">
        <v>1260000</v>
      </c>
      <c r="N45" s="20">
        <v>9450000</v>
      </c>
      <c r="O45" s="10">
        <v>9450000</v>
      </c>
      <c r="P45" t="s">
        <v>704</v>
      </c>
      <c r="Q45" s="1">
        <v>8190000</v>
      </c>
      <c r="S45" s="11" t="s">
        <v>1036</v>
      </c>
    </row>
    <row r="46" spans="1:19" x14ac:dyDescent="0.25">
      <c r="A46" t="s">
        <v>1035</v>
      </c>
      <c r="B46" t="s">
        <v>13</v>
      </c>
      <c r="C46" s="12">
        <v>46024</v>
      </c>
      <c r="D46" s="12">
        <v>46112</v>
      </c>
      <c r="E46" t="s">
        <v>744</v>
      </c>
      <c r="F46" t="s">
        <v>14</v>
      </c>
      <c r="G46">
        <v>1087006619</v>
      </c>
      <c r="H46" t="s">
        <v>457</v>
      </c>
      <c r="I46">
        <v>98333941</v>
      </c>
      <c r="J46" t="s">
        <v>14</v>
      </c>
      <c r="K46" t="s">
        <v>15</v>
      </c>
      <c r="L46" s="1">
        <v>7800000</v>
      </c>
      <c r="M46" s="1">
        <v>7800000</v>
      </c>
      <c r="N46" s="20">
        <v>23400000</v>
      </c>
      <c r="O46" s="10">
        <v>23400000</v>
      </c>
      <c r="P46" t="s">
        <v>704</v>
      </c>
      <c r="Q46" s="1">
        <v>15600000</v>
      </c>
      <c r="S46" s="11" t="s">
        <v>1036</v>
      </c>
    </row>
    <row r="47" spans="1:19" x14ac:dyDescent="0.25">
      <c r="A47" t="s">
        <v>1002</v>
      </c>
      <c r="B47" t="s">
        <v>13</v>
      </c>
      <c r="C47" s="12">
        <v>46024</v>
      </c>
      <c r="D47" s="12">
        <v>46112</v>
      </c>
      <c r="E47" t="s">
        <v>744</v>
      </c>
      <c r="F47" t="s">
        <v>14</v>
      </c>
      <c r="G47">
        <v>1085343783</v>
      </c>
      <c r="H47" t="s">
        <v>19</v>
      </c>
      <c r="I47">
        <v>59836926</v>
      </c>
      <c r="J47" t="s">
        <v>14</v>
      </c>
      <c r="K47" t="s">
        <v>17</v>
      </c>
      <c r="L47" s="1">
        <v>4730000</v>
      </c>
      <c r="M47" s="1">
        <v>4730000</v>
      </c>
      <c r="N47" s="20">
        <v>14190000</v>
      </c>
      <c r="O47" s="10">
        <v>14190000</v>
      </c>
      <c r="P47" t="s">
        <v>704</v>
      </c>
      <c r="Q47" s="1">
        <v>9460000</v>
      </c>
      <c r="S47" s="11" t="s">
        <v>1036</v>
      </c>
    </row>
    <row r="48" spans="1:19" x14ac:dyDescent="0.25">
      <c r="A48" t="s">
        <v>989</v>
      </c>
      <c r="B48" t="s">
        <v>13</v>
      </c>
      <c r="C48" s="12">
        <v>46024</v>
      </c>
      <c r="D48" s="12">
        <v>46112</v>
      </c>
      <c r="E48" t="s">
        <v>775</v>
      </c>
      <c r="F48" t="s">
        <v>14</v>
      </c>
      <c r="G48">
        <v>1004235479</v>
      </c>
      <c r="H48" t="s">
        <v>56</v>
      </c>
      <c r="I48">
        <v>98333941</v>
      </c>
      <c r="J48" t="s">
        <v>14</v>
      </c>
      <c r="K48" t="s">
        <v>15</v>
      </c>
      <c r="L48" s="1">
        <v>3150000</v>
      </c>
      <c r="M48" s="1">
        <v>3150000</v>
      </c>
      <c r="N48" s="20">
        <v>9450000</v>
      </c>
      <c r="O48" s="10">
        <v>9450000</v>
      </c>
      <c r="P48" t="s">
        <v>704</v>
      </c>
      <c r="Q48" s="1">
        <v>6300000</v>
      </c>
      <c r="S48" s="11" t="s">
        <v>1036</v>
      </c>
    </row>
    <row r="49" spans="1:19" x14ac:dyDescent="0.25">
      <c r="A49" t="s">
        <v>1024</v>
      </c>
      <c r="B49" t="s">
        <v>13</v>
      </c>
      <c r="C49" s="12">
        <v>46024</v>
      </c>
      <c r="D49" s="12">
        <v>46112</v>
      </c>
      <c r="E49" t="s">
        <v>775</v>
      </c>
      <c r="F49" t="s">
        <v>14</v>
      </c>
      <c r="G49">
        <v>1085344795</v>
      </c>
      <c r="H49" t="s">
        <v>79</v>
      </c>
      <c r="I49">
        <v>43624414</v>
      </c>
      <c r="J49" t="s">
        <v>14</v>
      </c>
      <c r="K49" t="s">
        <v>18</v>
      </c>
      <c r="L49" s="1">
        <v>3150000</v>
      </c>
      <c r="M49" s="1">
        <v>3150000</v>
      </c>
      <c r="N49" s="20">
        <v>9450000</v>
      </c>
      <c r="O49" s="10">
        <v>9450000</v>
      </c>
      <c r="P49" t="s">
        <v>704</v>
      </c>
      <c r="Q49" s="1">
        <v>6300000</v>
      </c>
      <c r="S49" s="11" t="s">
        <v>1036</v>
      </c>
    </row>
    <row r="50" spans="1:19" x14ac:dyDescent="0.25">
      <c r="A50" t="s">
        <v>987</v>
      </c>
      <c r="B50" t="s">
        <v>13</v>
      </c>
      <c r="C50" s="12">
        <v>46024</v>
      </c>
      <c r="D50" s="12">
        <v>46112</v>
      </c>
      <c r="E50" t="s">
        <v>744</v>
      </c>
      <c r="F50" t="s">
        <v>14</v>
      </c>
      <c r="G50">
        <v>1085334279</v>
      </c>
      <c r="H50" t="s">
        <v>558</v>
      </c>
      <c r="I50">
        <v>98333941</v>
      </c>
      <c r="J50" t="s">
        <v>14</v>
      </c>
      <c r="K50" t="s">
        <v>15</v>
      </c>
      <c r="L50" s="1">
        <v>7800000</v>
      </c>
      <c r="M50" s="1">
        <v>7800000</v>
      </c>
      <c r="N50" s="20">
        <v>23400000</v>
      </c>
      <c r="O50" s="10">
        <v>23400000</v>
      </c>
      <c r="P50" t="s">
        <v>704</v>
      </c>
      <c r="Q50" s="1">
        <v>15600000</v>
      </c>
      <c r="S50" s="11" t="s">
        <v>1036</v>
      </c>
    </row>
    <row r="51" spans="1:19" x14ac:dyDescent="0.25">
      <c r="A51" t="s">
        <v>1000</v>
      </c>
      <c r="B51" t="s">
        <v>13</v>
      </c>
      <c r="C51" s="12">
        <v>46024</v>
      </c>
      <c r="D51" s="12">
        <v>46112</v>
      </c>
      <c r="E51" t="s">
        <v>775</v>
      </c>
      <c r="F51" t="s">
        <v>14</v>
      </c>
      <c r="G51">
        <v>1085331508</v>
      </c>
      <c r="H51" t="s">
        <v>191</v>
      </c>
      <c r="I51">
        <v>59836926</v>
      </c>
      <c r="J51" t="s">
        <v>14</v>
      </c>
      <c r="K51" t="s">
        <v>17</v>
      </c>
      <c r="L51" s="1">
        <v>3150000</v>
      </c>
      <c r="M51" s="1">
        <v>3150000</v>
      </c>
      <c r="N51" s="20">
        <v>9450000</v>
      </c>
      <c r="O51" s="10">
        <v>9450000</v>
      </c>
      <c r="P51" t="s">
        <v>704</v>
      </c>
      <c r="Q51" s="1">
        <v>6300000</v>
      </c>
      <c r="S51" s="11" t="s">
        <v>1036</v>
      </c>
    </row>
    <row r="52" spans="1:19" x14ac:dyDescent="0.25">
      <c r="A52" t="s">
        <v>1014</v>
      </c>
      <c r="B52" t="s">
        <v>13</v>
      </c>
      <c r="C52" s="12">
        <v>46024</v>
      </c>
      <c r="D52" s="12">
        <v>46112</v>
      </c>
      <c r="E52" t="s">
        <v>775</v>
      </c>
      <c r="F52" t="s">
        <v>14</v>
      </c>
      <c r="G52">
        <v>1085269090</v>
      </c>
      <c r="H52" t="s">
        <v>52</v>
      </c>
      <c r="I52">
        <v>98333941</v>
      </c>
      <c r="J52" t="s">
        <v>14</v>
      </c>
      <c r="K52" t="s">
        <v>15</v>
      </c>
      <c r="L52" s="1">
        <v>3150000</v>
      </c>
      <c r="M52" s="1">
        <v>3150000</v>
      </c>
      <c r="N52" s="20">
        <v>9450000</v>
      </c>
      <c r="O52" s="10">
        <v>9450000</v>
      </c>
      <c r="P52" t="s">
        <v>704</v>
      </c>
      <c r="Q52" s="1">
        <v>6300000</v>
      </c>
      <c r="S52" s="11" t="s">
        <v>1036</v>
      </c>
    </row>
    <row r="53" spans="1:19" x14ac:dyDescent="0.25">
      <c r="A53" t="s">
        <v>988</v>
      </c>
      <c r="B53" t="s">
        <v>13</v>
      </c>
      <c r="C53" s="12">
        <v>46024</v>
      </c>
      <c r="D53" s="12">
        <v>46112</v>
      </c>
      <c r="E53" t="s">
        <v>775</v>
      </c>
      <c r="F53" t="s">
        <v>14</v>
      </c>
      <c r="G53">
        <v>1086329609</v>
      </c>
      <c r="H53" t="s">
        <v>64</v>
      </c>
      <c r="I53">
        <v>98333941</v>
      </c>
      <c r="J53" t="s">
        <v>14</v>
      </c>
      <c r="K53" t="s">
        <v>15</v>
      </c>
      <c r="L53" s="1">
        <v>3150000</v>
      </c>
      <c r="M53" s="1">
        <v>3150000</v>
      </c>
      <c r="N53" s="20">
        <v>9450000</v>
      </c>
      <c r="O53" s="10">
        <v>9450000</v>
      </c>
      <c r="P53" t="s">
        <v>704</v>
      </c>
      <c r="Q53" s="1">
        <v>6300000</v>
      </c>
      <c r="S53" s="11" t="s">
        <v>1036</v>
      </c>
    </row>
    <row r="54" spans="1:19" x14ac:dyDescent="0.25">
      <c r="A54" t="s">
        <v>996</v>
      </c>
      <c r="B54" t="s">
        <v>13</v>
      </c>
      <c r="C54" s="12">
        <v>46024</v>
      </c>
      <c r="D54" s="12">
        <v>46112</v>
      </c>
      <c r="E54" t="s">
        <v>744</v>
      </c>
      <c r="F54" t="s">
        <v>14</v>
      </c>
      <c r="G54">
        <v>1085264667</v>
      </c>
      <c r="H54" t="s">
        <v>844</v>
      </c>
      <c r="I54">
        <v>98390119</v>
      </c>
      <c r="J54" t="s">
        <v>14</v>
      </c>
      <c r="K54" t="s">
        <v>63</v>
      </c>
      <c r="L54" s="1">
        <v>4730000</v>
      </c>
      <c r="M54" s="1">
        <v>4730000</v>
      </c>
      <c r="N54" s="20">
        <v>14190000</v>
      </c>
      <c r="O54" s="10">
        <v>14190000</v>
      </c>
      <c r="P54" t="s">
        <v>704</v>
      </c>
      <c r="Q54" s="1">
        <v>9460000</v>
      </c>
      <c r="S54" s="11" t="s">
        <v>1036</v>
      </c>
    </row>
    <row r="55" spans="1:19" x14ac:dyDescent="0.25">
      <c r="A55" t="s">
        <v>1057</v>
      </c>
      <c r="B55" t="s">
        <v>13</v>
      </c>
      <c r="C55" s="12">
        <v>46024</v>
      </c>
      <c r="D55" s="12">
        <v>46112</v>
      </c>
      <c r="E55" t="s">
        <v>775</v>
      </c>
      <c r="F55" t="s">
        <v>14</v>
      </c>
      <c r="G55">
        <v>97470681</v>
      </c>
      <c r="H55" t="s">
        <v>55</v>
      </c>
      <c r="I55">
        <v>98333941</v>
      </c>
      <c r="J55" t="s">
        <v>14</v>
      </c>
      <c r="K55" t="s">
        <v>15</v>
      </c>
      <c r="L55" s="1" t="e">
        <v>#N/A</v>
      </c>
      <c r="M55" s="1">
        <v>0</v>
      </c>
      <c r="N55" s="20">
        <v>18900000</v>
      </c>
      <c r="O55" s="10">
        <v>18900000</v>
      </c>
      <c r="P55" t="s">
        <v>704</v>
      </c>
      <c r="Q55" s="1" t="e">
        <v>#N/A</v>
      </c>
      <c r="S55" s="11" t="s">
        <v>1036</v>
      </c>
    </row>
    <row r="56" spans="1:19" x14ac:dyDescent="0.25">
      <c r="A56" t="s">
        <v>1058</v>
      </c>
      <c r="B56" t="s">
        <v>13</v>
      </c>
      <c r="C56" s="12">
        <v>46024</v>
      </c>
      <c r="D56" s="12">
        <v>46112</v>
      </c>
      <c r="E56" t="s">
        <v>775</v>
      </c>
      <c r="F56" t="s">
        <v>14</v>
      </c>
      <c r="G56">
        <v>1004213964</v>
      </c>
      <c r="H56" t="s">
        <v>905</v>
      </c>
      <c r="I56">
        <v>98390119</v>
      </c>
      <c r="J56" t="s">
        <v>14</v>
      </c>
      <c r="K56" t="s">
        <v>63</v>
      </c>
      <c r="L56" s="1">
        <v>6300000</v>
      </c>
      <c r="M56" s="1">
        <v>6300000</v>
      </c>
      <c r="N56" s="20">
        <v>18900000</v>
      </c>
      <c r="O56" s="10">
        <v>18900000</v>
      </c>
      <c r="P56" t="s">
        <v>704</v>
      </c>
      <c r="Q56" s="1">
        <v>12600000</v>
      </c>
      <c r="S56" s="11" t="s">
        <v>1036</v>
      </c>
    </row>
    <row r="57" spans="1:19" x14ac:dyDescent="0.25">
      <c r="A57" t="s">
        <v>1009</v>
      </c>
      <c r="B57" t="s">
        <v>13</v>
      </c>
      <c r="C57" s="12">
        <v>46024</v>
      </c>
      <c r="D57" s="12">
        <v>46112</v>
      </c>
      <c r="E57" t="s">
        <v>744</v>
      </c>
      <c r="F57" t="s">
        <v>14</v>
      </c>
      <c r="G57">
        <v>1087413951</v>
      </c>
      <c r="H57" t="s">
        <v>219</v>
      </c>
      <c r="I57">
        <v>98333941</v>
      </c>
      <c r="J57" t="s">
        <v>14</v>
      </c>
      <c r="K57" t="s">
        <v>15</v>
      </c>
      <c r="L57" s="1">
        <v>4730000</v>
      </c>
      <c r="M57" s="1">
        <v>4730000</v>
      </c>
      <c r="N57" s="20">
        <v>14190000</v>
      </c>
      <c r="O57" s="10">
        <v>14190000</v>
      </c>
      <c r="P57" t="s">
        <v>704</v>
      </c>
      <c r="Q57" s="1">
        <v>9460000</v>
      </c>
      <c r="S57" s="11" t="s">
        <v>1036</v>
      </c>
    </row>
    <row r="58" spans="1:19" x14ac:dyDescent="0.25">
      <c r="A58" t="s">
        <v>1023</v>
      </c>
      <c r="B58" t="s">
        <v>13</v>
      </c>
      <c r="C58" s="12">
        <v>46024</v>
      </c>
      <c r="D58" s="12">
        <v>46112</v>
      </c>
      <c r="E58" t="s">
        <v>744</v>
      </c>
      <c r="F58" t="s">
        <v>14</v>
      </c>
      <c r="G58">
        <v>27087475</v>
      </c>
      <c r="H58" t="s">
        <v>48</v>
      </c>
      <c r="I58">
        <v>43624414</v>
      </c>
      <c r="J58" t="s">
        <v>14</v>
      </c>
      <c r="K58" t="s">
        <v>18</v>
      </c>
      <c r="L58" s="1">
        <v>4730000</v>
      </c>
      <c r="M58" s="1">
        <v>4730000</v>
      </c>
      <c r="N58" s="20">
        <v>14190000</v>
      </c>
      <c r="O58" s="10">
        <v>14190000</v>
      </c>
      <c r="P58" t="s">
        <v>704</v>
      </c>
      <c r="Q58" s="1">
        <v>9460000</v>
      </c>
      <c r="S58" s="11" t="s">
        <v>1036</v>
      </c>
    </row>
    <row r="59" spans="1:19" x14ac:dyDescent="0.25">
      <c r="A59" t="s">
        <v>1015</v>
      </c>
      <c r="B59" t="s">
        <v>13</v>
      </c>
      <c r="C59" s="12">
        <v>46024</v>
      </c>
      <c r="D59" s="12">
        <v>46112</v>
      </c>
      <c r="E59" t="s">
        <v>744</v>
      </c>
      <c r="F59" t="s">
        <v>14</v>
      </c>
      <c r="G59">
        <v>1085318684</v>
      </c>
      <c r="H59" t="s">
        <v>427</v>
      </c>
      <c r="I59">
        <v>98333941</v>
      </c>
      <c r="J59" t="s">
        <v>14</v>
      </c>
      <c r="K59" t="s">
        <v>15</v>
      </c>
      <c r="L59" s="1">
        <v>4730000</v>
      </c>
      <c r="M59" s="1">
        <v>4730000</v>
      </c>
      <c r="N59" s="20">
        <v>14190000</v>
      </c>
      <c r="O59" s="10">
        <v>14190000</v>
      </c>
      <c r="P59" t="s">
        <v>704</v>
      </c>
      <c r="Q59" s="1">
        <v>9460000</v>
      </c>
      <c r="S59" s="11" t="s">
        <v>1036</v>
      </c>
    </row>
    <row r="60" spans="1:19" x14ac:dyDescent="0.25">
      <c r="A60" t="s">
        <v>1059</v>
      </c>
      <c r="B60" t="s">
        <v>13</v>
      </c>
      <c r="C60" s="12">
        <v>46024</v>
      </c>
      <c r="D60" s="12">
        <v>46112</v>
      </c>
      <c r="E60" t="s">
        <v>744</v>
      </c>
      <c r="F60" t="s">
        <v>14</v>
      </c>
      <c r="G60">
        <v>1087414586</v>
      </c>
      <c r="H60" t="s">
        <v>92</v>
      </c>
      <c r="I60">
        <v>43624414</v>
      </c>
      <c r="J60" t="s">
        <v>14</v>
      </c>
      <c r="K60" t="s">
        <v>18</v>
      </c>
      <c r="L60" s="1">
        <v>4730000</v>
      </c>
      <c r="M60" s="1">
        <v>4730000</v>
      </c>
      <c r="N60" s="20">
        <v>14190000</v>
      </c>
      <c r="O60" s="10">
        <v>14190000</v>
      </c>
      <c r="P60" t="s">
        <v>704</v>
      </c>
      <c r="Q60" s="1">
        <v>9460000</v>
      </c>
      <c r="S60" s="11" t="s">
        <v>1036</v>
      </c>
    </row>
    <row r="61" spans="1:19" x14ac:dyDescent="0.25">
      <c r="A61" t="s">
        <v>1060</v>
      </c>
      <c r="B61" t="s">
        <v>13</v>
      </c>
      <c r="C61" s="12">
        <v>46024</v>
      </c>
      <c r="D61" s="12">
        <v>46112</v>
      </c>
      <c r="E61" t="s">
        <v>775</v>
      </c>
      <c r="F61" t="s">
        <v>14</v>
      </c>
      <c r="G61">
        <v>98391531</v>
      </c>
      <c r="H61" t="s">
        <v>453</v>
      </c>
      <c r="I61">
        <v>43624414</v>
      </c>
      <c r="J61" t="s">
        <v>14</v>
      </c>
      <c r="K61" t="s">
        <v>18</v>
      </c>
      <c r="L61" s="1">
        <v>3150000</v>
      </c>
      <c r="M61" s="1">
        <v>3150000</v>
      </c>
      <c r="N61" s="20">
        <v>9450000</v>
      </c>
      <c r="O61" s="10">
        <v>9450000</v>
      </c>
      <c r="P61" t="s">
        <v>704</v>
      </c>
      <c r="Q61" s="1">
        <v>6300000</v>
      </c>
      <c r="S61" s="11" t="s">
        <v>1036</v>
      </c>
    </row>
    <row r="62" spans="1:19" x14ac:dyDescent="0.25">
      <c r="A62" t="s">
        <v>1010</v>
      </c>
      <c r="B62" t="s">
        <v>13</v>
      </c>
      <c r="C62" s="12">
        <v>46024</v>
      </c>
      <c r="D62" s="12">
        <v>46112</v>
      </c>
      <c r="E62" t="s">
        <v>775</v>
      </c>
      <c r="F62" t="s">
        <v>14</v>
      </c>
      <c r="G62">
        <v>37082272</v>
      </c>
      <c r="H62" t="s">
        <v>461</v>
      </c>
      <c r="I62">
        <v>98390119</v>
      </c>
      <c r="J62" t="s">
        <v>14</v>
      </c>
      <c r="K62" t="s">
        <v>63</v>
      </c>
      <c r="L62" s="1">
        <v>3150000</v>
      </c>
      <c r="M62" s="1">
        <v>3150000</v>
      </c>
      <c r="N62" s="20">
        <v>9450000</v>
      </c>
      <c r="O62" s="10">
        <v>9450000</v>
      </c>
      <c r="P62" t="s">
        <v>704</v>
      </c>
      <c r="Q62" s="1">
        <v>6300000</v>
      </c>
      <c r="S62" s="11" t="s">
        <v>1036</v>
      </c>
    </row>
    <row r="63" spans="1:19" x14ac:dyDescent="0.25">
      <c r="A63" t="s">
        <v>1061</v>
      </c>
      <c r="B63" t="s">
        <v>13</v>
      </c>
      <c r="C63" s="12">
        <v>46024</v>
      </c>
      <c r="D63" s="12">
        <v>46112</v>
      </c>
      <c r="E63" t="s">
        <v>775</v>
      </c>
      <c r="F63" t="s">
        <v>14</v>
      </c>
      <c r="G63">
        <v>1082748783</v>
      </c>
      <c r="H63" t="s">
        <v>67</v>
      </c>
      <c r="I63">
        <v>43624414</v>
      </c>
      <c r="J63" t="s">
        <v>14</v>
      </c>
      <c r="K63" t="s">
        <v>18</v>
      </c>
      <c r="L63" s="1" t="e">
        <v>#N/A</v>
      </c>
      <c r="M63" s="1">
        <v>0</v>
      </c>
      <c r="N63" s="20">
        <v>9450000</v>
      </c>
      <c r="O63" s="10">
        <v>9450000</v>
      </c>
      <c r="P63" t="s">
        <v>704</v>
      </c>
      <c r="Q63" s="1" t="e">
        <v>#N/A</v>
      </c>
      <c r="S63" s="11" t="s">
        <v>1036</v>
      </c>
    </row>
    <row r="64" spans="1:19" x14ac:dyDescent="0.25">
      <c r="A64" t="s">
        <v>1016</v>
      </c>
      <c r="B64" t="s">
        <v>13</v>
      </c>
      <c r="C64" s="12">
        <v>46024</v>
      </c>
      <c r="D64" s="12">
        <v>46112</v>
      </c>
      <c r="E64" t="s">
        <v>775</v>
      </c>
      <c r="F64" t="s">
        <v>14</v>
      </c>
      <c r="G64">
        <v>1193223736</v>
      </c>
      <c r="H64" t="s">
        <v>75</v>
      </c>
      <c r="I64">
        <v>43624414</v>
      </c>
      <c r="J64" t="s">
        <v>14</v>
      </c>
      <c r="K64" t="s">
        <v>18</v>
      </c>
      <c r="L64" s="1">
        <v>6300000</v>
      </c>
      <c r="M64" s="1">
        <v>6300000</v>
      </c>
      <c r="N64" s="20">
        <v>18900000</v>
      </c>
      <c r="O64" s="10">
        <v>18900000</v>
      </c>
      <c r="P64" t="s">
        <v>704</v>
      </c>
      <c r="Q64" s="1">
        <v>12600000</v>
      </c>
      <c r="S64" s="11" t="s">
        <v>1036</v>
      </c>
    </row>
    <row r="65" spans="1:19" x14ac:dyDescent="0.25">
      <c r="A65" t="s">
        <v>1006</v>
      </c>
      <c r="B65" t="s">
        <v>13</v>
      </c>
      <c r="C65" s="12">
        <v>46024</v>
      </c>
      <c r="D65" s="12">
        <v>46112</v>
      </c>
      <c r="E65" t="s">
        <v>775</v>
      </c>
      <c r="F65" t="s">
        <v>14</v>
      </c>
      <c r="G65">
        <v>1004190751</v>
      </c>
      <c r="H65" t="s">
        <v>233</v>
      </c>
      <c r="I65">
        <v>43624414</v>
      </c>
      <c r="J65" t="s">
        <v>14</v>
      </c>
      <c r="K65" t="s">
        <v>18</v>
      </c>
      <c r="L65" s="1">
        <v>3150000</v>
      </c>
      <c r="M65" s="1">
        <v>3150000</v>
      </c>
      <c r="N65" s="20">
        <v>9450000</v>
      </c>
      <c r="O65" s="10">
        <v>9450000</v>
      </c>
      <c r="P65" t="s">
        <v>704</v>
      </c>
      <c r="Q65" s="1">
        <v>6300000</v>
      </c>
      <c r="S65" s="11" t="s">
        <v>1036</v>
      </c>
    </row>
    <row r="66" spans="1:19" x14ac:dyDescent="0.25">
      <c r="A66" t="s">
        <v>1032</v>
      </c>
      <c r="B66" t="s">
        <v>13</v>
      </c>
      <c r="C66" s="12">
        <v>46024</v>
      </c>
      <c r="D66" s="12">
        <v>46112</v>
      </c>
      <c r="E66" t="s">
        <v>775</v>
      </c>
      <c r="F66" t="s">
        <v>14</v>
      </c>
      <c r="G66">
        <v>1085317833</v>
      </c>
      <c r="H66" t="s">
        <v>41</v>
      </c>
      <c r="I66">
        <v>59836926</v>
      </c>
      <c r="J66" t="s">
        <v>14</v>
      </c>
      <c r="K66" t="s">
        <v>17</v>
      </c>
      <c r="L66" s="1">
        <v>3150000</v>
      </c>
      <c r="M66" s="1">
        <v>3150000</v>
      </c>
      <c r="N66" s="20">
        <v>9450000</v>
      </c>
      <c r="O66" s="10">
        <v>9450000</v>
      </c>
      <c r="P66" t="s">
        <v>704</v>
      </c>
      <c r="Q66" s="1">
        <v>6300000</v>
      </c>
      <c r="S66" s="11" t="s">
        <v>1036</v>
      </c>
    </row>
    <row r="67" spans="1:19" x14ac:dyDescent="0.25">
      <c r="A67" t="s">
        <v>1062</v>
      </c>
      <c r="B67" t="s">
        <v>13</v>
      </c>
      <c r="C67" s="12">
        <v>46024</v>
      </c>
      <c r="D67" s="12">
        <v>46112</v>
      </c>
      <c r="E67" t="s">
        <v>775</v>
      </c>
      <c r="F67" t="s">
        <v>14</v>
      </c>
      <c r="G67">
        <v>1085286725</v>
      </c>
      <c r="H67" t="s">
        <v>40</v>
      </c>
      <c r="I67">
        <v>98333941</v>
      </c>
      <c r="J67" t="s">
        <v>14</v>
      </c>
      <c r="K67" t="s">
        <v>15</v>
      </c>
      <c r="L67" s="1" t="e">
        <v>#N/A</v>
      </c>
      <c r="M67" s="1">
        <v>0</v>
      </c>
      <c r="N67" s="20">
        <v>9450000</v>
      </c>
      <c r="O67" s="10">
        <v>9450000</v>
      </c>
      <c r="P67" t="s">
        <v>704</v>
      </c>
      <c r="Q67" s="1" t="e">
        <v>#N/A</v>
      </c>
      <c r="S67" s="11" t="s">
        <v>1036</v>
      </c>
    </row>
    <row r="68" spans="1:19" x14ac:dyDescent="0.25">
      <c r="A68" t="s">
        <v>1008</v>
      </c>
      <c r="B68" t="s">
        <v>13</v>
      </c>
      <c r="C68" s="12">
        <v>46024</v>
      </c>
      <c r="D68" s="12">
        <v>46112</v>
      </c>
      <c r="E68" t="s">
        <v>744</v>
      </c>
      <c r="F68" t="s">
        <v>14</v>
      </c>
      <c r="G68">
        <v>1089846684</v>
      </c>
      <c r="H68" t="s">
        <v>103</v>
      </c>
      <c r="I68">
        <v>98390119</v>
      </c>
      <c r="J68" t="s">
        <v>14</v>
      </c>
      <c r="K68" t="s">
        <v>63</v>
      </c>
      <c r="L68" s="1">
        <v>7800000</v>
      </c>
      <c r="M68" s="1">
        <v>7800000</v>
      </c>
      <c r="N68" s="20">
        <v>23400000</v>
      </c>
      <c r="O68" s="10">
        <v>23400000</v>
      </c>
      <c r="P68" t="s">
        <v>704</v>
      </c>
      <c r="Q68" s="1">
        <v>15600000</v>
      </c>
      <c r="S68" s="11" t="s">
        <v>1036</v>
      </c>
    </row>
    <row r="69" spans="1:19" x14ac:dyDescent="0.25">
      <c r="A69" t="s">
        <v>990</v>
      </c>
      <c r="B69" t="s">
        <v>13</v>
      </c>
      <c r="C69" s="12">
        <v>46024</v>
      </c>
      <c r="D69" s="12">
        <v>46112</v>
      </c>
      <c r="E69" t="s">
        <v>744</v>
      </c>
      <c r="F69" t="s">
        <v>14</v>
      </c>
      <c r="G69">
        <v>1010141840</v>
      </c>
      <c r="H69" t="s">
        <v>574</v>
      </c>
      <c r="I69">
        <v>43624414</v>
      </c>
      <c r="J69" t="s">
        <v>14</v>
      </c>
      <c r="K69" t="s">
        <v>18</v>
      </c>
      <c r="L69" s="1">
        <v>7800000</v>
      </c>
      <c r="M69" s="1">
        <v>7800000</v>
      </c>
      <c r="N69" s="20">
        <v>23400000</v>
      </c>
      <c r="O69" s="10">
        <v>23400000</v>
      </c>
      <c r="P69" t="s">
        <v>704</v>
      </c>
      <c r="Q69" s="1">
        <v>15600000</v>
      </c>
      <c r="S69" s="11" t="s">
        <v>1036</v>
      </c>
    </row>
    <row r="70" spans="1:19" x14ac:dyDescent="0.25">
      <c r="A70" t="s">
        <v>985</v>
      </c>
      <c r="B70" t="s">
        <v>13</v>
      </c>
      <c r="C70" s="12">
        <v>46024</v>
      </c>
      <c r="D70" s="12">
        <v>46112</v>
      </c>
      <c r="E70" t="s">
        <v>981</v>
      </c>
      <c r="F70" t="s">
        <v>14</v>
      </c>
      <c r="G70">
        <v>1085340885</v>
      </c>
      <c r="H70" t="s">
        <v>837</v>
      </c>
      <c r="I70">
        <v>98333941</v>
      </c>
      <c r="J70" t="s">
        <v>14</v>
      </c>
      <c r="K70" t="s">
        <v>15</v>
      </c>
      <c r="L70" s="1">
        <v>4730000</v>
      </c>
      <c r="M70" s="1">
        <v>4730000</v>
      </c>
      <c r="N70" s="20">
        <v>14190000</v>
      </c>
      <c r="O70" s="10">
        <v>14190000</v>
      </c>
      <c r="P70" t="s">
        <v>704</v>
      </c>
      <c r="Q70" s="1">
        <v>9460000</v>
      </c>
      <c r="S70" s="11" t="s">
        <v>1036</v>
      </c>
    </row>
    <row r="71" spans="1:19" x14ac:dyDescent="0.25">
      <c r="A71" t="s">
        <v>1011</v>
      </c>
      <c r="B71" t="s">
        <v>13</v>
      </c>
      <c r="C71" s="12">
        <v>46024</v>
      </c>
      <c r="D71" s="12">
        <v>46112</v>
      </c>
      <c r="E71" t="s">
        <v>744</v>
      </c>
      <c r="F71" t="s">
        <v>14</v>
      </c>
      <c r="G71">
        <v>1085260497</v>
      </c>
      <c r="H71" t="s">
        <v>389</v>
      </c>
      <c r="I71">
        <v>98333941</v>
      </c>
      <c r="J71" t="s">
        <v>14</v>
      </c>
      <c r="K71" t="s">
        <v>15</v>
      </c>
      <c r="L71" s="1">
        <v>4730000</v>
      </c>
      <c r="M71" s="1">
        <v>4730000</v>
      </c>
      <c r="N71" s="20">
        <v>14190000</v>
      </c>
      <c r="O71" s="10">
        <v>14190000</v>
      </c>
      <c r="P71" t="s">
        <v>704</v>
      </c>
      <c r="Q71" s="1">
        <v>9460000</v>
      </c>
      <c r="S71" s="11" t="s">
        <v>1036</v>
      </c>
    </row>
    <row r="72" spans="1:19" x14ac:dyDescent="0.25">
      <c r="A72" t="s">
        <v>1063</v>
      </c>
      <c r="B72" t="s">
        <v>13</v>
      </c>
      <c r="C72" s="12">
        <v>46038</v>
      </c>
      <c r="D72" s="12">
        <v>46128</v>
      </c>
      <c r="E72" t="s">
        <v>775</v>
      </c>
      <c r="F72" t="s">
        <v>14</v>
      </c>
      <c r="G72">
        <v>27091114</v>
      </c>
      <c r="H72" t="s">
        <v>80</v>
      </c>
      <c r="I72">
        <v>98390119</v>
      </c>
      <c r="J72" t="s">
        <v>14</v>
      </c>
      <c r="K72" t="s">
        <v>63</v>
      </c>
      <c r="L72" s="1" t="e">
        <v>#N/A</v>
      </c>
      <c r="M72" s="1">
        <v>0</v>
      </c>
      <c r="N72" s="20">
        <v>9450000</v>
      </c>
      <c r="O72" s="10">
        <v>9450000</v>
      </c>
      <c r="P72" t="s">
        <v>704</v>
      </c>
      <c r="Q72" s="1" t="e">
        <v>#N/A</v>
      </c>
      <c r="S72" s="11" t="s">
        <v>1036</v>
      </c>
    </row>
    <row r="73" spans="1:19" x14ac:dyDescent="0.25">
      <c r="A73" t="s">
        <v>1064</v>
      </c>
      <c r="B73" t="s">
        <v>13</v>
      </c>
      <c r="C73" s="12">
        <v>46038</v>
      </c>
      <c r="D73" s="12">
        <v>46069</v>
      </c>
      <c r="E73" t="s">
        <v>775</v>
      </c>
      <c r="F73" t="s">
        <v>14</v>
      </c>
      <c r="G73">
        <v>1233192104</v>
      </c>
      <c r="H73" t="s">
        <v>514</v>
      </c>
      <c r="I73">
        <v>59836926</v>
      </c>
      <c r="J73" t="s">
        <v>14</v>
      </c>
      <c r="K73" t="s">
        <v>17</v>
      </c>
      <c r="L73" s="1" t="e">
        <v>#N/A</v>
      </c>
      <c r="M73" s="1">
        <v>0</v>
      </c>
      <c r="N73" s="20">
        <v>3150000</v>
      </c>
      <c r="O73" s="10">
        <v>3150000</v>
      </c>
      <c r="P73" t="s">
        <v>704</v>
      </c>
      <c r="Q73" s="1" t="e">
        <v>#N/A</v>
      </c>
      <c r="S73" s="11" t="s">
        <v>1036</v>
      </c>
    </row>
    <row r="74" spans="1:19" x14ac:dyDescent="0.25">
      <c r="A74" t="s">
        <v>1065</v>
      </c>
      <c r="B74" t="s">
        <v>13</v>
      </c>
      <c r="C74" s="12">
        <v>46038</v>
      </c>
      <c r="D74" s="12">
        <v>46128</v>
      </c>
      <c r="E74" t="s">
        <v>775</v>
      </c>
      <c r="F74" t="s">
        <v>14</v>
      </c>
      <c r="G74">
        <v>27088197</v>
      </c>
      <c r="H74" t="s">
        <v>62</v>
      </c>
      <c r="I74">
        <v>59836926</v>
      </c>
      <c r="J74" t="s">
        <v>14</v>
      </c>
      <c r="K74" t="s">
        <v>17</v>
      </c>
      <c r="L74" s="1">
        <v>3150000</v>
      </c>
      <c r="M74" s="1">
        <v>3150000</v>
      </c>
      <c r="N74" s="20">
        <v>9450000</v>
      </c>
      <c r="O74" s="10">
        <v>9450000</v>
      </c>
      <c r="P74" t="s">
        <v>704</v>
      </c>
      <c r="Q74" s="1">
        <v>6300000</v>
      </c>
      <c r="S74" s="11" t="s">
        <v>1036</v>
      </c>
    </row>
    <row r="75" spans="1:19" x14ac:dyDescent="0.25">
      <c r="A75" t="s">
        <v>1066</v>
      </c>
      <c r="B75" t="s">
        <v>13</v>
      </c>
      <c r="C75" s="12">
        <v>46038</v>
      </c>
      <c r="D75" s="12">
        <v>46069</v>
      </c>
      <c r="E75" t="s">
        <v>775</v>
      </c>
      <c r="F75" t="s">
        <v>14</v>
      </c>
      <c r="G75">
        <v>1081272318</v>
      </c>
      <c r="H75" t="s">
        <v>393</v>
      </c>
      <c r="I75">
        <v>43624414</v>
      </c>
      <c r="J75" t="s">
        <v>14</v>
      </c>
      <c r="K75" t="s">
        <v>18</v>
      </c>
      <c r="L75" s="1" t="e">
        <v>#N/A</v>
      </c>
      <c r="M75" s="1">
        <v>0</v>
      </c>
      <c r="N75" s="20">
        <v>3150000</v>
      </c>
      <c r="O75" s="10">
        <v>3150000</v>
      </c>
      <c r="P75" t="s">
        <v>704</v>
      </c>
      <c r="Q75" s="1" t="e">
        <v>#N/A</v>
      </c>
      <c r="S75" s="11" t="s">
        <v>1036</v>
      </c>
    </row>
    <row r="76" spans="1:19" x14ac:dyDescent="0.25">
      <c r="A76" t="s">
        <v>1067</v>
      </c>
      <c r="B76" t="s">
        <v>13</v>
      </c>
      <c r="C76" s="12">
        <v>46038</v>
      </c>
      <c r="D76" s="12">
        <v>46189</v>
      </c>
      <c r="E76" t="s">
        <v>775</v>
      </c>
      <c r="F76" t="s">
        <v>14</v>
      </c>
      <c r="G76">
        <v>1233191675</v>
      </c>
      <c r="H76" t="s">
        <v>28</v>
      </c>
      <c r="I76">
        <v>98390119</v>
      </c>
      <c r="J76" t="s">
        <v>14</v>
      </c>
      <c r="K76" t="s">
        <v>63</v>
      </c>
      <c r="L76" s="1" t="e">
        <v>#N/A</v>
      </c>
      <c r="M76" s="1">
        <v>0</v>
      </c>
      <c r="N76" s="20">
        <v>15750000</v>
      </c>
      <c r="O76" s="10">
        <v>15750000</v>
      </c>
      <c r="P76" t="s">
        <v>704</v>
      </c>
      <c r="Q76" s="1" t="e">
        <v>#N/A</v>
      </c>
      <c r="S76" s="11" t="s">
        <v>1036</v>
      </c>
    </row>
    <row r="77" spans="1:19" x14ac:dyDescent="0.25">
      <c r="A77" t="s">
        <v>1068</v>
      </c>
      <c r="B77" t="s">
        <v>13</v>
      </c>
      <c r="C77" s="12">
        <v>46038</v>
      </c>
      <c r="D77" s="12">
        <v>46128</v>
      </c>
      <c r="E77" t="s">
        <v>775</v>
      </c>
      <c r="F77" t="s">
        <v>14</v>
      </c>
      <c r="G77">
        <v>1193224810</v>
      </c>
      <c r="H77" t="s">
        <v>31</v>
      </c>
      <c r="I77">
        <v>98333941</v>
      </c>
      <c r="J77" t="s">
        <v>14</v>
      </c>
      <c r="K77" t="s">
        <v>15</v>
      </c>
      <c r="L77" s="1" t="e">
        <v>#N/A</v>
      </c>
      <c r="M77" s="1">
        <v>0</v>
      </c>
      <c r="N77" s="20">
        <v>9450000</v>
      </c>
      <c r="O77" s="10">
        <v>9450000</v>
      </c>
      <c r="P77" t="s">
        <v>704</v>
      </c>
      <c r="Q77" s="1" t="e">
        <v>#N/A</v>
      </c>
      <c r="S77" s="11" t="s">
        <v>1036</v>
      </c>
    </row>
    <row r="78" spans="1:19" x14ac:dyDescent="0.25">
      <c r="A78" t="s">
        <v>1030</v>
      </c>
      <c r="B78" t="s">
        <v>13</v>
      </c>
      <c r="C78" s="12">
        <v>46038</v>
      </c>
      <c r="D78" s="12">
        <v>46128</v>
      </c>
      <c r="E78" t="s">
        <v>775</v>
      </c>
      <c r="F78" t="s">
        <v>14</v>
      </c>
      <c r="G78">
        <v>1004543161</v>
      </c>
      <c r="H78" t="s">
        <v>866</v>
      </c>
      <c r="I78">
        <v>59836926</v>
      </c>
      <c r="J78" t="s">
        <v>14</v>
      </c>
      <c r="K78" t="s">
        <v>17</v>
      </c>
      <c r="L78" s="1">
        <v>3150000</v>
      </c>
      <c r="M78" s="1">
        <v>3150000</v>
      </c>
      <c r="N78" s="20">
        <v>9450000</v>
      </c>
      <c r="O78" s="10">
        <v>9450000</v>
      </c>
      <c r="P78" t="s">
        <v>704</v>
      </c>
      <c r="Q78" s="1">
        <v>6300000</v>
      </c>
      <c r="S78" s="11" t="s">
        <v>1036</v>
      </c>
    </row>
    <row r="79" spans="1:19" x14ac:dyDescent="0.25">
      <c r="A79" t="s">
        <v>1069</v>
      </c>
      <c r="B79" t="s">
        <v>13</v>
      </c>
      <c r="C79" s="12">
        <v>46038</v>
      </c>
      <c r="D79" s="12">
        <v>46189</v>
      </c>
      <c r="E79" t="s">
        <v>775</v>
      </c>
      <c r="F79" t="s">
        <v>14</v>
      </c>
      <c r="G79">
        <v>1085315013</v>
      </c>
      <c r="H79" t="s">
        <v>60</v>
      </c>
      <c r="I79">
        <v>98390119</v>
      </c>
      <c r="J79" t="s">
        <v>14</v>
      </c>
      <c r="K79" t="s">
        <v>63</v>
      </c>
      <c r="L79" s="1">
        <v>3150000</v>
      </c>
      <c r="M79" s="1">
        <v>3150000</v>
      </c>
      <c r="N79" s="20">
        <v>15750000</v>
      </c>
      <c r="O79" s="10">
        <v>15750000</v>
      </c>
      <c r="P79" t="s">
        <v>704</v>
      </c>
      <c r="Q79" s="1">
        <v>12600000</v>
      </c>
      <c r="S79" s="11" t="s">
        <v>1036</v>
      </c>
    </row>
    <row r="80" spans="1:19" x14ac:dyDescent="0.25">
      <c r="A80" t="s">
        <v>1070</v>
      </c>
      <c r="B80" t="s">
        <v>13</v>
      </c>
      <c r="C80" s="12">
        <v>46038</v>
      </c>
      <c r="D80" s="12">
        <v>46189</v>
      </c>
      <c r="E80" t="s">
        <v>775</v>
      </c>
      <c r="F80" t="s">
        <v>14</v>
      </c>
      <c r="G80">
        <v>1193271485</v>
      </c>
      <c r="H80" t="s">
        <v>204</v>
      </c>
      <c r="I80">
        <v>98390119</v>
      </c>
      <c r="J80" t="s">
        <v>14</v>
      </c>
      <c r="K80" t="s">
        <v>63</v>
      </c>
      <c r="L80" s="1" t="e">
        <v>#N/A</v>
      </c>
      <c r="M80" s="1">
        <v>0</v>
      </c>
      <c r="N80" s="20">
        <v>31500000</v>
      </c>
      <c r="O80" s="10">
        <v>31500000</v>
      </c>
      <c r="P80" t="s">
        <v>704</v>
      </c>
      <c r="Q80" s="1" t="e">
        <v>#N/A</v>
      </c>
      <c r="S80" s="11" t="s">
        <v>1036</v>
      </c>
    </row>
    <row r="81" spans="1:19" x14ac:dyDescent="0.25">
      <c r="A81" t="s">
        <v>1071</v>
      </c>
      <c r="B81" t="s">
        <v>13</v>
      </c>
      <c r="C81" s="12">
        <v>46038</v>
      </c>
      <c r="D81" s="12">
        <v>46128</v>
      </c>
      <c r="E81" t="s">
        <v>775</v>
      </c>
      <c r="F81" t="s">
        <v>14</v>
      </c>
      <c r="G81">
        <v>1081053045</v>
      </c>
      <c r="H81" t="s">
        <v>287</v>
      </c>
      <c r="I81">
        <v>98333941</v>
      </c>
      <c r="J81" t="s">
        <v>14</v>
      </c>
      <c r="K81" t="s">
        <v>15</v>
      </c>
      <c r="L81" s="1" t="e">
        <v>#N/A</v>
      </c>
      <c r="M81" s="1">
        <v>0</v>
      </c>
      <c r="N81" s="20">
        <v>9450000</v>
      </c>
      <c r="O81" s="10">
        <v>9450000</v>
      </c>
      <c r="P81" t="s">
        <v>704</v>
      </c>
      <c r="Q81" s="1" t="e">
        <v>#N/A</v>
      </c>
      <c r="S81" s="11" t="s">
        <v>1036</v>
      </c>
    </row>
    <row r="82" spans="1:19" x14ac:dyDescent="0.25">
      <c r="A82" t="s">
        <v>1072</v>
      </c>
      <c r="B82" t="s">
        <v>13</v>
      </c>
      <c r="C82" s="12">
        <v>46038</v>
      </c>
      <c r="D82" s="12">
        <v>46128</v>
      </c>
      <c r="E82" t="s">
        <v>775</v>
      </c>
      <c r="F82" t="s">
        <v>14</v>
      </c>
      <c r="G82">
        <v>1085275400</v>
      </c>
      <c r="H82" t="s">
        <v>145</v>
      </c>
      <c r="I82">
        <v>43624414</v>
      </c>
      <c r="J82" t="s">
        <v>14</v>
      </c>
      <c r="K82" t="s">
        <v>18</v>
      </c>
      <c r="L82" s="1">
        <v>3150000</v>
      </c>
      <c r="M82" s="1">
        <v>3150000</v>
      </c>
      <c r="N82" s="20">
        <v>9450000</v>
      </c>
      <c r="O82" s="10">
        <v>9450000</v>
      </c>
      <c r="P82" t="s">
        <v>704</v>
      </c>
      <c r="Q82" s="1">
        <v>6300000</v>
      </c>
      <c r="S82" s="11" t="s">
        <v>1036</v>
      </c>
    </row>
    <row r="83" spans="1:19" x14ac:dyDescent="0.25">
      <c r="A83" t="s">
        <v>1073</v>
      </c>
      <c r="B83" t="s">
        <v>13</v>
      </c>
      <c r="C83" s="12">
        <v>46038</v>
      </c>
      <c r="D83" s="12">
        <v>46069</v>
      </c>
      <c r="E83" t="s">
        <v>775</v>
      </c>
      <c r="F83" t="s">
        <v>14</v>
      </c>
      <c r="G83">
        <v>1193035720</v>
      </c>
      <c r="H83" t="s">
        <v>904</v>
      </c>
      <c r="I83">
        <v>43624414</v>
      </c>
      <c r="J83" t="s">
        <v>14</v>
      </c>
      <c r="K83" t="s">
        <v>18</v>
      </c>
      <c r="L83" s="1" t="e">
        <v>#N/A</v>
      </c>
      <c r="M83" s="1">
        <v>0</v>
      </c>
      <c r="N83" s="20">
        <v>3150000</v>
      </c>
      <c r="O83" s="10">
        <v>3150000</v>
      </c>
      <c r="P83" t="s">
        <v>704</v>
      </c>
      <c r="Q83" s="1" t="e">
        <v>#N/A</v>
      </c>
      <c r="S83" s="11" t="s">
        <v>1036</v>
      </c>
    </row>
    <row r="84" spans="1:19" x14ac:dyDescent="0.25">
      <c r="A84" t="s">
        <v>1074</v>
      </c>
      <c r="B84" t="s">
        <v>13</v>
      </c>
      <c r="C84" s="12">
        <v>46038</v>
      </c>
      <c r="D84" s="12">
        <v>46069</v>
      </c>
      <c r="E84" t="s">
        <v>775</v>
      </c>
      <c r="F84" t="s">
        <v>14</v>
      </c>
      <c r="G84">
        <v>59813323</v>
      </c>
      <c r="H84" t="s">
        <v>74</v>
      </c>
      <c r="I84">
        <v>59836926</v>
      </c>
      <c r="J84" t="s">
        <v>14</v>
      </c>
      <c r="K84" t="s">
        <v>17</v>
      </c>
      <c r="L84" s="1" t="e">
        <v>#N/A</v>
      </c>
      <c r="M84" s="1">
        <v>0</v>
      </c>
      <c r="N84" s="20">
        <v>3150000</v>
      </c>
      <c r="O84" s="10">
        <v>3150000</v>
      </c>
      <c r="P84" t="s">
        <v>704</v>
      </c>
      <c r="Q84" s="1" t="e">
        <v>#N/A</v>
      </c>
      <c r="S84" s="11" t="s">
        <v>1036</v>
      </c>
    </row>
    <row r="85" spans="1:19" x14ac:dyDescent="0.25">
      <c r="A85" t="s">
        <v>1075</v>
      </c>
      <c r="B85" t="s">
        <v>13</v>
      </c>
      <c r="C85" s="12">
        <v>46038</v>
      </c>
      <c r="D85" s="12">
        <v>46128</v>
      </c>
      <c r="E85" t="s">
        <v>775</v>
      </c>
      <c r="F85" t="s">
        <v>14</v>
      </c>
      <c r="G85">
        <v>1004592366</v>
      </c>
      <c r="H85" t="s">
        <v>449</v>
      </c>
      <c r="I85">
        <v>43624414</v>
      </c>
      <c r="J85" t="s">
        <v>14</v>
      </c>
      <c r="K85" t="s">
        <v>18</v>
      </c>
      <c r="L85" s="1">
        <v>3150000</v>
      </c>
      <c r="M85" s="1">
        <v>3150000</v>
      </c>
      <c r="N85" s="20">
        <v>9450000</v>
      </c>
      <c r="O85" s="10">
        <v>9450000</v>
      </c>
      <c r="P85" t="s">
        <v>704</v>
      </c>
      <c r="Q85" s="1">
        <v>6300000</v>
      </c>
      <c r="S85" s="11" t="s">
        <v>1036</v>
      </c>
    </row>
    <row r="86" spans="1:19" x14ac:dyDescent="0.25">
      <c r="A86" t="s">
        <v>1076</v>
      </c>
      <c r="B86" t="s">
        <v>13</v>
      </c>
      <c r="C86" s="12">
        <v>46038</v>
      </c>
      <c r="D86" s="12">
        <v>46128</v>
      </c>
      <c r="E86" t="s">
        <v>775</v>
      </c>
      <c r="F86" t="s">
        <v>14</v>
      </c>
      <c r="G86">
        <v>1085253062</v>
      </c>
      <c r="H86" t="s">
        <v>316</v>
      </c>
      <c r="I86">
        <v>43624414</v>
      </c>
      <c r="J86" t="s">
        <v>14</v>
      </c>
      <c r="K86" t="s">
        <v>18</v>
      </c>
      <c r="L86" s="1" t="e">
        <v>#N/A</v>
      </c>
      <c r="M86" s="1">
        <v>0</v>
      </c>
      <c r="N86" s="20">
        <v>18900000</v>
      </c>
      <c r="O86" s="10">
        <v>18900000</v>
      </c>
      <c r="P86" t="s">
        <v>704</v>
      </c>
      <c r="Q86" s="1" t="e">
        <v>#N/A</v>
      </c>
      <c r="S86" s="11" t="s">
        <v>1036</v>
      </c>
    </row>
    <row r="87" spans="1:19" x14ac:dyDescent="0.25">
      <c r="A87" t="s">
        <v>1077</v>
      </c>
      <c r="B87" t="s">
        <v>13</v>
      </c>
      <c r="C87" s="12">
        <v>46038</v>
      </c>
      <c r="D87" s="12">
        <v>46069</v>
      </c>
      <c r="E87" t="s">
        <v>775</v>
      </c>
      <c r="F87" t="s">
        <v>14</v>
      </c>
      <c r="G87">
        <v>87030128</v>
      </c>
      <c r="H87" t="s">
        <v>101</v>
      </c>
      <c r="I87">
        <v>98390119</v>
      </c>
      <c r="J87" t="s">
        <v>14</v>
      </c>
      <c r="K87" t="s">
        <v>63</v>
      </c>
      <c r="L87" s="1" t="e">
        <v>#N/A</v>
      </c>
      <c r="M87" s="1">
        <v>0</v>
      </c>
      <c r="N87" s="20">
        <v>3150000</v>
      </c>
      <c r="O87" s="10">
        <v>3150000</v>
      </c>
      <c r="P87" t="s">
        <v>704</v>
      </c>
      <c r="Q87" s="1" t="e">
        <v>#N/A</v>
      </c>
      <c r="S87" s="11" t="s">
        <v>1036</v>
      </c>
    </row>
    <row r="88" spans="1:19" x14ac:dyDescent="0.25">
      <c r="A88" t="s">
        <v>1078</v>
      </c>
      <c r="B88" t="s">
        <v>13</v>
      </c>
      <c r="C88" s="12">
        <v>46038</v>
      </c>
      <c r="D88" s="12">
        <v>46189</v>
      </c>
      <c r="E88" t="s">
        <v>775</v>
      </c>
      <c r="F88" t="s">
        <v>14</v>
      </c>
      <c r="G88">
        <v>59310524</v>
      </c>
      <c r="H88" t="s">
        <v>22</v>
      </c>
      <c r="I88">
        <v>59836926</v>
      </c>
      <c r="J88" t="s">
        <v>14</v>
      </c>
      <c r="K88" t="s">
        <v>17</v>
      </c>
      <c r="L88" s="1" t="e">
        <v>#N/A</v>
      </c>
      <c r="M88" s="1">
        <v>0</v>
      </c>
      <c r="N88" s="20">
        <v>15750000</v>
      </c>
      <c r="O88" s="10">
        <v>15750000</v>
      </c>
      <c r="P88" t="s">
        <v>704</v>
      </c>
      <c r="Q88" s="1" t="e">
        <v>#N/A</v>
      </c>
      <c r="S88" s="11" t="s">
        <v>1036</v>
      </c>
    </row>
    <row r="89" spans="1:19" x14ac:dyDescent="0.25">
      <c r="A89" t="s">
        <v>1022</v>
      </c>
      <c r="B89" t="s">
        <v>13</v>
      </c>
      <c r="C89" s="12">
        <v>46038</v>
      </c>
      <c r="D89" s="12">
        <v>46069</v>
      </c>
      <c r="E89" t="s">
        <v>775</v>
      </c>
      <c r="F89" t="s">
        <v>14</v>
      </c>
      <c r="G89">
        <v>1086360087</v>
      </c>
      <c r="H89" t="s">
        <v>397</v>
      </c>
      <c r="I89">
        <v>98390119</v>
      </c>
      <c r="J89" t="s">
        <v>14</v>
      </c>
      <c r="K89" t="s">
        <v>63</v>
      </c>
      <c r="L89" s="1">
        <v>6300000</v>
      </c>
      <c r="M89" s="1">
        <v>6300000</v>
      </c>
      <c r="N89" s="20">
        <v>6300000</v>
      </c>
      <c r="O89" s="10">
        <v>6300000</v>
      </c>
      <c r="P89" t="s">
        <v>704</v>
      </c>
      <c r="Q89" s="1">
        <v>0</v>
      </c>
      <c r="S89" s="11" t="s">
        <v>1036</v>
      </c>
    </row>
    <row r="90" spans="1:19" x14ac:dyDescent="0.25">
      <c r="A90" t="s">
        <v>1079</v>
      </c>
      <c r="B90" t="s">
        <v>13</v>
      </c>
      <c r="C90" s="12">
        <v>46038</v>
      </c>
      <c r="D90" s="12">
        <v>46128</v>
      </c>
      <c r="E90" t="s">
        <v>775</v>
      </c>
      <c r="F90" t="s">
        <v>14</v>
      </c>
      <c r="G90">
        <v>1081572042</v>
      </c>
      <c r="H90" t="s">
        <v>641</v>
      </c>
      <c r="I90">
        <v>98390119</v>
      </c>
      <c r="J90" t="s">
        <v>14</v>
      </c>
      <c r="K90" t="s">
        <v>63</v>
      </c>
      <c r="L90" s="1">
        <v>3150000</v>
      </c>
      <c r="M90" s="1">
        <v>3150000</v>
      </c>
      <c r="N90" s="20">
        <v>9450000</v>
      </c>
      <c r="O90" s="10">
        <v>9450000</v>
      </c>
      <c r="P90" t="s">
        <v>704</v>
      </c>
      <c r="Q90" s="1">
        <v>6300000</v>
      </c>
      <c r="S90" s="11" t="s">
        <v>1036</v>
      </c>
    </row>
    <row r="91" spans="1:19" x14ac:dyDescent="0.25">
      <c r="A91" t="s">
        <v>1080</v>
      </c>
      <c r="B91" t="s">
        <v>13</v>
      </c>
      <c r="C91" s="12">
        <v>46038</v>
      </c>
      <c r="D91" s="12">
        <v>46128</v>
      </c>
      <c r="E91" t="s">
        <v>744</v>
      </c>
      <c r="F91" t="s">
        <v>14</v>
      </c>
      <c r="G91">
        <v>1233193848</v>
      </c>
      <c r="H91" t="s">
        <v>455</v>
      </c>
      <c r="I91">
        <v>43624414</v>
      </c>
      <c r="J91" t="s">
        <v>14</v>
      </c>
      <c r="K91" t="s">
        <v>18</v>
      </c>
      <c r="L91" s="1" t="e">
        <v>#N/A</v>
      </c>
      <c r="M91" s="1">
        <v>0</v>
      </c>
      <c r="N91" s="20">
        <v>23400000</v>
      </c>
      <c r="O91" s="10">
        <v>23400000</v>
      </c>
      <c r="P91" t="s">
        <v>704</v>
      </c>
      <c r="Q91" s="1" t="e">
        <v>#N/A</v>
      </c>
      <c r="S91" s="11" t="s">
        <v>1036</v>
      </c>
    </row>
    <row r="92" spans="1:19" x14ac:dyDescent="0.25">
      <c r="A92" t="s">
        <v>1081</v>
      </c>
      <c r="B92" t="s">
        <v>13</v>
      </c>
      <c r="C92" s="12">
        <v>46038</v>
      </c>
      <c r="D92" s="12">
        <v>46069</v>
      </c>
      <c r="E92" t="s">
        <v>775</v>
      </c>
      <c r="F92" t="s">
        <v>14</v>
      </c>
      <c r="G92">
        <v>1085254153</v>
      </c>
      <c r="H92" t="s">
        <v>308</v>
      </c>
      <c r="I92">
        <v>59836926</v>
      </c>
      <c r="J92" t="s">
        <v>14</v>
      </c>
      <c r="K92" t="s">
        <v>17</v>
      </c>
      <c r="L92" s="1" t="e">
        <v>#N/A</v>
      </c>
      <c r="M92" s="1">
        <v>0</v>
      </c>
      <c r="N92" s="20">
        <v>6300000</v>
      </c>
      <c r="O92" s="10">
        <v>6300000</v>
      </c>
      <c r="P92" t="s">
        <v>704</v>
      </c>
      <c r="Q92" s="1" t="e">
        <v>#N/A</v>
      </c>
      <c r="S92" s="11" t="s">
        <v>1036</v>
      </c>
    </row>
    <row r="93" spans="1:19" x14ac:dyDescent="0.25">
      <c r="A93" t="s">
        <v>1082</v>
      </c>
      <c r="B93" t="s">
        <v>13</v>
      </c>
      <c r="C93" s="12">
        <v>46038</v>
      </c>
      <c r="D93" s="12">
        <v>46069</v>
      </c>
      <c r="E93" t="s">
        <v>775</v>
      </c>
      <c r="F93" t="s">
        <v>14</v>
      </c>
      <c r="G93">
        <v>1085265947</v>
      </c>
      <c r="H93" t="s">
        <v>278</v>
      </c>
      <c r="I93">
        <v>59836926</v>
      </c>
      <c r="J93" t="s">
        <v>14</v>
      </c>
      <c r="K93" t="s">
        <v>17</v>
      </c>
      <c r="L93" s="1" t="e">
        <v>#N/A</v>
      </c>
      <c r="M93" s="1">
        <v>0</v>
      </c>
      <c r="N93" s="20">
        <v>3150000</v>
      </c>
      <c r="O93" s="10">
        <v>3150000</v>
      </c>
      <c r="P93" t="s">
        <v>704</v>
      </c>
      <c r="Q93" s="1" t="e">
        <v>#N/A</v>
      </c>
      <c r="S93" s="11" t="s">
        <v>1036</v>
      </c>
    </row>
    <row r="94" spans="1:19" x14ac:dyDescent="0.25">
      <c r="A94" t="s">
        <v>1027</v>
      </c>
      <c r="B94" t="s">
        <v>13</v>
      </c>
      <c r="C94" s="12">
        <v>46038</v>
      </c>
      <c r="D94" s="12">
        <v>46189</v>
      </c>
      <c r="E94" t="s">
        <v>775</v>
      </c>
      <c r="F94" t="s">
        <v>14</v>
      </c>
      <c r="G94">
        <v>1085286476</v>
      </c>
      <c r="H94" t="s">
        <v>842</v>
      </c>
      <c r="I94">
        <v>59836926</v>
      </c>
      <c r="J94" t="s">
        <v>14</v>
      </c>
      <c r="K94" t="s">
        <v>17</v>
      </c>
      <c r="L94" s="1">
        <v>6300000</v>
      </c>
      <c r="M94" s="1">
        <v>6300000</v>
      </c>
      <c r="N94" s="20">
        <v>31500000</v>
      </c>
      <c r="O94" s="10">
        <v>31500000</v>
      </c>
      <c r="P94" t="s">
        <v>704</v>
      </c>
      <c r="Q94" s="1">
        <v>25200000</v>
      </c>
      <c r="S94" s="11" t="s">
        <v>1036</v>
      </c>
    </row>
    <row r="95" spans="1:19" x14ac:dyDescent="0.25">
      <c r="A95" t="s">
        <v>1083</v>
      </c>
      <c r="B95" t="s">
        <v>13</v>
      </c>
      <c r="C95" s="12">
        <v>46038</v>
      </c>
      <c r="D95" s="12">
        <v>46128</v>
      </c>
      <c r="E95" t="s">
        <v>775</v>
      </c>
      <c r="F95" t="s">
        <v>14</v>
      </c>
      <c r="G95">
        <v>1010010954</v>
      </c>
      <c r="H95" t="s">
        <v>379</v>
      </c>
      <c r="I95">
        <v>43624414</v>
      </c>
      <c r="J95" t="s">
        <v>14</v>
      </c>
      <c r="K95" t="s">
        <v>18</v>
      </c>
      <c r="L95" s="1">
        <v>6300000</v>
      </c>
      <c r="M95" s="1">
        <v>6300000</v>
      </c>
      <c r="N95" s="20">
        <v>18900000</v>
      </c>
      <c r="O95" s="10">
        <v>18900000</v>
      </c>
      <c r="P95" t="s">
        <v>704</v>
      </c>
      <c r="Q95" s="1">
        <v>12600000</v>
      </c>
      <c r="S95" s="11" t="s">
        <v>1036</v>
      </c>
    </row>
    <row r="96" spans="1:19" x14ac:dyDescent="0.25">
      <c r="A96" t="s">
        <v>1084</v>
      </c>
      <c r="B96" t="s">
        <v>13</v>
      </c>
      <c r="C96" s="12">
        <v>46038</v>
      </c>
      <c r="D96" s="12">
        <v>46069</v>
      </c>
      <c r="E96" t="s">
        <v>775</v>
      </c>
      <c r="F96" t="s">
        <v>14</v>
      </c>
      <c r="G96">
        <v>36757221</v>
      </c>
      <c r="H96" t="s">
        <v>482</v>
      </c>
      <c r="I96">
        <v>43624414</v>
      </c>
      <c r="J96" t="s">
        <v>14</v>
      </c>
      <c r="K96" t="s">
        <v>18</v>
      </c>
      <c r="L96" s="1">
        <v>6300000</v>
      </c>
      <c r="M96" s="1">
        <v>6300000</v>
      </c>
      <c r="N96" s="20">
        <v>6300000</v>
      </c>
      <c r="O96" s="10">
        <v>6300000</v>
      </c>
      <c r="P96" t="s">
        <v>704</v>
      </c>
      <c r="Q96" s="1">
        <v>0</v>
      </c>
      <c r="S96" s="11" t="s">
        <v>1036</v>
      </c>
    </row>
    <row r="97" spans="1:19" x14ac:dyDescent="0.25">
      <c r="A97" t="s">
        <v>1085</v>
      </c>
      <c r="B97" t="s">
        <v>13</v>
      </c>
      <c r="C97" s="12">
        <v>46038</v>
      </c>
      <c r="D97" s="12">
        <v>46189</v>
      </c>
      <c r="E97" t="s">
        <v>775</v>
      </c>
      <c r="F97" t="s">
        <v>14</v>
      </c>
      <c r="G97">
        <v>1084224761</v>
      </c>
      <c r="H97" t="s">
        <v>504</v>
      </c>
      <c r="I97">
        <v>98333941</v>
      </c>
      <c r="J97" t="s">
        <v>14</v>
      </c>
      <c r="K97" t="s">
        <v>15</v>
      </c>
      <c r="L97" s="1" t="e">
        <v>#N/A</v>
      </c>
      <c r="M97" s="1">
        <v>0</v>
      </c>
      <c r="N97" s="20">
        <v>31500000</v>
      </c>
      <c r="O97" s="10">
        <v>31500000</v>
      </c>
      <c r="P97" t="s">
        <v>704</v>
      </c>
      <c r="Q97" s="1" t="e">
        <v>#N/A</v>
      </c>
      <c r="S97" s="11" t="s">
        <v>1036</v>
      </c>
    </row>
    <row r="98" spans="1:19" x14ac:dyDescent="0.25">
      <c r="A98" t="s">
        <v>1086</v>
      </c>
      <c r="B98" t="s">
        <v>13</v>
      </c>
      <c r="C98" s="12">
        <v>46038</v>
      </c>
      <c r="D98" s="12">
        <v>46189</v>
      </c>
      <c r="E98" t="s">
        <v>775</v>
      </c>
      <c r="F98" t="s">
        <v>14</v>
      </c>
      <c r="G98">
        <v>59836480</v>
      </c>
      <c r="H98" t="s">
        <v>181</v>
      </c>
      <c r="I98">
        <v>43624414</v>
      </c>
      <c r="J98" t="s">
        <v>14</v>
      </c>
      <c r="K98" t="s">
        <v>18</v>
      </c>
      <c r="L98" s="1" t="e">
        <v>#N/A</v>
      </c>
      <c r="M98" s="1">
        <v>0</v>
      </c>
      <c r="N98" s="20">
        <v>31500000</v>
      </c>
      <c r="O98" s="10">
        <v>31500000</v>
      </c>
      <c r="P98" t="s">
        <v>704</v>
      </c>
      <c r="Q98" s="1" t="e">
        <v>#N/A</v>
      </c>
      <c r="S98" s="11" t="s">
        <v>1036</v>
      </c>
    </row>
    <row r="99" spans="1:19" x14ac:dyDescent="0.25">
      <c r="A99" t="s">
        <v>1087</v>
      </c>
      <c r="B99" t="s">
        <v>13</v>
      </c>
      <c r="C99" s="12">
        <v>46038</v>
      </c>
      <c r="D99" s="12">
        <v>46189</v>
      </c>
      <c r="E99" t="s">
        <v>775</v>
      </c>
      <c r="F99" t="s">
        <v>14</v>
      </c>
      <c r="G99">
        <v>1085299577</v>
      </c>
      <c r="H99" t="s">
        <v>527</v>
      </c>
      <c r="I99">
        <v>98390119</v>
      </c>
      <c r="J99" t="s">
        <v>14</v>
      </c>
      <c r="K99" t="s">
        <v>63</v>
      </c>
      <c r="L99" s="1">
        <v>6300000</v>
      </c>
      <c r="M99" s="1">
        <v>6300000</v>
      </c>
      <c r="N99" s="20">
        <v>31500000</v>
      </c>
      <c r="O99" s="10">
        <v>31500000</v>
      </c>
      <c r="P99" t="s">
        <v>704</v>
      </c>
      <c r="Q99" s="1">
        <v>25200000</v>
      </c>
      <c r="S99" s="11" t="s">
        <v>1036</v>
      </c>
    </row>
    <row r="100" spans="1:19" x14ac:dyDescent="0.25">
      <c r="A100" t="s">
        <v>1088</v>
      </c>
      <c r="B100" t="s">
        <v>13</v>
      </c>
      <c r="C100" s="12">
        <v>46038</v>
      </c>
      <c r="D100" s="12">
        <v>46069</v>
      </c>
      <c r="E100" t="s">
        <v>744</v>
      </c>
      <c r="F100" t="s">
        <v>14</v>
      </c>
      <c r="G100">
        <v>59824313</v>
      </c>
      <c r="H100" t="s">
        <v>480</v>
      </c>
      <c r="I100">
        <v>98390119</v>
      </c>
      <c r="J100" t="s">
        <v>14</v>
      </c>
      <c r="K100" t="s">
        <v>63</v>
      </c>
      <c r="L100" s="1" t="e">
        <v>#N/A</v>
      </c>
      <c r="M100" s="1">
        <v>0</v>
      </c>
      <c r="N100" s="20">
        <v>4730000</v>
      </c>
      <c r="O100" s="10">
        <v>4730000</v>
      </c>
      <c r="P100" t="s">
        <v>704</v>
      </c>
      <c r="Q100" s="1" t="e">
        <v>#N/A</v>
      </c>
      <c r="S100" s="11" t="s">
        <v>1036</v>
      </c>
    </row>
    <row r="101" spans="1:19" x14ac:dyDescent="0.25">
      <c r="A101" t="s">
        <v>1089</v>
      </c>
      <c r="B101" t="s">
        <v>13</v>
      </c>
      <c r="C101" s="12">
        <v>46038</v>
      </c>
      <c r="D101" s="12">
        <v>46128</v>
      </c>
      <c r="E101" t="s">
        <v>775</v>
      </c>
      <c r="F101" t="s">
        <v>14</v>
      </c>
      <c r="G101">
        <v>69028150</v>
      </c>
      <c r="H101" t="s">
        <v>21</v>
      </c>
      <c r="I101">
        <v>59836926</v>
      </c>
      <c r="J101" t="s">
        <v>14</v>
      </c>
      <c r="K101" t="s">
        <v>17</v>
      </c>
      <c r="L101" s="1">
        <v>3150000</v>
      </c>
      <c r="M101" s="1">
        <v>3150000</v>
      </c>
      <c r="N101" s="20">
        <v>9450000</v>
      </c>
      <c r="O101" s="10">
        <v>9450000</v>
      </c>
      <c r="P101" t="s">
        <v>704</v>
      </c>
      <c r="Q101" s="1">
        <v>6300000</v>
      </c>
      <c r="S101" s="11" t="s">
        <v>1036</v>
      </c>
    </row>
    <row r="102" spans="1:19" x14ac:dyDescent="0.25">
      <c r="A102" t="s">
        <v>1090</v>
      </c>
      <c r="B102" t="s">
        <v>13</v>
      </c>
      <c r="C102" s="12">
        <v>46041</v>
      </c>
      <c r="D102" s="12">
        <v>46072</v>
      </c>
      <c r="E102" t="s">
        <v>775</v>
      </c>
      <c r="F102" t="s">
        <v>14</v>
      </c>
      <c r="G102">
        <v>1085277976</v>
      </c>
      <c r="H102" t="s">
        <v>681</v>
      </c>
      <c r="I102">
        <v>43624414</v>
      </c>
      <c r="J102" t="s">
        <v>14</v>
      </c>
      <c r="K102" t="s">
        <v>18</v>
      </c>
      <c r="L102" s="1">
        <v>6300000</v>
      </c>
      <c r="M102" s="1">
        <v>6300000</v>
      </c>
      <c r="N102" s="20">
        <v>6300000</v>
      </c>
      <c r="O102" s="10">
        <v>6300000</v>
      </c>
      <c r="P102" t="s">
        <v>704</v>
      </c>
      <c r="Q102" s="1">
        <v>0</v>
      </c>
      <c r="S102" s="11" t="s">
        <v>1036</v>
      </c>
    </row>
    <row r="103" spans="1:19" x14ac:dyDescent="0.25">
      <c r="A103" t="s">
        <v>1091</v>
      </c>
      <c r="B103" t="s">
        <v>13</v>
      </c>
      <c r="C103" s="12">
        <v>46041</v>
      </c>
      <c r="D103" s="12">
        <v>46131</v>
      </c>
      <c r="E103" t="s">
        <v>775</v>
      </c>
      <c r="F103" t="s">
        <v>14</v>
      </c>
      <c r="G103">
        <v>27285974</v>
      </c>
      <c r="H103" t="s">
        <v>283</v>
      </c>
      <c r="I103">
        <v>59836926</v>
      </c>
      <c r="J103" t="s">
        <v>14</v>
      </c>
      <c r="K103" t="s">
        <v>17</v>
      </c>
      <c r="L103" s="1" t="e">
        <v>#N/A</v>
      </c>
      <c r="M103" s="1">
        <v>0</v>
      </c>
      <c r="N103" s="20">
        <v>9450000</v>
      </c>
      <c r="O103" s="10">
        <v>9450000</v>
      </c>
      <c r="P103" t="s">
        <v>704</v>
      </c>
      <c r="Q103" s="1" t="e">
        <v>#N/A</v>
      </c>
      <c r="S103" s="11" t="s">
        <v>1036</v>
      </c>
    </row>
    <row r="104" spans="1:19" x14ac:dyDescent="0.25">
      <c r="A104" t="s">
        <v>1092</v>
      </c>
      <c r="B104" t="s">
        <v>13</v>
      </c>
      <c r="C104" s="12">
        <v>46041</v>
      </c>
      <c r="D104" s="12">
        <v>46131</v>
      </c>
      <c r="E104" t="s">
        <v>775</v>
      </c>
      <c r="F104" t="s">
        <v>14</v>
      </c>
      <c r="G104">
        <v>37083086</v>
      </c>
      <c r="H104" t="s">
        <v>354</v>
      </c>
      <c r="I104">
        <v>98333941</v>
      </c>
      <c r="J104" t="s">
        <v>14</v>
      </c>
      <c r="K104" t="s">
        <v>15</v>
      </c>
      <c r="L104" s="1" t="e">
        <v>#N/A</v>
      </c>
      <c r="M104" s="1">
        <v>0</v>
      </c>
      <c r="N104" s="20">
        <v>9450000</v>
      </c>
      <c r="O104" s="10">
        <v>9450000</v>
      </c>
      <c r="P104" t="s">
        <v>704</v>
      </c>
      <c r="Q104" s="1" t="e">
        <v>#N/A</v>
      </c>
      <c r="S104" s="11" t="s">
        <v>1036</v>
      </c>
    </row>
    <row r="105" spans="1:19" x14ac:dyDescent="0.25">
      <c r="A105" t="s">
        <v>1093</v>
      </c>
      <c r="B105" t="s">
        <v>13</v>
      </c>
      <c r="C105" s="12">
        <v>46041</v>
      </c>
      <c r="D105" s="12">
        <v>46131</v>
      </c>
      <c r="E105" t="s">
        <v>775</v>
      </c>
      <c r="F105" t="s">
        <v>14</v>
      </c>
      <c r="G105">
        <v>59311295</v>
      </c>
      <c r="H105" t="s">
        <v>606</v>
      </c>
      <c r="I105">
        <v>43624414</v>
      </c>
      <c r="J105" t="s">
        <v>14</v>
      </c>
      <c r="K105" t="s">
        <v>18</v>
      </c>
      <c r="L105" s="1" t="e">
        <v>#N/A</v>
      </c>
      <c r="M105" s="1">
        <v>0</v>
      </c>
      <c r="N105" s="20">
        <v>9450000</v>
      </c>
      <c r="O105" s="10">
        <v>9450000</v>
      </c>
      <c r="P105" t="s">
        <v>704</v>
      </c>
      <c r="Q105" s="1" t="e">
        <v>#N/A</v>
      </c>
      <c r="S105" s="11" t="s">
        <v>1036</v>
      </c>
    </row>
    <row r="106" spans="1:19" x14ac:dyDescent="0.25">
      <c r="A106" t="s">
        <v>1094</v>
      </c>
      <c r="B106" t="s">
        <v>13</v>
      </c>
      <c r="C106" s="12">
        <v>46041</v>
      </c>
      <c r="D106" s="12">
        <v>46131</v>
      </c>
      <c r="E106" t="s">
        <v>775</v>
      </c>
      <c r="F106" t="s">
        <v>14</v>
      </c>
      <c r="G106">
        <v>1087960258</v>
      </c>
      <c r="H106" t="s">
        <v>865</v>
      </c>
      <c r="I106">
        <v>98333941</v>
      </c>
      <c r="J106" t="s">
        <v>14</v>
      </c>
      <c r="K106" t="s">
        <v>15</v>
      </c>
      <c r="L106" s="1" t="e">
        <v>#N/A</v>
      </c>
      <c r="M106" s="1">
        <v>0</v>
      </c>
      <c r="N106" s="20">
        <v>9450000</v>
      </c>
      <c r="O106" s="10">
        <v>9450000</v>
      </c>
      <c r="P106" t="s">
        <v>704</v>
      </c>
      <c r="Q106" s="1" t="e">
        <v>#N/A</v>
      </c>
      <c r="S106" s="11" t="s">
        <v>1036</v>
      </c>
    </row>
    <row r="107" spans="1:19" x14ac:dyDescent="0.25">
      <c r="A107" t="s">
        <v>1095</v>
      </c>
      <c r="B107" t="s">
        <v>13</v>
      </c>
      <c r="C107" s="12">
        <v>46041</v>
      </c>
      <c r="D107" s="12">
        <v>46131</v>
      </c>
      <c r="E107" t="s">
        <v>744</v>
      </c>
      <c r="F107" t="s">
        <v>14</v>
      </c>
      <c r="G107">
        <v>59312865</v>
      </c>
      <c r="H107" t="s">
        <v>534</v>
      </c>
      <c r="I107">
        <v>43624414</v>
      </c>
      <c r="J107" t="s">
        <v>14</v>
      </c>
      <c r="K107" t="s">
        <v>18</v>
      </c>
      <c r="L107" s="1" t="e">
        <v>#N/A</v>
      </c>
      <c r="M107" s="1">
        <v>0</v>
      </c>
      <c r="N107" s="20">
        <v>14190000</v>
      </c>
      <c r="O107" s="10">
        <v>14190000</v>
      </c>
      <c r="P107" t="s">
        <v>704</v>
      </c>
      <c r="Q107" s="1" t="e">
        <v>#N/A</v>
      </c>
      <c r="S107" s="11" t="s">
        <v>1036</v>
      </c>
    </row>
    <row r="108" spans="1:19" x14ac:dyDescent="0.25">
      <c r="A108" t="s">
        <v>1096</v>
      </c>
      <c r="B108" t="s">
        <v>13</v>
      </c>
      <c r="C108" s="12">
        <v>46041</v>
      </c>
      <c r="D108" s="12">
        <v>46072</v>
      </c>
      <c r="E108" t="s">
        <v>744</v>
      </c>
      <c r="F108" t="s">
        <v>14</v>
      </c>
      <c r="G108">
        <v>59651018</v>
      </c>
      <c r="H108" t="s">
        <v>839</v>
      </c>
      <c r="I108">
        <v>43624414</v>
      </c>
      <c r="J108" t="s">
        <v>14</v>
      </c>
      <c r="K108" t="s">
        <v>18</v>
      </c>
      <c r="L108" s="1">
        <v>4730000</v>
      </c>
      <c r="M108" s="1">
        <v>4730000</v>
      </c>
      <c r="N108" s="20">
        <v>4730000</v>
      </c>
      <c r="O108" s="10">
        <v>4730000</v>
      </c>
      <c r="P108" t="s">
        <v>704</v>
      </c>
      <c r="Q108" s="1">
        <v>0</v>
      </c>
      <c r="S108" s="11" t="s">
        <v>1036</v>
      </c>
    </row>
    <row r="109" spans="1:19" x14ac:dyDescent="0.25">
      <c r="A109" t="s">
        <v>1097</v>
      </c>
      <c r="B109" t="s">
        <v>13</v>
      </c>
      <c r="C109" s="12">
        <v>46041</v>
      </c>
      <c r="D109" s="12">
        <v>46072</v>
      </c>
      <c r="E109" t="s">
        <v>775</v>
      </c>
      <c r="F109" t="s">
        <v>14</v>
      </c>
      <c r="G109">
        <v>1004134014</v>
      </c>
      <c r="H109" t="s">
        <v>633</v>
      </c>
      <c r="I109">
        <v>43624414</v>
      </c>
      <c r="J109" t="s">
        <v>14</v>
      </c>
      <c r="K109" t="s">
        <v>18</v>
      </c>
      <c r="L109" s="1" t="e">
        <v>#N/A</v>
      </c>
      <c r="M109" s="1">
        <v>0</v>
      </c>
      <c r="N109" s="20">
        <v>3150000</v>
      </c>
      <c r="O109" s="10">
        <v>3150000</v>
      </c>
      <c r="P109" t="s">
        <v>704</v>
      </c>
      <c r="Q109" s="1" t="e">
        <v>#N/A</v>
      </c>
      <c r="S109" s="11" t="s">
        <v>1036</v>
      </c>
    </row>
    <row r="110" spans="1:19" x14ac:dyDescent="0.25">
      <c r="A110" t="s">
        <v>1098</v>
      </c>
      <c r="B110" t="s">
        <v>13</v>
      </c>
      <c r="C110" s="12">
        <v>46041</v>
      </c>
      <c r="D110" s="12">
        <v>46192</v>
      </c>
      <c r="E110" t="s">
        <v>744</v>
      </c>
      <c r="F110" t="s">
        <v>14</v>
      </c>
      <c r="G110">
        <v>37084258</v>
      </c>
      <c r="H110" t="s">
        <v>901</v>
      </c>
      <c r="I110">
        <v>43624414</v>
      </c>
      <c r="J110" t="s">
        <v>14</v>
      </c>
      <c r="K110" t="s">
        <v>18</v>
      </c>
      <c r="L110" s="1" t="e">
        <v>#N/A</v>
      </c>
      <c r="M110" s="1">
        <v>0</v>
      </c>
      <c r="N110" s="20">
        <v>23650000</v>
      </c>
      <c r="O110" s="10">
        <v>23650000</v>
      </c>
      <c r="P110" t="s">
        <v>704</v>
      </c>
      <c r="Q110" s="1" t="e">
        <v>#N/A</v>
      </c>
      <c r="S110" s="11" t="s">
        <v>1036</v>
      </c>
    </row>
    <row r="111" spans="1:19" x14ac:dyDescent="0.25">
      <c r="A111" t="s">
        <v>1099</v>
      </c>
      <c r="B111" t="s">
        <v>13</v>
      </c>
      <c r="C111" s="12">
        <v>46041</v>
      </c>
      <c r="D111" s="12">
        <v>46131</v>
      </c>
      <c r="E111" t="s">
        <v>744</v>
      </c>
      <c r="F111" t="s">
        <v>14</v>
      </c>
      <c r="G111">
        <v>1005829176</v>
      </c>
      <c r="H111" t="s">
        <v>487</v>
      </c>
      <c r="I111">
        <v>59836926</v>
      </c>
      <c r="J111" t="s">
        <v>14</v>
      </c>
      <c r="K111" t="s">
        <v>17</v>
      </c>
      <c r="L111" s="1">
        <v>4730000</v>
      </c>
      <c r="M111" s="1">
        <v>4730000</v>
      </c>
      <c r="N111" s="20">
        <v>14190000</v>
      </c>
      <c r="O111" s="10">
        <v>14190000</v>
      </c>
      <c r="P111" t="s">
        <v>704</v>
      </c>
      <c r="Q111" s="1">
        <v>9460000</v>
      </c>
      <c r="S111" s="11" t="s">
        <v>1036</v>
      </c>
    </row>
    <row r="112" spans="1:19" x14ac:dyDescent="0.25">
      <c r="A112" t="s">
        <v>1100</v>
      </c>
      <c r="B112" t="s">
        <v>13</v>
      </c>
      <c r="C112" s="12">
        <v>46041</v>
      </c>
      <c r="D112" s="12">
        <v>46192</v>
      </c>
      <c r="E112" t="s">
        <v>744</v>
      </c>
      <c r="F112" t="s">
        <v>14</v>
      </c>
      <c r="G112">
        <v>27105277</v>
      </c>
      <c r="H112" t="s">
        <v>221</v>
      </c>
      <c r="I112">
        <v>59836926</v>
      </c>
      <c r="J112" t="s">
        <v>14</v>
      </c>
      <c r="K112" t="s">
        <v>17</v>
      </c>
      <c r="L112" s="1" t="e">
        <v>#N/A</v>
      </c>
      <c r="M112" s="1">
        <v>0</v>
      </c>
      <c r="N112" s="20">
        <v>23650000</v>
      </c>
      <c r="O112" s="10">
        <v>23650000</v>
      </c>
      <c r="P112" t="s">
        <v>704</v>
      </c>
      <c r="Q112" s="1" t="e">
        <v>#N/A</v>
      </c>
      <c r="S112" s="11" t="s">
        <v>1036</v>
      </c>
    </row>
    <row r="113" spans="1:19" x14ac:dyDescent="0.25">
      <c r="A113" t="s">
        <v>1101</v>
      </c>
      <c r="B113" t="s">
        <v>13</v>
      </c>
      <c r="C113" s="12">
        <v>46041</v>
      </c>
      <c r="D113" s="12">
        <v>46192</v>
      </c>
      <c r="E113" t="s">
        <v>775</v>
      </c>
      <c r="F113" t="s">
        <v>14</v>
      </c>
      <c r="G113">
        <v>27146489</v>
      </c>
      <c r="H113" t="s">
        <v>193</v>
      </c>
      <c r="I113">
        <v>98390119</v>
      </c>
      <c r="J113" t="s">
        <v>14</v>
      </c>
      <c r="K113" t="s">
        <v>63</v>
      </c>
      <c r="L113" s="1">
        <v>6300000</v>
      </c>
      <c r="M113" s="1">
        <v>6300000</v>
      </c>
      <c r="N113" s="20">
        <v>31500000</v>
      </c>
      <c r="O113" s="10">
        <v>31500000</v>
      </c>
      <c r="P113" t="s">
        <v>704</v>
      </c>
      <c r="Q113" s="1">
        <v>25200000</v>
      </c>
      <c r="S113" s="11" t="s">
        <v>1036</v>
      </c>
    </row>
    <row r="114" spans="1:19" x14ac:dyDescent="0.25">
      <c r="A114" t="s">
        <v>1102</v>
      </c>
      <c r="B114" t="s">
        <v>13</v>
      </c>
      <c r="C114" s="12">
        <v>46041</v>
      </c>
      <c r="D114" s="12">
        <v>46192</v>
      </c>
      <c r="E114" t="s">
        <v>744</v>
      </c>
      <c r="F114" t="s">
        <v>14</v>
      </c>
      <c r="G114">
        <v>52381227</v>
      </c>
      <c r="H114" t="s">
        <v>147</v>
      </c>
      <c r="I114">
        <v>98333941</v>
      </c>
      <c r="J114" t="s">
        <v>14</v>
      </c>
      <c r="K114" t="s">
        <v>15</v>
      </c>
      <c r="L114" s="1" t="e">
        <v>#N/A</v>
      </c>
      <c r="M114" s="1">
        <v>0</v>
      </c>
      <c r="N114" s="20">
        <v>23650000</v>
      </c>
      <c r="O114" s="10">
        <v>23650000</v>
      </c>
      <c r="P114" t="s">
        <v>704</v>
      </c>
      <c r="Q114" s="1" t="e">
        <v>#N/A</v>
      </c>
      <c r="S114" s="11" t="s">
        <v>1036</v>
      </c>
    </row>
    <row r="115" spans="1:19" x14ac:dyDescent="0.25">
      <c r="A115" t="s">
        <v>1103</v>
      </c>
      <c r="B115" t="s">
        <v>13</v>
      </c>
      <c r="C115" s="12">
        <v>46041</v>
      </c>
      <c r="D115" s="12">
        <v>46131</v>
      </c>
      <c r="E115" t="s">
        <v>744</v>
      </c>
      <c r="F115" t="s">
        <v>14</v>
      </c>
      <c r="G115">
        <v>1083814276</v>
      </c>
      <c r="H115" t="s">
        <v>590</v>
      </c>
      <c r="I115">
        <v>98333941</v>
      </c>
      <c r="J115" t="s">
        <v>14</v>
      </c>
      <c r="K115" t="s">
        <v>15</v>
      </c>
      <c r="L115" s="1" t="e">
        <v>#N/A</v>
      </c>
      <c r="M115" s="1">
        <v>0</v>
      </c>
      <c r="N115" s="20">
        <v>23400000</v>
      </c>
      <c r="O115" s="10">
        <v>23400000</v>
      </c>
      <c r="P115" t="s">
        <v>704</v>
      </c>
      <c r="Q115" s="1" t="e">
        <v>#N/A</v>
      </c>
      <c r="S115" s="11" t="s">
        <v>1036</v>
      </c>
    </row>
    <row r="116" spans="1:19" x14ac:dyDescent="0.25">
      <c r="A116" t="s">
        <v>1104</v>
      </c>
      <c r="B116" t="s">
        <v>13</v>
      </c>
      <c r="C116" s="12">
        <v>46041</v>
      </c>
      <c r="D116" s="12">
        <v>46131</v>
      </c>
      <c r="E116" t="s">
        <v>744</v>
      </c>
      <c r="F116" t="s">
        <v>14</v>
      </c>
      <c r="G116">
        <v>1084227101</v>
      </c>
      <c r="H116" t="s">
        <v>700</v>
      </c>
      <c r="I116">
        <v>98333941</v>
      </c>
      <c r="J116" t="s">
        <v>14</v>
      </c>
      <c r="K116" t="s">
        <v>15</v>
      </c>
      <c r="L116" s="1" t="e">
        <v>#N/A</v>
      </c>
      <c r="M116" s="1">
        <v>0</v>
      </c>
      <c r="N116" s="20">
        <v>14190000</v>
      </c>
      <c r="O116" s="10">
        <v>14190000</v>
      </c>
      <c r="P116" t="s">
        <v>704</v>
      </c>
      <c r="Q116" s="1" t="e">
        <v>#N/A</v>
      </c>
      <c r="S116" s="11" t="s">
        <v>1036</v>
      </c>
    </row>
    <row r="117" spans="1:19" x14ac:dyDescent="0.25">
      <c r="A117" t="s">
        <v>1105</v>
      </c>
      <c r="B117" t="s">
        <v>13</v>
      </c>
      <c r="C117" s="12">
        <v>46041</v>
      </c>
      <c r="D117" s="12">
        <v>46192</v>
      </c>
      <c r="E117" t="s">
        <v>744</v>
      </c>
      <c r="F117" t="s">
        <v>14</v>
      </c>
      <c r="G117">
        <v>1233193769</v>
      </c>
      <c r="H117" t="s">
        <v>890</v>
      </c>
      <c r="I117">
        <v>98390119</v>
      </c>
      <c r="J117" t="s">
        <v>14</v>
      </c>
      <c r="K117" t="s">
        <v>63</v>
      </c>
      <c r="L117" s="1" t="e">
        <v>#N/A</v>
      </c>
      <c r="M117" s="1">
        <v>0</v>
      </c>
      <c r="N117" s="20">
        <v>39000000</v>
      </c>
      <c r="O117" s="10">
        <v>39000000</v>
      </c>
      <c r="P117" t="s">
        <v>704</v>
      </c>
      <c r="Q117" s="1" t="e">
        <v>#N/A</v>
      </c>
      <c r="S117" s="11" t="s">
        <v>1036</v>
      </c>
    </row>
    <row r="118" spans="1:19" x14ac:dyDescent="0.25">
      <c r="A118" t="s">
        <v>1106</v>
      </c>
      <c r="B118" t="s">
        <v>13</v>
      </c>
      <c r="C118" s="12">
        <v>46041</v>
      </c>
      <c r="D118" s="12">
        <v>46131</v>
      </c>
      <c r="E118" t="s">
        <v>744</v>
      </c>
      <c r="F118" t="s">
        <v>14</v>
      </c>
      <c r="G118">
        <v>1086137686</v>
      </c>
      <c r="H118" t="s">
        <v>658</v>
      </c>
      <c r="I118">
        <v>98390119</v>
      </c>
      <c r="J118" t="s">
        <v>14</v>
      </c>
      <c r="K118" t="s">
        <v>63</v>
      </c>
      <c r="L118" s="1" t="e">
        <v>#N/A</v>
      </c>
      <c r="M118" s="1">
        <v>0</v>
      </c>
      <c r="N118" s="20">
        <v>14190000</v>
      </c>
      <c r="O118" s="10">
        <v>14190000</v>
      </c>
      <c r="P118" t="s">
        <v>704</v>
      </c>
      <c r="Q118" s="1" t="e">
        <v>#N/A</v>
      </c>
      <c r="S118" s="11" t="s">
        <v>1036</v>
      </c>
    </row>
    <row r="119" spans="1:19" x14ac:dyDescent="0.25">
      <c r="A119" t="s">
        <v>1107</v>
      </c>
      <c r="B119" t="s">
        <v>13</v>
      </c>
      <c r="C119" s="12">
        <v>46041</v>
      </c>
      <c r="D119" s="12">
        <v>46192</v>
      </c>
      <c r="E119" t="s">
        <v>744</v>
      </c>
      <c r="F119" t="s">
        <v>14</v>
      </c>
      <c r="G119">
        <v>1086360022</v>
      </c>
      <c r="H119" t="s">
        <v>90</v>
      </c>
      <c r="I119">
        <v>98390119</v>
      </c>
      <c r="J119" t="s">
        <v>14</v>
      </c>
      <c r="K119" t="s">
        <v>63</v>
      </c>
      <c r="L119" s="1" t="e">
        <v>#N/A</v>
      </c>
      <c r="M119" s="1">
        <v>0</v>
      </c>
      <c r="N119" s="20">
        <v>23650000</v>
      </c>
      <c r="O119" s="10">
        <v>23650000</v>
      </c>
      <c r="P119" t="s">
        <v>704</v>
      </c>
      <c r="Q119" s="1" t="e">
        <v>#N/A</v>
      </c>
      <c r="S119" s="11" t="s">
        <v>1036</v>
      </c>
    </row>
    <row r="120" spans="1:19" x14ac:dyDescent="0.25">
      <c r="A120" t="s">
        <v>1108</v>
      </c>
      <c r="B120" t="s">
        <v>13</v>
      </c>
      <c r="C120" s="12">
        <v>46041</v>
      </c>
      <c r="D120" s="12">
        <v>46192</v>
      </c>
      <c r="E120" t="s">
        <v>744</v>
      </c>
      <c r="F120" t="s">
        <v>14</v>
      </c>
      <c r="G120">
        <v>1087645723</v>
      </c>
      <c r="H120" t="s">
        <v>153</v>
      </c>
      <c r="I120">
        <v>98390119</v>
      </c>
      <c r="J120" t="s">
        <v>14</v>
      </c>
      <c r="K120" t="s">
        <v>63</v>
      </c>
      <c r="L120" s="1" t="e">
        <v>#N/A</v>
      </c>
      <c r="M120" s="1">
        <v>0</v>
      </c>
      <c r="N120" s="20">
        <v>39000000</v>
      </c>
      <c r="O120" s="10">
        <v>39000000</v>
      </c>
      <c r="P120" t="s">
        <v>704</v>
      </c>
      <c r="Q120" s="1" t="e">
        <v>#N/A</v>
      </c>
      <c r="S120" s="11" t="s">
        <v>1036</v>
      </c>
    </row>
    <row r="121" spans="1:19" x14ac:dyDescent="0.25">
      <c r="A121" t="s">
        <v>1109</v>
      </c>
      <c r="B121" t="s">
        <v>13</v>
      </c>
      <c r="C121" s="12">
        <v>46041</v>
      </c>
      <c r="D121" s="12">
        <v>46131</v>
      </c>
      <c r="E121" t="s">
        <v>744</v>
      </c>
      <c r="F121" t="s">
        <v>14</v>
      </c>
      <c r="G121">
        <v>1233188033</v>
      </c>
      <c r="H121" t="s">
        <v>894</v>
      </c>
      <c r="I121">
        <v>98390119</v>
      </c>
      <c r="J121" t="s">
        <v>14</v>
      </c>
      <c r="K121" t="s">
        <v>63</v>
      </c>
      <c r="L121" s="1" t="e">
        <v>#N/A</v>
      </c>
      <c r="M121" s="1">
        <v>0</v>
      </c>
      <c r="N121" s="20">
        <v>14190000</v>
      </c>
      <c r="O121" s="10">
        <v>14190000</v>
      </c>
      <c r="P121" t="s">
        <v>704</v>
      </c>
      <c r="Q121" s="1" t="e">
        <v>#N/A</v>
      </c>
      <c r="S121" s="11" t="s">
        <v>1036</v>
      </c>
    </row>
    <row r="122" spans="1:19" x14ac:dyDescent="0.25">
      <c r="A122" t="s">
        <v>1110</v>
      </c>
      <c r="B122" t="s">
        <v>13</v>
      </c>
      <c r="C122" s="12">
        <v>46041</v>
      </c>
      <c r="D122" s="12">
        <v>46072</v>
      </c>
      <c r="E122" t="s">
        <v>775</v>
      </c>
      <c r="F122" t="s">
        <v>14</v>
      </c>
      <c r="G122">
        <v>1085343154</v>
      </c>
      <c r="H122" t="s">
        <v>600</v>
      </c>
      <c r="I122">
        <v>98333941</v>
      </c>
      <c r="J122" t="s">
        <v>14</v>
      </c>
      <c r="K122" t="s">
        <v>15</v>
      </c>
      <c r="L122" s="1" t="e">
        <v>#N/A</v>
      </c>
      <c r="M122" s="1">
        <v>0</v>
      </c>
      <c r="N122" s="20">
        <v>3150000</v>
      </c>
      <c r="O122" s="10">
        <v>3150000</v>
      </c>
      <c r="P122" t="s">
        <v>704</v>
      </c>
      <c r="Q122" s="1" t="e">
        <v>#N/A</v>
      </c>
      <c r="S122" s="11" t="s">
        <v>1036</v>
      </c>
    </row>
    <row r="123" spans="1:19" x14ac:dyDescent="0.25">
      <c r="A123" t="s">
        <v>1111</v>
      </c>
      <c r="B123" t="s">
        <v>13</v>
      </c>
      <c r="C123" s="12">
        <v>46041</v>
      </c>
      <c r="D123" s="12">
        <v>46192</v>
      </c>
      <c r="E123" t="s">
        <v>744</v>
      </c>
      <c r="F123" t="s">
        <v>14</v>
      </c>
      <c r="G123">
        <v>1127080390</v>
      </c>
      <c r="H123" t="s">
        <v>934</v>
      </c>
      <c r="I123">
        <v>59836926</v>
      </c>
      <c r="J123" t="s">
        <v>14</v>
      </c>
      <c r="K123" t="s">
        <v>17</v>
      </c>
      <c r="L123" s="1" t="e">
        <v>#N/A</v>
      </c>
      <c r="M123" s="1">
        <v>0</v>
      </c>
      <c r="N123" s="20">
        <v>23650000</v>
      </c>
      <c r="O123" s="10">
        <v>23650000</v>
      </c>
      <c r="P123" t="s">
        <v>704</v>
      </c>
      <c r="Q123" s="1" t="e">
        <v>#N/A</v>
      </c>
      <c r="S123" s="11" t="s">
        <v>1036</v>
      </c>
    </row>
    <row r="124" spans="1:19" x14ac:dyDescent="0.25">
      <c r="A124" t="s">
        <v>1112</v>
      </c>
      <c r="B124" t="s">
        <v>13</v>
      </c>
      <c r="C124" s="12">
        <v>46041</v>
      </c>
      <c r="D124" s="12">
        <v>46131</v>
      </c>
      <c r="E124" t="s">
        <v>744</v>
      </c>
      <c r="F124" t="s">
        <v>14</v>
      </c>
      <c r="G124">
        <v>1233190311</v>
      </c>
      <c r="H124" t="s">
        <v>906</v>
      </c>
      <c r="I124">
        <v>98390119</v>
      </c>
      <c r="J124" t="s">
        <v>14</v>
      </c>
      <c r="K124" t="s">
        <v>63</v>
      </c>
      <c r="L124" s="1" t="e">
        <v>#N/A</v>
      </c>
      <c r="M124" s="1">
        <v>0</v>
      </c>
      <c r="N124" s="20">
        <v>14190000</v>
      </c>
      <c r="O124" s="10">
        <v>14190000</v>
      </c>
      <c r="P124" t="s">
        <v>704</v>
      </c>
      <c r="Q124" s="1" t="e">
        <v>#N/A</v>
      </c>
      <c r="S124" s="11" t="s">
        <v>1036</v>
      </c>
    </row>
    <row r="125" spans="1:19" x14ac:dyDescent="0.25">
      <c r="A125" t="s">
        <v>1113</v>
      </c>
      <c r="B125" t="s">
        <v>13</v>
      </c>
      <c r="C125" s="12">
        <v>46041</v>
      </c>
      <c r="D125" s="12">
        <v>46131</v>
      </c>
      <c r="E125" t="s">
        <v>775</v>
      </c>
      <c r="F125" t="s">
        <v>14</v>
      </c>
      <c r="G125">
        <v>37085864</v>
      </c>
      <c r="H125" t="s">
        <v>654</v>
      </c>
      <c r="I125">
        <v>59836926</v>
      </c>
      <c r="J125" t="s">
        <v>14</v>
      </c>
      <c r="K125" t="s">
        <v>17</v>
      </c>
      <c r="L125" s="1" t="e">
        <v>#N/A</v>
      </c>
      <c r="M125" s="1">
        <v>0</v>
      </c>
      <c r="N125" s="20">
        <v>18900000</v>
      </c>
      <c r="O125" s="10">
        <v>18900000</v>
      </c>
      <c r="P125" t="s">
        <v>704</v>
      </c>
      <c r="Q125" s="1" t="e">
        <v>#N/A</v>
      </c>
      <c r="S125" s="11" t="s">
        <v>1036</v>
      </c>
    </row>
    <row r="126" spans="1:19" x14ac:dyDescent="0.25">
      <c r="A126" t="s">
        <v>1114</v>
      </c>
      <c r="B126" t="s">
        <v>13</v>
      </c>
      <c r="C126" s="12">
        <v>46041</v>
      </c>
      <c r="D126" s="12">
        <v>46131</v>
      </c>
      <c r="E126" t="s">
        <v>744</v>
      </c>
      <c r="F126" t="s">
        <v>14</v>
      </c>
      <c r="G126">
        <v>36757491</v>
      </c>
      <c r="H126" t="s">
        <v>164</v>
      </c>
      <c r="I126">
        <v>59836926</v>
      </c>
      <c r="J126" t="s">
        <v>14</v>
      </c>
      <c r="K126" t="s">
        <v>17</v>
      </c>
      <c r="L126" s="1" t="e">
        <v>#N/A</v>
      </c>
      <c r="M126" s="1">
        <v>0</v>
      </c>
      <c r="N126" s="20">
        <v>14190000</v>
      </c>
      <c r="O126" s="10">
        <v>14190000</v>
      </c>
      <c r="P126" t="s">
        <v>704</v>
      </c>
      <c r="Q126" s="1" t="e">
        <v>#N/A</v>
      </c>
      <c r="S126" s="11" t="s">
        <v>1036</v>
      </c>
    </row>
    <row r="127" spans="1:19" x14ac:dyDescent="0.25">
      <c r="A127" t="s">
        <v>1115</v>
      </c>
      <c r="B127" t="s">
        <v>13</v>
      </c>
      <c r="C127" s="12">
        <v>46041</v>
      </c>
      <c r="D127" s="12">
        <v>46192</v>
      </c>
      <c r="E127" t="s">
        <v>744</v>
      </c>
      <c r="F127" t="s">
        <v>14</v>
      </c>
      <c r="G127">
        <v>1144172704</v>
      </c>
      <c r="H127" t="s">
        <v>280</v>
      </c>
      <c r="I127">
        <v>43624414</v>
      </c>
      <c r="J127" t="s">
        <v>14</v>
      </c>
      <c r="K127" t="s">
        <v>18</v>
      </c>
      <c r="L127" s="1" t="e">
        <v>#N/A</v>
      </c>
      <c r="M127" s="1">
        <v>0</v>
      </c>
      <c r="N127" s="20">
        <v>39000000</v>
      </c>
      <c r="O127" s="10">
        <v>39000000</v>
      </c>
      <c r="P127" t="s">
        <v>704</v>
      </c>
      <c r="Q127" s="1" t="e">
        <v>#N/A</v>
      </c>
      <c r="S127" s="11" t="s">
        <v>1036</v>
      </c>
    </row>
    <row r="128" spans="1:19" x14ac:dyDescent="0.25">
      <c r="A128" t="s">
        <v>1116</v>
      </c>
      <c r="B128" t="s">
        <v>13</v>
      </c>
      <c r="C128" s="12">
        <v>46041</v>
      </c>
      <c r="D128" s="12">
        <v>46131</v>
      </c>
      <c r="E128" t="s">
        <v>775</v>
      </c>
      <c r="F128" t="s">
        <v>14</v>
      </c>
      <c r="G128">
        <v>1085255829</v>
      </c>
      <c r="H128" t="s">
        <v>23</v>
      </c>
      <c r="I128">
        <v>98390119</v>
      </c>
      <c r="J128" t="s">
        <v>14</v>
      </c>
      <c r="K128" t="s">
        <v>63</v>
      </c>
      <c r="L128" s="1" t="e">
        <v>#N/A</v>
      </c>
      <c r="M128" s="1">
        <v>0</v>
      </c>
      <c r="N128" s="20">
        <v>9450000</v>
      </c>
      <c r="O128" s="10">
        <v>9450000</v>
      </c>
      <c r="P128" t="s">
        <v>704</v>
      </c>
      <c r="Q128" s="1" t="e">
        <v>#N/A</v>
      </c>
      <c r="S128" s="11" t="s">
        <v>1036</v>
      </c>
    </row>
    <row r="129" spans="1:19" x14ac:dyDescent="0.25">
      <c r="A129" t="s">
        <v>1117</v>
      </c>
      <c r="B129" t="s">
        <v>13</v>
      </c>
      <c r="C129" s="12">
        <v>46041</v>
      </c>
      <c r="D129" s="12">
        <v>46131</v>
      </c>
      <c r="E129" t="s">
        <v>775</v>
      </c>
      <c r="F129" t="s">
        <v>14</v>
      </c>
      <c r="G129">
        <v>1085281002</v>
      </c>
      <c r="H129" t="s">
        <v>199</v>
      </c>
      <c r="I129">
        <v>59836926</v>
      </c>
      <c r="J129" t="s">
        <v>14</v>
      </c>
      <c r="K129" t="s">
        <v>17</v>
      </c>
      <c r="L129" s="1">
        <v>3150000</v>
      </c>
      <c r="M129" s="1">
        <v>3150000</v>
      </c>
      <c r="N129" s="20">
        <v>9450000</v>
      </c>
      <c r="O129" s="10">
        <v>9450000</v>
      </c>
      <c r="P129" t="s">
        <v>704</v>
      </c>
      <c r="Q129" s="1">
        <v>6300000</v>
      </c>
      <c r="S129" s="11" t="s">
        <v>1036</v>
      </c>
    </row>
    <row r="130" spans="1:19" x14ac:dyDescent="0.25">
      <c r="A130" t="s">
        <v>1029</v>
      </c>
      <c r="B130" t="s">
        <v>13</v>
      </c>
      <c r="C130" s="12">
        <v>46041</v>
      </c>
      <c r="D130" s="12">
        <v>46131</v>
      </c>
      <c r="E130" t="s">
        <v>744</v>
      </c>
      <c r="F130" t="s">
        <v>14</v>
      </c>
      <c r="G130">
        <v>1087960287</v>
      </c>
      <c r="H130" t="s">
        <v>576</v>
      </c>
      <c r="I130">
        <v>59836926</v>
      </c>
      <c r="J130" t="s">
        <v>14</v>
      </c>
      <c r="K130" t="s">
        <v>17</v>
      </c>
      <c r="L130" s="1">
        <v>4730000</v>
      </c>
      <c r="M130" s="1">
        <v>4730000</v>
      </c>
      <c r="N130" s="20">
        <v>14190000</v>
      </c>
      <c r="O130" s="10">
        <v>14190000</v>
      </c>
      <c r="P130" t="s">
        <v>704</v>
      </c>
      <c r="Q130" s="1">
        <v>9460000</v>
      </c>
      <c r="S130" s="11" t="s">
        <v>1036</v>
      </c>
    </row>
    <row r="131" spans="1:19" x14ac:dyDescent="0.25">
      <c r="A131" t="s">
        <v>1118</v>
      </c>
      <c r="B131" t="s">
        <v>13</v>
      </c>
      <c r="C131" s="12">
        <v>46041</v>
      </c>
      <c r="D131" s="12">
        <v>46072</v>
      </c>
      <c r="E131" t="s">
        <v>775</v>
      </c>
      <c r="F131" t="s">
        <v>14</v>
      </c>
      <c r="G131">
        <v>27082649</v>
      </c>
      <c r="H131" t="s">
        <v>174</v>
      </c>
      <c r="I131">
        <v>43624414</v>
      </c>
      <c r="J131" t="s">
        <v>14</v>
      </c>
      <c r="K131" t="s">
        <v>18</v>
      </c>
      <c r="L131" s="1" t="e">
        <v>#N/A</v>
      </c>
      <c r="M131" s="1">
        <v>0</v>
      </c>
      <c r="N131" s="20">
        <v>3150000</v>
      </c>
      <c r="O131" s="10">
        <v>3150000</v>
      </c>
      <c r="P131" t="s">
        <v>704</v>
      </c>
      <c r="Q131" s="1" t="e">
        <v>#N/A</v>
      </c>
      <c r="S131" s="11" t="s">
        <v>1036</v>
      </c>
    </row>
    <row r="132" spans="1:19" x14ac:dyDescent="0.25">
      <c r="A132" t="s">
        <v>1119</v>
      </c>
      <c r="B132" t="s">
        <v>13</v>
      </c>
      <c r="C132" s="12">
        <v>46041</v>
      </c>
      <c r="D132" s="12">
        <v>46192</v>
      </c>
      <c r="E132" t="s">
        <v>744</v>
      </c>
      <c r="F132" t="s">
        <v>14</v>
      </c>
      <c r="G132">
        <v>1085274300</v>
      </c>
      <c r="H132" t="s">
        <v>891</v>
      </c>
      <c r="I132">
        <v>98390119</v>
      </c>
      <c r="J132" t="s">
        <v>14</v>
      </c>
      <c r="K132" t="s">
        <v>63</v>
      </c>
      <c r="L132" s="1" t="e">
        <v>#N/A</v>
      </c>
      <c r="M132" s="1">
        <v>0</v>
      </c>
      <c r="N132" s="20">
        <v>39000000</v>
      </c>
      <c r="O132" s="10">
        <v>39000000</v>
      </c>
      <c r="P132" t="s">
        <v>704</v>
      </c>
      <c r="Q132" s="1" t="e">
        <v>#N/A</v>
      </c>
      <c r="S132" s="11" t="s">
        <v>1036</v>
      </c>
    </row>
    <row r="133" spans="1:19" x14ac:dyDescent="0.25">
      <c r="A133" t="s">
        <v>1120</v>
      </c>
      <c r="B133" t="s">
        <v>13</v>
      </c>
      <c r="C133" s="12">
        <v>46041</v>
      </c>
      <c r="D133" s="12">
        <v>46131</v>
      </c>
      <c r="E133" t="s">
        <v>775</v>
      </c>
      <c r="F133" t="s">
        <v>14</v>
      </c>
      <c r="G133">
        <v>1085296068</v>
      </c>
      <c r="H133" t="s">
        <v>845</v>
      </c>
      <c r="I133">
        <v>98333941</v>
      </c>
      <c r="J133" t="s">
        <v>14</v>
      </c>
      <c r="K133" t="s">
        <v>15</v>
      </c>
      <c r="L133" s="1" t="e">
        <v>#N/A</v>
      </c>
      <c r="M133" s="1">
        <v>0</v>
      </c>
      <c r="N133" s="20">
        <v>18900000</v>
      </c>
      <c r="O133" s="10">
        <v>18900000</v>
      </c>
      <c r="P133" t="s">
        <v>704</v>
      </c>
      <c r="Q133" s="1" t="e">
        <v>#N/A</v>
      </c>
      <c r="S133" s="11" t="s">
        <v>1036</v>
      </c>
    </row>
    <row r="134" spans="1:19" x14ac:dyDescent="0.25">
      <c r="A134" t="s">
        <v>1121</v>
      </c>
      <c r="B134" t="s">
        <v>13</v>
      </c>
      <c r="C134" s="12">
        <v>46041</v>
      </c>
      <c r="D134" s="12">
        <v>46192</v>
      </c>
      <c r="E134" t="s">
        <v>775</v>
      </c>
      <c r="F134" t="s">
        <v>14</v>
      </c>
      <c r="G134">
        <v>1085302942</v>
      </c>
      <c r="H134" t="s">
        <v>257</v>
      </c>
      <c r="I134">
        <v>98333941</v>
      </c>
      <c r="J134" t="s">
        <v>14</v>
      </c>
      <c r="K134" t="s">
        <v>15</v>
      </c>
      <c r="L134" s="1" t="e">
        <v>#N/A</v>
      </c>
      <c r="M134" s="1">
        <v>0</v>
      </c>
      <c r="N134" s="20">
        <v>15750000</v>
      </c>
      <c r="O134" s="10">
        <v>15750000</v>
      </c>
      <c r="P134" t="s">
        <v>704</v>
      </c>
      <c r="Q134" s="1" t="e">
        <v>#N/A</v>
      </c>
      <c r="S134" s="11" t="s">
        <v>1036</v>
      </c>
    </row>
    <row r="135" spans="1:19" x14ac:dyDescent="0.25">
      <c r="A135" t="s">
        <v>1122</v>
      </c>
      <c r="B135" t="s">
        <v>13</v>
      </c>
      <c r="C135" s="12">
        <v>46041</v>
      </c>
      <c r="D135" s="12">
        <v>46072</v>
      </c>
      <c r="E135" t="s">
        <v>744</v>
      </c>
      <c r="F135" t="s">
        <v>14</v>
      </c>
      <c r="G135">
        <v>1085263018</v>
      </c>
      <c r="H135" t="s">
        <v>843</v>
      </c>
      <c r="I135">
        <v>98333941</v>
      </c>
      <c r="J135" t="s">
        <v>14</v>
      </c>
      <c r="K135" t="s">
        <v>15</v>
      </c>
      <c r="L135" s="1" t="e">
        <v>#N/A</v>
      </c>
      <c r="M135" s="1">
        <v>0</v>
      </c>
      <c r="N135" s="20">
        <v>4730000</v>
      </c>
      <c r="O135" s="10">
        <v>4730000</v>
      </c>
      <c r="P135" t="s">
        <v>704</v>
      </c>
      <c r="Q135" s="1" t="e">
        <v>#N/A</v>
      </c>
      <c r="S135" s="11" t="s">
        <v>1036</v>
      </c>
    </row>
    <row r="136" spans="1:19" x14ac:dyDescent="0.25">
      <c r="A136" t="s">
        <v>1123</v>
      </c>
      <c r="B136" t="s">
        <v>13</v>
      </c>
      <c r="C136" s="12">
        <v>46041</v>
      </c>
      <c r="D136" s="12">
        <v>46131</v>
      </c>
      <c r="E136" t="s">
        <v>744</v>
      </c>
      <c r="F136" t="s">
        <v>14</v>
      </c>
      <c r="G136">
        <v>1085330309</v>
      </c>
      <c r="H136" t="s">
        <v>16</v>
      </c>
      <c r="I136">
        <v>43624414</v>
      </c>
      <c r="J136" t="s">
        <v>14</v>
      </c>
      <c r="K136" t="s">
        <v>18</v>
      </c>
      <c r="L136" s="1">
        <v>4730000</v>
      </c>
      <c r="M136" s="1">
        <v>4730000</v>
      </c>
      <c r="N136" s="20">
        <v>14190000</v>
      </c>
      <c r="O136" s="10">
        <v>14190000</v>
      </c>
      <c r="P136" t="s">
        <v>704</v>
      </c>
      <c r="Q136" s="1">
        <v>9460000</v>
      </c>
      <c r="S136" s="11" t="s">
        <v>1036</v>
      </c>
    </row>
    <row r="137" spans="1:19" x14ac:dyDescent="0.25">
      <c r="A137" t="s">
        <v>1124</v>
      </c>
      <c r="B137" t="s">
        <v>13</v>
      </c>
      <c r="C137" s="12">
        <v>46041</v>
      </c>
      <c r="D137" s="12">
        <v>46072</v>
      </c>
      <c r="E137" t="s">
        <v>775</v>
      </c>
      <c r="F137" t="s">
        <v>14</v>
      </c>
      <c r="G137">
        <v>1004726621</v>
      </c>
      <c r="H137" t="s">
        <v>560</v>
      </c>
      <c r="I137">
        <v>98390119</v>
      </c>
      <c r="J137" t="s">
        <v>14</v>
      </c>
      <c r="K137" t="s">
        <v>63</v>
      </c>
      <c r="L137" s="1" t="e">
        <v>#N/A</v>
      </c>
      <c r="M137" s="1">
        <v>0</v>
      </c>
      <c r="N137" s="20">
        <v>3150000</v>
      </c>
      <c r="O137" s="10">
        <v>3150000</v>
      </c>
      <c r="P137" t="s">
        <v>704</v>
      </c>
      <c r="Q137" s="1" t="e">
        <v>#N/A</v>
      </c>
      <c r="S137" s="11" t="s">
        <v>1036</v>
      </c>
    </row>
    <row r="138" spans="1:19" x14ac:dyDescent="0.25">
      <c r="A138" t="s">
        <v>1125</v>
      </c>
      <c r="B138" t="s">
        <v>13</v>
      </c>
      <c r="C138" s="12">
        <v>46041</v>
      </c>
      <c r="D138" s="12">
        <v>46131</v>
      </c>
      <c r="E138" t="s">
        <v>744</v>
      </c>
      <c r="F138" t="s">
        <v>14</v>
      </c>
      <c r="G138">
        <v>1061794455</v>
      </c>
      <c r="H138" t="s">
        <v>177</v>
      </c>
      <c r="I138">
        <v>59836926</v>
      </c>
      <c r="J138" t="s">
        <v>14</v>
      </c>
      <c r="K138" t="s">
        <v>17</v>
      </c>
      <c r="L138" s="1">
        <v>7800000</v>
      </c>
      <c r="M138" s="1">
        <v>7800000</v>
      </c>
      <c r="N138" s="20">
        <v>23400000</v>
      </c>
      <c r="O138" s="10">
        <v>23400000</v>
      </c>
      <c r="P138" t="s">
        <v>704</v>
      </c>
      <c r="Q138" s="1">
        <v>15600000</v>
      </c>
      <c r="S138" s="11" t="s">
        <v>1036</v>
      </c>
    </row>
    <row r="139" spans="1:19" x14ac:dyDescent="0.25">
      <c r="A139" t="s">
        <v>1126</v>
      </c>
      <c r="B139" t="s">
        <v>13</v>
      </c>
      <c r="C139" s="12">
        <v>46041</v>
      </c>
      <c r="D139" s="12">
        <v>46131</v>
      </c>
      <c r="E139" t="s">
        <v>775</v>
      </c>
      <c r="F139" t="s">
        <v>14</v>
      </c>
      <c r="G139">
        <v>59828916</v>
      </c>
      <c r="H139" t="s">
        <v>73</v>
      </c>
      <c r="I139">
        <v>43624414</v>
      </c>
      <c r="J139" t="s">
        <v>14</v>
      </c>
      <c r="K139" t="s">
        <v>18</v>
      </c>
      <c r="L139" s="1" t="e">
        <v>#N/A</v>
      </c>
      <c r="M139" s="1">
        <v>0</v>
      </c>
      <c r="N139" s="20">
        <v>9450000</v>
      </c>
      <c r="O139" s="10">
        <v>9450000</v>
      </c>
      <c r="P139" t="s">
        <v>704</v>
      </c>
      <c r="Q139" s="1" t="e">
        <v>#N/A</v>
      </c>
      <c r="S139" s="11" t="s">
        <v>1036</v>
      </c>
    </row>
    <row r="140" spans="1:19" x14ac:dyDescent="0.25">
      <c r="A140" t="s">
        <v>1127</v>
      </c>
      <c r="B140" t="s">
        <v>13</v>
      </c>
      <c r="C140" s="12">
        <v>46041</v>
      </c>
      <c r="D140" s="12">
        <v>46131</v>
      </c>
      <c r="E140" t="s">
        <v>775</v>
      </c>
      <c r="F140" t="s">
        <v>14</v>
      </c>
      <c r="G140">
        <v>1085286742</v>
      </c>
      <c r="H140" t="s">
        <v>37</v>
      </c>
      <c r="I140">
        <v>43624414</v>
      </c>
      <c r="J140" t="s">
        <v>14</v>
      </c>
      <c r="K140" t="s">
        <v>18</v>
      </c>
      <c r="L140" s="1" t="e">
        <v>#N/A</v>
      </c>
      <c r="M140" s="1">
        <v>0</v>
      </c>
      <c r="N140" s="20">
        <v>9450000</v>
      </c>
      <c r="O140" s="10">
        <v>9450000</v>
      </c>
      <c r="P140" t="s">
        <v>704</v>
      </c>
      <c r="Q140" s="1" t="e">
        <v>#N/A</v>
      </c>
      <c r="S140" s="11" t="s">
        <v>1036</v>
      </c>
    </row>
    <row r="141" spans="1:19" x14ac:dyDescent="0.25">
      <c r="A141" t="s">
        <v>1128</v>
      </c>
      <c r="B141" t="s">
        <v>13</v>
      </c>
      <c r="C141" s="12">
        <v>46041</v>
      </c>
      <c r="D141" s="12">
        <v>46131</v>
      </c>
      <c r="E141" t="s">
        <v>775</v>
      </c>
      <c r="F141" t="s">
        <v>14</v>
      </c>
      <c r="G141">
        <v>1085278004</v>
      </c>
      <c r="H141" t="s">
        <v>223</v>
      </c>
      <c r="I141">
        <v>59836926</v>
      </c>
      <c r="J141" t="s">
        <v>14</v>
      </c>
      <c r="K141" t="s">
        <v>17</v>
      </c>
      <c r="L141" s="1">
        <v>6300000</v>
      </c>
      <c r="M141" s="1">
        <v>6300000</v>
      </c>
      <c r="N141" s="20">
        <v>18900000</v>
      </c>
      <c r="O141" s="10">
        <v>18900000</v>
      </c>
      <c r="P141" t="s">
        <v>704</v>
      </c>
      <c r="Q141" s="1">
        <v>12600000</v>
      </c>
      <c r="S141" s="11" t="s">
        <v>1036</v>
      </c>
    </row>
    <row r="142" spans="1:19" x14ac:dyDescent="0.25">
      <c r="A142" t="s">
        <v>1129</v>
      </c>
      <c r="B142" t="s">
        <v>13</v>
      </c>
      <c r="C142" s="12">
        <v>46041</v>
      </c>
      <c r="D142" s="12">
        <v>46131</v>
      </c>
      <c r="E142" t="s">
        <v>775</v>
      </c>
      <c r="F142" t="s">
        <v>14</v>
      </c>
      <c r="G142">
        <v>1085270448</v>
      </c>
      <c r="H142" t="s">
        <v>340</v>
      </c>
      <c r="I142">
        <v>98390119</v>
      </c>
      <c r="J142" t="s">
        <v>14</v>
      </c>
      <c r="K142" t="s">
        <v>63</v>
      </c>
      <c r="L142" s="1" t="e">
        <v>#N/A</v>
      </c>
      <c r="M142" s="1">
        <v>0</v>
      </c>
      <c r="N142" s="20">
        <v>9450000</v>
      </c>
      <c r="O142" s="10">
        <v>9450000</v>
      </c>
      <c r="P142" t="s">
        <v>704</v>
      </c>
      <c r="Q142" s="1" t="e">
        <v>#N/A</v>
      </c>
      <c r="S142" s="11" t="s">
        <v>1036</v>
      </c>
    </row>
    <row r="143" spans="1:19" x14ac:dyDescent="0.25">
      <c r="A143" t="s">
        <v>1130</v>
      </c>
      <c r="B143" t="s">
        <v>13</v>
      </c>
      <c r="C143" s="12">
        <v>46041</v>
      </c>
      <c r="D143" s="12">
        <v>46192</v>
      </c>
      <c r="E143" t="s">
        <v>775</v>
      </c>
      <c r="F143" t="s">
        <v>14</v>
      </c>
      <c r="G143">
        <v>1085266584</v>
      </c>
      <c r="H143" t="s">
        <v>71</v>
      </c>
      <c r="I143">
        <v>43624414</v>
      </c>
      <c r="J143" t="s">
        <v>14</v>
      </c>
      <c r="K143" t="s">
        <v>18</v>
      </c>
      <c r="L143" s="1" t="e">
        <v>#N/A</v>
      </c>
      <c r="M143" s="1">
        <v>0</v>
      </c>
      <c r="N143" s="20">
        <v>15750000</v>
      </c>
      <c r="O143" s="10">
        <v>15750000</v>
      </c>
      <c r="P143" t="s">
        <v>704</v>
      </c>
      <c r="Q143" s="1" t="e">
        <v>#N/A</v>
      </c>
      <c r="S143" s="11" t="s">
        <v>1036</v>
      </c>
    </row>
    <row r="144" spans="1:19" x14ac:dyDescent="0.25">
      <c r="A144" t="s">
        <v>1131</v>
      </c>
      <c r="B144" t="s">
        <v>13</v>
      </c>
      <c r="C144" s="12">
        <v>46041</v>
      </c>
      <c r="D144" s="12">
        <v>46192</v>
      </c>
      <c r="E144" t="s">
        <v>775</v>
      </c>
      <c r="F144" t="s">
        <v>14</v>
      </c>
      <c r="G144">
        <v>59310291</v>
      </c>
      <c r="H144" t="s">
        <v>135</v>
      </c>
      <c r="I144">
        <v>98333941</v>
      </c>
      <c r="J144" t="s">
        <v>14</v>
      </c>
      <c r="K144" t="s">
        <v>15</v>
      </c>
      <c r="L144" s="1" t="e">
        <v>#N/A</v>
      </c>
      <c r="M144" s="1">
        <v>0</v>
      </c>
      <c r="N144" s="20">
        <v>31500000</v>
      </c>
      <c r="O144" s="10">
        <v>31500000</v>
      </c>
      <c r="P144" t="s">
        <v>704</v>
      </c>
      <c r="Q144" s="1" t="e">
        <v>#N/A</v>
      </c>
      <c r="S144" s="11" t="s">
        <v>1036</v>
      </c>
    </row>
    <row r="145" spans="1:19" x14ac:dyDescent="0.25">
      <c r="A145" t="s">
        <v>1132</v>
      </c>
      <c r="B145" t="s">
        <v>13</v>
      </c>
      <c r="C145" s="12">
        <v>46041</v>
      </c>
      <c r="D145" s="12">
        <v>46131</v>
      </c>
      <c r="E145" t="s">
        <v>744</v>
      </c>
      <c r="F145" t="s">
        <v>14</v>
      </c>
      <c r="G145">
        <v>1089483067</v>
      </c>
      <c r="H145" t="s">
        <v>325</v>
      </c>
      <c r="I145">
        <v>43624414</v>
      </c>
      <c r="J145" t="s">
        <v>14</v>
      </c>
      <c r="K145" t="s">
        <v>18</v>
      </c>
      <c r="L145" s="1" t="e">
        <v>#N/A</v>
      </c>
      <c r="M145" s="1">
        <v>0</v>
      </c>
      <c r="N145" s="20">
        <v>23400000</v>
      </c>
      <c r="O145" s="10">
        <v>23400000</v>
      </c>
      <c r="P145" t="s">
        <v>704</v>
      </c>
      <c r="Q145" s="1" t="e">
        <v>#N/A</v>
      </c>
      <c r="S145" s="11" t="s">
        <v>1036</v>
      </c>
    </row>
    <row r="146" spans="1:19" x14ac:dyDescent="0.25">
      <c r="A146" t="s">
        <v>1133</v>
      </c>
      <c r="B146" t="s">
        <v>13</v>
      </c>
      <c r="C146" s="12">
        <v>46041</v>
      </c>
      <c r="D146" s="12">
        <v>46072</v>
      </c>
      <c r="E146" t="s">
        <v>775</v>
      </c>
      <c r="F146" t="s">
        <v>14</v>
      </c>
      <c r="G146">
        <v>27456421</v>
      </c>
      <c r="H146" t="s">
        <v>608</v>
      </c>
      <c r="I146">
        <v>98390119</v>
      </c>
      <c r="J146" t="s">
        <v>14</v>
      </c>
      <c r="K146" t="s">
        <v>63</v>
      </c>
      <c r="L146" s="1" t="e">
        <v>#N/A</v>
      </c>
      <c r="M146" s="1">
        <v>0</v>
      </c>
      <c r="N146" s="20">
        <v>6300000</v>
      </c>
      <c r="O146" s="10">
        <v>6300000</v>
      </c>
      <c r="P146" t="s">
        <v>704</v>
      </c>
      <c r="Q146" s="1" t="e">
        <v>#N/A</v>
      </c>
      <c r="S146" s="11" t="s">
        <v>1036</v>
      </c>
    </row>
    <row r="147" spans="1:19" x14ac:dyDescent="0.25">
      <c r="A147" t="s">
        <v>1134</v>
      </c>
      <c r="B147" t="s">
        <v>13</v>
      </c>
      <c r="C147" s="12">
        <v>46041</v>
      </c>
      <c r="D147" s="12">
        <v>46131</v>
      </c>
      <c r="E147" t="s">
        <v>744</v>
      </c>
      <c r="F147" t="s">
        <v>14</v>
      </c>
      <c r="G147">
        <v>1193292339</v>
      </c>
      <c r="H147" t="s">
        <v>631</v>
      </c>
      <c r="I147">
        <v>98333941</v>
      </c>
      <c r="J147" t="s">
        <v>14</v>
      </c>
      <c r="K147" t="s">
        <v>15</v>
      </c>
      <c r="L147" s="1" t="e">
        <v>#N/A</v>
      </c>
      <c r="M147" s="1">
        <v>0</v>
      </c>
      <c r="N147" s="20">
        <v>23400000</v>
      </c>
      <c r="O147" s="10">
        <v>23400000</v>
      </c>
      <c r="P147" t="s">
        <v>704</v>
      </c>
      <c r="Q147" s="1" t="e">
        <v>#N/A</v>
      </c>
      <c r="S147" s="11" t="s">
        <v>1036</v>
      </c>
    </row>
    <row r="148" spans="1:19" x14ac:dyDescent="0.25">
      <c r="A148" t="s">
        <v>1135</v>
      </c>
      <c r="B148" t="s">
        <v>13</v>
      </c>
      <c r="C148" s="12">
        <v>46041</v>
      </c>
      <c r="D148" s="12">
        <v>46131</v>
      </c>
      <c r="E148" t="s">
        <v>775</v>
      </c>
      <c r="F148" t="s">
        <v>14</v>
      </c>
      <c r="G148">
        <v>1084228089</v>
      </c>
      <c r="H148" t="s">
        <v>403</v>
      </c>
      <c r="I148">
        <v>98333941</v>
      </c>
      <c r="J148" t="s">
        <v>14</v>
      </c>
      <c r="K148" t="s">
        <v>15</v>
      </c>
      <c r="L148" s="1" t="e">
        <v>#N/A</v>
      </c>
      <c r="M148" s="1">
        <v>0</v>
      </c>
      <c r="N148" s="20">
        <v>18900000</v>
      </c>
      <c r="O148" s="10">
        <v>18900000</v>
      </c>
      <c r="P148" t="s">
        <v>704</v>
      </c>
      <c r="Q148" s="1" t="e">
        <v>#N/A</v>
      </c>
      <c r="S148" s="11" t="s">
        <v>1036</v>
      </c>
    </row>
    <row r="149" spans="1:19" x14ac:dyDescent="0.25">
      <c r="A149" t="s">
        <v>1136</v>
      </c>
      <c r="B149" t="s">
        <v>13</v>
      </c>
      <c r="C149" s="12">
        <v>46041</v>
      </c>
      <c r="D149" s="12">
        <v>46131</v>
      </c>
      <c r="E149" t="s">
        <v>744</v>
      </c>
      <c r="F149" t="s">
        <v>14</v>
      </c>
      <c r="G149">
        <v>1086018206</v>
      </c>
      <c r="H149" t="s">
        <v>922</v>
      </c>
      <c r="I149">
        <v>43624414</v>
      </c>
      <c r="J149" t="s">
        <v>14</v>
      </c>
      <c r="K149" t="s">
        <v>18</v>
      </c>
      <c r="L149" s="1" t="e">
        <v>#N/A</v>
      </c>
      <c r="M149" s="1">
        <v>0</v>
      </c>
      <c r="N149" s="20">
        <v>23400000</v>
      </c>
      <c r="O149" s="10">
        <v>23400000</v>
      </c>
      <c r="P149" t="s">
        <v>704</v>
      </c>
      <c r="Q149" s="1" t="e">
        <v>#N/A</v>
      </c>
      <c r="S149" s="11" t="s">
        <v>1036</v>
      </c>
    </row>
    <row r="150" spans="1:19" x14ac:dyDescent="0.25">
      <c r="A150" t="s">
        <v>1137</v>
      </c>
      <c r="B150" t="s">
        <v>13</v>
      </c>
      <c r="C150" s="12">
        <v>46041</v>
      </c>
      <c r="D150" s="12">
        <v>46192</v>
      </c>
      <c r="E150" t="s">
        <v>744</v>
      </c>
      <c r="F150" t="s">
        <v>14</v>
      </c>
      <c r="G150">
        <v>36950073</v>
      </c>
      <c r="H150" t="s">
        <v>445</v>
      </c>
      <c r="I150">
        <v>98390119</v>
      </c>
      <c r="J150" t="s">
        <v>14</v>
      </c>
      <c r="K150" t="s">
        <v>63</v>
      </c>
      <c r="L150" s="1" t="e">
        <v>#N/A</v>
      </c>
      <c r="M150" s="1">
        <v>0</v>
      </c>
      <c r="N150" s="20">
        <v>23650000</v>
      </c>
      <c r="O150" s="10">
        <v>23650000</v>
      </c>
      <c r="P150" t="s">
        <v>704</v>
      </c>
      <c r="Q150" s="1" t="e">
        <v>#N/A</v>
      </c>
      <c r="S150" s="11" t="s">
        <v>1036</v>
      </c>
    </row>
    <row r="151" spans="1:19" x14ac:dyDescent="0.25">
      <c r="A151" t="s">
        <v>1138</v>
      </c>
      <c r="B151" t="s">
        <v>13</v>
      </c>
      <c r="C151" s="12">
        <v>46041</v>
      </c>
      <c r="D151" s="12">
        <v>46192</v>
      </c>
      <c r="E151" t="s">
        <v>775</v>
      </c>
      <c r="F151" t="s">
        <v>14</v>
      </c>
      <c r="G151">
        <v>1193383314</v>
      </c>
      <c r="H151" t="s">
        <v>122</v>
      </c>
      <c r="I151">
        <v>98390119</v>
      </c>
      <c r="J151" t="s">
        <v>14</v>
      </c>
      <c r="K151" t="s">
        <v>63</v>
      </c>
      <c r="L151" s="1" t="e">
        <v>#N/A</v>
      </c>
      <c r="M151" s="1">
        <v>0</v>
      </c>
      <c r="N151" s="20">
        <v>31500000</v>
      </c>
      <c r="O151" s="10">
        <v>31500000</v>
      </c>
      <c r="P151" t="s">
        <v>704</v>
      </c>
      <c r="Q151" s="1" t="e">
        <v>#N/A</v>
      </c>
      <c r="S151" s="11" t="s">
        <v>1036</v>
      </c>
    </row>
    <row r="152" spans="1:19" x14ac:dyDescent="0.25">
      <c r="A152" t="s">
        <v>1139</v>
      </c>
      <c r="B152" t="s">
        <v>13</v>
      </c>
      <c r="C152" s="12">
        <v>46041</v>
      </c>
      <c r="D152" s="12">
        <v>46072</v>
      </c>
      <c r="E152" t="s">
        <v>775</v>
      </c>
      <c r="F152" t="s">
        <v>14</v>
      </c>
      <c r="G152">
        <v>1085246134</v>
      </c>
      <c r="H152" t="s">
        <v>691</v>
      </c>
      <c r="I152">
        <v>98390119</v>
      </c>
      <c r="J152" t="s">
        <v>14</v>
      </c>
      <c r="K152" t="s">
        <v>63</v>
      </c>
      <c r="L152" s="1" t="e">
        <v>#N/A</v>
      </c>
      <c r="M152" s="1">
        <v>0</v>
      </c>
      <c r="N152" s="20">
        <v>6300000</v>
      </c>
      <c r="O152" s="10">
        <v>6300000</v>
      </c>
      <c r="P152" t="s">
        <v>704</v>
      </c>
      <c r="Q152" s="1" t="e">
        <v>#N/A</v>
      </c>
      <c r="S152" s="11" t="s">
        <v>1036</v>
      </c>
    </row>
    <row r="153" spans="1:19" x14ac:dyDescent="0.25">
      <c r="A153" t="s">
        <v>1140</v>
      </c>
      <c r="B153" t="s">
        <v>13</v>
      </c>
      <c r="C153" s="12">
        <v>46041</v>
      </c>
      <c r="D153" s="12">
        <v>46072</v>
      </c>
      <c r="E153" t="s">
        <v>744</v>
      </c>
      <c r="F153" t="s">
        <v>14</v>
      </c>
      <c r="G153">
        <v>1022426162</v>
      </c>
      <c r="H153" t="s">
        <v>366</v>
      </c>
      <c r="I153">
        <v>98333941</v>
      </c>
      <c r="J153" t="s">
        <v>14</v>
      </c>
      <c r="K153" t="s">
        <v>15</v>
      </c>
      <c r="L153" s="1" t="e">
        <v>#N/A</v>
      </c>
      <c r="M153" s="1">
        <v>0</v>
      </c>
      <c r="N153" s="20">
        <v>7800000</v>
      </c>
      <c r="O153" s="10">
        <v>7800000</v>
      </c>
      <c r="P153" t="s">
        <v>704</v>
      </c>
      <c r="Q153" s="1" t="e">
        <v>#N/A</v>
      </c>
      <c r="S153" s="11" t="s">
        <v>1036</v>
      </c>
    </row>
    <row r="154" spans="1:19" x14ac:dyDescent="0.25">
      <c r="A154" t="s">
        <v>1141</v>
      </c>
      <c r="B154" t="s">
        <v>13</v>
      </c>
      <c r="C154" s="12">
        <v>46041</v>
      </c>
      <c r="D154" s="12">
        <v>46131</v>
      </c>
      <c r="E154" t="s">
        <v>775</v>
      </c>
      <c r="F154" t="s">
        <v>14</v>
      </c>
      <c r="G154">
        <v>1086224204</v>
      </c>
      <c r="H154" t="s">
        <v>451</v>
      </c>
      <c r="I154">
        <v>98333941</v>
      </c>
      <c r="J154" t="s">
        <v>14</v>
      </c>
      <c r="K154" t="s">
        <v>15</v>
      </c>
      <c r="L154" s="1" t="e">
        <v>#N/A</v>
      </c>
      <c r="M154" s="1">
        <v>0</v>
      </c>
      <c r="N154" s="20">
        <v>9450000</v>
      </c>
      <c r="O154" s="10">
        <v>9450000</v>
      </c>
      <c r="P154" t="s">
        <v>704</v>
      </c>
      <c r="Q154" s="1" t="e">
        <v>#N/A</v>
      </c>
      <c r="S154" s="11" t="s">
        <v>1036</v>
      </c>
    </row>
    <row r="155" spans="1:19" x14ac:dyDescent="0.25">
      <c r="A155" t="s">
        <v>1142</v>
      </c>
      <c r="B155" t="s">
        <v>13</v>
      </c>
      <c r="C155" s="12">
        <v>46041</v>
      </c>
      <c r="D155" s="12">
        <v>46192</v>
      </c>
      <c r="E155" t="s">
        <v>775</v>
      </c>
      <c r="F155" t="s">
        <v>14</v>
      </c>
      <c r="G155">
        <v>1082748032</v>
      </c>
      <c r="H155" t="s">
        <v>548</v>
      </c>
      <c r="I155">
        <v>98333941</v>
      </c>
      <c r="J155" t="s">
        <v>14</v>
      </c>
      <c r="K155" t="s">
        <v>15</v>
      </c>
      <c r="L155" s="1" t="e">
        <v>#N/A</v>
      </c>
      <c r="M155" s="1">
        <v>0</v>
      </c>
      <c r="N155" s="20">
        <v>15750000</v>
      </c>
      <c r="O155" s="10">
        <v>15750000</v>
      </c>
      <c r="P155" t="s">
        <v>704</v>
      </c>
      <c r="Q155" s="1" t="e">
        <v>#N/A</v>
      </c>
      <c r="S155" s="11" t="s">
        <v>1036</v>
      </c>
    </row>
    <row r="156" spans="1:19" x14ac:dyDescent="0.25">
      <c r="A156" t="s">
        <v>1143</v>
      </c>
      <c r="B156" t="s">
        <v>13</v>
      </c>
      <c r="C156" s="12">
        <v>46041</v>
      </c>
      <c r="D156" s="12">
        <v>46072</v>
      </c>
      <c r="E156" t="s">
        <v>775</v>
      </c>
      <c r="F156" t="s">
        <v>14</v>
      </c>
      <c r="G156">
        <v>59122805</v>
      </c>
      <c r="H156" t="s">
        <v>463</v>
      </c>
      <c r="I156">
        <v>98333941</v>
      </c>
      <c r="J156" t="s">
        <v>14</v>
      </c>
      <c r="K156" t="s">
        <v>15</v>
      </c>
      <c r="L156" s="1" t="e">
        <v>#N/A</v>
      </c>
      <c r="M156" s="1">
        <v>0</v>
      </c>
      <c r="N156" s="20">
        <v>3150000</v>
      </c>
      <c r="O156" s="10">
        <v>3150000</v>
      </c>
      <c r="P156" t="s">
        <v>704</v>
      </c>
      <c r="Q156" s="1" t="e">
        <v>#N/A</v>
      </c>
      <c r="S156" s="11" t="s">
        <v>1036</v>
      </c>
    </row>
    <row r="157" spans="1:19" x14ac:dyDescent="0.25">
      <c r="A157" t="s">
        <v>1144</v>
      </c>
      <c r="B157" t="s">
        <v>13</v>
      </c>
      <c r="C157" s="12">
        <v>46041</v>
      </c>
      <c r="D157" s="12">
        <v>46131</v>
      </c>
      <c r="E157" t="s">
        <v>744</v>
      </c>
      <c r="F157" t="s">
        <v>14</v>
      </c>
      <c r="G157">
        <v>12961407</v>
      </c>
      <c r="H157" t="s">
        <v>473</v>
      </c>
      <c r="I157">
        <v>43624414</v>
      </c>
      <c r="J157" t="s">
        <v>14</v>
      </c>
      <c r="K157" t="s">
        <v>18</v>
      </c>
      <c r="L157" s="1" t="e">
        <v>#N/A</v>
      </c>
      <c r="M157" s="1">
        <v>0</v>
      </c>
      <c r="N157" s="20">
        <v>23400000</v>
      </c>
      <c r="O157" s="10">
        <v>23400000</v>
      </c>
      <c r="P157" t="s">
        <v>704</v>
      </c>
      <c r="Q157" s="1" t="e">
        <v>#N/A</v>
      </c>
      <c r="S157" s="11" t="s">
        <v>1036</v>
      </c>
    </row>
    <row r="158" spans="1:19" x14ac:dyDescent="0.25">
      <c r="A158" t="s">
        <v>1145</v>
      </c>
      <c r="B158" t="s">
        <v>13</v>
      </c>
      <c r="C158" s="12">
        <v>46041</v>
      </c>
      <c r="D158" s="12">
        <v>46131</v>
      </c>
      <c r="E158" t="s">
        <v>775</v>
      </c>
      <c r="F158" t="s">
        <v>14</v>
      </c>
      <c r="G158">
        <v>1081052779</v>
      </c>
      <c r="H158" t="s">
        <v>662</v>
      </c>
      <c r="I158">
        <v>98390119</v>
      </c>
      <c r="J158" t="s">
        <v>14</v>
      </c>
      <c r="K158" t="s">
        <v>63</v>
      </c>
      <c r="L158" s="1" t="e">
        <v>#N/A</v>
      </c>
      <c r="M158" s="1">
        <v>0</v>
      </c>
      <c r="N158" s="20">
        <v>9450000</v>
      </c>
      <c r="O158" s="10">
        <v>9450000</v>
      </c>
      <c r="P158" t="s">
        <v>704</v>
      </c>
      <c r="Q158" s="1" t="e">
        <v>#N/A</v>
      </c>
      <c r="S158" s="11" t="s">
        <v>1036</v>
      </c>
    </row>
    <row r="159" spans="1:19" x14ac:dyDescent="0.25">
      <c r="A159" t="s">
        <v>1146</v>
      </c>
      <c r="B159" t="s">
        <v>13</v>
      </c>
      <c r="C159" s="12">
        <v>46041</v>
      </c>
      <c r="D159" s="12">
        <v>46072</v>
      </c>
      <c r="E159" t="s">
        <v>744</v>
      </c>
      <c r="F159" t="s">
        <v>14</v>
      </c>
      <c r="G159">
        <v>1085331301</v>
      </c>
      <c r="H159" t="s">
        <v>673</v>
      </c>
      <c r="I159">
        <v>43624414</v>
      </c>
      <c r="J159" t="s">
        <v>14</v>
      </c>
      <c r="K159" t="s">
        <v>18</v>
      </c>
      <c r="L159" s="1" t="e">
        <v>#N/A</v>
      </c>
      <c r="M159" s="1">
        <v>0</v>
      </c>
      <c r="N159" s="20">
        <v>4730000</v>
      </c>
      <c r="O159" s="10">
        <v>4730000</v>
      </c>
      <c r="P159" t="s">
        <v>704</v>
      </c>
      <c r="Q159" s="1" t="e">
        <v>#N/A</v>
      </c>
      <c r="S159" s="11" t="s">
        <v>1036</v>
      </c>
    </row>
    <row r="160" spans="1:19" x14ac:dyDescent="0.25">
      <c r="A160" t="s">
        <v>1147</v>
      </c>
      <c r="B160" t="s">
        <v>13</v>
      </c>
      <c r="C160" s="12">
        <v>46041</v>
      </c>
      <c r="D160" s="12">
        <v>46131</v>
      </c>
      <c r="E160" t="s">
        <v>775</v>
      </c>
      <c r="F160" t="s">
        <v>14</v>
      </c>
      <c r="G160">
        <v>1085347312</v>
      </c>
      <c r="H160" t="s">
        <v>126</v>
      </c>
      <c r="I160">
        <v>98333941</v>
      </c>
      <c r="J160" t="s">
        <v>14</v>
      </c>
      <c r="K160" t="s">
        <v>15</v>
      </c>
      <c r="L160" s="1" t="e">
        <v>#N/A</v>
      </c>
      <c r="M160" s="1">
        <v>0</v>
      </c>
      <c r="N160" s="20">
        <v>18900000</v>
      </c>
      <c r="O160" s="10">
        <v>18900000</v>
      </c>
      <c r="P160" t="s">
        <v>704</v>
      </c>
      <c r="Q160" s="1" t="e">
        <v>#N/A</v>
      </c>
      <c r="S160" s="11" t="s">
        <v>1036</v>
      </c>
    </row>
    <row r="161" spans="1:19" x14ac:dyDescent="0.25">
      <c r="A161" t="s">
        <v>1148</v>
      </c>
      <c r="B161" t="s">
        <v>13</v>
      </c>
      <c r="C161" s="12">
        <v>46041</v>
      </c>
      <c r="D161" s="12">
        <v>46072</v>
      </c>
      <c r="E161" t="s">
        <v>775</v>
      </c>
      <c r="F161" t="s">
        <v>14</v>
      </c>
      <c r="G161">
        <v>1053793750</v>
      </c>
      <c r="H161" t="s">
        <v>261</v>
      </c>
      <c r="I161">
        <v>98333941</v>
      </c>
      <c r="J161" t="s">
        <v>14</v>
      </c>
      <c r="K161" t="s">
        <v>15</v>
      </c>
      <c r="L161" s="1" t="e">
        <v>#N/A</v>
      </c>
      <c r="M161" s="1">
        <v>0</v>
      </c>
      <c r="N161" s="20">
        <v>6300000</v>
      </c>
      <c r="O161" s="10">
        <v>6300000</v>
      </c>
      <c r="P161" t="s">
        <v>704</v>
      </c>
      <c r="Q161" s="1" t="e">
        <v>#N/A</v>
      </c>
      <c r="S161" s="11" t="s">
        <v>1036</v>
      </c>
    </row>
    <row r="162" spans="1:19" x14ac:dyDescent="0.25">
      <c r="A162" t="s">
        <v>1149</v>
      </c>
      <c r="B162" t="s">
        <v>13</v>
      </c>
      <c r="C162" s="12">
        <v>46041</v>
      </c>
      <c r="D162" s="12">
        <v>46131</v>
      </c>
      <c r="E162" t="s">
        <v>744</v>
      </c>
      <c r="F162" t="s">
        <v>14</v>
      </c>
      <c r="G162">
        <v>1193202097</v>
      </c>
      <c r="H162" t="s">
        <v>43</v>
      </c>
      <c r="I162">
        <v>43624414</v>
      </c>
      <c r="J162" t="s">
        <v>14</v>
      </c>
      <c r="K162" t="s">
        <v>18</v>
      </c>
      <c r="L162" s="1">
        <v>7800000</v>
      </c>
      <c r="M162" s="1">
        <v>7800000</v>
      </c>
      <c r="N162" s="20">
        <v>23400000</v>
      </c>
      <c r="O162" s="10">
        <v>23400000</v>
      </c>
      <c r="P162" t="s">
        <v>704</v>
      </c>
      <c r="Q162" s="1">
        <v>15600000</v>
      </c>
      <c r="S162" s="11" t="s">
        <v>1036</v>
      </c>
    </row>
    <row r="163" spans="1:19" x14ac:dyDescent="0.25">
      <c r="A163" t="s">
        <v>1150</v>
      </c>
      <c r="B163" t="s">
        <v>13</v>
      </c>
      <c r="C163" s="12">
        <v>46041</v>
      </c>
      <c r="D163" s="12">
        <v>46131</v>
      </c>
      <c r="E163" t="s">
        <v>775</v>
      </c>
      <c r="F163" t="s">
        <v>14</v>
      </c>
      <c r="G163">
        <v>59837608</v>
      </c>
      <c r="H163" t="s">
        <v>47</v>
      </c>
      <c r="I163">
        <v>98333941</v>
      </c>
      <c r="J163" t="s">
        <v>14</v>
      </c>
      <c r="K163" t="s">
        <v>15</v>
      </c>
      <c r="L163" s="1" t="e">
        <v>#N/A</v>
      </c>
      <c r="M163" s="1">
        <v>0</v>
      </c>
      <c r="N163" s="20">
        <v>18900000</v>
      </c>
      <c r="O163" s="10">
        <v>18900000</v>
      </c>
      <c r="P163" t="s">
        <v>704</v>
      </c>
      <c r="Q163" s="1" t="e">
        <v>#N/A</v>
      </c>
      <c r="S163" s="11" t="s">
        <v>1036</v>
      </c>
    </row>
    <row r="164" spans="1:19" x14ac:dyDescent="0.25">
      <c r="A164" t="s">
        <v>1151</v>
      </c>
      <c r="B164" t="s">
        <v>13</v>
      </c>
      <c r="C164" s="12">
        <v>46041</v>
      </c>
      <c r="D164" s="12">
        <v>46192</v>
      </c>
      <c r="E164" t="s">
        <v>775</v>
      </c>
      <c r="F164" t="s">
        <v>14</v>
      </c>
      <c r="G164">
        <v>1193405962</v>
      </c>
      <c r="H164" t="s">
        <v>485</v>
      </c>
      <c r="I164">
        <v>59836926</v>
      </c>
      <c r="J164" t="s">
        <v>14</v>
      </c>
      <c r="K164" t="s">
        <v>17</v>
      </c>
      <c r="L164" s="1" t="e">
        <v>#N/A</v>
      </c>
      <c r="M164" s="1">
        <v>0</v>
      </c>
      <c r="N164" s="20">
        <v>15750000</v>
      </c>
      <c r="O164" s="10">
        <v>15750000</v>
      </c>
      <c r="P164" t="s">
        <v>704</v>
      </c>
      <c r="Q164" s="1" t="e">
        <v>#N/A</v>
      </c>
      <c r="S164" s="11" t="s">
        <v>1036</v>
      </c>
    </row>
    <row r="165" spans="1:19" x14ac:dyDescent="0.25">
      <c r="A165" t="s">
        <v>1152</v>
      </c>
      <c r="B165" t="s">
        <v>13</v>
      </c>
      <c r="C165" s="12">
        <v>46041</v>
      </c>
      <c r="D165" s="12">
        <v>46192</v>
      </c>
      <c r="E165" t="s">
        <v>775</v>
      </c>
      <c r="F165" t="s">
        <v>14</v>
      </c>
      <c r="G165">
        <v>1081053820</v>
      </c>
      <c r="H165" t="s">
        <v>652</v>
      </c>
      <c r="I165">
        <v>98333941</v>
      </c>
      <c r="J165" t="s">
        <v>14</v>
      </c>
      <c r="K165" t="s">
        <v>15</v>
      </c>
      <c r="L165" s="1" t="e">
        <v>#N/A</v>
      </c>
      <c r="M165" s="1">
        <v>0</v>
      </c>
      <c r="N165" s="20">
        <v>15750000</v>
      </c>
      <c r="O165" s="10">
        <v>15750000</v>
      </c>
      <c r="P165" t="s">
        <v>704</v>
      </c>
      <c r="Q165" s="1" t="e">
        <v>#N/A</v>
      </c>
      <c r="S165" s="11" t="s">
        <v>1036</v>
      </c>
    </row>
    <row r="166" spans="1:19" x14ac:dyDescent="0.25">
      <c r="A166" t="s">
        <v>1153</v>
      </c>
      <c r="B166" t="s">
        <v>13</v>
      </c>
      <c r="C166" s="12">
        <v>46041</v>
      </c>
      <c r="D166" s="12">
        <v>46072</v>
      </c>
      <c r="E166" t="s">
        <v>775</v>
      </c>
      <c r="F166" t="s">
        <v>14</v>
      </c>
      <c r="G166">
        <v>1085246674</v>
      </c>
      <c r="H166" t="s">
        <v>240</v>
      </c>
      <c r="I166">
        <v>43624414</v>
      </c>
      <c r="J166" t="s">
        <v>14</v>
      </c>
      <c r="K166" t="s">
        <v>18</v>
      </c>
      <c r="L166" s="1">
        <v>3150000</v>
      </c>
      <c r="M166" s="1">
        <v>3150000</v>
      </c>
      <c r="N166" s="20">
        <v>3150000</v>
      </c>
      <c r="O166" s="10">
        <v>3150000</v>
      </c>
      <c r="P166" t="s">
        <v>704</v>
      </c>
      <c r="Q166" s="1">
        <v>0</v>
      </c>
      <c r="S166" s="11" t="s">
        <v>1036</v>
      </c>
    </row>
    <row r="167" spans="1:19" x14ac:dyDescent="0.25">
      <c r="A167" t="s">
        <v>1154</v>
      </c>
      <c r="B167" t="s">
        <v>13</v>
      </c>
      <c r="C167" s="12">
        <v>46041</v>
      </c>
      <c r="D167" s="12">
        <v>46072</v>
      </c>
      <c r="E167" t="s">
        <v>775</v>
      </c>
      <c r="F167" t="s">
        <v>14</v>
      </c>
      <c r="G167">
        <v>1085315209</v>
      </c>
      <c r="H167" t="s">
        <v>643</v>
      </c>
      <c r="I167">
        <v>43624414</v>
      </c>
      <c r="J167" t="s">
        <v>14</v>
      </c>
      <c r="K167" t="s">
        <v>18</v>
      </c>
      <c r="L167" s="1">
        <v>3150000</v>
      </c>
      <c r="M167" s="1">
        <v>3150000</v>
      </c>
      <c r="N167" s="20">
        <v>3150000</v>
      </c>
      <c r="O167" s="10">
        <v>3150000</v>
      </c>
      <c r="P167" t="s">
        <v>704</v>
      </c>
      <c r="Q167" s="1">
        <v>0</v>
      </c>
      <c r="S167" s="11" t="s">
        <v>1036</v>
      </c>
    </row>
    <row r="168" spans="1:19" x14ac:dyDescent="0.25">
      <c r="A168" t="s">
        <v>1155</v>
      </c>
      <c r="B168" t="s">
        <v>13</v>
      </c>
      <c r="C168" s="12">
        <v>46041</v>
      </c>
      <c r="D168" s="12">
        <v>46072</v>
      </c>
      <c r="E168" t="s">
        <v>775</v>
      </c>
      <c r="F168" t="s">
        <v>14</v>
      </c>
      <c r="G168">
        <v>1004437571</v>
      </c>
      <c r="H168" t="s">
        <v>381</v>
      </c>
      <c r="I168">
        <v>43624414</v>
      </c>
      <c r="J168" t="s">
        <v>14</v>
      </c>
      <c r="K168" t="s">
        <v>18</v>
      </c>
      <c r="L168" s="1" t="e">
        <v>#N/A</v>
      </c>
      <c r="M168" s="1">
        <v>0</v>
      </c>
      <c r="N168" s="20">
        <v>3150000</v>
      </c>
      <c r="O168" s="10">
        <v>3150000</v>
      </c>
      <c r="P168" t="s">
        <v>704</v>
      </c>
      <c r="Q168" s="1" t="e">
        <v>#N/A</v>
      </c>
      <c r="S168" s="11" t="s">
        <v>1036</v>
      </c>
    </row>
    <row r="169" spans="1:19" x14ac:dyDescent="0.25">
      <c r="A169" t="s">
        <v>1156</v>
      </c>
      <c r="B169" t="s">
        <v>13</v>
      </c>
      <c r="C169" s="12">
        <v>46042</v>
      </c>
      <c r="D169" s="12">
        <v>46132</v>
      </c>
      <c r="E169" t="s">
        <v>775</v>
      </c>
      <c r="F169" t="s">
        <v>14</v>
      </c>
      <c r="G169">
        <v>36950892</v>
      </c>
      <c r="H169" t="s">
        <v>683</v>
      </c>
      <c r="I169">
        <v>59836926</v>
      </c>
      <c r="J169" t="s">
        <v>14</v>
      </c>
      <c r="K169" t="s">
        <v>17</v>
      </c>
      <c r="L169" s="1">
        <v>3150000</v>
      </c>
      <c r="M169" s="1">
        <v>3150000</v>
      </c>
      <c r="N169" s="20">
        <v>9450000</v>
      </c>
      <c r="O169" s="10">
        <v>9450000</v>
      </c>
      <c r="P169" t="s">
        <v>704</v>
      </c>
      <c r="Q169" s="1">
        <v>6300000</v>
      </c>
      <c r="S169" s="11" t="s">
        <v>1036</v>
      </c>
    </row>
    <row r="170" spans="1:19" x14ac:dyDescent="0.25">
      <c r="A170" t="s">
        <v>1157</v>
      </c>
      <c r="B170" t="s">
        <v>13</v>
      </c>
      <c r="C170" s="12">
        <v>46042</v>
      </c>
      <c r="D170" s="12">
        <v>46073</v>
      </c>
      <c r="E170" t="s">
        <v>744</v>
      </c>
      <c r="F170" t="s">
        <v>14</v>
      </c>
      <c r="G170">
        <v>1088734182</v>
      </c>
      <c r="H170" t="s">
        <v>565</v>
      </c>
      <c r="I170">
        <v>98333941</v>
      </c>
      <c r="J170" t="s">
        <v>14</v>
      </c>
      <c r="K170" t="s">
        <v>15</v>
      </c>
      <c r="L170" s="1" t="e">
        <v>#N/A</v>
      </c>
      <c r="M170" s="1">
        <v>0</v>
      </c>
      <c r="N170" s="20">
        <v>7800000</v>
      </c>
      <c r="O170" s="10">
        <v>7800000</v>
      </c>
      <c r="P170" t="s">
        <v>704</v>
      </c>
      <c r="Q170" s="1" t="e">
        <v>#N/A</v>
      </c>
      <c r="S170" s="11" t="s">
        <v>1036</v>
      </c>
    </row>
    <row r="171" spans="1:19" x14ac:dyDescent="0.25">
      <c r="A171" t="s">
        <v>1158</v>
      </c>
      <c r="B171" t="s">
        <v>13</v>
      </c>
      <c r="C171" s="12">
        <v>46042</v>
      </c>
      <c r="D171" s="12">
        <v>46193</v>
      </c>
      <c r="E171" t="s">
        <v>775</v>
      </c>
      <c r="F171" t="s">
        <v>14</v>
      </c>
      <c r="G171">
        <v>1087006717</v>
      </c>
      <c r="H171" t="s">
        <v>42</v>
      </c>
      <c r="I171">
        <v>59836926</v>
      </c>
      <c r="J171" t="s">
        <v>14</v>
      </c>
      <c r="K171" t="s">
        <v>17</v>
      </c>
      <c r="L171" s="1">
        <v>3150000</v>
      </c>
      <c r="M171" s="1">
        <v>3150000</v>
      </c>
      <c r="N171" s="20">
        <v>15750000</v>
      </c>
      <c r="O171" s="10">
        <v>15750000</v>
      </c>
      <c r="P171" t="s">
        <v>704</v>
      </c>
      <c r="Q171" s="1">
        <v>12600000</v>
      </c>
      <c r="S171" s="11" t="s">
        <v>1036</v>
      </c>
    </row>
    <row r="172" spans="1:19" x14ac:dyDescent="0.25">
      <c r="A172" t="s">
        <v>1159</v>
      </c>
      <c r="B172" t="s">
        <v>13</v>
      </c>
      <c r="C172" s="12">
        <v>46042</v>
      </c>
      <c r="D172" s="12">
        <v>46132</v>
      </c>
      <c r="E172" t="s">
        <v>775</v>
      </c>
      <c r="F172" t="s">
        <v>14</v>
      </c>
      <c r="G172">
        <v>1086018841</v>
      </c>
      <c r="H172" t="s">
        <v>161</v>
      </c>
      <c r="I172">
        <v>43624414</v>
      </c>
      <c r="J172" t="s">
        <v>14</v>
      </c>
      <c r="K172" t="s">
        <v>18</v>
      </c>
      <c r="L172" s="1" t="e">
        <v>#N/A</v>
      </c>
      <c r="M172" s="1">
        <v>0</v>
      </c>
      <c r="N172" s="20">
        <v>9450000</v>
      </c>
      <c r="O172" s="10">
        <v>9450000</v>
      </c>
      <c r="P172" t="s">
        <v>704</v>
      </c>
      <c r="Q172" s="1" t="e">
        <v>#N/A</v>
      </c>
      <c r="S172" s="11" t="s">
        <v>1036</v>
      </c>
    </row>
    <row r="173" spans="1:19" x14ac:dyDescent="0.25">
      <c r="A173" t="s">
        <v>1160</v>
      </c>
      <c r="B173" t="s">
        <v>13</v>
      </c>
      <c r="C173" s="12">
        <v>46042</v>
      </c>
      <c r="D173" s="12">
        <v>46193</v>
      </c>
      <c r="E173" t="s">
        <v>744</v>
      </c>
      <c r="F173" t="s">
        <v>14</v>
      </c>
      <c r="G173">
        <v>1084552063</v>
      </c>
      <c r="H173" t="s">
        <v>327</v>
      </c>
      <c r="I173">
        <v>98333941</v>
      </c>
      <c r="J173" t="s">
        <v>14</v>
      </c>
      <c r="K173" t="s">
        <v>15</v>
      </c>
      <c r="L173" s="1" t="e">
        <v>#N/A</v>
      </c>
      <c r="M173" s="1">
        <v>0</v>
      </c>
      <c r="N173" s="20">
        <v>39000000</v>
      </c>
      <c r="O173" s="10">
        <v>39000000</v>
      </c>
      <c r="P173" t="s">
        <v>704</v>
      </c>
      <c r="Q173" s="1" t="e">
        <v>#N/A</v>
      </c>
      <c r="S173" s="11" t="s">
        <v>1036</v>
      </c>
    </row>
    <row r="174" spans="1:19" x14ac:dyDescent="0.25">
      <c r="A174" t="s">
        <v>1161</v>
      </c>
      <c r="B174" t="s">
        <v>13</v>
      </c>
      <c r="C174" s="12">
        <v>46042</v>
      </c>
      <c r="D174" s="12">
        <v>46132</v>
      </c>
      <c r="E174" t="s">
        <v>775</v>
      </c>
      <c r="F174" t="s">
        <v>14</v>
      </c>
      <c r="G174">
        <v>1085261053</v>
      </c>
      <c r="H174" t="s">
        <v>443</v>
      </c>
      <c r="I174">
        <v>43624414</v>
      </c>
      <c r="J174" t="s">
        <v>14</v>
      </c>
      <c r="K174" t="s">
        <v>18</v>
      </c>
      <c r="L174" s="1" t="e">
        <v>#N/A</v>
      </c>
      <c r="M174" s="1">
        <v>0</v>
      </c>
      <c r="N174" s="20">
        <v>9450000</v>
      </c>
      <c r="O174" s="10">
        <v>9450000</v>
      </c>
      <c r="P174" t="s">
        <v>704</v>
      </c>
      <c r="Q174" s="1" t="e">
        <v>#N/A</v>
      </c>
      <c r="S174" s="11" t="s">
        <v>1036</v>
      </c>
    </row>
    <row r="175" spans="1:19" x14ac:dyDescent="0.25">
      <c r="A175" t="s">
        <v>1162</v>
      </c>
      <c r="B175" t="s">
        <v>13</v>
      </c>
      <c r="C175" s="12">
        <v>46042</v>
      </c>
      <c r="D175" s="12">
        <v>46132</v>
      </c>
      <c r="E175" t="s">
        <v>775</v>
      </c>
      <c r="F175" t="s">
        <v>14</v>
      </c>
      <c r="G175">
        <v>1085324685</v>
      </c>
      <c r="H175" t="s">
        <v>312</v>
      </c>
      <c r="I175">
        <v>43624414</v>
      </c>
      <c r="J175" t="s">
        <v>14</v>
      </c>
      <c r="K175" t="s">
        <v>18</v>
      </c>
      <c r="L175" s="1">
        <v>3150000</v>
      </c>
      <c r="M175" s="1">
        <v>3150000</v>
      </c>
      <c r="N175" s="20">
        <v>9450000</v>
      </c>
      <c r="O175" s="10">
        <v>9450000</v>
      </c>
      <c r="P175" t="s">
        <v>704</v>
      </c>
      <c r="Q175" s="1">
        <v>6300000</v>
      </c>
      <c r="S175" s="11" t="s">
        <v>1036</v>
      </c>
    </row>
    <row r="176" spans="1:19" x14ac:dyDescent="0.25">
      <c r="A176" t="s">
        <v>1163</v>
      </c>
      <c r="B176" t="s">
        <v>13</v>
      </c>
      <c r="C176" s="12">
        <v>46042</v>
      </c>
      <c r="D176" s="12">
        <v>46132</v>
      </c>
      <c r="E176" t="s">
        <v>775</v>
      </c>
      <c r="F176" t="s">
        <v>14</v>
      </c>
      <c r="G176">
        <v>1080041553</v>
      </c>
      <c r="H176" t="s">
        <v>331</v>
      </c>
      <c r="I176">
        <v>98390119</v>
      </c>
      <c r="J176" t="s">
        <v>14</v>
      </c>
      <c r="K176" t="s">
        <v>63</v>
      </c>
      <c r="L176" s="1" t="e">
        <v>#N/A</v>
      </c>
      <c r="M176" s="1">
        <v>0</v>
      </c>
      <c r="N176" s="20">
        <v>9450000</v>
      </c>
      <c r="O176" s="10">
        <v>9450000</v>
      </c>
      <c r="P176" t="s">
        <v>704</v>
      </c>
      <c r="Q176" s="1" t="e">
        <v>#N/A</v>
      </c>
      <c r="S176" s="11" t="s">
        <v>1036</v>
      </c>
    </row>
    <row r="177" spans="1:19" x14ac:dyDescent="0.25">
      <c r="A177" t="s">
        <v>1164</v>
      </c>
      <c r="B177" t="s">
        <v>13</v>
      </c>
      <c r="C177" s="12">
        <v>46042</v>
      </c>
      <c r="D177" s="12">
        <v>46193</v>
      </c>
      <c r="E177" t="s">
        <v>775</v>
      </c>
      <c r="F177" t="s">
        <v>14</v>
      </c>
      <c r="G177">
        <v>1086328063</v>
      </c>
      <c r="H177" t="s">
        <v>881</v>
      </c>
      <c r="I177">
        <v>98390119</v>
      </c>
      <c r="J177" t="s">
        <v>14</v>
      </c>
      <c r="K177" t="s">
        <v>63</v>
      </c>
      <c r="L177" s="1" t="e">
        <v>#N/A</v>
      </c>
      <c r="M177" s="1">
        <v>0</v>
      </c>
      <c r="N177" s="20">
        <v>15750000</v>
      </c>
      <c r="O177" s="10">
        <v>15750000</v>
      </c>
      <c r="P177" t="s">
        <v>704</v>
      </c>
      <c r="Q177" s="1" t="e">
        <v>#N/A</v>
      </c>
      <c r="S177" s="11" t="s">
        <v>1036</v>
      </c>
    </row>
    <row r="178" spans="1:19" x14ac:dyDescent="0.25">
      <c r="A178" t="s">
        <v>1165</v>
      </c>
      <c r="B178" t="s">
        <v>13</v>
      </c>
      <c r="C178" s="12">
        <v>46042</v>
      </c>
      <c r="D178" s="12">
        <v>46132</v>
      </c>
      <c r="E178" t="s">
        <v>775</v>
      </c>
      <c r="F178" t="s">
        <v>14</v>
      </c>
      <c r="G178">
        <v>59310853</v>
      </c>
      <c r="H178" t="s">
        <v>57</v>
      </c>
      <c r="I178">
        <v>43624414</v>
      </c>
      <c r="J178" t="s">
        <v>14</v>
      </c>
      <c r="K178" t="s">
        <v>18</v>
      </c>
      <c r="L178" s="1" t="e">
        <v>#N/A</v>
      </c>
      <c r="M178" s="1">
        <v>0</v>
      </c>
      <c r="N178" s="20">
        <v>9450000</v>
      </c>
      <c r="O178" s="10">
        <v>9450000</v>
      </c>
      <c r="P178" t="s">
        <v>704</v>
      </c>
      <c r="Q178" s="1" t="e">
        <v>#N/A</v>
      </c>
      <c r="S178" s="11" t="s">
        <v>1036</v>
      </c>
    </row>
    <row r="179" spans="1:19" x14ac:dyDescent="0.25">
      <c r="A179" t="s">
        <v>1166</v>
      </c>
      <c r="B179" t="s">
        <v>13</v>
      </c>
      <c r="C179" s="12">
        <v>46042</v>
      </c>
      <c r="D179" s="12">
        <v>46132</v>
      </c>
      <c r="E179" t="s">
        <v>775</v>
      </c>
      <c r="F179" t="s">
        <v>14</v>
      </c>
      <c r="G179">
        <v>1086330124</v>
      </c>
      <c r="H179" t="s">
        <v>348</v>
      </c>
      <c r="I179">
        <v>98333941</v>
      </c>
      <c r="J179" t="s">
        <v>14</v>
      </c>
      <c r="K179" t="s">
        <v>15</v>
      </c>
      <c r="L179" s="1" t="e">
        <v>#N/A</v>
      </c>
      <c r="M179" s="1">
        <v>0</v>
      </c>
      <c r="N179" s="20">
        <v>9450000</v>
      </c>
      <c r="O179" s="10">
        <v>9450000</v>
      </c>
      <c r="P179" t="s">
        <v>704</v>
      </c>
      <c r="Q179" s="1" t="e">
        <v>#N/A</v>
      </c>
      <c r="S179" s="11" t="s">
        <v>1036</v>
      </c>
    </row>
    <row r="180" spans="1:19" x14ac:dyDescent="0.25">
      <c r="A180" t="s">
        <v>1031</v>
      </c>
      <c r="B180" t="s">
        <v>13</v>
      </c>
      <c r="C180" s="12">
        <v>46042</v>
      </c>
      <c r="D180" s="12">
        <v>46132</v>
      </c>
      <c r="E180" t="s">
        <v>775</v>
      </c>
      <c r="F180" t="s">
        <v>14</v>
      </c>
      <c r="G180">
        <v>1081272656</v>
      </c>
      <c r="H180" t="s">
        <v>664</v>
      </c>
      <c r="I180">
        <v>59836926</v>
      </c>
      <c r="J180" t="s">
        <v>14</v>
      </c>
      <c r="K180" t="s">
        <v>17</v>
      </c>
      <c r="L180" s="1">
        <v>3150000</v>
      </c>
      <c r="M180" s="1">
        <v>3150000</v>
      </c>
      <c r="N180" s="20">
        <v>9450000</v>
      </c>
      <c r="O180" s="10">
        <v>9450000</v>
      </c>
      <c r="P180" t="s">
        <v>704</v>
      </c>
      <c r="Q180" s="1">
        <v>6300000</v>
      </c>
      <c r="S180" s="11" t="s">
        <v>1036</v>
      </c>
    </row>
    <row r="181" spans="1:19" x14ac:dyDescent="0.25">
      <c r="A181" t="s">
        <v>1167</v>
      </c>
      <c r="B181" t="s">
        <v>13</v>
      </c>
      <c r="C181" s="12">
        <v>46042</v>
      </c>
      <c r="D181" s="12">
        <v>46193</v>
      </c>
      <c r="E181" t="s">
        <v>775</v>
      </c>
      <c r="F181" t="s">
        <v>14</v>
      </c>
      <c r="G181">
        <v>27388522</v>
      </c>
      <c r="H181" t="s">
        <v>38</v>
      </c>
      <c r="I181">
        <v>59836926</v>
      </c>
      <c r="J181" t="s">
        <v>14</v>
      </c>
      <c r="K181" t="s">
        <v>17</v>
      </c>
      <c r="L181" s="1" t="e">
        <v>#N/A</v>
      </c>
      <c r="M181" s="1">
        <v>0</v>
      </c>
      <c r="N181" s="20">
        <v>15750000</v>
      </c>
      <c r="O181" s="10">
        <v>15750000</v>
      </c>
      <c r="P181" t="s">
        <v>704</v>
      </c>
      <c r="Q181" s="1" t="e">
        <v>#N/A</v>
      </c>
      <c r="S181" s="11" t="s">
        <v>1036</v>
      </c>
    </row>
    <row r="182" spans="1:19" x14ac:dyDescent="0.25">
      <c r="A182" t="s">
        <v>1168</v>
      </c>
      <c r="B182" t="s">
        <v>13</v>
      </c>
      <c r="C182" s="12">
        <v>46042</v>
      </c>
      <c r="D182" s="12">
        <v>46073</v>
      </c>
      <c r="E182" t="s">
        <v>775</v>
      </c>
      <c r="F182" t="s">
        <v>14</v>
      </c>
      <c r="G182">
        <v>59834953</v>
      </c>
      <c r="H182" t="s">
        <v>35</v>
      </c>
      <c r="I182">
        <v>98390119</v>
      </c>
      <c r="J182" t="s">
        <v>14</v>
      </c>
      <c r="K182" t="s">
        <v>63</v>
      </c>
      <c r="L182" s="1" t="e">
        <v>#N/A</v>
      </c>
      <c r="M182" s="1">
        <v>0</v>
      </c>
      <c r="N182" s="20">
        <v>3150000</v>
      </c>
      <c r="O182" s="10">
        <v>3150000</v>
      </c>
      <c r="P182" t="s">
        <v>704</v>
      </c>
      <c r="Q182" s="1" t="e">
        <v>#N/A</v>
      </c>
      <c r="S182" s="11" t="s">
        <v>1036</v>
      </c>
    </row>
    <row r="183" spans="1:19" x14ac:dyDescent="0.25">
      <c r="A183" t="s">
        <v>1169</v>
      </c>
      <c r="B183" t="s">
        <v>13</v>
      </c>
      <c r="C183" s="12">
        <v>46042</v>
      </c>
      <c r="D183" s="12">
        <v>46073</v>
      </c>
      <c r="E183" t="s">
        <v>744</v>
      </c>
      <c r="F183" t="s">
        <v>14</v>
      </c>
      <c r="G183">
        <v>1233188295</v>
      </c>
      <c r="H183" t="s">
        <v>358</v>
      </c>
      <c r="I183">
        <v>98390119</v>
      </c>
      <c r="J183" t="s">
        <v>14</v>
      </c>
      <c r="K183" t="s">
        <v>63</v>
      </c>
      <c r="L183" s="1" t="e">
        <v>#N/A</v>
      </c>
      <c r="M183" s="1">
        <v>0</v>
      </c>
      <c r="N183" s="20">
        <v>7800000</v>
      </c>
      <c r="O183" s="10">
        <v>7800000</v>
      </c>
      <c r="P183" t="s">
        <v>704</v>
      </c>
      <c r="Q183" s="1" t="e">
        <v>#N/A</v>
      </c>
      <c r="S183" s="11" t="s">
        <v>1036</v>
      </c>
    </row>
    <row r="184" spans="1:19" x14ac:dyDescent="0.25">
      <c r="A184" t="s">
        <v>1170</v>
      </c>
      <c r="B184" t="s">
        <v>13</v>
      </c>
      <c r="C184" s="12">
        <v>46042</v>
      </c>
      <c r="D184" s="12">
        <v>46073</v>
      </c>
      <c r="E184" t="s">
        <v>775</v>
      </c>
      <c r="F184" t="s">
        <v>14</v>
      </c>
      <c r="G184">
        <v>59830040</v>
      </c>
      <c r="H184" t="s">
        <v>76</v>
      </c>
      <c r="I184">
        <v>59836926</v>
      </c>
      <c r="J184" t="s">
        <v>14</v>
      </c>
      <c r="K184" t="s">
        <v>17</v>
      </c>
      <c r="L184" s="1" t="e">
        <v>#N/A</v>
      </c>
      <c r="M184" s="1">
        <v>0</v>
      </c>
      <c r="N184" s="20">
        <v>3150000</v>
      </c>
      <c r="O184" s="10">
        <v>3150000</v>
      </c>
      <c r="P184" t="s">
        <v>704</v>
      </c>
      <c r="Q184" s="1" t="e">
        <v>#N/A</v>
      </c>
      <c r="S184" s="11" t="s">
        <v>1036</v>
      </c>
    </row>
    <row r="185" spans="1:19" x14ac:dyDescent="0.25">
      <c r="A185" t="s">
        <v>1020</v>
      </c>
      <c r="B185" t="s">
        <v>13</v>
      </c>
      <c r="C185" s="12">
        <v>46042</v>
      </c>
      <c r="D185" s="12">
        <v>46193</v>
      </c>
      <c r="E185" t="s">
        <v>775</v>
      </c>
      <c r="F185" t="s">
        <v>14</v>
      </c>
      <c r="G185">
        <v>1082749295</v>
      </c>
      <c r="H185" t="s">
        <v>538</v>
      </c>
      <c r="I185">
        <v>98333941</v>
      </c>
      <c r="J185" t="s">
        <v>14</v>
      </c>
      <c r="K185" t="s">
        <v>15</v>
      </c>
      <c r="L185" s="1">
        <v>3150000</v>
      </c>
      <c r="M185" s="1">
        <v>3150000</v>
      </c>
      <c r="N185" s="20">
        <v>15750000</v>
      </c>
      <c r="O185" s="10">
        <v>15750000</v>
      </c>
      <c r="P185" t="s">
        <v>704</v>
      </c>
      <c r="Q185" s="1">
        <v>12600000</v>
      </c>
      <c r="S185" s="11" t="s">
        <v>1036</v>
      </c>
    </row>
    <row r="186" spans="1:19" x14ac:dyDescent="0.25">
      <c r="A186" t="s">
        <v>1171</v>
      </c>
      <c r="B186" t="s">
        <v>13</v>
      </c>
      <c r="C186" s="12">
        <v>46042</v>
      </c>
      <c r="D186" s="12">
        <v>46132</v>
      </c>
      <c r="E186" t="s">
        <v>775</v>
      </c>
      <c r="F186" t="s">
        <v>14</v>
      </c>
      <c r="G186">
        <v>59313711</v>
      </c>
      <c r="H186" t="s">
        <v>231</v>
      </c>
      <c r="I186">
        <v>98333941</v>
      </c>
      <c r="J186" t="s">
        <v>14</v>
      </c>
      <c r="K186" t="s">
        <v>15</v>
      </c>
      <c r="L186" s="1" t="e">
        <v>#N/A</v>
      </c>
      <c r="M186" s="1">
        <v>0</v>
      </c>
      <c r="N186" s="20">
        <v>9450000</v>
      </c>
      <c r="O186" s="10">
        <v>9450000</v>
      </c>
      <c r="P186" t="s">
        <v>704</v>
      </c>
      <c r="Q186" s="1" t="e">
        <v>#N/A</v>
      </c>
      <c r="S186" s="11" t="s">
        <v>1036</v>
      </c>
    </row>
    <row r="187" spans="1:19" x14ac:dyDescent="0.25">
      <c r="A187" t="s">
        <v>1172</v>
      </c>
      <c r="B187" t="s">
        <v>13</v>
      </c>
      <c r="C187" s="12">
        <v>46042</v>
      </c>
      <c r="D187" s="12">
        <v>46073</v>
      </c>
      <c r="E187" t="s">
        <v>775</v>
      </c>
      <c r="F187" t="s">
        <v>14</v>
      </c>
      <c r="G187">
        <v>1081572043</v>
      </c>
      <c r="H187" t="s">
        <v>54</v>
      </c>
      <c r="I187">
        <v>59836926</v>
      </c>
      <c r="J187" t="s">
        <v>14</v>
      </c>
      <c r="K187" t="s">
        <v>17</v>
      </c>
      <c r="L187" s="1" t="e">
        <v>#N/A</v>
      </c>
      <c r="M187" s="1">
        <v>0</v>
      </c>
      <c r="N187" s="20">
        <v>3150000</v>
      </c>
      <c r="O187" s="10">
        <v>3150000</v>
      </c>
      <c r="P187" t="s">
        <v>704</v>
      </c>
      <c r="Q187" s="1" t="e">
        <v>#N/A</v>
      </c>
      <c r="S187" s="11" t="s">
        <v>1036</v>
      </c>
    </row>
    <row r="188" spans="1:19" x14ac:dyDescent="0.25">
      <c r="A188" t="s">
        <v>1173</v>
      </c>
      <c r="B188" t="s">
        <v>13</v>
      </c>
      <c r="C188" s="12">
        <v>46042</v>
      </c>
      <c r="D188" s="12">
        <v>46193</v>
      </c>
      <c r="E188" t="s">
        <v>775</v>
      </c>
      <c r="F188" t="s">
        <v>14</v>
      </c>
      <c r="G188">
        <v>1084552048</v>
      </c>
      <c r="H188" t="s">
        <v>66</v>
      </c>
      <c r="I188">
        <v>98333941</v>
      </c>
      <c r="J188" t="s">
        <v>14</v>
      </c>
      <c r="K188" t="s">
        <v>15</v>
      </c>
      <c r="L188" s="1" t="e">
        <v>#N/A</v>
      </c>
      <c r="M188" s="1">
        <v>0</v>
      </c>
      <c r="N188" s="20">
        <v>15750000</v>
      </c>
      <c r="O188" s="10">
        <v>15750000</v>
      </c>
      <c r="P188" t="s">
        <v>704</v>
      </c>
      <c r="Q188" s="1" t="e">
        <v>#N/A</v>
      </c>
      <c r="S188" s="11" t="s">
        <v>1036</v>
      </c>
    </row>
    <row r="189" spans="1:19" x14ac:dyDescent="0.25">
      <c r="A189" t="s">
        <v>1174</v>
      </c>
      <c r="B189" t="s">
        <v>13</v>
      </c>
      <c r="C189" s="12">
        <v>46042</v>
      </c>
      <c r="D189" s="12">
        <v>46132</v>
      </c>
      <c r="E189" t="s">
        <v>744</v>
      </c>
      <c r="F189" t="s">
        <v>14</v>
      </c>
      <c r="G189">
        <v>1085335069</v>
      </c>
      <c r="H189" t="s">
        <v>592</v>
      </c>
      <c r="I189">
        <v>98390119</v>
      </c>
      <c r="J189" t="s">
        <v>14</v>
      </c>
      <c r="K189" t="s">
        <v>63</v>
      </c>
      <c r="L189" s="1" t="e">
        <v>#N/A</v>
      </c>
      <c r="M189" s="1">
        <v>0</v>
      </c>
      <c r="N189" s="20">
        <v>14190000</v>
      </c>
      <c r="O189" s="10">
        <v>14190000</v>
      </c>
      <c r="P189" t="s">
        <v>704</v>
      </c>
      <c r="Q189" s="1" t="e">
        <v>#N/A</v>
      </c>
      <c r="S189" s="11" t="s">
        <v>1036</v>
      </c>
    </row>
    <row r="190" spans="1:19" x14ac:dyDescent="0.25">
      <c r="A190" t="s">
        <v>1175</v>
      </c>
      <c r="B190" t="s">
        <v>13</v>
      </c>
      <c r="C190" s="12">
        <v>46042</v>
      </c>
      <c r="D190" s="12">
        <v>46132</v>
      </c>
      <c r="E190" t="s">
        <v>775</v>
      </c>
      <c r="F190" t="s">
        <v>14</v>
      </c>
      <c r="G190">
        <v>1086222689</v>
      </c>
      <c r="H190" t="s">
        <v>36</v>
      </c>
      <c r="I190">
        <v>59836926</v>
      </c>
      <c r="J190" t="s">
        <v>14</v>
      </c>
      <c r="K190" t="s">
        <v>17</v>
      </c>
      <c r="L190" s="1">
        <v>3150000</v>
      </c>
      <c r="M190" s="1">
        <v>3150000</v>
      </c>
      <c r="N190" s="20">
        <v>9450000</v>
      </c>
      <c r="O190" s="10">
        <v>9450000</v>
      </c>
      <c r="P190" t="s">
        <v>704</v>
      </c>
      <c r="Q190" s="1">
        <v>6300000</v>
      </c>
      <c r="S190" s="11" t="s">
        <v>1036</v>
      </c>
    </row>
    <row r="191" spans="1:19" x14ac:dyDescent="0.25">
      <c r="A191" t="s">
        <v>1176</v>
      </c>
      <c r="B191" t="s">
        <v>13</v>
      </c>
      <c r="C191" s="12">
        <v>46042</v>
      </c>
      <c r="D191" s="12">
        <v>46132</v>
      </c>
      <c r="E191" t="s">
        <v>744</v>
      </c>
      <c r="F191" t="s">
        <v>14</v>
      </c>
      <c r="G191">
        <v>1085293619</v>
      </c>
      <c r="H191" t="s">
        <v>420</v>
      </c>
      <c r="I191">
        <v>43624414</v>
      </c>
      <c r="J191" t="s">
        <v>14</v>
      </c>
      <c r="K191" t="s">
        <v>18</v>
      </c>
      <c r="L191" s="1" t="e">
        <v>#N/A</v>
      </c>
      <c r="M191" s="1">
        <v>0</v>
      </c>
      <c r="N191" s="20">
        <v>14190000</v>
      </c>
      <c r="O191" s="10">
        <v>14190000</v>
      </c>
      <c r="P191" t="s">
        <v>704</v>
      </c>
      <c r="Q191" s="1" t="e">
        <v>#N/A</v>
      </c>
      <c r="S191" s="11" t="s">
        <v>1036</v>
      </c>
    </row>
    <row r="192" spans="1:19" x14ac:dyDescent="0.25">
      <c r="A192" t="s">
        <v>1177</v>
      </c>
      <c r="B192" t="s">
        <v>13</v>
      </c>
      <c r="C192" s="12">
        <v>46042</v>
      </c>
      <c r="D192" s="12">
        <v>46073</v>
      </c>
      <c r="E192" t="s">
        <v>775</v>
      </c>
      <c r="F192" t="s">
        <v>14</v>
      </c>
      <c r="G192">
        <v>1004131976</v>
      </c>
      <c r="H192" t="s">
        <v>291</v>
      </c>
      <c r="I192">
        <v>98390119</v>
      </c>
      <c r="J192" t="s">
        <v>14</v>
      </c>
      <c r="K192" t="s">
        <v>63</v>
      </c>
      <c r="L192" s="1" t="e">
        <v>#N/A</v>
      </c>
      <c r="M192" s="1">
        <v>0</v>
      </c>
      <c r="N192" s="20">
        <v>3150000</v>
      </c>
      <c r="O192" s="10">
        <v>3150000</v>
      </c>
      <c r="P192" t="s">
        <v>704</v>
      </c>
      <c r="Q192" s="1" t="e">
        <v>#N/A</v>
      </c>
      <c r="S192" s="11" t="s">
        <v>1036</v>
      </c>
    </row>
    <row r="193" spans="1:19" x14ac:dyDescent="0.25">
      <c r="A193" t="s">
        <v>1178</v>
      </c>
      <c r="B193" t="s">
        <v>13</v>
      </c>
      <c r="C193" s="12">
        <v>46042</v>
      </c>
      <c r="D193" s="12">
        <v>46132</v>
      </c>
      <c r="E193" t="s">
        <v>775</v>
      </c>
      <c r="F193" t="s">
        <v>14</v>
      </c>
      <c r="G193">
        <v>1085267332</v>
      </c>
      <c r="H193" t="s">
        <v>873</v>
      </c>
      <c r="I193">
        <v>98333941</v>
      </c>
      <c r="J193" t="s">
        <v>14</v>
      </c>
      <c r="K193" t="s">
        <v>15</v>
      </c>
      <c r="L193" s="1" t="e">
        <v>#N/A</v>
      </c>
      <c r="M193" s="1">
        <v>0</v>
      </c>
      <c r="N193" s="20">
        <v>9450000</v>
      </c>
      <c r="O193" s="10">
        <v>9450000</v>
      </c>
      <c r="P193" t="s">
        <v>704</v>
      </c>
      <c r="Q193" s="1" t="e">
        <v>#N/A</v>
      </c>
      <c r="S193" s="11" t="s">
        <v>1036</v>
      </c>
    </row>
    <row r="194" spans="1:19" x14ac:dyDescent="0.25">
      <c r="A194" t="s">
        <v>1179</v>
      </c>
      <c r="B194" t="s">
        <v>13</v>
      </c>
      <c r="C194" s="12">
        <v>46043</v>
      </c>
      <c r="D194" s="12">
        <v>46194</v>
      </c>
      <c r="E194" t="s">
        <v>775</v>
      </c>
      <c r="F194" t="s">
        <v>14</v>
      </c>
      <c r="G194">
        <v>36751255</v>
      </c>
      <c r="H194" t="s">
        <v>677</v>
      </c>
      <c r="I194">
        <v>98390119</v>
      </c>
      <c r="J194" t="s">
        <v>14</v>
      </c>
      <c r="K194" t="s">
        <v>63</v>
      </c>
      <c r="L194" s="1" t="e">
        <v>#N/A</v>
      </c>
      <c r="M194" s="1">
        <v>0</v>
      </c>
      <c r="N194" s="20">
        <v>15750000</v>
      </c>
      <c r="O194" s="10">
        <v>15750000</v>
      </c>
      <c r="P194" t="s">
        <v>704</v>
      </c>
      <c r="Q194" s="1" t="e">
        <v>#N/A</v>
      </c>
      <c r="S194" s="11" t="s">
        <v>1036</v>
      </c>
    </row>
    <row r="195" spans="1:19" x14ac:dyDescent="0.25">
      <c r="A195" t="s">
        <v>1180</v>
      </c>
      <c r="B195" t="s">
        <v>13</v>
      </c>
      <c r="C195" s="12">
        <v>46043</v>
      </c>
      <c r="D195" s="12">
        <v>46074</v>
      </c>
      <c r="E195" t="s">
        <v>775</v>
      </c>
      <c r="F195" t="s">
        <v>14</v>
      </c>
      <c r="G195">
        <v>27436186</v>
      </c>
      <c r="H195" t="s">
        <v>932</v>
      </c>
      <c r="I195">
        <v>43624414</v>
      </c>
      <c r="J195" t="s">
        <v>14</v>
      </c>
      <c r="K195" t="s">
        <v>18</v>
      </c>
      <c r="L195" s="1" t="e">
        <v>#N/A</v>
      </c>
      <c r="M195" s="1">
        <v>0</v>
      </c>
      <c r="N195" s="20">
        <v>3150000</v>
      </c>
      <c r="O195" s="10">
        <v>3150000</v>
      </c>
      <c r="P195" t="s">
        <v>704</v>
      </c>
      <c r="Q195" s="1" t="e">
        <v>#N/A</v>
      </c>
      <c r="S195" s="11" t="s">
        <v>1036</v>
      </c>
    </row>
    <row r="196" spans="1:19" x14ac:dyDescent="0.25">
      <c r="A196" t="s">
        <v>1181</v>
      </c>
      <c r="B196" t="s">
        <v>13</v>
      </c>
      <c r="C196" s="12">
        <v>46043</v>
      </c>
      <c r="D196" s="12">
        <v>46133</v>
      </c>
      <c r="E196" t="s">
        <v>775</v>
      </c>
      <c r="F196" t="s">
        <v>14</v>
      </c>
      <c r="G196">
        <v>1087644986</v>
      </c>
      <c r="H196" t="s">
        <v>510</v>
      </c>
      <c r="I196">
        <v>98333941</v>
      </c>
      <c r="J196" t="s">
        <v>14</v>
      </c>
      <c r="K196" t="s">
        <v>15</v>
      </c>
      <c r="L196" s="1" t="e">
        <v>#N/A</v>
      </c>
      <c r="M196" s="1">
        <v>0</v>
      </c>
      <c r="N196" s="20">
        <v>9450000</v>
      </c>
      <c r="O196" s="10">
        <v>9450000</v>
      </c>
      <c r="P196" t="s">
        <v>704</v>
      </c>
      <c r="Q196" s="1" t="e">
        <v>#N/A</v>
      </c>
      <c r="S196" s="11" t="s">
        <v>1036</v>
      </c>
    </row>
    <row r="197" spans="1:19" x14ac:dyDescent="0.25">
      <c r="A197" t="s">
        <v>1182</v>
      </c>
      <c r="B197" t="s">
        <v>13</v>
      </c>
      <c r="C197" s="12">
        <v>46043</v>
      </c>
      <c r="D197" s="12">
        <v>46133</v>
      </c>
      <c r="E197" t="s">
        <v>775</v>
      </c>
      <c r="F197" t="s">
        <v>14</v>
      </c>
      <c r="G197">
        <v>1084224968</v>
      </c>
      <c r="H197" t="s">
        <v>118</v>
      </c>
      <c r="I197">
        <v>59836926</v>
      </c>
      <c r="J197" t="s">
        <v>14</v>
      </c>
      <c r="K197" t="s">
        <v>17</v>
      </c>
      <c r="L197" s="1" t="e">
        <v>#N/A</v>
      </c>
      <c r="M197" s="1">
        <v>0</v>
      </c>
      <c r="N197" s="20">
        <v>9450000</v>
      </c>
      <c r="O197" s="10">
        <v>9450000</v>
      </c>
      <c r="P197" t="s">
        <v>704</v>
      </c>
      <c r="Q197" s="1" t="e">
        <v>#N/A</v>
      </c>
      <c r="S197" s="11" t="s">
        <v>1036</v>
      </c>
    </row>
    <row r="198" spans="1:19" x14ac:dyDescent="0.25">
      <c r="A198" t="s">
        <v>1183</v>
      </c>
      <c r="B198" t="s">
        <v>13</v>
      </c>
      <c r="C198" s="12">
        <v>46043</v>
      </c>
      <c r="D198" s="12">
        <v>46194</v>
      </c>
      <c r="E198" t="s">
        <v>775</v>
      </c>
      <c r="F198" t="s">
        <v>14</v>
      </c>
      <c r="G198">
        <v>1085288636</v>
      </c>
      <c r="H198" t="s">
        <v>519</v>
      </c>
      <c r="I198">
        <v>98390119</v>
      </c>
      <c r="J198" t="s">
        <v>14</v>
      </c>
      <c r="K198" t="s">
        <v>63</v>
      </c>
      <c r="L198" s="1" t="e">
        <v>#N/A</v>
      </c>
      <c r="M198" s="1">
        <v>0</v>
      </c>
      <c r="N198" s="20">
        <v>15750000</v>
      </c>
      <c r="O198" s="10">
        <v>15750000</v>
      </c>
      <c r="P198" t="s">
        <v>704</v>
      </c>
      <c r="Q198" s="1" t="e">
        <v>#N/A</v>
      </c>
      <c r="S198" s="11" t="s">
        <v>1036</v>
      </c>
    </row>
    <row r="199" spans="1:19" x14ac:dyDescent="0.25">
      <c r="A199" t="s">
        <v>1021</v>
      </c>
      <c r="B199" t="s">
        <v>13</v>
      </c>
      <c r="C199" s="12">
        <v>46043</v>
      </c>
      <c r="D199" s="12">
        <v>46194</v>
      </c>
      <c r="E199" t="s">
        <v>775</v>
      </c>
      <c r="F199" t="s">
        <v>14</v>
      </c>
      <c r="G199">
        <v>1085317226</v>
      </c>
      <c r="H199" t="s">
        <v>271</v>
      </c>
      <c r="I199">
        <v>98333941</v>
      </c>
      <c r="J199" t="s">
        <v>14</v>
      </c>
      <c r="K199" t="s">
        <v>15</v>
      </c>
      <c r="L199" s="1">
        <v>3150000</v>
      </c>
      <c r="M199" s="1">
        <v>3150000</v>
      </c>
      <c r="N199" s="20">
        <v>15750000</v>
      </c>
      <c r="O199" s="10">
        <v>15750000</v>
      </c>
      <c r="P199" t="s">
        <v>704</v>
      </c>
      <c r="Q199" s="1">
        <v>12600000</v>
      </c>
      <c r="S199" s="11" t="s">
        <v>1036</v>
      </c>
    </row>
    <row r="200" spans="1:19" x14ac:dyDescent="0.25">
      <c r="A200" t="s">
        <v>1184</v>
      </c>
      <c r="B200" t="s">
        <v>13</v>
      </c>
      <c r="C200" s="12">
        <v>46043</v>
      </c>
      <c r="D200" s="12">
        <v>46194</v>
      </c>
      <c r="E200" t="s">
        <v>775</v>
      </c>
      <c r="F200" t="s">
        <v>14</v>
      </c>
      <c r="G200">
        <v>27549932</v>
      </c>
      <c r="H200" t="s">
        <v>931</v>
      </c>
      <c r="I200">
        <v>43624414</v>
      </c>
      <c r="J200" t="s">
        <v>14</v>
      </c>
      <c r="K200" t="s">
        <v>18</v>
      </c>
      <c r="L200" s="1" t="e">
        <v>#N/A</v>
      </c>
      <c r="M200" s="1">
        <v>0</v>
      </c>
      <c r="N200" s="20">
        <v>15750000</v>
      </c>
      <c r="O200" s="10">
        <v>15750000</v>
      </c>
      <c r="P200" t="s">
        <v>704</v>
      </c>
      <c r="Q200" s="1" t="e">
        <v>#N/A</v>
      </c>
      <c r="S200" s="11" t="s">
        <v>1036</v>
      </c>
    </row>
    <row r="201" spans="1:19" x14ac:dyDescent="0.25">
      <c r="A201" t="s">
        <v>1185</v>
      </c>
      <c r="B201" t="s">
        <v>13</v>
      </c>
      <c r="C201" s="12">
        <v>46043</v>
      </c>
      <c r="D201" s="12">
        <v>46074</v>
      </c>
      <c r="E201" t="s">
        <v>775</v>
      </c>
      <c r="F201" t="s">
        <v>14</v>
      </c>
      <c r="G201">
        <v>1085346528</v>
      </c>
      <c r="H201" t="s">
        <v>385</v>
      </c>
      <c r="I201">
        <v>43624414</v>
      </c>
      <c r="J201" t="s">
        <v>14</v>
      </c>
      <c r="K201" t="s">
        <v>18</v>
      </c>
      <c r="L201" s="1">
        <v>3150000</v>
      </c>
      <c r="M201" s="1">
        <v>3150000</v>
      </c>
      <c r="N201" s="20">
        <v>3150000</v>
      </c>
      <c r="O201" s="10">
        <v>3150000</v>
      </c>
      <c r="P201" t="s">
        <v>704</v>
      </c>
      <c r="Q201" s="1">
        <v>0</v>
      </c>
      <c r="S201" s="11" t="s">
        <v>1036</v>
      </c>
    </row>
    <row r="202" spans="1:19" x14ac:dyDescent="0.25">
      <c r="A202" t="s">
        <v>1186</v>
      </c>
      <c r="B202" t="s">
        <v>13</v>
      </c>
      <c r="C202" s="12">
        <v>46043</v>
      </c>
      <c r="D202" s="12">
        <v>46194</v>
      </c>
      <c r="E202" t="s">
        <v>775</v>
      </c>
      <c r="F202" t="s">
        <v>14</v>
      </c>
      <c r="G202">
        <v>1010099104</v>
      </c>
      <c r="H202" t="s">
        <v>635</v>
      </c>
      <c r="I202">
        <v>59836926</v>
      </c>
      <c r="J202" t="s">
        <v>14</v>
      </c>
      <c r="K202" t="s">
        <v>17</v>
      </c>
      <c r="L202" s="1" t="e">
        <v>#N/A</v>
      </c>
      <c r="M202" s="1">
        <v>0</v>
      </c>
      <c r="N202" s="20">
        <v>15750000</v>
      </c>
      <c r="O202" s="10">
        <v>15750000</v>
      </c>
      <c r="P202" t="s">
        <v>704</v>
      </c>
      <c r="Q202" s="1" t="e">
        <v>#N/A</v>
      </c>
      <c r="S202" s="11" t="s">
        <v>1036</v>
      </c>
    </row>
    <row r="203" spans="1:19" x14ac:dyDescent="0.25">
      <c r="A203" t="s">
        <v>1187</v>
      </c>
      <c r="B203" t="s">
        <v>13</v>
      </c>
      <c r="C203" s="12">
        <v>46043</v>
      </c>
      <c r="D203" s="12">
        <v>46194</v>
      </c>
      <c r="E203" t="s">
        <v>775</v>
      </c>
      <c r="F203" t="s">
        <v>14</v>
      </c>
      <c r="G203">
        <v>27253636</v>
      </c>
      <c r="H203" t="s">
        <v>468</v>
      </c>
      <c r="I203">
        <v>98390119</v>
      </c>
      <c r="J203" t="s">
        <v>14</v>
      </c>
      <c r="K203" t="s">
        <v>63</v>
      </c>
      <c r="L203" s="1" t="e">
        <v>#N/A</v>
      </c>
      <c r="M203" s="1">
        <v>0</v>
      </c>
      <c r="N203" s="20">
        <v>15750000</v>
      </c>
      <c r="O203" s="10">
        <v>15750000</v>
      </c>
      <c r="P203" t="s">
        <v>704</v>
      </c>
      <c r="Q203" s="1" t="e">
        <v>#N/A</v>
      </c>
      <c r="S203" s="11" t="s">
        <v>1036</v>
      </c>
    </row>
    <row r="204" spans="1:19" x14ac:dyDescent="0.25">
      <c r="A204" t="s">
        <v>1188</v>
      </c>
      <c r="B204" t="s">
        <v>13</v>
      </c>
      <c r="C204" s="12">
        <v>46043</v>
      </c>
      <c r="D204" s="12">
        <v>46194</v>
      </c>
      <c r="E204" t="s">
        <v>775</v>
      </c>
      <c r="F204" t="s">
        <v>14</v>
      </c>
      <c r="G204">
        <v>1089291166</v>
      </c>
      <c r="H204" t="s">
        <v>429</v>
      </c>
      <c r="I204">
        <v>98333941</v>
      </c>
      <c r="J204" t="s">
        <v>14</v>
      </c>
      <c r="K204" t="s">
        <v>15</v>
      </c>
      <c r="L204" s="1" t="e">
        <v>#N/A</v>
      </c>
      <c r="M204" s="1">
        <v>0</v>
      </c>
      <c r="N204" s="20">
        <v>15750000</v>
      </c>
      <c r="O204" s="10">
        <v>15750000</v>
      </c>
      <c r="P204" t="s">
        <v>704</v>
      </c>
      <c r="Q204" s="1" t="e">
        <v>#N/A</v>
      </c>
      <c r="S204" s="11" t="s">
        <v>1036</v>
      </c>
    </row>
    <row r="205" spans="1:19" x14ac:dyDescent="0.25">
      <c r="A205" t="s">
        <v>1189</v>
      </c>
      <c r="B205" t="s">
        <v>13</v>
      </c>
      <c r="C205" s="12">
        <v>46043</v>
      </c>
      <c r="D205" s="12">
        <v>46133</v>
      </c>
      <c r="E205" t="s">
        <v>744</v>
      </c>
      <c r="F205" t="s">
        <v>14</v>
      </c>
      <c r="G205">
        <v>87065647</v>
      </c>
      <c r="H205" t="s">
        <v>410</v>
      </c>
      <c r="I205">
        <v>59836926</v>
      </c>
      <c r="J205" t="s">
        <v>14</v>
      </c>
      <c r="K205" t="s">
        <v>17</v>
      </c>
      <c r="L205" s="1" t="e">
        <v>#N/A</v>
      </c>
      <c r="M205" s="1">
        <v>0</v>
      </c>
      <c r="N205" s="20">
        <v>23400000</v>
      </c>
      <c r="O205" s="10">
        <v>23400000</v>
      </c>
      <c r="P205" t="s">
        <v>704</v>
      </c>
      <c r="Q205" s="1" t="e">
        <v>#N/A</v>
      </c>
      <c r="S205" s="11" t="s">
        <v>1036</v>
      </c>
    </row>
    <row r="206" spans="1:19" x14ac:dyDescent="0.25">
      <c r="A206" t="s">
        <v>1190</v>
      </c>
      <c r="B206" t="s">
        <v>13</v>
      </c>
      <c r="C206" s="12">
        <v>46043</v>
      </c>
      <c r="D206" s="12">
        <v>46194</v>
      </c>
      <c r="E206" t="s">
        <v>775</v>
      </c>
      <c r="F206" t="s">
        <v>14</v>
      </c>
      <c r="G206">
        <v>1004236159</v>
      </c>
      <c r="H206" t="s">
        <v>202</v>
      </c>
      <c r="I206">
        <v>98333941</v>
      </c>
      <c r="J206" t="s">
        <v>14</v>
      </c>
      <c r="K206" t="s">
        <v>15</v>
      </c>
      <c r="L206" s="1" t="e">
        <v>#N/A</v>
      </c>
      <c r="M206" s="1">
        <v>0</v>
      </c>
      <c r="N206" s="20">
        <v>15750000</v>
      </c>
      <c r="O206" s="10">
        <v>15750000</v>
      </c>
      <c r="P206" t="s">
        <v>704</v>
      </c>
      <c r="Q206" s="1" t="e">
        <v>#N/A</v>
      </c>
      <c r="S206" s="11" t="s">
        <v>1036</v>
      </c>
    </row>
    <row r="207" spans="1:19" x14ac:dyDescent="0.25">
      <c r="A207" t="s">
        <v>1191</v>
      </c>
      <c r="B207" t="s">
        <v>13</v>
      </c>
      <c r="C207" s="12">
        <v>46043</v>
      </c>
      <c r="D207" s="12">
        <v>46194</v>
      </c>
      <c r="E207" t="s">
        <v>775</v>
      </c>
      <c r="F207" t="s">
        <v>14</v>
      </c>
      <c r="G207">
        <v>1085331558</v>
      </c>
      <c r="H207" t="s">
        <v>314</v>
      </c>
      <c r="I207">
        <v>98390119</v>
      </c>
      <c r="J207" t="s">
        <v>14</v>
      </c>
      <c r="K207" t="s">
        <v>63</v>
      </c>
      <c r="L207" s="1" t="e">
        <v>#N/A</v>
      </c>
      <c r="M207" s="1">
        <v>0</v>
      </c>
      <c r="N207" s="20">
        <v>15750000</v>
      </c>
      <c r="O207" s="10">
        <v>15750000</v>
      </c>
      <c r="P207" t="s">
        <v>704</v>
      </c>
      <c r="Q207" s="1" t="e">
        <v>#N/A</v>
      </c>
      <c r="S207" s="11" t="s">
        <v>1036</v>
      </c>
    </row>
    <row r="208" spans="1:19" x14ac:dyDescent="0.25">
      <c r="A208" t="s">
        <v>1192</v>
      </c>
      <c r="B208" t="s">
        <v>13</v>
      </c>
      <c r="C208" s="12">
        <v>46043</v>
      </c>
      <c r="D208" s="12">
        <v>46194</v>
      </c>
      <c r="E208" t="s">
        <v>775</v>
      </c>
      <c r="F208" t="s">
        <v>14</v>
      </c>
      <c r="G208">
        <v>1081592742</v>
      </c>
      <c r="H208" t="s">
        <v>656</v>
      </c>
      <c r="I208">
        <v>98333941</v>
      </c>
      <c r="J208" t="s">
        <v>14</v>
      </c>
      <c r="K208" t="s">
        <v>15</v>
      </c>
      <c r="L208" s="1" t="e">
        <v>#N/A</v>
      </c>
      <c r="M208" s="1">
        <v>0</v>
      </c>
      <c r="N208" s="20">
        <v>15750000</v>
      </c>
      <c r="O208" s="10">
        <v>15750000</v>
      </c>
      <c r="P208" t="s">
        <v>704</v>
      </c>
      <c r="Q208" s="1" t="e">
        <v>#N/A</v>
      </c>
      <c r="S208" s="11" t="s">
        <v>1036</v>
      </c>
    </row>
    <row r="209" spans="1:19" x14ac:dyDescent="0.25">
      <c r="A209" t="s">
        <v>1193</v>
      </c>
      <c r="B209" t="s">
        <v>13</v>
      </c>
      <c r="C209" s="12">
        <v>46043</v>
      </c>
      <c r="D209" s="12">
        <v>46133</v>
      </c>
      <c r="E209" t="s">
        <v>775</v>
      </c>
      <c r="F209" t="s">
        <v>14</v>
      </c>
      <c r="G209">
        <v>1137089268</v>
      </c>
      <c r="H209" t="s">
        <v>623</v>
      </c>
      <c r="I209">
        <v>59836926</v>
      </c>
      <c r="J209" t="s">
        <v>14</v>
      </c>
      <c r="K209" t="s">
        <v>17</v>
      </c>
      <c r="L209" s="1">
        <v>3150000</v>
      </c>
      <c r="M209" s="1">
        <v>3150000</v>
      </c>
      <c r="N209" s="20">
        <v>9450000</v>
      </c>
      <c r="O209" s="10">
        <v>9450000</v>
      </c>
      <c r="P209" t="s">
        <v>704</v>
      </c>
      <c r="Q209" s="1">
        <v>6300000</v>
      </c>
      <c r="S209" s="11" t="s">
        <v>1036</v>
      </c>
    </row>
    <row r="210" spans="1:19" x14ac:dyDescent="0.25">
      <c r="A210" t="s">
        <v>1194</v>
      </c>
      <c r="B210" t="s">
        <v>13</v>
      </c>
      <c r="C210" s="12">
        <v>46043</v>
      </c>
      <c r="D210" s="12">
        <v>46133</v>
      </c>
      <c r="E210" t="s">
        <v>775</v>
      </c>
      <c r="F210" t="s">
        <v>14</v>
      </c>
      <c r="G210">
        <v>1088216350</v>
      </c>
      <c r="H210" t="s">
        <v>333</v>
      </c>
      <c r="I210">
        <v>43624414</v>
      </c>
      <c r="J210" t="s">
        <v>14</v>
      </c>
      <c r="K210" t="s">
        <v>18</v>
      </c>
      <c r="L210" s="1">
        <v>3150000</v>
      </c>
      <c r="M210" s="1">
        <v>3150000</v>
      </c>
      <c r="N210" s="20">
        <v>9450000</v>
      </c>
      <c r="O210" s="10">
        <v>9450000</v>
      </c>
      <c r="P210" t="s">
        <v>704</v>
      </c>
      <c r="Q210" s="1">
        <v>6300000</v>
      </c>
      <c r="S210" s="11" t="s">
        <v>1036</v>
      </c>
    </row>
    <row r="211" spans="1:19" x14ac:dyDescent="0.25">
      <c r="A211" t="s">
        <v>1195</v>
      </c>
      <c r="B211" t="s">
        <v>13</v>
      </c>
      <c r="C211" s="12">
        <v>46043</v>
      </c>
      <c r="D211" s="12">
        <v>46133</v>
      </c>
      <c r="E211" t="s">
        <v>775</v>
      </c>
      <c r="F211" t="s">
        <v>14</v>
      </c>
      <c r="G211">
        <v>1086222977</v>
      </c>
      <c r="H211" t="s">
        <v>872</v>
      </c>
      <c r="I211">
        <v>98333941</v>
      </c>
      <c r="J211" t="s">
        <v>14</v>
      </c>
      <c r="K211" t="s">
        <v>15</v>
      </c>
      <c r="L211" s="1" t="e">
        <v>#N/A</v>
      </c>
      <c r="M211" s="1">
        <v>0</v>
      </c>
      <c r="N211" s="20">
        <v>9450000</v>
      </c>
      <c r="O211" s="10">
        <v>9450000</v>
      </c>
      <c r="P211" t="s">
        <v>704</v>
      </c>
      <c r="Q211" s="1" t="e">
        <v>#N/A</v>
      </c>
      <c r="S211" s="11" t="s">
        <v>1036</v>
      </c>
    </row>
    <row r="212" spans="1:19" x14ac:dyDescent="0.25">
      <c r="A212" t="s">
        <v>1196</v>
      </c>
      <c r="B212" t="s">
        <v>13</v>
      </c>
      <c r="C212" s="12">
        <v>46043</v>
      </c>
      <c r="D212" s="12">
        <v>46133</v>
      </c>
      <c r="E212" t="s">
        <v>775</v>
      </c>
      <c r="F212" t="s">
        <v>14</v>
      </c>
      <c r="G212">
        <v>1192717330</v>
      </c>
      <c r="H212" t="s">
        <v>58</v>
      </c>
      <c r="I212">
        <v>43624414</v>
      </c>
      <c r="J212" t="s">
        <v>14</v>
      </c>
      <c r="K212" t="s">
        <v>18</v>
      </c>
      <c r="L212" s="1" t="e">
        <v>#N/A</v>
      </c>
      <c r="M212" s="1">
        <v>0</v>
      </c>
      <c r="N212" s="20">
        <v>9450000</v>
      </c>
      <c r="O212" s="10">
        <v>9450000</v>
      </c>
      <c r="P212" t="s">
        <v>704</v>
      </c>
      <c r="Q212" s="1" t="e">
        <v>#N/A</v>
      </c>
      <c r="S212" s="11" t="s">
        <v>1036</v>
      </c>
    </row>
    <row r="213" spans="1:19" x14ac:dyDescent="0.25">
      <c r="A213" t="s">
        <v>1197</v>
      </c>
      <c r="B213" t="s">
        <v>13</v>
      </c>
      <c r="C213" s="12">
        <v>46043</v>
      </c>
      <c r="D213" s="12">
        <v>46194</v>
      </c>
      <c r="E213" t="s">
        <v>775</v>
      </c>
      <c r="F213" t="s">
        <v>14</v>
      </c>
      <c r="G213">
        <v>1085247449</v>
      </c>
      <c r="H213" t="s">
        <v>498</v>
      </c>
      <c r="I213">
        <v>98333941</v>
      </c>
      <c r="J213" t="s">
        <v>14</v>
      </c>
      <c r="K213" t="s">
        <v>15</v>
      </c>
      <c r="L213" s="1" t="e">
        <v>#N/A</v>
      </c>
      <c r="M213" s="1">
        <v>0</v>
      </c>
      <c r="N213" s="20">
        <v>15750000</v>
      </c>
      <c r="O213" s="10">
        <v>15750000</v>
      </c>
      <c r="P213" t="s">
        <v>704</v>
      </c>
      <c r="Q213" s="1" t="e">
        <v>#N/A</v>
      </c>
      <c r="S213" s="11" t="s">
        <v>1036</v>
      </c>
    </row>
    <row r="214" spans="1:19" x14ac:dyDescent="0.25">
      <c r="A214" t="s">
        <v>1198</v>
      </c>
      <c r="B214" t="s">
        <v>13</v>
      </c>
      <c r="C214" s="12">
        <v>46043</v>
      </c>
      <c r="D214" s="12">
        <v>46133</v>
      </c>
      <c r="E214" t="s">
        <v>775</v>
      </c>
      <c r="F214" t="s">
        <v>14</v>
      </c>
      <c r="G214">
        <v>1085335033</v>
      </c>
      <c r="H214" t="s">
        <v>650</v>
      </c>
      <c r="I214">
        <v>98333941</v>
      </c>
      <c r="J214" t="s">
        <v>14</v>
      </c>
      <c r="K214" t="s">
        <v>15</v>
      </c>
      <c r="L214" s="1" t="e">
        <v>#N/A</v>
      </c>
      <c r="M214" s="1">
        <v>0</v>
      </c>
      <c r="N214" s="20">
        <v>9450000</v>
      </c>
      <c r="O214" s="10">
        <v>9450000</v>
      </c>
      <c r="P214" t="s">
        <v>704</v>
      </c>
      <c r="Q214" s="1" t="e">
        <v>#N/A</v>
      </c>
      <c r="S214" s="11" t="s">
        <v>1036</v>
      </c>
    </row>
    <row r="215" spans="1:19" x14ac:dyDescent="0.25">
      <c r="A215" t="s">
        <v>1199</v>
      </c>
      <c r="B215" t="s">
        <v>13</v>
      </c>
      <c r="C215" s="12">
        <v>46043</v>
      </c>
      <c r="D215" s="12">
        <v>46074</v>
      </c>
      <c r="E215" t="s">
        <v>775</v>
      </c>
      <c r="F215" t="s">
        <v>14</v>
      </c>
      <c r="G215">
        <v>1088799080</v>
      </c>
      <c r="H215" t="s">
        <v>157</v>
      </c>
      <c r="I215">
        <v>43624414</v>
      </c>
      <c r="J215" t="s">
        <v>14</v>
      </c>
      <c r="K215" t="s">
        <v>18</v>
      </c>
      <c r="L215" s="1" t="e">
        <v>#N/A</v>
      </c>
      <c r="M215" s="1">
        <v>0</v>
      </c>
      <c r="N215" s="20">
        <v>3150000</v>
      </c>
      <c r="O215" s="10">
        <v>3150000</v>
      </c>
      <c r="P215" t="s">
        <v>704</v>
      </c>
      <c r="Q215" s="1" t="e">
        <v>#N/A</v>
      </c>
      <c r="S215" s="11" t="s">
        <v>1036</v>
      </c>
    </row>
    <row r="216" spans="1:19" x14ac:dyDescent="0.25">
      <c r="A216" t="s">
        <v>1200</v>
      </c>
      <c r="B216" t="s">
        <v>13</v>
      </c>
      <c r="C216" s="12">
        <v>46043</v>
      </c>
      <c r="D216" s="12">
        <v>46133</v>
      </c>
      <c r="E216" t="s">
        <v>775</v>
      </c>
      <c r="F216" t="s">
        <v>14</v>
      </c>
      <c r="G216">
        <v>1004547484</v>
      </c>
      <c r="H216" t="s">
        <v>874</v>
      </c>
      <c r="I216">
        <v>98333941</v>
      </c>
      <c r="J216" t="s">
        <v>14</v>
      </c>
      <c r="K216" t="s">
        <v>15</v>
      </c>
      <c r="L216" s="1" t="e">
        <v>#N/A</v>
      </c>
      <c r="M216" s="1">
        <v>0</v>
      </c>
      <c r="N216" s="20">
        <v>9450000</v>
      </c>
      <c r="O216" s="10">
        <v>9450000</v>
      </c>
      <c r="P216" t="s">
        <v>704</v>
      </c>
      <c r="Q216" s="1" t="e">
        <v>#N/A</v>
      </c>
      <c r="S216" s="11" t="s">
        <v>1036</v>
      </c>
    </row>
    <row r="217" spans="1:19" x14ac:dyDescent="0.25">
      <c r="A217" t="s">
        <v>1201</v>
      </c>
      <c r="B217" t="s">
        <v>13</v>
      </c>
      <c r="C217" s="12">
        <v>46043</v>
      </c>
      <c r="D217" s="12">
        <v>46133</v>
      </c>
      <c r="E217" t="s">
        <v>775</v>
      </c>
      <c r="F217" t="s">
        <v>14</v>
      </c>
      <c r="G217">
        <v>1080693240</v>
      </c>
      <c r="H217" t="s">
        <v>139</v>
      </c>
      <c r="I217">
        <v>59836926</v>
      </c>
      <c r="J217" t="s">
        <v>14</v>
      </c>
      <c r="K217" t="s">
        <v>17</v>
      </c>
      <c r="L217" s="1">
        <v>3150000</v>
      </c>
      <c r="M217" s="1">
        <v>3150000</v>
      </c>
      <c r="N217" s="20">
        <v>9450000</v>
      </c>
      <c r="O217" s="10">
        <v>9450000</v>
      </c>
      <c r="P217" t="s">
        <v>704</v>
      </c>
      <c r="Q217" s="1">
        <v>6300000</v>
      </c>
      <c r="S217" s="11" t="s">
        <v>1036</v>
      </c>
    </row>
    <row r="218" spans="1:19" x14ac:dyDescent="0.25">
      <c r="A218" t="s">
        <v>1202</v>
      </c>
      <c r="B218" t="s">
        <v>13</v>
      </c>
      <c r="C218" s="12">
        <v>46044</v>
      </c>
      <c r="D218" s="12">
        <v>46075</v>
      </c>
      <c r="E218" t="s">
        <v>775</v>
      </c>
      <c r="F218" t="s">
        <v>14</v>
      </c>
      <c r="G218">
        <v>36861874</v>
      </c>
      <c r="H218" t="s">
        <v>50</v>
      </c>
      <c r="I218">
        <v>98390119</v>
      </c>
      <c r="J218" t="s">
        <v>14</v>
      </c>
      <c r="K218" t="s">
        <v>63</v>
      </c>
      <c r="L218" s="1" t="e">
        <v>#N/A</v>
      </c>
      <c r="M218" s="1">
        <v>0</v>
      </c>
      <c r="N218" s="20">
        <v>3150000</v>
      </c>
      <c r="O218" s="10">
        <v>3150000</v>
      </c>
      <c r="P218" t="s">
        <v>704</v>
      </c>
      <c r="Q218" s="1" t="e">
        <v>#N/A</v>
      </c>
      <c r="S218" s="11" t="s">
        <v>1036</v>
      </c>
    </row>
    <row r="219" spans="1:19" x14ac:dyDescent="0.25">
      <c r="A219" t="s">
        <v>1203</v>
      </c>
      <c r="B219" t="s">
        <v>13</v>
      </c>
      <c r="C219" s="12">
        <v>46044</v>
      </c>
      <c r="D219" s="12">
        <v>46134</v>
      </c>
      <c r="E219" t="s">
        <v>775</v>
      </c>
      <c r="F219" t="s">
        <v>14</v>
      </c>
      <c r="G219">
        <v>1086358836</v>
      </c>
      <c r="H219" t="s">
        <v>512</v>
      </c>
      <c r="I219">
        <v>98333941</v>
      </c>
      <c r="J219" t="s">
        <v>14</v>
      </c>
      <c r="K219" t="s">
        <v>15</v>
      </c>
      <c r="L219" s="1" t="e">
        <v>#N/A</v>
      </c>
      <c r="M219" s="1">
        <v>0</v>
      </c>
      <c r="N219" s="20">
        <v>9450000</v>
      </c>
      <c r="O219" s="10">
        <v>9450000</v>
      </c>
      <c r="P219" t="s">
        <v>704</v>
      </c>
      <c r="Q219" s="1" t="e">
        <v>#N/A</v>
      </c>
      <c r="S219" s="11" t="s">
        <v>1036</v>
      </c>
    </row>
    <row r="220" spans="1:19" x14ac:dyDescent="0.25">
      <c r="A220" t="s">
        <v>1204</v>
      </c>
      <c r="B220" t="s">
        <v>13</v>
      </c>
      <c r="C220" s="12">
        <v>46044</v>
      </c>
      <c r="D220" s="12">
        <v>46134</v>
      </c>
      <c r="E220" t="s">
        <v>793</v>
      </c>
      <c r="F220" t="s">
        <v>14</v>
      </c>
      <c r="G220">
        <v>1010113730</v>
      </c>
      <c r="H220" t="s">
        <v>521</v>
      </c>
      <c r="I220">
        <v>98333941</v>
      </c>
      <c r="J220" t="s">
        <v>14</v>
      </c>
      <c r="K220" t="s">
        <v>15</v>
      </c>
      <c r="L220" s="1" t="e">
        <v>#N/A</v>
      </c>
      <c r="M220" s="1">
        <v>0</v>
      </c>
      <c r="N220" s="20">
        <v>6000000</v>
      </c>
      <c r="O220" s="10">
        <v>6000000</v>
      </c>
      <c r="P220" t="s">
        <v>704</v>
      </c>
      <c r="Q220" s="1" t="e">
        <v>#N/A</v>
      </c>
      <c r="S220" s="11" t="s">
        <v>1036</v>
      </c>
    </row>
    <row r="221" spans="1:19" x14ac:dyDescent="0.25">
      <c r="A221" t="s">
        <v>1205</v>
      </c>
      <c r="B221" t="s">
        <v>13</v>
      </c>
      <c r="C221" s="12">
        <v>46044</v>
      </c>
      <c r="D221" s="12">
        <v>46134</v>
      </c>
      <c r="E221" t="s">
        <v>775</v>
      </c>
      <c r="F221" t="s">
        <v>14</v>
      </c>
      <c r="G221">
        <v>1081052746</v>
      </c>
      <c r="H221" t="s">
        <v>376</v>
      </c>
      <c r="I221">
        <v>98333941</v>
      </c>
      <c r="J221" t="s">
        <v>14</v>
      </c>
      <c r="K221" t="s">
        <v>15</v>
      </c>
      <c r="L221" s="1" t="e">
        <v>#N/A</v>
      </c>
      <c r="M221" s="1">
        <v>0</v>
      </c>
      <c r="N221" s="20">
        <v>9450000</v>
      </c>
      <c r="O221" s="10">
        <v>9450000</v>
      </c>
      <c r="P221" t="s">
        <v>704</v>
      </c>
      <c r="Q221" s="1" t="e">
        <v>#N/A</v>
      </c>
      <c r="S221" s="11" t="s">
        <v>1036</v>
      </c>
    </row>
    <row r="222" spans="1:19" x14ac:dyDescent="0.25">
      <c r="A222" t="s">
        <v>1206</v>
      </c>
      <c r="B222" t="s">
        <v>13</v>
      </c>
      <c r="C222" s="12">
        <v>46044</v>
      </c>
      <c r="D222" s="12">
        <v>46134</v>
      </c>
      <c r="E222" t="s">
        <v>793</v>
      </c>
      <c r="F222" t="s">
        <v>14</v>
      </c>
      <c r="G222">
        <v>37083933</v>
      </c>
      <c r="H222" t="s">
        <v>305</v>
      </c>
      <c r="I222">
        <v>43624414</v>
      </c>
      <c r="J222" t="s">
        <v>14</v>
      </c>
      <c r="K222" t="s">
        <v>18</v>
      </c>
      <c r="L222" s="1" t="e">
        <v>#N/A</v>
      </c>
      <c r="M222" s="1">
        <v>0</v>
      </c>
      <c r="N222" s="20">
        <v>6000000</v>
      </c>
      <c r="O222" s="10">
        <v>6000000</v>
      </c>
      <c r="P222" t="s">
        <v>704</v>
      </c>
      <c r="Q222" s="1" t="e">
        <v>#N/A</v>
      </c>
      <c r="S222" s="11" t="s">
        <v>1036</v>
      </c>
    </row>
    <row r="223" spans="1:19" x14ac:dyDescent="0.25">
      <c r="A223" t="s">
        <v>1207</v>
      </c>
      <c r="B223" t="s">
        <v>13</v>
      </c>
      <c r="C223" s="12">
        <v>46044</v>
      </c>
      <c r="D223" s="12">
        <v>46195</v>
      </c>
      <c r="E223" t="s">
        <v>775</v>
      </c>
      <c r="F223" t="s">
        <v>14</v>
      </c>
      <c r="G223">
        <v>59310056</v>
      </c>
      <c r="H223" t="s">
        <v>105</v>
      </c>
      <c r="I223">
        <v>98333941</v>
      </c>
      <c r="J223" t="s">
        <v>14</v>
      </c>
      <c r="K223" t="s">
        <v>15</v>
      </c>
      <c r="L223" s="1" t="e">
        <v>#N/A</v>
      </c>
      <c r="M223" s="1">
        <v>0</v>
      </c>
      <c r="N223" s="20">
        <v>15750000</v>
      </c>
      <c r="O223" s="10">
        <v>15750000</v>
      </c>
      <c r="P223" t="s">
        <v>704</v>
      </c>
      <c r="Q223" s="1" t="e">
        <v>#N/A</v>
      </c>
      <c r="S223" s="11" t="s">
        <v>1036</v>
      </c>
    </row>
    <row r="224" spans="1:19" x14ac:dyDescent="0.25">
      <c r="A224" t="s">
        <v>1208</v>
      </c>
      <c r="B224" t="s">
        <v>13</v>
      </c>
      <c r="C224" s="12">
        <v>46044</v>
      </c>
      <c r="D224" s="12">
        <v>46134</v>
      </c>
      <c r="E224" t="s">
        <v>775</v>
      </c>
      <c r="F224" t="s">
        <v>14</v>
      </c>
      <c r="G224">
        <v>1089975658</v>
      </c>
      <c r="H224" t="s">
        <v>620</v>
      </c>
      <c r="I224">
        <v>59836926</v>
      </c>
      <c r="J224" t="s">
        <v>14</v>
      </c>
      <c r="K224" t="s">
        <v>17</v>
      </c>
      <c r="L224" s="1">
        <v>3150000</v>
      </c>
      <c r="M224" s="1">
        <v>3150000</v>
      </c>
      <c r="N224" s="20">
        <v>9450000</v>
      </c>
      <c r="O224" s="10">
        <v>9450000</v>
      </c>
      <c r="P224" t="s">
        <v>704</v>
      </c>
      <c r="Q224" s="1">
        <v>6300000</v>
      </c>
      <c r="S224" s="11" t="s">
        <v>1036</v>
      </c>
    </row>
    <row r="225" spans="1:19" x14ac:dyDescent="0.25">
      <c r="A225" t="s">
        <v>1209</v>
      </c>
      <c r="B225" t="s">
        <v>13</v>
      </c>
      <c r="C225" s="12">
        <v>46044</v>
      </c>
      <c r="D225" s="12">
        <v>46134</v>
      </c>
      <c r="E225" t="s">
        <v>793</v>
      </c>
      <c r="F225" t="s">
        <v>14</v>
      </c>
      <c r="G225">
        <v>1085327836</v>
      </c>
      <c r="H225" t="s">
        <v>77</v>
      </c>
      <c r="I225">
        <v>43624414</v>
      </c>
      <c r="J225" t="s">
        <v>14</v>
      </c>
      <c r="K225" t="s">
        <v>18</v>
      </c>
      <c r="L225" s="1">
        <v>2000000</v>
      </c>
      <c r="M225" s="1">
        <v>2000000</v>
      </c>
      <c r="N225" s="20">
        <v>6000000</v>
      </c>
      <c r="O225" s="10">
        <v>6000000</v>
      </c>
      <c r="P225" t="s">
        <v>704</v>
      </c>
      <c r="Q225" s="1">
        <v>4000000</v>
      </c>
      <c r="S225" s="11" t="s">
        <v>1036</v>
      </c>
    </row>
    <row r="226" spans="1:19" x14ac:dyDescent="0.25">
      <c r="A226" t="s">
        <v>1210</v>
      </c>
      <c r="B226" t="s">
        <v>13</v>
      </c>
      <c r="C226" s="12">
        <v>46044</v>
      </c>
      <c r="D226" s="12">
        <v>46195</v>
      </c>
      <c r="E226" t="s">
        <v>775</v>
      </c>
      <c r="F226" t="s">
        <v>14</v>
      </c>
      <c r="G226">
        <v>1085323163</v>
      </c>
      <c r="H226" t="s">
        <v>598</v>
      </c>
      <c r="I226">
        <v>98390119</v>
      </c>
      <c r="J226" t="s">
        <v>14</v>
      </c>
      <c r="K226" t="s">
        <v>63</v>
      </c>
      <c r="L226" s="1" t="e">
        <v>#N/A</v>
      </c>
      <c r="M226" s="1">
        <v>0</v>
      </c>
      <c r="N226" s="20">
        <v>15750000</v>
      </c>
      <c r="O226" s="10">
        <v>15750000</v>
      </c>
      <c r="P226" t="s">
        <v>704</v>
      </c>
      <c r="Q226" s="1" t="e">
        <v>#N/A</v>
      </c>
      <c r="S226" s="11" t="s">
        <v>1036</v>
      </c>
    </row>
    <row r="227" spans="1:19" x14ac:dyDescent="0.25">
      <c r="A227" t="s">
        <v>1211</v>
      </c>
      <c r="B227" t="s">
        <v>13</v>
      </c>
      <c r="C227" s="12">
        <v>46044</v>
      </c>
      <c r="D227" s="12">
        <v>46134</v>
      </c>
      <c r="E227" t="s">
        <v>793</v>
      </c>
      <c r="F227" t="s">
        <v>14</v>
      </c>
      <c r="G227">
        <v>59312779</v>
      </c>
      <c r="H227" t="s">
        <v>920</v>
      </c>
      <c r="I227">
        <v>98390119</v>
      </c>
      <c r="J227" t="s">
        <v>14</v>
      </c>
      <c r="K227" t="s">
        <v>63</v>
      </c>
      <c r="L227" s="1" t="e">
        <v>#N/A</v>
      </c>
      <c r="M227" s="1">
        <v>0</v>
      </c>
      <c r="N227" s="20">
        <v>6000000</v>
      </c>
      <c r="O227" s="10">
        <v>6000000</v>
      </c>
      <c r="P227" t="s">
        <v>704</v>
      </c>
      <c r="Q227" s="1" t="e">
        <v>#N/A</v>
      </c>
      <c r="S227" s="11" t="s">
        <v>1036</v>
      </c>
    </row>
    <row r="228" spans="1:19" x14ac:dyDescent="0.25">
      <c r="A228" t="s">
        <v>1212</v>
      </c>
      <c r="B228" t="s">
        <v>13</v>
      </c>
      <c r="C228" s="12">
        <v>46044</v>
      </c>
      <c r="D228" s="12">
        <v>46134</v>
      </c>
      <c r="E228" t="s">
        <v>793</v>
      </c>
      <c r="F228" t="s">
        <v>14</v>
      </c>
      <c r="G228">
        <v>1085334752</v>
      </c>
      <c r="H228" t="s">
        <v>263</v>
      </c>
      <c r="I228">
        <v>98333941</v>
      </c>
      <c r="J228" t="s">
        <v>14</v>
      </c>
      <c r="K228" t="s">
        <v>15</v>
      </c>
      <c r="L228" s="1" t="e">
        <v>#N/A</v>
      </c>
      <c r="M228" s="1">
        <v>0</v>
      </c>
      <c r="N228" s="20">
        <v>6000000</v>
      </c>
      <c r="O228" s="10">
        <v>6000000</v>
      </c>
      <c r="P228" t="s">
        <v>704</v>
      </c>
      <c r="Q228" s="1" t="e">
        <v>#N/A</v>
      </c>
      <c r="S228" s="11" t="s">
        <v>1036</v>
      </c>
    </row>
    <row r="229" spans="1:19" x14ac:dyDescent="0.25">
      <c r="A229" t="s">
        <v>1213</v>
      </c>
      <c r="B229" t="s">
        <v>13</v>
      </c>
      <c r="C229" s="12">
        <v>46044</v>
      </c>
      <c r="D229" s="12">
        <v>46134</v>
      </c>
      <c r="E229" t="s">
        <v>793</v>
      </c>
      <c r="F229" t="s">
        <v>14</v>
      </c>
      <c r="G229">
        <v>59313273</v>
      </c>
      <c r="H229" t="s">
        <v>616</v>
      </c>
      <c r="I229">
        <v>59836926</v>
      </c>
      <c r="J229" t="s">
        <v>14</v>
      </c>
      <c r="K229" t="s">
        <v>17</v>
      </c>
      <c r="L229" s="1" t="e">
        <v>#N/A</v>
      </c>
      <c r="M229" s="1">
        <v>0</v>
      </c>
      <c r="N229" s="20">
        <v>6000000</v>
      </c>
      <c r="O229" s="10">
        <v>6000000</v>
      </c>
      <c r="P229" t="s">
        <v>704</v>
      </c>
      <c r="Q229" s="1" t="e">
        <v>#N/A</v>
      </c>
      <c r="S229" s="11" t="s">
        <v>1036</v>
      </c>
    </row>
    <row r="230" spans="1:19" x14ac:dyDescent="0.25">
      <c r="A230" t="s">
        <v>1214</v>
      </c>
      <c r="B230" t="s">
        <v>13</v>
      </c>
      <c r="C230" s="12">
        <v>46044</v>
      </c>
      <c r="D230" s="12">
        <v>46134</v>
      </c>
      <c r="E230" t="s">
        <v>744</v>
      </c>
      <c r="F230" t="s">
        <v>14</v>
      </c>
      <c r="G230">
        <v>1233192708</v>
      </c>
      <c r="H230" t="s">
        <v>516</v>
      </c>
      <c r="I230">
        <v>43624414</v>
      </c>
      <c r="J230" t="s">
        <v>14</v>
      </c>
      <c r="K230" t="s">
        <v>18</v>
      </c>
      <c r="L230" s="1" t="e">
        <v>#N/A</v>
      </c>
      <c r="M230" s="1">
        <v>0</v>
      </c>
      <c r="N230" s="20">
        <v>23400000</v>
      </c>
      <c r="O230" s="10">
        <v>23400000</v>
      </c>
      <c r="P230" t="s">
        <v>704</v>
      </c>
      <c r="Q230" s="1" t="e">
        <v>#N/A</v>
      </c>
      <c r="S230" s="11" t="s">
        <v>1036</v>
      </c>
    </row>
    <row r="231" spans="1:19" x14ac:dyDescent="0.25">
      <c r="A231" t="s">
        <v>1215</v>
      </c>
      <c r="B231" t="s">
        <v>13</v>
      </c>
      <c r="C231" s="12">
        <v>46044</v>
      </c>
      <c r="D231" s="12">
        <v>46195</v>
      </c>
      <c r="E231" t="s">
        <v>744</v>
      </c>
      <c r="F231" t="s">
        <v>14</v>
      </c>
      <c r="G231">
        <v>37087120</v>
      </c>
      <c r="H231" t="s">
        <v>51</v>
      </c>
      <c r="I231">
        <v>98333941</v>
      </c>
      <c r="J231" t="s">
        <v>14</v>
      </c>
      <c r="K231" t="s">
        <v>15</v>
      </c>
      <c r="L231" s="1" t="e">
        <v>#N/A</v>
      </c>
      <c r="M231" s="1">
        <v>0</v>
      </c>
      <c r="N231" s="20">
        <v>39000000</v>
      </c>
      <c r="O231" s="10">
        <v>39000000</v>
      </c>
      <c r="P231" t="s">
        <v>704</v>
      </c>
      <c r="Q231" s="1" t="e">
        <v>#N/A</v>
      </c>
      <c r="S231" s="11" t="s">
        <v>1036</v>
      </c>
    </row>
    <row r="232" spans="1:19" x14ac:dyDescent="0.25">
      <c r="A232" t="s">
        <v>1216</v>
      </c>
      <c r="B232" t="s">
        <v>13</v>
      </c>
      <c r="C232" s="12">
        <v>46044</v>
      </c>
      <c r="D232" s="12">
        <v>46134</v>
      </c>
      <c r="E232" t="s">
        <v>775</v>
      </c>
      <c r="F232" t="s">
        <v>14</v>
      </c>
      <c r="G232">
        <v>1193474724</v>
      </c>
      <c r="H232" t="s">
        <v>629</v>
      </c>
      <c r="I232">
        <v>98390119</v>
      </c>
      <c r="J232" t="s">
        <v>14</v>
      </c>
      <c r="K232" t="s">
        <v>63</v>
      </c>
      <c r="L232" s="1" t="e">
        <v>#N/A</v>
      </c>
      <c r="M232" s="1">
        <v>0</v>
      </c>
      <c r="N232" s="20">
        <v>18900000</v>
      </c>
      <c r="O232" s="10">
        <v>18900000</v>
      </c>
      <c r="P232" t="s">
        <v>704</v>
      </c>
      <c r="Q232" s="1" t="e">
        <v>#N/A</v>
      </c>
      <c r="S232" s="11" t="s">
        <v>1036</v>
      </c>
    </row>
    <row r="233" spans="1:19" x14ac:dyDescent="0.25">
      <c r="A233" t="s">
        <v>1217</v>
      </c>
      <c r="B233" t="s">
        <v>13</v>
      </c>
      <c r="C233" s="12">
        <v>46044</v>
      </c>
      <c r="D233" s="12">
        <v>46134</v>
      </c>
      <c r="E233" t="s">
        <v>793</v>
      </c>
      <c r="F233" t="s">
        <v>14</v>
      </c>
      <c r="G233">
        <v>12990231</v>
      </c>
      <c r="H233" t="s">
        <v>502</v>
      </c>
      <c r="I233">
        <v>59836926</v>
      </c>
      <c r="J233" t="s">
        <v>14</v>
      </c>
      <c r="K233" t="s">
        <v>17</v>
      </c>
      <c r="L233" s="1">
        <v>2000000</v>
      </c>
      <c r="M233" s="1">
        <v>2000000</v>
      </c>
      <c r="N233" s="20">
        <v>6000000</v>
      </c>
      <c r="O233" s="10">
        <v>6000000</v>
      </c>
      <c r="P233" t="s">
        <v>704</v>
      </c>
      <c r="Q233" s="1">
        <v>4000000</v>
      </c>
      <c r="S233" s="11" t="s">
        <v>1036</v>
      </c>
    </row>
    <row r="234" spans="1:19" x14ac:dyDescent="0.25">
      <c r="A234" t="s">
        <v>1218</v>
      </c>
      <c r="B234" t="s">
        <v>13</v>
      </c>
      <c r="C234" s="12">
        <v>46044</v>
      </c>
      <c r="D234" s="12">
        <v>46134</v>
      </c>
      <c r="E234" t="s">
        <v>793</v>
      </c>
      <c r="F234" t="s">
        <v>14</v>
      </c>
      <c r="G234">
        <v>36933095</v>
      </c>
      <c r="H234" t="s">
        <v>612</v>
      </c>
      <c r="I234">
        <v>98333941</v>
      </c>
      <c r="J234" t="s">
        <v>14</v>
      </c>
      <c r="K234" t="s">
        <v>15</v>
      </c>
      <c r="L234" s="1" t="e">
        <v>#N/A</v>
      </c>
      <c r="M234" s="1">
        <v>0</v>
      </c>
      <c r="N234" s="20">
        <v>6000000</v>
      </c>
      <c r="O234" s="10">
        <v>6000000</v>
      </c>
      <c r="P234" t="s">
        <v>704</v>
      </c>
      <c r="Q234" s="1" t="e">
        <v>#N/A</v>
      </c>
      <c r="S234" s="11" t="s">
        <v>1036</v>
      </c>
    </row>
    <row r="235" spans="1:19" x14ac:dyDescent="0.25">
      <c r="A235" t="s">
        <v>1219</v>
      </c>
      <c r="B235" t="s">
        <v>13</v>
      </c>
      <c r="C235" s="12">
        <v>46044</v>
      </c>
      <c r="D235" s="12">
        <v>46195</v>
      </c>
      <c r="E235" t="s">
        <v>775</v>
      </c>
      <c r="F235" t="s">
        <v>14</v>
      </c>
      <c r="G235">
        <v>59833702</v>
      </c>
      <c r="H235" t="s">
        <v>933</v>
      </c>
      <c r="I235">
        <v>98390119</v>
      </c>
      <c r="J235" t="s">
        <v>14</v>
      </c>
      <c r="K235" t="s">
        <v>63</v>
      </c>
      <c r="L235" s="1" t="e">
        <v>#N/A</v>
      </c>
      <c r="M235" s="1">
        <v>0</v>
      </c>
      <c r="N235" s="20">
        <v>15750000</v>
      </c>
      <c r="O235" s="10">
        <v>15750000</v>
      </c>
      <c r="P235" t="s">
        <v>704</v>
      </c>
      <c r="Q235" s="1" t="e">
        <v>#N/A</v>
      </c>
      <c r="S235" s="11" t="s">
        <v>1036</v>
      </c>
    </row>
    <row r="236" spans="1:19" x14ac:dyDescent="0.25">
      <c r="A236" t="s">
        <v>1220</v>
      </c>
      <c r="B236" t="s">
        <v>13</v>
      </c>
      <c r="C236" s="12">
        <v>46044</v>
      </c>
      <c r="D236" s="12">
        <v>46195</v>
      </c>
      <c r="E236" t="s">
        <v>775</v>
      </c>
      <c r="F236" t="s">
        <v>14</v>
      </c>
      <c r="G236">
        <v>59314458</v>
      </c>
      <c r="H236" t="s">
        <v>25</v>
      </c>
      <c r="I236">
        <v>98390119</v>
      </c>
      <c r="J236" t="s">
        <v>14</v>
      </c>
      <c r="K236" t="s">
        <v>63</v>
      </c>
      <c r="L236" s="1" t="e">
        <v>#N/A</v>
      </c>
      <c r="M236" s="1">
        <v>0</v>
      </c>
      <c r="N236" s="20">
        <v>31500000</v>
      </c>
      <c r="O236" s="10">
        <v>31500000</v>
      </c>
      <c r="P236" t="s">
        <v>704</v>
      </c>
      <c r="Q236" s="1" t="e">
        <v>#N/A</v>
      </c>
      <c r="S236" s="11" t="s">
        <v>1036</v>
      </c>
    </row>
    <row r="237" spans="1:19" x14ac:dyDescent="0.25">
      <c r="A237" t="s">
        <v>1221</v>
      </c>
      <c r="B237" t="s">
        <v>13</v>
      </c>
      <c r="C237" s="12">
        <v>46044</v>
      </c>
      <c r="D237" s="12">
        <v>46195</v>
      </c>
      <c r="E237" t="s">
        <v>793</v>
      </c>
      <c r="F237" t="s">
        <v>14</v>
      </c>
      <c r="G237">
        <v>1085287296</v>
      </c>
      <c r="H237" t="s">
        <v>926</v>
      </c>
      <c r="I237">
        <v>59836926</v>
      </c>
      <c r="J237" t="s">
        <v>14</v>
      </c>
      <c r="K237" t="s">
        <v>17</v>
      </c>
      <c r="L237" s="1" t="e">
        <v>#N/A</v>
      </c>
      <c r="M237" s="1">
        <v>0</v>
      </c>
      <c r="N237" s="20">
        <v>10000000</v>
      </c>
      <c r="O237" s="10">
        <v>10000000</v>
      </c>
      <c r="P237" t="s">
        <v>704</v>
      </c>
      <c r="Q237" s="1" t="e">
        <v>#N/A</v>
      </c>
      <c r="S237" s="11" t="s">
        <v>1036</v>
      </c>
    </row>
    <row r="238" spans="1:19" x14ac:dyDescent="0.25">
      <c r="A238" t="s">
        <v>1222</v>
      </c>
      <c r="B238" t="s">
        <v>13</v>
      </c>
      <c r="C238" s="12">
        <v>46044</v>
      </c>
      <c r="D238" s="12">
        <v>46075</v>
      </c>
      <c r="E238" t="s">
        <v>793</v>
      </c>
      <c r="F238" t="s">
        <v>14</v>
      </c>
      <c r="G238">
        <v>1085313195</v>
      </c>
      <c r="H238" t="s">
        <v>523</v>
      </c>
      <c r="I238">
        <v>43624414</v>
      </c>
      <c r="J238" t="s">
        <v>14</v>
      </c>
      <c r="K238" t="s">
        <v>18</v>
      </c>
      <c r="L238" s="1" t="e">
        <v>#N/A</v>
      </c>
      <c r="M238" s="1">
        <v>0</v>
      </c>
      <c r="N238" s="20">
        <v>2000000</v>
      </c>
      <c r="O238" s="10">
        <v>2000000</v>
      </c>
      <c r="P238" t="s">
        <v>704</v>
      </c>
      <c r="Q238" s="1" t="e">
        <v>#N/A</v>
      </c>
      <c r="S238" s="11" t="s">
        <v>1036</v>
      </c>
    </row>
    <row r="239" spans="1:19" x14ac:dyDescent="0.25">
      <c r="A239" t="s">
        <v>1223</v>
      </c>
      <c r="B239" t="s">
        <v>13</v>
      </c>
      <c r="C239" s="12">
        <v>46044</v>
      </c>
      <c r="D239" s="12">
        <v>46075</v>
      </c>
      <c r="E239" t="s">
        <v>793</v>
      </c>
      <c r="F239" t="s">
        <v>14</v>
      </c>
      <c r="G239">
        <v>1085268450</v>
      </c>
      <c r="H239" t="s">
        <v>208</v>
      </c>
      <c r="I239">
        <v>43624414</v>
      </c>
      <c r="J239" t="s">
        <v>14</v>
      </c>
      <c r="K239" t="s">
        <v>18</v>
      </c>
      <c r="L239" s="1" t="e">
        <v>#N/A</v>
      </c>
      <c r="M239" s="1">
        <v>0</v>
      </c>
      <c r="N239" s="20">
        <v>2000000</v>
      </c>
      <c r="O239" s="10">
        <v>2000000</v>
      </c>
      <c r="P239" t="s">
        <v>704</v>
      </c>
      <c r="Q239" s="1" t="e">
        <v>#N/A</v>
      </c>
      <c r="S239" s="11" t="s">
        <v>1036</v>
      </c>
    </row>
    <row r="240" spans="1:19" x14ac:dyDescent="0.25">
      <c r="A240" t="s">
        <v>1224</v>
      </c>
      <c r="B240" t="s">
        <v>13</v>
      </c>
      <c r="C240" s="12">
        <v>46044</v>
      </c>
      <c r="D240" s="12">
        <v>46134</v>
      </c>
      <c r="E240" t="s">
        <v>793</v>
      </c>
      <c r="F240" t="s">
        <v>14</v>
      </c>
      <c r="G240">
        <v>36757715</v>
      </c>
      <c r="H240" t="s">
        <v>130</v>
      </c>
      <c r="I240">
        <v>98390119</v>
      </c>
      <c r="J240" t="s">
        <v>14</v>
      </c>
      <c r="K240" t="s">
        <v>63</v>
      </c>
      <c r="L240" s="1" t="e">
        <v>#N/A</v>
      </c>
      <c r="M240" s="1">
        <v>0</v>
      </c>
      <c r="N240" s="20">
        <v>6000000</v>
      </c>
      <c r="O240" s="10">
        <v>6000000</v>
      </c>
      <c r="P240" t="s">
        <v>704</v>
      </c>
      <c r="Q240" s="1" t="e">
        <v>#N/A</v>
      </c>
      <c r="S240" s="11" t="s">
        <v>1036</v>
      </c>
    </row>
    <row r="241" spans="1:19" x14ac:dyDescent="0.25">
      <c r="A241" t="s">
        <v>1225</v>
      </c>
      <c r="B241" t="s">
        <v>13</v>
      </c>
      <c r="C241" s="12">
        <v>46044</v>
      </c>
      <c r="D241" s="12">
        <v>46134</v>
      </c>
      <c r="E241" t="s">
        <v>793</v>
      </c>
      <c r="F241" t="s">
        <v>14</v>
      </c>
      <c r="G241">
        <v>1085334831</v>
      </c>
      <c r="H241" t="s">
        <v>626</v>
      </c>
      <c r="I241">
        <v>98390119</v>
      </c>
      <c r="J241" t="s">
        <v>14</v>
      </c>
      <c r="K241" t="s">
        <v>63</v>
      </c>
      <c r="L241" s="1" t="e">
        <v>#N/A</v>
      </c>
      <c r="M241" s="1">
        <v>0</v>
      </c>
      <c r="N241" s="20">
        <v>6000000</v>
      </c>
      <c r="O241" s="10">
        <v>6000000</v>
      </c>
      <c r="P241" t="s">
        <v>704</v>
      </c>
      <c r="Q241" s="1" t="e">
        <v>#N/A</v>
      </c>
      <c r="S241" s="11" t="s">
        <v>1036</v>
      </c>
    </row>
    <row r="242" spans="1:19" x14ac:dyDescent="0.25">
      <c r="A242" t="s">
        <v>1226</v>
      </c>
      <c r="B242" t="s">
        <v>13</v>
      </c>
      <c r="C242" s="12">
        <v>46045</v>
      </c>
      <c r="D242" s="12">
        <v>46135</v>
      </c>
      <c r="E242" t="s">
        <v>793</v>
      </c>
      <c r="F242" t="s">
        <v>14</v>
      </c>
      <c r="G242">
        <v>1085310465</v>
      </c>
      <c r="H242" t="s">
        <v>112</v>
      </c>
      <c r="I242">
        <v>98390119</v>
      </c>
      <c r="J242" t="s">
        <v>14</v>
      </c>
      <c r="K242" t="s">
        <v>63</v>
      </c>
      <c r="L242" s="1" t="e">
        <v>#N/A</v>
      </c>
      <c r="M242" s="1">
        <v>0</v>
      </c>
      <c r="N242" s="20">
        <v>6000000</v>
      </c>
      <c r="O242" s="10">
        <v>6000000</v>
      </c>
      <c r="P242" t="s">
        <v>704</v>
      </c>
      <c r="Q242" s="1" t="e">
        <v>#N/A</v>
      </c>
      <c r="S242" s="11" t="s">
        <v>1036</v>
      </c>
    </row>
    <row r="243" spans="1:19" x14ac:dyDescent="0.25">
      <c r="A243" t="s">
        <v>1227</v>
      </c>
      <c r="B243" t="s">
        <v>13</v>
      </c>
      <c r="C243" s="12">
        <v>46045</v>
      </c>
      <c r="D243" s="12">
        <v>46076</v>
      </c>
      <c r="E243" t="s">
        <v>744</v>
      </c>
      <c r="F243" t="s">
        <v>14</v>
      </c>
      <c r="G243">
        <v>1193424771</v>
      </c>
      <c r="H243" t="s">
        <v>95</v>
      </c>
      <c r="I243">
        <v>98333941</v>
      </c>
      <c r="J243" t="s">
        <v>14</v>
      </c>
      <c r="K243" t="s">
        <v>15</v>
      </c>
      <c r="L243" s="1" t="e">
        <v>#N/A</v>
      </c>
      <c r="M243" s="1">
        <v>0</v>
      </c>
      <c r="N243" s="20">
        <v>4730000</v>
      </c>
      <c r="O243" s="10">
        <v>4730000</v>
      </c>
      <c r="P243" t="s">
        <v>704</v>
      </c>
      <c r="Q243" s="1" t="e">
        <v>#N/A</v>
      </c>
      <c r="S243" s="11" t="s">
        <v>1036</v>
      </c>
    </row>
    <row r="244" spans="1:19" x14ac:dyDescent="0.25">
      <c r="A244" t="s">
        <v>1228</v>
      </c>
      <c r="B244" t="s">
        <v>13</v>
      </c>
      <c r="C244" s="12">
        <v>46045</v>
      </c>
      <c r="D244" s="12">
        <v>46135</v>
      </c>
      <c r="E244" t="s">
        <v>744</v>
      </c>
      <c r="F244" t="s">
        <v>14</v>
      </c>
      <c r="G244">
        <v>1085244624</v>
      </c>
      <c r="H244" t="s">
        <v>868</v>
      </c>
      <c r="I244">
        <v>59836926</v>
      </c>
      <c r="J244" t="s">
        <v>14</v>
      </c>
      <c r="K244" t="s">
        <v>17</v>
      </c>
      <c r="L244" s="1" t="e">
        <v>#N/A</v>
      </c>
      <c r="M244" s="1">
        <v>0</v>
      </c>
      <c r="N244" s="20">
        <v>23400000</v>
      </c>
      <c r="O244" s="10">
        <v>23400000</v>
      </c>
      <c r="P244" t="s">
        <v>704</v>
      </c>
      <c r="Q244" s="1" t="e">
        <v>#N/A</v>
      </c>
      <c r="S244" s="11" t="s">
        <v>1036</v>
      </c>
    </row>
    <row r="245" spans="1:19" x14ac:dyDescent="0.25">
      <c r="A245" t="s">
        <v>1229</v>
      </c>
      <c r="B245" t="s">
        <v>13</v>
      </c>
      <c r="C245" s="12">
        <v>46045</v>
      </c>
      <c r="D245" s="12">
        <v>46196</v>
      </c>
      <c r="E245" t="s">
        <v>744</v>
      </c>
      <c r="F245" t="s">
        <v>14</v>
      </c>
      <c r="G245">
        <v>98398376</v>
      </c>
      <c r="H245" t="s">
        <v>875</v>
      </c>
      <c r="I245">
        <v>98333941</v>
      </c>
      <c r="J245" t="s">
        <v>14</v>
      </c>
      <c r="K245" t="s">
        <v>15</v>
      </c>
      <c r="L245" s="1" t="e">
        <v>#N/A</v>
      </c>
      <c r="M245" s="1">
        <v>0</v>
      </c>
      <c r="N245" s="20">
        <v>39000000</v>
      </c>
      <c r="O245" s="10">
        <v>39000000</v>
      </c>
      <c r="P245" t="s">
        <v>704</v>
      </c>
      <c r="Q245" s="1" t="e">
        <v>#N/A</v>
      </c>
      <c r="S245" s="11" t="s">
        <v>1036</v>
      </c>
    </row>
    <row r="246" spans="1:19" x14ac:dyDescent="0.25">
      <c r="A246" t="s">
        <v>1230</v>
      </c>
      <c r="B246" t="s">
        <v>13</v>
      </c>
      <c r="C246" s="12">
        <v>46045</v>
      </c>
      <c r="D246" s="12">
        <v>46135</v>
      </c>
      <c r="E246" t="s">
        <v>793</v>
      </c>
      <c r="F246" t="s">
        <v>14</v>
      </c>
      <c r="G246">
        <v>59815593</v>
      </c>
      <c r="H246" t="s">
        <v>183</v>
      </c>
      <c r="I246">
        <v>98333941</v>
      </c>
      <c r="J246" t="s">
        <v>14</v>
      </c>
      <c r="K246" t="s">
        <v>15</v>
      </c>
      <c r="L246" s="1" t="e">
        <v>#N/A</v>
      </c>
      <c r="M246" s="1">
        <v>0</v>
      </c>
      <c r="N246" s="20">
        <v>6000000</v>
      </c>
      <c r="O246" s="10">
        <v>6000000</v>
      </c>
      <c r="P246" t="s">
        <v>704</v>
      </c>
      <c r="Q246" s="1" t="e">
        <v>#N/A</v>
      </c>
      <c r="S246" s="11" t="s">
        <v>1036</v>
      </c>
    </row>
    <row r="247" spans="1:19" x14ac:dyDescent="0.25">
      <c r="A247" t="s">
        <v>1231</v>
      </c>
      <c r="B247" t="s">
        <v>13</v>
      </c>
      <c r="C247" s="12">
        <v>46045</v>
      </c>
      <c r="D247" s="12">
        <v>46135</v>
      </c>
      <c r="E247" t="s">
        <v>793</v>
      </c>
      <c r="F247" t="s">
        <v>14</v>
      </c>
      <c r="G247">
        <v>1085317094</v>
      </c>
      <c r="H247" t="s">
        <v>578</v>
      </c>
      <c r="I247">
        <v>98390119</v>
      </c>
      <c r="J247" t="s">
        <v>14</v>
      </c>
      <c r="K247" t="s">
        <v>63</v>
      </c>
      <c r="L247" s="1" t="e">
        <v>#N/A</v>
      </c>
      <c r="M247" s="1">
        <v>0</v>
      </c>
      <c r="N247" s="20">
        <v>9450000</v>
      </c>
      <c r="O247" s="10">
        <v>9450000</v>
      </c>
      <c r="P247" t="s">
        <v>704</v>
      </c>
      <c r="Q247" s="1" t="e">
        <v>#N/A</v>
      </c>
      <c r="S247" s="11" t="s">
        <v>1036</v>
      </c>
    </row>
    <row r="248" spans="1:19" x14ac:dyDescent="0.25">
      <c r="A248" t="s">
        <v>1232</v>
      </c>
      <c r="B248" t="s">
        <v>13</v>
      </c>
      <c r="C248" s="12">
        <v>46045</v>
      </c>
      <c r="D248" s="12">
        <v>46076</v>
      </c>
      <c r="E248" t="s">
        <v>793</v>
      </c>
      <c r="F248" t="s">
        <v>14</v>
      </c>
      <c r="G248">
        <v>1085312669</v>
      </c>
      <c r="H248" t="s">
        <v>321</v>
      </c>
      <c r="I248">
        <v>43624414</v>
      </c>
      <c r="J248" t="s">
        <v>14</v>
      </c>
      <c r="K248" t="s">
        <v>18</v>
      </c>
      <c r="L248" s="1" t="e">
        <v>#N/A</v>
      </c>
      <c r="M248" s="1">
        <v>0</v>
      </c>
      <c r="N248" s="20">
        <v>2000000</v>
      </c>
      <c r="O248" s="10">
        <v>2000000</v>
      </c>
      <c r="P248" t="s">
        <v>704</v>
      </c>
      <c r="Q248" s="1" t="e">
        <v>#N/A</v>
      </c>
      <c r="S248" s="11" t="s">
        <v>1036</v>
      </c>
    </row>
    <row r="249" spans="1:19" x14ac:dyDescent="0.25">
      <c r="A249" t="s">
        <v>1233</v>
      </c>
      <c r="B249" t="s">
        <v>13</v>
      </c>
      <c r="C249" s="12">
        <v>46045</v>
      </c>
      <c r="D249" s="12">
        <v>46135</v>
      </c>
      <c r="E249" t="s">
        <v>775</v>
      </c>
      <c r="F249" t="s">
        <v>14</v>
      </c>
      <c r="G249">
        <v>87069979</v>
      </c>
      <c r="H249" t="s">
        <v>928</v>
      </c>
      <c r="I249">
        <v>98390119</v>
      </c>
      <c r="J249" t="s">
        <v>14</v>
      </c>
      <c r="K249" t="s">
        <v>63</v>
      </c>
      <c r="L249" s="1" t="e">
        <v>#N/A</v>
      </c>
      <c r="M249" s="1">
        <v>0</v>
      </c>
      <c r="N249" s="20">
        <v>9450000</v>
      </c>
      <c r="O249" s="10">
        <v>9450000</v>
      </c>
      <c r="P249" t="s">
        <v>704</v>
      </c>
      <c r="Q249" s="1" t="e">
        <v>#N/A</v>
      </c>
      <c r="S249" s="11" t="s">
        <v>1036</v>
      </c>
    </row>
    <row r="250" spans="1:19" x14ac:dyDescent="0.25">
      <c r="A250" t="s">
        <v>1234</v>
      </c>
      <c r="B250" t="s">
        <v>13</v>
      </c>
      <c r="C250" s="12">
        <v>46048</v>
      </c>
      <c r="D250" s="12">
        <v>46138</v>
      </c>
      <c r="E250" t="s">
        <v>793</v>
      </c>
      <c r="F250" t="s">
        <v>14</v>
      </c>
      <c r="G250">
        <v>1085275445</v>
      </c>
      <c r="H250" t="s">
        <v>166</v>
      </c>
      <c r="I250">
        <v>98390119</v>
      </c>
      <c r="J250" t="s">
        <v>14</v>
      </c>
      <c r="K250" t="s">
        <v>63</v>
      </c>
      <c r="L250" s="1" t="e">
        <v>#N/A</v>
      </c>
      <c r="M250" s="1">
        <v>0</v>
      </c>
      <c r="N250" s="20">
        <v>6000000</v>
      </c>
      <c r="O250" s="10">
        <v>6000000</v>
      </c>
      <c r="P250" t="s">
        <v>704</v>
      </c>
      <c r="Q250" s="1" t="e">
        <v>#N/A</v>
      </c>
      <c r="S250" s="11" t="s">
        <v>1036</v>
      </c>
    </row>
    <row r="251" spans="1:19" x14ac:dyDescent="0.25">
      <c r="A251" t="s">
        <v>1235</v>
      </c>
      <c r="B251" t="s">
        <v>13</v>
      </c>
      <c r="C251" s="12">
        <v>46048</v>
      </c>
      <c r="D251" s="12">
        <v>46138</v>
      </c>
      <c r="E251" t="s">
        <v>793</v>
      </c>
      <c r="F251" t="s">
        <v>14</v>
      </c>
      <c r="G251">
        <v>27082650</v>
      </c>
      <c r="H251" t="s">
        <v>237</v>
      </c>
      <c r="I251">
        <v>43624414</v>
      </c>
      <c r="J251" t="s">
        <v>14</v>
      </c>
      <c r="K251" t="s">
        <v>18</v>
      </c>
      <c r="L251" s="1">
        <v>2000000</v>
      </c>
      <c r="M251" s="1">
        <v>2000000</v>
      </c>
      <c r="N251" s="20">
        <v>6000000</v>
      </c>
      <c r="O251" s="10">
        <v>6000000</v>
      </c>
      <c r="P251" t="s">
        <v>704</v>
      </c>
      <c r="Q251" s="1">
        <v>4000000</v>
      </c>
      <c r="S251" s="11" t="s">
        <v>1036</v>
      </c>
    </row>
    <row r="252" spans="1:19" x14ac:dyDescent="0.25">
      <c r="A252" t="s">
        <v>1236</v>
      </c>
      <c r="B252" t="s">
        <v>13</v>
      </c>
      <c r="C252" s="12">
        <v>46049</v>
      </c>
      <c r="D252" s="12">
        <v>46080</v>
      </c>
      <c r="E252" t="s">
        <v>775</v>
      </c>
      <c r="F252" t="s">
        <v>14</v>
      </c>
      <c r="G252">
        <v>1004343043</v>
      </c>
      <c r="H252" t="s">
        <v>189</v>
      </c>
      <c r="I252">
        <v>98390119</v>
      </c>
      <c r="J252" t="s">
        <v>14</v>
      </c>
      <c r="K252" t="s">
        <v>63</v>
      </c>
      <c r="L252" s="1" t="e">
        <v>#N/A</v>
      </c>
      <c r="M252" s="1">
        <v>0</v>
      </c>
      <c r="N252" s="20">
        <v>3150000</v>
      </c>
      <c r="O252" s="10">
        <v>3150000</v>
      </c>
      <c r="P252" t="s">
        <v>704</v>
      </c>
      <c r="Q252" s="1" t="e">
        <v>#N/A</v>
      </c>
      <c r="S252" s="11" t="s">
        <v>1036</v>
      </c>
    </row>
    <row r="253" spans="1:19" x14ac:dyDescent="0.25">
      <c r="A253" t="s">
        <v>1237</v>
      </c>
      <c r="B253" t="s">
        <v>13</v>
      </c>
      <c r="C253" s="12">
        <v>46049</v>
      </c>
      <c r="D253" s="12">
        <v>46139</v>
      </c>
      <c r="E253" t="s">
        <v>793</v>
      </c>
      <c r="F253" t="s">
        <v>14</v>
      </c>
      <c r="G253">
        <v>1081274779</v>
      </c>
      <c r="H253" t="s">
        <v>540</v>
      </c>
      <c r="I253">
        <v>59836926</v>
      </c>
      <c r="J253" t="s">
        <v>14</v>
      </c>
      <c r="K253" t="s">
        <v>17</v>
      </c>
      <c r="L253" s="1" t="e">
        <v>#N/A</v>
      </c>
      <c r="M253" s="1">
        <v>0</v>
      </c>
      <c r="N253" s="20">
        <v>6000000</v>
      </c>
      <c r="O253" s="10">
        <v>6000000</v>
      </c>
      <c r="P253" t="s">
        <v>704</v>
      </c>
      <c r="Q253" s="1" t="e">
        <v>#N/A</v>
      </c>
      <c r="S253" s="11" t="s">
        <v>1036</v>
      </c>
    </row>
    <row r="254" spans="1:19" x14ac:dyDescent="0.25">
      <c r="A254" t="s">
        <v>1238</v>
      </c>
      <c r="B254" t="s">
        <v>13</v>
      </c>
      <c r="C254" s="12">
        <v>46050</v>
      </c>
      <c r="D254" s="12">
        <v>46140</v>
      </c>
      <c r="E254" t="s">
        <v>793</v>
      </c>
      <c r="F254" t="s">
        <v>14</v>
      </c>
      <c r="G254">
        <v>1137089036</v>
      </c>
      <c r="H254" t="s">
        <v>350</v>
      </c>
      <c r="I254">
        <v>59836926</v>
      </c>
      <c r="J254" t="s">
        <v>14</v>
      </c>
      <c r="K254" t="s">
        <v>17</v>
      </c>
      <c r="L254" s="1" t="e">
        <v>#N/A</v>
      </c>
      <c r="M254" s="1">
        <v>0</v>
      </c>
      <c r="N254" s="20">
        <v>6000000</v>
      </c>
      <c r="O254" s="10">
        <v>6000000</v>
      </c>
      <c r="P254" t="s">
        <v>704</v>
      </c>
      <c r="Q254" s="1" t="e">
        <v>#N/A</v>
      </c>
      <c r="S254" s="11" t="s">
        <v>1036</v>
      </c>
    </row>
    <row r="255" spans="1:19" x14ac:dyDescent="0.25">
      <c r="A255" t="s">
        <v>1239</v>
      </c>
      <c r="B255" t="s">
        <v>13</v>
      </c>
      <c r="C255" s="12">
        <v>46050</v>
      </c>
      <c r="D255" s="12">
        <v>46140</v>
      </c>
      <c r="E255" t="s">
        <v>793</v>
      </c>
      <c r="F255" t="s">
        <v>14</v>
      </c>
      <c r="G255">
        <v>12974849</v>
      </c>
      <c r="H255" t="s">
        <v>179</v>
      </c>
      <c r="I255">
        <v>43624414</v>
      </c>
      <c r="J255" t="s">
        <v>14</v>
      </c>
      <c r="K255" t="s">
        <v>18</v>
      </c>
      <c r="L255" s="1" t="e">
        <v>#N/A</v>
      </c>
      <c r="M255" s="1">
        <v>0</v>
      </c>
      <c r="N255" s="20">
        <v>6000000</v>
      </c>
      <c r="O255" s="10">
        <v>6000000</v>
      </c>
      <c r="P255" t="s">
        <v>704</v>
      </c>
      <c r="Q255" s="1" t="e">
        <v>#N/A</v>
      </c>
      <c r="S255" s="11" t="s">
        <v>1036</v>
      </c>
    </row>
    <row r="256" spans="1:19" x14ac:dyDescent="0.25">
      <c r="A256" t="s">
        <v>1240</v>
      </c>
      <c r="B256" t="s">
        <v>13</v>
      </c>
      <c r="C256" s="12">
        <v>46050</v>
      </c>
      <c r="D256" s="12">
        <v>46140</v>
      </c>
      <c r="E256" t="s">
        <v>793</v>
      </c>
      <c r="F256" t="s">
        <v>14</v>
      </c>
      <c r="G256">
        <v>59314118</v>
      </c>
      <c r="H256" t="s">
        <v>259</v>
      </c>
      <c r="I256">
        <v>43624414</v>
      </c>
      <c r="J256" t="s">
        <v>14</v>
      </c>
      <c r="K256" t="s">
        <v>18</v>
      </c>
      <c r="L256" s="1" t="e">
        <v>#N/A</v>
      </c>
      <c r="M256" s="1">
        <v>0</v>
      </c>
      <c r="N256" s="20">
        <v>6000000</v>
      </c>
      <c r="O256" s="10">
        <v>6000000</v>
      </c>
      <c r="P256" t="s">
        <v>704</v>
      </c>
      <c r="Q256" s="1" t="e">
        <v>#N/A</v>
      </c>
      <c r="S256" s="11" t="s">
        <v>1036</v>
      </c>
    </row>
    <row r="257" spans="1:19" x14ac:dyDescent="0.25">
      <c r="A257" t="s">
        <v>1241</v>
      </c>
      <c r="B257" t="s">
        <v>13</v>
      </c>
      <c r="C257" s="12">
        <v>46050</v>
      </c>
      <c r="D257" s="12">
        <v>46140</v>
      </c>
      <c r="E257" t="s">
        <v>793</v>
      </c>
      <c r="F257" t="s">
        <v>14</v>
      </c>
      <c r="G257">
        <v>1081052090</v>
      </c>
      <c r="H257" t="s">
        <v>529</v>
      </c>
      <c r="I257">
        <v>98333941</v>
      </c>
      <c r="J257" t="s">
        <v>14</v>
      </c>
      <c r="K257" t="s">
        <v>15</v>
      </c>
      <c r="L257" s="1" t="e">
        <v>#N/A</v>
      </c>
      <c r="M257" s="1">
        <v>0</v>
      </c>
      <c r="N257" s="20">
        <v>6000000</v>
      </c>
      <c r="O257" s="10">
        <v>6000000</v>
      </c>
      <c r="P257" t="s">
        <v>704</v>
      </c>
      <c r="Q257" s="1" t="e">
        <v>#N/A</v>
      </c>
      <c r="S257" s="11" t="s">
        <v>1036</v>
      </c>
    </row>
    <row r="258" spans="1:19" x14ac:dyDescent="0.25">
      <c r="A258" t="s">
        <v>1242</v>
      </c>
      <c r="B258" t="s">
        <v>13</v>
      </c>
      <c r="C258" s="12">
        <v>46050</v>
      </c>
      <c r="D258" s="12">
        <v>46140</v>
      </c>
      <c r="E258" t="s">
        <v>793</v>
      </c>
      <c r="F258" t="s">
        <v>14</v>
      </c>
      <c r="G258">
        <v>1081282855</v>
      </c>
      <c r="H258" t="s">
        <v>242</v>
      </c>
      <c r="I258">
        <v>43624414</v>
      </c>
      <c r="J258" t="s">
        <v>14</v>
      </c>
      <c r="K258" t="s">
        <v>18</v>
      </c>
      <c r="L258" s="1" t="e">
        <v>#N/A</v>
      </c>
      <c r="M258" s="1">
        <v>0</v>
      </c>
      <c r="N258" s="20">
        <v>6000000</v>
      </c>
      <c r="O258" s="10">
        <v>6000000</v>
      </c>
      <c r="P258" t="s">
        <v>704</v>
      </c>
      <c r="Q258" s="1" t="e">
        <v>#N/A</v>
      </c>
      <c r="S258" s="11" t="s">
        <v>1036</v>
      </c>
    </row>
    <row r="259" spans="1:19" x14ac:dyDescent="0.25">
      <c r="A259" t="s">
        <v>1243</v>
      </c>
      <c r="B259" t="s">
        <v>13</v>
      </c>
      <c r="C259" s="12">
        <v>46052</v>
      </c>
      <c r="D259" s="12">
        <v>46203</v>
      </c>
      <c r="E259" t="s">
        <v>744</v>
      </c>
      <c r="F259" t="s">
        <v>14</v>
      </c>
      <c r="G259">
        <v>1085344910</v>
      </c>
      <c r="H259" t="s">
        <v>841</v>
      </c>
      <c r="I259">
        <v>59836926</v>
      </c>
      <c r="J259" t="s">
        <v>14</v>
      </c>
      <c r="K259" t="s">
        <v>17</v>
      </c>
      <c r="L259" s="1" t="e">
        <v>#N/A</v>
      </c>
      <c r="M259" s="1">
        <v>0</v>
      </c>
      <c r="N259" s="20">
        <v>39000000</v>
      </c>
      <c r="O259" s="10">
        <v>39000000</v>
      </c>
      <c r="P259" t="s">
        <v>704</v>
      </c>
      <c r="Q259" s="1" t="e">
        <v>#N/A</v>
      </c>
      <c r="S259" s="11" t="s">
        <v>1036</v>
      </c>
    </row>
    <row r="260" spans="1:19" x14ac:dyDescent="0.25">
      <c r="A260" t="s">
        <v>1244</v>
      </c>
      <c r="B260" t="s">
        <v>13</v>
      </c>
      <c r="C260" s="12">
        <v>46055</v>
      </c>
      <c r="D260" s="12">
        <v>46203</v>
      </c>
      <c r="E260" t="s">
        <v>775</v>
      </c>
      <c r="F260" t="s">
        <v>14</v>
      </c>
      <c r="G260">
        <v>1085313735</v>
      </c>
      <c r="H260" t="s">
        <v>885</v>
      </c>
      <c r="I260">
        <v>98333941</v>
      </c>
      <c r="J260" t="s">
        <v>14</v>
      </c>
      <c r="K260" t="s">
        <v>15</v>
      </c>
      <c r="L260" s="1" t="e">
        <v>#N/A</v>
      </c>
      <c r="M260" s="1">
        <v>0</v>
      </c>
      <c r="N260" s="20">
        <v>15750000</v>
      </c>
      <c r="O260" s="10">
        <v>15750000</v>
      </c>
      <c r="P260" t="s">
        <v>704</v>
      </c>
      <c r="Q260" s="1" t="e">
        <v>#N/A</v>
      </c>
      <c r="S260" s="11" t="s">
        <v>1036</v>
      </c>
    </row>
    <row r="261" spans="1:19" x14ac:dyDescent="0.25">
      <c r="A261" t="s">
        <v>1245</v>
      </c>
      <c r="B261" t="s">
        <v>13</v>
      </c>
      <c r="C261" s="12">
        <v>46055</v>
      </c>
      <c r="D261" s="12">
        <v>46144</v>
      </c>
      <c r="E261" t="s">
        <v>793</v>
      </c>
      <c r="F261" t="s">
        <v>14</v>
      </c>
      <c r="G261">
        <v>37082781</v>
      </c>
      <c r="H261" t="s">
        <v>959</v>
      </c>
      <c r="I261">
        <v>59836926</v>
      </c>
      <c r="J261" t="s">
        <v>14</v>
      </c>
      <c r="K261" t="s">
        <v>17</v>
      </c>
      <c r="L261" s="1" t="e">
        <v>#N/A</v>
      </c>
      <c r="M261" s="1">
        <v>0</v>
      </c>
      <c r="N261" s="20">
        <v>6000000</v>
      </c>
      <c r="O261" s="10">
        <v>6000000</v>
      </c>
      <c r="P261" t="s">
        <v>704</v>
      </c>
      <c r="Q261" s="1" t="e">
        <v>#N/A</v>
      </c>
      <c r="S261" s="11" t="s">
        <v>1036</v>
      </c>
    </row>
    <row r="262" spans="1:19" x14ac:dyDescent="0.25">
      <c r="A262" t="s">
        <v>1246</v>
      </c>
      <c r="B262" t="s">
        <v>13</v>
      </c>
      <c r="C262" s="12">
        <v>46055</v>
      </c>
      <c r="D262" s="12">
        <v>46203</v>
      </c>
      <c r="E262" t="s">
        <v>775</v>
      </c>
      <c r="F262" t="s">
        <v>14</v>
      </c>
      <c r="G262">
        <v>1004136704</v>
      </c>
      <c r="H262" t="s">
        <v>886</v>
      </c>
      <c r="I262">
        <v>98333941</v>
      </c>
      <c r="J262" t="s">
        <v>14</v>
      </c>
      <c r="K262" t="s">
        <v>15</v>
      </c>
      <c r="L262" s="1" t="e">
        <v>#N/A</v>
      </c>
      <c r="M262" s="1">
        <v>0</v>
      </c>
      <c r="N262" s="20">
        <v>15750000</v>
      </c>
      <c r="O262" s="10">
        <v>15750000</v>
      </c>
      <c r="P262" t="s">
        <v>704</v>
      </c>
      <c r="Q262" s="1" t="e">
        <v>#N/A</v>
      </c>
      <c r="S262" s="11" t="s">
        <v>1036</v>
      </c>
    </row>
    <row r="263" spans="1:19" x14ac:dyDescent="0.25">
      <c r="A263" t="s">
        <v>1247</v>
      </c>
      <c r="B263" t="s">
        <v>13</v>
      </c>
      <c r="C263" s="12">
        <v>46055</v>
      </c>
      <c r="D263" s="12">
        <v>46203</v>
      </c>
      <c r="E263" t="s">
        <v>775</v>
      </c>
      <c r="F263" t="s">
        <v>14</v>
      </c>
      <c r="G263">
        <v>1085339060</v>
      </c>
      <c r="H263" t="s">
        <v>878</v>
      </c>
      <c r="I263">
        <v>98333941</v>
      </c>
      <c r="J263" t="s">
        <v>14</v>
      </c>
      <c r="K263" t="s">
        <v>15</v>
      </c>
      <c r="L263" s="1" t="e">
        <v>#N/A</v>
      </c>
      <c r="M263" s="1">
        <v>0</v>
      </c>
      <c r="N263" s="20">
        <v>15750000</v>
      </c>
      <c r="O263" s="10">
        <v>15750000</v>
      </c>
      <c r="P263" t="s">
        <v>704</v>
      </c>
      <c r="Q263" s="1" t="e">
        <v>#N/A</v>
      </c>
      <c r="S263" s="11" t="s">
        <v>1036</v>
      </c>
    </row>
    <row r="264" spans="1:19" x14ac:dyDescent="0.25">
      <c r="A264" t="s">
        <v>1248</v>
      </c>
      <c r="B264" t="s">
        <v>13</v>
      </c>
      <c r="C264" s="12">
        <v>46055</v>
      </c>
      <c r="D264" s="12">
        <v>46203</v>
      </c>
      <c r="E264" t="s">
        <v>744</v>
      </c>
      <c r="F264" t="s">
        <v>14</v>
      </c>
      <c r="G264">
        <v>1010143140</v>
      </c>
      <c r="H264" t="s">
        <v>870</v>
      </c>
      <c r="I264">
        <v>98390119</v>
      </c>
      <c r="J264" t="s">
        <v>14</v>
      </c>
      <c r="K264" t="s">
        <v>63</v>
      </c>
      <c r="L264" s="1" t="e">
        <v>#N/A</v>
      </c>
      <c r="M264" s="1">
        <v>0</v>
      </c>
      <c r="N264" s="20">
        <v>39000000</v>
      </c>
      <c r="O264" s="10">
        <v>39000000</v>
      </c>
      <c r="P264" t="s">
        <v>704</v>
      </c>
      <c r="Q264" s="1" t="e">
        <v>#N/A</v>
      </c>
      <c r="S264" s="11" t="s">
        <v>1036</v>
      </c>
    </row>
    <row r="265" spans="1:19" x14ac:dyDescent="0.25">
      <c r="A265" t="s">
        <v>1249</v>
      </c>
      <c r="B265" t="s">
        <v>13</v>
      </c>
      <c r="C265" s="12">
        <v>46055</v>
      </c>
      <c r="D265" s="12">
        <v>46203</v>
      </c>
      <c r="E265" t="s">
        <v>775</v>
      </c>
      <c r="F265" t="s">
        <v>14</v>
      </c>
      <c r="G265">
        <v>1087960681</v>
      </c>
      <c r="H265" t="s">
        <v>900</v>
      </c>
      <c r="I265">
        <v>98333941</v>
      </c>
      <c r="J265" t="s">
        <v>14</v>
      </c>
      <c r="K265" t="s">
        <v>15</v>
      </c>
      <c r="L265" s="1" t="e">
        <v>#N/A</v>
      </c>
      <c r="M265" s="1">
        <v>0</v>
      </c>
      <c r="N265" s="20">
        <v>15750000</v>
      </c>
      <c r="O265" s="10">
        <v>15750000</v>
      </c>
      <c r="P265" t="s">
        <v>704</v>
      </c>
      <c r="Q265" s="1" t="e">
        <v>#N/A</v>
      </c>
      <c r="S265" s="11" t="s">
        <v>1036</v>
      </c>
    </row>
    <row r="266" spans="1:19" x14ac:dyDescent="0.25">
      <c r="A266" t="s">
        <v>1250</v>
      </c>
      <c r="B266" t="s">
        <v>13</v>
      </c>
      <c r="C266" s="12">
        <v>46055</v>
      </c>
      <c r="D266" s="12">
        <v>46203</v>
      </c>
      <c r="E266" t="s">
        <v>775</v>
      </c>
      <c r="F266" t="s">
        <v>14</v>
      </c>
      <c r="G266">
        <v>1080040910</v>
      </c>
      <c r="H266" t="s">
        <v>861</v>
      </c>
      <c r="I266">
        <v>98390119</v>
      </c>
      <c r="J266" t="s">
        <v>14</v>
      </c>
      <c r="K266" t="s">
        <v>63</v>
      </c>
      <c r="L266" s="1" t="e">
        <v>#N/A</v>
      </c>
      <c r="M266" s="1">
        <v>0</v>
      </c>
      <c r="N266" s="20">
        <v>15750000</v>
      </c>
      <c r="O266" s="10">
        <v>15750000</v>
      </c>
      <c r="P266" t="s">
        <v>704</v>
      </c>
      <c r="Q266" s="1" t="e">
        <v>#N/A</v>
      </c>
      <c r="S266" s="11" t="s">
        <v>1036</v>
      </c>
    </row>
    <row r="267" spans="1:19" x14ac:dyDescent="0.25">
      <c r="A267" t="s">
        <v>1251</v>
      </c>
      <c r="B267" t="s">
        <v>13</v>
      </c>
      <c r="C267" s="12">
        <v>46055</v>
      </c>
      <c r="D267" s="12">
        <v>46203</v>
      </c>
      <c r="E267" t="s">
        <v>775</v>
      </c>
      <c r="F267" t="s">
        <v>14</v>
      </c>
      <c r="G267">
        <v>1004631427</v>
      </c>
      <c r="H267" t="s">
        <v>917</v>
      </c>
      <c r="I267">
        <v>98390119</v>
      </c>
      <c r="J267" t="s">
        <v>14</v>
      </c>
      <c r="K267" t="s">
        <v>63</v>
      </c>
      <c r="L267" s="1" t="e">
        <v>#N/A</v>
      </c>
      <c r="M267" s="1">
        <v>0</v>
      </c>
      <c r="N267" s="20">
        <v>31500000</v>
      </c>
      <c r="O267" s="10">
        <v>31500000</v>
      </c>
      <c r="P267" t="s">
        <v>704</v>
      </c>
      <c r="Q267" s="1" t="e">
        <v>#N/A</v>
      </c>
      <c r="S267" s="11" t="s">
        <v>1036</v>
      </c>
    </row>
    <row r="268" spans="1:19" x14ac:dyDescent="0.25">
      <c r="A268" t="s">
        <v>1252</v>
      </c>
      <c r="B268" t="s">
        <v>13</v>
      </c>
      <c r="C268" s="12">
        <v>46055</v>
      </c>
      <c r="D268" s="12">
        <v>46142</v>
      </c>
      <c r="E268" t="s">
        <v>744</v>
      </c>
      <c r="F268" t="s">
        <v>14</v>
      </c>
      <c r="G268">
        <v>36950112</v>
      </c>
      <c r="H268" t="s">
        <v>838</v>
      </c>
      <c r="I268">
        <v>59836926</v>
      </c>
      <c r="J268" t="s">
        <v>14</v>
      </c>
      <c r="K268" t="s">
        <v>17</v>
      </c>
      <c r="L268" s="1" t="e">
        <v>#N/A</v>
      </c>
      <c r="M268" s="1">
        <v>0</v>
      </c>
      <c r="N268" s="20">
        <v>23400000</v>
      </c>
      <c r="O268" s="10">
        <v>23400000</v>
      </c>
      <c r="P268" t="s">
        <v>704</v>
      </c>
      <c r="Q268" s="1" t="e">
        <v>#N/A</v>
      </c>
      <c r="S268" s="11" t="s">
        <v>1036</v>
      </c>
    </row>
    <row r="269" spans="1:19" x14ac:dyDescent="0.25">
      <c r="A269" t="s">
        <v>1253</v>
      </c>
      <c r="B269" t="s">
        <v>13</v>
      </c>
      <c r="C269" s="12">
        <v>46055</v>
      </c>
      <c r="D269" s="12">
        <v>46142</v>
      </c>
      <c r="E269" t="s">
        <v>744</v>
      </c>
      <c r="F269" t="s">
        <v>14</v>
      </c>
      <c r="G269">
        <v>37084101</v>
      </c>
      <c r="H269" t="s">
        <v>853</v>
      </c>
      <c r="I269">
        <v>59836926</v>
      </c>
      <c r="J269" t="s">
        <v>14</v>
      </c>
      <c r="K269" t="s">
        <v>17</v>
      </c>
      <c r="L269" s="1" t="e">
        <v>#N/A</v>
      </c>
      <c r="M269" s="1">
        <v>0</v>
      </c>
      <c r="N269" s="20">
        <v>23400000</v>
      </c>
      <c r="O269" s="10">
        <v>23400000</v>
      </c>
      <c r="P269" t="s">
        <v>704</v>
      </c>
      <c r="Q269" s="1" t="e">
        <v>#N/A</v>
      </c>
      <c r="S269" s="11" t="s">
        <v>1036</v>
      </c>
    </row>
    <row r="270" spans="1:19" x14ac:dyDescent="0.25">
      <c r="A270" t="s">
        <v>1254</v>
      </c>
      <c r="B270" t="s">
        <v>13</v>
      </c>
      <c r="C270" s="12">
        <v>46055</v>
      </c>
      <c r="D270" s="12">
        <v>46142</v>
      </c>
      <c r="E270" t="s">
        <v>775</v>
      </c>
      <c r="F270" t="s">
        <v>14</v>
      </c>
      <c r="G270">
        <v>1010035235</v>
      </c>
      <c r="H270" t="s">
        <v>913</v>
      </c>
      <c r="I270">
        <v>59836926</v>
      </c>
      <c r="J270" t="s">
        <v>14</v>
      </c>
      <c r="K270" t="s">
        <v>17</v>
      </c>
      <c r="L270" s="1" t="e">
        <v>#N/A</v>
      </c>
      <c r="M270" s="1">
        <v>0</v>
      </c>
      <c r="N270" s="20">
        <v>9450000</v>
      </c>
      <c r="O270" s="10">
        <v>9450000</v>
      </c>
      <c r="P270" t="s">
        <v>704</v>
      </c>
      <c r="Q270" s="1" t="e">
        <v>#N/A</v>
      </c>
      <c r="S270" s="11" t="s">
        <v>1036</v>
      </c>
    </row>
    <row r="271" spans="1:19" x14ac:dyDescent="0.25">
      <c r="A271" t="s">
        <v>1255</v>
      </c>
      <c r="B271" t="s">
        <v>13</v>
      </c>
      <c r="C271" s="12">
        <v>46055</v>
      </c>
      <c r="D271" s="12">
        <v>46142</v>
      </c>
      <c r="E271" t="s">
        <v>775</v>
      </c>
      <c r="F271" t="s">
        <v>14</v>
      </c>
      <c r="G271">
        <v>26453006</v>
      </c>
      <c r="H271" t="s">
        <v>851</v>
      </c>
      <c r="I271">
        <v>59836926</v>
      </c>
      <c r="J271" t="s">
        <v>14</v>
      </c>
      <c r="K271" t="s">
        <v>17</v>
      </c>
      <c r="L271" s="1" t="e">
        <v>#N/A</v>
      </c>
      <c r="M271" s="1">
        <v>0</v>
      </c>
      <c r="N271" s="20">
        <v>9450000</v>
      </c>
      <c r="O271" s="10">
        <v>9450000</v>
      </c>
      <c r="P271" t="s">
        <v>704</v>
      </c>
      <c r="Q271" s="1" t="e">
        <v>#N/A</v>
      </c>
      <c r="S271" s="11" t="s">
        <v>1036</v>
      </c>
    </row>
    <row r="272" spans="1:19" x14ac:dyDescent="0.25">
      <c r="A272" t="s">
        <v>1256</v>
      </c>
      <c r="B272" t="s">
        <v>13</v>
      </c>
      <c r="C272" s="12">
        <v>46055</v>
      </c>
      <c r="D272" s="12">
        <v>46203</v>
      </c>
      <c r="E272" t="s">
        <v>775</v>
      </c>
      <c r="F272" t="s">
        <v>14</v>
      </c>
      <c r="G272">
        <v>1086363655</v>
      </c>
      <c r="H272" t="s">
        <v>911</v>
      </c>
      <c r="I272">
        <v>98390119</v>
      </c>
      <c r="J272" t="s">
        <v>14</v>
      </c>
      <c r="K272" t="s">
        <v>63</v>
      </c>
      <c r="L272" s="1" t="e">
        <v>#N/A</v>
      </c>
      <c r="M272" s="1">
        <v>0</v>
      </c>
      <c r="N272" s="20">
        <v>15750000</v>
      </c>
      <c r="O272" s="10">
        <v>15750000</v>
      </c>
      <c r="P272" t="s">
        <v>704</v>
      </c>
      <c r="Q272" s="1" t="e">
        <v>#N/A</v>
      </c>
      <c r="S272" s="11" t="s">
        <v>1036</v>
      </c>
    </row>
    <row r="273" spans="1:19" x14ac:dyDescent="0.25">
      <c r="A273" t="s">
        <v>1257</v>
      </c>
      <c r="B273" t="s">
        <v>13</v>
      </c>
      <c r="C273" s="12">
        <v>46055</v>
      </c>
      <c r="D273" s="12">
        <v>46203</v>
      </c>
      <c r="E273" t="s">
        <v>775</v>
      </c>
      <c r="F273" t="s">
        <v>14</v>
      </c>
      <c r="G273">
        <v>98399200</v>
      </c>
      <c r="H273" t="s">
        <v>955</v>
      </c>
      <c r="I273">
        <v>43624414</v>
      </c>
      <c r="J273" t="s">
        <v>14</v>
      </c>
      <c r="K273" t="s">
        <v>18</v>
      </c>
      <c r="L273" s="1" t="e">
        <v>#N/A</v>
      </c>
      <c r="M273" s="1">
        <v>0</v>
      </c>
      <c r="N273" s="20">
        <v>18900000</v>
      </c>
      <c r="O273" s="10">
        <v>18900000</v>
      </c>
      <c r="P273" t="s">
        <v>704</v>
      </c>
      <c r="Q273" s="1" t="e">
        <v>#N/A</v>
      </c>
      <c r="S273" s="11" t="s">
        <v>1036</v>
      </c>
    </row>
    <row r="274" spans="1:19" x14ac:dyDescent="0.25">
      <c r="A274" t="s">
        <v>1258</v>
      </c>
      <c r="B274" t="s">
        <v>13</v>
      </c>
      <c r="C274" s="12">
        <v>46055</v>
      </c>
      <c r="D274" s="12">
        <v>46203</v>
      </c>
      <c r="E274" t="s">
        <v>775</v>
      </c>
      <c r="F274" t="s">
        <v>14</v>
      </c>
      <c r="G274">
        <v>27487890</v>
      </c>
      <c r="H274" t="s">
        <v>942</v>
      </c>
      <c r="I274">
        <v>43624414</v>
      </c>
      <c r="J274" t="s">
        <v>14</v>
      </c>
      <c r="K274" t="s">
        <v>18</v>
      </c>
      <c r="L274" s="1" t="e">
        <v>#N/A</v>
      </c>
      <c r="M274" s="1">
        <v>0</v>
      </c>
      <c r="N274" s="20">
        <v>31500000</v>
      </c>
      <c r="O274" s="10">
        <v>31500000</v>
      </c>
      <c r="P274" t="s">
        <v>704</v>
      </c>
      <c r="Q274" s="1" t="e">
        <v>#N/A</v>
      </c>
      <c r="S274" s="11" t="s">
        <v>1036</v>
      </c>
    </row>
    <row r="275" spans="1:19" x14ac:dyDescent="0.25">
      <c r="A275" t="s">
        <v>1259</v>
      </c>
      <c r="B275" t="s">
        <v>13</v>
      </c>
      <c r="C275" s="12">
        <v>46055</v>
      </c>
      <c r="D275" s="12">
        <v>46203</v>
      </c>
      <c r="E275" t="s">
        <v>775</v>
      </c>
      <c r="F275" t="s">
        <v>14</v>
      </c>
      <c r="G275">
        <v>59313585</v>
      </c>
      <c r="H275" t="s">
        <v>898</v>
      </c>
      <c r="I275">
        <v>98333941</v>
      </c>
      <c r="J275" t="s">
        <v>14</v>
      </c>
      <c r="K275" t="s">
        <v>15</v>
      </c>
      <c r="L275" s="1" t="e">
        <v>#N/A</v>
      </c>
      <c r="M275" s="1">
        <v>0</v>
      </c>
      <c r="N275" s="20">
        <v>15750000</v>
      </c>
      <c r="O275" s="10">
        <v>15750000</v>
      </c>
      <c r="P275" t="s">
        <v>704</v>
      </c>
      <c r="Q275" s="1" t="e">
        <v>#N/A</v>
      </c>
      <c r="S275" s="11" t="s">
        <v>1036</v>
      </c>
    </row>
    <row r="276" spans="1:19" x14ac:dyDescent="0.25">
      <c r="A276" t="s">
        <v>1260</v>
      </c>
      <c r="B276" t="s">
        <v>13</v>
      </c>
      <c r="C276" s="12">
        <v>46055</v>
      </c>
      <c r="D276" s="12">
        <v>46203</v>
      </c>
      <c r="E276" t="s">
        <v>775</v>
      </c>
      <c r="F276" t="s">
        <v>14</v>
      </c>
      <c r="G276">
        <v>1080691508</v>
      </c>
      <c r="H276" t="s">
        <v>899</v>
      </c>
      <c r="I276">
        <v>98333941</v>
      </c>
      <c r="J276" t="s">
        <v>14</v>
      </c>
      <c r="K276" t="s">
        <v>15</v>
      </c>
      <c r="L276" s="1" t="e">
        <v>#N/A</v>
      </c>
      <c r="M276" s="1">
        <v>0</v>
      </c>
      <c r="N276" s="20">
        <v>15750000</v>
      </c>
      <c r="O276" s="10">
        <v>15750000</v>
      </c>
      <c r="P276" t="s">
        <v>704</v>
      </c>
      <c r="Q276" s="1" t="e">
        <v>#N/A</v>
      </c>
      <c r="S276" s="11" t="s">
        <v>1036</v>
      </c>
    </row>
    <row r="277" spans="1:19" x14ac:dyDescent="0.25">
      <c r="A277" t="s">
        <v>1261</v>
      </c>
      <c r="B277" t="s">
        <v>13</v>
      </c>
      <c r="C277" s="12">
        <v>46055</v>
      </c>
      <c r="D277" s="12">
        <v>46203</v>
      </c>
      <c r="E277" t="s">
        <v>775</v>
      </c>
      <c r="F277" t="s">
        <v>14</v>
      </c>
      <c r="G277">
        <v>1004232029</v>
      </c>
      <c r="H277" t="s">
        <v>939</v>
      </c>
      <c r="I277">
        <v>43624414</v>
      </c>
      <c r="J277" t="s">
        <v>14</v>
      </c>
      <c r="K277" t="s">
        <v>18</v>
      </c>
      <c r="L277" s="1" t="e">
        <v>#N/A</v>
      </c>
      <c r="M277" s="1">
        <v>0</v>
      </c>
      <c r="N277" s="20">
        <v>31500000</v>
      </c>
      <c r="O277" s="10">
        <v>31500000</v>
      </c>
      <c r="P277" t="s">
        <v>704</v>
      </c>
      <c r="Q277" s="1" t="e">
        <v>#N/A</v>
      </c>
      <c r="S277" s="11" t="s">
        <v>1036</v>
      </c>
    </row>
    <row r="278" spans="1:19" x14ac:dyDescent="0.25">
      <c r="A278" t="s">
        <v>1262</v>
      </c>
      <c r="B278" t="s">
        <v>13</v>
      </c>
      <c r="C278" s="12">
        <v>46055</v>
      </c>
      <c r="D278" s="12">
        <v>46203</v>
      </c>
      <c r="E278" t="s">
        <v>775</v>
      </c>
      <c r="F278" t="s">
        <v>14</v>
      </c>
      <c r="G278">
        <v>1082630032</v>
      </c>
      <c r="H278" t="s">
        <v>912</v>
      </c>
      <c r="I278">
        <v>98390119</v>
      </c>
      <c r="J278" t="s">
        <v>14</v>
      </c>
      <c r="K278" t="s">
        <v>63</v>
      </c>
      <c r="L278" s="1" t="e">
        <v>#N/A</v>
      </c>
      <c r="M278" s="1">
        <v>0</v>
      </c>
      <c r="N278" s="20">
        <v>15750000</v>
      </c>
      <c r="O278" s="10">
        <v>15750000</v>
      </c>
      <c r="P278" t="s">
        <v>704</v>
      </c>
      <c r="Q278" s="1" t="e">
        <v>#N/A</v>
      </c>
      <c r="S278" s="11" t="s">
        <v>1036</v>
      </c>
    </row>
    <row r="279" spans="1:19" x14ac:dyDescent="0.25">
      <c r="A279" t="s">
        <v>1263</v>
      </c>
      <c r="B279" t="s">
        <v>13</v>
      </c>
      <c r="C279" s="12">
        <v>46055</v>
      </c>
      <c r="D279" s="12">
        <v>46205</v>
      </c>
      <c r="E279" t="s">
        <v>775</v>
      </c>
      <c r="F279" t="s">
        <v>14</v>
      </c>
      <c r="G279">
        <v>1085281034</v>
      </c>
      <c r="H279" t="s">
        <v>884</v>
      </c>
      <c r="I279">
        <v>98333941</v>
      </c>
      <c r="J279" t="s">
        <v>14</v>
      </c>
      <c r="K279" t="s">
        <v>15</v>
      </c>
      <c r="L279" s="1" t="e">
        <v>#N/A</v>
      </c>
      <c r="M279" s="1">
        <v>0</v>
      </c>
      <c r="N279" s="20">
        <v>31500000</v>
      </c>
      <c r="O279" s="10">
        <v>31500000</v>
      </c>
      <c r="P279" t="s">
        <v>704</v>
      </c>
      <c r="Q279" s="1" t="e">
        <v>#N/A</v>
      </c>
      <c r="S279" s="11" t="s">
        <v>1036</v>
      </c>
    </row>
    <row r="280" spans="1:19" x14ac:dyDescent="0.25">
      <c r="A280" t="s">
        <v>1264</v>
      </c>
      <c r="B280" t="s">
        <v>13</v>
      </c>
      <c r="C280" s="12">
        <v>46055</v>
      </c>
      <c r="D280" s="12">
        <v>46203</v>
      </c>
      <c r="E280" t="s">
        <v>775</v>
      </c>
      <c r="F280" t="s">
        <v>14</v>
      </c>
      <c r="G280">
        <v>1085313206</v>
      </c>
      <c r="H280" t="s">
        <v>867</v>
      </c>
      <c r="I280">
        <v>98333941</v>
      </c>
      <c r="J280" t="s">
        <v>14</v>
      </c>
      <c r="K280" t="s">
        <v>15</v>
      </c>
      <c r="L280" s="1" t="e">
        <v>#N/A</v>
      </c>
      <c r="M280" s="1">
        <v>0</v>
      </c>
      <c r="N280" s="20">
        <v>31500000</v>
      </c>
      <c r="O280" s="10">
        <v>31500000</v>
      </c>
      <c r="P280" t="s">
        <v>704</v>
      </c>
      <c r="Q280" s="1" t="e">
        <v>#N/A</v>
      </c>
      <c r="S280" s="11" t="s">
        <v>1036</v>
      </c>
    </row>
    <row r="281" spans="1:19" x14ac:dyDescent="0.25">
      <c r="A281" t="s">
        <v>1265</v>
      </c>
      <c r="B281" t="s">
        <v>13</v>
      </c>
      <c r="C281" s="12">
        <v>46055</v>
      </c>
      <c r="D281" s="12">
        <v>46203</v>
      </c>
      <c r="E281" t="s">
        <v>775</v>
      </c>
      <c r="F281" t="s">
        <v>14</v>
      </c>
      <c r="G281">
        <v>1085288297</v>
      </c>
      <c r="H281" t="s">
        <v>940</v>
      </c>
      <c r="I281">
        <v>43624414</v>
      </c>
      <c r="J281" t="s">
        <v>14</v>
      </c>
      <c r="K281" t="s">
        <v>18</v>
      </c>
      <c r="L281" s="1" t="e">
        <v>#N/A</v>
      </c>
      <c r="M281" s="1">
        <v>0</v>
      </c>
      <c r="N281" s="20">
        <v>15750000</v>
      </c>
      <c r="O281" s="10">
        <v>15750000</v>
      </c>
      <c r="P281" t="s">
        <v>704</v>
      </c>
      <c r="Q281" s="1" t="e">
        <v>#N/A</v>
      </c>
      <c r="S281" s="11" t="s">
        <v>1036</v>
      </c>
    </row>
    <row r="282" spans="1:19" x14ac:dyDescent="0.25">
      <c r="A282" t="s">
        <v>1266</v>
      </c>
      <c r="B282" t="s">
        <v>13</v>
      </c>
      <c r="C282" s="12">
        <v>46055</v>
      </c>
      <c r="D282" s="12">
        <v>46203</v>
      </c>
      <c r="E282" t="s">
        <v>775</v>
      </c>
      <c r="F282" t="s">
        <v>14</v>
      </c>
      <c r="G282">
        <v>1089458129</v>
      </c>
      <c r="H282" t="s">
        <v>862</v>
      </c>
      <c r="I282">
        <v>43624414</v>
      </c>
      <c r="J282" t="s">
        <v>14</v>
      </c>
      <c r="K282" t="s">
        <v>18</v>
      </c>
      <c r="L282" s="1" t="e">
        <v>#N/A</v>
      </c>
      <c r="M282" s="1">
        <v>0</v>
      </c>
      <c r="N282" s="20">
        <v>15750000</v>
      </c>
      <c r="O282" s="10">
        <v>15750000</v>
      </c>
      <c r="P282" t="s">
        <v>704</v>
      </c>
      <c r="Q282" s="1" t="e">
        <v>#N/A</v>
      </c>
      <c r="S282" s="11" t="s">
        <v>1036</v>
      </c>
    </row>
    <row r="283" spans="1:19" x14ac:dyDescent="0.25">
      <c r="A283" t="s">
        <v>1267</v>
      </c>
      <c r="B283" t="s">
        <v>13</v>
      </c>
      <c r="C283" s="12">
        <v>46055</v>
      </c>
      <c r="D283" s="12">
        <v>46203</v>
      </c>
      <c r="E283" t="s">
        <v>775</v>
      </c>
      <c r="F283" t="s">
        <v>14</v>
      </c>
      <c r="G283">
        <v>1085283202</v>
      </c>
      <c r="H283" t="s">
        <v>958</v>
      </c>
      <c r="I283">
        <v>98390119</v>
      </c>
      <c r="J283" t="s">
        <v>14</v>
      </c>
      <c r="K283" t="s">
        <v>63</v>
      </c>
      <c r="L283" s="1" t="e">
        <v>#N/A</v>
      </c>
      <c r="M283" s="1">
        <v>0</v>
      </c>
      <c r="N283" s="20">
        <v>31500000</v>
      </c>
      <c r="O283" s="10">
        <v>31500000</v>
      </c>
      <c r="P283" t="s">
        <v>704</v>
      </c>
      <c r="Q283" s="1" t="e">
        <v>#N/A</v>
      </c>
      <c r="S283" s="11" t="s">
        <v>1036</v>
      </c>
    </row>
    <row r="284" spans="1:19" x14ac:dyDescent="0.25">
      <c r="A284" t="s">
        <v>1268</v>
      </c>
      <c r="B284" t="s">
        <v>13</v>
      </c>
      <c r="C284" s="12">
        <v>46055</v>
      </c>
      <c r="D284" s="12">
        <v>46203</v>
      </c>
      <c r="E284" t="s">
        <v>775</v>
      </c>
      <c r="F284" t="s">
        <v>14</v>
      </c>
      <c r="G284">
        <v>27224982</v>
      </c>
      <c r="H284" t="s">
        <v>907</v>
      </c>
      <c r="I284">
        <v>98390119</v>
      </c>
      <c r="J284" t="s">
        <v>14</v>
      </c>
      <c r="K284" t="s">
        <v>63</v>
      </c>
      <c r="L284" s="1" t="e">
        <v>#N/A</v>
      </c>
      <c r="M284" s="1">
        <v>0</v>
      </c>
      <c r="N284" s="20">
        <v>31500000</v>
      </c>
      <c r="O284" s="10">
        <v>31500000</v>
      </c>
      <c r="P284" t="s">
        <v>704</v>
      </c>
      <c r="Q284" s="1" t="e">
        <v>#N/A</v>
      </c>
      <c r="S284" s="11" t="s">
        <v>1036</v>
      </c>
    </row>
    <row r="285" spans="1:19" x14ac:dyDescent="0.25">
      <c r="A285" t="s">
        <v>1269</v>
      </c>
      <c r="B285" t="s">
        <v>13</v>
      </c>
      <c r="C285" s="12">
        <v>46055</v>
      </c>
      <c r="D285" s="12">
        <v>46203</v>
      </c>
      <c r="E285" t="s">
        <v>775</v>
      </c>
      <c r="F285" t="s">
        <v>14</v>
      </c>
      <c r="G285">
        <v>1004542606</v>
      </c>
      <c r="H285" t="s">
        <v>876</v>
      </c>
      <c r="I285">
        <v>98333941</v>
      </c>
      <c r="J285" t="s">
        <v>14</v>
      </c>
      <c r="K285" t="s">
        <v>15</v>
      </c>
      <c r="L285" s="1" t="e">
        <v>#N/A</v>
      </c>
      <c r="M285" s="1">
        <v>0</v>
      </c>
      <c r="N285" s="20">
        <v>15750000</v>
      </c>
      <c r="O285" s="10">
        <v>15750000</v>
      </c>
      <c r="P285" t="s">
        <v>704</v>
      </c>
      <c r="Q285" s="1" t="e">
        <v>#N/A</v>
      </c>
      <c r="S285" s="11" t="s">
        <v>1036</v>
      </c>
    </row>
    <row r="286" spans="1:19" x14ac:dyDescent="0.25">
      <c r="A286" t="s">
        <v>1270</v>
      </c>
      <c r="B286" t="s">
        <v>13</v>
      </c>
      <c r="C286" s="12">
        <v>46055</v>
      </c>
      <c r="D286" s="12">
        <v>46203</v>
      </c>
      <c r="E286" t="s">
        <v>775</v>
      </c>
      <c r="F286" t="s">
        <v>14</v>
      </c>
      <c r="G286">
        <v>1085252484</v>
      </c>
      <c r="H286" t="s">
        <v>897</v>
      </c>
      <c r="I286">
        <v>98333941</v>
      </c>
      <c r="J286" t="s">
        <v>14</v>
      </c>
      <c r="K286" t="s">
        <v>15</v>
      </c>
      <c r="L286" s="1" t="e">
        <v>#N/A</v>
      </c>
      <c r="M286" s="1">
        <v>0</v>
      </c>
      <c r="N286" s="20">
        <v>31500000</v>
      </c>
      <c r="O286" s="10">
        <v>31500000</v>
      </c>
      <c r="P286" t="s">
        <v>704</v>
      </c>
      <c r="Q286" s="1" t="e">
        <v>#N/A</v>
      </c>
      <c r="S286" s="11" t="s">
        <v>1036</v>
      </c>
    </row>
    <row r="287" spans="1:19" x14ac:dyDescent="0.25">
      <c r="A287" t="s">
        <v>1271</v>
      </c>
      <c r="B287" t="s">
        <v>13</v>
      </c>
      <c r="C287" s="12">
        <v>46055</v>
      </c>
      <c r="D287" s="12">
        <v>46112</v>
      </c>
      <c r="E287" t="s">
        <v>744</v>
      </c>
      <c r="F287" t="s">
        <v>14</v>
      </c>
      <c r="G287">
        <v>1085310394</v>
      </c>
      <c r="H287" t="s">
        <v>840</v>
      </c>
      <c r="I287">
        <v>98333941</v>
      </c>
      <c r="J287" t="s">
        <v>14</v>
      </c>
      <c r="K287" t="s">
        <v>15</v>
      </c>
      <c r="L287" s="1" t="e">
        <v>#N/A</v>
      </c>
      <c r="M287" s="1">
        <v>0</v>
      </c>
      <c r="N287" s="20">
        <v>23400000</v>
      </c>
      <c r="O287" s="10">
        <v>23400000</v>
      </c>
      <c r="P287" t="s">
        <v>704</v>
      </c>
      <c r="Q287" s="1" t="e">
        <v>#N/A</v>
      </c>
      <c r="S287" s="11" t="s">
        <v>1036</v>
      </c>
    </row>
    <row r="288" spans="1:19" x14ac:dyDescent="0.25">
      <c r="A288" t="s">
        <v>1272</v>
      </c>
      <c r="B288" t="s">
        <v>13</v>
      </c>
      <c r="C288" s="12">
        <v>46055</v>
      </c>
      <c r="D288" s="12">
        <v>46203</v>
      </c>
      <c r="E288" t="s">
        <v>775</v>
      </c>
      <c r="F288" t="s">
        <v>14</v>
      </c>
      <c r="G288">
        <v>1086224323</v>
      </c>
      <c r="H288" t="s">
        <v>908</v>
      </c>
      <c r="I288">
        <v>98390119</v>
      </c>
      <c r="J288" t="s">
        <v>14</v>
      </c>
      <c r="K288" t="s">
        <v>63</v>
      </c>
      <c r="L288" s="1" t="e">
        <v>#N/A</v>
      </c>
      <c r="M288" s="1">
        <v>0</v>
      </c>
      <c r="N288" s="20">
        <v>15750000</v>
      </c>
      <c r="O288" s="10">
        <v>15750000</v>
      </c>
      <c r="P288" t="s">
        <v>704</v>
      </c>
      <c r="Q288" s="1" t="e">
        <v>#N/A</v>
      </c>
      <c r="S288" s="11" t="s">
        <v>1036</v>
      </c>
    </row>
    <row r="289" spans="1:19" x14ac:dyDescent="0.25">
      <c r="A289" t="s">
        <v>1273</v>
      </c>
      <c r="B289" t="s">
        <v>13</v>
      </c>
      <c r="C289" s="12">
        <v>46055</v>
      </c>
      <c r="D289" s="12">
        <v>46203</v>
      </c>
      <c r="E289" t="s">
        <v>775</v>
      </c>
      <c r="F289" t="s">
        <v>14</v>
      </c>
      <c r="G289">
        <v>1086362994</v>
      </c>
      <c r="H289" t="s">
        <v>877</v>
      </c>
      <c r="I289">
        <v>98333941</v>
      </c>
      <c r="J289" t="s">
        <v>14</v>
      </c>
      <c r="K289" t="s">
        <v>15</v>
      </c>
      <c r="L289" s="1" t="e">
        <v>#N/A</v>
      </c>
      <c r="M289" s="1">
        <v>0</v>
      </c>
      <c r="N289" s="20">
        <v>15750000</v>
      </c>
      <c r="O289" s="10">
        <v>15750000</v>
      </c>
      <c r="P289" t="s">
        <v>704</v>
      </c>
      <c r="Q289" s="1" t="e">
        <v>#N/A</v>
      </c>
      <c r="S289" s="11" t="s">
        <v>1036</v>
      </c>
    </row>
    <row r="290" spans="1:19" x14ac:dyDescent="0.25">
      <c r="A290" t="s">
        <v>1274</v>
      </c>
      <c r="B290" t="s">
        <v>13</v>
      </c>
      <c r="C290" s="12">
        <v>46056</v>
      </c>
      <c r="D290" s="12">
        <v>46203</v>
      </c>
      <c r="E290" t="s">
        <v>775</v>
      </c>
      <c r="F290" t="s">
        <v>14</v>
      </c>
      <c r="G290">
        <v>36951884</v>
      </c>
      <c r="H290" t="s">
        <v>880</v>
      </c>
      <c r="I290">
        <v>98390119</v>
      </c>
      <c r="J290" t="s">
        <v>14</v>
      </c>
      <c r="K290" t="s">
        <v>63</v>
      </c>
      <c r="L290" s="1" t="e">
        <v>#N/A</v>
      </c>
      <c r="M290" s="1">
        <v>0</v>
      </c>
      <c r="N290" s="20">
        <v>15750000</v>
      </c>
      <c r="O290" s="10">
        <v>15750000</v>
      </c>
      <c r="P290" t="s">
        <v>704</v>
      </c>
      <c r="Q290" s="1" t="e">
        <v>#N/A</v>
      </c>
      <c r="S290" s="11" t="s">
        <v>1036</v>
      </c>
    </row>
    <row r="291" spans="1:19" x14ac:dyDescent="0.25">
      <c r="A291" t="s">
        <v>1275</v>
      </c>
      <c r="B291" t="s">
        <v>13</v>
      </c>
      <c r="C291" s="12">
        <v>46056</v>
      </c>
      <c r="D291" s="12">
        <v>46203</v>
      </c>
      <c r="E291" t="s">
        <v>775</v>
      </c>
      <c r="F291" t="s">
        <v>14</v>
      </c>
      <c r="G291">
        <v>1085311576</v>
      </c>
      <c r="H291" t="s">
        <v>909</v>
      </c>
      <c r="I291">
        <v>98390119</v>
      </c>
      <c r="J291" t="s">
        <v>14</v>
      </c>
      <c r="K291" t="s">
        <v>63</v>
      </c>
      <c r="L291" s="1" t="e">
        <v>#N/A</v>
      </c>
      <c r="M291" s="1">
        <v>0</v>
      </c>
      <c r="N291" s="20">
        <v>15750000</v>
      </c>
      <c r="O291" s="10">
        <v>15750000</v>
      </c>
      <c r="P291" t="s">
        <v>704</v>
      </c>
      <c r="Q291" s="1" t="e">
        <v>#N/A</v>
      </c>
      <c r="S291" s="11" t="s">
        <v>1036</v>
      </c>
    </row>
    <row r="292" spans="1:19" x14ac:dyDescent="0.25">
      <c r="A292" t="s">
        <v>1276</v>
      </c>
      <c r="B292" t="s">
        <v>13</v>
      </c>
      <c r="C292" s="12">
        <v>46056</v>
      </c>
      <c r="D292" s="12">
        <v>46203</v>
      </c>
      <c r="E292" t="s">
        <v>775</v>
      </c>
      <c r="F292" t="s">
        <v>14</v>
      </c>
      <c r="G292">
        <v>27444591</v>
      </c>
      <c r="H292" t="s">
        <v>244</v>
      </c>
      <c r="I292">
        <v>43624414</v>
      </c>
      <c r="J292" t="s">
        <v>14</v>
      </c>
      <c r="K292" t="s">
        <v>18</v>
      </c>
      <c r="L292" s="1" t="e">
        <v>#N/A</v>
      </c>
      <c r="M292" s="1">
        <v>0</v>
      </c>
      <c r="N292" s="20">
        <v>15750000</v>
      </c>
      <c r="O292" s="10">
        <v>15750000</v>
      </c>
      <c r="P292" t="s">
        <v>704</v>
      </c>
      <c r="Q292" s="1" t="e">
        <v>#N/A</v>
      </c>
      <c r="S292" s="11" t="s">
        <v>1036</v>
      </c>
    </row>
    <row r="293" spans="1:19" x14ac:dyDescent="0.25">
      <c r="A293" t="s">
        <v>1277</v>
      </c>
      <c r="B293" t="s">
        <v>13</v>
      </c>
      <c r="C293" s="12">
        <v>46056</v>
      </c>
      <c r="D293" s="12">
        <v>46203</v>
      </c>
      <c r="E293" t="s">
        <v>775</v>
      </c>
      <c r="F293" t="s">
        <v>14</v>
      </c>
      <c r="G293">
        <v>1081276122</v>
      </c>
      <c r="H293" t="s">
        <v>918</v>
      </c>
      <c r="I293">
        <v>98390119</v>
      </c>
      <c r="J293" t="s">
        <v>14</v>
      </c>
      <c r="K293" t="s">
        <v>63</v>
      </c>
      <c r="L293" s="1" t="e">
        <v>#N/A</v>
      </c>
      <c r="M293" s="1">
        <v>0</v>
      </c>
      <c r="N293" s="20">
        <v>15750000</v>
      </c>
      <c r="O293" s="10">
        <v>15750000</v>
      </c>
      <c r="P293" t="s">
        <v>704</v>
      </c>
      <c r="Q293" s="1" t="e">
        <v>#N/A</v>
      </c>
      <c r="S293" s="11" t="s">
        <v>1036</v>
      </c>
    </row>
    <row r="294" spans="1:19" x14ac:dyDescent="0.25">
      <c r="A294" t="s">
        <v>1278</v>
      </c>
      <c r="B294" t="s">
        <v>13</v>
      </c>
      <c r="C294" s="12">
        <v>46056</v>
      </c>
      <c r="D294" s="12">
        <v>46081</v>
      </c>
      <c r="E294" t="s">
        <v>775</v>
      </c>
      <c r="F294" t="s">
        <v>14</v>
      </c>
      <c r="G294">
        <v>1084551863</v>
      </c>
      <c r="H294" t="s">
        <v>668</v>
      </c>
      <c r="I294">
        <v>98333941</v>
      </c>
      <c r="J294" t="s">
        <v>14</v>
      </c>
      <c r="K294" t="s">
        <v>15</v>
      </c>
      <c r="L294" s="1" t="e">
        <v>#N/A</v>
      </c>
      <c r="M294" s="1">
        <v>0</v>
      </c>
      <c r="N294" s="20">
        <v>6300000</v>
      </c>
      <c r="O294" s="10">
        <v>6300000</v>
      </c>
      <c r="P294" t="s">
        <v>704</v>
      </c>
      <c r="Q294" s="1" t="e">
        <v>#N/A</v>
      </c>
      <c r="S294" s="11" t="s">
        <v>1036</v>
      </c>
    </row>
    <row r="295" spans="1:19" x14ac:dyDescent="0.25">
      <c r="A295" t="s">
        <v>1279</v>
      </c>
      <c r="B295" t="s">
        <v>13</v>
      </c>
      <c r="C295" s="12">
        <v>46056</v>
      </c>
      <c r="D295" s="12">
        <v>46203</v>
      </c>
      <c r="E295" t="s">
        <v>775</v>
      </c>
      <c r="F295" t="s">
        <v>14</v>
      </c>
      <c r="G295">
        <v>1004696654</v>
      </c>
      <c r="H295" t="s">
        <v>893</v>
      </c>
      <c r="I295">
        <v>98333941</v>
      </c>
      <c r="J295" t="s">
        <v>14</v>
      </c>
      <c r="K295" t="s">
        <v>15</v>
      </c>
      <c r="L295" s="1" t="e">
        <v>#N/A</v>
      </c>
      <c r="M295" s="1">
        <v>0</v>
      </c>
      <c r="N295" s="20">
        <v>31500000</v>
      </c>
      <c r="O295" s="10">
        <v>31500000</v>
      </c>
      <c r="P295" t="s">
        <v>704</v>
      </c>
      <c r="Q295" s="1" t="e">
        <v>#N/A</v>
      </c>
      <c r="S295" s="11" t="s">
        <v>1036</v>
      </c>
    </row>
    <row r="296" spans="1:19" x14ac:dyDescent="0.25">
      <c r="A296" t="s">
        <v>1280</v>
      </c>
      <c r="B296" t="s">
        <v>13</v>
      </c>
      <c r="C296" s="12">
        <v>46057</v>
      </c>
      <c r="D296" s="12">
        <v>46142</v>
      </c>
      <c r="E296" t="s">
        <v>744</v>
      </c>
      <c r="F296" t="s">
        <v>14</v>
      </c>
      <c r="G296">
        <v>1085274738</v>
      </c>
      <c r="H296" t="s">
        <v>869</v>
      </c>
      <c r="I296">
        <v>59836926</v>
      </c>
      <c r="J296" t="s">
        <v>14</v>
      </c>
      <c r="K296" t="s">
        <v>17</v>
      </c>
      <c r="L296" s="1" t="e">
        <v>#N/A</v>
      </c>
      <c r="M296" s="1">
        <v>0</v>
      </c>
      <c r="N296" s="20">
        <v>14190000</v>
      </c>
      <c r="O296" s="10">
        <v>14190000</v>
      </c>
      <c r="P296" t="s">
        <v>704</v>
      </c>
      <c r="Q296" s="1" t="e">
        <v>#N/A</v>
      </c>
      <c r="S296" s="11" t="s">
        <v>1036</v>
      </c>
    </row>
    <row r="297" spans="1:19" x14ac:dyDescent="0.25">
      <c r="A297" t="s">
        <v>1281</v>
      </c>
      <c r="B297" t="s">
        <v>13</v>
      </c>
      <c r="C297" s="12">
        <v>46058</v>
      </c>
      <c r="D297" s="12">
        <v>46203</v>
      </c>
      <c r="E297" t="s">
        <v>775</v>
      </c>
      <c r="F297" t="s">
        <v>14</v>
      </c>
      <c r="G297">
        <v>59123038</v>
      </c>
      <c r="H297" t="s">
        <v>919</v>
      </c>
      <c r="I297">
        <v>98390119</v>
      </c>
      <c r="J297" t="s">
        <v>14</v>
      </c>
      <c r="K297" t="s">
        <v>63</v>
      </c>
      <c r="L297" s="1" t="e">
        <v>#N/A</v>
      </c>
      <c r="M297" s="1">
        <v>0</v>
      </c>
      <c r="N297" s="20">
        <v>15750000</v>
      </c>
      <c r="O297" s="10">
        <v>15750000</v>
      </c>
      <c r="P297" t="s">
        <v>704</v>
      </c>
      <c r="Q297" s="1" t="e">
        <v>#N/A</v>
      </c>
      <c r="S297" s="11" t="s">
        <v>1036</v>
      </c>
    </row>
    <row r="298" spans="1:19" x14ac:dyDescent="0.25">
      <c r="A298" t="s">
        <v>1282</v>
      </c>
      <c r="B298" t="s">
        <v>13</v>
      </c>
      <c r="C298" s="12">
        <v>46058</v>
      </c>
      <c r="D298" s="12">
        <v>46203</v>
      </c>
      <c r="E298" t="s">
        <v>775</v>
      </c>
      <c r="F298" t="s">
        <v>14</v>
      </c>
      <c r="G298">
        <v>1137089261</v>
      </c>
      <c r="H298" t="s">
        <v>945</v>
      </c>
      <c r="I298">
        <v>43624414</v>
      </c>
      <c r="J298" t="s">
        <v>14</v>
      </c>
      <c r="K298" t="s">
        <v>18</v>
      </c>
      <c r="L298" s="1" t="e">
        <v>#N/A</v>
      </c>
      <c r="M298" s="1">
        <v>0</v>
      </c>
      <c r="N298" s="20">
        <v>15750000</v>
      </c>
      <c r="O298" s="10">
        <v>15750000</v>
      </c>
      <c r="P298" t="s">
        <v>704</v>
      </c>
      <c r="Q298" s="1" t="e">
        <v>#N/A</v>
      </c>
      <c r="S298" s="11" t="s">
        <v>1036</v>
      </c>
    </row>
    <row r="299" spans="1:19" x14ac:dyDescent="0.25">
      <c r="A299" t="s">
        <v>1283</v>
      </c>
      <c r="B299" t="s">
        <v>13</v>
      </c>
      <c r="C299" s="12">
        <v>46058</v>
      </c>
      <c r="D299" s="12">
        <v>46203</v>
      </c>
      <c r="E299" t="s">
        <v>775</v>
      </c>
      <c r="F299" t="s">
        <v>14</v>
      </c>
      <c r="G299">
        <v>1086222412</v>
      </c>
      <c r="H299" t="s">
        <v>921</v>
      </c>
      <c r="I299">
        <v>59836926</v>
      </c>
      <c r="J299" t="s">
        <v>14</v>
      </c>
      <c r="K299" t="s">
        <v>17</v>
      </c>
      <c r="L299" s="1" t="e">
        <v>#N/A</v>
      </c>
      <c r="M299" s="1">
        <v>0</v>
      </c>
      <c r="N299" s="20">
        <v>15750000</v>
      </c>
      <c r="O299" s="10">
        <v>15750000</v>
      </c>
      <c r="P299" t="s">
        <v>704</v>
      </c>
      <c r="Q299" s="1" t="e">
        <v>#N/A</v>
      </c>
      <c r="S299" s="11" t="s">
        <v>1036</v>
      </c>
    </row>
    <row r="300" spans="1:19" x14ac:dyDescent="0.25">
      <c r="A300" t="s">
        <v>1284</v>
      </c>
      <c r="B300" t="s">
        <v>13</v>
      </c>
      <c r="C300" s="12">
        <v>46058</v>
      </c>
      <c r="D300" s="12">
        <v>46203</v>
      </c>
      <c r="E300" t="s">
        <v>775</v>
      </c>
      <c r="F300" t="s">
        <v>14</v>
      </c>
      <c r="G300">
        <v>1089197187</v>
      </c>
      <c r="H300" t="s">
        <v>950</v>
      </c>
      <c r="I300">
        <v>98333941</v>
      </c>
      <c r="J300" t="s">
        <v>14</v>
      </c>
      <c r="K300" t="s">
        <v>15</v>
      </c>
      <c r="L300" s="1" t="e">
        <v>#N/A</v>
      </c>
      <c r="M300" s="1">
        <v>0</v>
      </c>
      <c r="N300" s="20">
        <v>15750000</v>
      </c>
      <c r="O300" s="10">
        <v>15750000</v>
      </c>
      <c r="P300" t="s">
        <v>704</v>
      </c>
      <c r="Q300" s="1" t="e">
        <v>#N/A</v>
      </c>
      <c r="S300" s="11" t="s">
        <v>1036</v>
      </c>
    </row>
    <row r="301" spans="1:19" x14ac:dyDescent="0.25">
      <c r="A301" t="s">
        <v>1285</v>
      </c>
      <c r="B301" t="s">
        <v>13</v>
      </c>
      <c r="C301" s="12">
        <v>46058</v>
      </c>
      <c r="D301" s="12">
        <v>46203</v>
      </c>
      <c r="E301" t="s">
        <v>775</v>
      </c>
      <c r="F301" t="s">
        <v>14</v>
      </c>
      <c r="G301">
        <v>1086223716</v>
      </c>
      <c r="H301" t="s">
        <v>946</v>
      </c>
      <c r="I301">
        <v>43624414</v>
      </c>
      <c r="J301" t="s">
        <v>14</v>
      </c>
      <c r="K301" t="s">
        <v>18</v>
      </c>
      <c r="L301" s="1" t="e">
        <v>#N/A</v>
      </c>
      <c r="M301" s="1">
        <v>0</v>
      </c>
      <c r="N301" s="20">
        <v>15750000</v>
      </c>
      <c r="O301" s="10">
        <v>15750000</v>
      </c>
      <c r="P301" t="s">
        <v>704</v>
      </c>
      <c r="Q301" s="1" t="e">
        <v>#N/A</v>
      </c>
      <c r="S301" s="11" t="s">
        <v>1036</v>
      </c>
    </row>
    <row r="302" spans="1:19" x14ac:dyDescent="0.25">
      <c r="A302" t="s">
        <v>1286</v>
      </c>
      <c r="B302" t="s">
        <v>13</v>
      </c>
      <c r="C302" s="12">
        <v>46058</v>
      </c>
      <c r="D302" s="12">
        <v>46203</v>
      </c>
      <c r="E302" t="s">
        <v>775</v>
      </c>
      <c r="F302" t="s">
        <v>14</v>
      </c>
      <c r="G302">
        <v>1086225739</v>
      </c>
      <c r="H302" t="s">
        <v>943</v>
      </c>
      <c r="I302">
        <v>43624414</v>
      </c>
      <c r="J302" t="s">
        <v>14</v>
      </c>
      <c r="K302" t="s">
        <v>18</v>
      </c>
      <c r="L302" s="1" t="e">
        <v>#N/A</v>
      </c>
      <c r="M302" s="1">
        <v>0</v>
      </c>
      <c r="N302" s="20">
        <v>15750000</v>
      </c>
      <c r="O302" s="10">
        <v>15750000</v>
      </c>
      <c r="P302" t="s">
        <v>704</v>
      </c>
      <c r="Q302" s="1" t="e">
        <v>#N/A</v>
      </c>
      <c r="S302" s="11" t="s">
        <v>1036</v>
      </c>
    </row>
    <row r="303" spans="1:19" x14ac:dyDescent="0.25">
      <c r="A303" t="s">
        <v>1287</v>
      </c>
      <c r="B303" t="s">
        <v>13</v>
      </c>
      <c r="C303" s="12">
        <v>46059</v>
      </c>
      <c r="D303" s="12">
        <v>46203</v>
      </c>
      <c r="E303" t="s">
        <v>775</v>
      </c>
      <c r="F303" t="s">
        <v>14</v>
      </c>
      <c r="G303">
        <v>1193265831</v>
      </c>
      <c r="H303" t="s">
        <v>896</v>
      </c>
      <c r="I303">
        <v>98390119</v>
      </c>
      <c r="J303" t="s">
        <v>14</v>
      </c>
      <c r="K303" t="s">
        <v>63</v>
      </c>
      <c r="L303" s="1" t="e">
        <v>#N/A</v>
      </c>
      <c r="M303" s="1">
        <v>0</v>
      </c>
      <c r="N303" s="20">
        <v>15750000</v>
      </c>
      <c r="O303" s="10">
        <v>15750000</v>
      </c>
      <c r="P303" t="s">
        <v>704</v>
      </c>
      <c r="Q303" s="1" t="e">
        <v>#N/A</v>
      </c>
      <c r="S303" s="11" t="s">
        <v>1036</v>
      </c>
    </row>
    <row r="304" spans="1:19" x14ac:dyDescent="0.25">
      <c r="A304" t="s">
        <v>1288</v>
      </c>
      <c r="B304" t="s">
        <v>13</v>
      </c>
      <c r="C304" s="12">
        <v>46059</v>
      </c>
      <c r="D304" s="12">
        <v>46203</v>
      </c>
      <c r="E304" t="s">
        <v>775</v>
      </c>
      <c r="F304" t="s">
        <v>14</v>
      </c>
      <c r="G304">
        <v>1086223925</v>
      </c>
      <c r="H304" t="s">
        <v>947</v>
      </c>
      <c r="I304">
        <v>43624414</v>
      </c>
      <c r="J304" t="s">
        <v>14</v>
      </c>
      <c r="K304" t="s">
        <v>18</v>
      </c>
      <c r="L304" s="1" t="e">
        <v>#N/A</v>
      </c>
      <c r="M304" s="1">
        <v>0</v>
      </c>
      <c r="N304" s="20">
        <v>15750000</v>
      </c>
      <c r="O304" s="10">
        <v>15750000</v>
      </c>
      <c r="P304" t="s">
        <v>704</v>
      </c>
      <c r="Q304" s="1" t="e">
        <v>#N/A</v>
      </c>
      <c r="S304" s="11" t="s">
        <v>1036</v>
      </c>
    </row>
    <row r="305" spans="1:19" x14ac:dyDescent="0.25">
      <c r="A305" t="s">
        <v>1289</v>
      </c>
      <c r="B305" t="s">
        <v>13</v>
      </c>
      <c r="C305" s="12">
        <v>46059</v>
      </c>
      <c r="D305" s="12">
        <v>46203</v>
      </c>
      <c r="E305" t="s">
        <v>775</v>
      </c>
      <c r="F305" t="s">
        <v>14</v>
      </c>
      <c r="G305">
        <v>1089844032</v>
      </c>
      <c r="H305" t="s">
        <v>883</v>
      </c>
      <c r="I305">
        <v>98333941</v>
      </c>
      <c r="J305" t="s">
        <v>14</v>
      </c>
      <c r="K305" t="s">
        <v>15</v>
      </c>
      <c r="L305" s="1" t="e">
        <v>#N/A</v>
      </c>
      <c r="M305" s="1">
        <v>0</v>
      </c>
      <c r="N305" s="20">
        <v>31500000</v>
      </c>
      <c r="O305" s="10">
        <v>31500000</v>
      </c>
      <c r="P305" t="s">
        <v>704</v>
      </c>
      <c r="Q305" s="1" t="e">
        <v>#N/A</v>
      </c>
      <c r="S305" s="11" t="s">
        <v>1036</v>
      </c>
    </row>
    <row r="306" spans="1:19" x14ac:dyDescent="0.25">
      <c r="A306" t="s">
        <v>1290</v>
      </c>
      <c r="B306" t="s">
        <v>13</v>
      </c>
      <c r="C306" s="12">
        <v>46059</v>
      </c>
      <c r="D306" s="12">
        <v>46203</v>
      </c>
      <c r="E306" t="s">
        <v>775</v>
      </c>
      <c r="F306" t="s">
        <v>14</v>
      </c>
      <c r="G306">
        <v>1004595921</v>
      </c>
      <c r="H306" t="s">
        <v>882</v>
      </c>
      <c r="I306">
        <v>98390119</v>
      </c>
      <c r="J306" t="s">
        <v>14</v>
      </c>
      <c r="K306" t="s">
        <v>63</v>
      </c>
      <c r="L306" s="1" t="e">
        <v>#N/A</v>
      </c>
      <c r="M306" s="1">
        <v>0</v>
      </c>
      <c r="N306" s="20">
        <v>15750000</v>
      </c>
      <c r="O306" s="10">
        <v>15750000</v>
      </c>
      <c r="P306" t="s">
        <v>704</v>
      </c>
      <c r="Q306" s="1" t="e">
        <v>#N/A</v>
      </c>
      <c r="S306" s="11" t="s">
        <v>1036</v>
      </c>
    </row>
    <row r="307" spans="1:19" x14ac:dyDescent="0.25">
      <c r="A307" t="s">
        <v>1291</v>
      </c>
      <c r="B307" t="s">
        <v>13</v>
      </c>
      <c r="C307" s="12">
        <v>46059</v>
      </c>
      <c r="D307" s="12">
        <v>46081</v>
      </c>
      <c r="E307" t="s">
        <v>744</v>
      </c>
      <c r="F307" t="s">
        <v>14</v>
      </c>
      <c r="G307">
        <v>1233192618</v>
      </c>
      <c r="H307" t="s">
        <v>924</v>
      </c>
      <c r="I307">
        <v>43624414</v>
      </c>
      <c r="J307" t="s">
        <v>14</v>
      </c>
      <c r="K307" t="s">
        <v>18</v>
      </c>
      <c r="L307" s="1" t="e">
        <v>#N/A</v>
      </c>
      <c r="M307" s="1">
        <v>0</v>
      </c>
      <c r="N307" s="20">
        <v>4730000</v>
      </c>
      <c r="O307" s="10">
        <v>4730000</v>
      </c>
      <c r="P307" t="s">
        <v>704</v>
      </c>
      <c r="Q307" s="1" t="e">
        <v>#N/A</v>
      </c>
      <c r="S307" s="11" t="s">
        <v>1036</v>
      </c>
    </row>
    <row r="308" spans="1:19" x14ac:dyDescent="0.25">
      <c r="A308" t="s">
        <v>1292</v>
      </c>
      <c r="B308" t="s">
        <v>13</v>
      </c>
      <c r="C308" s="12">
        <v>46059</v>
      </c>
      <c r="D308" s="12">
        <v>46203</v>
      </c>
      <c r="E308" t="s">
        <v>775</v>
      </c>
      <c r="F308" t="s">
        <v>14</v>
      </c>
      <c r="G308">
        <v>1193458466</v>
      </c>
      <c r="H308" t="s">
        <v>889</v>
      </c>
      <c r="I308">
        <v>43624414</v>
      </c>
      <c r="J308" t="s">
        <v>14</v>
      </c>
      <c r="K308" t="s">
        <v>18</v>
      </c>
      <c r="L308" s="1" t="e">
        <v>#N/A</v>
      </c>
      <c r="M308" s="1">
        <v>0</v>
      </c>
      <c r="N308" s="20">
        <v>15750000</v>
      </c>
      <c r="O308" s="10">
        <v>15750000</v>
      </c>
      <c r="P308" t="s">
        <v>704</v>
      </c>
      <c r="Q308" s="1" t="e">
        <v>#N/A</v>
      </c>
      <c r="S308" s="11" t="s">
        <v>1036</v>
      </c>
    </row>
    <row r="309" spans="1:19" x14ac:dyDescent="0.25">
      <c r="A309" t="s">
        <v>1293</v>
      </c>
      <c r="B309" t="s">
        <v>13</v>
      </c>
      <c r="C309" s="12">
        <v>46062</v>
      </c>
      <c r="D309" s="12">
        <v>46203</v>
      </c>
      <c r="E309" t="s">
        <v>775</v>
      </c>
      <c r="F309" t="s">
        <v>14</v>
      </c>
      <c r="G309">
        <v>27110237</v>
      </c>
      <c r="H309" t="s">
        <v>952</v>
      </c>
      <c r="I309">
        <v>98333941</v>
      </c>
      <c r="J309" t="s">
        <v>14</v>
      </c>
      <c r="K309" t="s">
        <v>15</v>
      </c>
      <c r="L309" s="1" t="e">
        <v>#N/A</v>
      </c>
      <c r="M309" s="1">
        <v>0</v>
      </c>
      <c r="N309" s="20">
        <v>15750000</v>
      </c>
      <c r="O309" s="10">
        <v>15750000</v>
      </c>
      <c r="P309" t="s">
        <v>704</v>
      </c>
      <c r="Q309" s="1" t="e">
        <v>#N/A</v>
      </c>
      <c r="S309" s="11" t="s">
        <v>1036</v>
      </c>
    </row>
    <row r="310" spans="1:19" x14ac:dyDescent="0.25">
      <c r="A310" t="s">
        <v>1294</v>
      </c>
      <c r="B310" t="s">
        <v>13</v>
      </c>
      <c r="C310" s="12">
        <v>46062</v>
      </c>
      <c r="D310" s="12">
        <v>46142</v>
      </c>
      <c r="E310" t="s">
        <v>744</v>
      </c>
      <c r="F310" t="s">
        <v>14</v>
      </c>
      <c r="G310">
        <v>1004561553</v>
      </c>
      <c r="H310" t="s">
        <v>864</v>
      </c>
      <c r="I310">
        <v>98390119</v>
      </c>
      <c r="J310" t="s">
        <v>14</v>
      </c>
      <c r="K310" t="s">
        <v>63</v>
      </c>
      <c r="L310" s="1" t="e">
        <v>#N/A</v>
      </c>
      <c r="M310" s="1">
        <v>0</v>
      </c>
      <c r="N310" s="20">
        <v>23400000</v>
      </c>
      <c r="O310" s="10">
        <v>23400000</v>
      </c>
      <c r="P310" t="s">
        <v>704</v>
      </c>
      <c r="Q310" s="1" t="e">
        <v>#N/A</v>
      </c>
      <c r="S310" s="11" t="s">
        <v>1036</v>
      </c>
    </row>
    <row r="311" spans="1:19" x14ac:dyDescent="0.25">
      <c r="A311" s="11" t="s">
        <v>1295</v>
      </c>
      <c r="B311" t="s">
        <v>13</v>
      </c>
      <c r="C311" s="12">
        <v>46062</v>
      </c>
      <c r="D311" s="12">
        <v>46142</v>
      </c>
      <c r="E311" t="s">
        <v>744</v>
      </c>
      <c r="F311" t="s">
        <v>14</v>
      </c>
      <c r="G311">
        <v>1087119615</v>
      </c>
      <c r="H311" t="s">
        <v>964</v>
      </c>
      <c r="I311">
        <v>59836926</v>
      </c>
      <c r="J311" t="s">
        <v>14</v>
      </c>
      <c r="K311" t="s">
        <v>17</v>
      </c>
      <c r="L311" s="1" t="e">
        <v>#N/A</v>
      </c>
      <c r="M311" s="1">
        <v>0</v>
      </c>
      <c r="N311" s="20">
        <v>4730000</v>
      </c>
      <c r="O311" s="10">
        <v>4730000</v>
      </c>
      <c r="P311" t="s">
        <v>704</v>
      </c>
      <c r="Q311" s="1" t="e">
        <v>#N/A</v>
      </c>
      <c r="S311" s="11" t="s">
        <v>1036</v>
      </c>
    </row>
    <row r="312" spans="1:19" x14ac:dyDescent="0.25">
      <c r="A312" t="s">
        <v>1296</v>
      </c>
      <c r="B312" t="s">
        <v>13</v>
      </c>
      <c r="C312" s="12">
        <v>46063</v>
      </c>
      <c r="D312" s="12">
        <v>46203</v>
      </c>
      <c r="E312" t="s">
        <v>775</v>
      </c>
      <c r="F312" t="s">
        <v>14</v>
      </c>
      <c r="G312">
        <v>27090131</v>
      </c>
      <c r="H312" t="s">
        <v>951</v>
      </c>
      <c r="I312">
        <v>98390119</v>
      </c>
      <c r="J312" t="s">
        <v>14</v>
      </c>
      <c r="K312" t="s">
        <v>63</v>
      </c>
      <c r="L312" s="1" t="e">
        <v>#N/A</v>
      </c>
      <c r="M312" s="1">
        <v>0</v>
      </c>
      <c r="N312" s="20">
        <v>15750000</v>
      </c>
      <c r="O312" s="10">
        <v>15750000</v>
      </c>
      <c r="P312" t="s">
        <v>704</v>
      </c>
      <c r="Q312" s="1" t="e">
        <v>#N/A</v>
      </c>
      <c r="S312" s="11" t="s">
        <v>1036</v>
      </c>
    </row>
    <row r="313" spans="1:19" x14ac:dyDescent="0.25">
      <c r="A313" t="s">
        <v>1297</v>
      </c>
      <c r="B313" t="s">
        <v>13</v>
      </c>
      <c r="C313" s="12">
        <v>46063</v>
      </c>
      <c r="D313" s="12">
        <v>46203</v>
      </c>
      <c r="E313" t="s">
        <v>775</v>
      </c>
      <c r="F313" t="s">
        <v>14</v>
      </c>
      <c r="G313">
        <v>1004216587</v>
      </c>
      <c r="H313" t="s">
        <v>956</v>
      </c>
      <c r="I313">
        <v>98390119</v>
      </c>
      <c r="J313" t="s">
        <v>14</v>
      </c>
      <c r="K313" t="s">
        <v>63</v>
      </c>
      <c r="L313" s="1" t="e">
        <v>#N/A</v>
      </c>
      <c r="M313" s="1">
        <v>0</v>
      </c>
      <c r="N313" s="20">
        <v>15750000</v>
      </c>
      <c r="O313" s="10">
        <v>15750000</v>
      </c>
      <c r="P313" t="s">
        <v>704</v>
      </c>
      <c r="Q313" s="1" t="e">
        <v>#N/A</v>
      </c>
      <c r="S313" s="11" t="s">
        <v>1036</v>
      </c>
    </row>
    <row r="314" spans="1:19" x14ac:dyDescent="0.25">
      <c r="A314" t="s">
        <v>1298</v>
      </c>
      <c r="B314" t="s">
        <v>13</v>
      </c>
      <c r="C314" s="12">
        <v>46063</v>
      </c>
      <c r="D314" s="12">
        <v>46142</v>
      </c>
      <c r="E314" t="s">
        <v>793</v>
      </c>
      <c r="F314" t="s">
        <v>14</v>
      </c>
      <c r="G314">
        <v>1233190640</v>
      </c>
      <c r="H314" t="s">
        <v>536</v>
      </c>
      <c r="I314">
        <v>43624414</v>
      </c>
      <c r="J314" t="s">
        <v>14</v>
      </c>
      <c r="K314" t="s">
        <v>18</v>
      </c>
      <c r="L314" s="1" t="e">
        <v>#N/A</v>
      </c>
      <c r="M314" s="1">
        <v>0</v>
      </c>
      <c r="N314" s="20">
        <v>6000000</v>
      </c>
      <c r="O314" s="10">
        <v>6000000</v>
      </c>
      <c r="P314" t="s">
        <v>704</v>
      </c>
      <c r="Q314" s="1" t="e">
        <v>#N/A</v>
      </c>
      <c r="S314" s="11" t="s">
        <v>1036</v>
      </c>
    </row>
    <row r="315" spans="1:19" x14ac:dyDescent="0.25">
      <c r="A315" t="s">
        <v>1299</v>
      </c>
      <c r="B315" t="s">
        <v>13</v>
      </c>
      <c r="C315" s="12">
        <v>46063</v>
      </c>
      <c r="D315" s="12">
        <v>46142</v>
      </c>
      <c r="E315" t="s">
        <v>744</v>
      </c>
      <c r="F315" t="s">
        <v>14</v>
      </c>
      <c r="G315">
        <v>1085329230</v>
      </c>
      <c r="H315" t="s">
        <v>892</v>
      </c>
      <c r="I315">
        <v>98390119</v>
      </c>
      <c r="J315" t="s">
        <v>14</v>
      </c>
      <c r="K315" t="s">
        <v>63</v>
      </c>
      <c r="L315" s="1" t="e">
        <v>#N/A</v>
      </c>
      <c r="M315" s="1">
        <v>0</v>
      </c>
      <c r="N315" s="20">
        <v>23400000</v>
      </c>
      <c r="O315" s="10">
        <v>23400000</v>
      </c>
      <c r="P315" t="s">
        <v>704</v>
      </c>
      <c r="Q315" s="1" t="e">
        <v>#N/A</v>
      </c>
      <c r="S315" s="11" t="s">
        <v>1036</v>
      </c>
    </row>
    <row r="316" spans="1:19" x14ac:dyDescent="0.25">
      <c r="A316" t="s">
        <v>1300</v>
      </c>
      <c r="B316" t="s">
        <v>13</v>
      </c>
      <c r="C316" s="12">
        <v>46063</v>
      </c>
      <c r="D316" s="12">
        <v>46142</v>
      </c>
      <c r="E316" t="s">
        <v>775</v>
      </c>
      <c r="F316" t="s">
        <v>14</v>
      </c>
      <c r="G316">
        <v>1085344098</v>
      </c>
      <c r="H316" t="s">
        <v>910</v>
      </c>
      <c r="I316">
        <v>59836926</v>
      </c>
      <c r="J316" t="s">
        <v>14</v>
      </c>
      <c r="K316" t="s">
        <v>17</v>
      </c>
      <c r="L316" s="1" t="e">
        <v>#N/A</v>
      </c>
      <c r="M316" s="1">
        <v>0</v>
      </c>
      <c r="N316" s="20">
        <v>18900000</v>
      </c>
      <c r="O316" s="10">
        <v>18900000</v>
      </c>
      <c r="P316" t="s">
        <v>704</v>
      </c>
      <c r="Q316" s="1" t="e">
        <v>#N/A</v>
      </c>
      <c r="S316" s="11" t="s">
        <v>1036</v>
      </c>
    </row>
    <row r="317" spans="1:19" x14ac:dyDescent="0.25">
      <c r="A317" t="s">
        <v>1301</v>
      </c>
      <c r="B317" t="s">
        <v>13</v>
      </c>
      <c r="C317" s="12">
        <v>46063</v>
      </c>
      <c r="D317" s="12">
        <v>46203</v>
      </c>
      <c r="E317" t="s">
        <v>775</v>
      </c>
      <c r="F317" t="s">
        <v>14</v>
      </c>
      <c r="G317">
        <v>59314800</v>
      </c>
      <c r="H317" t="s">
        <v>953</v>
      </c>
      <c r="I317">
        <v>98333941</v>
      </c>
      <c r="J317" t="s">
        <v>14</v>
      </c>
      <c r="K317" t="s">
        <v>15</v>
      </c>
      <c r="L317" s="1" t="e">
        <v>#N/A</v>
      </c>
      <c r="M317" s="1">
        <v>0</v>
      </c>
      <c r="N317" s="20">
        <v>15750000</v>
      </c>
      <c r="O317" s="10">
        <v>15750000</v>
      </c>
      <c r="P317" t="s">
        <v>704</v>
      </c>
      <c r="Q317" s="1" t="e">
        <v>#N/A</v>
      </c>
      <c r="S317" s="11" t="s">
        <v>1036</v>
      </c>
    </row>
    <row r="318" spans="1:19" x14ac:dyDescent="0.25">
      <c r="A318" t="s">
        <v>1302</v>
      </c>
      <c r="B318" t="s">
        <v>13</v>
      </c>
      <c r="C318" s="12">
        <v>46063</v>
      </c>
      <c r="D318" s="12">
        <v>46089</v>
      </c>
      <c r="E318" t="s">
        <v>775</v>
      </c>
      <c r="F318" t="s">
        <v>14</v>
      </c>
      <c r="G318">
        <v>1087645520</v>
      </c>
      <c r="H318" t="s">
        <v>871</v>
      </c>
      <c r="I318">
        <v>98333941</v>
      </c>
      <c r="J318" t="s">
        <v>14</v>
      </c>
      <c r="K318" t="s">
        <v>15</v>
      </c>
      <c r="L318" s="1" t="e">
        <v>#N/A</v>
      </c>
      <c r="M318" s="1">
        <v>0</v>
      </c>
      <c r="N318" s="20">
        <v>6300000</v>
      </c>
      <c r="O318" s="10">
        <v>6300000</v>
      </c>
      <c r="P318" t="s">
        <v>704</v>
      </c>
      <c r="Q318" s="1" t="e">
        <v>#N/A</v>
      </c>
      <c r="S318" s="11" t="s">
        <v>1036</v>
      </c>
    </row>
    <row r="319" spans="1:19" x14ac:dyDescent="0.25">
      <c r="A319" t="s">
        <v>1303</v>
      </c>
      <c r="B319" t="s">
        <v>13</v>
      </c>
      <c r="C319" s="12">
        <v>46063</v>
      </c>
      <c r="D319" s="12">
        <v>46146</v>
      </c>
      <c r="E319" t="s">
        <v>793</v>
      </c>
      <c r="F319" t="s">
        <v>14</v>
      </c>
      <c r="G319">
        <v>1233188221</v>
      </c>
      <c r="H319" t="s">
        <v>425</v>
      </c>
      <c r="I319">
        <v>98333941</v>
      </c>
      <c r="J319" t="s">
        <v>14</v>
      </c>
      <c r="K319" t="s">
        <v>15</v>
      </c>
      <c r="L319" s="1" t="e">
        <v>#N/A</v>
      </c>
      <c r="M319" s="1">
        <v>0</v>
      </c>
      <c r="N319" s="20">
        <v>6000000</v>
      </c>
      <c r="O319" s="10">
        <v>6000000</v>
      </c>
      <c r="P319" t="s">
        <v>704</v>
      </c>
      <c r="Q319" s="1" t="e">
        <v>#N/A</v>
      </c>
      <c r="S319" s="11" t="s">
        <v>1036</v>
      </c>
    </row>
    <row r="320" spans="1:19" x14ac:dyDescent="0.25">
      <c r="A320" t="s">
        <v>1304</v>
      </c>
      <c r="B320" t="s">
        <v>13</v>
      </c>
      <c r="C320" s="12">
        <v>46063</v>
      </c>
      <c r="D320" s="12">
        <v>46203</v>
      </c>
      <c r="E320" t="s">
        <v>775</v>
      </c>
      <c r="F320" t="s">
        <v>14</v>
      </c>
      <c r="G320">
        <v>1085318696</v>
      </c>
      <c r="H320" t="s">
        <v>944</v>
      </c>
      <c r="I320">
        <v>43624414</v>
      </c>
      <c r="J320" t="s">
        <v>14</v>
      </c>
      <c r="K320" t="s">
        <v>18</v>
      </c>
      <c r="L320" s="1" t="e">
        <v>#N/A</v>
      </c>
      <c r="M320" s="1">
        <v>0</v>
      </c>
      <c r="N320" s="20">
        <v>31500000</v>
      </c>
      <c r="O320" s="10">
        <v>31500000</v>
      </c>
      <c r="P320" t="s">
        <v>704</v>
      </c>
      <c r="Q320" s="1" t="e">
        <v>#N/A</v>
      </c>
      <c r="S320" s="11" t="s">
        <v>1036</v>
      </c>
    </row>
    <row r="321" spans="1:19" x14ac:dyDescent="0.25">
      <c r="A321" t="s">
        <v>1305</v>
      </c>
      <c r="B321" t="s">
        <v>13</v>
      </c>
      <c r="C321" s="12">
        <v>46063</v>
      </c>
      <c r="D321" s="12">
        <v>46146</v>
      </c>
      <c r="E321" t="s">
        <v>775</v>
      </c>
      <c r="F321" t="s">
        <v>14</v>
      </c>
      <c r="G321">
        <v>1085283127</v>
      </c>
      <c r="H321" t="s">
        <v>888</v>
      </c>
      <c r="I321">
        <v>43624414</v>
      </c>
      <c r="J321" t="s">
        <v>14</v>
      </c>
      <c r="K321" t="s">
        <v>18</v>
      </c>
      <c r="L321" s="1" t="e">
        <v>#N/A</v>
      </c>
      <c r="M321" s="1">
        <v>0</v>
      </c>
      <c r="N321" s="20">
        <v>9450000</v>
      </c>
      <c r="O321" s="10">
        <v>9450000</v>
      </c>
      <c r="P321" t="s">
        <v>704</v>
      </c>
      <c r="Q321" s="1" t="e">
        <v>#N/A</v>
      </c>
      <c r="S321" s="11" t="s">
        <v>1036</v>
      </c>
    </row>
    <row r="322" spans="1:19" x14ac:dyDescent="0.25">
      <c r="A322" t="s">
        <v>1306</v>
      </c>
      <c r="B322" t="s">
        <v>13</v>
      </c>
      <c r="C322" s="12">
        <v>46063</v>
      </c>
      <c r="D322" s="12">
        <v>46089</v>
      </c>
      <c r="E322" t="s">
        <v>744</v>
      </c>
      <c r="F322" t="s">
        <v>14</v>
      </c>
      <c r="G322">
        <v>1123327071</v>
      </c>
      <c r="H322" t="s">
        <v>372</v>
      </c>
      <c r="I322">
        <v>59836926</v>
      </c>
      <c r="J322" t="s">
        <v>14</v>
      </c>
      <c r="K322" t="s">
        <v>17</v>
      </c>
      <c r="L322" s="1" t="e">
        <v>#N/A</v>
      </c>
      <c r="M322" s="1">
        <v>0</v>
      </c>
      <c r="N322" s="20">
        <v>7800000</v>
      </c>
      <c r="O322" s="10">
        <v>7800000</v>
      </c>
      <c r="P322" t="s">
        <v>704</v>
      </c>
      <c r="Q322" s="1" t="e">
        <v>#N/A</v>
      </c>
      <c r="S322" s="11" t="s">
        <v>1036</v>
      </c>
    </row>
    <row r="323" spans="1:19" x14ac:dyDescent="0.25">
      <c r="A323" t="s">
        <v>1307</v>
      </c>
      <c r="B323" t="s">
        <v>13</v>
      </c>
      <c r="C323" s="12">
        <v>46063</v>
      </c>
      <c r="D323" s="12">
        <v>46146</v>
      </c>
      <c r="E323" t="s">
        <v>775</v>
      </c>
      <c r="F323" t="s">
        <v>14</v>
      </c>
      <c r="G323">
        <v>98394398</v>
      </c>
      <c r="H323" t="s">
        <v>954</v>
      </c>
      <c r="I323">
        <v>43624414</v>
      </c>
      <c r="J323" t="s">
        <v>14</v>
      </c>
      <c r="K323" t="s">
        <v>18</v>
      </c>
      <c r="L323" s="1" t="e">
        <v>#N/A</v>
      </c>
      <c r="M323" s="1">
        <v>0</v>
      </c>
      <c r="N323" s="20">
        <v>18900000</v>
      </c>
      <c r="O323" s="10">
        <v>18900000</v>
      </c>
      <c r="P323" t="s">
        <v>704</v>
      </c>
      <c r="Q323" s="1" t="e">
        <v>#N/A</v>
      </c>
      <c r="S323" s="11" t="s">
        <v>1036</v>
      </c>
    </row>
    <row r="324" spans="1:19" x14ac:dyDescent="0.25">
      <c r="A324" t="s">
        <v>1308</v>
      </c>
      <c r="B324" t="s">
        <v>13</v>
      </c>
      <c r="C324" s="12">
        <v>46063</v>
      </c>
      <c r="D324" s="12">
        <v>46146</v>
      </c>
      <c r="E324" t="s">
        <v>793</v>
      </c>
      <c r="F324" t="s">
        <v>14</v>
      </c>
      <c r="G324">
        <v>66958357</v>
      </c>
      <c r="H324" t="s">
        <v>935</v>
      </c>
      <c r="I324">
        <v>98390119</v>
      </c>
      <c r="J324" t="s">
        <v>14</v>
      </c>
      <c r="K324" t="s">
        <v>63</v>
      </c>
      <c r="L324" s="1" t="e">
        <v>#N/A</v>
      </c>
      <c r="M324" s="1">
        <v>0</v>
      </c>
      <c r="N324" s="20">
        <v>6000000</v>
      </c>
      <c r="O324" s="10">
        <v>6000000</v>
      </c>
      <c r="P324" t="s">
        <v>704</v>
      </c>
      <c r="Q324" s="1" t="e">
        <v>#N/A</v>
      </c>
      <c r="S324" s="11" t="s">
        <v>1036</v>
      </c>
    </row>
    <row r="325" spans="1:19" x14ac:dyDescent="0.25">
      <c r="A325" t="s">
        <v>1309</v>
      </c>
      <c r="B325" t="s">
        <v>13</v>
      </c>
      <c r="C325" s="12">
        <v>46063</v>
      </c>
      <c r="D325" s="12">
        <v>46146</v>
      </c>
      <c r="E325" t="s">
        <v>744</v>
      </c>
      <c r="F325" t="s">
        <v>14</v>
      </c>
      <c r="G325">
        <v>1085307978</v>
      </c>
      <c r="H325" t="s">
        <v>895</v>
      </c>
      <c r="I325">
        <v>98390119</v>
      </c>
      <c r="J325" t="s">
        <v>14</v>
      </c>
      <c r="K325" t="s">
        <v>63</v>
      </c>
      <c r="L325" s="1" t="e">
        <v>#N/A</v>
      </c>
      <c r="M325" s="1">
        <v>0</v>
      </c>
      <c r="N325" s="20">
        <v>14190000</v>
      </c>
      <c r="O325" s="10">
        <v>14190000</v>
      </c>
      <c r="P325" t="s">
        <v>704</v>
      </c>
      <c r="Q325" s="1" t="e">
        <v>#N/A</v>
      </c>
      <c r="S325" s="11" t="s">
        <v>1036</v>
      </c>
    </row>
    <row r="326" spans="1:19" x14ac:dyDescent="0.25">
      <c r="A326" t="s">
        <v>1310</v>
      </c>
      <c r="B326" t="s">
        <v>13</v>
      </c>
      <c r="C326" s="12">
        <v>46063</v>
      </c>
      <c r="D326" s="12">
        <v>46203</v>
      </c>
      <c r="E326" t="s">
        <v>744</v>
      </c>
      <c r="F326" t="s">
        <v>14</v>
      </c>
      <c r="G326">
        <v>1085328217</v>
      </c>
      <c r="H326" t="s">
        <v>960</v>
      </c>
      <c r="I326">
        <v>43624414</v>
      </c>
      <c r="J326" t="s">
        <v>14</v>
      </c>
      <c r="K326" t="s">
        <v>18</v>
      </c>
      <c r="L326" s="1" t="e">
        <v>#N/A</v>
      </c>
      <c r="M326" s="1">
        <v>0</v>
      </c>
      <c r="N326" s="20">
        <v>39000000</v>
      </c>
      <c r="O326" s="10">
        <v>39000000</v>
      </c>
      <c r="P326" t="s">
        <v>704</v>
      </c>
      <c r="Q326" s="1" t="e">
        <v>#N/A</v>
      </c>
      <c r="S326" s="11" t="s">
        <v>1036</v>
      </c>
    </row>
    <row r="327" spans="1:19" x14ac:dyDescent="0.25">
      <c r="A327" t="s">
        <v>1311</v>
      </c>
      <c r="B327" t="s">
        <v>13</v>
      </c>
      <c r="C327" s="12">
        <v>46063</v>
      </c>
      <c r="D327" s="12">
        <v>46203</v>
      </c>
      <c r="E327" t="s">
        <v>744</v>
      </c>
      <c r="F327" t="s">
        <v>14</v>
      </c>
      <c r="G327">
        <v>1088738533</v>
      </c>
      <c r="H327" t="s">
        <v>863</v>
      </c>
      <c r="I327">
        <v>43624414</v>
      </c>
      <c r="J327" t="s">
        <v>14</v>
      </c>
      <c r="K327" t="s">
        <v>18</v>
      </c>
      <c r="L327" s="1" t="e">
        <v>#N/A</v>
      </c>
      <c r="M327" s="1">
        <v>0</v>
      </c>
      <c r="N327" s="20">
        <v>23650000</v>
      </c>
      <c r="O327" s="10">
        <v>23650000</v>
      </c>
      <c r="P327" t="s">
        <v>704</v>
      </c>
      <c r="Q327" s="1" t="e">
        <v>#N/A</v>
      </c>
      <c r="S327" s="11" t="s">
        <v>1036</v>
      </c>
    </row>
    <row r="328" spans="1:19" x14ac:dyDescent="0.25">
      <c r="A328" t="s">
        <v>1312</v>
      </c>
      <c r="B328" t="s">
        <v>13</v>
      </c>
      <c r="C328" s="12">
        <v>46063</v>
      </c>
      <c r="D328" s="12">
        <v>46089</v>
      </c>
      <c r="E328" t="s">
        <v>744</v>
      </c>
      <c r="F328" t="s">
        <v>14</v>
      </c>
      <c r="G328">
        <v>59313415</v>
      </c>
      <c r="H328" t="s">
        <v>614</v>
      </c>
      <c r="I328">
        <v>59836926</v>
      </c>
      <c r="J328" t="s">
        <v>14</v>
      </c>
      <c r="K328" t="s">
        <v>17</v>
      </c>
      <c r="L328" s="1" t="e">
        <v>#N/A</v>
      </c>
      <c r="M328" s="1">
        <v>0</v>
      </c>
      <c r="N328" s="20">
        <v>7800000</v>
      </c>
      <c r="O328" s="10">
        <v>7800000</v>
      </c>
      <c r="P328" t="s">
        <v>704</v>
      </c>
      <c r="Q328" s="1" t="e">
        <v>#N/A</v>
      </c>
      <c r="S328" s="11" t="s">
        <v>1036</v>
      </c>
    </row>
    <row r="329" spans="1:19" x14ac:dyDescent="0.25">
      <c r="A329" t="s">
        <v>1313</v>
      </c>
      <c r="B329" t="s">
        <v>13</v>
      </c>
      <c r="C329" s="12">
        <v>46063</v>
      </c>
      <c r="D329" s="12">
        <v>46146</v>
      </c>
      <c r="E329" t="s">
        <v>744</v>
      </c>
      <c r="F329" t="s">
        <v>14</v>
      </c>
      <c r="G329">
        <v>1085343081</v>
      </c>
      <c r="H329" t="s">
        <v>903</v>
      </c>
      <c r="I329">
        <v>43624414</v>
      </c>
      <c r="J329" t="s">
        <v>14</v>
      </c>
      <c r="K329" t="s">
        <v>18</v>
      </c>
      <c r="L329" s="1" t="e">
        <v>#N/A</v>
      </c>
      <c r="M329" s="1">
        <v>0</v>
      </c>
      <c r="N329" s="20">
        <v>14190000</v>
      </c>
      <c r="O329" s="10">
        <v>14190000</v>
      </c>
      <c r="P329" t="s">
        <v>704</v>
      </c>
      <c r="Q329" s="1" t="e">
        <v>#N/A</v>
      </c>
      <c r="S329" s="11" t="s">
        <v>1036</v>
      </c>
    </row>
    <row r="330" spans="1:19" x14ac:dyDescent="0.25">
      <c r="A330" t="s">
        <v>1314</v>
      </c>
      <c r="B330" t="s">
        <v>13</v>
      </c>
      <c r="C330" s="12">
        <v>46063</v>
      </c>
      <c r="D330" s="12">
        <v>46203</v>
      </c>
      <c r="E330" t="s">
        <v>775</v>
      </c>
      <c r="F330" t="s">
        <v>14</v>
      </c>
      <c r="G330">
        <v>1081273836</v>
      </c>
      <c r="H330" t="s">
        <v>941</v>
      </c>
      <c r="I330">
        <v>43624414</v>
      </c>
      <c r="J330" t="s">
        <v>14</v>
      </c>
      <c r="K330" t="s">
        <v>18</v>
      </c>
      <c r="L330" s="1" t="e">
        <v>#N/A</v>
      </c>
      <c r="M330" s="1">
        <v>0</v>
      </c>
      <c r="N330" s="20">
        <v>15750000</v>
      </c>
      <c r="O330" s="10">
        <v>15750000</v>
      </c>
      <c r="P330" t="s">
        <v>704</v>
      </c>
      <c r="Q330" s="1" t="e">
        <v>#N/A</v>
      </c>
      <c r="S330" s="11" t="s">
        <v>1036</v>
      </c>
    </row>
    <row r="331" spans="1:19" x14ac:dyDescent="0.25">
      <c r="A331" t="s">
        <v>1315</v>
      </c>
      <c r="B331" t="s">
        <v>13</v>
      </c>
      <c r="C331" s="12">
        <v>46063</v>
      </c>
      <c r="D331" s="12">
        <v>46089</v>
      </c>
      <c r="E331" t="s">
        <v>775</v>
      </c>
      <c r="F331" t="s">
        <v>14</v>
      </c>
      <c r="G331">
        <v>30723627</v>
      </c>
      <c r="H331" t="s">
        <v>856</v>
      </c>
      <c r="I331">
        <v>59836926</v>
      </c>
      <c r="J331" t="s">
        <v>14</v>
      </c>
      <c r="K331" t="s">
        <v>17</v>
      </c>
      <c r="L331" s="1" t="e">
        <v>#N/A</v>
      </c>
      <c r="M331" s="1">
        <v>0</v>
      </c>
      <c r="N331" s="20">
        <v>6300000</v>
      </c>
      <c r="O331" s="10">
        <v>6300000</v>
      </c>
      <c r="P331" t="s">
        <v>704</v>
      </c>
      <c r="Q331" s="1" t="e">
        <v>#N/A</v>
      </c>
      <c r="S331" s="11" t="s">
        <v>1036</v>
      </c>
    </row>
    <row r="332" spans="1:19" x14ac:dyDescent="0.25">
      <c r="A332" t="s">
        <v>1316</v>
      </c>
      <c r="B332" t="s">
        <v>13</v>
      </c>
      <c r="C332" s="12">
        <v>46069</v>
      </c>
      <c r="D332" s="12">
        <v>46142</v>
      </c>
      <c r="E332" t="s">
        <v>775</v>
      </c>
      <c r="F332" t="s">
        <v>14</v>
      </c>
      <c r="G332">
        <v>37084485</v>
      </c>
      <c r="H332" t="s">
        <v>852</v>
      </c>
      <c r="I332">
        <v>98390119</v>
      </c>
      <c r="J332" t="s">
        <v>14</v>
      </c>
      <c r="K332" t="s">
        <v>63</v>
      </c>
      <c r="L332" s="1" t="e">
        <v>#N/A</v>
      </c>
      <c r="M332" s="1">
        <v>0</v>
      </c>
      <c r="N332" s="20">
        <v>18900000</v>
      </c>
      <c r="O332" s="10">
        <v>18900000</v>
      </c>
      <c r="P332" t="s">
        <v>704</v>
      </c>
      <c r="Q332" s="1" t="e">
        <v>#N/A</v>
      </c>
      <c r="S332" s="11" t="s">
        <v>1036</v>
      </c>
    </row>
    <row r="333" spans="1:19" x14ac:dyDescent="0.25">
      <c r="A333" t="s">
        <v>1317</v>
      </c>
      <c r="B333" t="s">
        <v>13</v>
      </c>
      <c r="C333" s="12">
        <v>46072</v>
      </c>
      <c r="D333" s="12">
        <v>46161</v>
      </c>
      <c r="E333" t="s">
        <v>793</v>
      </c>
      <c r="F333" t="s">
        <v>14</v>
      </c>
      <c r="G333">
        <v>1080040525</v>
      </c>
      <c r="H333" t="s">
        <v>143</v>
      </c>
      <c r="I333">
        <v>98333941</v>
      </c>
      <c r="J333" t="s">
        <v>14</v>
      </c>
      <c r="K333" t="s">
        <v>15</v>
      </c>
      <c r="L333" s="1" t="e">
        <v>#N/A</v>
      </c>
      <c r="M333" s="1">
        <v>0</v>
      </c>
      <c r="N333" s="20">
        <v>6000000</v>
      </c>
      <c r="O333" s="10">
        <v>6000000</v>
      </c>
      <c r="P333" t="s">
        <v>704</v>
      </c>
      <c r="Q333" s="1" t="e">
        <v>#N/A</v>
      </c>
      <c r="S333" s="11" t="s">
        <v>1036</v>
      </c>
    </row>
    <row r="334" spans="1:19" x14ac:dyDescent="0.25">
      <c r="A334" t="s">
        <v>1318</v>
      </c>
      <c r="B334" t="s">
        <v>13</v>
      </c>
      <c r="C334" s="12">
        <v>46073</v>
      </c>
      <c r="D334" s="12">
        <v>46162</v>
      </c>
      <c r="E334" t="s">
        <v>775</v>
      </c>
      <c r="F334" t="s">
        <v>14</v>
      </c>
      <c r="G334">
        <v>1004697868</v>
      </c>
      <c r="H334" t="s">
        <v>915</v>
      </c>
      <c r="I334">
        <v>59836926</v>
      </c>
      <c r="J334" t="s">
        <v>14</v>
      </c>
      <c r="K334" t="s">
        <v>17</v>
      </c>
      <c r="L334" s="1" t="e">
        <v>#N/A</v>
      </c>
      <c r="M334" s="1">
        <v>0</v>
      </c>
      <c r="N334" s="20">
        <v>18900000</v>
      </c>
      <c r="O334" s="10">
        <v>18900000</v>
      </c>
      <c r="P334" t="s">
        <v>704</v>
      </c>
      <c r="Q334" s="1" t="e">
        <v>#N/A</v>
      </c>
      <c r="S334" s="11" t="s">
        <v>1036</v>
      </c>
    </row>
    <row r="335" spans="1:19" x14ac:dyDescent="0.25">
      <c r="A335" t="s">
        <v>1319</v>
      </c>
      <c r="B335" t="s">
        <v>13</v>
      </c>
      <c r="C335" s="12">
        <v>46076</v>
      </c>
      <c r="D335" s="12">
        <v>46165</v>
      </c>
      <c r="E335" t="s">
        <v>744</v>
      </c>
      <c r="F335" t="s">
        <v>14</v>
      </c>
      <c r="G335">
        <v>87065491</v>
      </c>
      <c r="H335" t="s">
        <v>902</v>
      </c>
      <c r="I335">
        <v>59836926</v>
      </c>
      <c r="J335" t="s">
        <v>14</v>
      </c>
      <c r="K335" t="s">
        <v>17</v>
      </c>
      <c r="L335" s="1" t="e">
        <v>#N/A</v>
      </c>
      <c r="M335" s="1">
        <v>0</v>
      </c>
      <c r="N335" s="20">
        <v>14190000</v>
      </c>
      <c r="O335" s="10">
        <v>14190000</v>
      </c>
      <c r="P335" t="s">
        <v>704</v>
      </c>
      <c r="Q335" s="1" t="e">
        <v>#N/A</v>
      </c>
      <c r="S335" s="11" t="s">
        <v>1036</v>
      </c>
    </row>
    <row r="336" spans="1:19" x14ac:dyDescent="0.25">
      <c r="A336" t="s">
        <v>1320</v>
      </c>
      <c r="B336" t="s">
        <v>13</v>
      </c>
      <c r="C336" s="12">
        <v>46076</v>
      </c>
      <c r="D336" s="12">
        <v>46104</v>
      </c>
      <c r="E336" t="s">
        <v>775</v>
      </c>
      <c r="F336" t="s">
        <v>14</v>
      </c>
      <c r="G336">
        <v>37087117</v>
      </c>
      <c r="H336" t="s">
        <v>197</v>
      </c>
      <c r="I336">
        <v>98333941</v>
      </c>
      <c r="J336" t="s">
        <v>14</v>
      </c>
      <c r="K336" t="s">
        <v>15</v>
      </c>
      <c r="L336" s="1" t="e">
        <v>#N/A</v>
      </c>
      <c r="M336" s="1">
        <v>0</v>
      </c>
      <c r="N336" s="20">
        <v>3150000</v>
      </c>
      <c r="O336" s="10">
        <v>3150000</v>
      </c>
      <c r="P336" t="s">
        <v>704</v>
      </c>
      <c r="Q336" s="1" t="e">
        <v>#N/A</v>
      </c>
      <c r="S336" s="11" t="s">
        <v>1036</v>
      </c>
    </row>
    <row r="337" spans="1:19" x14ac:dyDescent="0.25">
      <c r="A337" t="s">
        <v>1321</v>
      </c>
      <c r="B337" t="s">
        <v>13</v>
      </c>
      <c r="C337" s="12">
        <v>46076</v>
      </c>
      <c r="D337" s="12">
        <v>46104</v>
      </c>
      <c r="E337" t="s">
        <v>744</v>
      </c>
      <c r="F337" t="s">
        <v>14</v>
      </c>
      <c r="G337">
        <v>1193406111</v>
      </c>
      <c r="H337" t="s">
        <v>858</v>
      </c>
      <c r="I337">
        <v>43624414</v>
      </c>
      <c r="J337" t="s">
        <v>14</v>
      </c>
      <c r="K337" t="s">
        <v>18</v>
      </c>
      <c r="L337" s="1" t="e">
        <v>#N/A</v>
      </c>
      <c r="M337" s="1">
        <v>0</v>
      </c>
      <c r="N337" s="20">
        <v>7800000</v>
      </c>
      <c r="O337" s="10">
        <v>7800000</v>
      </c>
      <c r="P337" t="s">
        <v>704</v>
      </c>
      <c r="Q337" s="1" t="e">
        <v>#N/A</v>
      </c>
      <c r="S337" s="11" t="s">
        <v>1036</v>
      </c>
    </row>
    <row r="338" spans="1:19" x14ac:dyDescent="0.25">
      <c r="A338" t="s">
        <v>1322</v>
      </c>
      <c r="B338" t="s">
        <v>13</v>
      </c>
      <c r="C338" s="12">
        <v>46077</v>
      </c>
      <c r="D338" s="12">
        <v>46166</v>
      </c>
      <c r="E338" t="s">
        <v>775</v>
      </c>
      <c r="F338" t="s">
        <v>14</v>
      </c>
      <c r="G338">
        <v>1085271641</v>
      </c>
      <c r="H338" t="s">
        <v>30</v>
      </c>
      <c r="I338">
        <v>43624414</v>
      </c>
      <c r="J338" t="s">
        <v>14</v>
      </c>
      <c r="K338" t="s">
        <v>18</v>
      </c>
      <c r="L338" s="1" t="e">
        <v>#N/A</v>
      </c>
      <c r="M338" s="1">
        <v>0</v>
      </c>
      <c r="N338" s="20">
        <v>9450000</v>
      </c>
      <c r="O338" s="10">
        <v>9450000</v>
      </c>
      <c r="P338" t="s">
        <v>704</v>
      </c>
      <c r="Q338" s="1" t="e">
        <v>#N/A</v>
      </c>
      <c r="S338" s="11" t="s">
        <v>1036</v>
      </c>
    </row>
    <row r="339" spans="1:19" x14ac:dyDescent="0.25">
      <c r="A339" t="s">
        <v>1323</v>
      </c>
      <c r="B339" t="s">
        <v>13</v>
      </c>
      <c r="C339" s="12">
        <v>46077</v>
      </c>
      <c r="D339" s="12">
        <v>46166</v>
      </c>
      <c r="E339" t="s">
        <v>775</v>
      </c>
      <c r="F339" t="s">
        <v>14</v>
      </c>
      <c r="G339">
        <v>1004543158</v>
      </c>
      <c r="H339" t="s">
        <v>937</v>
      </c>
      <c r="I339">
        <v>98333941</v>
      </c>
      <c r="J339" t="s">
        <v>14</v>
      </c>
      <c r="K339" t="s">
        <v>15</v>
      </c>
      <c r="L339" s="1" t="e">
        <v>#N/A</v>
      </c>
      <c r="M339" s="1">
        <v>0</v>
      </c>
      <c r="N339" s="20">
        <v>9450000</v>
      </c>
      <c r="O339" s="10">
        <v>9450000</v>
      </c>
      <c r="P339" t="s">
        <v>704</v>
      </c>
      <c r="Q339" s="1" t="e">
        <v>#N/A</v>
      </c>
      <c r="S339" s="11" t="s">
        <v>1036</v>
      </c>
    </row>
    <row r="340" spans="1:19" x14ac:dyDescent="0.25">
      <c r="A340" t="s">
        <v>1324</v>
      </c>
      <c r="B340" t="s">
        <v>13</v>
      </c>
      <c r="C340" s="12">
        <v>46077</v>
      </c>
      <c r="D340" s="12">
        <v>46105</v>
      </c>
      <c r="E340" t="s">
        <v>744</v>
      </c>
      <c r="F340" t="s">
        <v>14</v>
      </c>
      <c r="G340">
        <v>1085262812</v>
      </c>
      <c r="H340" t="s">
        <v>923</v>
      </c>
      <c r="I340">
        <v>59836926</v>
      </c>
      <c r="J340" t="s">
        <v>14</v>
      </c>
      <c r="K340" t="s">
        <v>17</v>
      </c>
      <c r="L340" s="1" t="e">
        <v>#N/A</v>
      </c>
      <c r="M340" s="1">
        <v>0</v>
      </c>
      <c r="N340" s="20">
        <v>7800000</v>
      </c>
      <c r="O340" s="10">
        <v>7800000</v>
      </c>
      <c r="P340" t="s">
        <v>704</v>
      </c>
      <c r="Q340" s="1" t="e">
        <v>#N/A</v>
      </c>
      <c r="S340" s="11" t="s">
        <v>1036</v>
      </c>
    </row>
    <row r="341" spans="1:19" x14ac:dyDescent="0.25">
      <c r="A341" t="s">
        <v>1325</v>
      </c>
      <c r="B341" t="s">
        <v>13</v>
      </c>
      <c r="C341" s="12">
        <v>46077</v>
      </c>
      <c r="D341" s="12">
        <v>46105</v>
      </c>
      <c r="E341" t="s">
        <v>744</v>
      </c>
      <c r="F341" t="s">
        <v>14</v>
      </c>
      <c r="G341">
        <v>1007736489</v>
      </c>
      <c r="H341" t="s">
        <v>961</v>
      </c>
      <c r="I341">
        <v>43624414</v>
      </c>
      <c r="J341" t="s">
        <v>14</v>
      </c>
      <c r="K341" t="s">
        <v>18</v>
      </c>
      <c r="L341" s="1" t="e">
        <v>#N/A</v>
      </c>
      <c r="M341" s="1">
        <v>0</v>
      </c>
      <c r="N341" s="20">
        <v>7800000</v>
      </c>
      <c r="O341" s="10">
        <v>7800000</v>
      </c>
      <c r="P341" t="s">
        <v>704</v>
      </c>
      <c r="Q341" s="1" t="e">
        <v>#N/A</v>
      </c>
      <c r="S341" s="11" t="s">
        <v>1036</v>
      </c>
    </row>
    <row r="342" spans="1:19" x14ac:dyDescent="0.25">
      <c r="A342" t="s">
        <v>1326</v>
      </c>
      <c r="B342" t="s">
        <v>13</v>
      </c>
      <c r="C342" s="12">
        <v>46077</v>
      </c>
      <c r="D342" s="12">
        <v>46166</v>
      </c>
      <c r="E342" t="s">
        <v>744</v>
      </c>
      <c r="F342" t="s">
        <v>14</v>
      </c>
      <c r="G342">
        <v>1085251979</v>
      </c>
      <c r="H342" t="s">
        <v>846</v>
      </c>
      <c r="I342">
        <v>43624414</v>
      </c>
      <c r="J342" t="s">
        <v>14</v>
      </c>
      <c r="K342" t="s">
        <v>18</v>
      </c>
      <c r="L342" s="1" t="e">
        <v>#N/A</v>
      </c>
      <c r="M342" s="1">
        <v>0</v>
      </c>
      <c r="N342" s="20">
        <v>14190000</v>
      </c>
      <c r="O342" s="10">
        <v>14190000</v>
      </c>
      <c r="P342" t="s">
        <v>704</v>
      </c>
      <c r="Q342" s="1" t="e">
        <v>#N/A</v>
      </c>
      <c r="S342" s="11" t="s">
        <v>1036</v>
      </c>
    </row>
    <row r="343" spans="1:19" x14ac:dyDescent="0.25">
      <c r="A343" t="s">
        <v>1327</v>
      </c>
      <c r="B343" t="s">
        <v>13</v>
      </c>
      <c r="C343" s="12">
        <v>46079</v>
      </c>
      <c r="D343" s="12">
        <v>46107</v>
      </c>
      <c r="E343" t="s">
        <v>775</v>
      </c>
      <c r="F343" t="s">
        <v>14</v>
      </c>
      <c r="G343">
        <v>36757522</v>
      </c>
      <c r="H343" t="s">
        <v>849</v>
      </c>
      <c r="I343">
        <v>59836926</v>
      </c>
      <c r="J343" t="s">
        <v>14</v>
      </c>
      <c r="K343" t="s">
        <v>17</v>
      </c>
      <c r="L343" s="1" t="e">
        <v>#N/A</v>
      </c>
      <c r="M343" s="1">
        <v>0</v>
      </c>
      <c r="N343" s="20">
        <v>3150000</v>
      </c>
      <c r="O343" s="10">
        <v>3150000</v>
      </c>
      <c r="P343" t="s">
        <v>704</v>
      </c>
      <c r="Q343" s="1" t="e">
        <v>#N/A</v>
      </c>
      <c r="S343" s="11" t="s">
        <v>1036</v>
      </c>
    </row>
    <row r="344" spans="1:19" x14ac:dyDescent="0.25">
      <c r="A344" t="s">
        <v>1328</v>
      </c>
      <c r="B344" t="s">
        <v>13</v>
      </c>
      <c r="C344" s="12">
        <v>46079</v>
      </c>
      <c r="D344" s="12">
        <v>46168</v>
      </c>
      <c r="E344" t="s">
        <v>775</v>
      </c>
      <c r="F344" t="s">
        <v>14</v>
      </c>
      <c r="G344">
        <v>1086224177</v>
      </c>
      <c r="H344" t="s">
        <v>925</v>
      </c>
      <c r="I344">
        <v>98390119</v>
      </c>
      <c r="J344" t="s">
        <v>14</v>
      </c>
      <c r="K344" t="s">
        <v>63</v>
      </c>
      <c r="L344" s="1" t="e">
        <v>#N/A</v>
      </c>
      <c r="M344" s="1">
        <v>0</v>
      </c>
      <c r="N344" s="20">
        <v>9450000</v>
      </c>
      <c r="O344" s="10">
        <v>9450000</v>
      </c>
      <c r="P344" t="s">
        <v>704</v>
      </c>
      <c r="Q344" s="1" t="e">
        <v>#N/A</v>
      </c>
      <c r="S344" s="11" t="s">
        <v>1036</v>
      </c>
    </row>
    <row r="345" spans="1:19" x14ac:dyDescent="0.25">
      <c r="A345" t="s">
        <v>1329</v>
      </c>
      <c r="B345" t="s">
        <v>13</v>
      </c>
      <c r="C345" s="12">
        <v>46079</v>
      </c>
      <c r="D345" s="12">
        <v>46168</v>
      </c>
      <c r="E345" t="s">
        <v>775</v>
      </c>
      <c r="F345" t="s">
        <v>14</v>
      </c>
      <c r="G345">
        <v>1004189754</v>
      </c>
      <c r="H345" t="s">
        <v>938</v>
      </c>
      <c r="I345">
        <v>98333941</v>
      </c>
      <c r="J345" t="s">
        <v>14</v>
      </c>
      <c r="K345" t="s">
        <v>15</v>
      </c>
      <c r="L345" s="1" t="e">
        <v>#N/A</v>
      </c>
      <c r="M345" s="1">
        <v>0</v>
      </c>
      <c r="N345" s="20">
        <v>9450000</v>
      </c>
      <c r="O345" s="10">
        <v>9450000</v>
      </c>
      <c r="P345" t="s">
        <v>704</v>
      </c>
      <c r="Q345" s="1" t="e">
        <v>#N/A</v>
      </c>
      <c r="S345" s="11" t="s">
        <v>1036</v>
      </c>
    </row>
    <row r="346" spans="1:19" x14ac:dyDescent="0.25">
      <c r="A346" t="s">
        <v>1330</v>
      </c>
      <c r="B346" t="s">
        <v>13</v>
      </c>
      <c r="C346" s="12">
        <v>46083</v>
      </c>
      <c r="D346" s="12">
        <v>46175</v>
      </c>
      <c r="E346" t="s">
        <v>775</v>
      </c>
      <c r="F346" t="s">
        <v>14</v>
      </c>
      <c r="G346">
        <v>1085291729</v>
      </c>
      <c r="H346" t="s">
        <v>949</v>
      </c>
      <c r="I346">
        <v>43624414</v>
      </c>
      <c r="J346" t="s">
        <v>14</v>
      </c>
      <c r="K346" t="s">
        <v>18</v>
      </c>
      <c r="L346" s="1" t="e">
        <v>#N/A</v>
      </c>
      <c r="M346" s="1">
        <v>0</v>
      </c>
      <c r="N346" s="20">
        <v>9450000</v>
      </c>
      <c r="O346" s="10">
        <v>9450000</v>
      </c>
      <c r="P346" t="s">
        <v>704</v>
      </c>
      <c r="Q346" s="1" t="e">
        <v>#N/A</v>
      </c>
      <c r="S346" s="11" t="s">
        <v>1036</v>
      </c>
    </row>
    <row r="347" spans="1:19" x14ac:dyDescent="0.25">
      <c r="A347" t="s">
        <v>1331</v>
      </c>
      <c r="B347" t="s">
        <v>13</v>
      </c>
      <c r="C347" s="12">
        <v>46084</v>
      </c>
      <c r="D347" s="12">
        <v>46203</v>
      </c>
      <c r="E347" t="s">
        <v>744</v>
      </c>
      <c r="F347" t="s">
        <v>14</v>
      </c>
      <c r="G347">
        <v>1085347123</v>
      </c>
      <c r="H347" t="s">
        <v>963</v>
      </c>
      <c r="I347">
        <v>59836926</v>
      </c>
      <c r="J347" t="s">
        <v>14</v>
      </c>
      <c r="K347" t="s">
        <v>17</v>
      </c>
      <c r="L347" s="1" t="e">
        <v>#N/A</v>
      </c>
      <c r="M347" s="1">
        <v>0</v>
      </c>
      <c r="N347" s="20">
        <v>31200000</v>
      </c>
      <c r="O347" s="10">
        <v>31200000</v>
      </c>
      <c r="P347" t="s">
        <v>704</v>
      </c>
      <c r="Q347" s="1" t="e">
        <v>#N/A</v>
      </c>
      <c r="S347" s="11" t="s">
        <v>1036</v>
      </c>
    </row>
    <row r="348" spans="1:19" x14ac:dyDescent="0.25">
      <c r="A348" t="s">
        <v>1332</v>
      </c>
      <c r="B348" t="s">
        <v>13</v>
      </c>
      <c r="C348" s="12">
        <v>46085</v>
      </c>
      <c r="D348" s="12">
        <v>46146</v>
      </c>
      <c r="E348" t="s">
        <v>775</v>
      </c>
      <c r="F348" t="s">
        <v>14</v>
      </c>
      <c r="G348">
        <v>1086360087</v>
      </c>
      <c r="H348" t="s">
        <v>397</v>
      </c>
      <c r="I348">
        <v>98390119</v>
      </c>
      <c r="J348" t="s">
        <v>14</v>
      </c>
      <c r="K348" t="s">
        <v>63</v>
      </c>
      <c r="L348" s="1" t="e">
        <v>#N/A</v>
      </c>
      <c r="M348" s="1">
        <v>0</v>
      </c>
      <c r="N348" s="20">
        <v>12600000</v>
      </c>
      <c r="O348" s="10">
        <v>12600000</v>
      </c>
      <c r="P348" t="s">
        <v>704</v>
      </c>
      <c r="Q348" s="1" t="e">
        <v>#N/A</v>
      </c>
      <c r="S348" s="11" t="s">
        <v>1036</v>
      </c>
    </row>
    <row r="349" spans="1:19" x14ac:dyDescent="0.25">
      <c r="A349" t="s">
        <v>1333</v>
      </c>
      <c r="B349" t="s">
        <v>13</v>
      </c>
      <c r="C349" s="12">
        <v>46085</v>
      </c>
      <c r="D349" s="12">
        <v>46146</v>
      </c>
      <c r="E349" t="s">
        <v>775</v>
      </c>
      <c r="F349" t="s">
        <v>14</v>
      </c>
      <c r="G349">
        <v>27436186</v>
      </c>
      <c r="H349" t="s">
        <v>932</v>
      </c>
      <c r="I349">
        <v>43624414</v>
      </c>
      <c r="J349" t="s">
        <v>14</v>
      </c>
      <c r="K349" t="s">
        <v>18</v>
      </c>
      <c r="L349" s="1" t="e">
        <v>#N/A</v>
      </c>
      <c r="M349" s="1">
        <v>0</v>
      </c>
      <c r="N349" s="20">
        <v>6300000</v>
      </c>
      <c r="O349" s="10">
        <v>6300000</v>
      </c>
      <c r="P349" t="s">
        <v>704</v>
      </c>
      <c r="Q349" s="1" t="e">
        <v>#N/A</v>
      </c>
      <c r="S349" s="11" t="s">
        <v>1036</v>
      </c>
    </row>
    <row r="350" spans="1:19" x14ac:dyDescent="0.25">
      <c r="A350" t="s">
        <v>1334</v>
      </c>
      <c r="B350" t="s">
        <v>13</v>
      </c>
      <c r="C350" s="12">
        <v>46085</v>
      </c>
      <c r="D350" s="12">
        <v>46177</v>
      </c>
      <c r="E350" t="s">
        <v>775</v>
      </c>
      <c r="F350" t="s">
        <v>14</v>
      </c>
      <c r="G350">
        <v>1085343154</v>
      </c>
      <c r="H350" t="s">
        <v>600</v>
      </c>
      <c r="I350">
        <v>98333941</v>
      </c>
      <c r="J350" t="s">
        <v>14</v>
      </c>
      <c r="K350" t="s">
        <v>15</v>
      </c>
      <c r="L350" s="1" t="e">
        <v>#N/A</v>
      </c>
      <c r="M350" s="1">
        <v>0</v>
      </c>
      <c r="N350" s="20">
        <v>9450000</v>
      </c>
      <c r="O350" s="10">
        <v>9450000</v>
      </c>
      <c r="P350" t="s">
        <v>704</v>
      </c>
      <c r="Q350" s="1" t="e">
        <v>#N/A</v>
      </c>
      <c r="S350" s="11" t="s">
        <v>1036</v>
      </c>
    </row>
    <row r="351" spans="1:19" x14ac:dyDescent="0.25">
      <c r="A351" t="s">
        <v>1335</v>
      </c>
      <c r="B351" t="s">
        <v>13</v>
      </c>
      <c r="C351" s="12">
        <v>46086</v>
      </c>
      <c r="D351" s="12">
        <v>46178</v>
      </c>
      <c r="E351" t="s">
        <v>775</v>
      </c>
      <c r="F351" t="s">
        <v>14</v>
      </c>
      <c r="G351">
        <v>1085346528</v>
      </c>
      <c r="H351" t="s">
        <v>385</v>
      </c>
      <c r="I351">
        <v>43624414</v>
      </c>
      <c r="J351" t="s">
        <v>14</v>
      </c>
      <c r="K351" t="s">
        <v>18</v>
      </c>
      <c r="L351" s="1" t="e">
        <v>#N/A</v>
      </c>
      <c r="M351" s="1">
        <v>0</v>
      </c>
      <c r="N351" s="20">
        <v>9450000</v>
      </c>
      <c r="O351" s="10">
        <v>9450000</v>
      </c>
      <c r="P351" t="s">
        <v>704</v>
      </c>
      <c r="Q351" s="1" t="e">
        <v>#N/A</v>
      </c>
      <c r="S351" s="11" t="s">
        <v>1036</v>
      </c>
    </row>
    <row r="352" spans="1:19" x14ac:dyDescent="0.25">
      <c r="A352" t="s">
        <v>1336</v>
      </c>
      <c r="B352" t="s">
        <v>13</v>
      </c>
      <c r="C352" s="12">
        <v>46087</v>
      </c>
      <c r="D352" s="12">
        <v>46179</v>
      </c>
      <c r="E352" t="s">
        <v>775</v>
      </c>
      <c r="F352" t="s">
        <v>14</v>
      </c>
      <c r="G352">
        <v>1086223270</v>
      </c>
      <c r="H352" t="s">
        <v>914</v>
      </c>
      <c r="I352">
        <v>59836926</v>
      </c>
      <c r="J352" t="s">
        <v>14</v>
      </c>
      <c r="K352" t="s">
        <v>17</v>
      </c>
      <c r="L352" s="1" t="e">
        <v>#N/A</v>
      </c>
      <c r="M352" s="1">
        <v>0</v>
      </c>
      <c r="N352" s="20">
        <v>9450000</v>
      </c>
      <c r="O352" s="10">
        <v>9450000</v>
      </c>
      <c r="P352" t="s">
        <v>704</v>
      </c>
      <c r="Q352" s="1" t="e">
        <v>#N/A</v>
      </c>
      <c r="S352" s="11" t="s">
        <v>1036</v>
      </c>
    </row>
    <row r="353" spans="1:19" x14ac:dyDescent="0.25">
      <c r="A353" t="s">
        <v>1337</v>
      </c>
      <c r="B353" t="s">
        <v>13</v>
      </c>
      <c r="C353" s="12">
        <v>46087</v>
      </c>
      <c r="D353" s="12">
        <v>46179</v>
      </c>
      <c r="E353" t="s">
        <v>775</v>
      </c>
      <c r="F353" t="s">
        <v>14</v>
      </c>
      <c r="G353">
        <v>1084550836</v>
      </c>
      <c r="H353" t="s">
        <v>929</v>
      </c>
      <c r="I353">
        <v>98390119</v>
      </c>
      <c r="J353" t="s">
        <v>14</v>
      </c>
      <c r="K353" t="s">
        <v>63</v>
      </c>
      <c r="L353" s="1" t="e">
        <v>#N/A</v>
      </c>
      <c r="M353" s="1">
        <v>0</v>
      </c>
      <c r="N353" s="20">
        <v>9450000</v>
      </c>
      <c r="O353" s="10">
        <v>9450000</v>
      </c>
      <c r="P353" t="s">
        <v>704</v>
      </c>
      <c r="Q353" s="1" t="e">
        <v>#N/A</v>
      </c>
      <c r="S353" s="11" t="s">
        <v>1036</v>
      </c>
    </row>
    <row r="354" spans="1:19" x14ac:dyDescent="0.25">
      <c r="A354" t="s">
        <v>1338</v>
      </c>
      <c r="B354" t="s">
        <v>13</v>
      </c>
      <c r="C354" s="12">
        <v>46087</v>
      </c>
      <c r="D354" s="12">
        <v>46179</v>
      </c>
      <c r="E354" t="s">
        <v>775</v>
      </c>
      <c r="F354" t="s">
        <v>14</v>
      </c>
      <c r="G354">
        <v>36757221</v>
      </c>
      <c r="H354" t="s">
        <v>482</v>
      </c>
      <c r="I354">
        <v>59836926</v>
      </c>
      <c r="J354" t="s">
        <v>14</v>
      </c>
      <c r="K354" t="s">
        <v>17</v>
      </c>
      <c r="L354" s="1" t="e">
        <v>#N/A</v>
      </c>
      <c r="M354" s="1">
        <v>0</v>
      </c>
      <c r="N354" s="20">
        <v>18900000</v>
      </c>
      <c r="O354" s="10">
        <v>18900000</v>
      </c>
      <c r="P354" t="s">
        <v>704</v>
      </c>
      <c r="Q354" s="1" t="e">
        <v>#N/A</v>
      </c>
      <c r="S354" s="11" t="s">
        <v>1036</v>
      </c>
    </row>
    <row r="355" spans="1:19" x14ac:dyDescent="0.25">
      <c r="A355" t="s">
        <v>1339</v>
      </c>
      <c r="B355" t="s">
        <v>13</v>
      </c>
      <c r="C355" s="12">
        <v>46087</v>
      </c>
      <c r="D355" s="12">
        <v>46118</v>
      </c>
      <c r="E355" t="s">
        <v>775</v>
      </c>
      <c r="F355" t="s">
        <v>14</v>
      </c>
      <c r="G355">
        <v>59123136</v>
      </c>
      <c r="H355" t="s">
        <v>859</v>
      </c>
      <c r="I355">
        <v>43624414</v>
      </c>
      <c r="J355" t="s">
        <v>14</v>
      </c>
      <c r="K355" t="s">
        <v>18</v>
      </c>
      <c r="L355" s="1" t="e">
        <v>#N/A</v>
      </c>
      <c r="M355" s="1">
        <v>0</v>
      </c>
      <c r="N355" s="20">
        <v>6300000</v>
      </c>
      <c r="O355" s="10">
        <v>6300000</v>
      </c>
      <c r="P355" t="s">
        <v>704</v>
      </c>
      <c r="Q355" s="1" t="e">
        <v>#N/A</v>
      </c>
      <c r="S355" s="11" t="s">
        <v>1036</v>
      </c>
    </row>
    <row r="356" spans="1:19" x14ac:dyDescent="0.25">
      <c r="A356" t="s">
        <v>1340</v>
      </c>
      <c r="B356" t="s">
        <v>13</v>
      </c>
      <c r="C356" s="12">
        <v>46087</v>
      </c>
      <c r="D356" s="12">
        <v>46148</v>
      </c>
      <c r="E356" t="s">
        <v>775</v>
      </c>
      <c r="F356" t="s">
        <v>14</v>
      </c>
      <c r="G356">
        <v>27456421</v>
      </c>
      <c r="H356" t="s">
        <v>608</v>
      </c>
      <c r="I356">
        <v>98390119</v>
      </c>
      <c r="J356" t="s">
        <v>14</v>
      </c>
      <c r="K356" t="s">
        <v>63</v>
      </c>
      <c r="L356" s="1" t="e">
        <v>#N/A</v>
      </c>
      <c r="M356" s="1">
        <v>0</v>
      </c>
      <c r="N356" s="20">
        <v>12600000</v>
      </c>
      <c r="O356" s="10">
        <v>12600000</v>
      </c>
      <c r="P356" t="s">
        <v>704</v>
      </c>
      <c r="Q356" s="1" t="e">
        <v>#N/A</v>
      </c>
      <c r="S356" s="11" t="s">
        <v>1036</v>
      </c>
    </row>
    <row r="357" spans="1:19" x14ac:dyDescent="0.25">
      <c r="A357" t="s">
        <v>1341</v>
      </c>
      <c r="B357" t="s">
        <v>13</v>
      </c>
      <c r="C357" s="12">
        <v>46087</v>
      </c>
      <c r="D357" s="12">
        <v>46203</v>
      </c>
      <c r="E357" t="s">
        <v>775</v>
      </c>
      <c r="F357" t="s">
        <v>14</v>
      </c>
      <c r="G357">
        <v>1085246134</v>
      </c>
      <c r="H357" t="s">
        <v>691</v>
      </c>
      <c r="I357">
        <v>98333941</v>
      </c>
      <c r="J357" t="s">
        <v>14</v>
      </c>
      <c r="K357" t="s">
        <v>15</v>
      </c>
      <c r="L357" s="1" t="e">
        <v>#N/A</v>
      </c>
      <c r="M357" s="1">
        <v>0</v>
      </c>
      <c r="N357" s="20">
        <v>25200000</v>
      </c>
      <c r="O357" s="10">
        <v>25200000</v>
      </c>
      <c r="P357" t="s">
        <v>704</v>
      </c>
      <c r="Q357" s="1" t="e">
        <v>#N/A</v>
      </c>
      <c r="S357" s="11" t="s">
        <v>1036</v>
      </c>
    </row>
    <row r="358" spans="1:19" x14ac:dyDescent="0.25">
      <c r="A358" t="s">
        <v>1342</v>
      </c>
      <c r="B358" t="s">
        <v>13</v>
      </c>
      <c r="C358" s="12">
        <v>46090</v>
      </c>
      <c r="D358" s="12">
        <v>46203</v>
      </c>
      <c r="E358" t="s">
        <v>744</v>
      </c>
      <c r="F358" t="s">
        <v>14</v>
      </c>
      <c r="G358">
        <v>59651018</v>
      </c>
      <c r="H358" t="s">
        <v>839</v>
      </c>
      <c r="I358">
        <v>98333941</v>
      </c>
      <c r="J358" t="s">
        <v>14</v>
      </c>
      <c r="K358" t="s">
        <v>15</v>
      </c>
      <c r="L358" s="1" t="e">
        <v>#N/A</v>
      </c>
      <c r="M358" s="1">
        <v>0</v>
      </c>
      <c r="N358" s="20">
        <v>18920000</v>
      </c>
      <c r="O358" s="10">
        <v>18920000</v>
      </c>
      <c r="P358" t="s">
        <v>704</v>
      </c>
      <c r="Q358" s="1" t="e">
        <v>#N/A</v>
      </c>
      <c r="S358" s="11" t="s">
        <v>1036</v>
      </c>
    </row>
    <row r="359" spans="1:19" x14ac:dyDescent="0.25">
      <c r="A359" t="s">
        <v>1343</v>
      </c>
      <c r="B359" t="s">
        <v>13</v>
      </c>
      <c r="C359" s="12">
        <v>46090</v>
      </c>
      <c r="D359" s="12">
        <v>46151</v>
      </c>
      <c r="E359" t="s">
        <v>775</v>
      </c>
      <c r="F359" t="s">
        <v>14</v>
      </c>
      <c r="G359">
        <v>59830040</v>
      </c>
      <c r="H359" t="s">
        <v>76</v>
      </c>
      <c r="I359">
        <v>59836926</v>
      </c>
      <c r="J359" t="s">
        <v>14</v>
      </c>
      <c r="K359" t="s">
        <v>17</v>
      </c>
      <c r="L359" s="1" t="e">
        <v>#N/A</v>
      </c>
      <c r="M359" s="1">
        <v>0</v>
      </c>
      <c r="N359" s="20">
        <v>6300000</v>
      </c>
      <c r="O359" s="10">
        <v>6300000</v>
      </c>
      <c r="P359" t="s">
        <v>704</v>
      </c>
      <c r="Q359" s="1" t="e">
        <v>#N/A</v>
      </c>
      <c r="S359" s="11" t="s">
        <v>1036</v>
      </c>
    </row>
    <row r="360" spans="1:19" x14ac:dyDescent="0.25">
      <c r="A360" t="s">
        <v>1344</v>
      </c>
      <c r="B360" t="s">
        <v>13</v>
      </c>
      <c r="C360" s="12">
        <v>46090</v>
      </c>
      <c r="D360" s="12">
        <v>46151</v>
      </c>
      <c r="E360" t="s">
        <v>775</v>
      </c>
      <c r="F360" t="s">
        <v>14</v>
      </c>
      <c r="G360">
        <v>1085254153</v>
      </c>
      <c r="H360" t="s">
        <v>308</v>
      </c>
      <c r="I360">
        <v>59836926</v>
      </c>
      <c r="J360" t="s">
        <v>14</v>
      </c>
      <c r="K360" t="s">
        <v>17</v>
      </c>
      <c r="L360" s="1" t="e">
        <v>#N/A</v>
      </c>
      <c r="M360" s="1">
        <v>0</v>
      </c>
      <c r="N360" s="20">
        <v>12600000</v>
      </c>
      <c r="O360" s="10">
        <v>12600000</v>
      </c>
      <c r="P360" t="s">
        <v>704</v>
      </c>
      <c r="Q360" s="1" t="e">
        <v>#N/A</v>
      </c>
      <c r="S360" s="11" t="s">
        <v>1036</v>
      </c>
    </row>
    <row r="361" spans="1:19" x14ac:dyDescent="0.25">
      <c r="A361" t="s">
        <v>1345</v>
      </c>
      <c r="B361" t="s">
        <v>13</v>
      </c>
      <c r="C361" s="12">
        <v>46090</v>
      </c>
      <c r="D361" s="12">
        <v>46203</v>
      </c>
      <c r="E361" t="s">
        <v>775</v>
      </c>
      <c r="F361" t="s">
        <v>14</v>
      </c>
      <c r="G361">
        <v>1004339825</v>
      </c>
      <c r="H361" t="s">
        <v>957</v>
      </c>
      <c r="I361">
        <v>98390119</v>
      </c>
      <c r="J361" t="s">
        <v>14</v>
      </c>
      <c r="K361" t="s">
        <v>63</v>
      </c>
      <c r="L361" s="1" t="e">
        <v>#N/A</v>
      </c>
      <c r="M361" s="1">
        <v>0</v>
      </c>
      <c r="N361" s="20">
        <v>12600000</v>
      </c>
      <c r="O361" s="10">
        <v>12600000</v>
      </c>
      <c r="P361" t="s">
        <v>704</v>
      </c>
      <c r="Q361" s="1" t="e">
        <v>#N/A</v>
      </c>
      <c r="S361" s="11" t="s">
        <v>1036</v>
      </c>
    </row>
    <row r="362" spans="1:19" x14ac:dyDescent="0.25">
      <c r="A362" t="s">
        <v>1346</v>
      </c>
      <c r="B362" t="s">
        <v>13</v>
      </c>
      <c r="C362" s="12">
        <v>46090</v>
      </c>
      <c r="D362" s="12">
        <v>46182</v>
      </c>
      <c r="E362" t="s">
        <v>744</v>
      </c>
      <c r="F362" t="s">
        <v>14</v>
      </c>
      <c r="G362">
        <v>1085333467</v>
      </c>
      <c r="H362" t="s">
        <v>595</v>
      </c>
      <c r="I362">
        <v>59836926</v>
      </c>
      <c r="J362" t="s">
        <v>14</v>
      </c>
      <c r="K362" t="s">
        <v>17</v>
      </c>
      <c r="L362" s="1" t="e">
        <v>#N/A</v>
      </c>
      <c r="M362" s="1">
        <v>0</v>
      </c>
      <c r="N362" s="20">
        <v>14190000</v>
      </c>
      <c r="O362" s="10">
        <v>14190000</v>
      </c>
      <c r="P362" t="s">
        <v>704</v>
      </c>
      <c r="Q362" s="1" t="e">
        <v>#N/A</v>
      </c>
      <c r="S362" s="11" t="s">
        <v>1036</v>
      </c>
    </row>
    <row r="363" spans="1:19" x14ac:dyDescent="0.25">
      <c r="A363" t="s">
        <v>1347</v>
      </c>
      <c r="B363" t="s">
        <v>13</v>
      </c>
      <c r="C363" s="12">
        <v>46090</v>
      </c>
      <c r="D363" s="12">
        <v>46182</v>
      </c>
      <c r="E363" t="s">
        <v>775</v>
      </c>
      <c r="F363" t="s">
        <v>14</v>
      </c>
      <c r="G363">
        <v>59313528</v>
      </c>
      <c r="H363" t="s">
        <v>948</v>
      </c>
      <c r="I363">
        <v>59836926</v>
      </c>
      <c r="J363" t="s">
        <v>14</v>
      </c>
      <c r="K363" t="s">
        <v>17</v>
      </c>
      <c r="L363" s="1" t="e">
        <v>#N/A</v>
      </c>
      <c r="M363" s="1">
        <v>0</v>
      </c>
      <c r="N363" s="20">
        <v>18900000</v>
      </c>
      <c r="O363" s="10">
        <v>18900000</v>
      </c>
      <c r="P363" t="s">
        <v>704</v>
      </c>
      <c r="Q363" s="1" t="e">
        <v>#N/A</v>
      </c>
      <c r="S363" s="11" t="s">
        <v>1036</v>
      </c>
    </row>
    <row r="364" spans="1:19" x14ac:dyDescent="0.25">
      <c r="A364" t="s">
        <v>1348</v>
      </c>
      <c r="B364" t="s">
        <v>13</v>
      </c>
      <c r="C364" s="12">
        <v>46090</v>
      </c>
      <c r="D364" s="12">
        <v>46203</v>
      </c>
      <c r="E364" t="s">
        <v>775</v>
      </c>
      <c r="F364" t="s">
        <v>14</v>
      </c>
      <c r="G364">
        <v>1004726621</v>
      </c>
      <c r="H364" t="s">
        <v>560</v>
      </c>
      <c r="I364">
        <v>98390119</v>
      </c>
      <c r="J364" t="s">
        <v>14</v>
      </c>
      <c r="K364" t="s">
        <v>63</v>
      </c>
      <c r="L364" s="1" t="e">
        <v>#N/A</v>
      </c>
      <c r="M364" s="1">
        <v>0</v>
      </c>
      <c r="N364" s="20">
        <v>12600000</v>
      </c>
      <c r="O364" s="10">
        <v>12600000</v>
      </c>
      <c r="P364" t="s">
        <v>704</v>
      </c>
      <c r="Q364" s="1" t="e">
        <v>#N/A</v>
      </c>
      <c r="S364" s="11" t="s">
        <v>1036</v>
      </c>
    </row>
    <row r="365" spans="1:19" x14ac:dyDescent="0.25">
      <c r="A365" t="s">
        <v>1349</v>
      </c>
      <c r="B365" t="s">
        <v>13</v>
      </c>
      <c r="C365" s="12">
        <v>46090</v>
      </c>
      <c r="D365" s="12">
        <v>46203</v>
      </c>
      <c r="E365" t="s">
        <v>775</v>
      </c>
      <c r="F365" t="s">
        <v>14</v>
      </c>
      <c r="G365">
        <v>1085315209</v>
      </c>
      <c r="H365" t="s">
        <v>643</v>
      </c>
      <c r="I365">
        <v>43624414</v>
      </c>
      <c r="J365" t="s">
        <v>14</v>
      </c>
      <c r="K365" t="s">
        <v>18</v>
      </c>
      <c r="L365" s="1" t="e">
        <v>#N/A</v>
      </c>
      <c r="M365" s="1">
        <v>0</v>
      </c>
      <c r="N365" s="20">
        <v>12600000</v>
      </c>
      <c r="O365" s="10">
        <v>12600000</v>
      </c>
      <c r="P365" t="s">
        <v>704</v>
      </c>
      <c r="Q365" s="1" t="e">
        <v>#N/A</v>
      </c>
      <c r="S365" s="11" t="s">
        <v>1036</v>
      </c>
    </row>
    <row r="366" spans="1:19" x14ac:dyDescent="0.25">
      <c r="A366" t="s">
        <v>1350</v>
      </c>
      <c r="B366" t="s">
        <v>13</v>
      </c>
      <c r="C366" s="12">
        <v>46090</v>
      </c>
      <c r="D366" s="12">
        <v>46203</v>
      </c>
      <c r="E366" t="s">
        <v>775</v>
      </c>
      <c r="F366" t="s">
        <v>14</v>
      </c>
      <c r="G366">
        <v>59813323</v>
      </c>
      <c r="H366" t="s">
        <v>74</v>
      </c>
      <c r="I366">
        <v>98333941</v>
      </c>
      <c r="J366" t="s">
        <v>14</v>
      </c>
      <c r="K366" t="s">
        <v>15</v>
      </c>
      <c r="L366" s="1" t="e">
        <v>#N/A</v>
      </c>
      <c r="M366" s="1">
        <v>0</v>
      </c>
      <c r="N366" s="20">
        <v>12600000</v>
      </c>
      <c r="O366" s="10">
        <v>12600000</v>
      </c>
      <c r="P366" t="s">
        <v>704</v>
      </c>
      <c r="Q366" s="1" t="e">
        <v>#N/A</v>
      </c>
      <c r="S366" s="11" t="s">
        <v>1036</v>
      </c>
    </row>
    <row r="367" spans="1:19" x14ac:dyDescent="0.25">
      <c r="A367" t="s">
        <v>1351</v>
      </c>
      <c r="B367" t="s">
        <v>13</v>
      </c>
      <c r="C367" s="12">
        <v>46090</v>
      </c>
      <c r="D367" s="12">
        <v>46182</v>
      </c>
      <c r="E367" t="s">
        <v>775</v>
      </c>
      <c r="F367" t="s">
        <v>14</v>
      </c>
      <c r="G367">
        <v>1193035720</v>
      </c>
      <c r="H367" t="s">
        <v>904</v>
      </c>
      <c r="I367">
        <v>43624414</v>
      </c>
      <c r="J367" t="s">
        <v>14</v>
      </c>
      <c r="K367" t="s">
        <v>18</v>
      </c>
      <c r="L367" s="1" t="e">
        <v>#N/A</v>
      </c>
      <c r="M367" s="1">
        <v>0</v>
      </c>
      <c r="N367" s="20">
        <v>9450000</v>
      </c>
      <c r="O367" s="10">
        <v>9450000</v>
      </c>
      <c r="P367" t="s">
        <v>704</v>
      </c>
      <c r="Q367" s="1" t="e">
        <v>#N/A</v>
      </c>
      <c r="S367" s="11" t="s">
        <v>1036</v>
      </c>
    </row>
    <row r="368" spans="1:19" x14ac:dyDescent="0.25">
      <c r="A368" t="s">
        <v>1352</v>
      </c>
      <c r="B368" t="s">
        <v>13</v>
      </c>
      <c r="C368" s="12">
        <v>46090</v>
      </c>
      <c r="D368" s="12">
        <v>46182</v>
      </c>
      <c r="E368" t="s">
        <v>775</v>
      </c>
      <c r="F368" t="s">
        <v>14</v>
      </c>
      <c r="G368">
        <v>1085277976</v>
      </c>
      <c r="H368" t="s">
        <v>681</v>
      </c>
      <c r="I368">
        <v>43624414</v>
      </c>
      <c r="J368" t="s">
        <v>14</v>
      </c>
      <c r="K368" t="s">
        <v>18</v>
      </c>
      <c r="L368" s="1" t="e">
        <v>#N/A</v>
      </c>
      <c r="M368" s="1">
        <v>0</v>
      </c>
      <c r="N368" s="20">
        <v>18900000</v>
      </c>
      <c r="O368" s="10">
        <v>18900000</v>
      </c>
      <c r="P368" t="s">
        <v>704</v>
      </c>
      <c r="Q368" s="1" t="e">
        <v>#N/A</v>
      </c>
      <c r="S368" s="11" t="s">
        <v>1036</v>
      </c>
    </row>
    <row r="369" spans="1:19" x14ac:dyDescent="0.25">
      <c r="A369" t="s">
        <v>1353</v>
      </c>
      <c r="B369" t="s">
        <v>13</v>
      </c>
      <c r="C369" s="12">
        <v>46090</v>
      </c>
      <c r="D369" s="12">
        <v>46203</v>
      </c>
      <c r="E369" t="s">
        <v>775</v>
      </c>
      <c r="F369" t="s">
        <v>14</v>
      </c>
      <c r="G369">
        <v>1004437571</v>
      </c>
      <c r="H369" t="s">
        <v>381</v>
      </c>
      <c r="I369">
        <v>59836926</v>
      </c>
      <c r="J369" t="s">
        <v>14</v>
      </c>
      <c r="K369" t="s">
        <v>17</v>
      </c>
      <c r="L369" s="1" t="e">
        <v>#N/A</v>
      </c>
      <c r="M369" s="1">
        <v>0</v>
      </c>
      <c r="N369" s="20">
        <v>12600000</v>
      </c>
      <c r="O369" s="10">
        <v>12600000</v>
      </c>
      <c r="P369" t="s">
        <v>704</v>
      </c>
      <c r="Q369" s="1" t="e">
        <v>#N/A</v>
      </c>
      <c r="S369" s="11" t="s">
        <v>1036</v>
      </c>
    </row>
    <row r="370" spans="1:19" x14ac:dyDescent="0.25">
      <c r="A370" t="s">
        <v>1354</v>
      </c>
      <c r="B370" t="s">
        <v>13</v>
      </c>
      <c r="C370" s="12">
        <v>46090</v>
      </c>
      <c r="D370" s="12">
        <v>46203</v>
      </c>
      <c r="E370" t="s">
        <v>775</v>
      </c>
      <c r="F370" t="s">
        <v>14</v>
      </c>
      <c r="G370">
        <v>59122805</v>
      </c>
      <c r="H370" t="s">
        <v>463</v>
      </c>
      <c r="I370">
        <v>98333941</v>
      </c>
      <c r="J370" t="s">
        <v>14</v>
      </c>
      <c r="K370" t="s">
        <v>15</v>
      </c>
      <c r="L370" s="1" t="e">
        <v>#N/A</v>
      </c>
      <c r="M370" s="1">
        <v>0</v>
      </c>
      <c r="N370" s="20">
        <v>12600000</v>
      </c>
      <c r="O370" s="10">
        <v>12600000</v>
      </c>
      <c r="P370" t="s">
        <v>704</v>
      </c>
      <c r="Q370" s="1" t="e">
        <v>#N/A</v>
      </c>
      <c r="S370" s="11" t="s">
        <v>1036</v>
      </c>
    </row>
    <row r="371" spans="1:19" x14ac:dyDescent="0.25">
      <c r="A371" t="s">
        <v>1355</v>
      </c>
      <c r="B371" t="s">
        <v>13</v>
      </c>
      <c r="C371" s="12">
        <v>46090</v>
      </c>
      <c r="D371" s="12">
        <v>46182</v>
      </c>
      <c r="E371" t="s">
        <v>775</v>
      </c>
      <c r="F371" t="s">
        <v>14</v>
      </c>
      <c r="G371">
        <v>87030128</v>
      </c>
      <c r="H371" t="s">
        <v>101</v>
      </c>
      <c r="I371">
        <v>59836926</v>
      </c>
      <c r="J371" t="s">
        <v>14</v>
      </c>
      <c r="K371" t="s">
        <v>17</v>
      </c>
      <c r="L371" s="1" t="e">
        <v>#N/A</v>
      </c>
      <c r="M371" s="1">
        <v>0</v>
      </c>
      <c r="N371" s="20">
        <v>9450000</v>
      </c>
      <c r="O371" s="10">
        <v>9450000</v>
      </c>
      <c r="P371" t="s">
        <v>704</v>
      </c>
      <c r="Q371" s="1" t="e">
        <v>#N/A</v>
      </c>
      <c r="S371" s="11" t="s">
        <v>1036</v>
      </c>
    </row>
    <row r="372" spans="1:19" x14ac:dyDescent="0.25">
      <c r="A372" t="s">
        <v>1356</v>
      </c>
      <c r="B372" t="s">
        <v>13</v>
      </c>
      <c r="C372" s="12">
        <v>46091</v>
      </c>
      <c r="D372" s="12">
        <v>46183</v>
      </c>
      <c r="E372" t="s">
        <v>775</v>
      </c>
      <c r="F372" t="s">
        <v>14</v>
      </c>
      <c r="G372">
        <v>1004134014</v>
      </c>
      <c r="H372" t="s">
        <v>633</v>
      </c>
      <c r="I372">
        <v>43624414</v>
      </c>
      <c r="J372" t="s">
        <v>14</v>
      </c>
      <c r="K372" t="s">
        <v>18</v>
      </c>
      <c r="L372" s="1" t="e">
        <v>#N/A</v>
      </c>
      <c r="M372" s="1">
        <v>0</v>
      </c>
      <c r="N372" s="20">
        <v>9450000</v>
      </c>
      <c r="O372" s="10">
        <v>9450000</v>
      </c>
      <c r="P372" t="s">
        <v>704</v>
      </c>
      <c r="Q372" s="1" t="e">
        <v>#N/A</v>
      </c>
      <c r="S372" s="11" t="s">
        <v>1036</v>
      </c>
    </row>
    <row r="373" spans="1:19" x14ac:dyDescent="0.25">
      <c r="A373" t="s">
        <v>1357</v>
      </c>
      <c r="B373" t="s">
        <v>13</v>
      </c>
      <c r="C373" s="12">
        <v>46091</v>
      </c>
      <c r="D373" s="12">
        <v>46213</v>
      </c>
      <c r="E373" t="s">
        <v>775</v>
      </c>
      <c r="F373" t="s">
        <v>14</v>
      </c>
      <c r="G373">
        <v>1081572043</v>
      </c>
      <c r="H373" t="s">
        <v>54</v>
      </c>
      <c r="I373">
        <v>98333941</v>
      </c>
      <c r="J373" t="s">
        <v>14</v>
      </c>
      <c r="K373" t="s">
        <v>15</v>
      </c>
      <c r="L373" s="1" t="e">
        <v>#N/A</v>
      </c>
      <c r="M373" s="1">
        <v>0</v>
      </c>
      <c r="N373" s="20">
        <v>12600000</v>
      </c>
      <c r="O373" s="10">
        <v>12600000</v>
      </c>
      <c r="P373" t="s">
        <v>704</v>
      </c>
      <c r="Q373" s="1" t="e">
        <v>#N/A</v>
      </c>
      <c r="S373" s="11" t="s">
        <v>1036</v>
      </c>
    </row>
    <row r="374" spans="1:19" x14ac:dyDescent="0.25">
      <c r="A374" t="s">
        <v>1358</v>
      </c>
      <c r="B374" t="s">
        <v>13</v>
      </c>
      <c r="C374" s="12">
        <v>46092</v>
      </c>
      <c r="D374" s="12">
        <v>46184</v>
      </c>
      <c r="E374" t="s">
        <v>775</v>
      </c>
      <c r="F374" t="s">
        <v>14</v>
      </c>
      <c r="G374">
        <v>36758868</v>
      </c>
      <c r="H374" t="s">
        <v>936</v>
      </c>
      <c r="I374">
        <v>43624414</v>
      </c>
      <c r="J374" t="s">
        <v>14</v>
      </c>
      <c r="K374" t="s">
        <v>18</v>
      </c>
      <c r="L374" s="1" t="e">
        <v>#N/A</v>
      </c>
      <c r="M374" s="1">
        <v>0</v>
      </c>
      <c r="N374" s="20">
        <v>9450000</v>
      </c>
      <c r="O374" s="10">
        <v>9450000</v>
      </c>
      <c r="P374" t="s">
        <v>704</v>
      </c>
      <c r="Q374" s="1" t="e">
        <v>#N/A</v>
      </c>
      <c r="S374" s="11" t="s">
        <v>1036</v>
      </c>
    </row>
    <row r="375" spans="1:19" x14ac:dyDescent="0.25">
      <c r="A375" t="s">
        <v>1359</v>
      </c>
      <c r="B375" t="s">
        <v>13</v>
      </c>
      <c r="C375" s="12">
        <v>46093</v>
      </c>
      <c r="D375" s="12">
        <v>46185</v>
      </c>
      <c r="E375" t="s">
        <v>775</v>
      </c>
      <c r="F375" t="s">
        <v>14</v>
      </c>
      <c r="G375">
        <v>1053793750</v>
      </c>
      <c r="H375" t="s">
        <v>261</v>
      </c>
      <c r="I375">
        <v>98390119</v>
      </c>
      <c r="J375" t="s">
        <v>14</v>
      </c>
      <c r="K375" t="s">
        <v>63</v>
      </c>
      <c r="L375" s="1" t="e">
        <v>#N/A</v>
      </c>
      <c r="M375" s="1">
        <v>0</v>
      </c>
      <c r="N375" s="20">
        <v>18900000</v>
      </c>
      <c r="O375" s="10">
        <v>18900000</v>
      </c>
      <c r="P375" t="s">
        <v>704</v>
      </c>
      <c r="Q375" s="1" t="e">
        <v>#N/A</v>
      </c>
      <c r="S375" s="11" t="s">
        <v>1036</v>
      </c>
    </row>
    <row r="376" spans="1:19" x14ac:dyDescent="0.25">
      <c r="A376" t="s">
        <v>1360</v>
      </c>
      <c r="B376" t="s">
        <v>13</v>
      </c>
      <c r="C376" s="12">
        <v>46093</v>
      </c>
      <c r="D376" s="12">
        <v>46185</v>
      </c>
      <c r="E376" t="s">
        <v>775</v>
      </c>
      <c r="F376" t="s">
        <v>14</v>
      </c>
      <c r="G376">
        <v>1086298268</v>
      </c>
      <c r="H376" t="s">
        <v>916</v>
      </c>
      <c r="I376">
        <v>98390119</v>
      </c>
      <c r="J376" t="s">
        <v>14</v>
      </c>
      <c r="K376" t="s">
        <v>63</v>
      </c>
      <c r="L376" s="1" t="e">
        <v>#N/A</v>
      </c>
      <c r="M376" s="1">
        <v>0</v>
      </c>
      <c r="N376" s="20">
        <v>9450000</v>
      </c>
      <c r="O376" s="10">
        <v>9450000</v>
      </c>
      <c r="P376" t="s">
        <v>704</v>
      </c>
      <c r="Q376" s="1" t="e">
        <v>#N/A</v>
      </c>
      <c r="S376" s="11" t="s">
        <v>1036</v>
      </c>
    </row>
    <row r="377" spans="1:19" x14ac:dyDescent="0.25">
      <c r="A377" t="s">
        <v>1361</v>
      </c>
      <c r="B377" t="s">
        <v>13</v>
      </c>
      <c r="C377" s="12">
        <v>46093</v>
      </c>
      <c r="D377" s="12">
        <v>46185</v>
      </c>
      <c r="E377" t="s">
        <v>775</v>
      </c>
      <c r="F377" t="s">
        <v>14</v>
      </c>
      <c r="G377">
        <v>1004131976</v>
      </c>
      <c r="H377" t="s">
        <v>291</v>
      </c>
      <c r="I377">
        <v>98390119</v>
      </c>
      <c r="J377" t="s">
        <v>14</v>
      </c>
      <c r="K377" t="s">
        <v>63</v>
      </c>
      <c r="L377" s="1" t="e">
        <v>#N/A</v>
      </c>
      <c r="M377" s="1">
        <v>0</v>
      </c>
      <c r="N377" s="20">
        <v>9450000</v>
      </c>
      <c r="O377" s="10">
        <v>9450000</v>
      </c>
      <c r="P377" t="s">
        <v>704</v>
      </c>
      <c r="Q377" s="1" t="e">
        <v>#N/A</v>
      </c>
      <c r="S377" s="11" t="s">
        <v>1036</v>
      </c>
    </row>
    <row r="378" spans="1:19" x14ac:dyDescent="0.25">
      <c r="A378" t="s">
        <v>1362</v>
      </c>
      <c r="B378" t="s">
        <v>13</v>
      </c>
      <c r="C378" s="12">
        <v>46094</v>
      </c>
      <c r="D378" s="12">
        <v>46155</v>
      </c>
      <c r="E378" t="s">
        <v>744</v>
      </c>
      <c r="F378" t="s">
        <v>14</v>
      </c>
      <c r="G378">
        <v>42144372</v>
      </c>
      <c r="H378" t="s">
        <v>855</v>
      </c>
      <c r="I378">
        <v>98390119</v>
      </c>
      <c r="J378" t="s">
        <v>14</v>
      </c>
      <c r="K378" t="s">
        <v>63</v>
      </c>
      <c r="L378" s="1" t="e">
        <v>#N/A</v>
      </c>
      <c r="M378" s="1">
        <v>0</v>
      </c>
      <c r="N378" s="20">
        <v>15600000</v>
      </c>
      <c r="O378" s="10">
        <v>15600000</v>
      </c>
      <c r="P378" t="s">
        <v>704</v>
      </c>
      <c r="Q378" s="1" t="e">
        <v>#N/A</v>
      </c>
      <c r="S378" s="11" t="s">
        <v>1036</v>
      </c>
    </row>
    <row r="379" spans="1:19" x14ac:dyDescent="0.25">
      <c r="A379" t="s">
        <v>1363</v>
      </c>
      <c r="B379" t="s">
        <v>13</v>
      </c>
      <c r="C379" s="12">
        <v>46094</v>
      </c>
      <c r="D379" s="12">
        <v>46125</v>
      </c>
      <c r="E379" t="s">
        <v>793</v>
      </c>
      <c r="F379" t="s">
        <v>14</v>
      </c>
      <c r="G379">
        <v>87070742</v>
      </c>
      <c r="H379" t="s">
        <v>556</v>
      </c>
      <c r="I379">
        <v>98390119</v>
      </c>
      <c r="J379" t="s">
        <v>14</v>
      </c>
      <c r="K379" t="s">
        <v>63</v>
      </c>
      <c r="L379" s="1" t="e">
        <v>#N/A</v>
      </c>
      <c r="M379" s="1">
        <v>0</v>
      </c>
      <c r="N379" s="20">
        <v>2000000</v>
      </c>
      <c r="O379" s="10">
        <v>2000000</v>
      </c>
      <c r="P379" t="s">
        <v>704</v>
      </c>
      <c r="Q379" s="1" t="e">
        <v>#N/A</v>
      </c>
      <c r="S379" s="11" t="s">
        <v>1036</v>
      </c>
    </row>
    <row r="380" spans="1:19" x14ac:dyDescent="0.25">
      <c r="A380" t="s">
        <v>1364</v>
      </c>
      <c r="B380" t="s">
        <v>13</v>
      </c>
      <c r="C380" s="12">
        <v>46097</v>
      </c>
      <c r="D380" s="12">
        <v>46158</v>
      </c>
      <c r="E380" t="s">
        <v>775</v>
      </c>
      <c r="F380" t="s">
        <v>14</v>
      </c>
      <c r="G380">
        <v>1233192104</v>
      </c>
      <c r="H380" t="s">
        <v>514</v>
      </c>
      <c r="I380">
        <v>59836926</v>
      </c>
      <c r="J380" t="s">
        <v>14</v>
      </c>
      <c r="K380" t="s">
        <v>17</v>
      </c>
      <c r="L380" s="1" t="e">
        <v>#N/A</v>
      </c>
      <c r="M380" s="1">
        <v>0</v>
      </c>
      <c r="N380" s="20">
        <v>6300000</v>
      </c>
      <c r="O380" s="10">
        <v>6300000</v>
      </c>
      <c r="P380" t="s">
        <v>704</v>
      </c>
      <c r="Q380" s="1" t="e">
        <v>#N/A</v>
      </c>
      <c r="S380" s="11" t="s">
        <v>1036</v>
      </c>
    </row>
    <row r="381" spans="1:19" x14ac:dyDescent="0.25">
      <c r="A381" t="s">
        <v>1365</v>
      </c>
      <c r="B381" t="s">
        <v>13</v>
      </c>
      <c r="C381" s="12">
        <v>46098</v>
      </c>
      <c r="D381" s="12">
        <v>46203</v>
      </c>
      <c r="E381" t="s">
        <v>775</v>
      </c>
      <c r="F381" t="s">
        <v>14</v>
      </c>
      <c r="G381">
        <v>1085317652</v>
      </c>
      <c r="H381" t="s">
        <v>962</v>
      </c>
      <c r="I381">
        <v>43624414</v>
      </c>
      <c r="J381" t="s">
        <v>14</v>
      </c>
      <c r="K381" t="s">
        <v>18</v>
      </c>
      <c r="L381" s="1" t="e">
        <v>#N/A</v>
      </c>
      <c r="M381" s="1">
        <v>0</v>
      </c>
      <c r="N381" s="20">
        <v>11550000</v>
      </c>
      <c r="O381" s="10">
        <v>11550000</v>
      </c>
      <c r="P381" t="s">
        <v>704</v>
      </c>
      <c r="Q381" s="1" t="e">
        <v>#N/A</v>
      </c>
      <c r="S381" s="11" t="s">
        <v>1036</v>
      </c>
    </row>
    <row r="382" spans="1:19" x14ac:dyDescent="0.25">
      <c r="A382" s="6" t="s">
        <v>373</v>
      </c>
      <c r="B382" s="6" t="s">
        <v>971</v>
      </c>
      <c r="C382" s="14">
        <v>45940</v>
      </c>
      <c r="D382" s="14">
        <v>46022</v>
      </c>
      <c r="E382" s="6" t="s">
        <v>744</v>
      </c>
      <c r="F382" s="6" t="s">
        <v>14</v>
      </c>
      <c r="G382" s="6">
        <v>98394849</v>
      </c>
      <c r="H382" s="6" t="s">
        <v>374</v>
      </c>
      <c r="I382" s="6">
        <v>43624414</v>
      </c>
      <c r="J382" s="6" t="s">
        <v>14</v>
      </c>
      <c r="K382" s="6" t="s">
        <v>18</v>
      </c>
      <c r="L382" s="1" t="e">
        <v>#N/A</v>
      </c>
      <c r="M382" s="1">
        <v>0</v>
      </c>
      <c r="N382" s="21">
        <v>14190000</v>
      </c>
      <c r="O382" s="7">
        <v>14190000</v>
      </c>
      <c r="P382" s="6" t="s">
        <v>704</v>
      </c>
      <c r="Q382" s="7" t="e">
        <v>#N/A</v>
      </c>
      <c r="R382" s="2" t="s">
        <v>827</v>
      </c>
      <c r="S382" t="s">
        <v>833</v>
      </c>
    </row>
    <row r="383" spans="1:19" x14ac:dyDescent="0.25">
      <c r="A383" s="3" t="s">
        <v>106</v>
      </c>
      <c r="B383" s="4" t="s">
        <v>1370</v>
      </c>
      <c r="C383" s="15">
        <v>45940</v>
      </c>
      <c r="D383" s="15">
        <v>46022</v>
      </c>
      <c r="E383" s="4" t="s">
        <v>714</v>
      </c>
      <c r="F383" s="4" t="s">
        <v>83</v>
      </c>
      <c r="G383" s="4">
        <v>900752343</v>
      </c>
      <c r="H383" s="4" t="s">
        <v>107</v>
      </c>
      <c r="I383" s="4">
        <v>17658216</v>
      </c>
      <c r="J383" s="4" t="s">
        <v>14</v>
      </c>
      <c r="K383" s="4" t="s">
        <v>108</v>
      </c>
      <c r="L383" s="1">
        <v>352600000</v>
      </c>
      <c r="M383" s="1">
        <v>352600000</v>
      </c>
      <c r="N383" s="22">
        <v>352600000</v>
      </c>
      <c r="O383" s="5">
        <v>352600000</v>
      </c>
      <c r="P383" s="4" t="s">
        <v>704</v>
      </c>
      <c r="Q383" s="5">
        <v>-68600000</v>
      </c>
      <c r="R383" s="2" t="s">
        <v>827</v>
      </c>
      <c r="S383" t="s">
        <v>832</v>
      </c>
    </row>
    <row r="384" spans="1:19" x14ac:dyDescent="0.25">
      <c r="A384" s="4" t="s">
        <v>169</v>
      </c>
      <c r="B384" s="4" t="s">
        <v>1370</v>
      </c>
      <c r="C384" s="15">
        <v>45940</v>
      </c>
      <c r="D384" s="15">
        <v>46022</v>
      </c>
      <c r="E384" s="4" t="s">
        <v>170</v>
      </c>
      <c r="F384" s="4" t="s">
        <v>83</v>
      </c>
      <c r="G384" s="4">
        <v>900752343</v>
      </c>
      <c r="H384" s="4" t="s">
        <v>107</v>
      </c>
      <c r="I384" s="4">
        <v>17658216</v>
      </c>
      <c r="J384" s="4" t="s">
        <v>14</v>
      </c>
      <c r="K384" s="4" t="s">
        <v>108</v>
      </c>
      <c r="L384" s="1">
        <v>350950000</v>
      </c>
      <c r="M384" s="1">
        <v>350950000</v>
      </c>
      <c r="N384" s="22">
        <v>350950000</v>
      </c>
      <c r="O384" s="5">
        <v>350950000</v>
      </c>
      <c r="P384" s="4" t="s">
        <v>704</v>
      </c>
      <c r="Q384" s="5">
        <v>-69950000</v>
      </c>
      <c r="R384" s="2" t="s">
        <v>827</v>
      </c>
      <c r="S384" t="s">
        <v>832</v>
      </c>
    </row>
    <row r="385" spans="1:19" x14ac:dyDescent="0.25">
      <c r="A385" s="6" t="s">
        <v>249</v>
      </c>
      <c r="B385" s="6" t="s">
        <v>971</v>
      </c>
      <c r="C385" s="14">
        <v>45947</v>
      </c>
      <c r="D385" s="14">
        <v>46022</v>
      </c>
      <c r="E385" s="6" t="s">
        <v>250</v>
      </c>
      <c r="F385" s="6" t="s">
        <v>83</v>
      </c>
      <c r="G385" s="6">
        <v>900991717</v>
      </c>
      <c r="H385" s="6" t="s">
        <v>251</v>
      </c>
      <c r="I385" s="6">
        <v>87248313</v>
      </c>
      <c r="J385" s="6" t="s">
        <v>14</v>
      </c>
      <c r="K385" s="6" t="s">
        <v>252</v>
      </c>
      <c r="L385" s="1" t="e">
        <v>#N/A</v>
      </c>
      <c r="M385" s="1">
        <v>0</v>
      </c>
      <c r="N385" s="21">
        <v>5357200</v>
      </c>
      <c r="O385" s="7">
        <v>5357200</v>
      </c>
      <c r="P385" s="6" t="s">
        <v>704</v>
      </c>
      <c r="Q385" s="7" t="e">
        <v>#N/A</v>
      </c>
      <c r="R385" s="2" t="s">
        <v>827</v>
      </c>
      <c r="S385" t="s">
        <v>833</v>
      </c>
    </row>
    <row r="386" spans="1:19" x14ac:dyDescent="0.25">
      <c r="A386" s="16" t="s">
        <v>317</v>
      </c>
      <c r="B386" s="4" t="s">
        <v>1370</v>
      </c>
      <c r="C386" s="15">
        <v>45951</v>
      </c>
      <c r="D386" s="15">
        <v>45981</v>
      </c>
      <c r="E386" s="4" t="s">
        <v>757</v>
      </c>
      <c r="F386" s="4" t="s">
        <v>83</v>
      </c>
      <c r="G386" s="4">
        <v>901329717</v>
      </c>
      <c r="H386" s="4" t="s">
        <v>318</v>
      </c>
      <c r="I386" s="4">
        <v>36759470</v>
      </c>
      <c r="J386" s="4" t="s">
        <v>14</v>
      </c>
      <c r="K386" s="4" t="s">
        <v>319</v>
      </c>
      <c r="L386" s="1">
        <v>216656524.10000002</v>
      </c>
      <c r="M386" s="1">
        <v>216656524.10000002</v>
      </c>
      <c r="N386" s="23" t="s">
        <v>1372</v>
      </c>
      <c r="O386" s="5">
        <v>216656524.10000002</v>
      </c>
      <c r="P386" s="4" t="s">
        <v>704</v>
      </c>
      <c r="Q386" s="5">
        <v>-72218841.100000024</v>
      </c>
      <c r="R386" s="2" t="s">
        <v>827</v>
      </c>
      <c r="S386" t="s">
        <v>832</v>
      </c>
    </row>
    <row r="387" spans="1:19" x14ac:dyDescent="0.25">
      <c r="A387" s="6" t="s">
        <v>213</v>
      </c>
      <c r="B387" s="6" t="s">
        <v>971</v>
      </c>
      <c r="C387" s="14">
        <v>45967</v>
      </c>
      <c r="D387" s="14">
        <v>46022</v>
      </c>
      <c r="E387" s="6" t="s">
        <v>741</v>
      </c>
      <c r="F387" s="6" t="s">
        <v>14</v>
      </c>
      <c r="G387" s="6">
        <v>1085927513</v>
      </c>
      <c r="H387" s="6" t="s">
        <v>214</v>
      </c>
      <c r="I387" s="6">
        <v>59836926</v>
      </c>
      <c r="J387" s="6" t="s">
        <v>14</v>
      </c>
      <c r="K387" s="6" t="s">
        <v>17</v>
      </c>
      <c r="L387" s="1" t="e">
        <v>#N/A</v>
      </c>
      <c r="M387" s="1">
        <v>0</v>
      </c>
      <c r="N387" s="21">
        <v>6300000</v>
      </c>
      <c r="O387" s="7">
        <v>6300000</v>
      </c>
      <c r="P387" s="6" t="s">
        <v>704</v>
      </c>
      <c r="Q387" s="7" t="e">
        <v>#N/A</v>
      </c>
      <c r="R387" s="2" t="s">
        <v>827</v>
      </c>
      <c r="S387" t="s">
        <v>833</v>
      </c>
    </row>
    <row r="388" spans="1:19" x14ac:dyDescent="0.25">
      <c r="A388" s="6" t="s">
        <v>421</v>
      </c>
      <c r="B388" s="6" t="s">
        <v>971</v>
      </c>
      <c r="C388" s="14">
        <v>45971</v>
      </c>
      <c r="D388" s="14">
        <v>46022</v>
      </c>
      <c r="E388" s="6" t="s">
        <v>778</v>
      </c>
      <c r="F388" s="6" t="s">
        <v>14</v>
      </c>
      <c r="G388" s="6">
        <v>1085310626</v>
      </c>
      <c r="H388" s="6" t="s">
        <v>422</v>
      </c>
      <c r="I388" s="6">
        <v>98390119</v>
      </c>
      <c r="J388" s="6" t="s">
        <v>14</v>
      </c>
      <c r="K388" s="6" t="s">
        <v>63</v>
      </c>
      <c r="L388" s="1" t="e">
        <v>#N/A</v>
      </c>
      <c r="M388" s="1">
        <v>0</v>
      </c>
      <c r="N388" s="21">
        <v>6300000</v>
      </c>
      <c r="O388" s="7">
        <v>6300000</v>
      </c>
      <c r="P388" s="6" t="s">
        <v>704</v>
      </c>
      <c r="Q388" s="7" t="e">
        <v>#N/A</v>
      </c>
      <c r="R388" s="2" t="s">
        <v>827</v>
      </c>
      <c r="S388" t="s">
        <v>833</v>
      </c>
    </row>
    <row r="389" spans="1:19" x14ac:dyDescent="0.25">
      <c r="A389" s="6" t="s">
        <v>288</v>
      </c>
      <c r="B389" s="6" t="s">
        <v>971</v>
      </c>
      <c r="C389" s="14">
        <v>45971</v>
      </c>
      <c r="D389" s="14">
        <v>46022</v>
      </c>
      <c r="E389" s="6" t="s">
        <v>715</v>
      </c>
      <c r="F389" s="6" t="s">
        <v>14</v>
      </c>
      <c r="G389" s="6">
        <v>36756798</v>
      </c>
      <c r="H389" s="6" t="s">
        <v>289</v>
      </c>
      <c r="I389" s="6">
        <v>98390119</v>
      </c>
      <c r="J389" s="6" t="s">
        <v>14</v>
      </c>
      <c r="K389" s="6" t="s">
        <v>63</v>
      </c>
      <c r="L389" s="1" t="e">
        <v>#N/A</v>
      </c>
      <c r="M389" s="1">
        <v>0</v>
      </c>
      <c r="N389" s="21">
        <v>4000000</v>
      </c>
      <c r="O389" s="7">
        <v>4000000</v>
      </c>
      <c r="P389" s="6" t="s">
        <v>704</v>
      </c>
      <c r="Q389" s="7" t="e">
        <v>#N/A</v>
      </c>
      <c r="R389" s="2" t="s">
        <v>827</v>
      </c>
      <c r="S389" t="s">
        <v>833</v>
      </c>
    </row>
    <row r="390" spans="1:19" x14ac:dyDescent="0.25">
      <c r="A390" s="6" t="s">
        <v>530</v>
      </c>
      <c r="B390" s="6" t="s">
        <v>971</v>
      </c>
      <c r="C390" s="14">
        <v>45972</v>
      </c>
      <c r="D390" s="14">
        <v>46022</v>
      </c>
      <c r="E390" s="6" t="s">
        <v>793</v>
      </c>
      <c r="F390" s="6" t="s">
        <v>14</v>
      </c>
      <c r="G390" s="6">
        <v>1081274238</v>
      </c>
      <c r="H390" s="6" t="s">
        <v>531</v>
      </c>
      <c r="I390" s="6">
        <v>43624414</v>
      </c>
      <c r="J390" s="6" t="s">
        <v>14</v>
      </c>
      <c r="K390" s="6" t="s">
        <v>18</v>
      </c>
      <c r="L390" s="1" t="e">
        <v>#N/A</v>
      </c>
      <c r="M390" s="1">
        <v>0</v>
      </c>
      <c r="N390" s="21">
        <v>4000000</v>
      </c>
      <c r="O390" s="7">
        <v>4000000</v>
      </c>
      <c r="P390" s="6" t="s">
        <v>704</v>
      </c>
      <c r="Q390" s="7" t="e">
        <v>#N/A</v>
      </c>
      <c r="R390" s="2" t="s">
        <v>827</v>
      </c>
      <c r="S390" t="s">
        <v>833</v>
      </c>
    </row>
    <row r="391" spans="1:19" x14ac:dyDescent="0.25">
      <c r="A391" s="6" t="s">
        <v>644</v>
      </c>
      <c r="B391" s="6" t="s">
        <v>971</v>
      </c>
      <c r="C391" s="14">
        <v>45975</v>
      </c>
      <c r="D391" s="14">
        <v>46022</v>
      </c>
      <c r="E391" s="6" t="s">
        <v>775</v>
      </c>
      <c r="F391" s="6" t="s">
        <v>14</v>
      </c>
      <c r="G391" s="6">
        <v>1085321460</v>
      </c>
      <c r="H391" s="6" t="s">
        <v>645</v>
      </c>
      <c r="I391" s="6">
        <v>43624414</v>
      </c>
      <c r="J391" s="6" t="s">
        <v>14</v>
      </c>
      <c r="K391" s="6" t="s">
        <v>18</v>
      </c>
      <c r="L391" s="1" t="e">
        <v>#N/A</v>
      </c>
      <c r="M391" s="1">
        <v>0</v>
      </c>
      <c r="N391" s="21">
        <v>4725000</v>
      </c>
      <c r="O391" s="7">
        <v>4725000</v>
      </c>
      <c r="P391" s="6" t="s">
        <v>704</v>
      </c>
      <c r="Q391" s="7" t="e">
        <v>#N/A</v>
      </c>
      <c r="R391" s="2" t="s">
        <v>827</v>
      </c>
      <c r="S391" t="s">
        <v>833</v>
      </c>
    </row>
    <row r="392" spans="1:19" x14ac:dyDescent="0.25">
      <c r="A392" s="4" t="s">
        <v>688</v>
      </c>
      <c r="B392" s="4" t="s">
        <v>1370</v>
      </c>
      <c r="C392" s="15">
        <v>45982</v>
      </c>
      <c r="D392" s="15">
        <v>46022</v>
      </c>
      <c r="E392" s="4" t="s">
        <v>813</v>
      </c>
      <c r="F392" s="4" t="s">
        <v>14</v>
      </c>
      <c r="G392" s="4">
        <v>1086755989</v>
      </c>
      <c r="H392" s="4" t="s">
        <v>689</v>
      </c>
      <c r="I392" s="4">
        <v>43624414</v>
      </c>
      <c r="J392" s="4" t="s">
        <v>14</v>
      </c>
      <c r="K392" s="4" t="s">
        <v>18</v>
      </c>
      <c r="L392" s="1">
        <v>9450000</v>
      </c>
      <c r="M392" s="1">
        <v>9450000</v>
      </c>
      <c r="N392" s="22">
        <v>9450000</v>
      </c>
      <c r="O392" s="5">
        <v>9450000</v>
      </c>
      <c r="P392" s="4" t="s">
        <v>704</v>
      </c>
      <c r="Q392" s="5">
        <v>-5250000</v>
      </c>
      <c r="R392" s="2" t="s">
        <v>827</v>
      </c>
      <c r="S392" t="s">
        <v>832</v>
      </c>
    </row>
    <row r="393" spans="1:19" x14ac:dyDescent="0.25">
      <c r="A393" s="6" t="s">
        <v>247</v>
      </c>
      <c r="B393" s="6" t="s">
        <v>971</v>
      </c>
      <c r="C393" s="14">
        <v>45908</v>
      </c>
      <c r="D393" s="14">
        <v>46022</v>
      </c>
      <c r="E393" s="6" t="s">
        <v>706</v>
      </c>
      <c r="F393" s="6" t="s">
        <v>14</v>
      </c>
      <c r="G393" s="6">
        <v>1085745772</v>
      </c>
      <c r="H393" s="6" t="s">
        <v>248</v>
      </c>
      <c r="I393" s="6">
        <v>59836926</v>
      </c>
      <c r="J393" s="6" t="s">
        <v>14</v>
      </c>
      <c r="K393" s="6" t="s">
        <v>17</v>
      </c>
      <c r="L393" s="1" t="e">
        <v>#N/A</v>
      </c>
      <c r="M393" s="1">
        <v>0</v>
      </c>
      <c r="N393" s="21">
        <v>18920000</v>
      </c>
      <c r="O393" s="7">
        <v>18920000</v>
      </c>
      <c r="P393" s="6" t="s">
        <v>704</v>
      </c>
      <c r="Q393" s="7" t="e">
        <v>#N/A</v>
      </c>
      <c r="R393" s="2" t="s">
        <v>827</v>
      </c>
      <c r="S393" t="s">
        <v>833</v>
      </c>
    </row>
    <row r="394" spans="1:19" x14ac:dyDescent="0.25">
      <c r="A394" s="6" t="s">
        <v>549</v>
      </c>
      <c r="B394" s="6" t="s">
        <v>1370</v>
      </c>
      <c r="C394" s="14">
        <v>45908</v>
      </c>
      <c r="D394" s="14">
        <v>46022</v>
      </c>
      <c r="E394" s="6" t="s">
        <v>710</v>
      </c>
      <c r="F394" s="6" t="s">
        <v>14</v>
      </c>
      <c r="G394" s="6">
        <v>1086224562</v>
      </c>
      <c r="H394" s="6" t="s">
        <v>550</v>
      </c>
      <c r="I394" s="6">
        <v>98333941</v>
      </c>
      <c r="J394" s="6" t="s">
        <v>14</v>
      </c>
      <c r="K394" s="6" t="s">
        <v>15</v>
      </c>
      <c r="L394" s="1">
        <v>7800000</v>
      </c>
      <c r="M394" s="1">
        <v>7800000</v>
      </c>
      <c r="N394" s="22">
        <v>7800000</v>
      </c>
      <c r="O394" s="7">
        <v>7800000</v>
      </c>
      <c r="P394" s="6" t="s">
        <v>704</v>
      </c>
      <c r="Q394" s="7" t="e">
        <v>#VALUE!</v>
      </c>
      <c r="R394" s="2" t="s">
        <v>827</v>
      </c>
      <c r="S394" t="s">
        <v>832</v>
      </c>
    </row>
    <row r="395" spans="1:19" x14ac:dyDescent="0.25">
      <c r="A395" s="6" t="s">
        <v>617</v>
      </c>
      <c r="B395" s="6" t="s">
        <v>971</v>
      </c>
      <c r="C395" s="14">
        <v>45923</v>
      </c>
      <c r="D395" s="14">
        <v>46022</v>
      </c>
      <c r="E395" s="6" t="s">
        <v>716</v>
      </c>
      <c r="F395" s="6" t="s">
        <v>14</v>
      </c>
      <c r="G395" s="6">
        <v>1004190710</v>
      </c>
      <c r="H395" s="6" t="s">
        <v>618</v>
      </c>
      <c r="I395" s="6">
        <v>98333941</v>
      </c>
      <c r="J395" s="6" t="s">
        <v>14</v>
      </c>
      <c r="K395" s="6" t="s">
        <v>15</v>
      </c>
      <c r="L395" s="1" t="e">
        <v>#N/A</v>
      </c>
      <c r="M395" s="1">
        <v>0</v>
      </c>
      <c r="N395" s="21">
        <v>11025000</v>
      </c>
      <c r="O395" s="7">
        <v>11025000</v>
      </c>
      <c r="P395" s="6" t="s">
        <v>704</v>
      </c>
      <c r="Q395" s="7" t="e">
        <v>#N/A</v>
      </c>
      <c r="R395" s="2" t="s">
        <v>827</v>
      </c>
      <c r="S395" t="s">
        <v>833</v>
      </c>
    </row>
    <row r="396" spans="1:19" x14ac:dyDescent="0.25">
      <c r="A396" s="6" t="s">
        <v>127</v>
      </c>
      <c r="B396" s="6" t="s">
        <v>971</v>
      </c>
      <c r="C396" s="14">
        <v>45929</v>
      </c>
      <c r="D396" s="14">
        <v>46022</v>
      </c>
      <c r="E396" s="6" t="s">
        <v>720</v>
      </c>
      <c r="F396" s="6" t="s">
        <v>14</v>
      </c>
      <c r="G396" s="6">
        <v>1004666616</v>
      </c>
      <c r="H396" s="6" t="s">
        <v>128</v>
      </c>
      <c r="I396" s="6">
        <v>98390119</v>
      </c>
      <c r="J396" s="6" t="s">
        <v>14</v>
      </c>
      <c r="K396" s="6" t="s">
        <v>63</v>
      </c>
      <c r="L396" s="1" t="e">
        <v>#N/A</v>
      </c>
      <c r="M396" s="1">
        <v>0</v>
      </c>
      <c r="N396" s="21">
        <v>9450000</v>
      </c>
      <c r="O396" s="7">
        <v>9450000</v>
      </c>
      <c r="P396" s="6" t="s">
        <v>704</v>
      </c>
      <c r="Q396" s="7" t="e">
        <v>#N/A</v>
      </c>
      <c r="R396" s="2" t="s">
        <v>827</v>
      </c>
      <c r="S396" t="s">
        <v>833</v>
      </c>
    </row>
    <row r="397" spans="1:19" x14ac:dyDescent="0.25">
      <c r="A397" s="6" t="s">
        <v>580</v>
      </c>
      <c r="B397" s="6" t="s">
        <v>971</v>
      </c>
      <c r="C397" s="14">
        <v>45930</v>
      </c>
      <c r="D397" s="14">
        <v>46022</v>
      </c>
      <c r="E397" s="6" t="s">
        <v>720</v>
      </c>
      <c r="F397" s="6" t="s">
        <v>14</v>
      </c>
      <c r="G397" s="6">
        <v>1085310606</v>
      </c>
      <c r="H397" s="6" t="s">
        <v>581</v>
      </c>
      <c r="I397" s="6">
        <v>98390119</v>
      </c>
      <c r="J397" s="6" t="s">
        <v>14</v>
      </c>
      <c r="K397" s="6" t="s">
        <v>63</v>
      </c>
      <c r="L397" s="1" t="e">
        <v>#N/A</v>
      </c>
      <c r="M397" s="1">
        <v>0</v>
      </c>
      <c r="N397" s="21">
        <v>9450000</v>
      </c>
      <c r="O397" s="7">
        <v>9450000</v>
      </c>
      <c r="P397" s="6" t="s">
        <v>704</v>
      </c>
      <c r="Q397" s="7" t="e">
        <v>#N/A</v>
      </c>
      <c r="R397" s="2" t="s">
        <v>827</v>
      </c>
      <c r="S397" t="s">
        <v>833</v>
      </c>
    </row>
    <row r="398" spans="1:19" x14ac:dyDescent="0.25">
      <c r="A398" s="6" t="s">
        <v>115</v>
      </c>
      <c r="B398" s="6" t="s">
        <v>971</v>
      </c>
      <c r="C398" s="14">
        <v>45931</v>
      </c>
      <c r="D398" s="14">
        <v>46022</v>
      </c>
      <c r="E398" s="6" t="s">
        <v>720</v>
      </c>
      <c r="F398" s="6" t="s">
        <v>14</v>
      </c>
      <c r="G398" s="6">
        <v>1004217101</v>
      </c>
      <c r="H398" s="6" t="s">
        <v>116</v>
      </c>
      <c r="I398" s="6">
        <v>98390119</v>
      </c>
      <c r="J398" s="6" t="s">
        <v>14</v>
      </c>
      <c r="K398" s="6" t="s">
        <v>63</v>
      </c>
      <c r="L398" s="1" t="e">
        <v>#N/A</v>
      </c>
      <c r="M398" s="1">
        <v>0</v>
      </c>
      <c r="N398" s="21">
        <v>9450000</v>
      </c>
      <c r="O398" s="7">
        <v>9450000</v>
      </c>
      <c r="P398" s="6" t="s">
        <v>704</v>
      </c>
      <c r="Q398" s="7" t="e">
        <v>#N/A</v>
      </c>
      <c r="R398" s="2" t="s">
        <v>827</v>
      </c>
      <c r="S398" t="s">
        <v>833</v>
      </c>
    </row>
    <row r="399" spans="1:19" x14ac:dyDescent="0.25">
      <c r="A399" s="38" t="s">
        <v>982</v>
      </c>
      <c r="B399" s="38" t="s">
        <v>13</v>
      </c>
      <c r="C399" s="39">
        <v>46024</v>
      </c>
      <c r="D399" s="39">
        <v>46112</v>
      </c>
      <c r="E399" s="37" t="s">
        <v>1381</v>
      </c>
      <c r="F399" s="38" t="s">
        <v>83</v>
      </c>
      <c r="G399" s="37">
        <v>900752343</v>
      </c>
      <c r="H399" s="37" t="s">
        <v>107</v>
      </c>
      <c r="I399" s="38">
        <v>17658216</v>
      </c>
      <c r="J399" s="38" t="s">
        <v>14</v>
      </c>
      <c r="K399" s="38" t="s">
        <v>108</v>
      </c>
      <c r="L399" s="37"/>
      <c r="N399" s="40">
        <v>280000000</v>
      </c>
      <c r="O399" s="41">
        <v>280000000</v>
      </c>
      <c r="P399" t="s">
        <v>704</v>
      </c>
      <c r="S399" s="11" t="s">
        <v>1036</v>
      </c>
    </row>
    <row r="400" spans="1:19" x14ac:dyDescent="0.25">
      <c r="A400" s="38" t="s">
        <v>983</v>
      </c>
      <c r="B400" s="38" t="s">
        <v>13</v>
      </c>
      <c r="C400" s="39">
        <v>46024</v>
      </c>
      <c r="D400" s="39">
        <v>46112</v>
      </c>
      <c r="E400" s="37" t="s">
        <v>1382</v>
      </c>
      <c r="F400" s="38" t="s">
        <v>83</v>
      </c>
      <c r="G400" s="37">
        <v>900752343</v>
      </c>
      <c r="H400" s="37" t="s">
        <v>107</v>
      </c>
      <c r="I400" s="38">
        <v>17658217</v>
      </c>
      <c r="J400" s="38" t="s">
        <v>14</v>
      </c>
      <c r="K400" s="38" t="s">
        <v>108</v>
      </c>
      <c r="L400" s="37"/>
      <c r="N400" s="40">
        <v>270000000</v>
      </c>
      <c r="O400" s="41">
        <v>270000000</v>
      </c>
      <c r="P400" t="s">
        <v>704</v>
      </c>
      <c r="S400" s="11" t="s">
        <v>1036</v>
      </c>
    </row>
    <row r="401" spans="1:19" x14ac:dyDescent="0.25">
      <c r="A401" s="38" t="s">
        <v>1383</v>
      </c>
      <c r="B401" s="38" t="s">
        <v>13</v>
      </c>
      <c r="C401" s="39">
        <v>46024</v>
      </c>
      <c r="D401" s="39">
        <v>46112</v>
      </c>
      <c r="E401" s="37" t="s">
        <v>1384</v>
      </c>
      <c r="F401" s="38" t="s">
        <v>83</v>
      </c>
      <c r="G401" s="37">
        <v>900994364</v>
      </c>
      <c r="H401" s="37" t="s">
        <v>1385</v>
      </c>
      <c r="I401" s="37">
        <v>13016581</v>
      </c>
      <c r="J401" s="38" t="s">
        <v>14</v>
      </c>
      <c r="K401" s="37" t="s">
        <v>1386</v>
      </c>
      <c r="L401" s="37"/>
      <c r="N401" s="40">
        <v>297142800</v>
      </c>
      <c r="O401" s="41">
        <v>297142800</v>
      </c>
      <c r="P401" t="s">
        <v>704</v>
      </c>
      <c r="S401" s="11" t="s">
        <v>1036</v>
      </c>
    </row>
    <row r="402" spans="1:19" x14ac:dyDescent="0.25">
      <c r="A402" s="37" t="s">
        <v>1373</v>
      </c>
      <c r="B402" s="38" t="s">
        <v>13</v>
      </c>
      <c r="C402" s="39">
        <v>46000</v>
      </c>
      <c r="D402" s="39">
        <v>46022</v>
      </c>
      <c r="E402" s="37" t="s">
        <v>1387</v>
      </c>
      <c r="F402" s="38" t="s">
        <v>14</v>
      </c>
      <c r="G402" s="37">
        <v>66958357</v>
      </c>
      <c r="H402" s="37" t="s">
        <v>935</v>
      </c>
      <c r="I402" s="37">
        <v>98390119</v>
      </c>
      <c r="J402" s="38" t="s">
        <v>14</v>
      </c>
      <c r="K402" s="37" t="s">
        <v>63</v>
      </c>
      <c r="L402" s="37"/>
      <c r="N402" s="40">
        <v>2000000</v>
      </c>
      <c r="O402" s="41">
        <v>2000000</v>
      </c>
      <c r="P402" t="s">
        <v>704</v>
      </c>
      <c r="S402" s="11" t="s">
        <v>1036</v>
      </c>
    </row>
    <row r="403" spans="1:19" x14ac:dyDescent="0.25">
      <c r="A403" s="37" t="s">
        <v>1374</v>
      </c>
      <c r="B403" s="38" t="s">
        <v>13</v>
      </c>
      <c r="C403" s="39">
        <v>46008</v>
      </c>
      <c r="D403" s="39">
        <v>46022</v>
      </c>
      <c r="E403" s="37" t="s">
        <v>1388</v>
      </c>
      <c r="F403" s="38" t="s">
        <v>14</v>
      </c>
      <c r="G403" s="37">
        <v>1086132023</v>
      </c>
      <c r="H403" s="37" t="s">
        <v>1379</v>
      </c>
      <c r="I403" s="37">
        <v>59836926</v>
      </c>
      <c r="J403" s="38" t="s">
        <v>14</v>
      </c>
      <c r="K403" s="37" t="s">
        <v>17</v>
      </c>
      <c r="L403" s="37"/>
      <c r="N403" s="40">
        <v>6300000</v>
      </c>
      <c r="O403" s="41">
        <v>6300000</v>
      </c>
      <c r="P403" t="s">
        <v>704</v>
      </c>
      <c r="S403" s="11" t="s">
        <v>1036</v>
      </c>
    </row>
    <row r="404" spans="1:19" x14ac:dyDescent="0.25">
      <c r="A404" s="37" t="s">
        <v>1389</v>
      </c>
      <c r="B404" s="38" t="s">
        <v>13</v>
      </c>
      <c r="C404" s="39">
        <v>46008</v>
      </c>
      <c r="D404" s="39">
        <v>46022</v>
      </c>
      <c r="E404" s="37" t="s">
        <v>1390</v>
      </c>
      <c r="F404" s="38" t="s">
        <v>14</v>
      </c>
      <c r="G404" s="37">
        <v>12753216</v>
      </c>
      <c r="H404" s="37" t="s">
        <v>1391</v>
      </c>
      <c r="I404" s="37">
        <v>98333941</v>
      </c>
      <c r="J404" s="38" t="s">
        <v>14</v>
      </c>
      <c r="K404" s="37" t="s">
        <v>15</v>
      </c>
      <c r="L404" s="37"/>
      <c r="N404" s="40">
        <v>17680000</v>
      </c>
      <c r="O404" s="41">
        <v>17680000</v>
      </c>
      <c r="P404" t="s">
        <v>704</v>
      </c>
      <c r="S404" s="11" t="s">
        <v>1036</v>
      </c>
    </row>
    <row r="405" spans="1:19" x14ac:dyDescent="0.25">
      <c r="A405" s="37" t="s">
        <v>1392</v>
      </c>
      <c r="B405" s="38" t="s">
        <v>13</v>
      </c>
      <c r="C405" s="39">
        <v>46009</v>
      </c>
      <c r="D405" s="39">
        <v>46022</v>
      </c>
      <c r="E405" s="37" t="s">
        <v>1393</v>
      </c>
      <c r="F405" s="38" t="s">
        <v>83</v>
      </c>
      <c r="G405" s="37">
        <v>900724450</v>
      </c>
      <c r="H405" s="37" t="s">
        <v>1394</v>
      </c>
      <c r="I405" s="38">
        <v>17658216</v>
      </c>
      <c r="J405" s="38" t="s">
        <v>14</v>
      </c>
      <c r="K405" s="38" t="s">
        <v>108</v>
      </c>
      <c r="L405" s="37"/>
      <c r="N405" s="40">
        <v>10457200</v>
      </c>
      <c r="O405" s="41">
        <v>10457200</v>
      </c>
      <c r="P405" t="s">
        <v>704</v>
      </c>
      <c r="S405" s="11" t="s">
        <v>1036</v>
      </c>
    </row>
    <row r="406" spans="1:19" x14ac:dyDescent="0.25">
      <c r="A406" s="38" t="s">
        <v>1395</v>
      </c>
      <c r="B406" s="38" t="s">
        <v>13</v>
      </c>
      <c r="C406" s="39">
        <v>45817</v>
      </c>
      <c r="D406" s="39">
        <v>45869</v>
      </c>
      <c r="E406" s="37" t="s">
        <v>1396</v>
      </c>
      <c r="F406" s="38" t="s">
        <v>14</v>
      </c>
      <c r="G406" s="37">
        <v>36751052</v>
      </c>
      <c r="H406" s="37" t="s">
        <v>1397</v>
      </c>
      <c r="I406" s="37">
        <v>98333941</v>
      </c>
      <c r="J406" s="38" t="s">
        <v>14</v>
      </c>
      <c r="K406" s="37" t="s">
        <v>63</v>
      </c>
      <c r="L406" s="37"/>
      <c r="N406" s="40">
        <v>9650000</v>
      </c>
      <c r="O406" s="41">
        <v>9650000</v>
      </c>
      <c r="P406" t="s">
        <v>704</v>
      </c>
      <c r="S406" s="11" t="s">
        <v>1036</v>
      </c>
    </row>
    <row r="407" spans="1:19" x14ac:dyDescent="0.25">
      <c r="A407" s="38" t="s">
        <v>1398</v>
      </c>
      <c r="B407" s="38" t="s">
        <v>13</v>
      </c>
      <c r="C407" s="39">
        <v>45590</v>
      </c>
      <c r="D407" s="39">
        <v>45595</v>
      </c>
      <c r="E407" s="37" t="s">
        <v>1399</v>
      </c>
      <c r="F407" s="38" t="s">
        <v>83</v>
      </c>
      <c r="G407" s="37">
        <v>900414376</v>
      </c>
      <c r="H407" s="37" t="s">
        <v>1400</v>
      </c>
      <c r="I407" s="37">
        <v>1004189613</v>
      </c>
      <c r="J407" s="38" t="s">
        <v>14</v>
      </c>
      <c r="K407" s="37" t="s">
        <v>1401</v>
      </c>
      <c r="L407" s="37"/>
      <c r="N407" s="40">
        <v>9891756</v>
      </c>
      <c r="O407" s="41">
        <v>9891756</v>
      </c>
      <c r="P407" t="s">
        <v>704</v>
      </c>
      <c r="S407" s="11" t="s">
        <v>1036</v>
      </c>
    </row>
    <row r="408" spans="1:19" x14ac:dyDescent="0.25">
      <c r="N408" s="20"/>
      <c r="O408" s="10"/>
      <c r="S408" s="11"/>
    </row>
    <row r="409" spans="1:19" x14ac:dyDescent="0.25">
      <c r="N409" s="20"/>
      <c r="O409" s="10"/>
      <c r="S409" s="11"/>
    </row>
    <row r="410" spans="1:19" x14ac:dyDescent="0.25">
      <c r="N410" s="20"/>
      <c r="O410" s="10"/>
      <c r="S410" s="11"/>
    </row>
    <row r="411" spans="1:19" x14ac:dyDescent="0.25">
      <c r="N411" s="20"/>
      <c r="O411" s="10"/>
      <c r="S411" s="11"/>
    </row>
    <row r="412" spans="1:19" x14ac:dyDescent="0.25">
      <c r="N412" s="20"/>
      <c r="O412" s="10"/>
      <c r="S412" s="11"/>
    </row>
    <row r="413" spans="1:19" x14ac:dyDescent="0.25">
      <c r="N413" s="20"/>
      <c r="O413" s="10"/>
      <c r="S413" s="11"/>
    </row>
    <row r="414" spans="1:19" x14ac:dyDescent="0.25">
      <c r="N414" s="20"/>
      <c r="O414" s="10"/>
      <c r="S414" s="11"/>
    </row>
    <row r="415" spans="1:19" x14ac:dyDescent="0.25">
      <c r="N415" s="20"/>
      <c r="O415" s="10"/>
      <c r="S415" s="11"/>
    </row>
    <row r="416" spans="1:19" x14ac:dyDescent="0.25">
      <c r="N416" s="20"/>
      <c r="O416" s="10"/>
      <c r="S416" s="11"/>
    </row>
    <row r="417" spans="14:19" x14ac:dyDescent="0.25">
      <c r="N417" s="20"/>
      <c r="O417" s="10"/>
      <c r="S417" s="11"/>
    </row>
    <row r="418" spans="14:19" x14ac:dyDescent="0.25">
      <c r="N418" s="20"/>
      <c r="O418" s="10"/>
      <c r="S418" s="11"/>
    </row>
    <row r="419" spans="14:19" x14ac:dyDescent="0.25">
      <c r="N419" s="20"/>
      <c r="O419" s="10"/>
      <c r="S419" s="11"/>
    </row>
    <row r="420" spans="14:19" x14ac:dyDescent="0.25">
      <c r="N420" s="20"/>
      <c r="O420" s="10"/>
      <c r="S420" s="11"/>
    </row>
    <row r="421" spans="14:19" x14ac:dyDescent="0.25">
      <c r="N421" s="20"/>
      <c r="O421" s="10"/>
      <c r="S421" s="11"/>
    </row>
    <row r="422" spans="14:19" x14ac:dyDescent="0.25">
      <c r="N422" s="20"/>
      <c r="O422" s="10"/>
      <c r="S422" s="11"/>
    </row>
    <row r="423" spans="14:19" x14ac:dyDescent="0.25">
      <c r="N423" s="20"/>
      <c r="O423" s="10"/>
      <c r="S423" s="11"/>
    </row>
    <row r="424" spans="14:19" x14ac:dyDescent="0.25">
      <c r="N424" s="20"/>
      <c r="O424" s="10"/>
      <c r="S424" s="11"/>
    </row>
    <row r="425" spans="14:19" x14ac:dyDescent="0.25">
      <c r="N425" s="20"/>
      <c r="O425" s="10"/>
      <c r="S425" s="11"/>
    </row>
    <row r="426" spans="14:19" x14ac:dyDescent="0.25">
      <c r="N426" s="20"/>
      <c r="O426" s="10"/>
      <c r="S426" s="11"/>
    </row>
    <row r="427" spans="14:19" x14ac:dyDescent="0.25">
      <c r="N427" s="20"/>
      <c r="O427" s="10"/>
      <c r="S427" s="11"/>
    </row>
    <row r="428" spans="14:19" x14ac:dyDescent="0.25">
      <c r="N428" s="20"/>
      <c r="O428" s="10"/>
      <c r="S428" s="11"/>
    </row>
    <row r="429" spans="14:19" x14ac:dyDescent="0.25">
      <c r="N429" s="20"/>
      <c r="O429" s="10"/>
      <c r="S429" s="11"/>
    </row>
    <row r="430" spans="14:19" x14ac:dyDescent="0.25">
      <c r="N430" s="20"/>
      <c r="O430" s="10"/>
      <c r="S430" s="11"/>
    </row>
    <row r="431" spans="14:19" x14ac:dyDescent="0.25">
      <c r="N431" s="20"/>
      <c r="O431" s="10"/>
      <c r="S431" s="11"/>
    </row>
    <row r="432" spans="14:19" x14ac:dyDescent="0.25">
      <c r="N432" s="20"/>
      <c r="O432" s="10"/>
      <c r="S432" s="11"/>
    </row>
    <row r="433" spans="14:19" x14ac:dyDescent="0.25">
      <c r="N433" s="20"/>
      <c r="O433" s="10"/>
      <c r="S433" s="11"/>
    </row>
    <row r="434" spans="14:19" x14ac:dyDescent="0.25">
      <c r="N434" s="20"/>
      <c r="O434" s="10"/>
      <c r="S434" s="11"/>
    </row>
    <row r="435" spans="14:19" x14ac:dyDescent="0.25">
      <c r="N435" s="20"/>
      <c r="O435" s="10"/>
      <c r="S435" s="11"/>
    </row>
    <row r="436" spans="14:19" x14ac:dyDescent="0.25">
      <c r="N436" s="20"/>
      <c r="O436" s="10"/>
      <c r="S436" s="11"/>
    </row>
    <row r="437" spans="14:19" x14ac:dyDescent="0.25">
      <c r="N437" s="20"/>
      <c r="O437" s="10"/>
      <c r="S437" s="11"/>
    </row>
    <row r="438" spans="14:19" x14ac:dyDescent="0.25">
      <c r="N438" s="20"/>
      <c r="O438" s="10"/>
      <c r="S438" s="11"/>
    </row>
    <row r="439" spans="14:19" x14ac:dyDescent="0.25">
      <c r="N439" s="20"/>
      <c r="O439" s="10"/>
      <c r="S439" s="11"/>
    </row>
    <row r="440" spans="14:19" x14ac:dyDescent="0.25">
      <c r="N440" s="20"/>
      <c r="O440" s="10"/>
      <c r="S440" s="11"/>
    </row>
    <row r="441" spans="14:19" x14ac:dyDescent="0.25">
      <c r="N441" s="20"/>
      <c r="O441" s="10"/>
      <c r="S441" s="11"/>
    </row>
    <row r="442" spans="14:19" x14ac:dyDescent="0.25">
      <c r="N442" s="20"/>
      <c r="O442" s="10"/>
      <c r="S442" s="11"/>
    </row>
    <row r="443" spans="14:19" x14ac:dyDescent="0.25">
      <c r="N443" s="20"/>
      <c r="O443" s="10"/>
      <c r="S443" s="11"/>
    </row>
    <row r="444" spans="14:19" x14ac:dyDescent="0.25">
      <c r="N444" s="20"/>
      <c r="O444" s="10"/>
      <c r="S444" s="11"/>
    </row>
    <row r="445" spans="14:19" x14ac:dyDescent="0.25">
      <c r="N445" s="20"/>
      <c r="O445" s="10"/>
      <c r="S445" s="11"/>
    </row>
    <row r="446" spans="14:19" x14ac:dyDescent="0.25">
      <c r="N446" s="20"/>
      <c r="O446" s="10"/>
      <c r="S446" s="11"/>
    </row>
    <row r="447" spans="14:19" x14ac:dyDescent="0.25">
      <c r="N447" s="20"/>
      <c r="O447" s="10"/>
      <c r="S447" s="11"/>
    </row>
    <row r="448" spans="14:19" x14ac:dyDescent="0.25">
      <c r="N448" s="20"/>
      <c r="O448" s="10"/>
      <c r="S448" s="11"/>
    </row>
    <row r="449" spans="14:19" x14ac:dyDescent="0.25">
      <c r="N449" s="20"/>
      <c r="O449" s="10"/>
      <c r="S449" s="11"/>
    </row>
    <row r="450" spans="14:19" x14ac:dyDescent="0.25">
      <c r="N450" s="20"/>
      <c r="O450" s="10"/>
      <c r="S450" s="11"/>
    </row>
    <row r="451" spans="14:19" x14ac:dyDescent="0.25">
      <c r="N451" s="20"/>
      <c r="O451" s="10"/>
      <c r="S451" s="11"/>
    </row>
    <row r="452" spans="14:19" x14ac:dyDescent="0.25">
      <c r="N452" s="20"/>
      <c r="O452" s="10"/>
      <c r="S452" s="11"/>
    </row>
    <row r="453" spans="14:19" x14ac:dyDescent="0.25">
      <c r="N453" s="20"/>
      <c r="O453" s="10"/>
      <c r="S453" s="11"/>
    </row>
    <row r="454" spans="14:19" x14ac:dyDescent="0.25">
      <c r="N454" s="20"/>
      <c r="O454" s="10"/>
      <c r="S454" s="11"/>
    </row>
    <row r="455" spans="14:19" x14ac:dyDescent="0.25">
      <c r="N455" s="20"/>
      <c r="O455" s="10"/>
      <c r="S455" s="11"/>
    </row>
    <row r="456" spans="14:19" x14ac:dyDescent="0.25">
      <c r="N456" s="20"/>
      <c r="O456" s="10"/>
      <c r="S456" s="11"/>
    </row>
    <row r="457" spans="14:19" x14ac:dyDescent="0.25">
      <c r="N457" s="20"/>
      <c r="O457" s="10"/>
      <c r="S457" s="11"/>
    </row>
    <row r="458" spans="14:19" x14ac:dyDescent="0.25">
      <c r="N458" s="20"/>
      <c r="O458" s="10"/>
      <c r="S458" s="11"/>
    </row>
    <row r="459" spans="14:19" x14ac:dyDescent="0.25">
      <c r="N459" s="20"/>
      <c r="O459" s="10"/>
      <c r="S459" s="11"/>
    </row>
    <row r="460" spans="14:19" x14ac:dyDescent="0.25">
      <c r="N460" s="20"/>
      <c r="O460" s="10"/>
      <c r="S460" s="11"/>
    </row>
    <row r="461" spans="14:19" x14ac:dyDescent="0.25">
      <c r="N461" s="20"/>
      <c r="O461" s="10"/>
      <c r="S461" s="11"/>
    </row>
    <row r="462" spans="14:19" x14ac:dyDescent="0.25">
      <c r="N462" s="20"/>
      <c r="O462" s="10"/>
      <c r="S462" s="11"/>
    </row>
    <row r="463" spans="14:19" x14ac:dyDescent="0.25">
      <c r="N463" s="20"/>
      <c r="O463" s="10"/>
      <c r="S463" s="11"/>
    </row>
    <row r="464" spans="14:19" x14ac:dyDescent="0.25">
      <c r="N464" s="20"/>
      <c r="O464" s="10"/>
      <c r="S464" s="11"/>
    </row>
    <row r="465" spans="14:19" x14ac:dyDescent="0.25">
      <c r="N465" s="20"/>
      <c r="O465" s="10"/>
      <c r="S465" s="11"/>
    </row>
    <row r="466" spans="14:19" x14ac:dyDescent="0.25">
      <c r="N466" s="20"/>
      <c r="O466" s="10"/>
      <c r="S466" s="11"/>
    </row>
    <row r="467" spans="14:19" x14ac:dyDescent="0.25">
      <c r="N467" s="20"/>
      <c r="O467" s="10"/>
      <c r="S467" s="11"/>
    </row>
    <row r="468" spans="14:19" x14ac:dyDescent="0.25">
      <c r="N468" s="20"/>
      <c r="O468" s="10"/>
      <c r="S468" s="11"/>
    </row>
    <row r="469" spans="14:19" x14ac:dyDescent="0.25">
      <c r="N469" s="20"/>
      <c r="O469" s="10"/>
      <c r="S469" s="11"/>
    </row>
    <row r="470" spans="14:19" x14ac:dyDescent="0.25">
      <c r="N470" s="20"/>
      <c r="O470" s="10"/>
      <c r="S470" s="11"/>
    </row>
    <row r="471" spans="14:19" x14ac:dyDescent="0.25">
      <c r="N471" s="20"/>
      <c r="O471" s="10"/>
      <c r="S471" s="11"/>
    </row>
    <row r="472" spans="14:19" x14ac:dyDescent="0.25">
      <c r="N472" s="20"/>
      <c r="O472" s="10"/>
      <c r="S472" s="11"/>
    </row>
    <row r="473" spans="14:19" x14ac:dyDescent="0.25">
      <c r="N473" s="20"/>
      <c r="O473" s="10"/>
      <c r="S473" s="11"/>
    </row>
    <row r="474" spans="14:19" x14ac:dyDescent="0.25">
      <c r="N474" s="20"/>
      <c r="O474" s="10"/>
      <c r="S474" s="11"/>
    </row>
    <row r="475" spans="14:19" x14ac:dyDescent="0.25">
      <c r="N475" s="20"/>
      <c r="O475" s="10"/>
      <c r="S475" s="11"/>
    </row>
    <row r="476" spans="14:19" x14ac:dyDescent="0.25">
      <c r="N476" s="20"/>
      <c r="O476" s="10"/>
      <c r="S476" s="11"/>
    </row>
    <row r="477" spans="14:19" x14ac:dyDescent="0.25">
      <c r="N477" s="20"/>
      <c r="O477" s="10"/>
      <c r="S477" s="11"/>
    </row>
    <row r="478" spans="14:19" x14ac:dyDescent="0.25">
      <c r="N478" s="20"/>
      <c r="O478" s="10"/>
      <c r="S478" s="11"/>
    </row>
    <row r="479" spans="14:19" x14ac:dyDescent="0.25">
      <c r="N479" s="20"/>
      <c r="O479" s="10"/>
      <c r="S479" s="11"/>
    </row>
    <row r="480" spans="14:19" x14ac:dyDescent="0.25">
      <c r="N480" s="20"/>
      <c r="O480" s="10"/>
      <c r="S480" s="11"/>
    </row>
    <row r="481" spans="14:19" x14ac:dyDescent="0.25">
      <c r="N481" s="20"/>
      <c r="O481" s="10"/>
      <c r="S481" s="11"/>
    </row>
    <row r="482" spans="14:19" x14ac:dyDescent="0.25">
      <c r="N482" s="20"/>
      <c r="O482" s="10"/>
      <c r="S482" s="11"/>
    </row>
    <row r="483" spans="14:19" x14ac:dyDescent="0.25">
      <c r="N483" s="20"/>
      <c r="O483" s="10"/>
      <c r="S483" s="11"/>
    </row>
    <row r="484" spans="14:19" x14ac:dyDescent="0.25">
      <c r="N484" s="20"/>
      <c r="O484" s="10"/>
      <c r="S484" s="11"/>
    </row>
    <row r="485" spans="14:19" x14ac:dyDescent="0.25">
      <c r="N485" s="20"/>
      <c r="O485" s="10"/>
      <c r="S485" s="11"/>
    </row>
    <row r="486" spans="14:19" x14ac:dyDescent="0.25">
      <c r="N486" s="20"/>
      <c r="O486" s="10"/>
      <c r="S486" s="11"/>
    </row>
    <row r="487" spans="14:19" x14ac:dyDescent="0.25">
      <c r="N487" s="20"/>
      <c r="O487" s="10"/>
      <c r="S487" s="11"/>
    </row>
    <row r="488" spans="14:19" x14ac:dyDescent="0.25">
      <c r="N488" s="20"/>
      <c r="O488" s="10"/>
      <c r="S488" s="11"/>
    </row>
    <row r="489" spans="14:19" x14ac:dyDescent="0.25">
      <c r="N489" s="20"/>
      <c r="O489" s="10"/>
      <c r="S489" s="11"/>
    </row>
    <row r="490" spans="14:19" x14ac:dyDescent="0.25">
      <c r="N490" s="20"/>
      <c r="O490" s="10"/>
      <c r="S490" s="11"/>
    </row>
    <row r="491" spans="14:19" x14ac:dyDescent="0.25">
      <c r="N491" s="20"/>
      <c r="O491" s="10"/>
      <c r="S491" s="11"/>
    </row>
    <row r="492" spans="14:19" x14ac:dyDescent="0.25">
      <c r="N492" s="20"/>
      <c r="O492" s="10"/>
      <c r="S492" s="11"/>
    </row>
    <row r="493" spans="14:19" x14ac:dyDescent="0.25">
      <c r="N493" s="20"/>
      <c r="O493" s="10"/>
      <c r="S493" s="11"/>
    </row>
    <row r="494" spans="14:19" x14ac:dyDescent="0.25">
      <c r="N494" s="20"/>
      <c r="O494" s="10"/>
      <c r="S494" s="11"/>
    </row>
    <row r="495" spans="14:19" x14ac:dyDescent="0.25">
      <c r="N495" s="20"/>
      <c r="O495" s="10"/>
      <c r="S495" s="11"/>
    </row>
    <row r="496" spans="14:19" x14ac:dyDescent="0.25">
      <c r="N496" s="20"/>
      <c r="O496" s="10"/>
      <c r="S496" s="11"/>
    </row>
    <row r="497" spans="14:19" x14ac:dyDescent="0.25">
      <c r="N497" s="20"/>
      <c r="O497" s="10"/>
      <c r="S497" s="11"/>
    </row>
    <row r="498" spans="14:19" x14ac:dyDescent="0.25">
      <c r="N498" s="20"/>
      <c r="O498" s="10"/>
      <c r="S498" s="11"/>
    </row>
    <row r="499" spans="14:19" x14ac:dyDescent="0.25">
      <c r="N499" s="20"/>
      <c r="O499" s="10"/>
      <c r="S499" s="11"/>
    </row>
    <row r="500" spans="14:19" x14ac:dyDescent="0.25">
      <c r="N500" s="20"/>
      <c r="O500" s="10"/>
      <c r="S500" s="11"/>
    </row>
    <row r="501" spans="14:19" x14ac:dyDescent="0.25">
      <c r="N501" s="20"/>
      <c r="O501" s="10"/>
      <c r="S501" s="11"/>
    </row>
    <row r="502" spans="14:19" x14ac:dyDescent="0.25">
      <c r="N502" s="20"/>
      <c r="O502" s="10"/>
      <c r="S502" s="11"/>
    </row>
    <row r="503" spans="14:19" x14ac:dyDescent="0.25">
      <c r="N503" s="20"/>
      <c r="O503" s="10"/>
      <c r="S503" s="11"/>
    </row>
    <row r="504" spans="14:19" x14ac:dyDescent="0.25">
      <c r="N504" s="20"/>
      <c r="O504" s="10"/>
      <c r="S504" s="11"/>
    </row>
    <row r="505" spans="14:19" x14ac:dyDescent="0.25">
      <c r="N505" s="20"/>
      <c r="O505" s="10"/>
      <c r="S505" s="11"/>
    </row>
    <row r="506" spans="14:19" x14ac:dyDescent="0.25">
      <c r="N506" s="20"/>
      <c r="O506" s="10"/>
      <c r="S506" s="11"/>
    </row>
    <row r="507" spans="14:19" x14ac:dyDescent="0.25">
      <c r="N507" s="20"/>
      <c r="O507" s="10"/>
      <c r="S507" s="11"/>
    </row>
    <row r="508" spans="14:19" x14ac:dyDescent="0.25">
      <c r="N508" s="20"/>
      <c r="O508" s="10"/>
      <c r="S508" s="11"/>
    </row>
    <row r="509" spans="14:19" x14ac:dyDescent="0.25">
      <c r="N509" s="20"/>
      <c r="O509" s="10"/>
      <c r="S509" s="11"/>
    </row>
    <row r="510" spans="14:19" x14ac:dyDescent="0.25">
      <c r="N510" s="20"/>
      <c r="O510" s="10"/>
      <c r="S510" s="11"/>
    </row>
    <row r="511" spans="14:19" x14ac:dyDescent="0.25">
      <c r="N511" s="20"/>
      <c r="O511" s="10"/>
      <c r="S511" s="11"/>
    </row>
    <row r="512" spans="14:19" x14ac:dyDescent="0.25">
      <c r="N512" s="20"/>
      <c r="O512" s="10"/>
      <c r="S512" s="11"/>
    </row>
    <row r="513" spans="14:19" x14ac:dyDescent="0.25">
      <c r="N513" s="20"/>
      <c r="O513" s="10"/>
      <c r="S513" s="11"/>
    </row>
    <row r="514" spans="14:19" x14ac:dyDescent="0.25">
      <c r="N514" s="20"/>
      <c r="O514" s="10"/>
      <c r="S514" s="11"/>
    </row>
    <row r="515" spans="14:19" x14ac:dyDescent="0.25">
      <c r="N515" s="20"/>
      <c r="O515" s="10"/>
      <c r="S515" s="11"/>
    </row>
    <row r="516" spans="14:19" x14ac:dyDescent="0.25">
      <c r="N516" s="20"/>
      <c r="O516" s="10"/>
      <c r="S516" s="11"/>
    </row>
    <row r="517" spans="14:19" x14ac:dyDescent="0.25">
      <c r="N517" s="20"/>
      <c r="O517" s="10"/>
      <c r="S517" s="11"/>
    </row>
    <row r="518" spans="14:19" x14ac:dyDescent="0.25">
      <c r="N518" s="20"/>
      <c r="O518" s="10"/>
      <c r="S518" s="11"/>
    </row>
    <row r="519" spans="14:19" x14ac:dyDescent="0.25">
      <c r="N519" s="20"/>
      <c r="O519" s="10"/>
      <c r="S519" s="11"/>
    </row>
    <row r="520" spans="14:19" x14ac:dyDescent="0.25">
      <c r="N520" s="20"/>
      <c r="O520" s="10"/>
      <c r="S520" s="11"/>
    </row>
    <row r="521" spans="14:19" x14ac:dyDescent="0.25">
      <c r="N521" s="20"/>
      <c r="O521" s="10"/>
      <c r="S521" s="11"/>
    </row>
    <row r="522" spans="14:19" x14ac:dyDescent="0.25">
      <c r="N522" s="20"/>
      <c r="O522" s="10"/>
      <c r="S522" s="11"/>
    </row>
    <row r="523" spans="14:19" x14ac:dyDescent="0.25">
      <c r="N523" s="20"/>
      <c r="O523" s="10"/>
      <c r="S523" s="11"/>
    </row>
    <row r="524" spans="14:19" x14ac:dyDescent="0.25">
      <c r="N524" s="20"/>
      <c r="O524" s="10"/>
      <c r="S524" s="11"/>
    </row>
    <row r="525" spans="14:19" x14ac:dyDescent="0.25">
      <c r="N525" s="20"/>
      <c r="O525" s="10"/>
      <c r="S525" s="11"/>
    </row>
    <row r="526" spans="14:19" x14ac:dyDescent="0.25">
      <c r="N526" s="20"/>
      <c r="O526" s="10"/>
      <c r="S526" s="11"/>
    </row>
    <row r="527" spans="14:19" x14ac:dyDescent="0.25">
      <c r="N527" s="20"/>
      <c r="O527" s="10"/>
      <c r="S527" s="11"/>
    </row>
    <row r="528" spans="14:19" x14ac:dyDescent="0.25">
      <c r="N528" s="20"/>
      <c r="O528" s="10"/>
      <c r="S528" s="11"/>
    </row>
    <row r="529" spans="14:19" x14ac:dyDescent="0.25">
      <c r="N529" s="20"/>
      <c r="O529" s="10"/>
      <c r="S529" s="11"/>
    </row>
    <row r="530" spans="14:19" x14ac:dyDescent="0.25">
      <c r="N530" s="20"/>
      <c r="O530" s="10"/>
      <c r="S530" s="11"/>
    </row>
    <row r="531" spans="14:19" x14ac:dyDescent="0.25">
      <c r="N531" s="20"/>
      <c r="O531" s="10"/>
      <c r="S531" s="11"/>
    </row>
    <row r="532" spans="14:19" x14ac:dyDescent="0.25">
      <c r="N532" s="20"/>
      <c r="O532" s="10"/>
      <c r="S532" s="11"/>
    </row>
    <row r="533" spans="14:19" x14ac:dyDescent="0.25">
      <c r="N533" s="20"/>
      <c r="O533" s="10"/>
      <c r="S533" s="11"/>
    </row>
    <row r="534" spans="14:19" x14ac:dyDescent="0.25">
      <c r="N534" s="20"/>
      <c r="O534" s="10"/>
      <c r="S534" s="11"/>
    </row>
    <row r="535" spans="14:19" x14ac:dyDescent="0.25">
      <c r="N535" s="20"/>
      <c r="O535" s="10"/>
      <c r="S535" s="11"/>
    </row>
    <row r="536" spans="14:19" x14ac:dyDescent="0.25">
      <c r="N536" s="20"/>
      <c r="O536" s="10"/>
      <c r="S536" s="11"/>
    </row>
    <row r="537" spans="14:19" x14ac:dyDescent="0.25">
      <c r="N537" s="20"/>
      <c r="O537" s="10"/>
      <c r="S537" s="11"/>
    </row>
    <row r="538" spans="14:19" x14ac:dyDescent="0.25">
      <c r="N538" s="20"/>
      <c r="O538" s="10"/>
      <c r="S538" s="11"/>
    </row>
    <row r="539" spans="14:19" x14ac:dyDescent="0.25">
      <c r="N539" s="20"/>
      <c r="O539" s="10"/>
      <c r="S539" s="11"/>
    </row>
    <row r="540" spans="14:19" x14ac:dyDescent="0.25">
      <c r="N540" s="20"/>
      <c r="O540" s="10"/>
      <c r="S540" s="11"/>
    </row>
    <row r="541" spans="14:19" x14ac:dyDescent="0.25">
      <c r="N541" s="20"/>
      <c r="O541" s="10"/>
      <c r="S541" s="11"/>
    </row>
    <row r="542" spans="14:19" x14ac:dyDescent="0.25">
      <c r="N542" s="20"/>
      <c r="O542" s="10"/>
      <c r="S542" s="11"/>
    </row>
    <row r="543" spans="14:19" x14ac:dyDescent="0.25">
      <c r="N543" s="20"/>
      <c r="O543" s="10"/>
      <c r="S543" s="11"/>
    </row>
    <row r="544" spans="14:19" x14ac:dyDescent="0.25">
      <c r="N544" s="20"/>
      <c r="O544" s="10"/>
      <c r="S544" s="11"/>
    </row>
    <row r="545" spans="14:19" x14ac:dyDescent="0.25">
      <c r="N545" s="20"/>
      <c r="O545" s="10"/>
      <c r="S545" s="11"/>
    </row>
    <row r="546" spans="14:19" x14ac:dyDescent="0.25">
      <c r="N546" s="20"/>
      <c r="O546" s="10"/>
      <c r="S546" s="11"/>
    </row>
    <row r="547" spans="14:19" x14ac:dyDescent="0.25">
      <c r="N547" s="20"/>
      <c r="O547" s="10"/>
      <c r="S547" s="11"/>
    </row>
    <row r="548" spans="14:19" x14ac:dyDescent="0.25">
      <c r="N548" s="20"/>
      <c r="O548" s="10"/>
      <c r="S548" s="11"/>
    </row>
    <row r="549" spans="14:19" x14ac:dyDescent="0.25">
      <c r="N549" s="20"/>
      <c r="O549" s="10"/>
      <c r="S549" s="11"/>
    </row>
    <row r="550" spans="14:19" x14ac:dyDescent="0.25">
      <c r="N550" s="20"/>
      <c r="O550" s="10"/>
      <c r="S550" s="11"/>
    </row>
    <row r="551" spans="14:19" x14ac:dyDescent="0.25">
      <c r="N551" s="20"/>
      <c r="O551" s="10"/>
      <c r="S551" s="11"/>
    </row>
    <row r="552" spans="14:19" x14ac:dyDescent="0.25">
      <c r="N552" s="20"/>
      <c r="O552" s="10"/>
      <c r="S552" s="11"/>
    </row>
    <row r="553" spans="14:19" x14ac:dyDescent="0.25">
      <c r="N553" s="20"/>
      <c r="O553" s="10"/>
      <c r="S553" s="11"/>
    </row>
    <row r="554" spans="14:19" x14ac:dyDescent="0.25">
      <c r="N554" s="20"/>
      <c r="O554" s="10"/>
      <c r="S554" s="11"/>
    </row>
    <row r="555" spans="14:19" x14ac:dyDescent="0.25">
      <c r="N555" s="20"/>
      <c r="O555" s="10"/>
      <c r="S555" s="11"/>
    </row>
    <row r="556" spans="14:19" x14ac:dyDescent="0.25">
      <c r="N556" s="20"/>
      <c r="O556" s="10"/>
      <c r="S556" s="11"/>
    </row>
    <row r="557" spans="14:19" x14ac:dyDescent="0.25">
      <c r="N557" s="20"/>
      <c r="O557" s="10"/>
      <c r="S557" s="11"/>
    </row>
    <row r="558" spans="14:19" x14ac:dyDescent="0.25">
      <c r="N558" s="20"/>
      <c r="O558" s="10"/>
      <c r="S558" s="11"/>
    </row>
    <row r="559" spans="14:19" x14ac:dyDescent="0.25">
      <c r="N559" s="20"/>
      <c r="O559" s="10"/>
      <c r="S559" s="11"/>
    </row>
    <row r="560" spans="14:19" x14ac:dyDescent="0.25">
      <c r="N560" s="20"/>
      <c r="O560" s="10"/>
      <c r="S560" s="11"/>
    </row>
    <row r="561" spans="14:19" x14ac:dyDescent="0.25">
      <c r="N561" s="20"/>
      <c r="O561" s="10"/>
      <c r="S561" s="11"/>
    </row>
    <row r="562" spans="14:19" x14ac:dyDescent="0.25">
      <c r="N562" s="20"/>
      <c r="O562" s="10"/>
      <c r="S562" s="11"/>
    </row>
    <row r="563" spans="14:19" x14ac:dyDescent="0.25">
      <c r="N563" s="20"/>
      <c r="O563" s="10"/>
      <c r="S563" s="11"/>
    </row>
    <row r="564" spans="14:19" x14ac:dyDescent="0.25">
      <c r="N564" s="20"/>
      <c r="O564" s="10"/>
      <c r="S564" s="11"/>
    </row>
    <row r="565" spans="14:19" x14ac:dyDescent="0.25">
      <c r="N565" s="20"/>
      <c r="O565" s="10"/>
      <c r="S565" s="11"/>
    </row>
    <row r="566" spans="14:19" x14ac:dyDescent="0.25">
      <c r="N566" s="20"/>
      <c r="O566" s="10"/>
      <c r="S566" s="11"/>
    </row>
    <row r="567" spans="14:19" x14ac:dyDescent="0.25">
      <c r="N567" s="20"/>
      <c r="O567" s="10"/>
      <c r="S567" s="11"/>
    </row>
    <row r="568" spans="14:19" x14ac:dyDescent="0.25">
      <c r="N568" s="20"/>
      <c r="O568" s="10"/>
      <c r="S568" s="11"/>
    </row>
    <row r="569" spans="14:19" x14ac:dyDescent="0.25">
      <c r="N569" s="20"/>
      <c r="O569" s="10"/>
      <c r="S569" s="11"/>
    </row>
    <row r="570" spans="14:19" x14ac:dyDescent="0.25">
      <c r="N570" s="20"/>
      <c r="O570" s="10"/>
      <c r="S570" s="11"/>
    </row>
    <row r="571" spans="14:19" x14ac:dyDescent="0.25">
      <c r="N571" s="20"/>
      <c r="O571" s="10"/>
      <c r="S571" s="11"/>
    </row>
    <row r="572" spans="14:19" x14ac:dyDescent="0.25">
      <c r="N572" s="20"/>
      <c r="O572" s="10"/>
      <c r="S572" s="11"/>
    </row>
    <row r="573" spans="14:19" x14ac:dyDescent="0.25">
      <c r="N573" s="20"/>
      <c r="O573" s="10"/>
      <c r="S573" s="11"/>
    </row>
    <row r="574" spans="14:19" x14ac:dyDescent="0.25">
      <c r="N574" s="20"/>
      <c r="O574" s="10"/>
      <c r="S574" s="11"/>
    </row>
    <row r="575" spans="14:19" x14ac:dyDescent="0.25">
      <c r="N575" s="20"/>
      <c r="O575" s="10"/>
      <c r="S575" s="11"/>
    </row>
    <row r="576" spans="14:19" x14ac:dyDescent="0.25">
      <c r="N576" s="20"/>
      <c r="O576" s="10"/>
      <c r="S576" s="11"/>
    </row>
    <row r="577" spans="14:19" x14ac:dyDescent="0.25">
      <c r="N577" s="20"/>
      <c r="O577" s="10"/>
      <c r="S577" s="11"/>
    </row>
    <row r="578" spans="14:19" x14ac:dyDescent="0.25">
      <c r="N578" s="20"/>
      <c r="O578" s="10"/>
      <c r="S578" s="11"/>
    </row>
    <row r="579" spans="14:19" x14ac:dyDescent="0.25">
      <c r="N579" s="20"/>
      <c r="O579" s="10"/>
      <c r="S579" s="11"/>
    </row>
    <row r="580" spans="14:19" x14ac:dyDescent="0.25">
      <c r="N580" s="20"/>
      <c r="O580" s="10"/>
      <c r="S580" s="11"/>
    </row>
    <row r="581" spans="14:19" x14ac:dyDescent="0.25">
      <c r="N581" s="20"/>
      <c r="O581" s="10"/>
      <c r="S581" s="11"/>
    </row>
    <row r="582" spans="14:19" x14ac:dyDescent="0.25">
      <c r="N582" s="20"/>
      <c r="O582" s="10"/>
      <c r="S582" s="11"/>
    </row>
    <row r="583" spans="14:19" x14ac:dyDescent="0.25">
      <c r="N583" s="20"/>
      <c r="O583" s="10"/>
      <c r="S583" s="11"/>
    </row>
    <row r="584" spans="14:19" x14ac:dyDescent="0.25">
      <c r="N584" s="20"/>
      <c r="O584" s="10"/>
      <c r="S584" s="11"/>
    </row>
    <row r="585" spans="14:19" x14ac:dyDescent="0.25">
      <c r="N585" s="20"/>
      <c r="O585" s="10"/>
      <c r="S585" s="11"/>
    </row>
    <row r="586" spans="14:19" x14ac:dyDescent="0.25">
      <c r="N586" s="20"/>
      <c r="O586" s="10"/>
      <c r="S586" s="11"/>
    </row>
    <row r="587" spans="14:19" x14ac:dyDescent="0.25">
      <c r="N587" s="20"/>
      <c r="O587" s="10"/>
      <c r="S587" s="11"/>
    </row>
    <row r="588" spans="14:19" x14ac:dyDescent="0.25">
      <c r="N588" s="20"/>
      <c r="O588" s="10"/>
      <c r="S588" s="11"/>
    </row>
    <row r="589" spans="14:19" x14ac:dyDescent="0.25">
      <c r="N589" s="20"/>
      <c r="O589" s="10"/>
      <c r="S589" s="11"/>
    </row>
    <row r="590" spans="14:19" x14ac:dyDescent="0.25">
      <c r="N590" s="20"/>
      <c r="O590" s="10"/>
      <c r="S590" s="11"/>
    </row>
    <row r="591" spans="14:19" x14ac:dyDescent="0.25">
      <c r="N591" s="20"/>
      <c r="O591" s="10"/>
      <c r="S591" s="11"/>
    </row>
    <row r="592" spans="14:19" x14ac:dyDescent="0.25">
      <c r="N592" s="20"/>
      <c r="O592" s="10"/>
      <c r="S592" s="11"/>
    </row>
    <row r="593" spans="14:19" x14ac:dyDescent="0.25">
      <c r="N593" s="20"/>
      <c r="O593" s="10"/>
      <c r="S593" s="11"/>
    </row>
    <row r="594" spans="14:19" x14ac:dyDescent="0.25">
      <c r="N594" s="20"/>
      <c r="O594" s="10"/>
      <c r="S594" s="11"/>
    </row>
    <row r="595" spans="14:19" x14ac:dyDescent="0.25">
      <c r="N595" s="20"/>
      <c r="O595" s="10"/>
      <c r="S595" s="11"/>
    </row>
    <row r="596" spans="14:19" x14ac:dyDescent="0.25">
      <c r="N596" s="20"/>
      <c r="O596" s="10"/>
      <c r="S596" s="11"/>
    </row>
    <row r="597" spans="14:19" x14ac:dyDescent="0.25">
      <c r="N597" s="20"/>
      <c r="O597" s="10"/>
      <c r="S597" s="11"/>
    </row>
    <row r="598" spans="14:19" x14ac:dyDescent="0.25">
      <c r="N598" s="20"/>
      <c r="O598" s="10"/>
      <c r="S598" s="11"/>
    </row>
    <row r="599" spans="14:19" x14ac:dyDescent="0.25">
      <c r="N599" s="20"/>
      <c r="O599" s="10"/>
      <c r="S599" s="11"/>
    </row>
    <row r="600" spans="14:19" x14ac:dyDescent="0.25">
      <c r="N600" s="20"/>
      <c r="O600" s="10"/>
      <c r="S600" s="11"/>
    </row>
    <row r="601" spans="14:19" x14ac:dyDescent="0.25">
      <c r="N601" s="20"/>
      <c r="O601" s="10"/>
      <c r="S601" s="11"/>
    </row>
    <row r="602" spans="14:19" x14ac:dyDescent="0.25">
      <c r="N602" s="20"/>
      <c r="O602" s="10"/>
      <c r="S602" s="11"/>
    </row>
    <row r="603" spans="14:19" x14ac:dyDescent="0.25">
      <c r="N603" s="20"/>
      <c r="O603" s="10"/>
      <c r="S603" s="11"/>
    </row>
    <row r="604" spans="14:19" x14ac:dyDescent="0.25">
      <c r="N604" s="20"/>
      <c r="O604" s="10"/>
      <c r="S604" s="11"/>
    </row>
    <row r="605" spans="14:19" x14ac:dyDescent="0.25">
      <c r="N605" s="20"/>
      <c r="O605" s="10"/>
      <c r="S605" s="11"/>
    </row>
    <row r="606" spans="14:19" x14ac:dyDescent="0.25">
      <c r="N606" s="20"/>
      <c r="O606" s="10"/>
      <c r="S606" s="11"/>
    </row>
    <row r="607" spans="14:19" x14ac:dyDescent="0.25">
      <c r="N607" s="20"/>
      <c r="O607" s="10"/>
      <c r="S607" s="11"/>
    </row>
    <row r="608" spans="14:19" x14ac:dyDescent="0.25">
      <c r="N608" s="20"/>
      <c r="O608" s="10"/>
      <c r="S608" s="11"/>
    </row>
    <row r="609" spans="14:19" x14ac:dyDescent="0.25">
      <c r="N609" s="20"/>
      <c r="O609" s="10"/>
      <c r="S609" s="11"/>
    </row>
    <row r="610" spans="14:19" x14ac:dyDescent="0.25">
      <c r="N610" s="20"/>
      <c r="O610" s="10"/>
      <c r="S610" s="11"/>
    </row>
    <row r="611" spans="14:19" x14ac:dyDescent="0.25">
      <c r="N611" s="20"/>
      <c r="O611" s="10"/>
      <c r="S611" s="11"/>
    </row>
    <row r="612" spans="14:19" x14ac:dyDescent="0.25">
      <c r="N612" s="20"/>
      <c r="O612" s="10"/>
      <c r="S612" s="11"/>
    </row>
    <row r="613" spans="14:19" x14ac:dyDescent="0.25">
      <c r="N613" s="20"/>
      <c r="O613" s="10"/>
      <c r="S613" s="11"/>
    </row>
    <row r="614" spans="14:19" x14ac:dyDescent="0.25">
      <c r="N614" s="20"/>
      <c r="O614" s="10"/>
      <c r="S614" s="11"/>
    </row>
    <row r="615" spans="14:19" x14ac:dyDescent="0.25">
      <c r="N615" s="20"/>
      <c r="O615" s="10"/>
      <c r="S615" s="11"/>
    </row>
    <row r="616" spans="14:19" x14ac:dyDescent="0.25">
      <c r="N616" s="20"/>
      <c r="O616" s="10"/>
      <c r="S616" s="11"/>
    </row>
    <row r="617" spans="14:19" x14ac:dyDescent="0.25">
      <c r="N617" s="20"/>
      <c r="O617" s="10"/>
      <c r="S617" s="11"/>
    </row>
    <row r="618" spans="14:19" x14ac:dyDescent="0.25">
      <c r="N618" s="20"/>
      <c r="O618" s="10"/>
      <c r="S618" s="11"/>
    </row>
    <row r="619" spans="14:19" x14ac:dyDescent="0.25">
      <c r="N619" s="20"/>
      <c r="O619" s="10"/>
      <c r="S619" s="11"/>
    </row>
    <row r="620" spans="14:19" x14ac:dyDescent="0.25">
      <c r="N620" s="20"/>
      <c r="O620" s="10"/>
      <c r="S620" s="11"/>
    </row>
    <row r="621" spans="14:19" x14ac:dyDescent="0.25">
      <c r="N621" s="20"/>
      <c r="O621" s="10"/>
      <c r="S621" s="11"/>
    </row>
    <row r="622" spans="14:19" x14ac:dyDescent="0.25">
      <c r="N622" s="20"/>
      <c r="O622" s="10"/>
      <c r="S622" s="11"/>
    </row>
    <row r="623" spans="14:19" x14ac:dyDescent="0.25">
      <c r="N623" s="20"/>
      <c r="O623" s="10"/>
      <c r="S623" s="11"/>
    </row>
    <row r="624" spans="14:19" x14ac:dyDescent="0.25">
      <c r="N624" s="20"/>
      <c r="O624" s="10"/>
      <c r="S624" s="11"/>
    </row>
    <row r="625" spans="1:19" x14ac:dyDescent="0.25">
      <c r="N625" s="20"/>
      <c r="O625" s="10"/>
      <c r="S625" s="11"/>
    </row>
    <row r="626" spans="1:19" x14ac:dyDescent="0.25">
      <c r="N626" s="20"/>
      <c r="O626" s="10"/>
      <c r="S626" s="11"/>
    </row>
    <row r="627" spans="1:19" x14ac:dyDescent="0.25">
      <c r="N627" s="20"/>
      <c r="O627" s="10"/>
      <c r="S627" s="11"/>
    </row>
    <row r="628" spans="1:19" x14ac:dyDescent="0.25">
      <c r="A628" s="11"/>
      <c r="N628" s="20"/>
      <c r="O628" s="10"/>
      <c r="S628" s="11"/>
    </row>
    <row r="629" spans="1:19" x14ac:dyDescent="0.25">
      <c r="N629" s="20"/>
      <c r="O629" s="10"/>
      <c r="S629" s="11"/>
    </row>
    <row r="630" spans="1:19" x14ac:dyDescent="0.25">
      <c r="N630" s="20"/>
      <c r="O630" s="10"/>
      <c r="S630" s="11"/>
    </row>
    <row r="631" spans="1:19" x14ac:dyDescent="0.25">
      <c r="N631" s="20"/>
      <c r="O631" s="10"/>
      <c r="S631" s="11"/>
    </row>
    <row r="632" spans="1:19" x14ac:dyDescent="0.25">
      <c r="N632" s="20"/>
      <c r="O632" s="10"/>
      <c r="S632" s="11"/>
    </row>
    <row r="633" spans="1:19" x14ac:dyDescent="0.25">
      <c r="N633" s="20"/>
      <c r="O633" s="10"/>
      <c r="S633" s="11"/>
    </row>
    <row r="634" spans="1:19" x14ac:dyDescent="0.25">
      <c r="N634" s="20"/>
      <c r="O634" s="10"/>
      <c r="S634" s="11"/>
    </row>
    <row r="635" spans="1:19" x14ac:dyDescent="0.25">
      <c r="N635" s="20"/>
      <c r="O635" s="10"/>
      <c r="S635" s="11"/>
    </row>
    <row r="636" spans="1:19" x14ac:dyDescent="0.25">
      <c r="N636" s="20"/>
      <c r="O636" s="10"/>
      <c r="S636" s="11"/>
    </row>
    <row r="637" spans="1:19" x14ac:dyDescent="0.25">
      <c r="N637" s="20"/>
      <c r="O637" s="10"/>
      <c r="S637" s="11"/>
    </row>
    <row r="638" spans="1:19" x14ac:dyDescent="0.25">
      <c r="N638" s="20"/>
      <c r="O638" s="10"/>
      <c r="S638" s="11"/>
    </row>
    <row r="639" spans="1:19" x14ac:dyDescent="0.25">
      <c r="N639" s="20"/>
      <c r="O639" s="10"/>
      <c r="S639" s="11"/>
    </row>
    <row r="640" spans="1:19" x14ac:dyDescent="0.25">
      <c r="N640" s="20"/>
      <c r="O640" s="10"/>
      <c r="S640" s="11"/>
    </row>
    <row r="641" spans="14:19" x14ac:dyDescent="0.25">
      <c r="N641" s="20"/>
      <c r="O641" s="10"/>
      <c r="S641" s="11"/>
    </row>
    <row r="642" spans="14:19" x14ac:dyDescent="0.25">
      <c r="N642" s="20"/>
      <c r="O642" s="10"/>
      <c r="S642" s="11"/>
    </row>
    <row r="643" spans="14:19" x14ac:dyDescent="0.25">
      <c r="N643" s="20"/>
      <c r="O643" s="10"/>
      <c r="S643" s="11"/>
    </row>
    <row r="644" spans="14:19" x14ac:dyDescent="0.25">
      <c r="N644" s="20"/>
      <c r="O644" s="10"/>
      <c r="S644" s="11"/>
    </row>
    <row r="645" spans="14:19" x14ac:dyDescent="0.25">
      <c r="N645" s="20"/>
      <c r="O645" s="10"/>
      <c r="S645" s="11"/>
    </row>
    <row r="646" spans="14:19" x14ac:dyDescent="0.25">
      <c r="N646" s="20"/>
      <c r="O646" s="10"/>
      <c r="S646" s="11"/>
    </row>
    <row r="647" spans="14:19" x14ac:dyDescent="0.25">
      <c r="N647" s="20"/>
      <c r="O647" s="10"/>
      <c r="S647" s="11"/>
    </row>
    <row r="648" spans="14:19" x14ac:dyDescent="0.25">
      <c r="N648" s="20"/>
      <c r="O648" s="10"/>
      <c r="S648" s="11"/>
    </row>
    <row r="649" spans="14:19" x14ac:dyDescent="0.25">
      <c r="N649" s="20"/>
      <c r="O649" s="10"/>
      <c r="S649" s="11"/>
    </row>
    <row r="650" spans="14:19" x14ac:dyDescent="0.25">
      <c r="N650" s="20"/>
      <c r="O650" s="10"/>
      <c r="S650" s="11"/>
    </row>
    <row r="651" spans="14:19" x14ac:dyDescent="0.25">
      <c r="N651" s="20"/>
      <c r="O651" s="10"/>
      <c r="S651" s="11"/>
    </row>
    <row r="652" spans="14:19" x14ac:dyDescent="0.25">
      <c r="N652" s="20"/>
      <c r="O652" s="10"/>
      <c r="S652" s="11"/>
    </row>
    <row r="653" spans="14:19" x14ac:dyDescent="0.25">
      <c r="N653" s="20"/>
      <c r="O653" s="10"/>
      <c r="S653" s="11"/>
    </row>
    <row r="654" spans="14:19" x14ac:dyDescent="0.25">
      <c r="N654" s="20"/>
      <c r="O654" s="10"/>
      <c r="S654" s="11"/>
    </row>
    <row r="655" spans="14:19" x14ac:dyDescent="0.25">
      <c r="N655" s="20"/>
      <c r="O655" s="10"/>
      <c r="S655" s="11"/>
    </row>
    <row r="656" spans="14:19" x14ac:dyDescent="0.25">
      <c r="N656" s="20"/>
      <c r="O656" s="10"/>
      <c r="S656" s="11"/>
    </row>
    <row r="657" spans="14:19" x14ac:dyDescent="0.25">
      <c r="N657" s="20"/>
      <c r="O657" s="10"/>
      <c r="S657" s="11"/>
    </row>
    <row r="658" spans="14:19" x14ac:dyDescent="0.25">
      <c r="N658" s="20"/>
      <c r="O658" s="10"/>
      <c r="S658" s="11"/>
    </row>
    <row r="659" spans="14:19" x14ac:dyDescent="0.25">
      <c r="N659" s="20"/>
      <c r="O659" s="10"/>
      <c r="S659" s="11"/>
    </row>
    <row r="660" spans="14:19" x14ac:dyDescent="0.25">
      <c r="N660" s="20"/>
      <c r="O660" s="10"/>
      <c r="S660" s="11"/>
    </row>
    <row r="661" spans="14:19" x14ac:dyDescent="0.25">
      <c r="N661" s="20"/>
      <c r="O661" s="10"/>
      <c r="S661" s="11"/>
    </row>
    <row r="662" spans="14:19" x14ac:dyDescent="0.25">
      <c r="N662" s="20"/>
      <c r="O662" s="10"/>
      <c r="S662" s="11"/>
    </row>
    <row r="663" spans="14:19" x14ac:dyDescent="0.25">
      <c r="N663" s="20"/>
      <c r="O663" s="10"/>
      <c r="S663" s="11"/>
    </row>
    <row r="664" spans="14:19" x14ac:dyDescent="0.25">
      <c r="N664" s="20"/>
      <c r="O664" s="10"/>
      <c r="S664" s="11"/>
    </row>
    <row r="665" spans="14:19" x14ac:dyDescent="0.25">
      <c r="N665" s="20"/>
      <c r="O665" s="10"/>
      <c r="S665" s="11"/>
    </row>
    <row r="666" spans="14:19" x14ac:dyDescent="0.25">
      <c r="N666" s="20"/>
      <c r="O666" s="10"/>
      <c r="S666" s="11"/>
    </row>
    <row r="667" spans="14:19" x14ac:dyDescent="0.25">
      <c r="N667" s="20"/>
      <c r="O667" s="10"/>
      <c r="S667" s="11"/>
    </row>
    <row r="668" spans="14:19" x14ac:dyDescent="0.25">
      <c r="N668" s="20"/>
      <c r="O668" s="10"/>
      <c r="S668" s="11"/>
    </row>
    <row r="669" spans="14:19" x14ac:dyDescent="0.25">
      <c r="N669" s="20"/>
      <c r="O669" s="10"/>
      <c r="S669" s="11"/>
    </row>
    <row r="670" spans="14:19" x14ac:dyDescent="0.25">
      <c r="N670" s="20"/>
      <c r="O670" s="10"/>
      <c r="S670" s="11"/>
    </row>
    <row r="671" spans="14:19" x14ac:dyDescent="0.25">
      <c r="N671" s="20"/>
      <c r="O671" s="10"/>
      <c r="S671" s="11"/>
    </row>
    <row r="672" spans="14:19" x14ac:dyDescent="0.25">
      <c r="N672" s="20"/>
      <c r="O672" s="10"/>
      <c r="S672" s="11"/>
    </row>
    <row r="673" spans="14:19" x14ac:dyDescent="0.25">
      <c r="N673" s="20"/>
      <c r="O673" s="10"/>
      <c r="S673" s="11"/>
    </row>
    <row r="674" spans="14:19" x14ac:dyDescent="0.25">
      <c r="N674" s="20"/>
      <c r="O674" s="10"/>
      <c r="S674" s="11"/>
    </row>
    <row r="675" spans="14:19" x14ac:dyDescent="0.25">
      <c r="N675" s="20"/>
      <c r="O675" s="10"/>
      <c r="S675" s="11"/>
    </row>
    <row r="676" spans="14:19" x14ac:dyDescent="0.25">
      <c r="N676" s="20"/>
      <c r="O676" s="10"/>
      <c r="S676" s="11"/>
    </row>
    <row r="677" spans="14:19" x14ac:dyDescent="0.25">
      <c r="N677" s="20"/>
      <c r="O677" s="10"/>
      <c r="S677" s="11"/>
    </row>
    <row r="678" spans="14:19" x14ac:dyDescent="0.25">
      <c r="N678" s="20"/>
      <c r="O678" s="10"/>
      <c r="S678" s="11"/>
    </row>
    <row r="679" spans="14:19" x14ac:dyDescent="0.25">
      <c r="N679" s="20"/>
      <c r="O679" s="10"/>
      <c r="S679" s="11"/>
    </row>
    <row r="680" spans="14:19" x14ac:dyDescent="0.25">
      <c r="N680" s="20"/>
      <c r="O680" s="10"/>
      <c r="S680" s="11"/>
    </row>
    <row r="681" spans="14:19" x14ac:dyDescent="0.25">
      <c r="N681" s="20"/>
      <c r="O681" s="10"/>
      <c r="S681" s="11"/>
    </row>
    <row r="682" spans="14:19" x14ac:dyDescent="0.25">
      <c r="N682" s="20"/>
      <c r="O682" s="10"/>
      <c r="S682" s="11"/>
    </row>
    <row r="683" spans="14:19" x14ac:dyDescent="0.25">
      <c r="N683" s="20"/>
      <c r="O683" s="10"/>
      <c r="S683" s="11"/>
    </row>
    <row r="684" spans="14:19" x14ac:dyDescent="0.25">
      <c r="N684" s="20"/>
      <c r="O684" s="10"/>
      <c r="S684" s="11"/>
    </row>
    <row r="685" spans="14:19" x14ac:dyDescent="0.25">
      <c r="N685" s="20"/>
      <c r="O685" s="10"/>
      <c r="S685" s="11"/>
    </row>
    <row r="686" spans="14:19" x14ac:dyDescent="0.25">
      <c r="N686" s="20"/>
      <c r="O686" s="10"/>
      <c r="S686" s="11"/>
    </row>
    <row r="687" spans="14:19" x14ac:dyDescent="0.25">
      <c r="N687" s="20"/>
      <c r="O687" s="10"/>
      <c r="S687" s="11"/>
    </row>
    <row r="688" spans="14:19" x14ac:dyDescent="0.25">
      <c r="N688" s="20"/>
      <c r="O688" s="10"/>
      <c r="S688" s="11"/>
    </row>
    <row r="689" spans="1:19" x14ac:dyDescent="0.25">
      <c r="N689" s="20"/>
      <c r="O689" s="10"/>
      <c r="S689" s="11"/>
    </row>
    <row r="690" spans="1:19" x14ac:dyDescent="0.25">
      <c r="N690" s="20"/>
      <c r="O690" s="10"/>
      <c r="S690" s="11"/>
    </row>
    <row r="691" spans="1:19" x14ac:dyDescent="0.25">
      <c r="N691" s="20"/>
      <c r="O691" s="10"/>
      <c r="S691" s="11"/>
    </row>
    <row r="692" spans="1:19" x14ac:dyDescent="0.25">
      <c r="N692" s="20"/>
      <c r="O692" s="10"/>
      <c r="S692" s="11"/>
    </row>
    <row r="693" spans="1:19" x14ac:dyDescent="0.25">
      <c r="N693" s="20"/>
      <c r="O693" s="10"/>
      <c r="S693" s="11"/>
    </row>
    <row r="694" spans="1:19" x14ac:dyDescent="0.25">
      <c r="N694" s="20"/>
      <c r="O694" s="10"/>
      <c r="S694" s="11"/>
    </row>
    <row r="695" spans="1:19" x14ac:dyDescent="0.25">
      <c r="N695" s="20"/>
      <c r="O695" s="10"/>
      <c r="S695" s="11"/>
    </row>
    <row r="696" spans="1:19" x14ac:dyDescent="0.25">
      <c r="N696" s="20"/>
      <c r="O696" s="10"/>
      <c r="S696" s="11"/>
    </row>
    <row r="697" spans="1:19" x14ac:dyDescent="0.25">
      <c r="N697" s="20"/>
      <c r="O697" s="10"/>
      <c r="S697" s="11"/>
    </row>
    <row r="698" spans="1:19" x14ac:dyDescent="0.25">
      <c r="N698" s="20"/>
      <c r="O698" s="10"/>
      <c r="S698" s="11"/>
    </row>
    <row r="699" spans="1:19" x14ac:dyDescent="0.25">
      <c r="A699" s="6"/>
      <c r="B699" s="6"/>
      <c r="C699" s="14"/>
      <c r="D699" s="14"/>
      <c r="E699" s="6"/>
      <c r="F699" s="6"/>
      <c r="G699" s="6"/>
      <c r="H699" s="6"/>
      <c r="I699" s="6"/>
      <c r="J699" s="6"/>
      <c r="K699" s="6"/>
      <c r="N699" s="21"/>
      <c r="O699" s="7"/>
      <c r="P699" s="6"/>
      <c r="Q699" s="7"/>
      <c r="R699" s="2"/>
    </row>
    <row r="700" spans="1:19" x14ac:dyDescent="0.25">
      <c r="A700" s="3"/>
      <c r="B700" s="4"/>
      <c r="C700" s="15"/>
      <c r="D700" s="15"/>
      <c r="E700" s="4"/>
      <c r="F700" s="4"/>
      <c r="G700" s="4"/>
      <c r="H700" s="4"/>
      <c r="I700" s="4"/>
      <c r="J700" s="4"/>
      <c r="K700" s="4"/>
      <c r="N700" s="34"/>
      <c r="O700" s="5"/>
      <c r="P700" s="4"/>
      <c r="Q700" s="5"/>
      <c r="R700" s="2"/>
    </row>
    <row r="701" spans="1:19" x14ac:dyDescent="0.25">
      <c r="A701" s="4"/>
      <c r="B701" s="4"/>
      <c r="C701" s="15"/>
      <c r="D701" s="15"/>
      <c r="E701" s="4"/>
      <c r="F701" s="4"/>
      <c r="G701" s="4"/>
      <c r="H701" s="4"/>
      <c r="I701" s="4"/>
      <c r="J701" s="4"/>
      <c r="K701" s="4"/>
      <c r="N701" s="34"/>
      <c r="O701" s="5"/>
      <c r="P701" s="4"/>
      <c r="Q701" s="5"/>
      <c r="R701" s="2"/>
    </row>
    <row r="702" spans="1:19" x14ac:dyDescent="0.25">
      <c r="A702" s="8"/>
      <c r="B702" s="8"/>
      <c r="C702" s="13"/>
      <c r="D702" s="13"/>
      <c r="E702" s="8"/>
      <c r="F702" s="8"/>
      <c r="G702" s="8"/>
      <c r="H702" s="8"/>
      <c r="I702" s="8"/>
      <c r="J702" s="8"/>
      <c r="K702" s="8"/>
      <c r="N702" s="35"/>
      <c r="O702" s="9"/>
      <c r="P702" s="8"/>
      <c r="Q702" s="9"/>
      <c r="R702" s="2"/>
    </row>
    <row r="703" spans="1:19" x14ac:dyDescent="0.25">
      <c r="A703" s="6"/>
      <c r="B703" s="6"/>
      <c r="C703" s="14"/>
      <c r="D703" s="14"/>
      <c r="E703" s="6"/>
      <c r="F703" s="6"/>
      <c r="G703" s="6"/>
      <c r="H703" s="6"/>
      <c r="I703" s="6"/>
      <c r="J703" s="6"/>
      <c r="K703" s="6"/>
      <c r="N703" s="21"/>
      <c r="O703" s="7"/>
      <c r="P703" s="6"/>
      <c r="Q703" s="7"/>
      <c r="R703" s="2"/>
    </row>
    <row r="704" spans="1:19" x14ac:dyDescent="0.25">
      <c r="A704" s="16"/>
      <c r="B704" s="4"/>
      <c r="C704" s="15"/>
      <c r="D704" s="15"/>
      <c r="E704" s="4"/>
      <c r="F704" s="4"/>
      <c r="G704" s="4"/>
      <c r="H704" s="4"/>
      <c r="I704" s="4"/>
      <c r="J704" s="4"/>
      <c r="K704" s="4"/>
      <c r="N704" s="34"/>
      <c r="O704" s="5"/>
      <c r="P704" s="4"/>
      <c r="Q704" s="5"/>
      <c r="R704" s="2"/>
    </row>
    <row r="705" spans="1:18" x14ac:dyDescent="0.25">
      <c r="A705" s="6"/>
      <c r="B705" s="6"/>
      <c r="C705" s="14"/>
      <c r="D705" s="14"/>
      <c r="E705" s="6"/>
      <c r="F705" s="6"/>
      <c r="G705" s="6"/>
      <c r="H705" s="6"/>
      <c r="I705" s="6"/>
      <c r="J705" s="6"/>
      <c r="K705" s="6"/>
      <c r="N705" s="21"/>
      <c r="O705" s="7"/>
      <c r="P705" s="6"/>
      <c r="Q705" s="7"/>
      <c r="R705" s="2"/>
    </row>
    <row r="706" spans="1:18" x14ac:dyDescent="0.25">
      <c r="A706" s="6"/>
      <c r="B706" s="6"/>
      <c r="C706" s="14"/>
      <c r="D706" s="14"/>
      <c r="E706" s="6"/>
      <c r="F706" s="6"/>
      <c r="G706" s="6"/>
      <c r="H706" s="6"/>
      <c r="I706" s="6"/>
      <c r="J706" s="6"/>
      <c r="K706" s="6"/>
      <c r="N706" s="21"/>
      <c r="O706" s="7"/>
      <c r="P706" s="6"/>
      <c r="Q706" s="7"/>
      <c r="R706" s="2"/>
    </row>
    <row r="707" spans="1:18" x14ac:dyDescent="0.25">
      <c r="A707" s="6"/>
      <c r="B707" s="6"/>
      <c r="C707" s="14"/>
      <c r="D707" s="14"/>
      <c r="E707" s="6"/>
      <c r="F707" s="6"/>
      <c r="G707" s="6"/>
      <c r="H707" s="6"/>
      <c r="I707" s="6"/>
      <c r="J707" s="6"/>
      <c r="K707" s="6"/>
      <c r="N707" s="21"/>
      <c r="O707" s="7"/>
      <c r="P707" s="6"/>
      <c r="Q707" s="7"/>
      <c r="R707" s="2"/>
    </row>
    <row r="708" spans="1:18" x14ac:dyDescent="0.25">
      <c r="A708" s="6"/>
      <c r="B708" s="6"/>
      <c r="C708" s="14"/>
      <c r="D708" s="14"/>
      <c r="E708" s="6"/>
      <c r="F708" s="6"/>
      <c r="G708" s="6"/>
      <c r="H708" s="6"/>
      <c r="I708" s="6"/>
      <c r="J708" s="6"/>
      <c r="K708" s="6"/>
      <c r="N708" s="21"/>
      <c r="O708" s="7"/>
      <c r="P708" s="6"/>
      <c r="Q708" s="7"/>
      <c r="R708" s="2"/>
    </row>
    <row r="709" spans="1:18" x14ac:dyDescent="0.25">
      <c r="A709" s="6"/>
      <c r="B709" s="6"/>
      <c r="C709" s="14"/>
      <c r="D709" s="14"/>
      <c r="E709" s="6"/>
      <c r="F709" s="6"/>
      <c r="G709" s="6"/>
      <c r="H709" s="6"/>
      <c r="I709" s="6"/>
      <c r="J709" s="6"/>
      <c r="K709" s="6"/>
      <c r="N709" s="21"/>
      <c r="O709" s="7"/>
      <c r="P709" s="6"/>
      <c r="Q709" s="7"/>
      <c r="R709" s="2"/>
    </row>
    <row r="710" spans="1:18" x14ac:dyDescent="0.25">
      <c r="A710" s="4"/>
      <c r="B710" s="4"/>
      <c r="C710" s="15"/>
      <c r="D710" s="15"/>
      <c r="E710" s="4"/>
      <c r="F710" s="4"/>
      <c r="G710" s="4"/>
      <c r="H710" s="4"/>
      <c r="I710" s="4"/>
      <c r="J710" s="4"/>
      <c r="K710" s="4"/>
      <c r="N710" s="34"/>
      <c r="O710" s="5"/>
      <c r="P710" s="4"/>
      <c r="Q710" s="5"/>
      <c r="R710" s="2"/>
    </row>
    <row r="711" spans="1:18" x14ac:dyDescent="0.25">
      <c r="A711" s="8"/>
      <c r="B711" s="8"/>
      <c r="C711" s="13"/>
      <c r="D711" s="13"/>
      <c r="E711" s="8"/>
      <c r="F711" s="8"/>
      <c r="G711" s="8"/>
      <c r="H711" s="8"/>
      <c r="I711" s="8"/>
      <c r="J711" s="8"/>
      <c r="K711" s="8"/>
      <c r="N711" s="35"/>
      <c r="O711" s="9"/>
      <c r="P711" s="8"/>
      <c r="Q711" s="9"/>
      <c r="R711" s="2"/>
    </row>
    <row r="712" spans="1:18" x14ac:dyDescent="0.25">
      <c r="A712" s="6"/>
      <c r="B712" s="6"/>
      <c r="C712" s="14"/>
      <c r="D712" s="14"/>
      <c r="E712" s="6"/>
      <c r="F712" s="6"/>
      <c r="G712" s="6"/>
      <c r="H712" s="6"/>
      <c r="I712" s="6"/>
      <c r="J712" s="6"/>
      <c r="K712" s="6"/>
      <c r="N712" s="21"/>
      <c r="O712" s="7"/>
      <c r="P712" s="6"/>
      <c r="Q712" s="7"/>
      <c r="R712" s="2"/>
    </row>
    <row r="713" spans="1:18" x14ac:dyDescent="0.25">
      <c r="A713" s="6"/>
      <c r="B713" s="6"/>
      <c r="C713" s="14"/>
      <c r="D713" s="14"/>
      <c r="E713" s="6"/>
      <c r="F713" s="6"/>
      <c r="G713" s="6"/>
      <c r="H713" s="6"/>
      <c r="I713" s="6"/>
      <c r="J713" s="6"/>
      <c r="K713" s="6"/>
      <c r="N713" s="36"/>
      <c r="O713" s="7"/>
      <c r="P713" s="6"/>
      <c r="Q713" s="7"/>
      <c r="R713" s="2"/>
    </row>
    <row r="714" spans="1:18" x14ac:dyDescent="0.25">
      <c r="A714" s="8"/>
      <c r="B714" s="8"/>
      <c r="C714" s="13"/>
      <c r="D714" s="13"/>
      <c r="E714" s="8"/>
      <c r="F714" s="8"/>
      <c r="G714" s="8"/>
      <c r="H714" s="8"/>
      <c r="I714" s="8"/>
      <c r="J714" s="8"/>
      <c r="K714" s="8"/>
      <c r="N714" s="35"/>
      <c r="O714" s="9"/>
      <c r="P714" s="8"/>
      <c r="Q714" s="9"/>
      <c r="R714" s="2"/>
    </row>
    <row r="715" spans="1:18" x14ac:dyDescent="0.25">
      <c r="A715" s="6"/>
      <c r="B715" s="6"/>
      <c r="C715" s="14"/>
      <c r="D715" s="14"/>
      <c r="E715" s="6"/>
      <c r="F715" s="6"/>
      <c r="G715" s="6"/>
      <c r="H715" s="6"/>
      <c r="I715" s="6"/>
      <c r="J715" s="6"/>
      <c r="K715" s="6"/>
      <c r="N715" s="21"/>
      <c r="O715" s="7"/>
      <c r="P715" s="6"/>
      <c r="Q715" s="7"/>
      <c r="R715" s="2"/>
    </row>
    <row r="716" spans="1:18" x14ac:dyDescent="0.25">
      <c r="A716" s="6"/>
      <c r="B716" s="6"/>
      <c r="C716" s="14"/>
      <c r="D716" s="14"/>
      <c r="E716" s="6"/>
      <c r="F716" s="6"/>
      <c r="G716" s="6"/>
      <c r="H716" s="6"/>
      <c r="I716" s="6"/>
      <c r="J716" s="6"/>
      <c r="K716" s="6"/>
      <c r="N716" s="21"/>
      <c r="O716" s="7"/>
      <c r="P716" s="6"/>
      <c r="Q716" s="7"/>
      <c r="R716" s="2"/>
    </row>
    <row r="717" spans="1:18" x14ac:dyDescent="0.25">
      <c r="A717" s="6"/>
      <c r="B717" s="6"/>
      <c r="C717" s="14"/>
      <c r="D717" s="14"/>
      <c r="E717" s="6"/>
      <c r="F717" s="6"/>
      <c r="G717" s="6"/>
      <c r="H717" s="6"/>
      <c r="I717" s="6"/>
      <c r="J717" s="6"/>
      <c r="K717" s="6"/>
      <c r="N717" s="21"/>
      <c r="O717" s="7"/>
      <c r="P717" s="6"/>
      <c r="Q717" s="7"/>
      <c r="R717" s="2"/>
    </row>
    <row r="718" spans="1:18" x14ac:dyDescent="0.25">
      <c r="A718" s="6"/>
      <c r="B718" s="6"/>
      <c r="C718" s="14"/>
      <c r="D718" s="14"/>
      <c r="E718" s="6"/>
      <c r="F718" s="6"/>
      <c r="G718" s="6"/>
      <c r="H718" s="6"/>
      <c r="I718" s="6"/>
      <c r="J718" s="6"/>
      <c r="K718" s="6"/>
      <c r="N718" s="21"/>
      <c r="O718" s="7"/>
      <c r="P718" s="6"/>
      <c r="Q718" s="7"/>
      <c r="R718" s="2"/>
    </row>
    <row r="728" spans="22:23" x14ac:dyDescent="0.25">
      <c r="V728" s="17"/>
      <c r="W728" s="10"/>
    </row>
    <row r="729" spans="22:23" x14ac:dyDescent="0.25">
      <c r="V729" s="11"/>
      <c r="W729" s="18"/>
    </row>
    <row r="730" spans="22:23" x14ac:dyDescent="0.25">
      <c r="V730" s="11"/>
      <c r="W730" s="10"/>
    </row>
  </sheetData>
  <autoFilter ref="A1:U718" xr:uid="{969CE6AA-B978-451E-9166-37046A388E6B}"/>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E6AA-B978-451E-9166-37046A388E6B}">
  <dimension ref="A1:S727"/>
  <sheetViews>
    <sheetView topLeftCell="G694" zoomScaleNormal="100" workbookViewId="0">
      <selection activeCell="M715" sqref="M715"/>
    </sheetView>
  </sheetViews>
  <sheetFormatPr baseColWidth="10" defaultRowHeight="15" x14ac:dyDescent="0.25"/>
  <cols>
    <col min="1" max="1" width="18.85546875" bestFit="1" customWidth="1"/>
    <col min="2" max="2" width="11.5703125" bestFit="1" customWidth="1"/>
    <col min="3" max="3" width="22.5703125" bestFit="1" customWidth="1"/>
    <col min="4" max="4" width="25" bestFit="1" customWidth="1"/>
    <col min="5" max="5" width="255.7109375" bestFit="1" customWidth="1"/>
    <col min="6" max="6" width="30.85546875" bestFit="1" customWidth="1"/>
    <col min="7" max="7" width="23.7109375" bestFit="1" customWidth="1"/>
    <col min="8" max="8" width="45.42578125" bestFit="1" customWidth="1"/>
    <col min="9" max="9" width="20.7109375" bestFit="1" customWidth="1"/>
    <col min="10" max="10" width="11.42578125" customWidth="1"/>
    <col min="11" max="11" width="33.7109375" customWidth="1"/>
    <col min="12" max="13" width="16.28515625" style="1" bestFit="1" customWidth="1"/>
    <col min="14" max="14" width="15" customWidth="1"/>
    <col min="15" max="15" width="16.28515625" style="1" bestFit="1" customWidth="1"/>
    <col min="16" max="16" width="4.85546875" customWidth="1"/>
    <col min="17" max="17" width="51" bestFit="1" customWidth="1"/>
  </cols>
  <sheetData>
    <row r="1" spans="1:19" ht="14.25" customHeight="1" x14ac:dyDescent="0.25">
      <c r="A1" t="s">
        <v>0</v>
      </c>
      <c r="B1" t="s">
        <v>1</v>
      </c>
      <c r="C1" t="s">
        <v>2</v>
      </c>
      <c r="D1" t="s">
        <v>3</v>
      </c>
      <c r="E1" t="s">
        <v>4</v>
      </c>
      <c r="F1" t="s">
        <v>5</v>
      </c>
      <c r="G1" t="s">
        <v>6</v>
      </c>
      <c r="H1" t="s">
        <v>7</v>
      </c>
      <c r="I1" t="s">
        <v>8</v>
      </c>
      <c r="J1" t="s">
        <v>9</v>
      </c>
      <c r="K1" t="s">
        <v>10</v>
      </c>
      <c r="L1" s="1" t="s">
        <v>11</v>
      </c>
      <c r="M1" s="1" t="s">
        <v>12</v>
      </c>
      <c r="N1" t="s">
        <v>84</v>
      </c>
      <c r="O1" s="1" t="s">
        <v>703</v>
      </c>
      <c r="Q1" s="1" t="s">
        <v>829</v>
      </c>
      <c r="R1" s="11"/>
      <c r="S1" s="1"/>
    </row>
    <row r="2" spans="1:19" x14ac:dyDescent="0.25">
      <c r="A2" t="s">
        <v>1013</v>
      </c>
      <c r="B2" t="s">
        <v>13</v>
      </c>
      <c r="C2">
        <v>46023</v>
      </c>
      <c r="D2">
        <v>46112</v>
      </c>
      <c r="E2" t="s">
        <v>775</v>
      </c>
      <c r="F2" t="s">
        <v>14</v>
      </c>
      <c r="G2">
        <v>1089458776</v>
      </c>
      <c r="H2" t="s">
        <v>269</v>
      </c>
      <c r="I2">
        <v>98333941</v>
      </c>
      <c r="J2" t="s">
        <v>14</v>
      </c>
      <c r="K2" t="s">
        <v>15</v>
      </c>
      <c r="M2" s="10">
        <v>9450000</v>
      </c>
      <c r="N2" t="s">
        <v>704</v>
      </c>
      <c r="O2" s="1" t="e" cm="1">
        <f t="array" ref="O2">BUS</f>
        <v>#NAME?</v>
      </c>
      <c r="Q2" s="11" t="s">
        <v>1036</v>
      </c>
    </row>
    <row r="3" spans="1:19" x14ac:dyDescent="0.25">
      <c r="A3" t="s">
        <v>1037</v>
      </c>
      <c r="B3" t="s">
        <v>13</v>
      </c>
      <c r="C3">
        <v>46023</v>
      </c>
      <c r="D3">
        <v>46112</v>
      </c>
      <c r="E3" t="s">
        <v>775</v>
      </c>
      <c r="F3" t="s">
        <v>14</v>
      </c>
      <c r="G3">
        <v>1233191133</v>
      </c>
      <c r="H3" t="s">
        <v>572</v>
      </c>
      <c r="I3">
        <v>59836926</v>
      </c>
      <c r="J3" t="s">
        <v>14</v>
      </c>
      <c r="K3" t="s">
        <v>17</v>
      </c>
      <c r="M3" s="10">
        <v>9450000</v>
      </c>
      <c r="N3" t="s">
        <v>704</v>
      </c>
      <c r="Q3" s="11" t="s">
        <v>1036</v>
      </c>
    </row>
    <row r="4" spans="1:19" x14ac:dyDescent="0.25">
      <c r="A4" t="s">
        <v>495</v>
      </c>
      <c r="B4" t="s">
        <v>13</v>
      </c>
      <c r="C4">
        <v>45972</v>
      </c>
      <c r="D4">
        <v>46022</v>
      </c>
      <c r="E4" t="s">
        <v>793</v>
      </c>
      <c r="F4" t="s">
        <v>14</v>
      </c>
      <c r="G4">
        <v>1085287296</v>
      </c>
      <c r="H4" t="s">
        <v>496</v>
      </c>
      <c r="I4">
        <v>59836926</v>
      </c>
      <c r="J4" t="s">
        <v>14</v>
      </c>
      <c r="K4" t="s">
        <v>17</v>
      </c>
      <c r="L4" s="1">
        <v>4000000</v>
      </c>
      <c r="M4" s="1">
        <v>4000000</v>
      </c>
      <c r="N4" t="s">
        <v>704</v>
      </c>
      <c r="O4" s="1">
        <f t="shared" ref="O4:O18" si="0">M4-L4</f>
        <v>0</v>
      </c>
    </row>
    <row r="5" spans="1:19" x14ac:dyDescent="0.25">
      <c r="A5" t="s">
        <v>351</v>
      </c>
      <c r="B5" t="s">
        <v>13</v>
      </c>
      <c r="C5">
        <v>45971</v>
      </c>
      <c r="D5">
        <v>46022</v>
      </c>
      <c r="E5" t="s">
        <v>323</v>
      </c>
      <c r="F5" t="s">
        <v>14</v>
      </c>
      <c r="G5">
        <v>1085253512</v>
      </c>
      <c r="H5" t="s">
        <v>352</v>
      </c>
      <c r="I5">
        <v>98390119</v>
      </c>
      <c r="J5" t="s">
        <v>14</v>
      </c>
      <c r="K5" t="s">
        <v>63</v>
      </c>
      <c r="L5" s="1">
        <v>4000000</v>
      </c>
      <c r="M5" s="1">
        <v>4000000</v>
      </c>
      <c r="N5" t="s">
        <v>704</v>
      </c>
      <c r="O5" s="1">
        <f t="shared" si="0"/>
        <v>0</v>
      </c>
    </row>
    <row r="6" spans="1:19" x14ac:dyDescent="0.25">
      <c r="A6" t="s">
        <v>148</v>
      </c>
      <c r="B6" t="s">
        <v>13</v>
      </c>
      <c r="C6">
        <v>45971</v>
      </c>
      <c r="D6">
        <v>46022</v>
      </c>
      <c r="E6" t="s">
        <v>726</v>
      </c>
      <c r="F6" t="s">
        <v>14</v>
      </c>
      <c r="G6">
        <v>59312779</v>
      </c>
      <c r="H6" t="s">
        <v>149</v>
      </c>
      <c r="I6">
        <v>98390119</v>
      </c>
      <c r="J6" t="s">
        <v>14</v>
      </c>
      <c r="K6" t="s">
        <v>63</v>
      </c>
      <c r="L6" s="1">
        <v>4000000</v>
      </c>
      <c r="M6" s="1">
        <v>4000000</v>
      </c>
      <c r="N6" t="s">
        <v>704</v>
      </c>
      <c r="O6" s="1">
        <f t="shared" si="0"/>
        <v>0</v>
      </c>
    </row>
    <row r="7" spans="1:19" x14ac:dyDescent="0.25">
      <c r="A7" t="s">
        <v>320</v>
      </c>
      <c r="B7" t="s">
        <v>13</v>
      </c>
      <c r="C7">
        <v>45971</v>
      </c>
      <c r="D7">
        <v>46022</v>
      </c>
      <c r="E7" t="s">
        <v>758</v>
      </c>
      <c r="F7" t="s">
        <v>14</v>
      </c>
      <c r="G7">
        <v>1085312669</v>
      </c>
      <c r="H7" t="s">
        <v>321</v>
      </c>
      <c r="I7">
        <v>43624414</v>
      </c>
      <c r="J7" t="s">
        <v>14</v>
      </c>
      <c r="K7" t="s">
        <v>18</v>
      </c>
      <c r="L7" s="1">
        <v>4000000</v>
      </c>
      <c r="M7" s="1">
        <v>4000000</v>
      </c>
      <c r="N7" t="s">
        <v>704</v>
      </c>
      <c r="O7" s="1">
        <f t="shared" si="0"/>
        <v>0</v>
      </c>
    </row>
    <row r="8" spans="1:19" x14ac:dyDescent="0.25">
      <c r="A8" t="s">
        <v>646</v>
      </c>
      <c r="B8" t="s">
        <v>13</v>
      </c>
      <c r="C8">
        <v>45967</v>
      </c>
      <c r="D8">
        <v>46022</v>
      </c>
      <c r="E8" t="s">
        <v>748</v>
      </c>
      <c r="F8" t="s">
        <v>14</v>
      </c>
      <c r="G8">
        <v>1085327836</v>
      </c>
      <c r="H8" t="s">
        <v>77</v>
      </c>
      <c r="I8">
        <v>43624414</v>
      </c>
      <c r="J8" t="s">
        <v>14</v>
      </c>
      <c r="K8" t="s">
        <v>18</v>
      </c>
      <c r="L8" s="1">
        <v>4000000</v>
      </c>
      <c r="M8" s="1">
        <v>4000000</v>
      </c>
      <c r="N8" t="s">
        <v>704</v>
      </c>
      <c r="O8" s="1">
        <f t="shared" si="0"/>
        <v>0</v>
      </c>
    </row>
    <row r="9" spans="1:19" x14ac:dyDescent="0.25">
      <c r="A9" t="s">
        <v>304</v>
      </c>
      <c r="B9" t="s">
        <v>13</v>
      </c>
      <c r="C9">
        <v>45966</v>
      </c>
      <c r="D9">
        <v>46022</v>
      </c>
      <c r="E9" t="s">
        <v>715</v>
      </c>
      <c r="F9" t="s">
        <v>14</v>
      </c>
      <c r="G9">
        <v>37083933</v>
      </c>
      <c r="H9" t="s">
        <v>305</v>
      </c>
      <c r="I9">
        <v>43624414</v>
      </c>
      <c r="J9" t="s">
        <v>14</v>
      </c>
      <c r="K9" t="s">
        <v>18</v>
      </c>
      <c r="L9" s="1">
        <v>4000000</v>
      </c>
      <c r="M9" s="1">
        <v>4000000</v>
      </c>
      <c r="N9" t="s">
        <v>704</v>
      </c>
      <c r="O9" s="1">
        <f t="shared" si="0"/>
        <v>0</v>
      </c>
    </row>
    <row r="10" spans="1:19" x14ac:dyDescent="0.25">
      <c r="A10" t="s">
        <v>520</v>
      </c>
      <c r="B10" t="s">
        <v>13</v>
      </c>
      <c r="C10">
        <v>45966</v>
      </c>
      <c r="D10">
        <v>46022</v>
      </c>
      <c r="E10" t="s">
        <v>795</v>
      </c>
      <c r="F10" t="s">
        <v>14</v>
      </c>
      <c r="G10">
        <v>1010113730</v>
      </c>
      <c r="H10" t="s">
        <v>521</v>
      </c>
      <c r="I10">
        <v>43624414</v>
      </c>
      <c r="J10" t="s">
        <v>14</v>
      </c>
      <c r="K10" t="s">
        <v>18</v>
      </c>
      <c r="L10" s="1">
        <v>4000000</v>
      </c>
      <c r="M10" s="1">
        <v>4000000</v>
      </c>
      <c r="N10" t="s">
        <v>704</v>
      </c>
      <c r="O10" s="1">
        <f t="shared" si="0"/>
        <v>0</v>
      </c>
    </row>
    <row r="11" spans="1:19" x14ac:dyDescent="0.25">
      <c r="A11" t="s">
        <v>359</v>
      </c>
      <c r="B11" t="s">
        <v>13</v>
      </c>
      <c r="C11">
        <v>45965</v>
      </c>
      <c r="D11">
        <v>46022</v>
      </c>
      <c r="E11" t="s">
        <v>715</v>
      </c>
      <c r="F11" t="s">
        <v>14</v>
      </c>
      <c r="G11">
        <v>1085281545</v>
      </c>
      <c r="H11" t="s">
        <v>360</v>
      </c>
      <c r="I11">
        <v>98333941</v>
      </c>
      <c r="J11" t="s">
        <v>14</v>
      </c>
      <c r="K11" t="s">
        <v>15</v>
      </c>
      <c r="L11" s="1">
        <v>4000000</v>
      </c>
      <c r="M11" s="1">
        <v>4000000</v>
      </c>
      <c r="N11" t="s">
        <v>704</v>
      </c>
      <c r="O11" s="1">
        <f t="shared" si="0"/>
        <v>0</v>
      </c>
    </row>
    <row r="12" spans="1:19" x14ac:dyDescent="0.25">
      <c r="A12" t="s">
        <v>539</v>
      </c>
      <c r="B12" t="s">
        <v>13</v>
      </c>
      <c r="C12">
        <v>45965</v>
      </c>
      <c r="D12">
        <v>46022</v>
      </c>
      <c r="E12" t="s">
        <v>798</v>
      </c>
      <c r="F12" t="s">
        <v>14</v>
      </c>
      <c r="G12">
        <v>1081274779</v>
      </c>
      <c r="H12" t="s">
        <v>540</v>
      </c>
      <c r="I12">
        <v>59836926</v>
      </c>
      <c r="J12" t="s">
        <v>14</v>
      </c>
      <c r="K12" t="s">
        <v>17</v>
      </c>
      <c r="L12" s="1">
        <v>4000000</v>
      </c>
      <c r="M12" s="1">
        <v>4000000</v>
      </c>
      <c r="N12" t="s">
        <v>704</v>
      </c>
      <c r="O12" s="1">
        <f t="shared" si="0"/>
        <v>0</v>
      </c>
    </row>
    <row r="13" spans="1:19" x14ac:dyDescent="0.25">
      <c r="A13" t="s">
        <v>165</v>
      </c>
      <c r="B13" t="s">
        <v>13</v>
      </c>
      <c r="C13">
        <v>45965</v>
      </c>
      <c r="D13">
        <v>46022</v>
      </c>
      <c r="E13" t="s">
        <v>715</v>
      </c>
      <c r="F13" t="s">
        <v>14</v>
      </c>
      <c r="G13">
        <v>1085275445</v>
      </c>
      <c r="H13" t="s">
        <v>166</v>
      </c>
      <c r="I13">
        <v>98390119</v>
      </c>
      <c r="J13" t="s">
        <v>14</v>
      </c>
      <c r="K13" t="s">
        <v>63</v>
      </c>
      <c r="L13" s="1">
        <v>4000000</v>
      </c>
      <c r="M13" s="1">
        <v>4000000</v>
      </c>
      <c r="N13" t="s">
        <v>704</v>
      </c>
      <c r="O13" s="1">
        <f t="shared" si="0"/>
        <v>0</v>
      </c>
    </row>
    <row r="14" spans="1:19" x14ac:dyDescent="0.25">
      <c r="A14" t="s">
        <v>207</v>
      </c>
      <c r="B14" t="s">
        <v>13</v>
      </c>
      <c r="C14">
        <v>45965</v>
      </c>
      <c r="D14">
        <v>46022</v>
      </c>
      <c r="E14" t="s">
        <v>715</v>
      </c>
      <c r="F14" t="s">
        <v>14</v>
      </c>
      <c r="G14">
        <v>1085268450</v>
      </c>
      <c r="H14" t="s">
        <v>208</v>
      </c>
      <c r="I14">
        <v>43624414</v>
      </c>
      <c r="J14" t="s">
        <v>14</v>
      </c>
      <c r="K14" t="s">
        <v>18</v>
      </c>
      <c r="L14" s="1">
        <v>4000000</v>
      </c>
      <c r="M14" s="1">
        <v>4000000</v>
      </c>
      <c r="N14" t="s">
        <v>704</v>
      </c>
      <c r="O14" s="1">
        <f t="shared" si="0"/>
        <v>0</v>
      </c>
    </row>
    <row r="15" spans="1:19" x14ac:dyDescent="0.25">
      <c r="A15" t="s">
        <v>182</v>
      </c>
      <c r="B15" t="s">
        <v>13</v>
      </c>
      <c r="C15">
        <v>45965</v>
      </c>
      <c r="D15">
        <v>46022</v>
      </c>
      <c r="E15" t="s">
        <v>733</v>
      </c>
      <c r="F15" t="s">
        <v>14</v>
      </c>
      <c r="G15">
        <v>59815593</v>
      </c>
      <c r="H15" t="s">
        <v>183</v>
      </c>
      <c r="I15">
        <v>98333941</v>
      </c>
      <c r="J15" t="s">
        <v>14</v>
      </c>
      <c r="K15" t="s">
        <v>15</v>
      </c>
      <c r="L15" s="1">
        <v>4000000</v>
      </c>
      <c r="M15" s="1">
        <v>4000000</v>
      </c>
      <c r="N15" t="s">
        <v>704</v>
      </c>
      <c r="O15" s="1">
        <f t="shared" si="0"/>
        <v>0</v>
      </c>
    </row>
    <row r="16" spans="1:19" x14ac:dyDescent="0.25">
      <c r="A16" t="s">
        <v>129</v>
      </c>
      <c r="B16" t="s">
        <v>13</v>
      </c>
      <c r="C16">
        <v>45965</v>
      </c>
      <c r="D16">
        <v>46022</v>
      </c>
      <c r="E16" t="s">
        <v>721</v>
      </c>
      <c r="F16" t="s">
        <v>14</v>
      </c>
      <c r="G16">
        <v>36757715</v>
      </c>
      <c r="H16" t="s">
        <v>130</v>
      </c>
      <c r="I16">
        <v>98390119</v>
      </c>
      <c r="J16" t="s">
        <v>14</v>
      </c>
      <c r="K16" t="s">
        <v>63</v>
      </c>
      <c r="L16" s="1">
        <v>4000000</v>
      </c>
      <c r="M16" s="1">
        <v>4000000</v>
      </c>
      <c r="N16" t="s">
        <v>704</v>
      </c>
      <c r="O16" s="1">
        <f t="shared" si="0"/>
        <v>0</v>
      </c>
    </row>
    <row r="17" spans="1:17" x14ac:dyDescent="0.25">
      <c r="A17" t="s">
        <v>694</v>
      </c>
      <c r="B17" t="s">
        <v>13</v>
      </c>
      <c r="C17">
        <v>45982</v>
      </c>
      <c r="D17">
        <v>46022</v>
      </c>
      <c r="E17" t="s">
        <v>323</v>
      </c>
      <c r="F17" t="s">
        <v>14</v>
      </c>
      <c r="G17">
        <v>27436186</v>
      </c>
      <c r="H17" t="s">
        <v>695</v>
      </c>
      <c r="I17">
        <v>43624414</v>
      </c>
      <c r="J17" t="s">
        <v>14</v>
      </c>
      <c r="K17" t="s">
        <v>18</v>
      </c>
      <c r="L17" s="1">
        <v>4200000</v>
      </c>
      <c r="M17" s="1">
        <v>4200000</v>
      </c>
      <c r="N17" t="s">
        <v>704</v>
      </c>
      <c r="O17" s="1">
        <f t="shared" si="0"/>
        <v>0</v>
      </c>
    </row>
    <row r="18" spans="1:17" x14ac:dyDescent="0.25">
      <c r="A18" t="s">
        <v>692</v>
      </c>
      <c r="B18" t="s">
        <v>13</v>
      </c>
      <c r="C18">
        <v>45982</v>
      </c>
      <c r="D18">
        <v>46022</v>
      </c>
      <c r="E18" t="s">
        <v>775</v>
      </c>
      <c r="F18" t="s">
        <v>14</v>
      </c>
      <c r="G18">
        <v>27549932</v>
      </c>
      <c r="H18" t="s">
        <v>693</v>
      </c>
      <c r="I18">
        <v>43624414</v>
      </c>
      <c r="J18" t="s">
        <v>14</v>
      </c>
      <c r="K18" t="s">
        <v>18</v>
      </c>
      <c r="L18" s="1">
        <v>4200000</v>
      </c>
      <c r="M18" s="1">
        <v>4200000</v>
      </c>
      <c r="N18" t="s">
        <v>704</v>
      </c>
      <c r="O18" s="1">
        <f t="shared" si="0"/>
        <v>0</v>
      </c>
    </row>
    <row r="19" spans="1:17" x14ac:dyDescent="0.25">
      <c r="A19" t="s">
        <v>1038</v>
      </c>
      <c r="B19" t="s">
        <v>13</v>
      </c>
      <c r="C19">
        <v>46023</v>
      </c>
      <c r="D19">
        <v>46112</v>
      </c>
      <c r="E19" t="s">
        <v>775</v>
      </c>
      <c r="F19" t="s">
        <v>14</v>
      </c>
      <c r="G19">
        <v>1089243630</v>
      </c>
      <c r="H19" t="s">
        <v>687</v>
      </c>
      <c r="I19">
        <v>43624414</v>
      </c>
      <c r="J19" t="s">
        <v>14</v>
      </c>
      <c r="K19" t="s">
        <v>18</v>
      </c>
      <c r="M19" s="10">
        <v>9450000</v>
      </c>
      <c r="N19" t="s">
        <v>704</v>
      </c>
      <c r="Q19" s="11" t="s">
        <v>1036</v>
      </c>
    </row>
    <row r="20" spans="1:17" x14ac:dyDescent="0.25">
      <c r="A20" t="s">
        <v>1039</v>
      </c>
      <c r="B20" t="s">
        <v>13</v>
      </c>
      <c r="C20">
        <v>46024</v>
      </c>
      <c r="D20">
        <v>46112</v>
      </c>
      <c r="E20" t="s">
        <v>775</v>
      </c>
      <c r="F20" t="s">
        <v>14</v>
      </c>
      <c r="G20">
        <v>1085327677</v>
      </c>
      <c r="H20" t="s">
        <v>405</v>
      </c>
      <c r="I20">
        <v>43624414</v>
      </c>
      <c r="J20" t="s">
        <v>14</v>
      </c>
      <c r="K20" t="s">
        <v>18</v>
      </c>
      <c r="M20" s="10">
        <v>9450000</v>
      </c>
      <c r="N20" t="s">
        <v>704</v>
      </c>
      <c r="Q20" s="11" t="s">
        <v>1036</v>
      </c>
    </row>
    <row r="21" spans="1:17" x14ac:dyDescent="0.25">
      <c r="A21" t="s">
        <v>686</v>
      </c>
      <c r="B21" t="s">
        <v>13</v>
      </c>
      <c r="C21">
        <v>45979</v>
      </c>
      <c r="D21">
        <v>46022</v>
      </c>
      <c r="E21" t="s">
        <v>775</v>
      </c>
      <c r="F21" t="s">
        <v>14</v>
      </c>
      <c r="G21">
        <v>1089243630</v>
      </c>
      <c r="H21" t="s">
        <v>687</v>
      </c>
      <c r="I21">
        <v>43624414</v>
      </c>
      <c r="J21" t="s">
        <v>14</v>
      </c>
      <c r="K21" t="s">
        <v>18</v>
      </c>
      <c r="L21" s="1">
        <v>4725000</v>
      </c>
      <c r="M21" s="1">
        <v>4725000</v>
      </c>
      <c r="N21" t="s">
        <v>704</v>
      </c>
      <c r="O21" s="1">
        <f>M21-L21</f>
        <v>0</v>
      </c>
    </row>
    <row r="22" spans="1:17" x14ac:dyDescent="0.25">
      <c r="A22" t="s">
        <v>676</v>
      </c>
      <c r="B22" t="s">
        <v>13</v>
      </c>
      <c r="C22">
        <v>45979</v>
      </c>
      <c r="D22">
        <v>46022</v>
      </c>
      <c r="E22" t="s">
        <v>775</v>
      </c>
      <c r="F22" t="s">
        <v>14</v>
      </c>
      <c r="G22">
        <v>36751255</v>
      </c>
      <c r="H22" t="s">
        <v>677</v>
      </c>
      <c r="I22">
        <v>43624414</v>
      </c>
      <c r="J22" t="s">
        <v>14</v>
      </c>
      <c r="K22" t="s">
        <v>18</v>
      </c>
      <c r="L22" s="1">
        <v>4725000</v>
      </c>
      <c r="M22" s="1">
        <v>4725000</v>
      </c>
      <c r="N22" t="s">
        <v>704</v>
      </c>
      <c r="O22" s="1">
        <f>M22-L22</f>
        <v>0</v>
      </c>
    </row>
    <row r="23" spans="1:17" x14ac:dyDescent="0.25">
      <c r="A23" t="s">
        <v>1012</v>
      </c>
      <c r="B23" t="s">
        <v>13</v>
      </c>
      <c r="C23">
        <v>46024</v>
      </c>
      <c r="D23">
        <v>46112</v>
      </c>
      <c r="E23" t="s">
        <v>775</v>
      </c>
      <c r="F23" t="s">
        <v>14</v>
      </c>
      <c r="G23">
        <v>1233193191</v>
      </c>
      <c r="H23" t="s">
        <v>195</v>
      </c>
      <c r="I23">
        <v>43624414</v>
      </c>
      <c r="J23" t="s">
        <v>14</v>
      </c>
      <c r="K23" t="s">
        <v>18</v>
      </c>
      <c r="M23" s="10">
        <v>9450000</v>
      </c>
      <c r="N23" t="s">
        <v>704</v>
      </c>
      <c r="Q23" s="11" t="s">
        <v>1036</v>
      </c>
    </row>
    <row r="24" spans="1:17" x14ac:dyDescent="0.25">
      <c r="A24" t="s">
        <v>528</v>
      </c>
      <c r="B24" t="s">
        <v>13</v>
      </c>
      <c r="C24">
        <v>45939</v>
      </c>
      <c r="D24">
        <v>46022</v>
      </c>
      <c r="E24" t="s">
        <v>715</v>
      </c>
      <c r="F24" t="s">
        <v>14</v>
      </c>
      <c r="G24">
        <v>1081052090</v>
      </c>
      <c r="H24" t="s">
        <v>529</v>
      </c>
      <c r="I24">
        <v>98333941</v>
      </c>
      <c r="J24" t="s">
        <v>14</v>
      </c>
      <c r="K24" t="s">
        <v>15</v>
      </c>
      <c r="L24" s="1">
        <v>6000000</v>
      </c>
      <c r="M24" s="1">
        <v>6000000</v>
      </c>
      <c r="N24" t="s">
        <v>704</v>
      </c>
      <c r="O24" s="1">
        <f t="shared" ref="O24:O47" si="1">M24-L24</f>
        <v>0</v>
      </c>
    </row>
    <row r="25" spans="1:17" x14ac:dyDescent="0.25">
      <c r="A25" t="s">
        <v>142</v>
      </c>
      <c r="B25" t="s">
        <v>13</v>
      </c>
      <c r="C25">
        <v>45945</v>
      </c>
      <c r="D25">
        <v>46022</v>
      </c>
      <c r="E25" t="s">
        <v>723</v>
      </c>
      <c r="F25" t="s">
        <v>14</v>
      </c>
      <c r="G25">
        <v>1080040525</v>
      </c>
      <c r="H25" t="s">
        <v>143</v>
      </c>
      <c r="I25">
        <v>98333941</v>
      </c>
      <c r="J25" t="s">
        <v>14</v>
      </c>
      <c r="K25" t="s">
        <v>15</v>
      </c>
      <c r="L25" s="1">
        <v>6000000</v>
      </c>
      <c r="M25" s="1">
        <v>6000000</v>
      </c>
      <c r="N25" t="s">
        <v>704</v>
      </c>
      <c r="O25" s="1">
        <f t="shared" si="1"/>
        <v>0</v>
      </c>
    </row>
    <row r="26" spans="1:17" x14ac:dyDescent="0.25">
      <c r="A26" t="s">
        <v>615</v>
      </c>
      <c r="B26" t="s">
        <v>13</v>
      </c>
      <c r="C26">
        <v>45944</v>
      </c>
      <c r="D26">
        <v>46022</v>
      </c>
      <c r="E26" t="s">
        <v>810</v>
      </c>
      <c r="F26" t="s">
        <v>14</v>
      </c>
      <c r="G26">
        <v>59313273</v>
      </c>
      <c r="H26" t="s">
        <v>616</v>
      </c>
      <c r="I26">
        <v>59836926</v>
      </c>
      <c r="J26" t="s">
        <v>14</v>
      </c>
      <c r="K26" t="s">
        <v>17</v>
      </c>
      <c r="L26" s="1">
        <v>6000000</v>
      </c>
      <c r="M26" s="1">
        <v>6000000</v>
      </c>
      <c r="N26" t="s">
        <v>704</v>
      </c>
      <c r="O26" s="1">
        <f t="shared" si="1"/>
        <v>0</v>
      </c>
    </row>
    <row r="27" spans="1:17" x14ac:dyDescent="0.25">
      <c r="A27" t="s">
        <v>522</v>
      </c>
      <c r="B27" t="s">
        <v>13</v>
      </c>
      <c r="C27">
        <v>45944</v>
      </c>
      <c r="D27">
        <v>46022</v>
      </c>
      <c r="E27" t="s">
        <v>742</v>
      </c>
      <c r="F27" t="s">
        <v>14</v>
      </c>
      <c r="G27">
        <v>1085313195</v>
      </c>
      <c r="H27" t="s">
        <v>523</v>
      </c>
      <c r="I27">
        <v>43624414</v>
      </c>
      <c r="J27" t="s">
        <v>14</v>
      </c>
      <c r="K27" t="s">
        <v>18</v>
      </c>
      <c r="L27" s="1">
        <v>6000000</v>
      </c>
      <c r="M27" s="1">
        <v>6000000</v>
      </c>
      <c r="N27" t="s">
        <v>704</v>
      </c>
      <c r="O27" s="1">
        <f t="shared" si="1"/>
        <v>0</v>
      </c>
    </row>
    <row r="28" spans="1:17" x14ac:dyDescent="0.25">
      <c r="A28" t="s">
        <v>262</v>
      </c>
      <c r="B28" t="s">
        <v>13</v>
      </c>
      <c r="C28">
        <v>45944</v>
      </c>
      <c r="D28">
        <v>46022</v>
      </c>
      <c r="E28" t="s">
        <v>751</v>
      </c>
      <c r="F28" t="s">
        <v>14</v>
      </c>
      <c r="G28">
        <v>1085334752</v>
      </c>
      <c r="H28" t="s">
        <v>263</v>
      </c>
      <c r="I28">
        <v>98333941</v>
      </c>
      <c r="J28" t="s">
        <v>14</v>
      </c>
      <c r="K28" t="s">
        <v>15</v>
      </c>
      <c r="L28" s="1">
        <v>6000000</v>
      </c>
      <c r="M28" s="1">
        <v>6000000</v>
      </c>
      <c r="N28" t="s">
        <v>704</v>
      </c>
      <c r="O28" s="1">
        <f t="shared" si="1"/>
        <v>0</v>
      </c>
    </row>
    <row r="29" spans="1:17" x14ac:dyDescent="0.25">
      <c r="A29" t="s">
        <v>406</v>
      </c>
      <c r="B29" t="s">
        <v>13</v>
      </c>
      <c r="C29">
        <v>45944</v>
      </c>
      <c r="D29">
        <v>46022</v>
      </c>
      <c r="E29" t="s">
        <v>774</v>
      </c>
      <c r="F29" t="s">
        <v>14</v>
      </c>
      <c r="G29">
        <v>87060188</v>
      </c>
      <c r="H29" t="s">
        <v>407</v>
      </c>
      <c r="I29">
        <v>43624414</v>
      </c>
      <c r="J29" t="s">
        <v>14</v>
      </c>
      <c r="K29" t="s">
        <v>18</v>
      </c>
      <c r="L29" s="1">
        <v>6000000</v>
      </c>
      <c r="M29" s="1">
        <v>6000000</v>
      </c>
      <c r="N29" t="s">
        <v>704</v>
      </c>
      <c r="O29" s="1">
        <f t="shared" si="1"/>
        <v>0</v>
      </c>
    </row>
    <row r="30" spans="1:17" x14ac:dyDescent="0.25">
      <c r="A30" t="s">
        <v>349</v>
      </c>
      <c r="B30" t="s">
        <v>13</v>
      </c>
      <c r="C30">
        <v>45944</v>
      </c>
      <c r="D30">
        <v>46022</v>
      </c>
      <c r="E30" t="s">
        <v>748</v>
      </c>
      <c r="F30" t="s">
        <v>14</v>
      </c>
      <c r="G30">
        <v>1137089036</v>
      </c>
      <c r="H30" t="s">
        <v>350</v>
      </c>
      <c r="I30">
        <v>59836926</v>
      </c>
      <c r="J30" t="s">
        <v>14</v>
      </c>
      <c r="K30" t="s">
        <v>17</v>
      </c>
      <c r="L30" s="1">
        <v>6000000</v>
      </c>
      <c r="M30" s="1">
        <v>6000000</v>
      </c>
      <c r="N30" t="s">
        <v>704</v>
      </c>
      <c r="O30" s="1">
        <f t="shared" si="1"/>
        <v>0</v>
      </c>
    </row>
    <row r="31" spans="1:17" x14ac:dyDescent="0.25">
      <c r="A31" t="s">
        <v>424</v>
      </c>
      <c r="B31" t="s">
        <v>13</v>
      </c>
      <c r="C31">
        <v>45944</v>
      </c>
      <c r="D31">
        <v>46022</v>
      </c>
      <c r="E31" t="s">
        <v>715</v>
      </c>
      <c r="F31" t="s">
        <v>14</v>
      </c>
      <c r="G31">
        <v>1233188221</v>
      </c>
      <c r="H31" t="s">
        <v>425</v>
      </c>
      <c r="I31">
        <v>98333941</v>
      </c>
      <c r="J31" t="s">
        <v>14</v>
      </c>
      <c r="K31" t="s">
        <v>15</v>
      </c>
      <c r="L31" s="1">
        <v>6000000</v>
      </c>
      <c r="M31" s="1">
        <v>6000000</v>
      </c>
      <c r="N31" t="s">
        <v>704</v>
      </c>
      <c r="O31" s="1">
        <f t="shared" si="1"/>
        <v>0</v>
      </c>
    </row>
    <row r="32" spans="1:17" x14ac:dyDescent="0.25">
      <c r="A32" t="s">
        <v>236</v>
      </c>
      <c r="B32" t="s">
        <v>13</v>
      </c>
      <c r="C32">
        <v>45944</v>
      </c>
      <c r="D32">
        <v>46022</v>
      </c>
      <c r="E32" t="s">
        <v>748</v>
      </c>
      <c r="F32" t="s">
        <v>14</v>
      </c>
      <c r="G32">
        <v>27082650</v>
      </c>
      <c r="H32" t="s">
        <v>237</v>
      </c>
      <c r="I32">
        <v>43624414</v>
      </c>
      <c r="J32" t="s">
        <v>14</v>
      </c>
      <c r="K32" t="s">
        <v>18</v>
      </c>
      <c r="L32" s="1">
        <v>6000000</v>
      </c>
      <c r="M32" s="1">
        <v>6000000</v>
      </c>
      <c r="N32" t="s">
        <v>704</v>
      </c>
      <c r="O32" s="1">
        <f t="shared" si="1"/>
        <v>0</v>
      </c>
    </row>
    <row r="33" spans="1:17" x14ac:dyDescent="0.25">
      <c r="A33" t="s">
        <v>224</v>
      </c>
      <c r="B33" t="s">
        <v>13</v>
      </c>
      <c r="C33">
        <v>45944</v>
      </c>
      <c r="D33">
        <v>46022</v>
      </c>
      <c r="E33" t="s">
        <v>715</v>
      </c>
      <c r="F33" t="s">
        <v>14</v>
      </c>
      <c r="G33">
        <v>1085253462</v>
      </c>
      <c r="H33" t="s">
        <v>225</v>
      </c>
      <c r="I33">
        <v>59836926</v>
      </c>
      <c r="J33" t="s">
        <v>14</v>
      </c>
      <c r="K33" t="s">
        <v>17</v>
      </c>
      <c r="L33" s="1">
        <v>6000000</v>
      </c>
      <c r="M33" s="1">
        <v>6000000</v>
      </c>
      <c r="N33" t="s">
        <v>704</v>
      </c>
      <c r="O33" s="1">
        <f t="shared" si="1"/>
        <v>0</v>
      </c>
    </row>
    <row r="34" spans="1:17" x14ac:dyDescent="0.25">
      <c r="A34" t="s">
        <v>241</v>
      </c>
      <c r="B34" t="s">
        <v>13</v>
      </c>
      <c r="C34">
        <v>45940</v>
      </c>
      <c r="D34">
        <v>46022</v>
      </c>
      <c r="E34" t="s">
        <v>715</v>
      </c>
      <c r="F34" t="s">
        <v>14</v>
      </c>
      <c r="G34">
        <v>1081282855</v>
      </c>
      <c r="H34" t="s">
        <v>242</v>
      </c>
      <c r="I34">
        <v>43624414</v>
      </c>
      <c r="J34" t="s">
        <v>14</v>
      </c>
      <c r="K34" t="s">
        <v>18</v>
      </c>
      <c r="L34" s="1">
        <v>6000000</v>
      </c>
      <c r="M34" s="1">
        <v>6000000</v>
      </c>
      <c r="N34" t="s">
        <v>704</v>
      </c>
      <c r="O34" s="1">
        <f t="shared" si="1"/>
        <v>0</v>
      </c>
    </row>
    <row r="35" spans="1:17" x14ac:dyDescent="0.25">
      <c r="A35" t="s">
        <v>216</v>
      </c>
      <c r="B35" t="s">
        <v>13</v>
      </c>
      <c r="C35">
        <v>45940</v>
      </c>
      <c r="D35">
        <v>46022</v>
      </c>
      <c r="E35" t="s">
        <v>742</v>
      </c>
      <c r="F35" t="s">
        <v>14</v>
      </c>
      <c r="G35">
        <v>1004217048</v>
      </c>
      <c r="H35" t="s">
        <v>217</v>
      </c>
      <c r="I35">
        <v>98333941</v>
      </c>
      <c r="J35" t="s">
        <v>14</v>
      </c>
      <c r="K35" t="s">
        <v>15</v>
      </c>
      <c r="L35" s="1">
        <v>6000000</v>
      </c>
      <c r="M35" s="1">
        <v>6000000</v>
      </c>
      <c r="N35" t="s">
        <v>704</v>
      </c>
      <c r="O35" s="1">
        <f t="shared" si="1"/>
        <v>0</v>
      </c>
    </row>
    <row r="36" spans="1:17" x14ac:dyDescent="0.25">
      <c r="A36" t="s">
        <v>535</v>
      </c>
      <c r="B36" t="s">
        <v>13</v>
      </c>
      <c r="C36">
        <v>45940</v>
      </c>
      <c r="D36">
        <v>46022</v>
      </c>
      <c r="E36" t="s">
        <v>797</v>
      </c>
      <c r="F36" t="s">
        <v>14</v>
      </c>
      <c r="G36">
        <v>1233190640</v>
      </c>
      <c r="H36" t="s">
        <v>536</v>
      </c>
      <c r="I36">
        <v>43624414</v>
      </c>
      <c r="J36" t="s">
        <v>14</v>
      </c>
      <c r="K36" t="s">
        <v>18</v>
      </c>
      <c r="L36" s="1">
        <v>6000000</v>
      </c>
      <c r="M36" s="1">
        <v>6000000</v>
      </c>
      <c r="N36" t="s">
        <v>704</v>
      </c>
      <c r="O36" s="1">
        <f t="shared" si="1"/>
        <v>0</v>
      </c>
    </row>
    <row r="37" spans="1:17" x14ac:dyDescent="0.25">
      <c r="A37" t="s">
        <v>258</v>
      </c>
      <c r="B37" t="s">
        <v>13</v>
      </c>
      <c r="C37">
        <v>45940</v>
      </c>
      <c r="D37">
        <v>46022</v>
      </c>
      <c r="E37" t="s">
        <v>715</v>
      </c>
      <c r="F37" t="s">
        <v>14</v>
      </c>
      <c r="G37">
        <v>59314118</v>
      </c>
      <c r="H37" t="s">
        <v>259</v>
      </c>
      <c r="I37">
        <v>43624414</v>
      </c>
      <c r="J37" t="s">
        <v>14</v>
      </c>
      <c r="K37" t="s">
        <v>18</v>
      </c>
      <c r="L37" s="1">
        <v>6000000</v>
      </c>
      <c r="M37" s="1">
        <v>6000000</v>
      </c>
      <c r="N37" t="s">
        <v>704</v>
      </c>
      <c r="O37" s="1">
        <f t="shared" si="1"/>
        <v>0</v>
      </c>
    </row>
    <row r="38" spans="1:17" x14ac:dyDescent="0.25">
      <c r="A38" t="s">
        <v>111</v>
      </c>
      <c r="B38" t="s">
        <v>13</v>
      </c>
      <c r="C38">
        <v>45940</v>
      </c>
      <c r="D38">
        <v>46022</v>
      </c>
      <c r="E38" t="s">
        <v>715</v>
      </c>
      <c r="F38" t="s">
        <v>14</v>
      </c>
      <c r="G38">
        <v>1085310465</v>
      </c>
      <c r="H38" t="s">
        <v>112</v>
      </c>
      <c r="I38">
        <v>98390119</v>
      </c>
      <c r="J38" t="s">
        <v>14</v>
      </c>
      <c r="K38" t="s">
        <v>63</v>
      </c>
      <c r="L38" s="1">
        <v>6000000</v>
      </c>
      <c r="M38" s="1">
        <v>6000000</v>
      </c>
      <c r="N38" t="s">
        <v>704</v>
      </c>
      <c r="O38" s="1">
        <f t="shared" si="1"/>
        <v>0</v>
      </c>
    </row>
    <row r="39" spans="1:17" x14ac:dyDescent="0.25">
      <c r="A39" t="s">
        <v>228</v>
      </c>
      <c r="B39" t="s">
        <v>13</v>
      </c>
      <c r="C39">
        <v>45940</v>
      </c>
      <c r="D39">
        <v>46022</v>
      </c>
      <c r="E39" t="s">
        <v>746</v>
      </c>
      <c r="F39" t="s">
        <v>14</v>
      </c>
      <c r="G39">
        <v>59829440</v>
      </c>
      <c r="H39" t="s">
        <v>229</v>
      </c>
      <c r="I39">
        <v>98333941</v>
      </c>
      <c r="J39" t="s">
        <v>14</v>
      </c>
      <c r="K39" t="s">
        <v>15</v>
      </c>
      <c r="L39" s="1">
        <v>6000000</v>
      </c>
      <c r="M39" s="1">
        <v>6000000</v>
      </c>
      <c r="N39" t="s">
        <v>704</v>
      </c>
      <c r="O39" s="1">
        <f t="shared" si="1"/>
        <v>0</v>
      </c>
    </row>
    <row r="40" spans="1:17" x14ac:dyDescent="0.25">
      <c r="A40" t="s">
        <v>587</v>
      </c>
      <c r="B40" t="s">
        <v>13</v>
      </c>
      <c r="C40">
        <v>45940</v>
      </c>
      <c r="D40">
        <v>46022</v>
      </c>
      <c r="E40" t="s">
        <v>715</v>
      </c>
      <c r="F40" t="s">
        <v>14</v>
      </c>
      <c r="G40">
        <v>27086745</v>
      </c>
      <c r="H40" t="s">
        <v>588</v>
      </c>
      <c r="I40">
        <v>59836926</v>
      </c>
      <c r="J40" t="s">
        <v>14</v>
      </c>
      <c r="K40" t="s">
        <v>17</v>
      </c>
      <c r="L40" s="1">
        <v>6000000</v>
      </c>
      <c r="M40" s="1">
        <v>6000000</v>
      </c>
      <c r="N40" t="s">
        <v>704</v>
      </c>
      <c r="O40" s="1">
        <f t="shared" si="1"/>
        <v>0</v>
      </c>
    </row>
    <row r="41" spans="1:17" x14ac:dyDescent="0.25">
      <c r="A41" t="s">
        <v>625</v>
      </c>
      <c r="B41" t="s">
        <v>13</v>
      </c>
      <c r="C41">
        <v>45939</v>
      </c>
      <c r="D41">
        <v>46022</v>
      </c>
      <c r="E41" t="s">
        <v>812</v>
      </c>
      <c r="F41" t="s">
        <v>14</v>
      </c>
      <c r="G41">
        <v>1085334831</v>
      </c>
      <c r="H41" t="s">
        <v>626</v>
      </c>
      <c r="I41">
        <v>98390119</v>
      </c>
      <c r="J41" t="s">
        <v>14</v>
      </c>
      <c r="K41" t="s">
        <v>63</v>
      </c>
      <c r="L41" s="1">
        <v>6000000</v>
      </c>
      <c r="M41" s="1">
        <v>6000000</v>
      </c>
      <c r="N41" t="s">
        <v>704</v>
      </c>
      <c r="O41" s="1">
        <f t="shared" si="1"/>
        <v>0</v>
      </c>
    </row>
    <row r="42" spans="1:17" x14ac:dyDescent="0.25">
      <c r="A42" t="s">
        <v>611</v>
      </c>
      <c r="B42" t="s">
        <v>13</v>
      </c>
      <c r="C42">
        <v>45939</v>
      </c>
      <c r="D42">
        <v>46022</v>
      </c>
      <c r="E42" t="s">
        <v>721</v>
      </c>
      <c r="F42" t="s">
        <v>14</v>
      </c>
      <c r="G42">
        <v>36933095</v>
      </c>
      <c r="H42" t="s">
        <v>612</v>
      </c>
      <c r="I42">
        <v>98333941</v>
      </c>
      <c r="J42" t="s">
        <v>14</v>
      </c>
      <c r="K42" t="s">
        <v>15</v>
      </c>
      <c r="L42" s="1">
        <v>6000000</v>
      </c>
      <c r="M42" s="1">
        <v>6000000</v>
      </c>
      <c r="N42" t="s">
        <v>704</v>
      </c>
      <c r="O42" s="1">
        <f t="shared" si="1"/>
        <v>0</v>
      </c>
    </row>
    <row r="43" spans="1:17" x14ac:dyDescent="0.25">
      <c r="A43" t="s">
        <v>507</v>
      </c>
      <c r="B43" t="s">
        <v>13</v>
      </c>
      <c r="C43">
        <v>45939</v>
      </c>
      <c r="D43">
        <v>46022</v>
      </c>
      <c r="E43" t="s">
        <v>715</v>
      </c>
      <c r="F43" t="s">
        <v>14</v>
      </c>
      <c r="G43">
        <v>1085317085</v>
      </c>
      <c r="H43" t="s">
        <v>508</v>
      </c>
      <c r="I43">
        <v>59836926</v>
      </c>
      <c r="J43" t="s">
        <v>14</v>
      </c>
      <c r="K43" t="s">
        <v>17</v>
      </c>
      <c r="L43" s="1">
        <v>6000000</v>
      </c>
      <c r="M43" s="1">
        <v>6000000</v>
      </c>
      <c r="N43" t="s">
        <v>704</v>
      </c>
      <c r="O43" s="1">
        <f t="shared" si="1"/>
        <v>0</v>
      </c>
    </row>
    <row r="44" spans="1:17" x14ac:dyDescent="0.25">
      <c r="A44" t="s">
        <v>501</v>
      </c>
      <c r="B44" t="s">
        <v>13</v>
      </c>
      <c r="C44">
        <v>45939</v>
      </c>
      <c r="D44">
        <v>46022</v>
      </c>
      <c r="E44" t="s">
        <v>751</v>
      </c>
      <c r="F44" t="s">
        <v>14</v>
      </c>
      <c r="G44">
        <v>12990231</v>
      </c>
      <c r="H44" t="s">
        <v>502</v>
      </c>
      <c r="I44">
        <v>59836926</v>
      </c>
      <c r="J44" t="s">
        <v>14</v>
      </c>
      <c r="K44" t="s">
        <v>17</v>
      </c>
      <c r="L44" s="1">
        <v>6000000</v>
      </c>
      <c r="M44" s="1">
        <v>6000000</v>
      </c>
      <c r="N44" t="s">
        <v>704</v>
      </c>
      <c r="O44" s="1">
        <f t="shared" si="1"/>
        <v>0</v>
      </c>
    </row>
    <row r="45" spans="1:17" x14ac:dyDescent="0.25">
      <c r="A45" t="s">
        <v>178</v>
      </c>
      <c r="B45" t="s">
        <v>13</v>
      </c>
      <c r="C45">
        <v>45939</v>
      </c>
      <c r="D45">
        <v>46022</v>
      </c>
      <c r="E45" t="s">
        <v>732</v>
      </c>
      <c r="F45" t="s">
        <v>14</v>
      </c>
      <c r="G45">
        <v>12974849</v>
      </c>
      <c r="H45" t="s">
        <v>179</v>
      </c>
      <c r="I45">
        <v>43624414</v>
      </c>
      <c r="J45" t="s">
        <v>14</v>
      </c>
      <c r="K45" t="s">
        <v>18</v>
      </c>
      <c r="L45" s="1">
        <v>6000000</v>
      </c>
      <c r="M45" s="1">
        <v>6000000</v>
      </c>
      <c r="N45" t="s">
        <v>704</v>
      </c>
      <c r="O45" s="1">
        <f t="shared" si="1"/>
        <v>0</v>
      </c>
    </row>
    <row r="46" spans="1:17" x14ac:dyDescent="0.25">
      <c r="A46" t="s">
        <v>624</v>
      </c>
      <c r="B46" t="s">
        <v>13</v>
      </c>
      <c r="C46">
        <v>45972</v>
      </c>
      <c r="D46">
        <v>46022</v>
      </c>
      <c r="E46" t="s">
        <v>775</v>
      </c>
      <c r="F46" t="s">
        <v>14</v>
      </c>
      <c r="G46">
        <v>1085317833</v>
      </c>
      <c r="H46" t="s">
        <v>41</v>
      </c>
      <c r="I46">
        <v>59836926</v>
      </c>
      <c r="J46" t="s">
        <v>14</v>
      </c>
      <c r="K46" t="s">
        <v>17</v>
      </c>
      <c r="L46" s="1">
        <v>6300000</v>
      </c>
      <c r="M46" s="1">
        <v>6300000</v>
      </c>
      <c r="N46" t="s">
        <v>704</v>
      </c>
      <c r="O46" s="1">
        <f t="shared" si="1"/>
        <v>0</v>
      </c>
    </row>
    <row r="47" spans="1:17" x14ac:dyDescent="0.25">
      <c r="A47" t="s">
        <v>513</v>
      </c>
      <c r="B47" t="s">
        <v>13</v>
      </c>
      <c r="C47">
        <v>45972</v>
      </c>
      <c r="D47">
        <v>46022</v>
      </c>
      <c r="E47" t="s">
        <v>323</v>
      </c>
      <c r="F47" t="s">
        <v>14</v>
      </c>
      <c r="G47">
        <v>1233192104</v>
      </c>
      <c r="H47" t="s">
        <v>514</v>
      </c>
      <c r="I47">
        <v>59836926</v>
      </c>
      <c r="J47" t="s">
        <v>14</v>
      </c>
      <c r="K47" t="s">
        <v>17</v>
      </c>
      <c r="L47" s="1">
        <v>6300000</v>
      </c>
      <c r="M47" s="1">
        <v>6300000</v>
      </c>
      <c r="N47" t="s">
        <v>704</v>
      </c>
      <c r="O47" s="1">
        <f t="shared" si="1"/>
        <v>0</v>
      </c>
    </row>
    <row r="48" spans="1:17" x14ac:dyDescent="0.25">
      <c r="A48" t="s">
        <v>1033</v>
      </c>
      <c r="B48" t="s">
        <v>13</v>
      </c>
      <c r="C48">
        <v>46024</v>
      </c>
      <c r="D48">
        <v>46112</v>
      </c>
      <c r="E48" t="s">
        <v>775</v>
      </c>
      <c r="F48" t="s">
        <v>14</v>
      </c>
      <c r="G48">
        <v>1082748420</v>
      </c>
      <c r="H48" t="s">
        <v>65</v>
      </c>
      <c r="I48">
        <v>98333941</v>
      </c>
      <c r="J48" t="s">
        <v>14</v>
      </c>
      <c r="K48" t="s">
        <v>15</v>
      </c>
      <c r="M48" s="10">
        <v>18900000</v>
      </c>
      <c r="N48" t="s">
        <v>704</v>
      </c>
      <c r="Q48" s="11" t="s">
        <v>1036</v>
      </c>
    </row>
    <row r="49" spans="1:17" x14ac:dyDescent="0.25">
      <c r="A49" t="s">
        <v>1040</v>
      </c>
      <c r="B49" t="s">
        <v>13</v>
      </c>
      <c r="C49">
        <v>46024</v>
      </c>
      <c r="D49">
        <v>46112</v>
      </c>
      <c r="E49" t="s">
        <v>775</v>
      </c>
      <c r="F49" t="s">
        <v>14</v>
      </c>
      <c r="G49">
        <v>1085252263</v>
      </c>
      <c r="H49" t="s">
        <v>879</v>
      </c>
      <c r="I49">
        <v>43624414</v>
      </c>
      <c r="J49" t="s">
        <v>14</v>
      </c>
      <c r="K49" t="s">
        <v>18</v>
      </c>
      <c r="M49" s="10">
        <v>9450000</v>
      </c>
      <c r="N49" t="s">
        <v>704</v>
      </c>
      <c r="Q49" s="11" t="s">
        <v>1036</v>
      </c>
    </row>
    <row r="50" spans="1:17" x14ac:dyDescent="0.25">
      <c r="A50" t="s">
        <v>408</v>
      </c>
      <c r="B50" t="s">
        <v>13</v>
      </c>
      <c r="C50">
        <v>45971</v>
      </c>
      <c r="D50">
        <v>46022</v>
      </c>
      <c r="E50" t="s">
        <v>775</v>
      </c>
      <c r="F50" t="s">
        <v>14</v>
      </c>
      <c r="G50">
        <v>1086222689</v>
      </c>
      <c r="H50" t="s">
        <v>36</v>
      </c>
      <c r="I50">
        <v>59836926</v>
      </c>
      <c r="J50" t="s">
        <v>14</v>
      </c>
      <c r="K50" t="s">
        <v>17</v>
      </c>
      <c r="L50" s="1">
        <v>6300000</v>
      </c>
      <c r="M50" s="1">
        <v>6300000</v>
      </c>
      <c r="N50" t="s">
        <v>704</v>
      </c>
      <c r="O50" s="1">
        <f t="shared" ref="O50:O95" si="2">M50-L50</f>
        <v>0</v>
      </c>
    </row>
    <row r="51" spans="1:17" x14ac:dyDescent="0.25">
      <c r="A51" t="s">
        <v>311</v>
      </c>
      <c r="B51" t="s">
        <v>13</v>
      </c>
      <c r="C51">
        <v>45971</v>
      </c>
      <c r="D51">
        <v>46022</v>
      </c>
      <c r="E51" t="s">
        <v>720</v>
      </c>
      <c r="F51" t="s">
        <v>14</v>
      </c>
      <c r="G51">
        <v>1085324685</v>
      </c>
      <c r="H51" t="s">
        <v>312</v>
      </c>
      <c r="I51">
        <v>43624414</v>
      </c>
      <c r="J51" t="s">
        <v>14</v>
      </c>
      <c r="K51" t="s">
        <v>18</v>
      </c>
      <c r="L51" s="1">
        <v>6300000</v>
      </c>
      <c r="M51" s="1">
        <v>6300000</v>
      </c>
      <c r="N51" t="s">
        <v>704</v>
      </c>
      <c r="O51" s="1">
        <f t="shared" si="2"/>
        <v>0</v>
      </c>
    </row>
    <row r="52" spans="1:17" x14ac:dyDescent="0.25">
      <c r="A52" t="s">
        <v>190</v>
      </c>
      <c r="B52" t="s">
        <v>13</v>
      </c>
      <c r="C52">
        <v>45971</v>
      </c>
      <c r="D52">
        <v>46022</v>
      </c>
      <c r="E52" t="s">
        <v>720</v>
      </c>
      <c r="F52" t="s">
        <v>14</v>
      </c>
      <c r="G52">
        <v>1085331508</v>
      </c>
      <c r="H52" t="s">
        <v>191</v>
      </c>
      <c r="I52">
        <v>59836926</v>
      </c>
      <c r="J52" t="s">
        <v>14</v>
      </c>
      <c r="K52" t="s">
        <v>17</v>
      </c>
      <c r="L52" s="1">
        <v>6300000</v>
      </c>
      <c r="M52" s="1">
        <v>6300000</v>
      </c>
      <c r="N52" t="s">
        <v>704</v>
      </c>
      <c r="O52" s="1">
        <f t="shared" si="2"/>
        <v>0</v>
      </c>
    </row>
    <row r="53" spans="1:17" x14ac:dyDescent="0.25">
      <c r="A53" t="s">
        <v>198</v>
      </c>
      <c r="B53" t="s">
        <v>13</v>
      </c>
      <c r="C53">
        <v>45968</v>
      </c>
      <c r="D53">
        <v>46022</v>
      </c>
      <c r="E53" t="s">
        <v>736</v>
      </c>
      <c r="F53" t="s">
        <v>14</v>
      </c>
      <c r="G53">
        <v>1085281002</v>
      </c>
      <c r="H53" t="s">
        <v>199</v>
      </c>
      <c r="I53">
        <v>59836926</v>
      </c>
      <c r="J53" t="s">
        <v>14</v>
      </c>
      <c r="K53" t="s">
        <v>17</v>
      </c>
      <c r="L53" s="1">
        <v>6300000</v>
      </c>
      <c r="M53" s="1">
        <v>6300000</v>
      </c>
      <c r="N53" t="s">
        <v>704</v>
      </c>
      <c r="O53" s="1">
        <f t="shared" si="2"/>
        <v>0</v>
      </c>
    </row>
    <row r="54" spans="1:17" x14ac:dyDescent="0.25">
      <c r="A54" t="s">
        <v>239</v>
      </c>
      <c r="B54" t="s">
        <v>13</v>
      </c>
      <c r="C54">
        <v>45967</v>
      </c>
      <c r="D54">
        <v>46022</v>
      </c>
      <c r="E54" t="s">
        <v>720</v>
      </c>
      <c r="F54" t="s">
        <v>14</v>
      </c>
      <c r="G54">
        <v>1085246674</v>
      </c>
      <c r="H54" t="s">
        <v>240</v>
      </c>
      <c r="I54">
        <v>43624414</v>
      </c>
      <c r="J54" t="s">
        <v>14</v>
      </c>
      <c r="K54" t="s">
        <v>18</v>
      </c>
      <c r="L54" s="1">
        <v>6300000</v>
      </c>
      <c r="M54" s="1">
        <v>6300000</v>
      </c>
      <c r="N54" t="s">
        <v>704</v>
      </c>
      <c r="O54" s="1">
        <f t="shared" si="2"/>
        <v>0</v>
      </c>
    </row>
    <row r="55" spans="1:17" x14ac:dyDescent="0.25">
      <c r="A55" t="s">
        <v>156</v>
      </c>
      <c r="B55" t="s">
        <v>13</v>
      </c>
      <c r="C55">
        <v>45967</v>
      </c>
      <c r="D55">
        <v>46022</v>
      </c>
      <c r="E55" t="s">
        <v>728</v>
      </c>
      <c r="F55" t="s">
        <v>14</v>
      </c>
      <c r="G55">
        <v>1088799080</v>
      </c>
      <c r="H55" t="s">
        <v>157</v>
      </c>
      <c r="I55">
        <v>43624414</v>
      </c>
      <c r="J55" t="s">
        <v>14</v>
      </c>
      <c r="K55" t="s">
        <v>18</v>
      </c>
      <c r="L55" s="1">
        <v>6300000</v>
      </c>
      <c r="M55" s="1">
        <v>6300000</v>
      </c>
      <c r="N55" t="s">
        <v>704</v>
      </c>
      <c r="O55" s="1">
        <f t="shared" si="2"/>
        <v>0</v>
      </c>
    </row>
    <row r="56" spans="1:17" x14ac:dyDescent="0.25">
      <c r="A56" t="s">
        <v>571</v>
      </c>
      <c r="B56" t="s">
        <v>13</v>
      </c>
      <c r="C56">
        <v>45967</v>
      </c>
      <c r="D56">
        <v>46022</v>
      </c>
      <c r="E56" t="s">
        <v>716</v>
      </c>
      <c r="F56" t="s">
        <v>14</v>
      </c>
      <c r="G56">
        <v>1233191133</v>
      </c>
      <c r="H56" t="s">
        <v>572</v>
      </c>
      <c r="I56">
        <v>59836926</v>
      </c>
      <c r="J56" t="s">
        <v>14</v>
      </c>
      <c r="K56" t="s">
        <v>17</v>
      </c>
      <c r="L56" s="1">
        <v>6300000</v>
      </c>
      <c r="M56" s="1">
        <v>6300000</v>
      </c>
      <c r="N56" t="s">
        <v>704</v>
      </c>
      <c r="O56" s="1">
        <f t="shared" si="2"/>
        <v>0</v>
      </c>
    </row>
    <row r="57" spans="1:17" x14ac:dyDescent="0.25">
      <c r="A57" t="s">
        <v>609</v>
      </c>
      <c r="B57" t="s">
        <v>13</v>
      </c>
      <c r="C57">
        <v>45966</v>
      </c>
      <c r="D57">
        <v>46022</v>
      </c>
      <c r="E57" t="s">
        <v>716</v>
      </c>
      <c r="F57" t="s">
        <v>14</v>
      </c>
      <c r="G57">
        <v>1085325325</v>
      </c>
      <c r="H57" t="s">
        <v>610</v>
      </c>
      <c r="I57">
        <v>43624414</v>
      </c>
      <c r="J57" t="s">
        <v>14</v>
      </c>
      <c r="K57" t="s">
        <v>18</v>
      </c>
      <c r="L57" s="1">
        <v>6300000</v>
      </c>
      <c r="M57" s="1">
        <v>6300000</v>
      </c>
      <c r="N57" t="s">
        <v>704</v>
      </c>
      <c r="O57" s="1">
        <f t="shared" si="2"/>
        <v>0</v>
      </c>
    </row>
    <row r="58" spans="1:17" x14ac:dyDescent="0.25">
      <c r="A58" t="s">
        <v>490</v>
      </c>
      <c r="B58" t="s">
        <v>13</v>
      </c>
      <c r="C58">
        <v>45966</v>
      </c>
      <c r="D58">
        <v>46022</v>
      </c>
      <c r="E58" t="s">
        <v>724</v>
      </c>
      <c r="F58" t="s">
        <v>14</v>
      </c>
      <c r="G58">
        <v>27091114</v>
      </c>
      <c r="H58" t="s">
        <v>80</v>
      </c>
      <c r="I58">
        <v>98390119</v>
      </c>
      <c r="J58" t="s">
        <v>14</v>
      </c>
      <c r="K58" t="s">
        <v>63</v>
      </c>
      <c r="L58" s="1">
        <v>6300000</v>
      </c>
      <c r="M58" s="1">
        <v>6300000</v>
      </c>
      <c r="N58" t="s">
        <v>704</v>
      </c>
      <c r="O58" s="1">
        <f t="shared" si="2"/>
        <v>0</v>
      </c>
    </row>
    <row r="59" spans="1:17" x14ac:dyDescent="0.25">
      <c r="A59" t="s">
        <v>232</v>
      </c>
      <c r="B59" t="s">
        <v>13</v>
      </c>
      <c r="C59">
        <v>45966</v>
      </c>
      <c r="D59">
        <v>46022</v>
      </c>
      <c r="E59" t="s">
        <v>747</v>
      </c>
      <c r="F59" t="s">
        <v>14</v>
      </c>
      <c r="G59">
        <v>1004190751</v>
      </c>
      <c r="H59" t="s">
        <v>233</v>
      </c>
      <c r="I59">
        <v>43624414</v>
      </c>
      <c r="J59" t="s">
        <v>14</v>
      </c>
      <c r="K59" t="s">
        <v>18</v>
      </c>
      <c r="L59" s="1">
        <v>6300000</v>
      </c>
      <c r="M59" s="1">
        <v>6300000</v>
      </c>
      <c r="N59" t="s">
        <v>704</v>
      </c>
      <c r="O59" s="1">
        <f t="shared" si="2"/>
        <v>0</v>
      </c>
    </row>
    <row r="60" spans="1:17" x14ac:dyDescent="0.25">
      <c r="A60" t="s">
        <v>322</v>
      </c>
      <c r="B60" t="s">
        <v>13</v>
      </c>
      <c r="C60">
        <v>45966</v>
      </c>
      <c r="D60">
        <v>46022</v>
      </c>
      <c r="E60" t="s">
        <v>323</v>
      </c>
      <c r="F60" t="s">
        <v>14</v>
      </c>
      <c r="G60">
        <v>1082748783</v>
      </c>
      <c r="H60" t="s">
        <v>67</v>
      </c>
      <c r="I60">
        <v>43624414</v>
      </c>
      <c r="J60" t="s">
        <v>14</v>
      </c>
      <c r="K60" t="s">
        <v>18</v>
      </c>
      <c r="L60" s="1">
        <v>6300000</v>
      </c>
      <c r="M60" s="1">
        <v>6300000</v>
      </c>
      <c r="N60" t="s">
        <v>704</v>
      </c>
      <c r="O60" s="1">
        <f t="shared" si="2"/>
        <v>0</v>
      </c>
    </row>
    <row r="61" spans="1:17" x14ac:dyDescent="0.25">
      <c r="A61" t="s">
        <v>648</v>
      </c>
      <c r="B61" t="s">
        <v>13</v>
      </c>
      <c r="C61">
        <v>45966</v>
      </c>
      <c r="D61">
        <v>46022</v>
      </c>
      <c r="E61" t="s">
        <v>716</v>
      </c>
      <c r="F61" t="s">
        <v>14</v>
      </c>
      <c r="G61">
        <v>59833899</v>
      </c>
      <c r="H61" t="s">
        <v>78</v>
      </c>
      <c r="I61">
        <v>43624414</v>
      </c>
      <c r="J61" t="s">
        <v>14</v>
      </c>
      <c r="K61" t="s">
        <v>18</v>
      </c>
      <c r="L61" s="1">
        <v>6300000</v>
      </c>
      <c r="M61" s="1">
        <v>6300000</v>
      </c>
      <c r="N61" t="s">
        <v>704</v>
      </c>
      <c r="O61" s="1">
        <f t="shared" si="2"/>
        <v>0</v>
      </c>
    </row>
    <row r="62" spans="1:17" x14ac:dyDescent="0.25">
      <c r="A62" t="s">
        <v>162</v>
      </c>
      <c r="B62" t="s">
        <v>13</v>
      </c>
      <c r="C62">
        <v>45966</v>
      </c>
      <c r="D62">
        <v>46022</v>
      </c>
      <c r="E62" t="s">
        <v>729</v>
      </c>
      <c r="F62" t="s">
        <v>14</v>
      </c>
      <c r="G62">
        <v>59828916</v>
      </c>
      <c r="H62" t="s">
        <v>73</v>
      </c>
      <c r="I62">
        <v>98390119</v>
      </c>
      <c r="J62" t="s">
        <v>14</v>
      </c>
      <c r="K62" t="s">
        <v>63</v>
      </c>
      <c r="L62" s="1">
        <v>6300000</v>
      </c>
      <c r="M62" s="1">
        <v>6300000</v>
      </c>
      <c r="N62" t="s">
        <v>704</v>
      </c>
      <c r="O62" s="1">
        <f t="shared" si="2"/>
        <v>0</v>
      </c>
    </row>
    <row r="63" spans="1:17" x14ac:dyDescent="0.25">
      <c r="A63" t="s">
        <v>634</v>
      </c>
      <c r="B63" t="s">
        <v>13</v>
      </c>
      <c r="C63">
        <v>45966</v>
      </c>
      <c r="D63">
        <v>46022</v>
      </c>
      <c r="E63" t="s">
        <v>815</v>
      </c>
      <c r="F63" t="s">
        <v>14</v>
      </c>
      <c r="G63">
        <v>1010099104</v>
      </c>
      <c r="H63" t="s">
        <v>635</v>
      </c>
      <c r="I63">
        <v>98390119</v>
      </c>
      <c r="J63" t="s">
        <v>14</v>
      </c>
      <c r="K63" t="s">
        <v>63</v>
      </c>
      <c r="L63" s="1">
        <v>6300000</v>
      </c>
      <c r="M63" s="1">
        <v>6300000</v>
      </c>
      <c r="N63" t="s">
        <v>704</v>
      </c>
      <c r="O63" s="1">
        <f t="shared" si="2"/>
        <v>0</v>
      </c>
    </row>
    <row r="64" spans="1:17" x14ac:dyDescent="0.25">
      <c r="A64" t="s">
        <v>332</v>
      </c>
      <c r="B64" t="s">
        <v>13</v>
      </c>
      <c r="C64">
        <v>45966</v>
      </c>
      <c r="D64">
        <v>46022</v>
      </c>
      <c r="E64" t="s">
        <v>762</v>
      </c>
      <c r="F64" t="s">
        <v>14</v>
      </c>
      <c r="G64">
        <v>1088216350</v>
      </c>
      <c r="H64" t="s">
        <v>333</v>
      </c>
      <c r="I64">
        <v>43624414</v>
      </c>
      <c r="J64" t="s">
        <v>14</v>
      </c>
      <c r="K64" t="s">
        <v>18</v>
      </c>
      <c r="L64" s="1">
        <v>6300000</v>
      </c>
      <c r="M64" s="1">
        <v>6300000</v>
      </c>
      <c r="N64" t="s">
        <v>704</v>
      </c>
      <c r="O64" s="1">
        <f t="shared" si="2"/>
        <v>0</v>
      </c>
    </row>
    <row r="65" spans="1:15" x14ac:dyDescent="0.25">
      <c r="A65" t="s">
        <v>659</v>
      </c>
      <c r="B65" t="s">
        <v>13</v>
      </c>
      <c r="C65">
        <v>45965</v>
      </c>
      <c r="D65">
        <v>46022</v>
      </c>
      <c r="E65" t="s">
        <v>720</v>
      </c>
      <c r="F65" t="s">
        <v>14</v>
      </c>
      <c r="G65">
        <v>59830040</v>
      </c>
      <c r="H65" t="s">
        <v>76</v>
      </c>
      <c r="I65">
        <v>43624414</v>
      </c>
      <c r="J65" t="s">
        <v>14</v>
      </c>
      <c r="K65" t="s">
        <v>18</v>
      </c>
      <c r="L65" s="1">
        <v>6300000</v>
      </c>
      <c r="M65" s="1">
        <v>6300000</v>
      </c>
      <c r="N65" t="s">
        <v>704</v>
      </c>
      <c r="O65" s="1">
        <f t="shared" si="2"/>
        <v>0</v>
      </c>
    </row>
    <row r="66" spans="1:15" x14ac:dyDescent="0.25">
      <c r="A66" t="s">
        <v>361</v>
      </c>
      <c r="B66" t="s">
        <v>13</v>
      </c>
      <c r="C66">
        <v>45965</v>
      </c>
      <c r="D66">
        <v>46022</v>
      </c>
      <c r="E66" t="s">
        <v>764</v>
      </c>
      <c r="F66" t="s">
        <v>14</v>
      </c>
      <c r="G66">
        <v>1085338921</v>
      </c>
      <c r="H66" t="s">
        <v>362</v>
      </c>
      <c r="I66">
        <v>98390119</v>
      </c>
      <c r="J66" t="s">
        <v>14</v>
      </c>
      <c r="K66" t="s">
        <v>63</v>
      </c>
      <c r="L66" s="1">
        <v>6300000</v>
      </c>
      <c r="M66" s="1">
        <v>6300000</v>
      </c>
      <c r="N66" t="s">
        <v>704</v>
      </c>
      <c r="O66" s="1">
        <f t="shared" si="2"/>
        <v>0</v>
      </c>
    </row>
    <row r="67" spans="1:15" x14ac:dyDescent="0.25">
      <c r="A67" t="s">
        <v>88</v>
      </c>
      <c r="B67" t="s">
        <v>13</v>
      </c>
      <c r="C67">
        <v>45965</v>
      </c>
      <c r="D67">
        <v>46022</v>
      </c>
      <c r="E67" t="s">
        <v>705</v>
      </c>
      <c r="F67" t="s">
        <v>14</v>
      </c>
      <c r="G67">
        <v>1086328142</v>
      </c>
      <c r="H67" t="s">
        <v>85</v>
      </c>
      <c r="I67">
        <v>43624414</v>
      </c>
      <c r="J67" t="s">
        <v>14</v>
      </c>
      <c r="K67" t="s">
        <v>18</v>
      </c>
      <c r="L67" s="1">
        <v>6300000</v>
      </c>
      <c r="M67" s="1">
        <v>6300000</v>
      </c>
      <c r="N67" t="s">
        <v>704</v>
      </c>
      <c r="O67" s="1">
        <f t="shared" si="2"/>
        <v>0</v>
      </c>
    </row>
    <row r="68" spans="1:15" x14ac:dyDescent="0.25">
      <c r="A68" t="s">
        <v>117</v>
      </c>
      <c r="B68" t="s">
        <v>13</v>
      </c>
      <c r="C68">
        <v>45965</v>
      </c>
      <c r="D68">
        <v>46022</v>
      </c>
      <c r="E68" t="s">
        <v>711</v>
      </c>
      <c r="F68" t="s">
        <v>14</v>
      </c>
      <c r="G68">
        <v>1084224968</v>
      </c>
      <c r="H68" t="s">
        <v>118</v>
      </c>
      <c r="I68">
        <v>98390119</v>
      </c>
      <c r="J68" t="s">
        <v>14</v>
      </c>
      <c r="K68" t="s">
        <v>63</v>
      </c>
      <c r="L68" s="1">
        <v>6300000</v>
      </c>
      <c r="M68" s="1">
        <v>6300000</v>
      </c>
      <c r="N68" t="s">
        <v>704</v>
      </c>
      <c r="O68" s="1">
        <f t="shared" si="2"/>
        <v>0</v>
      </c>
    </row>
    <row r="69" spans="1:15" x14ac:dyDescent="0.25">
      <c r="A69" t="s">
        <v>517</v>
      </c>
      <c r="B69" t="s">
        <v>13</v>
      </c>
      <c r="C69">
        <v>45965</v>
      </c>
      <c r="D69">
        <v>46022</v>
      </c>
      <c r="E69" t="s">
        <v>720</v>
      </c>
      <c r="F69" t="s">
        <v>14</v>
      </c>
      <c r="G69">
        <v>1085344795</v>
      </c>
      <c r="H69" t="s">
        <v>79</v>
      </c>
      <c r="I69">
        <v>43624414</v>
      </c>
      <c r="J69" t="s">
        <v>14</v>
      </c>
      <c r="K69" t="s">
        <v>18</v>
      </c>
      <c r="L69" s="1">
        <v>6300000</v>
      </c>
      <c r="M69" s="1">
        <v>6300000</v>
      </c>
      <c r="N69" t="s">
        <v>704</v>
      </c>
      <c r="O69" s="1">
        <f t="shared" si="2"/>
        <v>0</v>
      </c>
    </row>
    <row r="70" spans="1:15" x14ac:dyDescent="0.25">
      <c r="A70" t="s">
        <v>272</v>
      </c>
      <c r="B70" t="s">
        <v>13</v>
      </c>
      <c r="C70">
        <v>45965</v>
      </c>
      <c r="D70">
        <v>46022</v>
      </c>
      <c r="E70" t="s">
        <v>728</v>
      </c>
      <c r="F70" t="s">
        <v>14</v>
      </c>
      <c r="G70">
        <v>1085266584</v>
      </c>
      <c r="H70" t="s">
        <v>71</v>
      </c>
      <c r="I70">
        <v>59836926</v>
      </c>
      <c r="J70" t="s">
        <v>14</v>
      </c>
      <c r="K70" t="s">
        <v>17</v>
      </c>
      <c r="L70" s="1">
        <v>6300000</v>
      </c>
      <c r="M70" s="1">
        <v>6300000</v>
      </c>
      <c r="N70" t="s">
        <v>704</v>
      </c>
      <c r="O70" s="1">
        <f t="shared" si="2"/>
        <v>0</v>
      </c>
    </row>
    <row r="71" spans="1:15" x14ac:dyDescent="0.25">
      <c r="A71" t="s">
        <v>452</v>
      </c>
      <c r="B71" t="s">
        <v>13</v>
      </c>
      <c r="C71">
        <v>45965</v>
      </c>
      <c r="D71">
        <v>46022</v>
      </c>
      <c r="E71" t="s">
        <v>787</v>
      </c>
      <c r="F71" t="s">
        <v>14</v>
      </c>
      <c r="G71">
        <v>98391531</v>
      </c>
      <c r="H71" t="s">
        <v>453</v>
      </c>
      <c r="I71">
        <v>43624414</v>
      </c>
      <c r="J71" t="s">
        <v>14</v>
      </c>
      <c r="K71" t="s">
        <v>18</v>
      </c>
      <c r="L71" s="1">
        <v>6300000</v>
      </c>
      <c r="M71" s="1">
        <v>6300000</v>
      </c>
      <c r="N71" t="s">
        <v>704</v>
      </c>
      <c r="O71" s="1">
        <f t="shared" si="2"/>
        <v>0</v>
      </c>
    </row>
    <row r="72" spans="1:15" x14ac:dyDescent="0.25">
      <c r="A72" t="s">
        <v>684</v>
      </c>
      <c r="B72" t="s">
        <v>13</v>
      </c>
      <c r="C72">
        <v>45965</v>
      </c>
      <c r="D72">
        <v>46022</v>
      </c>
      <c r="E72" t="s">
        <v>716</v>
      </c>
      <c r="F72" t="s">
        <v>14</v>
      </c>
      <c r="G72">
        <v>1081592769</v>
      </c>
      <c r="H72" t="s">
        <v>685</v>
      </c>
      <c r="I72">
        <v>98390119</v>
      </c>
      <c r="J72" t="s">
        <v>14</v>
      </c>
      <c r="K72" t="s">
        <v>63</v>
      </c>
      <c r="L72" s="1">
        <v>6300000</v>
      </c>
      <c r="M72" s="1">
        <v>6300000</v>
      </c>
      <c r="N72" t="s">
        <v>704</v>
      </c>
      <c r="O72" s="1">
        <f t="shared" si="2"/>
        <v>0</v>
      </c>
    </row>
    <row r="73" spans="1:15" x14ac:dyDescent="0.25">
      <c r="A73" t="s">
        <v>120</v>
      </c>
      <c r="B73" t="s">
        <v>13</v>
      </c>
      <c r="C73">
        <v>45965</v>
      </c>
      <c r="D73">
        <v>46022</v>
      </c>
      <c r="E73" t="s">
        <v>705</v>
      </c>
      <c r="F73" t="s">
        <v>14</v>
      </c>
      <c r="G73">
        <v>1085286742</v>
      </c>
      <c r="H73" t="s">
        <v>37</v>
      </c>
      <c r="I73">
        <v>98390119</v>
      </c>
      <c r="J73" t="s">
        <v>14</v>
      </c>
      <c r="K73" t="s">
        <v>63</v>
      </c>
      <c r="L73" s="1">
        <v>6300000</v>
      </c>
      <c r="M73" s="1">
        <v>6300000</v>
      </c>
      <c r="N73" t="s">
        <v>704</v>
      </c>
      <c r="O73" s="1">
        <f t="shared" si="2"/>
        <v>0</v>
      </c>
    </row>
    <row r="74" spans="1:15" x14ac:dyDescent="0.25">
      <c r="A74" t="s">
        <v>313</v>
      </c>
      <c r="B74" t="s">
        <v>13</v>
      </c>
      <c r="C74">
        <v>45960</v>
      </c>
      <c r="D74">
        <v>46022</v>
      </c>
      <c r="E74" t="s">
        <v>756</v>
      </c>
      <c r="F74" t="s">
        <v>14</v>
      </c>
      <c r="G74">
        <v>1085331558</v>
      </c>
      <c r="H74" t="s">
        <v>314</v>
      </c>
      <c r="I74">
        <v>98390119</v>
      </c>
      <c r="J74" t="s">
        <v>14</v>
      </c>
      <c r="K74" t="s">
        <v>63</v>
      </c>
      <c r="L74" s="1">
        <v>6300000</v>
      </c>
      <c r="M74" s="1">
        <v>6300000</v>
      </c>
      <c r="N74" t="s">
        <v>704</v>
      </c>
      <c r="O74" s="1">
        <f t="shared" si="2"/>
        <v>0</v>
      </c>
    </row>
    <row r="75" spans="1:15" x14ac:dyDescent="0.25">
      <c r="A75" t="s">
        <v>160</v>
      </c>
      <c r="B75" t="s">
        <v>13</v>
      </c>
      <c r="C75">
        <v>45960</v>
      </c>
      <c r="D75">
        <v>46022</v>
      </c>
      <c r="E75" t="s">
        <v>720</v>
      </c>
      <c r="F75" t="s">
        <v>14</v>
      </c>
      <c r="G75">
        <v>1086018841</v>
      </c>
      <c r="H75" t="s">
        <v>161</v>
      </c>
      <c r="I75">
        <v>43624414</v>
      </c>
      <c r="J75" t="s">
        <v>14</v>
      </c>
      <c r="K75" t="s">
        <v>18</v>
      </c>
      <c r="L75" s="1">
        <v>6300000</v>
      </c>
      <c r="M75" s="1">
        <v>6300000</v>
      </c>
      <c r="N75" t="s">
        <v>704</v>
      </c>
      <c r="O75" s="1">
        <f t="shared" si="2"/>
        <v>0</v>
      </c>
    </row>
    <row r="76" spans="1:15" x14ac:dyDescent="0.25">
      <c r="A76" t="s">
        <v>339</v>
      </c>
      <c r="B76" t="s">
        <v>13</v>
      </c>
      <c r="C76">
        <v>45960</v>
      </c>
      <c r="D76">
        <v>46022</v>
      </c>
      <c r="E76" t="s">
        <v>705</v>
      </c>
      <c r="F76" t="s">
        <v>14</v>
      </c>
      <c r="G76">
        <v>1085270448</v>
      </c>
      <c r="H76" t="s">
        <v>340</v>
      </c>
      <c r="I76">
        <v>98390119</v>
      </c>
      <c r="J76" t="s">
        <v>14</v>
      </c>
      <c r="K76" t="s">
        <v>63</v>
      </c>
      <c r="L76" s="1">
        <v>6300000</v>
      </c>
      <c r="M76" s="1">
        <v>6300000</v>
      </c>
      <c r="N76" t="s">
        <v>704</v>
      </c>
      <c r="O76" s="1">
        <f t="shared" si="2"/>
        <v>0</v>
      </c>
    </row>
    <row r="77" spans="1:15" x14ac:dyDescent="0.25">
      <c r="A77" t="s">
        <v>172</v>
      </c>
      <c r="B77" t="s">
        <v>13</v>
      </c>
      <c r="C77">
        <v>45947</v>
      </c>
      <c r="D77">
        <v>46022</v>
      </c>
      <c r="E77" t="s">
        <v>731</v>
      </c>
      <c r="F77" t="s">
        <v>14</v>
      </c>
      <c r="G77">
        <v>59834953</v>
      </c>
      <c r="H77" t="s">
        <v>35</v>
      </c>
      <c r="I77">
        <v>98390119</v>
      </c>
      <c r="J77" t="s">
        <v>14</v>
      </c>
      <c r="K77" t="s">
        <v>63</v>
      </c>
      <c r="L77" s="1">
        <v>7875000</v>
      </c>
      <c r="M77" s="1">
        <v>7875000</v>
      </c>
      <c r="N77" t="s">
        <v>704</v>
      </c>
      <c r="O77" s="1">
        <f t="shared" si="2"/>
        <v>0</v>
      </c>
    </row>
    <row r="78" spans="1:15" x14ac:dyDescent="0.25">
      <c r="A78" t="s">
        <v>469</v>
      </c>
      <c r="B78" t="s">
        <v>13</v>
      </c>
      <c r="C78">
        <v>45946</v>
      </c>
      <c r="D78">
        <v>46022</v>
      </c>
      <c r="E78" t="s">
        <v>720</v>
      </c>
      <c r="F78" t="s">
        <v>14</v>
      </c>
      <c r="G78">
        <v>59813323</v>
      </c>
      <c r="H78" t="s">
        <v>74</v>
      </c>
      <c r="I78">
        <v>59836926</v>
      </c>
      <c r="J78" t="s">
        <v>14</v>
      </c>
      <c r="K78" t="s">
        <v>17</v>
      </c>
      <c r="L78" s="1">
        <v>7875000</v>
      </c>
      <c r="M78" s="1">
        <v>7875000</v>
      </c>
      <c r="N78" t="s">
        <v>704</v>
      </c>
      <c r="O78" s="1">
        <f t="shared" si="2"/>
        <v>0</v>
      </c>
    </row>
    <row r="79" spans="1:15" x14ac:dyDescent="0.25">
      <c r="A79" t="s">
        <v>484</v>
      </c>
      <c r="B79" t="s">
        <v>13</v>
      </c>
      <c r="C79">
        <v>45946</v>
      </c>
      <c r="D79">
        <v>46022</v>
      </c>
      <c r="E79" t="s">
        <v>764</v>
      </c>
      <c r="F79" t="s">
        <v>14</v>
      </c>
      <c r="G79">
        <v>1193405962</v>
      </c>
      <c r="H79" t="s">
        <v>485</v>
      </c>
      <c r="I79">
        <v>59836926</v>
      </c>
      <c r="J79" t="s">
        <v>14</v>
      </c>
      <c r="K79" t="s">
        <v>17</v>
      </c>
      <c r="L79" s="1">
        <v>7875000</v>
      </c>
      <c r="M79" s="1">
        <v>7875000</v>
      </c>
      <c r="N79" t="s">
        <v>704</v>
      </c>
      <c r="O79" s="1">
        <f t="shared" si="2"/>
        <v>0</v>
      </c>
    </row>
    <row r="80" spans="1:15" x14ac:dyDescent="0.25">
      <c r="A80" t="s">
        <v>404</v>
      </c>
      <c r="B80" t="s">
        <v>13</v>
      </c>
      <c r="C80">
        <v>45946</v>
      </c>
      <c r="D80">
        <v>46022</v>
      </c>
      <c r="E80" t="s">
        <v>773</v>
      </c>
      <c r="F80" t="s">
        <v>14</v>
      </c>
      <c r="G80">
        <v>1085327677</v>
      </c>
      <c r="H80" t="s">
        <v>405</v>
      </c>
      <c r="I80">
        <v>43624414</v>
      </c>
      <c r="J80" t="s">
        <v>14</v>
      </c>
      <c r="K80" t="s">
        <v>18</v>
      </c>
      <c r="L80" s="1">
        <v>7875000</v>
      </c>
      <c r="M80" s="1">
        <v>7875000</v>
      </c>
      <c r="N80" t="s">
        <v>704</v>
      </c>
      <c r="O80" s="1">
        <f t="shared" si="2"/>
        <v>0</v>
      </c>
    </row>
    <row r="81" spans="1:17" x14ac:dyDescent="0.25">
      <c r="A81" t="s">
        <v>682</v>
      </c>
      <c r="B81" t="s">
        <v>13</v>
      </c>
      <c r="C81">
        <v>45946</v>
      </c>
      <c r="D81">
        <v>46022</v>
      </c>
      <c r="E81" t="s">
        <v>716</v>
      </c>
      <c r="F81" t="s">
        <v>14</v>
      </c>
      <c r="G81">
        <v>36950892</v>
      </c>
      <c r="H81" t="s">
        <v>683</v>
      </c>
      <c r="I81">
        <v>59836926</v>
      </c>
      <c r="J81" t="s">
        <v>14</v>
      </c>
      <c r="K81" t="s">
        <v>17</v>
      </c>
      <c r="L81" s="1">
        <v>7875000</v>
      </c>
      <c r="M81" s="1">
        <v>7875000</v>
      </c>
      <c r="N81" t="s">
        <v>704</v>
      </c>
      <c r="O81" s="1">
        <f t="shared" si="2"/>
        <v>0</v>
      </c>
    </row>
    <row r="82" spans="1:17" x14ac:dyDescent="0.25">
      <c r="A82" t="s">
        <v>551</v>
      </c>
      <c r="B82" t="s">
        <v>13</v>
      </c>
      <c r="C82">
        <v>45946</v>
      </c>
      <c r="D82">
        <v>46022</v>
      </c>
      <c r="E82" t="s">
        <v>801</v>
      </c>
      <c r="F82" t="s">
        <v>14</v>
      </c>
      <c r="G82">
        <v>1086329800</v>
      </c>
      <c r="H82" t="s">
        <v>552</v>
      </c>
      <c r="I82">
        <v>59836926</v>
      </c>
      <c r="J82" t="s">
        <v>14</v>
      </c>
      <c r="K82" t="s">
        <v>17</v>
      </c>
      <c r="L82" s="1">
        <v>7875000</v>
      </c>
      <c r="M82" s="1">
        <v>7875000</v>
      </c>
      <c r="N82" t="s">
        <v>704</v>
      </c>
      <c r="O82" s="1">
        <f t="shared" si="2"/>
        <v>0</v>
      </c>
    </row>
    <row r="83" spans="1:17" x14ac:dyDescent="0.25">
      <c r="A83" t="s">
        <v>467</v>
      </c>
      <c r="B83" t="s">
        <v>13</v>
      </c>
      <c r="C83">
        <v>45946</v>
      </c>
      <c r="D83">
        <v>46022</v>
      </c>
      <c r="E83" t="s">
        <v>716</v>
      </c>
      <c r="F83" t="s">
        <v>14</v>
      </c>
      <c r="G83">
        <v>27253636</v>
      </c>
      <c r="H83" t="s">
        <v>468</v>
      </c>
      <c r="I83">
        <v>98390119</v>
      </c>
      <c r="J83" t="s">
        <v>14</v>
      </c>
      <c r="K83" t="s">
        <v>63</v>
      </c>
      <c r="L83" s="1">
        <v>7875000</v>
      </c>
      <c r="M83" s="1">
        <v>7875000</v>
      </c>
      <c r="N83" t="s">
        <v>704</v>
      </c>
      <c r="O83" s="1">
        <f t="shared" si="2"/>
        <v>0</v>
      </c>
    </row>
    <row r="84" spans="1:17" x14ac:dyDescent="0.25">
      <c r="A84" t="s">
        <v>282</v>
      </c>
      <c r="B84" t="s">
        <v>13</v>
      </c>
      <c r="C84">
        <v>45946</v>
      </c>
      <c r="D84">
        <v>46022</v>
      </c>
      <c r="E84" t="s">
        <v>753</v>
      </c>
      <c r="F84" t="s">
        <v>14</v>
      </c>
      <c r="G84">
        <v>27285974</v>
      </c>
      <c r="H84" t="s">
        <v>283</v>
      </c>
      <c r="I84">
        <v>59836926</v>
      </c>
      <c r="J84" t="s">
        <v>14</v>
      </c>
      <c r="K84" t="s">
        <v>17</v>
      </c>
      <c r="L84" s="1">
        <v>7875000</v>
      </c>
      <c r="M84" s="1">
        <v>7875000</v>
      </c>
      <c r="N84" t="s">
        <v>704</v>
      </c>
      <c r="O84" s="1">
        <f t="shared" si="2"/>
        <v>0</v>
      </c>
    </row>
    <row r="85" spans="1:17" x14ac:dyDescent="0.25">
      <c r="A85" t="s">
        <v>619</v>
      </c>
      <c r="B85" t="s">
        <v>13</v>
      </c>
      <c r="C85">
        <v>45946</v>
      </c>
      <c r="D85">
        <v>46022</v>
      </c>
      <c r="E85" t="s">
        <v>811</v>
      </c>
      <c r="F85" t="s">
        <v>14</v>
      </c>
      <c r="G85">
        <v>1088975658</v>
      </c>
      <c r="H85" t="s">
        <v>620</v>
      </c>
      <c r="I85">
        <v>59836926</v>
      </c>
      <c r="J85" t="s">
        <v>14</v>
      </c>
      <c r="K85" t="s">
        <v>17</v>
      </c>
      <c r="L85" s="1">
        <v>7875000</v>
      </c>
      <c r="M85" s="1">
        <v>7875000</v>
      </c>
      <c r="N85" t="s">
        <v>704</v>
      </c>
      <c r="O85" s="1">
        <f t="shared" si="2"/>
        <v>0</v>
      </c>
    </row>
    <row r="86" spans="1:17" x14ac:dyDescent="0.25">
      <c r="A86" t="s">
        <v>138</v>
      </c>
      <c r="B86" t="s">
        <v>13</v>
      </c>
      <c r="C86">
        <v>45946</v>
      </c>
      <c r="D86">
        <v>46022</v>
      </c>
      <c r="E86" t="s">
        <v>720</v>
      </c>
      <c r="F86" t="s">
        <v>14</v>
      </c>
      <c r="G86">
        <v>1080693240</v>
      </c>
      <c r="H86" t="s">
        <v>139</v>
      </c>
      <c r="I86">
        <v>59836926</v>
      </c>
      <c r="J86" t="s">
        <v>14</v>
      </c>
      <c r="K86" t="s">
        <v>17</v>
      </c>
      <c r="L86" s="1">
        <v>7875000</v>
      </c>
      <c r="M86" s="1">
        <v>7875000</v>
      </c>
      <c r="N86" t="s">
        <v>704</v>
      </c>
      <c r="O86" s="1">
        <f t="shared" si="2"/>
        <v>0</v>
      </c>
    </row>
    <row r="87" spans="1:17" x14ac:dyDescent="0.25">
      <c r="A87" t="s">
        <v>622</v>
      </c>
      <c r="B87" t="s">
        <v>13</v>
      </c>
      <c r="C87">
        <v>45946</v>
      </c>
      <c r="D87">
        <v>46022</v>
      </c>
      <c r="E87" t="s">
        <v>705</v>
      </c>
      <c r="F87" t="s">
        <v>14</v>
      </c>
      <c r="G87">
        <v>1137089268</v>
      </c>
      <c r="H87" t="s">
        <v>623</v>
      </c>
      <c r="I87">
        <v>59836926</v>
      </c>
      <c r="J87" t="s">
        <v>14</v>
      </c>
      <c r="K87" t="s">
        <v>17</v>
      </c>
      <c r="L87" s="1">
        <v>7875000</v>
      </c>
      <c r="M87" s="1">
        <v>7875000</v>
      </c>
      <c r="N87" t="s">
        <v>704</v>
      </c>
      <c r="O87" s="1">
        <f t="shared" si="2"/>
        <v>0</v>
      </c>
    </row>
    <row r="88" spans="1:17" x14ac:dyDescent="0.25">
      <c r="A88" t="s">
        <v>188</v>
      </c>
      <c r="B88" t="s">
        <v>13</v>
      </c>
      <c r="C88">
        <v>45945</v>
      </c>
      <c r="D88">
        <v>46022</v>
      </c>
      <c r="E88" t="s">
        <v>720</v>
      </c>
      <c r="F88" t="s">
        <v>14</v>
      </c>
      <c r="G88">
        <v>1004343043</v>
      </c>
      <c r="H88" t="s">
        <v>189</v>
      </c>
      <c r="I88">
        <v>98390119</v>
      </c>
      <c r="J88" t="s">
        <v>14</v>
      </c>
      <c r="K88" t="s">
        <v>63</v>
      </c>
      <c r="L88" s="1">
        <v>7875000</v>
      </c>
      <c r="M88" s="1">
        <v>7875000</v>
      </c>
      <c r="N88" t="s">
        <v>704</v>
      </c>
      <c r="O88" s="1">
        <f t="shared" si="2"/>
        <v>0</v>
      </c>
    </row>
    <row r="89" spans="1:17" x14ac:dyDescent="0.25">
      <c r="A89" t="s">
        <v>100</v>
      </c>
      <c r="B89" t="s">
        <v>13</v>
      </c>
      <c r="C89">
        <v>45945</v>
      </c>
      <c r="D89">
        <v>46022</v>
      </c>
      <c r="E89" t="s">
        <v>712</v>
      </c>
      <c r="F89" t="s">
        <v>14</v>
      </c>
      <c r="G89">
        <v>87030128</v>
      </c>
      <c r="H89" t="s">
        <v>101</v>
      </c>
      <c r="I89">
        <v>98390119</v>
      </c>
      <c r="J89" t="s">
        <v>14</v>
      </c>
      <c r="K89" t="s">
        <v>63</v>
      </c>
      <c r="L89" s="1">
        <v>7875000</v>
      </c>
      <c r="M89" s="1">
        <v>7875000</v>
      </c>
      <c r="N89" t="s">
        <v>704</v>
      </c>
      <c r="O89" s="1">
        <f t="shared" si="2"/>
        <v>0</v>
      </c>
    </row>
    <row r="90" spans="1:17" x14ac:dyDescent="0.25">
      <c r="A90" t="s">
        <v>184</v>
      </c>
      <c r="B90" t="s">
        <v>13</v>
      </c>
      <c r="C90">
        <v>45945</v>
      </c>
      <c r="D90">
        <v>46022</v>
      </c>
      <c r="E90" t="s">
        <v>734</v>
      </c>
      <c r="F90" t="s">
        <v>14</v>
      </c>
      <c r="G90">
        <v>27388522</v>
      </c>
      <c r="H90" t="s">
        <v>38</v>
      </c>
      <c r="I90">
        <v>98390119</v>
      </c>
      <c r="J90" t="s">
        <v>14</v>
      </c>
      <c r="K90" t="s">
        <v>63</v>
      </c>
      <c r="L90" s="1">
        <v>7875000</v>
      </c>
      <c r="M90" s="1">
        <v>7875000</v>
      </c>
      <c r="N90" t="s">
        <v>704</v>
      </c>
      <c r="O90" s="1">
        <f t="shared" si="2"/>
        <v>0</v>
      </c>
    </row>
    <row r="91" spans="1:17" x14ac:dyDescent="0.25">
      <c r="A91" t="s">
        <v>655</v>
      </c>
      <c r="B91" t="s">
        <v>13</v>
      </c>
      <c r="C91">
        <v>45938</v>
      </c>
      <c r="D91">
        <v>46022</v>
      </c>
      <c r="E91" t="s">
        <v>720</v>
      </c>
      <c r="F91" t="s">
        <v>14</v>
      </c>
      <c r="G91">
        <v>1081592742</v>
      </c>
      <c r="H91" t="s">
        <v>656</v>
      </c>
      <c r="I91">
        <v>98333941</v>
      </c>
      <c r="J91" t="s">
        <v>14</v>
      </c>
      <c r="K91" t="s">
        <v>15</v>
      </c>
      <c r="L91" s="1">
        <v>9450000</v>
      </c>
      <c r="M91" s="1">
        <v>9450000</v>
      </c>
      <c r="N91" t="s">
        <v>704</v>
      </c>
      <c r="O91" s="1">
        <f t="shared" si="2"/>
        <v>0</v>
      </c>
    </row>
    <row r="92" spans="1:17" x14ac:dyDescent="0.25">
      <c r="A92" t="s">
        <v>392</v>
      </c>
      <c r="B92" t="s">
        <v>13</v>
      </c>
      <c r="C92">
        <v>45937</v>
      </c>
      <c r="D92">
        <v>46022</v>
      </c>
      <c r="E92" t="s">
        <v>770</v>
      </c>
      <c r="F92" t="s">
        <v>14</v>
      </c>
      <c r="G92">
        <v>1081272318</v>
      </c>
      <c r="H92" t="s">
        <v>393</v>
      </c>
      <c r="I92">
        <v>43624414</v>
      </c>
      <c r="J92" t="s">
        <v>14</v>
      </c>
      <c r="K92" t="s">
        <v>18</v>
      </c>
      <c r="L92" s="1">
        <v>9450000</v>
      </c>
      <c r="M92" s="1">
        <v>9450000</v>
      </c>
      <c r="N92" t="s">
        <v>704</v>
      </c>
      <c r="O92" s="1">
        <f t="shared" si="2"/>
        <v>0</v>
      </c>
    </row>
    <row r="93" spans="1:17" x14ac:dyDescent="0.25">
      <c r="A93" t="s">
        <v>669</v>
      </c>
      <c r="B93" t="s">
        <v>13</v>
      </c>
      <c r="C93">
        <v>45937</v>
      </c>
      <c r="D93">
        <v>46022</v>
      </c>
      <c r="E93" t="s">
        <v>724</v>
      </c>
      <c r="F93" t="s">
        <v>14</v>
      </c>
      <c r="G93">
        <v>27222016</v>
      </c>
      <c r="H93" t="s">
        <v>670</v>
      </c>
      <c r="I93">
        <v>59836926</v>
      </c>
      <c r="J93" t="s">
        <v>14</v>
      </c>
      <c r="K93" t="s">
        <v>17</v>
      </c>
      <c r="L93" s="1">
        <v>9450000</v>
      </c>
      <c r="M93" s="1">
        <v>9450000</v>
      </c>
      <c r="N93" t="s">
        <v>704</v>
      </c>
      <c r="O93" s="1">
        <f t="shared" si="2"/>
        <v>0</v>
      </c>
    </row>
    <row r="94" spans="1:17" x14ac:dyDescent="0.25">
      <c r="A94" t="s">
        <v>577</v>
      </c>
      <c r="B94" t="s">
        <v>13</v>
      </c>
      <c r="C94">
        <v>45937</v>
      </c>
      <c r="D94">
        <v>46022</v>
      </c>
      <c r="E94" t="s">
        <v>805</v>
      </c>
      <c r="F94" t="s">
        <v>14</v>
      </c>
      <c r="G94">
        <v>1085317094</v>
      </c>
      <c r="H94" t="s">
        <v>578</v>
      </c>
      <c r="I94">
        <v>59836926</v>
      </c>
      <c r="J94" t="s">
        <v>14</v>
      </c>
      <c r="K94" t="s">
        <v>17</v>
      </c>
      <c r="L94" s="1">
        <v>9450000</v>
      </c>
      <c r="M94" s="1">
        <v>9450000</v>
      </c>
      <c r="N94" t="s">
        <v>704</v>
      </c>
      <c r="O94" s="1">
        <f t="shared" si="2"/>
        <v>0</v>
      </c>
    </row>
    <row r="95" spans="1:17" x14ac:dyDescent="0.25">
      <c r="A95" t="s">
        <v>442</v>
      </c>
      <c r="B95" t="s">
        <v>13</v>
      </c>
      <c r="C95">
        <v>45936</v>
      </c>
      <c r="D95">
        <v>46022</v>
      </c>
      <c r="E95" t="s">
        <v>783</v>
      </c>
      <c r="F95" t="s">
        <v>14</v>
      </c>
      <c r="G95">
        <v>1085261053</v>
      </c>
      <c r="H95" t="s">
        <v>443</v>
      </c>
      <c r="I95">
        <v>98333941</v>
      </c>
      <c r="J95" t="s">
        <v>14</v>
      </c>
      <c r="K95" t="s">
        <v>15</v>
      </c>
      <c r="L95" s="1">
        <v>9450000</v>
      </c>
      <c r="M95" s="1">
        <v>9450000</v>
      </c>
      <c r="N95" t="s">
        <v>704</v>
      </c>
      <c r="O95" s="1">
        <f t="shared" si="2"/>
        <v>0</v>
      </c>
    </row>
    <row r="96" spans="1:17" x14ac:dyDescent="0.25">
      <c r="A96" t="s">
        <v>1034</v>
      </c>
      <c r="B96" t="s">
        <v>13</v>
      </c>
      <c r="C96">
        <v>46024</v>
      </c>
      <c r="D96">
        <v>46112</v>
      </c>
      <c r="E96" t="s">
        <v>775</v>
      </c>
      <c r="F96" t="s">
        <v>14</v>
      </c>
      <c r="G96">
        <v>1089458048</v>
      </c>
      <c r="H96" t="s">
        <v>492</v>
      </c>
      <c r="I96">
        <v>98333941</v>
      </c>
      <c r="J96" t="s">
        <v>14</v>
      </c>
      <c r="K96" t="s">
        <v>15</v>
      </c>
      <c r="M96" s="10">
        <v>9450000</v>
      </c>
      <c r="N96" t="s">
        <v>704</v>
      </c>
      <c r="Q96" s="11" t="s">
        <v>1036</v>
      </c>
    </row>
    <row r="97" spans="1:17" x14ac:dyDescent="0.25">
      <c r="A97" t="s">
        <v>1041</v>
      </c>
      <c r="B97" t="s">
        <v>13</v>
      </c>
      <c r="C97">
        <v>46024</v>
      </c>
      <c r="D97">
        <v>46112</v>
      </c>
      <c r="E97" t="s">
        <v>775</v>
      </c>
      <c r="F97" t="s">
        <v>14</v>
      </c>
      <c r="G97">
        <v>1081592303</v>
      </c>
      <c r="H97" t="s">
        <v>32</v>
      </c>
      <c r="I97">
        <v>43624414</v>
      </c>
      <c r="J97" t="s">
        <v>14</v>
      </c>
      <c r="K97" t="s">
        <v>18</v>
      </c>
      <c r="M97" s="10">
        <v>9450000</v>
      </c>
      <c r="N97" t="s">
        <v>704</v>
      </c>
      <c r="Q97" s="11" t="s">
        <v>1036</v>
      </c>
    </row>
    <row r="98" spans="1:17" x14ac:dyDescent="0.25">
      <c r="A98" t="s">
        <v>1042</v>
      </c>
      <c r="B98" t="s">
        <v>13</v>
      </c>
      <c r="C98">
        <v>46024</v>
      </c>
      <c r="D98">
        <v>46112</v>
      </c>
      <c r="E98" t="s">
        <v>775</v>
      </c>
      <c r="F98" t="s">
        <v>14</v>
      </c>
      <c r="G98">
        <v>1081272025</v>
      </c>
      <c r="H98" t="s">
        <v>850</v>
      </c>
      <c r="I98">
        <v>59836926</v>
      </c>
      <c r="J98" t="s">
        <v>14</v>
      </c>
      <c r="K98" t="s">
        <v>17</v>
      </c>
      <c r="M98" s="10">
        <v>9450000</v>
      </c>
      <c r="N98" t="s">
        <v>704</v>
      </c>
      <c r="Q98" s="11" t="s">
        <v>1036</v>
      </c>
    </row>
    <row r="99" spans="1:17" x14ac:dyDescent="0.25">
      <c r="A99" t="s">
        <v>477</v>
      </c>
      <c r="B99" t="s">
        <v>13</v>
      </c>
      <c r="C99">
        <v>45936</v>
      </c>
      <c r="D99">
        <v>46022</v>
      </c>
      <c r="E99" t="s">
        <v>731</v>
      </c>
      <c r="F99" t="s">
        <v>14</v>
      </c>
      <c r="G99">
        <v>1004190984</v>
      </c>
      <c r="H99" t="s">
        <v>478</v>
      </c>
      <c r="I99">
        <v>98333941</v>
      </c>
      <c r="J99" t="s">
        <v>14</v>
      </c>
      <c r="K99" t="s">
        <v>15</v>
      </c>
      <c r="L99" s="1">
        <v>9450000</v>
      </c>
      <c r="M99" s="1">
        <v>9450000</v>
      </c>
      <c r="N99" t="s">
        <v>704</v>
      </c>
      <c r="O99" s="1">
        <f t="shared" ref="O99:O122" si="3">M99-L99</f>
        <v>0</v>
      </c>
    </row>
    <row r="100" spans="1:17" x14ac:dyDescent="0.25">
      <c r="A100" t="s">
        <v>661</v>
      </c>
      <c r="B100" t="s">
        <v>13</v>
      </c>
      <c r="C100">
        <v>45932</v>
      </c>
      <c r="D100">
        <v>46022</v>
      </c>
      <c r="E100" t="s">
        <v>747</v>
      </c>
      <c r="F100" t="s">
        <v>14</v>
      </c>
      <c r="G100">
        <v>1081052779</v>
      </c>
      <c r="H100" t="s">
        <v>662</v>
      </c>
      <c r="I100">
        <v>98390119</v>
      </c>
      <c r="J100" t="s">
        <v>14</v>
      </c>
      <c r="K100" t="s">
        <v>63</v>
      </c>
      <c r="L100" s="1">
        <v>9450000</v>
      </c>
      <c r="M100" s="1">
        <v>9450000</v>
      </c>
      <c r="N100" t="s">
        <v>704</v>
      </c>
      <c r="O100" s="1">
        <f t="shared" si="3"/>
        <v>0</v>
      </c>
    </row>
    <row r="101" spans="1:17" x14ac:dyDescent="0.25">
      <c r="A101" t="s">
        <v>448</v>
      </c>
      <c r="B101" t="s">
        <v>13</v>
      </c>
      <c r="C101">
        <v>45931</v>
      </c>
      <c r="D101">
        <v>46022</v>
      </c>
      <c r="E101" t="s">
        <v>785</v>
      </c>
      <c r="F101" t="s">
        <v>14</v>
      </c>
      <c r="G101">
        <v>1004592366</v>
      </c>
      <c r="H101" t="s">
        <v>449</v>
      </c>
      <c r="I101">
        <v>98390119</v>
      </c>
      <c r="J101" t="s">
        <v>14</v>
      </c>
      <c r="K101" t="s">
        <v>63</v>
      </c>
      <c r="L101" s="1">
        <v>9450000</v>
      </c>
      <c r="M101" s="1">
        <v>9450000</v>
      </c>
      <c r="N101" t="s">
        <v>704</v>
      </c>
      <c r="O101" s="1">
        <f t="shared" si="3"/>
        <v>0</v>
      </c>
    </row>
    <row r="102" spans="1:17" x14ac:dyDescent="0.25">
      <c r="A102" t="s">
        <v>675</v>
      </c>
      <c r="B102" t="s">
        <v>13</v>
      </c>
      <c r="C102">
        <v>45931</v>
      </c>
      <c r="D102">
        <v>46022</v>
      </c>
      <c r="E102" t="s">
        <v>815</v>
      </c>
      <c r="F102" t="s">
        <v>14</v>
      </c>
      <c r="G102">
        <v>1085304308</v>
      </c>
      <c r="H102" t="s">
        <v>68</v>
      </c>
      <c r="I102">
        <v>98333941</v>
      </c>
      <c r="J102" t="s">
        <v>14</v>
      </c>
      <c r="K102" t="s">
        <v>15</v>
      </c>
      <c r="L102" s="1">
        <v>9450000</v>
      </c>
      <c r="M102" s="1">
        <v>9450000</v>
      </c>
      <c r="N102" t="s">
        <v>704</v>
      </c>
      <c r="O102" s="1">
        <f t="shared" si="3"/>
        <v>0</v>
      </c>
    </row>
    <row r="103" spans="1:17" x14ac:dyDescent="0.25">
      <c r="A103" t="s">
        <v>144</v>
      </c>
      <c r="B103" t="s">
        <v>13</v>
      </c>
      <c r="C103">
        <v>45931</v>
      </c>
      <c r="D103">
        <v>46022</v>
      </c>
      <c r="E103" t="s">
        <v>724</v>
      </c>
      <c r="F103" t="s">
        <v>14</v>
      </c>
      <c r="G103">
        <v>1085275400</v>
      </c>
      <c r="H103" t="s">
        <v>145</v>
      </c>
      <c r="I103">
        <v>43624414</v>
      </c>
      <c r="J103" t="s">
        <v>14</v>
      </c>
      <c r="K103" t="s">
        <v>18</v>
      </c>
      <c r="L103" s="1">
        <v>9450000</v>
      </c>
      <c r="M103" s="1">
        <v>9450000</v>
      </c>
      <c r="N103" t="s">
        <v>704</v>
      </c>
      <c r="O103" s="1">
        <f t="shared" si="3"/>
        <v>0</v>
      </c>
    </row>
    <row r="104" spans="1:17" x14ac:dyDescent="0.25">
      <c r="A104" t="s">
        <v>255</v>
      </c>
      <c r="B104" t="s">
        <v>13</v>
      </c>
      <c r="C104">
        <v>45931</v>
      </c>
      <c r="D104">
        <v>46022</v>
      </c>
      <c r="E104" t="s">
        <v>747</v>
      </c>
      <c r="F104" t="s">
        <v>14</v>
      </c>
      <c r="G104">
        <v>36861874</v>
      </c>
      <c r="H104" t="s">
        <v>50</v>
      </c>
      <c r="I104">
        <v>98390119</v>
      </c>
      <c r="J104" t="s">
        <v>14</v>
      </c>
      <c r="K104" t="s">
        <v>63</v>
      </c>
      <c r="L104" s="1">
        <v>9450000</v>
      </c>
      <c r="M104" s="1">
        <v>9450000</v>
      </c>
      <c r="N104" t="s">
        <v>704</v>
      </c>
      <c r="O104" s="1">
        <f t="shared" si="3"/>
        <v>0</v>
      </c>
    </row>
    <row r="105" spans="1:17" x14ac:dyDescent="0.25">
      <c r="A105" t="s">
        <v>266</v>
      </c>
      <c r="B105" t="s">
        <v>13</v>
      </c>
      <c r="C105">
        <v>45929</v>
      </c>
      <c r="D105">
        <v>46022</v>
      </c>
      <c r="E105" t="s">
        <v>720</v>
      </c>
      <c r="F105" t="s">
        <v>14</v>
      </c>
      <c r="G105">
        <v>1086361622</v>
      </c>
      <c r="H105" t="s">
        <v>267</v>
      </c>
      <c r="I105">
        <v>98390119</v>
      </c>
      <c r="J105" t="s">
        <v>14</v>
      </c>
      <c r="K105" t="s">
        <v>63</v>
      </c>
      <c r="L105" s="1">
        <v>9450000</v>
      </c>
      <c r="M105" s="1">
        <v>9450000</v>
      </c>
      <c r="N105" t="s">
        <v>704</v>
      </c>
      <c r="O105" s="1">
        <f t="shared" si="3"/>
        <v>0</v>
      </c>
    </row>
    <row r="106" spans="1:17" x14ac:dyDescent="0.25">
      <c r="A106" t="s">
        <v>640</v>
      </c>
      <c r="B106" t="s">
        <v>13</v>
      </c>
      <c r="C106">
        <v>45929</v>
      </c>
      <c r="D106">
        <v>46022</v>
      </c>
      <c r="E106" t="s">
        <v>818</v>
      </c>
      <c r="F106" t="s">
        <v>14</v>
      </c>
      <c r="G106">
        <v>1081572042</v>
      </c>
      <c r="H106" t="s">
        <v>641</v>
      </c>
      <c r="I106">
        <v>98390119</v>
      </c>
      <c r="J106" t="s">
        <v>14</v>
      </c>
      <c r="K106" t="s">
        <v>63</v>
      </c>
      <c r="L106" s="1">
        <v>9450000</v>
      </c>
      <c r="M106" s="1">
        <v>9450000</v>
      </c>
      <c r="N106" t="s">
        <v>704</v>
      </c>
      <c r="O106" s="1">
        <f t="shared" si="3"/>
        <v>0</v>
      </c>
    </row>
    <row r="107" spans="1:17" x14ac:dyDescent="0.25">
      <c r="A107" t="s">
        <v>547</v>
      </c>
      <c r="B107" t="s">
        <v>13</v>
      </c>
      <c r="C107">
        <v>45929</v>
      </c>
      <c r="D107">
        <v>46022</v>
      </c>
      <c r="E107" t="s">
        <v>800</v>
      </c>
      <c r="F107" t="s">
        <v>14</v>
      </c>
      <c r="G107">
        <v>1082748032</v>
      </c>
      <c r="H107" t="s">
        <v>548</v>
      </c>
      <c r="I107">
        <v>98333941</v>
      </c>
      <c r="J107" t="s">
        <v>14</v>
      </c>
      <c r="K107" t="s">
        <v>15</v>
      </c>
      <c r="L107" s="1">
        <v>9450000</v>
      </c>
      <c r="M107" s="1">
        <v>9450000</v>
      </c>
      <c r="N107" t="s">
        <v>704</v>
      </c>
      <c r="O107" s="1">
        <f t="shared" si="3"/>
        <v>0</v>
      </c>
    </row>
    <row r="108" spans="1:17" x14ac:dyDescent="0.25">
      <c r="A108" t="s">
        <v>384</v>
      </c>
      <c r="B108" t="s">
        <v>13</v>
      </c>
      <c r="C108">
        <v>45929</v>
      </c>
      <c r="D108">
        <v>46022</v>
      </c>
      <c r="E108" t="s">
        <v>724</v>
      </c>
      <c r="F108" t="s">
        <v>14</v>
      </c>
      <c r="G108">
        <v>1085346528</v>
      </c>
      <c r="H108" t="s">
        <v>385</v>
      </c>
      <c r="I108">
        <v>43624414</v>
      </c>
      <c r="J108" t="s">
        <v>14</v>
      </c>
      <c r="K108" t="s">
        <v>18</v>
      </c>
      <c r="L108" s="1">
        <v>9450000</v>
      </c>
      <c r="M108" s="1">
        <v>9450000</v>
      </c>
      <c r="N108" t="s">
        <v>704</v>
      </c>
      <c r="O108" s="1">
        <f t="shared" si="3"/>
        <v>0</v>
      </c>
    </row>
    <row r="109" spans="1:17" x14ac:dyDescent="0.25">
      <c r="A109" t="s">
        <v>690</v>
      </c>
      <c r="B109" t="s">
        <v>13</v>
      </c>
      <c r="C109">
        <v>45981</v>
      </c>
      <c r="D109">
        <v>46022</v>
      </c>
      <c r="E109" t="s">
        <v>323</v>
      </c>
      <c r="F109" t="s">
        <v>14</v>
      </c>
      <c r="G109">
        <v>1085246134</v>
      </c>
      <c r="H109" t="s">
        <v>691</v>
      </c>
      <c r="I109">
        <v>98390119</v>
      </c>
      <c r="J109" t="s">
        <v>14</v>
      </c>
      <c r="K109" t="s">
        <v>63</v>
      </c>
      <c r="L109" s="1">
        <v>9450000</v>
      </c>
      <c r="M109" s="1">
        <v>9450000</v>
      </c>
      <c r="N109" t="s">
        <v>704</v>
      </c>
      <c r="O109" s="1">
        <f t="shared" si="3"/>
        <v>0</v>
      </c>
    </row>
    <row r="110" spans="1:17" x14ac:dyDescent="0.25">
      <c r="A110" t="s">
        <v>628</v>
      </c>
      <c r="B110" t="s">
        <v>13</v>
      </c>
      <c r="C110">
        <v>45975</v>
      </c>
      <c r="D110">
        <v>46022</v>
      </c>
      <c r="E110" t="s">
        <v>813</v>
      </c>
      <c r="F110" t="s">
        <v>14</v>
      </c>
      <c r="G110">
        <v>1193474724</v>
      </c>
      <c r="H110" t="s">
        <v>629</v>
      </c>
      <c r="I110">
        <v>98390119</v>
      </c>
      <c r="J110" t="s">
        <v>14</v>
      </c>
      <c r="K110" t="s">
        <v>63</v>
      </c>
      <c r="L110" s="1">
        <v>9450000</v>
      </c>
      <c r="M110" s="1">
        <v>9450000</v>
      </c>
      <c r="N110" t="s">
        <v>704</v>
      </c>
      <c r="O110" s="1">
        <f t="shared" si="3"/>
        <v>0</v>
      </c>
    </row>
    <row r="111" spans="1:17" x14ac:dyDescent="0.25">
      <c r="A111" t="s">
        <v>200</v>
      </c>
      <c r="B111" t="s">
        <v>13</v>
      </c>
      <c r="C111">
        <v>45944</v>
      </c>
      <c r="D111">
        <v>46022</v>
      </c>
      <c r="E111" t="s">
        <v>737</v>
      </c>
      <c r="F111" t="s">
        <v>14</v>
      </c>
      <c r="G111">
        <v>1233191675</v>
      </c>
      <c r="H111" t="s">
        <v>28</v>
      </c>
      <c r="I111">
        <v>98390119</v>
      </c>
      <c r="J111" t="s">
        <v>14</v>
      </c>
      <c r="K111" t="s">
        <v>63</v>
      </c>
      <c r="L111" s="1">
        <v>9450000</v>
      </c>
      <c r="M111" s="1">
        <v>9450000</v>
      </c>
      <c r="N111" t="s">
        <v>704</v>
      </c>
      <c r="O111" s="1">
        <f t="shared" si="3"/>
        <v>0</v>
      </c>
    </row>
    <row r="112" spans="1:17" x14ac:dyDescent="0.25">
      <c r="A112" t="s">
        <v>505</v>
      </c>
      <c r="B112" t="s">
        <v>13</v>
      </c>
      <c r="C112">
        <v>45966</v>
      </c>
      <c r="D112">
        <v>46022</v>
      </c>
      <c r="E112" t="s">
        <v>744</v>
      </c>
      <c r="F112" t="s">
        <v>14</v>
      </c>
      <c r="G112">
        <v>13070247</v>
      </c>
      <c r="H112" t="s">
        <v>506</v>
      </c>
      <c r="I112">
        <v>98390119</v>
      </c>
      <c r="J112" t="s">
        <v>14</v>
      </c>
      <c r="K112" t="s">
        <v>63</v>
      </c>
      <c r="L112" s="1">
        <v>9460000</v>
      </c>
      <c r="M112" s="1">
        <v>9460000</v>
      </c>
      <c r="N112" t="s">
        <v>704</v>
      </c>
      <c r="O112" s="1">
        <f t="shared" si="3"/>
        <v>0</v>
      </c>
    </row>
    <row r="113" spans="1:17" x14ac:dyDescent="0.25">
      <c r="A113" t="s">
        <v>132</v>
      </c>
      <c r="B113" t="s">
        <v>13</v>
      </c>
      <c r="C113">
        <v>45925</v>
      </c>
      <c r="D113">
        <v>46022</v>
      </c>
      <c r="E113" t="s">
        <v>716</v>
      </c>
      <c r="F113" t="s">
        <v>14</v>
      </c>
      <c r="G113">
        <v>1005977438</v>
      </c>
      <c r="H113" t="s">
        <v>133</v>
      </c>
      <c r="I113">
        <v>98390119</v>
      </c>
      <c r="J113" t="s">
        <v>14</v>
      </c>
      <c r="K113" t="s">
        <v>63</v>
      </c>
      <c r="L113" s="1">
        <v>11025000</v>
      </c>
      <c r="M113" s="1">
        <v>11025000</v>
      </c>
      <c r="N113" t="s">
        <v>704</v>
      </c>
      <c r="O113" s="1">
        <f t="shared" si="3"/>
        <v>0</v>
      </c>
    </row>
    <row r="114" spans="1:17" x14ac:dyDescent="0.25">
      <c r="A114" t="s">
        <v>353</v>
      </c>
      <c r="B114" t="s">
        <v>13</v>
      </c>
      <c r="C114">
        <v>45925</v>
      </c>
      <c r="D114">
        <v>46022</v>
      </c>
      <c r="E114" t="s">
        <v>720</v>
      </c>
      <c r="F114" t="s">
        <v>14</v>
      </c>
      <c r="G114">
        <v>37083086</v>
      </c>
      <c r="H114" t="s">
        <v>354</v>
      </c>
      <c r="I114">
        <v>98333941</v>
      </c>
      <c r="J114" t="s">
        <v>14</v>
      </c>
      <c r="K114" t="s">
        <v>15</v>
      </c>
      <c r="L114" s="1">
        <v>11025000</v>
      </c>
      <c r="M114" s="1">
        <v>11025000</v>
      </c>
      <c r="N114" t="s">
        <v>704</v>
      </c>
      <c r="O114" s="1">
        <f t="shared" si="3"/>
        <v>0</v>
      </c>
    </row>
    <row r="115" spans="1:17" x14ac:dyDescent="0.25">
      <c r="A115" t="s">
        <v>347</v>
      </c>
      <c r="B115" t="s">
        <v>13</v>
      </c>
      <c r="C115">
        <v>45924</v>
      </c>
      <c r="D115">
        <v>46022</v>
      </c>
      <c r="E115" t="s">
        <v>763</v>
      </c>
      <c r="F115" t="s">
        <v>14</v>
      </c>
      <c r="G115">
        <v>1086330124</v>
      </c>
      <c r="H115" t="s">
        <v>348</v>
      </c>
      <c r="I115">
        <v>98333941</v>
      </c>
      <c r="J115" t="s">
        <v>14</v>
      </c>
      <c r="K115" t="s">
        <v>15</v>
      </c>
      <c r="L115" s="1">
        <v>11025000</v>
      </c>
      <c r="M115" s="1">
        <v>11025000</v>
      </c>
      <c r="N115" t="s">
        <v>704</v>
      </c>
      <c r="O115" s="1">
        <f t="shared" si="3"/>
        <v>0</v>
      </c>
    </row>
    <row r="116" spans="1:17" x14ac:dyDescent="0.25">
      <c r="A116" t="s">
        <v>380</v>
      </c>
      <c r="B116" t="s">
        <v>13</v>
      </c>
      <c r="C116">
        <v>45924</v>
      </c>
      <c r="D116">
        <v>46022</v>
      </c>
      <c r="E116" t="s">
        <v>720</v>
      </c>
      <c r="F116" t="s">
        <v>14</v>
      </c>
      <c r="G116">
        <v>1004437571</v>
      </c>
      <c r="H116" t="s">
        <v>381</v>
      </c>
      <c r="I116">
        <v>98390119</v>
      </c>
      <c r="J116" t="s">
        <v>14</v>
      </c>
      <c r="K116" t="s">
        <v>63</v>
      </c>
      <c r="L116" s="1">
        <v>11025000</v>
      </c>
      <c r="M116" s="1">
        <v>11025000</v>
      </c>
      <c r="N116" t="s">
        <v>704</v>
      </c>
      <c r="O116" s="1">
        <f t="shared" si="3"/>
        <v>0</v>
      </c>
    </row>
    <row r="117" spans="1:17" x14ac:dyDescent="0.25">
      <c r="A117" t="s">
        <v>632</v>
      </c>
      <c r="B117" t="s">
        <v>13</v>
      </c>
      <c r="C117">
        <v>45923</v>
      </c>
      <c r="D117">
        <v>46022</v>
      </c>
      <c r="E117" t="s">
        <v>814</v>
      </c>
      <c r="F117" t="s">
        <v>14</v>
      </c>
      <c r="G117">
        <v>1004134014</v>
      </c>
      <c r="H117" t="s">
        <v>633</v>
      </c>
      <c r="I117">
        <v>43624414</v>
      </c>
      <c r="J117" t="s">
        <v>14</v>
      </c>
      <c r="K117" t="s">
        <v>18</v>
      </c>
      <c r="L117" s="1">
        <v>11025000</v>
      </c>
      <c r="M117" s="1">
        <v>11025000</v>
      </c>
      <c r="N117" t="s">
        <v>704</v>
      </c>
      <c r="O117" s="1">
        <f t="shared" si="3"/>
        <v>0</v>
      </c>
    </row>
    <row r="118" spans="1:17" x14ac:dyDescent="0.25">
      <c r="A118" t="s">
        <v>559</v>
      </c>
      <c r="B118" t="s">
        <v>13</v>
      </c>
      <c r="C118">
        <v>45923</v>
      </c>
      <c r="D118">
        <v>46022</v>
      </c>
      <c r="E118" t="s">
        <v>716</v>
      </c>
      <c r="F118" t="s">
        <v>14</v>
      </c>
      <c r="G118">
        <v>1004726621</v>
      </c>
      <c r="H118" t="s">
        <v>560</v>
      </c>
      <c r="I118">
        <v>98390119</v>
      </c>
      <c r="J118" t="s">
        <v>14</v>
      </c>
      <c r="K118" t="s">
        <v>63</v>
      </c>
      <c r="L118" s="1">
        <v>11025000</v>
      </c>
      <c r="M118" s="1">
        <v>11025000</v>
      </c>
      <c r="N118" t="s">
        <v>704</v>
      </c>
      <c r="O118" s="1">
        <f t="shared" si="3"/>
        <v>0</v>
      </c>
    </row>
    <row r="119" spans="1:17" x14ac:dyDescent="0.25">
      <c r="A119" t="s">
        <v>460</v>
      </c>
      <c r="B119" t="s">
        <v>13</v>
      </c>
      <c r="C119">
        <v>45923</v>
      </c>
      <c r="D119">
        <v>46022</v>
      </c>
      <c r="E119" t="s">
        <v>736</v>
      </c>
      <c r="F119" t="s">
        <v>14</v>
      </c>
      <c r="G119">
        <v>37082272</v>
      </c>
      <c r="H119" t="s">
        <v>461</v>
      </c>
      <c r="I119">
        <v>98390119</v>
      </c>
      <c r="J119" t="s">
        <v>14</v>
      </c>
      <c r="K119" t="s">
        <v>63</v>
      </c>
      <c r="L119" s="1">
        <v>11025000</v>
      </c>
      <c r="M119" s="1">
        <v>11025000</v>
      </c>
      <c r="N119" t="s">
        <v>704</v>
      </c>
      <c r="O119" s="1">
        <f t="shared" si="3"/>
        <v>0</v>
      </c>
    </row>
    <row r="120" spans="1:17" x14ac:dyDescent="0.25">
      <c r="A120" t="s">
        <v>597</v>
      </c>
      <c r="B120" t="s">
        <v>13</v>
      </c>
      <c r="C120">
        <v>45922</v>
      </c>
      <c r="D120">
        <v>46022</v>
      </c>
      <c r="E120" t="s">
        <v>720</v>
      </c>
      <c r="F120" t="s">
        <v>14</v>
      </c>
      <c r="G120">
        <v>1085323163</v>
      </c>
      <c r="H120" t="s">
        <v>598</v>
      </c>
      <c r="I120">
        <v>98390119</v>
      </c>
      <c r="J120" t="s">
        <v>14</v>
      </c>
      <c r="K120" t="s">
        <v>63</v>
      </c>
      <c r="L120" s="1">
        <v>11025000</v>
      </c>
      <c r="M120" s="1">
        <v>11025000</v>
      </c>
      <c r="N120" t="s">
        <v>704</v>
      </c>
      <c r="O120" s="1">
        <f t="shared" si="3"/>
        <v>0</v>
      </c>
    </row>
    <row r="121" spans="1:17" x14ac:dyDescent="0.25">
      <c r="A121" t="s">
        <v>235</v>
      </c>
      <c r="B121" t="s">
        <v>13</v>
      </c>
      <c r="C121">
        <v>45922</v>
      </c>
      <c r="D121">
        <v>46022</v>
      </c>
      <c r="E121" t="s">
        <v>716</v>
      </c>
      <c r="F121" t="s">
        <v>14</v>
      </c>
      <c r="G121">
        <v>1081592303</v>
      </c>
      <c r="H121" t="s">
        <v>32</v>
      </c>
      <c r="I121">
        <v>43624414</v>
      </c>
      <c r="J121" t="s">
        <v>14</v>
      </c>
      <c r="K121" t="s">
        <v>18</v>
      </c>
      <c r="L121" s="1">
        <v>11025000</v>
      </c>
      <c r="M121" s="1">
        <v>11025000</v>
      </c>
      <c r="N121" t="s">
        <v>704</v>
      </c>
      <c r="O121" s="1">
        <f t="shared" si="3"/>
        <v>0</v>
      </c>
    </row>
    <row r="122" spans="1:17" x14ac:dyDescent="0.25">
      <c r="A122" t="s">
        <v>621</v>
      </c>
      <c r="B122" t="s">
        <v>13</v>
      </c>
      <c r="C122">
        <v>45919</v>
      </c>
      <c r="D122">
        <v>46022</v>
      </c>
      <c r="E122" t="s">
        <v>711</v>
      </c>
      <c r="F122" t="s">
        <v>14</v>
      </c>
      <c r="G122">
        <v>1081594639</v>
      </c>
      <c r="H122" t="s">
        <v>39</v>
      </c>
      <c r="I122">
        <v>43624414</v>
      </c>
      <c r="J122" t="s">
        <v>14</v>
      </c>
      <c r="K122" t="s">
        <v>18</v>
      </c>
      <c r="L122" s="1">
        <v>11025000</v>
      </c>
      <c r="M122" s="1">
        <v>11025000</v>
      </c>
      <c r="N122" t="s">
        <v>704</v>
      </c>
      <c r="O122" s="1">
        <f t="shared" si="3"/>
        <v>0</v>
      </c>
    </row>
    <row r="123" spans="1:17" x14ac:dyDescent="0.25">
      <c r="A123" t="s">
        <v>1001</v>
      </c>
      <c r="B123" t="s">
        <v>13</v>
      </c>
      <c r="C123">
        <v>46024</v>
      </c>
      <c r="D123">
        <v>46112</v>
      </c>
      <c r="E123" t="s">
        <v>775</v>
      </c>
      <c r="F123" t="s">
        <v>14</v>
      </c>
      <c r="G123">
        <v>36752202</v>
      </c>
      <c r="H123" t="s">
        <v>168</v>
      </c>
      <c r="I123">
        <v>59836926</v>
      </c>
      <c r="J123" t="s">
        <v>14</v>
      </c>
      <c r="K123" t="s">
        <v>17</v>
      </c>
      <c r="M123" s="10">
        <v>9450000</v>
      </c>
      <c r="N123" t="s">
        <v>704</v>
      </c>
      <c r="Q123" s="11" t="s">
        <v>1036</v>
      </c>
    </row>
    <row r="124" spans="1:17" x14ac:dyDescent="0.25">
      <c r="A124" t="s">
        <v>642</v>
      </c>
      <c r="B124" t="s">
        <v>13</v>
      </c>
      <c r="C124">
        <v>45919</v>
      </c>
      <c r="D124">
        <v>46022</v>
      </c>
      <c r="E124" t="s">
        <v>716</v>
      </c>
      <c r="F124" t="s">
        <v>14</v>
      </c>
      <c r="G124">
        <v>1085315209</v>
      </c>
      <c r="H124" t="s">
        <v>643</v>
      </c>
      <c r="I124">
        <v>43624414</v>
      </c>
      <c r="J124" t="s">
        <v>14</v>
      </c>
      <c r="K124" t="s">
        <v>18</v>
      </c>
      <c r="L124" s="1">
        <v>11025000</v>
      </c>
      <c r="M124" s="1">
        <v>11025000</v>
      </c>
      <c r="N124" t="s">
        <v>704</v>
      </c>
      <c r="O124" s="1">
        <f t="shared" ref="O124:O155" si="4">M124-L124</f>
        <v>0</v>
      </c>
    </row>
    <row r="125" spans="1:17" x14ac:dyDescent="0.25">
      <c r="A125" t="s">
        <v>678</v>
      </c>
      <c r="B125" t="s">
        <v>13</v>
      </c>
      <c r="C125">
        <v>45919</v>
      </c>
      <c r="D125">
        <v>46022</v>
      </c>
      <c r="E125" t="s">
        <v>716</v>
      </c>
      <c r="F125" t="s">
        <v>14</v>
      </c>
      <c r="G125">
        <v>1085295583</v>
      </c>
      <c r="H125" t="s">
        <v>679</v>
      </c>
      <c r="I125">
        <v>98390119</v>
      </c>
      <c r="J125" t="s">
        <v>14</v>
      </c>
      <c r="K125" t="s">
        <v>63</v>
      </c>
      <c r="L125" s="1">
        <v>11025000</v>
      </c>
      <c r="M125" s="1">
        <v>11025000</v>
      </c>
      <c r="N125" t="s">
        <v>704</v>
      </c>
      <c r="O125" s="1">
        <f t="shared" si="4"/>
        <v>0</v>
      </c>
    </row>
    <row r="126" spans="1:17" x14ac:dyDescent="0.25">
      <c r="A126" t="s">
        <v>243</v>
      </c>
      <c r="B126" t="s">
        <v>13</v>
      </c>
      <c r="C126">
        <v>45919</v>
      </c>
      <c r="D126">
        <v>46022</v>
      </c>
      <c r="E126" t="s">
        <v>716</v>
      </c>
      <c r="F126" t="s">
        <v>14</v>
      </c>
      <c r="G126">
        <v>27444591</v>
      </c>
      <c r="H126" t="s">
        <v>244</v>
      </c>
      <c r="I126">
        <v>98390119</v>
      </c>
      <c r="J126" t="s">
        <v>14</v>
      </c>
      <c r="K126" t="s">
        <v>63</v>
      </c>
      <c r="L126" s="1">
        <v>11025000</v>
      </c>
      <c r="M126" s="1">
        <v>11025000</v>
      </c>
      <c r="N126" t="s">
        <v>704</v>
      </c>
      <c r="O126" s="1">
        <f t="shared" si="4"/>
        <v>0</v>
      </c>
    </row>
    <row r="127" spans="1:17" x14ac:dyDescent="0.25">
      <c r="A127" t="s">
        <v>450</v>
      </c>
      <c r="B127" t="s">
        <v>13</v>
      </c>
      <c r="C127">
        <v>45918</v>
      </c>
      <c r="D127">
        <v>46022</v>
      </c>
      <c r="E127" t="s">
        <v>786</v>
      </c>
      <c r="F127" t="s">
        <v>14</v>
      </c>
      <c r="G127">
        <v>1086224204</v>
      </c>
      <c r="H127" t="s">
        <v>451</v>
      </c>
      <c r="I127">
        <v>98333941</v>
      </c>
      <c r="J127" t="s">
        <v>14</v>
      </c>
      <c r="K127" t="s">
        <v>15</v>
      </c>
      <c r="L127" s="1">
        <v>11025000</v>
      </c>
      <c r="M127" s="1">
        <v>11025000</v>
      </c>
      <c r="N127" t="s">
        <v>704</v>
      </c>
      <c r="O127" s="1">
        <f t="shared" si="4"/>
        <v>0</v>
      </c>
    </row>
    <row r="128" spans="1:17" x14ac:dyDescent="0.25">
      <c r="A128" t="s">
        <v>627</v>
      </c>
      <c r="B128" t="s">
        <v>13</v>
      </c>
      <c r="C128">
        <v>45918</v>
      </c>
      <c r="D128">
        <v>46022</v>
      </c>
      <c r="E128" t="s">
        <v>716</v>
      </c>
      <c r="F128" t="s">
        <v>14</v>
      </c>
      <c r="G128">
        <v>1084552048</v>
      </c>
      <c r="H128" t="s">
        <v>66</v>
      </c>
      <c r="I128">
        <v>98333941</v>
      </c>
      <c r="J128" t="s">
        <v>14</v>
      </c>
      <c r="K128" t="s">
        <v>15</v>
      </c>
      <c r="L128" s="1">
        <v>11025000</v>
      </c>
      <c r="M128" s="1">
        <v>11025000</v>
      </c>
      <c r="N128" t="s">
        <v>704</v>
      </c>
      <c r="O128" s="1">
        <f t="shared" si="4"/>
        <v>0</v>
      </c>
    </row>
    <row r="129" spans="1:15" x14ac:dyDescent="0.25">
      <c r="A129" t="s">
        <v>369</v>
      </c>
      <c r="B129" t="s">
        <v>13</v>
      </c>
      <c r="C129">
        <v>45917</v>
      </c>
      <c r="D129">
        <v>46022</v>
      </c>
      <c r="E129" t="s">
        <v>716</v>
      </c>
      <c r="F129" t="s">
        <v>14</v>
      </c>
      <c r="G129">
        <v>5930737</v>
      </c>
      <c r="H129" t="s">
        <v>370</v>
      </c>
      <c r="I129">
        <v>98390119</v>
      </c>
      <c r="J129" t="s">
        <v>14</v>
      </c>
      <c r="K129" t="s">
        <v>63</v>
      </c>
      <c r="L129" s="1">
        <v>11025000</v>
      </c>
      <c r="M129" s="1">
        <v>11025000</v>
      </c>
      <c r="N129" t="s">
        <v>704</v>
      </c>
      <c r="O129" s="1">
        <f t="shared" si="4"/>
        <v>0</v>
      </c>
    </row>
    <row r="130" spans="1:15" x14ac:dyDescent="0.25">
      <c r="A130" t="s">
        <v>270</v>
      </c>
      <c r="B130" t="s">
        <v>13</v>
      </c>
      <c r="C130">
        <v>45917</v>
      </c>
      <c r="D130">
        <v>46022</v>
      </c>
      <c r="E130" t="s">
        <v>711</v>
      </c>
      <c r="F130" t="s">
        <v>14</v>
      </c>
      <c r="G130">
        <v>1085317226</v>
      </c>
      <c r="H130" t="s">
        <v>271</v>
      </c>
      <c r="I130">
        <v>98333941</v>
      </c>
      <c r="J130" t="s">
        <v>14</v>
      </c>
      <c r="K130" t="s">
        <v>15</v>
      </c>
      <c r="L130" s="1">
        <v>11025000</v>
      </c>
      <c r="M130" s="1">
        <v>11025000</v>
      </c>
      <c r="N130" t="s">
        <v>704</v>
      </c>
      <c r="O130" s="1">
        <f t="shared" si="4"/>
        <v>0</v>
      </c>
    </row>
    <row r="131" spans="1:15" x14ac:dyDescent="0.25">
      <c r="A131" t="s">
        <v>537</v>
      </c>
      <c r="B131" t="s">
        <v>13</v>
      </c>
      <c r="C131">
        <v>45917</v>
      </c>
      <c r="D131">
        <v>46022</v>
      </c>
      <c r="E131" t="s">
        <v>711</v>
      </c>
      <c r="F131" t="s">
        <v>14</v>
      </c>
      <c r="G131">
        <v>1082749295</v>
      </c>
      <c r="H131" t="s">
        <v>538</v>
      </c>
      <c r="I131">
        <v>98333941</v>
      </c>
      <c r="J131" t="s">
        <v>14</v>
      </c>
      <c r="K131" t="s">
        <v>15</v>
      </c>
      <c r="L131" s="1">
        <v>11025000</v>
      </c>
      <c r="M131" s="1">
        <v>11025000</v>
      </c>
      <c r="N131" t="s">
        <v>704</v>
      </c>
      <c r="O131" s="1">
        <f t="shared" si="4"/>
        <v>0</v>
      </c>
    </row>
    <row r="132" spans="1:15" x14ac:dyDescent="0.25">
      <c r="A132" t="s">
        <v>264</v>
      </c>
      <c r="B132" t="s">
        <v>13</v>
      </c>
      <c r="C132">
        <v>45917</v>
      </c>
      <c r="D132">
        <v>46022</v>
      </c>
      <c r="E132" t="s">
        <v>711</v>
      </c>
      <c r="F132" t="s">
        <v>14</v>
      </c>
      <c r="G132">
        <v>1086328063</v>
      </c>
      <c r="H132" t="s">
        <v>265</v>
      </c>
      <c r="I132">
        <v>98390119</v>
      </c>
      <c r="J132" t="s">
        <v>14</v>
      </c>
      <c r="K132" t="s">
        <v>63</v>
      </c>
      <c r="L132" s="1">
        <v>11025000</v>
      </c>
      <c r="M132" s="1">
        <v>11025000</v>
      </c>
      <c r="N132" t="s">
        <v>704</v>
      </c>
      <c r="O132" s="1">
        <f t="shared" si="4"/>
        <v>0</v>
      </c>
    </row>
    <row r="133" spans="1:15" x14ac:dyDescent="0.25">
      <c r="A133" t="s">
        <v>591</v>
      </c>
      <c r="B133" t="s">
        <v>13</v>
      </c>
      <c r="C133">
        <v>45946</v>
      </c>
      <c r="D133">
        <v>46022</v>
      </c>
      <c r="E133" t="s">
        <v>784</v>
      </c>
      <c r="F133" t="s">
        <v>14</v>
      </c>
      <c r="G133">
        <v>1085335069</v>
      </c>
      <c r="H133" t="s">
        <v>592</v>
      </c>
      <c r="I133">
        <v>98390119</v>
      </c>
      <c r="J133" t="s">
        <v>14</v>
      </c>
      <c r="K133" t="s">
        <v>63</v>
      </c>
      <c r="L133" s="1">
        <v>11825000</v>
      </c>
      <c r="M133" s="1">
        <v>11825000</v>
      </c>
      <c r="N133" t="s">
        <v>704</v>
      </c>
      <c r="O133" s="1">
        <f t="shared" si="4"/>
        <v>0</v>
      </c>
    </row>
    <row r="134" spans="1:15" x14ac:dyDescent="0.25">
      <c r="A134" t="s">
        <v>109</v>
      </c>
      <c r="B134" t="s">
        <v>13</v>
      </c>
      <c r="C134">
        <v>45917</v>
      </c>
      <c r="D134">
        <v>46022</v>
      </c>
      <c r="E134" t="s">
        <v>711</v>
      </c>
      <c r="F134" t="s">
        <v>14</v>
      </c>
      <c r="G134">
        <v>1004547484</v>
      </c>
      <c r="H134" t="s">
        <v>110</v>
      </c>
      <c r="I134">
        <v>98333941</v>
      </c>
      <c r="J134" t="s">
        <v>14</v>
      </c>
      <c r="K134" t="s">
        <v>15</v>
      </c>
      <c r="L134" s="1">
        <v>12600000</v>
      </c>
      <c r="M134" s="1">
        <v>12600000</v>
      </c>
      <c r="N134" t="s">
        <v>704</v>
      </c>
      <c r="O134" s="1">
        <f t="shared" si="4"/>
        <v>0</v>
      </c>
    </row>
    <row r="135" spans="1:15" x14ac:dyDescent="0.25">
      <c r="A135" t="s">
        <v>277</v>
      </c>
      <c r="B135" t="s">
        <v>13</v>
      </c>
      <c r="C135">
        <v>45915</v>
      </c>
      <c r="D135">
        <v>46022</v>
      </c>
      <c r="E135" t="s">
        <v>711</v>
      </c>
      <c r="F135" t="s">
        <v>14</v>
      </c>
      <c r="G135">
        <v>1085265947</v>
      </c>
      <c r="H135" t="s">
        <v>278</v>
      </c>
      <c r="I135">
        <v>43624414</v>
      </c>
      <c r="J135" t="s">
        <v>14</v>
      </c>
      <c r="K135" t="s">
        <v>18</v>
      </c>
      <c r="L135" s="1">
        <v>12600000</v>
      </c>
      <c r="M135" s="1">
        <v>12600000</v>
      </c>
      <c r="N135" t="s">
        <v>704</v>
      </c>
      <c r="O135" s="1">
        <f t="shared" si="4"/>
        <v>0</v>
      </c>
    </row>
    <row r="136" spans="1:15" x14ac:dyDescent="0.25">
      <c r="A136" t="s">
        <v>605</v>
      </c>
      <c r="B136" t="s">
        <v>13</v>
      </c>
      <c r="C136">
        <v>45915</v>
      </c>
      <c r="D136">
        <v>46022</v>
      </c>
      <c r="E136" t="s">
        <v>711</v>
      </c>
      <c r="F136" t="s">
        <v>14</v>
      </c>
      <c r="G136">
        <v>59311295</v>
      </c>
      <c r="H136" t="s">
        <v>606</v>
      </c>
      <c r="I136">
        <v>43624414</v>
      </c>
      <c r="J136" t="s">
        <v>14</v>
      </c>
      <c r="K136" t="s">
        <v>18</v>
      </c>
      <c r="L136" s="1">
        <v>12600000</v>
      </c>
      <c r="M136" s="1">
        <v>12600000</v>
      </c>
      <c r="N136" t="s">
        <v>704</v>
      </c>
      <c r="O136" s="1">
        <f t="shared" si="4"/>
        <v>0</v>
      </c>
    </row>
    <row r="137" spans="1:15" x14ac:dyDescent="0.25">
      <c r="A137" t="s">
        <v>497</v>
      </c>
      <c r="B137" t="s">
        <v>13</v>
      </c>
      <c r="C137">
        <v>45912</v>
      </c>
      <c r="D137">
        <v>46022</v>
      </c>
      <c r="E137" t="s">
        <v>711</v>
      </c>
      <c r="F137" t="s">
        <v>14</v>
      </c>
      <c r="G137">
        <v>1085247449</v>
      </c>
      <c r="H137" t="s">
        <v>498</v>
      </c>
      <c r="I137">
        <v>98333941</v>
      </c>
      <c r="J137" t="s">
        <v>14</v>
      </c>
      <c r="K137" t="s">
        <v>15</v>
      </c>
      <c r="L137" s="1">
        <v>12600000</v>
      </c>
      <c r="M137" s="1">
        <v>12600000</v>
      </c>
      <c r="N137" t="s">
        <v>704</v>
      </c>
      <c r="O137" s="1">
        <f t="shared" si="4"/>
        <v>0</v>
      </c>
    </row>
    <row r="138" spans="1:15" x14ac:dyDescent="0.25">
      <c r="A138" t="s">
        <v>462</v>
      </c>
      <c r="B138" t="s">
        <v>13</v>
      </c>
      <c r="C138">
        <v>45912</v>
      </c>
      <c r="D138">
        <v>46022</v>
      </c>
      <c r="E138" t="s">
        <v>711</v>
      </c>
      <c r="F138" t="s">
        <v>14</v>
      </c>
      <c r="G138">
        <v>59122805</v>
      </c>
      <c r="H138" t="s">
        <v>463</v>
      </c>
      <c r="I138">
        <v>98333941</v>
      </c>
      <c r="J138" t="s">
        <v>14</v>
      </c>
      <c r="K138" t="s">
        <v>15</v>
      </c>
      <c r="L138" s="1">
        <v>12600000</v>
      </c>
      <c r="M138" s="1">
        <v>12600000</v>
      </c>
      <c r="N138" t="s">
        <v>704</v>
      </c>
      <c r="O138" s="1">
        <f t="shared" si="4"/>
        <v>0</v>
      </c>
    </row>
    <row r="139" spans="1:15" x14ac:dyDescent="0.25">
      <c r="A139" t="s">
        <v>543</v>
      </c>
      <c r="B139" t="s">
        <v>13</v>
      </c>
      <c r="C139">
        <v>45912</v>
      </c>
      <c r="D139">
        <v>46022</v>
      </c>
      <c r="E139" t="s">
        <v>711</v>
      </c>
      <c r="F139" t="s">
        <v>14</v>
      </c>
      <c r="G139">
        <v>1085252263</v>
      </c>
      <c r="H139" t="s">
        <v>544</v>
      </c>
      <c r="I139">
        <v>43624414</v>
      </c>
      <c r="J139" t="s">
        <v>14</v>
      </c>
      <c r="K139" t="s">
        <v>18</v>
      </c>
      <c r="L139" s="1">
        <v>12600000</v>
      </c>
      <c r="M139" s="1">
        <v>12600000</v>
      </c>
      <c r="N139" t="s">
        <v>704</v>
      </c>
      <c r="O139" s="1">
        <f t="shared" si="4"/>
        <v>0</v>
      </c>
    </row>
    <row r="140" spans="1:15" x14ac:dyDescent="0.25">
      <c r="A140" t="s">
        <v>417</v>
      </c>
      <c r="B140" t="s">
        <v>13</v>
      </c>
      <c r="C140">
        <v>45911</v>
      </c>
      <c r="D140">
        <v>46022</v>
      </c>
      <c r="E140" t="s">
        <v>711</v>
      </c>
      <c r="F140" t="s">
        <v>14</v>
      </c>
      <c r="G140">
        <v>1085267332</v>
      </c>
      <c r="H140" t="s">
        <v>418</v>
      </c>
      <c r="I140">
        <v>98333941</v>
      </c>
      <c r="J140" t="s">
        <v>14</v>
      </c>
      <c r="K140" t="s">
        <v>15</v>
      </c>
      <c r="L140" s="1">
        <v>12600000</v>
      </c>
      <c r="M140" s="1">
        <v>12600000</v>
      </c>
      <c r="N140" t="s">
        <v>704</v>
      </c>
      <c r="O140" s="1">
        <f t="shared" si="4"/>
        <v>0</v>
      </c>
    </row>
    <row r="141" spans="1:15" x14ac:dyDescent="0.25">
      <c r="A141" t="s">
        <v>268</v>
      </c>
      <c r="B141" t="s">
        <v>13</v>
      </c>
      <c r="C141">
        <v>45911</v>
      </c>
      <c r="D141">
        <v>46022</v>
      </c>
      <c r="E141" t="s">
        <v>711</v>
      </c>
      <c r="F141" t="s">
        <v>14</v>
      </c>
      <c r="G141">
        <v>1089458776</v>
      </c>
      <c r="H141" t="s">
        <v>269</v>
      </c>
      <c r="I141">
        <v>98333941</v>
      </c>
      <c r="J141" t="s">
        <v>14</v>
      </c>
      <c r="K141" t="s">
        <v>15</v>
      </c>
      <c r="L141" s="1">
        <v>12600000</v>
      </c>
      <c r="M141" s="1">
        <v>12600000</v>
      </c>
      <c r="N141" t="s">
        <v>704</v>
      </c>
      <c r="O141" s="1">
        <f t="shared" si="4"/>
        <v>0</v>
      </c>
    </row>
    <row r="142" spans="1:15" x14ac:dyDescent="0.25">
      <c r="A142" t="s">
        <v>375</v>
      </c>
      <c r="B142" t="s">
        <v>13</v>
      </c>
      <c r="C142">
        <v>45911</v>
      </c>
      <c r="D142">
        <v>46022</v>
      </c>
      <c r="E142" t="s">
        <v>711</v>
      </c>
      <c r="F142" t="s">
        <v>14</v>
      </c>
      <c r="G142">
        <v>1081052746</v>
      </c>
      <c r="H142" t="s">
        <v>376</v>
      </c>
      <c r="I142">
        <v>98333941</v>
      </c>
      <c r="J142" t="s">
        <v>14</v>
      </c>
      <c r="K142" t="s">
        <v>15</v>
      </c>
      <c r="L142" s="1">
        <v>12600000</v>
      </c>
      <c r="M142" s="1">
        <v>12600000</v>
      </c>
      <c r="N142" t="s">
        <v>704</v>
      </c>
      <c r="O142" s="1">
        <f t="shared" si="4"/>
        <v>0</v>
      </c>
    </row>
    <row r="143" spans="1:15" x14ac:dyDescent="0.25">
      <c r="A143" t="s">
        <v>175</v>
      </c>
      <c r="B143" t="s">
        <v>13</v>
      </c>
      <c r="C143">
        <v>45911</v>
      </c>
      <c r="D143">
        <v>46022</v>
      </c>
      <c r="E143" t="s">
        <v>711</v>
      </c>
      <c r="F143" t="s">
        <v>14</v>
      </c>
      <c r="G143">
        <v>1082747438</v>
      </c>
      <c r="H143" t="s">
        <v>61</v>
      </c>
      <c r="I143">
        <v>98333941</v>
      </c>
      <c r="J143" t="s">
        <v>14</v>
      </c>
      <c r="K143" t="s">
        <v>15</v>
      </c>
      <c r="L143" s="1">
        <v>12600000</v>
      </c>
      <c r="M143" s="1">
        <v>12600000</v>
      </c>
      <c r="N143" t="s">
        <v>704</v>
      </c>
      <c r="O143" s="1">
        <f t="shared" si="4"/>
        <v>0</v>
      </c>
    </row>
    <row r="144" spans="1:15" x14ac:dyDescent="0.25">
      <c r="A144" t="s">
        <v>98</v>
      </c>
      <c r="B144" t="s">
        <v>13</v>
      </c>
      <c r="C144">
        <v>45910</v>
      </c>
      <c r="D144">
        <v>46022</v>
      </c>
      <c r="E144" t="s">
        <v>711</v>
      </c>
      <c r="F144" t="s">
        <v>14</v>
      </c>
      <c r="G144">
        <v>1004543161</v>
      </c>
      <c r="H144" t="s">
        <v>99</v>
      </c>
      <c r="I144">
        <v>98333941</v>
      </c>
      <c r="J144" t="s">
        <v>14</v>
      </c>
      <c r="K144" t="s">
        <v>15</v>
      </c>
      <c r="L144" s="1">
        <v>12600000</v>
      </c>
      <c r="M144" s="1">
        <v>12600000</v>
      </c>
      <c r="N144" t="s">
        <v>704</v>
      </c>
      <c r="O144" s="1">
        <f t="shared" si="4"/>
        <v>0</v>
      </c>
    </row>
    <row r="145" spans="1:15" x14ac:dyDescent="0.25">
      <c r="A145" t="s">
        <v>123</v>
      </c>
      <c r="B145" t="s">
        <v>13</v>
      </c>
      <c r="C145">
        <v>45910</v>
      </c>
      <c r="D145">
        <v>46022</v>
      </c>
      <c r="E145" t="s">
        <v>711</v>
      </c>
      <c r="F145" t="s">
        <v>14</v>
      </c>
      <c r="G145">
        <v>1081572043</v>
      </c>
      <c r="H145" t="s">
        <v>54</v>
      </c>
      <c r="I145">
        <v>59836926</v>
      </c>
      <c r="J145" t="s">
        <v>14</v>
      </c>
      <c r="K145" t="s">
        <v>17</v>
      </c>
      <c r="L145" s="1">
        <v>12600000</v>
      </c>
      <c r="M145" s="1">
        <v>12600000</v>
      </c>
      <c r="N145" t="s">
        <v>704</v>
      </c>
      <c r="O145" s="1">
        <f t="shared" si="4"/>
        <v>0</v>
      </c>
    </row>
    <row r="146" spans="1:15" x14ac:dyDescent="0.25">
      <c r="A146" t="s">
        <v>284</v>
      </c>
      <c r="B146" t="s">
        <v>13</v>
      </c>
      <c r="C146">
        <v>45910</v>
      </c>
      <c r="D146">
        <v>46022</v>
      </c>
      <c r="E146" t="s">
        <v>711</v>
      </c>
      <c r="F146" t="s">
        <v>14</v>
      </c>
      <c r="G146">
        <v>1080690337</v>
      </c>
      <c r="H146" t="s">
        <v>285</v>
      </c>
      <c r="I146">
        <v>59836926</v>
      </c>
      <c r="J146" t="s">
        <v>14</v>
      </c>
      <c r="K146" t="s">
        <v>17</v>
      </c>
      <c r="L146" s="1">
        <v>12600000</v>
      </c>
      <c r="M146" s="1">
        <v>12600000</v>
      </c>
      <c r="N146" t="s">
        <v>704</v>
      </c>
      <c r="O146" s="1">
        <f t="shared" si="4"/>
        <v>0</v>
      </c>
    </row>
    <row r="147" spans="1:15" x14ac:dyDescent="0.25">
      <c r="A147" t="s">
        <v>194</v>
      </c>
      <c r="B147" t="s">
        <v>13</v>
      </c>
      <c r="C147">
        <v>45910</v>
      </c>
      <c r="D147">
        <v>46022</v>
      </c>
      <c r="E147" t="s">
        <v>711</v>
      </c>
      <c r="F147" t="s">
        <v>14</v>
      </c>
      <c r="G147">
        <v>1233193191</v>
      </c>
      <c r="H147" t="s">
        <v>195</v>
      </c>
      <c r="I147">
        <v>98333941</v>
      </c>
      <c r="J147" t="s">
        <v>14</v>
      </c>
      <c r="K147" t="s">
        <v>15</v>
      </c>
      <c r="L147" s="1">
        <v>12600000</v>
      </c>
      <c r="M147" s="1">
        <v>12600000</v>
      </c>
      <c r="N147" t="s">
        <v>704</v>
      </c>
      <c r="O147" s="1">
        <f t="shared" si="4"/>
        <v>0</v>
      </c>
    </row>
    <row r="148" spans="1:15" x14ac:dyDescent="0.25">
      <c r="A148" t="s">
        <v>230</v>
      </c>
      <c r="B148" t="s">
        <v>13</v>
      </c>
      <c r="C148">
        <v>45910</v>
      </c>
      <c r="D148">
        <v>46022</v>
      </c>
      <c r="E148" t="s">
        <v>711</v>
      </c>
      <c r="F148" t="s">
        <v>14</v>
      </c>
      <c r="G148">
        <v>59313711</v>
      </c>
      <c r="H148" t="s">
        <v>231</v>
      </c>
      <c r="I148">
        <v>98333941</v>
      </c>
      <c r="J148" t="s">
        <v>14</v>
      </c>
      <c r="K148" t="s">
        <v>15</v>
      </c>
      <c r="L148" s="1">
        <v>12600000</v>
      </c>
      <c r="M148" s="1">
        <v>12600000</v>
      </c>
      <c r="N148" t="s">
        <v>704</v>
      </c>
      <c r="O148" s="1">
        <f t="shared" si="4"/>
        <v>0</v>
      </c>
    </row>
    <row r="149" spans="1:15" x14ac:dyDescent="0.25">
      <c r="A149" t="s">
        <v>256</v>
      </c>
      <c r="B149" t="s">
        <v>13</v>
      </c>
      <c r="C149">
        <v>45910</v>
      </c>
      <c r="D149">
        <v>46022</v>
      </c>
      <c r="E149" t="s">
        <v>711</v>
      </c>
      <c r="F149" t="s">
        <v>14</v>
      </c>
      <c r="G149">
        <v>1085302942</v>
      </c>
      <c r="H149" t="s">
        <v>257</v>
      </c>
      <c r="I149">
        <v>98333941</v>
      </c>
      <c r="J149" t="s">
        <v>14</v>
      </c>
      <c r="K149" t="s">
        <v>15</v>
      </c>
      <c r="L149" s="1">
        <v>12600000</v>
      </c>
      <c r="M149" s="1">
        <v>12600000</v>
      </c>
      <c r="N149" t="s">
        <v>704</v>
      </c>
      <c r="O149" s="1">
        <f t="shared" si="4"/>
        <v>0</v>
      </c>
    </row>
    <row r="150" spans="1:15" x14ac:dyDescent="0.25">
      <c r="A150" t="s">
        <v>341</v>
      </c>
      <c r="B150" t="s">
        <v>13</v>
      </c>
      <c r="C150">
        <v>45910</v>
      </c>
      <c r="D150">
        <v>46022</v>
      </c>
      <c r="E150" t="s">
        <v>711</v>
      </c>
      <c r="F150" t="s">
        <v>14</v>
      </c>
      <c r="G150">
        <v>1085275473</v>
      </c>
      <c r="H150" t="s">
        <v>342</v>
      </c>
      <c r="I150">
        <v>98390119</v>
      </c>
      <c r="J150" t="s">
        <v>14</v>
      </c>
      <c r="K150" t="s">
        <v>63</v>
      </c>
      <c r="L150" s="1">
        <v>12600000</v>
      </c>
      <c r="M150" s="1">
        <v>12600000</v>
      </c>
      <c r="N150" t="s">
        <v>704</v>
      </c>
      <c r="O150" s="1">
        <f t="shared" si="4"/>
        <v>0</v>
      </c>
    </row>
    <row r="151" spans="1:15" x14ac:dyDescent="0.25">
      <c r="A151" t="s">
        <v>298</v>
      </c>
      <c r="B151" t="s">
        <v>13</v>
      </c>
      <c r="C151">
        <v>45909</v>
      </c>
      <c r="D151">
        <v>46022</v>
      </c>
      <c r="E151" t="s">
        <v>711</v>
      </c>
      <c r="F151" t="s">
        <v>14</v>
      </c>
      <c r="G151">
        <v>59310853</v>
      </c>
      <c r="H151" t="s">
        <v>57</v>
      </c>
      <c r="I151">
        <v>43624414</v>
      </c>
      <c r="J151" t="s">
        <v>14</v>
      </c>
      <c r="K151" t="s">
        <v>18</v>
      </c>
      <c r="L151" s="1">
        <v>12600000</v>
      </c>
      <c r="M151" s="1">
        <v>12600000</v>
      </c>
      <c r="N151" t="s">
        <v>704</v>
      </c>
      <c r="O151" s="1">
        <f t="shared" si="4"/>
        <v>0</v>
      </c>
    </row>
    <row r="152" spans="1:15" x14ac:dyDescent="0.25">
      <c r="A152" t="s">
        <v>196</v>
      </c>
      <c r="B152" t="s">
        <v>13</v>
      </c>
      <c r="C152">
        <v>45909</v>
      </c>
      <c r="D152">
        <v>46022</v>
      </c>
      <c r="E152" t="s">
        <v>711</v>
      </c>
      <c r="F152" t="s">
        <v>14</v>
      </c>
      <c r="G152">
        <v>37087117</v>
      </c>
      <c r="H152" t="s">
        <v>197</v>
      </c>
      <c r="I152">
        <v>98333941</v>
      </c>
      <c r="J152" t="s">
        <v>14</v>
      </c>
      <c r="K152" t="s">
        <v>15</v>
      </c>
      <c r="L152" s="1">
        <v>12600000</v>
      </c>
      <c r="M152" s="1">
        <v>12600000</v>
      </c>
      <c r="N152" t="s">
        <v>704</v>
      </c>
      <c r="O152" s="1">
        <f t="shared" si="4"/>
        <v>0</v>
      </c>
    </row>
    <row r="153" spans="1:15" x14ac:dyDescent="0.25">
      <c r="A153" t="s">
        <v>649</v>
      </c>
      <c r="B153" t="s">
        <v>13</v>
      </c>
      <c r="C153">
        <v>45909</v>
      </c>
      <c r="D153">
        <v>46022</v>
      </c>
      <c r="E153" t="s">
        <v>711</v>
      </c>
      <c r="F153" t="s">
        <v>14</v>
      </c>
      <c r="G153">
        <v>1085335033</v>
      </c>
      <c r="H153" t="s">
        <v>650</v>
      </c>
      <c r="I153">
        <v>98333941</v>
      </c>
      <c r="J153" t="s">
        <v>14</v>
      </c>
      <c r="K153" t="s">
        <v>15</v>
      </c>
      <c r="L153" s="1">
        <v>12600000</v>
      </c>
      <c r="M153" s="1">
        <v>12600000</v>
      </c>
      <c r="N153" t="s">
        <v>704</v>
      </c>
      <c r="O153" s="1">
        <f t="shared" si="4"/>
        <v>0</v>
      </c>
    </row>
    <row r="154" spans="1:15" x14ac:dyDescent="0.25">
      <c r="A154" t="s">
        <v>301</v>
      </c>
      <c r="B154" t="s">
        <v>13</v>
      </c>
      <c r="C154">
        <v>45909</v>
      </c>
      <c r="D154">
        <v>46022</v>
      </c>
      <c r="E154" t="s">
        <v>711</v>
      </c>
      <c r="F154" t="s">
        <v>14</v>
      </c>
      <c r="G154">
        <v>1086329609</v>
      </c>
      <c r="H154" t="s">
        <v>64</v>
      </c>
      <c r="I154">
        <v>98333941</v>
      </c>
      <c r="J154" t="s">
        <v>14</v>
      </c>
      <c r="K154" t="s">
        <v>15</v>
      </c>
      <c r="L154" s="1">
        <v>12600000</v>
      </c>
      <c r="M154" s="1">
        <v>12600000</v>
      </c>
      <c r="N154" t="s">
        <v>704</v>
      </c>
      <c r="O154" s="1">
        <f t="shared" si="4"/>
        <v>0</v>
      </c>
    </row>
    <row r="155" spans="1:15" x14ac:dyDescent="0.25">
      <c r="A155" t="s">
        <v>104</v>
      </c>
      <c r="B155" t="s">
        <v>13</v>
      </c>
      <c r="C155">
        <v>45909</v>
      </c>
      <c r="D155">
        <v>46022</v>
      </c>
      <c r="E155" t="s">
        <v>711</v>
      </c>
      <c r="F155" t="s">
        <v>14</v>
      </c>
      <c r="G155">
        <v>59310056</v>
      </c>
      <c r="H155" t="s">
        <v>105</v>
      </c>
      <c r="I155">
        <v>98333941</v>
      </c>
      <c r="J155" t="s">
        <v>14</v>
      </c>
      <c r="K155" t="s">
        <v>15</v>
      </c>
      <c r="L155" s="1">
        <v>12600000</v>
      </c>
      <c r="M155" s="1">
        <v>12600000</v>
      </c>
      <c r="N155" t="s">
        <v>704</v>
      </c>
      <c r="O155" s="1">
        <f t="shared" si="4"/>
        <v>0</v>
      </c>
    </row>
    <row r="156" spans="1:15" x14ac:dyDescent="0.25">
      <c r="A156" t="s">
        <v>171</v>
      </c>
      <c r="B156" t="s">
        <v>13</v>
      </c>
      <c r="C156">
        <v>45909</v>
      </c>
      <c r="D156">
        <v>46022</v>
      </c>
      <c r="E156" t="s">
        <v>711</v>
      </c>
      <c r="F156" t="s">
        <v>14</v>
      </c>
      <c r="G156">
        <v>27088197</v>
      </c>
      <c r="H156" t="s">
        <v>62</v>
      </c>
      <c r="I156">
        <v>59836926</v>
      </c>
      <c r="J156" t="s">
        <v>14</v>
      </c>
      <c r="K156" t="s">
        <v>17</v>
      </c>
      <c r="L156" s="1">
        <v>12600000</v>
      </c>
      <c r="M156" s="1">
        <v>12600000</v>
      </c>
      <c r="N156" t="s">
        <v>704</v>
      </c>
      <c r="O156" s="1">
        <f t="shared" ref="O156:O187" si="5">M156-L156</f>
        <v>0</v>
      </c>
    </row>
    <row r="157" spans="1:15" x14ac:dyDescent="0.25">
      <c r="A157" t="s">
        <v>532</v>
      </c>
      <c r="B157" t="s">
        <v>13</v>
      </c>
      <c r="C157">
        <v>45909</v>
      </c>
      <c r="D157">
        <v>46022</v>
      </c>
      <c r="E157" t="s">
        <v>711</v>
      </c>
      <c r="F157" t="s">
        <v>14</v>
      </c>
      <c r="G157">
        <v>1085286725</v>
      </c>
      <c r="H157" t="s">
        <v>40</v>
      </c>
      <c r="I157">
        <v>98333941</v>
      </c>
      <c r="J157" t="s">
        <v>14</v>
      </c>
      <c r="K157" t="s">
        <v>15</v>
      </c>
      <c r="L157" s="1">
        <v>12600000</v>
      </c>
      <c r="M157" s="1">
        <v>12600000</v>
      </c>
      <c r="N157" t="s">
        <v>704</v>
      </c>
      <c r="O157" s="1">
        <f t="shared" si="5"/>
        <v>0</v>
      </c>
    </row>
    <row r="158" spans="1:15" x14ac:dyDescent="0.25">
      <c r="A158" t="s">
        <v>238</v>
      </c>
      <c r="B158" t="s">
        <v>13</v>
      </c>
      <c r="C158">
        <v>45909</v>
      </c>
      <c r="D158">
        <v>46022</v>
      </c>
      <c r="E158" t="s">
        <v>711</v>
      </c>
      <c r="F158" t="s">
        <v>14</v>
      </c>
      <c r="G158">
        <v>59310524</v>
      </c>
      <c r="H158" t="s">
        <v>22</v>
      </c>
      <c r="I158">
        <v>98390119</v>
      </c>
      <c r="J158" t="s">
        <v>14</v>
      </c>
      <c r="K158" t="s">
        <v>63</v>
      </c>
      <c r="L158" s="1">
        <v>12600000</v>
      </c>
      <c r="M158" s="1">
        <v>12600000</v>
      </c>
      <c r="N158" t="s">
        <v>704</v>
      </c>
      <c r="O158" s="1">
        <f t="shared" si="5"/>
        <v>0</v>
      </c>
    </row>
    <row r="159" spans="1:15" x14ac:dyDescent="0.25">
      <c r="A159" t="s">
        <v>173</v>
      </c>
      <c r="B159" t="s">
        <v>13</v>
      </c>
      <c r="C159">
        <v>45909</v>
      </c>
      <c r="D159">
        <v>46022</v>
      </c>
      <c r="E159" t="s">
        <v>711</v>
      </c>
      <c r="F159" t="s">
        <v>14</v>
      </c>
      <c r="G159">
        <v>27082649</v>
      </c>
      <c r="H159" t="s">
        <v>174</v>
      </c>
      <c r="I159">
        <v>43624414</v>
      </c>
      <c r="J159" t="s">
        <v>14</v>
      </c>
      <c r="K159" t="s">
        <v>18</v>
      </c>
      <c r="L159" s="1">
        <v>12600000</v>
      </c>
      <c r="M159" s="1">
        <v>12600000</v>
      </c>
      <c r="N159" t="s">
        <v>704</v>
      </c>
      <c r="O159" s="1">
        <f t="shared" si="5"/>
        <v>0</v>
      </c>
    </row>
    <row r="160" spans="1:15" x14ac:dyDescent="0.25">
      <c r="A160" t="s">
        <v>185</v>
      </c>
      <c r="B160" t="s">
        <v>13</v>
      </c>
      <c r="C160">
        <v>45909</v>
      </c>
      <c r="D160">
        <v>46022</v>
      </c>
      <c r="E160" t="s">
        <v>711</v>
      </c>
      <c r="F160" t="s">
        <v>14</v>
      </c>
      <c r="G160">
        <v>1087960258</v>
      </c>
      <c r="H160" t="s">
        <v>186</v>
      </c>
      <c r="I160">
        <v>98333941</v>
      </c>
      <c r="J160" t="s">
        <v>14</v>
      </c>
      <c r="K160" t="s">
        <v>15</v>
      </c>
      <c r="L160" s="1">
        <v>12600000</v>
      </c>
      <c r="M160" s="1">
        <v>12600000</v>
      </c>
      <c r="N160" t="s">
        <v>704</v>
      </c>
      <c r="O160" s="1">
        <f t="shared" si="5"/>
        <v>0</v>
      </c>
    </row>
    <row r="161" spans="1:15" x14ac:dyDescent="0.25">
      <c r="A161" t="s">
        <v>345</v>
      </c>
      <c r="B161" t="s">
        <v>13</v>
      </c>
      <c r="C161">
        <v>45908</v>
      </c>
      <c r="D161">
        <v>46022</v>
      </c>
      <c r="E161" t="s">
        <v>711</v>
      </c>
      <c r="F161" t="s">
        <v>14</v>
      </c>
      <c r="G161">
        <v>1085339190</v>
      </c>
      <c r="H161" t="s">
        <v>346</v>
      </c>
      <c r="I161">
        <v>98390119</v>
      </c>
      <c r="J161" t="s">
        <v>14</v>
      </c>
      <c r="K161" t="s">
        <v>63</v>
      </c>
      <c r="L161" s="1">
        <v>12600000</v>
      </c>
      <c r="M161" s="1">
        <v>12600000</v>
      </c>
      <c r="N161" t="s">
        <v>704</v>
      </c>
      <c r="O161" s="1">
        <f t="shared" si="5"/>
        <v>0</v>
      </c>
    </row>
    <row r="162" spans="1:15" x14ac:dyDescent="0.25">
      <c r="A162" t="s">
        <v>290</v>
      </c>
      <c r="B162" t="s">
        <v>13</v>
      </c>
      <c r="C162">
        <v>45908</v>
      </c>
      <c r="D162">
        <v>46022</v>
      </c>
      <c r="E162" t="s">
        <v>711</v>
      </c>
      <c r="F162" t="s">
        <v>14</v>
      </c>
      <c r="G162">
        <v>1004131976</v>
      </c>
      <c r="H162" t="s">
        <v>291</v>
      </c>
      <c r="I162">
        <v>98390119</v>
      </c>
      <c r="J162" t="s">
        <v>14</v>
      </c>
      <c r="K162" t="s">
        <v>63</v>
      </c>
      <c r="L162" s="1">
        <v>12600000</v>
      </c>
      <c r="M162" s="1">
        <v>12600000</v>
      </c>
      <c r="N162" t="s">
        <v>704</v>
      </c>
      <c r="O162" s="1">
        <f t="shared" si="5"/>
        <v>0</v>
      </c>
    </row>
    <row r="163" spans="1:15" x14ac:dyDescent="0.25">
      <c r="A163" t="s">
        <v>491</v>
      </c>
      <c r="B163" t="s">
        <v>13</v>
      </c>
      <c r="C163">
        <v>45908</v>
      </c>
      <c r="D163">
        <v>46022</v>
      </c>
      <c r="E163" t="s">
        <v>711</v>
      </c>
      <c r="F163" t="s">
        <v>14</v>
      </c>
      <c r="G163">
        <v>1089458048</v>
      </c>
      <c r="H163" t="s">
        <v>492</v>
      </c>
      <c r="I163">
        <v>98333941</v>
      </c>
      <c r="J163" t="s">
        <v>14</v>
      </c>
      <c r="K163" t="s">
        <v>15</v>
      </c>
      <c r="L163" s="1">
        <v>12600000</v>
      </c>
      <c r="M163" s="1">
        <v>12600000</v>
      </c>
      <c r="N163" t="s">
        <v>704</v>
      </c>
      <c r="O163" s="1">
        <f t="shared" si="5"/>
        <v>0</v>
      </c>
    </row>
    <row r="164" spans="1:15" x14ac:dyDescent="0.25">
      <c r="A164" t="s">
        <v>579</v>
      </c>
      <c r="B164" t="s">
        <v>13</v>
      </c>
      <c r="C164">
        <v>45908</v>
      </c>
      <c r="D164">
        <v>46022</v>
      </c>
      <c r="E164" t="s">
        <v>711</v>
      </c>
      <c r="F164" t="s">
        <v>14</v>
      </c>
      <c r="G164">
        <v>1192717330</v>
      </c>
      <c r="H164" t="s">
        <v>58</v>
      </c>
      <c r="I164">
        <v>43624414</v>
      </c>
      <c r="J164" t="s">
        <v>14</v>
      </c>
      <c r="K164" t="s">
        <v>18</v>
      </c>
      <c r="L164" s="1">
        <v>12600000</v>
      </c>
      <c r="M164" s="1">
        <v>12600000</v>
      </c>
      <c r="N164" t="s">
        <v>704</v>
      </c>
      <c r="O164" s="1">
        <f t="shared" si="5"/>
        <v>0</v>
      </c>
    </row>
    <row r="165" spans="1:15" x14ac:dyDescent="0.25">
      <c r="A165" t="s">
        <v>124</v>
      </c>
      <c r="B165" t="s">
        <v>13</v>
      </c>
      <c r="C165">
        <v>45908</v>
      </c>
      <c r="D165">
        <v>46022</v>
      </c>
      <c r="E165" t="s">
        <v>711</v>
      </c>
      <c r="F165" t="s">
        <v>14</v>
      </c>
      <c r="G165">
        <v>1004235479</v>
      </c>
      <c r="H165" t="s">
        <v>56</v>
      </c>
      <c r="I165">
        <v>98333941</v>
      </c>
      <c r="J165" t="s">
        <v>14</v>
      </c>
      <c r="K165" t="s">
        <v>15</v>
      </c>
      <c r="L165" s="1">
        <v>12600000</v>
      </c>
      <c r="M165" s="1">
        <v>12600000</v>
      </c>
      <c r="N165" t="s">
        <v>704</v>
      </c>
      <c r="O165" s="1">
        <f t="shared" si="5"/>
        <v>0</v>
      </c>
    </row>
    <row r="166" spans="1:15" x14ac:dyDescent="0.25">
      <c r="A166" t="s">
        <v>377</v>
      </c>
      <c r="B166" t="s">
        <v>13</v>
      </c>
      <c r="C166">
        <v>45908</v>
      </c>
      <c r="D166">
        <v>46022</v>
      </c>
      <c r="E166" t="s">
        <v>711</v>
      </c>
      <c r="F166" t="s">
        <v>14</v>
      </c>
      <c r="G166">
        <v>37084285</v>
      </c>
      <c r="H166" t="s">
        <v>29</v>
      </c>
      <c r="I166">
        <v>98333941</v>
      </c>
      <c r="J166" t="s">
        <v>14</v>
      </c>
      <c r="K166" t="s">
        <v>15</v>
      </c>
      <c r="L166" s="1">
        <v>12600000</v>
      </c>
      <c r="M166" s="1">
        <v>12600000</v>
      </c>
      <c r="N166" t="s">
        <v>704</v>
      </c>
      <c r="O166" s="1">
        <f t="shared" si="5"/>
        <v>0</v>
      </c>
    </row>
    <row r="167" spans="1:15" x14ac:dyDescent="0.25">
      <c r="A167" t="s">
        <v>201</v>
      </c>
      <c r="B167" t="s">
        <v>13</v>
      </c>
      <c r="C167">
        <v>45908</v>
      </c>
      <c r="D167">
        <v>46022</v>
      </c>
      <c r="E167" t="s">
        <v>711</v>
      </c>
      <c r="F167" t="s">
        <v>14</v>
      </c>
      <c r="G167">
        <v>1004236159</v>
      </c>
      <c r="H167" t="s">
        <v>202</v>
      </c>
      <c r="I167">
        <v>98333941</v>
      </c>
      <c r="J167" t="s">
        <v>14</v>
      </c>
      <c r="K167" t="s">
        <v>15</v>
      </c>
      <c r="L167" s="1">
        <v>12600000</v>
      </c>
      <c r="M167" s="1">
        <v>12600000</v>
      </c>
      <c r="N167" t="s">
        <v>704</v>
      </c>
      <c r="O167" s="1">
        <f t="shared" si="5"/>
        <v>0</v>
      </c>
    </row>
    <row r="168" spans="1:15" x14ac:dyDescent="0.25">
      <c r="A168" t="s">
        <v>286</v>
      </c>
      <c r="B168" t="s">
        <v>13</v>
      </c>
      <c r="C168">
        <v>45908</v>
      </c>
      <c r="D168">
        <v>46022</v>
      </c>
      <c r="E168" t="s">
        <v>719</v>
      </c>
      <c r="F168" t="s">
        <v>14</v>
      </c>
      <c r="G168">
        <v>1081053045</v>
      </c>
      <c r="H168" t="s">
        <v>287</v>
      </c>
      <c r="I168">
        <v>98333941</v>
      </c>
      <c r="J168" t="s">
        <v>14</v>
      </c>
      <c r="K168" t="s">
        <v>15</v>
      </c>
      <c r="L168" s="1">
        <v>12600000</v>
      </c>
      <c r="M168" s="1">
        <v>12600000</v>
      </c>
      <c r="N168" t="s">
        <v>704</v>
      </c>
      <c r="O168" s="1">
        <f t="shared" si="5"/>
        <v>0</v>
      </c>
    </row>
    <row r="169" spans="1:15" x14ac:dyDescent="0.25">
      <c r="A169" t="s">
        <v>663</v>
      </c>
      <c r="B169" t="s">
        <v>13</v>
      </c>
      <c r="C169">
        <v>45908</v>
      </c>
      <c r="D169">
        <v>46022</v>
      </c>
      <c r="E169" t="s">
        <v>711</v>
      </c>
      <c r="F169" t="s">
        <v>14</v>
      </c>
      <c r="G169">
        <v>1081272656</v>
      </c>
      <c r="H169" t="s">
        <v>664</v>
      </c>
      <c r="I169">
        <v>59836926</v>
      </c>
      <c r="J169" t="s">
        <v>14</v>
      </c>
      <c r="K169" t="s">
        <v>17</v>
      </c>
      <c r="L169" s="1">
        <v>12600000</v>
      </c>
      <c r="M169" s="1">
        <v>12600000</v>
      </c>
      <c r="N169" t="s">
        <v>704</v>
      </c>
      <c r="O169" s="1">
        <f t="shared" si="5"/>
        <v>0</v>
      </c>
    </row>
    <row r="170" spans="1:15" x14ac:dyDescent="0.25">
      <c r="A170" t="s">
        <v>511</v>
      </c>
      <c r="B170" t="s">
        <v>13</v>
      </c>
      <c r="C170">
        <v>45908</v>
      </c>
      <c r="D170">
        <v>46022</v>
      </c>
      <c r="E170" t="s">
        <v>711</v>
      </c>
      <c r="F170" t="s">
        <v>14</v>
      </c>
      <c r="G170">
        <v>1086358836</v>
      </c>
      <c r="H170" t="s">
        <v>512</v>
      </c>
      <c r="I170">
        <v>98333941</v>
      </c>
      <c r="J170" t="s">
        <v>14</v>
      </c>
      <c r="K170" t="s">
        <v>15</v>
      </c>
      <c r="L170" s="1">
        <v>12600000</v>
      </c>
      <c r="M170" s="1">
        <v>12600000</v>
      </c>
      <c r="N170" t="s">
        <v>704</v>
      </c>
      <c r="O170" s="1">
        <f t="shared" si="5"/>
        <v>0</v>
      </c>
    </row>
    <row r="171" spans="1:15" x14ac:dyDescent="0.25">
      <c r="A171" t="s">
        <v>306</v>
      </c>
      <c r="B171" t="s">
        <v>13</v>
      </c>
      <c r="C171">
        <v>45908</v>
      </c>
      <c r="D171">
        <v>46022</v>
      </c>
      <c r="E171" t="s">
        <v>711</v>
      </c>
      <c r="F171" t="s">
        <v>14</v>
      </c>
      <c r="G171">
        <v>1085271641</v>
      </c>
      <c r="H171" t="s">
        <v>30</v>
      </c>
      <c r="I171">
        <v>43624414</v>
      </c>
      <c r="J171" t="s">
        <v>14</v>
      </c>
      <c r="K171" t="s">
        <v>18</v>
      </c>
      <c r="L171" s="1">
        <v>12600000</v>
      </c>
      <c r="M171" s="1">
        <v>12600000</v>
      </c>
      <c r="N171" t="s">
        <v>704</v>
      </c>
      <c r="O171" s="1">
        <f t="shared" si="5"/>
        <v>0</v>
      </c>
    </row>
    <row r="172" spans="1:15" x14ac:dyDescent="0.25">
      <c r="A172" t="s">
        <v>599</v>
      </c>
      <c r="B172" t="s">
        <v>13</v>
      </c>
      <c r="C172">
        <v>45908</v>
      </c>
      <c r="D172">
        <v>46022</v>
      </c>
      <c r="E172" t="s">
        <v>711</v>
      </c>
      <c r="F172" t="s">
        <v>14</v>
      </c>
      <c r="G172">
        <v>1085343154</v>
      </c>
      <c r="H172" t="s">
        <v>600</v>
      </c>
      <c r="I172">
        <v>59836926</v>
      </c>
      <c r="J172" t="s">
        <v>14</v>
      </c>
      <c r="K172" t="s">
        <v>17</v>
      </c>
      <c r="L172" s="1">
        <v>12600000</v>
      </c>
      <c r="M172" s="1">
        <v>12600000</v>
      </c>
      <c r="N172" t="s">
        <v>704</v>
      </c>
      <c r="O172" s="1">
        <f t="shared" si="5"/>
        <v>0</v>
      </c>
    </row>
    <row r="173" spans="1:15" x14ac:dyDescent="0.25">
      <c r="A173" t="s">
        <v>299</v>
      </c>
      <c r="B173" t="s">
        <v>13</v>
      </c>
      <c r="C173">
        <v>45908</v>
      </c>
      <c r="D173">
        <v>46022</v>
      </c>
      <c r="E173" t="s">
        <v>711</v>
      </c>
      <c r="F173" t="s">
        <v>14</v>
      </c>
      <c r="G173">
        <v>36758143</v>
      </c>
      <c r="H173" t="s">
        <v>300</v>
      </c>
      <c r="I173">
        <v>43624414</v>
      </c>
      <c r="J173" t="s">
        <v>14</v>
      </c>
      <c r="K173" t="s">
        <v>18</v>
      </c>
      <c r="L173" s="1">
        <v>12600000</v>
      </c>
      <c r="M173" s="1">
        <v>12600000</v>
      </c>
      <c r="N173" t="s">
        <v>704</v>
      </c>
      <c r="O173" s="1">
        <f t="shared" si="5"/>
        <v>0</v>
      </c>
    </row>
    <row r="174" spans="1:15" x14ac:dyDescent="0.25">
      <c r="A174" t="s">
        <v>674</v>
      </c>
      <c r="B174" t="s">
        <v>13</v>
      </c>
      <c r="C174">
        <v>45908</v>
      </c>
      <c r="D174">
        <v>46022</v>
      </c>
      <c r="E174" t="s">
        <v>711</v>
      </c>
      <c r="F174" t="s">
        <v>14</v>
      </c>
      <c r="G174">
        <v>1085300095</v>
      </c>
      <c r="H174" t="s">
        <v>27</v>
      </c>
      <c r="I174">
        <v>59836926</v>
      </c>
      <c r="J174" t="s">
        <v>14</v>
      </c>
      <c r="K174" t="s">
        <v>17</v>
      </c>
      <c r="L174" s="1">
        <v>12600000</v>
      </c>
      <c r="M174" s="1">
        <v>12600000</v>
      </c>
      <c r="N174" t="s">
        <v>704</v>
      </c>
      <c r="O174" s="1">
        <f t="shared" si="5"/>
        <v>0</v>
      </c>
    </row>
    <row r="175" spans="1:15" x14ac:dyDescent="0.25">
      <c r="A175" t="s">
        <v>355</v>
      </c>
      <c r="B175" t="s">
        <v>13</v>
      </c>
      <c r="C175">
        <v>45908</v>
      </c>
      <c r="D175">
        <v>46022</v>
      </c>
      <c r="E175" t="s">
        <v>711</v>
      </c>
      <c r="F175" t="s">
        <v>14</v>
      </c>
      <c r="G175">
        <v>1137624011</v>
      </c>
      <c r="H175" t="s">
        <v>356</v>
      </c>
      <c r="I175">
        <v>98390119</v>
      </c>
      <c r="J175" t="s">
        <v>14</v>
      </c>
      <c r="K175" t="s">
        <v>63</v>
      </c>
      <c r="L175" s="1">
        <v>12600000</v>
      </c>
      <c r="M175" s="1">
        <v>12600000</v>
      </c>
      <c r="N175" t="s">
        <v>704</v>
      </c>
      <c r="O175" s="1">
        <f t="shared" si="5"/>
        <v>0</v>
      </c>
    </row>
    <row r="176" spans="1:15" x14ac:dyDescent="0.25">
      <c r="A176" t="s">
        <v>518</v>
      </c>
      <c r="B176" t="s">
        <v>13</v>
      </c>
      <c r="C176">
        <v>45908</v>
      </c>
      <c r="D176">
        <v>46022</v>
      </c>
      <c r="E176" t="s">
        <v>716</v>
      </c>
      <c r="F176" t="s">
        <v>14</v>
      </c>
      <c r="G176">
        <v>1085288636</v>
      </c>
      <c r="H176" t="s">
        <v>519</v>
      </c>
      <c r="I176">
        <v>98390119</v>
      </c>
      <c r="J176" t="s">
        <v>14</v>
      </c>
      <c r="K176" t="s">
        <v>63</v>
      </c>
      <c r="L176" s="1">
        <v>12600000</v>
      </c>
      <c r="M176" s="1">
        <v>12600000</v>
      </c>
      <c r="N176" t="s">
        <v>704</v>
      </c>
      <c r="O176" s="1">
        <f t="shared" si="5"/>
        <v>0</v>
      </c>
    </row>
    <row r="177" spans="1:15" x14ac:dyDescent="0.25">
      <c r="A177" t="s">
        <v>428</v>
      </c>
      <c r="B177" t="s">
        <v>13</v>
      </c>
      <c r="C177">
        <v>45908</v>
      </c>
      <c r="D177">
        <v>46022</v>
      </c>
      <c r="E177" t="s">
        <v>724</v>
      </c>
      <c r="F177" t="s">
        <v>14</v>
      </c>
      <c r="G177">
        <v>1089291166</v>
      </c>
      <c r="H177" t="s">
        <v>429</v>
      </c>
      <c r="I177">
        <v>98333941</v>
      </c>
      <c r="J177" t="s">
        <v>14</v>
      </c>
      <c r="K177" t="s">
        <v>15</v>
      </c>
      <c r="L177" s="1">
        <v>12600000</v>
      </c>
      <c r="M177" s="1">
        <v>12600000</v>
      </c>
      <c r="N177" t="s">
        <v>704</v>
      </c>
      <c r="O177" s="1">
        <f t="shared" si="5"/>
        <v>0</v>
      </c>
    </row>
    <row r="178" spans="1:15" x14ac:dyDescent="0.25">
      <c r="A178" t="s">
        <v>435</v>
      </c>
      <c r="B178" t="s">
        <v>13</v>
      </c>
      <c r="C178">
        <v>45908</v>
      </c>
      <c r="D178">
        <v>46022</v>
      </c>
      <c r="E178" t="s">
        <v>780</v>
      </c>
      <c r="F178" t="s">
        <v>14</v>
      </c>
      <c r="G178">
        <v>30743783</v>
      </c>
      <c r="H178" t="s">
        <v>436</v>
      </c>
      <c r="I178">
        <v>59836926</v>
      </c>
      <c r="J178" t="s">
        <v>14</v>
      </c>
      <c r="K178" t="s">
        <v>17</v>
      </c>
      <c r="L178" s="1">
        <v>12600000</v>
      </c>
      <c r="M178" s="1">
        <v>12600000</v>
      </c>
      <c r="N178" t="s">
        <v>704</v>
      </c>
      <c r="O178" s="1">
        <f t="shared" si="5"/>
        <v>0</v>
      </c>
    </row>
    <row r="179" spans="1:15" x14ac:dyDescent="0.25">
      <c r="A179" t="s">
        <v>636</v>
      </c>
      <c r="B179" t="s">
        <v>13</v>
      </c>
      <c r="C179">
        <v>45908</v>
      </c>
      <c r="D179">
        <v>46022</v>
      </c>
      <c r="E179" t="s">
        <v>816</v>
      </c>
      <c r="F179" t="s">
        <v>14</v>
      </c>
      <c r="G179">
        <v>1081272025</v>
      </c>
      <c r="H179" t="s">
        <v>637</v>
      </c>
      <c r="I179">
        <v>59836926</v>
      </c>
      <c r="J179" t="s">
        <v>14</v>
      </c>
      <c r="K179" t="s">
        <v>17</v>
      </c>
      <c r="L179" s="1">
        <v>12600000</v>
      </c>
      <c r="M179" s="1">
        <v>12600000</v>
      </c>
      <c r="N179" t="s">
        <v>704</v>
      </c>
      <c r="O179" s="1">
        <f t="shared" si="5"/>
        <v>0</v>
      </c>
    </row>
    <row r="180" spans="1:15" x14ac:dyDescent="0.25">
      <c r="A180" t="s">
        <v>483</v>
      </c>
      <c r="B180" t="s">
        <v>13</v>
      </c>
      <c r="C180">
        <v>45908</v>
      </c>
      <c r="D180">
        <v>46022</v>
      </c>
      <c r="E180" t="s">
        <v>716</v>
      </c>
      <c r="F180" t="s">
        <v>14</v>
      </c>
      <c r="G180">
        <v>1193224810</v>
      </c>
      <c r="H180" t="s">
        <v>31</v>
      </c>
      <c r="I180">
        <v>98333941</v>
      </c>
      <c r="J180" t="s">
        <v>14</v>
      </c>
      <c r="K180" t="s">
        <v>15</v>
      </c>
      <c r="L180" s="1">
        <v>12600000</v>
      </c>
      <c r="M180" s="1">
        <v>12600000</v>
      </c>
      <c r="N180" t="s">
        <v>704</v>
      </c>
      <c r="O180" s="1">
        <f t="shared" si="5"/>
        <v>0</v>
      </c>
    </row>
    <row r="181" spans="1:15" x14ac:dyDescent="0.25">
      <c r="A181" t="s">
        <v>509</v>
      </c>
      <c r="B181" t="s">
        <v>13</v>
      </c>
      <c r="C181">
        <v>45908</v>
      </c>
      <c r="D181">
        <v>46022</v>
      </c>
      <c r="E181" t="s">
        <v>794</v>
      </c>
      <c r="F181" t="s">
        <v>14</v>
      </c>
      <c r="G181">
        <v>1087644986</v>
      </c>
      <c r="H181" t="s">
        <v>510</v>
      </c>
      <c r="I181">
        <v>98333941</v>
      </c>
      <c r="J181" t="s">
        <v>14</v>
      </c>
      <c r="K181" t="s">
        <v>15</v>
      </c>
      <c r="L181" s="1">
        <v>12600000</v>
      </c>
      <c r="M181" s="1">
        <v>12600000</v>
      </c>
      <c r="N181" t="s">
        <v>704</v>
      </c>
      <c r="O181" s="1">
        <f t="shared" si="5"/>
        <v>0</v>
      </c>
    </row>
    <row r="182" spans="1:15" x14ac:dyDescent="0.25">
      <c r="A182" t="s">
        <v>281</v>
      </c>
      <c r="B182" t="s">
        <v>13</v>
      </c>
      <c r="C182">
        <v>45905</v>
      </c>
      <c r="D182">
        <v>46022</v>
      </c>
      <c r="E182" t="s">
        <v>720</v>
      </c>
      <c r="F182" t="s">
        <v>14</v>
      </c>
      <c r="G182">
        <v>69028150</v>
      </c>
      <c r="H182" t="s">
        <v>21</v>
      </c>
      <c r="I182">
        <v>59836926</v>
      </c>
      <c r="J182" t="s">
        <v>14</v>
      </c>
      <c r="K182" t="s">
        <v>17</v>
      </c>
      <c r="L182" s="1">
        <v>12600000</v>
      </c>
      <c r="M182" s="1">
        <v>12600000</v>
      </c>
      <c r="N182" t="s">
        <v>704</v>
      </c>
      <c r="O182" s="1">
        <f t="shared" si="5"/>
        <v>0</v>
      </c>
    </row>
    <row r="183" spans="1:15" x14ac:dyDescent="0.25">
      <c r="A183" t="s">
        <v>660</v>
      </c>
      <c r="B183" t="s">
        <v>13</v>
      </c>
      <c r="C183">
        <v>45905</v>
      </c>
      <c r="D183">
        <v>46022</v>
      </c>
      <c r="E183" t="s">
        <v>716</v>
      </c>
      <c r="F183" t="s">
        <v>14</v>
      </c>
      <c r="G183">
        <v>1085315013</v>
      </c>
      <c r="H183" t="s">
        <v>60</v>
      </c>
      <c r="I183">
        <v>98390119</v>
      </c>
      <c r="J183" t="s">
        <v>14</v>
      </c>
      <c r="K183" t="s">
        <v>63</v>
      </c>
      <c r="L183" s="1">
        <v>12600000</v>
      </c>
      <c r="M183" s="1">
        <v>12600000</v>
      </c>
      <c r="N183" t="s">
        <v>704</v>
      </c>
      <c r="O183" s="1">
        <f t="shared" si="5"/>
        <v>0</v>
      </c>
    </row>
    <row r="184" spans="1:15" x14ac:dyDescent="0.25">
      <c r="A184" t="s">
        <v>475</v>
      </c>
      <c r="B184" t="s">
        <v>13</v>
      </c>
      <c r="C184">
        <v>45904</v>
      </c>
      <c r="D184">
        <v>46022</v>
      </c>
      <c r="E184" t="s">
        <v>708</v>
      </c>
      <c r="F184" t="s">
        <v>14</v>
      </c>
      <c r="G184">
        <v>1085269090</v>
      </c>
      <c r="H184" t="s">
        <v>52</v>
      </c>
      <c r="I184">
        <v>98333941</v>
      </c>
      <c r="J184" t="s">
        <v>14</v>
      </c>
      <c r="K184" t="s">
        <v>15</v>
      </c>
      <c r="L184" s="1">
        <v>12600000</v>
      </c>
      <c r="M184" s="1">
        <v>12600000</v>
      </c>
      <c r="N184" t="s">
        <v>704</v>
      </c>
      <c r="O184" s="1">
        <f t="shared" si="5"/>
        <v>0</v>
      </c>
    </row>
    <row r="185" spans="1:15" x14ac:dyDescent="0.25">
      <c r="A185" t="s">
        <v>398</v>
      </c>
      <c r="B185" t="s">
        <v>13</v>
      </c>
      <c r="C185">
        <v>45904</v>
      </c>
      <c r="D185">
        <v>46022</v>
      </c>
      <c r="E185" t="s">
        <v>708</v>
      </c>
      <c r="F185" t="s">
        <v>14</v>
      </c>
      <c r="G185">
        <v>1085255829</v>
      </c>
      <c r="H185" t="s">
        <v>23</v>
      </c>
      <c r="I185">
        <v>98390119</v>
      </c>
      <c r="J185" t="s">
        <v>14</v>
      </c>
      <c r="K185" t="s">
        <v>63</v>
      </c>
      <c r="L185" s="1">
        <v>12600000</v>
      </c>
      <c r="M185" s="1">
        <v>12600000</v>
      </c>
      <c r="N185" t="s">
        <v>704</v>
      </c>
      <c r="O185" s="1">
        <f t="shared" si="5"/>
        <v>0</v>
      </c>
    </row>
    <row r="186" spans="1:15" x14ac:dyDescent="0.25">
      <c r="A186" t="s">
        <v>93</v>
      </c>
      <c r="B186" t="s">
        <v>13</v>
      </c>
      <c r="C186">
        <v>45904</v>
      </c>
      <c r="D186">
        <v>46022</v>
      </c>
      <c r="E186" t="s">
        <v>708</v>
      </c>
      <c r="F186" t="s">
        <v>14</v>
      </c>
      <c r="G186">
        <v>1233189234</v>
      </c>
      <c r="H186" t="s">
        <v>53</v>
      </c>
      <c r="I186">
        <v>59836926</v>
      </c>
      <c r="J186" t="s">
        <v>14</v>
      </c>
      <c r="K186" t="s">
        <v>17</v>
      </c>
      <c r="L186" s="1">
        <v>12600000</v>
      </c>
      <c r="M186" s="1">
        <v>12600000</v>
      </c>
      <c r="N186" t="s">
        <v>704</v>
      </c>
      <c r="O186" s="1">
        <f t="shared" si="5"/>
        <v>0</v>
      </c>
    </row>
    <row r="187" spans="1:15" x14ac:dyDescent="0.25">
      <c r="A187" t="s">
        <v>434</v>
      </c>
      <c r="B187" t="s">
        <v>13</v>
      </c>
      <c r="C187">
        <v>45903</v>
      </c>
      <c r="D187">
        <v>46022</v>
      </c>
      <c r="E187" t="s">
        <v>708</v>
      </c>
      <c r="F187" t="s">
        <v>14</v>
      </c>
      <c r="G187">
        <v>1010082397</v>
      </c>
      <c r="H187" t="s">
        <v>44</v>
      </c>
      <c r="I187">
        <v>98390119</v>
      </c>
      <c r="J187" t="s">
        <v>14</v>
      </c>
      <c r="K187" t="s">
        <v>63</v>
      </c>
      <c r="L187" s="1">
        <v>12600000</v>
      </c>
      <c r="M187" s="1">
        <v>12600000</v>
      </c>
      <c r="N187" t="s">
        <v>704</v>
      </c>
      <c r="O187" s="1">
        <f t="shared" si="5"/>
        <v>0</v>
      </c>
    </row>
    <row r="188" spans="1:15" x14ac:dyDescent="0.25">
      <c r="A188" t="s">
        <v>215</v>
      </c>
      <c r="B188" t="s">
        <v>13</v>
      </c>
      <c r="C188">
        <v>45903</v>
      </c>
      <c r="D188">
        <v>46022</v>
      </c>
      <c r="E188" t="s">
        <v>708</v>
      </c>
      <c r="F188" t="s">
        <v>14</v>
      </c>
      <c r="G188">
        <v>1087006717</v>
      </c>
      <c r="H188" t="s">
        <v>42</v>
      </c>
      <c r="I188">
        <v>59836926</v>
      </c>
      <c r="J188" t="s">
        <v>14</v>
      </c>
      <c r="K188" t="s">
        <v>17</v>
      </c>
      <c r="L188" s="1">
        <v>12600000</v>
      </c>
      <c r="M188" s="1">
        <v>12600000</v>
      </c>
      <c r="N188" t="s">
        <v>704</v>
      </c>
      <c r="O188" s="1">
        <f t="shared" ref="O188:O208" si="6">M188-L188</f>
        <v>0</v>
      </c>
    </row>
    <row r="189" spans="1:15" x14ac:dyDescent="0.25">
      <c r="A189" t="s">
        <v>167</v>
      </c>
      <c r="B189" t="s">
        <v>13</v>
      </c>
      <c r="C189">
        <v>45902</v>
      </c>
      <c r="D189">
        <v>46022</v>
      </c>
      <c r="E189" t="s">
        <v>730</v>
      </c>
      <c r="F189" t="s">
        <v>14</v>
      </c>
      <c r="G189">
        <v>36752202</v>
      </c>
      <c r="H189" t="s">
        <v>168</v>
      </c>
      <c r="I189">
        <v>59836926</v>
      </c>
      <c r="J189" t="s">
        <v>14</v>
      </c>
      <c r="K189" t="s">
        <v>17</v>
      </c>
      <c r="L189" s="1">
        <v>12600000</v>
      </c>
      <c r="M189" s="1">
        <v>12600000</v>
      </c>
      <c r="N189" t="s">
        <v>704</v>
      </c>
      <c r="O189" s="1">
        <f t="shared" si="6"/>
        <v>0</v>
      </c>
    </row>
    <row r="190" spans="1:15" x14ac:dyDescent="0.25">
      <c r="A190" t="s">
        <v>464</v>
      </c>
      <c r="B190" t="s">
        <v>13</v>
      </c>
      <c r="C190">
        <v>45971</v>
      </c>
      <c r="D190">
        <v>46022</v>
      </c>
      <c r="E190" t="s">
        <v>323</v>
      </c>
      <c r="F190" t="s">
        <v>14</v>
      </c>
      <c r="G190">
        <v>1193223736</v>
      </c>
      <c r="H190" t="s">
        <v>75</v>
      </c>
      <c r="I190">
        <v>59836926</v>
      </c>
      <c r="J190" t="s">
        <v>14</v>
      </c>
      <c r="K190" t="s">
        <v>17</v>
      </c>
      <c r="L190" s="1">
        <v>12600000</v>
      </c>
      <c r="M190" s="1">
        <v>12600000</v>
      </c>
      <c r="N190" t="s">
        <v>704</v>
      </c>
      <c r="O190" s="1">
        <f t="shared" si="6"/>
        <v>0</v>
      </c>
    </row>
    <row r="191" spans="1:15" x14ac:dyDescent="0.25">
      <c r="A191" t="s">
        <v>307</v>
      </c>
      <c r="B191" t="s">
        <v>13</v>
      </c>
      <c r="C191">
        <v>45966</v>
      </c>
      <c r="D191">
        <v>46022</v>
      </c>
      <c r="E191" t="s">
        <v>754</v>
      </c>
      <c r="F191" t="s">
        <v>14</v>
      </c>
      <c r="G191">
        <v>1085254153</v>
      </c>
      <c r="H191" t="s">
        <v>308</v>
      </c>
      <c r="I191">
        <v>59836926</v>
      </c>
      <c r="J191" t="s">
        <v>14</v>
      </c>
      <c r="K191" t="s">
        <v>17</v>
      </c>
      <c r="L191" s="1">
        <v>12600000</v>
      </c>
      <c r="M191" s="1">
        <v>12600000</v>
      </c>
      <c r="N191" t="s">
        <v>704</v>
      </c>
      <c r="O191" s="1">
        <f t="shared" si="6"/>
        <v>0</v>
      </c>
    </row>
    <row r="192" spans="1:15" x14ac:dyDescent="0.25">
      <c r="A192" t="s">
        <v>309</v>
      </c>
      <c r="B192" t="s">
        <v>13</v>
      </c>
      <c r="C192">
        <v>45937</v>
      </c>
      <c r="D192">
        <v>46022</v>
      </c>
      <c r="E192" t="s">
        <v>755</v>
      </c>
      <c r="F192" t="s">
        <v>14</v>
      </c>
      <c r="G192">
        <v>1233190311</v>
      </c>
      <c r="H192" t="s">
        <v>310</v>
      </c>
      <c r="I192">
        <v>98390119</v>
      </c>
      <c r="J192" t="s">
        <v>14</v>
      </c>
      <c r="K192" t="s">
        <v>63</v>
      </c>
      <c r="L192" s="1">
        <v>14190000</v>
      </c>
      <c r="M192" s="1">
        <v>14190000</v>
      </c>
      <c r="N192" t="s">
        <v>704</v>
      </c>
      <c r="O192" s="1">
        <f t="shared" si="6"/>
        <v>0</v>
      </c>
    </row>
    <row r="193" spans="1:15" x14ac:dyDescent="0.25">
      <c r="A193" t="s">
        <v>419</v>
      </c>
      <c r="B193" t="s">
        <v>13</v>
      </c>
      <c r="C193">
        <v>45932</v>
      </c>
      <c r="D193">
        <v>46022</v>
      </c>
      <c r="E193" t="s">
        <v>755</v>
      </c>
      <c r="F193" t="s">
        <v>14</v>
      </c>
      <c r="G193">
        <v>1085293619</v>
      </c>
      <c r="H193" t="s">
        <v>420</v>
      </c>
      <c r="I193">
        <v>43624414</v>
      </c>
      <c r="J193" t="s">
        <v>14</v>
      </c>
      <c r="K193" t="s">
        <v>18</v>
      </c>
      <c r="L193" s="1">
        <v>14190000</v>
      </c>
      <c r="M193" s="1">
        <v>14190000</v>
      </c>
      <c r="N193" t="s">
        <v>704</v>
      </c>
      <c r="O193" s="1">
        <f t="shared" si="6"/>
        <v>0</v>
      </c>
    </row>
    <row r="194" spans="1:15" x14ac:dyDescent="0.25">
      <c r="A194" t="s">
        <v>437</v>
      </c>
      <c r="B194" t="s">
        <v>13</v>
      </c>
      <c r="C194">
        <v>45932</v>
      </c>
      <c r="D194">
        <v>46022</v>
      </c>
      <c r="E194" t="s">
        <v>781</v>
      </c>
      <c r="F194" t="s">
        <v>14</v>
      </c>
      <c r="G194">
        <v>37084258</v>
      </c>
      <c r="H194" t="s">
        <v>438</v>
      </c>
      <c r="I194">
        <v>43624414</v>
      </c>
      <c r="J194" t="s">
        <v>14</v>
      </c>
      <c r="K194" t="s">
        <v>18</v>
      </c>
      <c r="L194" s="1">
        <v>14190000</v>
      </c>
      <c r="M194" s="1">
        <v>14190000</v>
      </c>
      <c r="N194" t="s">
        <v>704</v>
      </c>
      <c r="O194" s="1">
        <f t="shared" si="6"/>
        <v>0</v>
      </c>
    </row>
    <row r="195" spans="1:15" x14ac:dyDescent="0.25">
      <c r="A195" t="s">
        <v>672</v>
      </c>
      <c r="B195" t="s">
        <v>13</v>
      </c>
      <c r="C195">
        <v>45932</v>
      </c>
      <c r="D195">
        <v>46022</v>
      </c>
      <c r="E195" t="s">
        <v>744</v>
      </c>
      <c r="F195" t="s">
        <v>14</v>
      </c>
      <c r="G195">
        <v>1085331301</v>
      </c>
      <c r="H195" t="s">
        <v>673</v>
      </c>
      <c r="I195">
        <v>43624414</v>
      </c>
      <c r="J195" t="s">
        <v>14</v>
      </c>
      <c r="K195" t="s">
        <v>18</v>
      </c>
      <c r="L195" s="1">
        <v>14190000</v>
      </c>
      <c r="M195" s="1">
        <v>14190000</v>
      </c>
      <c r="N195" t="s">
        <v>704</v>
      </c>
      <c r="O195" s="1">
        <f t="shared" si="6"/>
        <v>0</v>
      </c>
    </row>
    <row r="196" spans="1:15" x14ac:dyDescent="0.25">
      <c r="A196" t="s">
        <v>394</v>
      </c>
      <c r="B196" t="s">
        <v>13</v>
      </c>
      <c r="C196">
        <v>45931</v>
      </c>
      <c r="D196">
        <v>46022</v>
      </c>
      <c r="E196" t="s">
        <v>771</v>
      </c>
      <c r="F196" t="s">
        <v>14</v>
      </c>
      <c r="G196">
        <v>1233188033</v>
      </c>
      <c r="H196" t="s">
        <v>395</v>
      </c>
      <c r="I196">
        <v>98390119</v>
      </c>
      <c r="J196" t="s">
        <v>14</v>
      </c>
      <c r="K196" t="s">
        <v>63</v>
      </c>
      <c r="L196" s="1">
        <v>14190000</v>
      </c>
      <c r="M196" s="1">
        <v>14190000</v>
      </c>
      <c r="N196" t="s">
        <v>704</v>
      </c>
      <c r="O196" s="1">
        <f t="shared" si="6"/>
        <v>0</v>
      </c>
    </row>
    <row r="197" spans="1:15" x14ac:dyDescent="0.25">
      <c r="A197" t="s">
        <v>220</v>
      </c>
      <c r="B197" t="s">
        <v>13</v>
      </c>
      <c r="C197">
        <v>45930</v>
      </c>
      <c r="D197">
        <v>46022</v>
      </c>
      <c r="E197" t="s">
        <v>744</v>
      </c>
      <c r="F197" t="s">
        <v>14</v>
      </c>
      <c r="G197">
        <v>27105277</v>
      </c>
      <c r="H197" t="s">
        <v>221</v>
      </c>
      <c r="I197">
        <v>59836926</v>
      </c>
      <c r="J197" t="s">
        <v>14</v>
      </c>
      <c r="K197" t="s">
        <v>17</v>
      </c>
      <c r="L197" s="1">
        <v>14190000</v>
      </c>
      <c r="M197" s="1">
        <v>14190000</v>
      </c>
      <c r="N197" t="s">
        <v>704</v>
      </c>
      <c r="O197" s="1">
        <f t="shared" si="6"/>
        <v>0</v>
      </c>
    </row>
    <row r="198" spans="1:15" x14ac:dyDescent="0.25">
      <c r="A198" t="s">
        <v>582</v>
      </c>
      <c r="B198" t="s">
        <v>13</v>
      </c>
      <c r="C198">
        <v>45930</v>
      </c>
      <c r="D198">
        <v>46022</v>
      </c>
      <c r="E198" t="s">
        <v>744</v>
      </c>
      <c r="F198" t="s">
        <v>14</v>
      </c>
      <c r="G198">
        <v>1085313870</v>
      </c>
      <c r="H198" t="s">
        <v>87</v>
      </c>
      <c r="I198">
        <v>43624414</v>
      </c>
      <c r="J198" t="s">
        <v>14</v>
      </c>
      <c r="K198" t="s">
        <v>18</v>
      </c>
      <c r="L198" s="1">
        <v>14190000</v>
      </c>
      <c r="M198" s="1">
        <v>14190000</v>
      </c>
      <c r="N198" t="s">
        <v>704</v>
      </c>
      <c r="O198" s="1">
        <f t="shared" si="6"/>
        <v>0</v>
      </c>
    </row>
    <row r="199" spans="1:15" x14ac:dyDescent="0.25">
      <c r="A199" t="s">
        <v>446</v>
      </c>
      <c r="B199" t="s">
        <v>13</v>
      </c>
      <c r="C199">
        <v>45930</v>
      </c>
      <c r="D199">
        <v>46022</v>
      </c>
      <c r="E199" t="s">
        <v>784</v>
      </c>
      <c r="F199" t="s">
        <v>14</v>
      </c>
      <c r="G199">
        <v>59816986</v>
      </c>
      <c r="H199" t="s">
        <v>447</v>
      </c>
      <c r="I199">
        <v>98390119</v>
      </c>
      <c r="J199" t="s">
        <v>14</v>
      </c>
      <c r="K199" t="s">
        <v>63</v>
      </c>
      <c r="L199" s="1">
        <v>14190000</v>
      </c>
      <c r="M199" s="1">
        <v>14190000</v>
      </c>
      <c r="N199" t="s">
        <v>704</v>
      </c>
      <c r="O199" s="1">
        <f t="shared" si="6"/>
        <v>0</v>
      </c>
    </row>
    <row r="200" spans="1:15" x14ac:dyDescent="0.25">
      <c r="A200" t="s">
        <v>382</v>
      </c>
      <c r="B200" t="s">
        <v>13</v>
      </c>
      <c r="C200">
        <v>45929</v>
      </c>
      <c r="D200">
        <v>46022</v>
      </c>
      <c r="E200" t="s">
        <v>767</v>
      </c>
      <c r="F200" t="s">
        <v>14</v>
      </c>
      <c r="G200">
        <v>1085323338</v>
      </c>
      <c r="H200" t="s">
        <v>383</v>
      </c>
      <c r="I200">
        <v>98390119</v>
      </c>
      <c r="J200" t="s">
        <v>14</v>
      </c>
      <c r="K200" t="s">
        <v>63</v>
      </c>
      <c r="L200" s="1">
        <v>14190000</v>
      </c>
      <c r="M200" s="1">
        <v>14190000</v>
      </c>
      <c r="N200" t="s">
        <v>704</v>
      </c>
      <c r="O200" s="1">
        <f t="shared" si="6"/>
        <v>0</v>
      </c>
    </row>
    <row r="201" spans="1:15" x14ac:dyDescent="0.25">
      <c r="A201" t="s">
        <v>146</v>
      </c>
      <c r="B201" t="s">
        <v>13</v>
      </c>
      <c r="C201">
        <v>45929</v>
      </c>
      <c r="D201">
        <v>46022</v>
      </c>
      <c r="E201" t="s">
        <v>725</v>
      </c>
      <c r="F201" t="s">
        <v>14</v>
      </c>
      <c r="G201">
        <v>52381227</v>
      </c>
      <c r="H201" t="s">
        <v>147</v>
      </c>
      <c r="I201">
        <v>98390119</v>
      </c>
      <c r="J201" t="s">
        <v>14</v>
      </c>
      <c r="K201" t="s">
        <v>63</v>
      </c>
      <c r="L201" s="1">
        <v>14190000</v>
      </c>
      <c r="M201" s="1">
        <v>14190000</v>
      </c>
      <c r="N201" t="s">
        <v>704</v>
      </c>
      <c r="O201" s="1">
        <f t="shared" si="6"/>
        <v>0</v>
      </c>
    </row>
    <row r="202" spans="1:15" x14ac:dyDescent="0.25">
      <c r="A202" t="s">
        <v>440</v>
      </c>
      <c r="B202" t="s">
        <v>13</v>
      </c>
      <c r="C202">
        <v>45971</v>
      </c>
      <c r="D202">
        <v>46022</v>
      </c>
      <c r="E202" t="s">
        <v>749</v>
      </c>
      <c r="F202" t="s">
        <v>14</v>
      </c>
      <c r="G202">
        <v>1086018206</v>
      </c>
      <c r="H202" t="s">
        <v>441</v>
      </c>
      <c r="I202">
        <v>98390119</v>
      </c>
      <c r="J202" t="s">
        <v>14</v>
      </c>
      <c r="K202" t="s">
        <v>63</v>
      </c>
      <c r="L202" s="1">
        <v>15600000</v>
      </c>
      <c r="M202" s="1">
        <v>15600000</v>
      </c>
      <c r="N202" t="s">
        <v>704</v>
      </c>
      <c r="O202" s="1">
        <f t="shared" si="6"/>
        <v>0</v>
      </c>
    </row>
    <row r="203" spans="1:15" x14ac:dyDescent="0.25">
      <c r="A203" t="s">
        <v>573</v>
      </c>
      <c r="B203" t="s">
        <v>13</v>
      </c>
      <c r="C203">
        <v>45971</v>
      </c>
      <c r="D203">
        <v>46022</v>
      </c>
      <c r="E203" t="s">
        <v>722</v>
      </c>
      <c r="F203" t="s">
        <v>14</v>
      </c>
      <c r="G203">
        <v>1010141840</v>
      </c>
      <c r="H203" t="s">
        <v>574</v>
      </c>
      <c r="I203">
        <v>43624414</v>
      </c>
      <c r="J203" t="s">
        <v>14</v>
      </c>
      <c r="K203" t="s">
        <v>18</v>
      </c>
      <c r="L203" s="1">
        <v>15600000</v>
      </c>
      <c r="M203" s="1">
        <v>15600000</v>
      </c>
      <c r="N203" t="s">
        <v>704</v>
      </c>
      <c r="O203" s="1">
        <f t="shared" si="6"/>
        <v>0</v>
      </c>
    </row>
    <row r="204" spans="1:15" x14ac:dyDescent="0.25">
      <c r="A204" t="s">
        <v>154</v>
      </c>
      <c r="B204" t="s">
        <v>13</v>
      </c>
      <c r="C204">
        <v>45971</v>
      </c>
      <c r="D204">
        <v>46022</v>
      </c>
      <c r="E204" t="s">
        <v>727</v>
      </c>
      <c r="F204" t="s">
        <v>14</v>
      </c>
      <c r="G204">
        <v>1086331521</v>
      </c>
      <c r="H204" t="s">
        <v>155</v>
      </c>
      <c r="I204">
        <v>98333941</v>
      </c>
      <c r="J204" t="s">
        <v>14</v>
      </c>
      <c r="K204" t="s">
        <v>15</v>
      </c>
      <c r="L204" s="1">
        <v>15600000</v>
      </c>
      <c r="M204" s="1">
        <v>15600000</v>
      </c>
      <c r="N204" t="s">
        <v>704</v>
      </c>
      <c r="O204" s="1">
        <f t="shared" si="6"/>
        <v>0</v>
      </c>
    </row>
    <row r="205" spans="1:15" x14ac:dyDescent="0.25">
      <c r="A205" t="s">
        <v>569</v>
      </c>
      <c r="B205" t="s">
        <v>13</v>
      </c>
      <c r="C205">
        <v>45967</v>
      </c>
      <c r="D205">
        <v>46022</v>
      </c>
      <c r="E205" t="s">
        <v>804</v>
      </c>
      <c r="F205" t="s">
        <v>14</v>
      </c>
      <c r="G205">
        <v>1085307962</v>
      </c>
      <c r="H205" t="s">
        <v>570</v>
      </c>
      <c r="I205">
        <v>59836926</v>
      </c>
      <c r="J205" t="s">
        <v>14</v>
      </c>
      <c r="K205" t="s">
        <v>17</v>
      </c>
      <c r="L205" s="1">
        <v>15600000</v>
      </c>
      <c r="M205" s="1">
        <v>15600000</v>
      </c>
      <c r="N205" t="s">
        <v>704</v>
      </c>
      <c r="O205" s="1">
        <f t="shared" si="6"/>
        <v>0</v>
      </c>
    </row>
    <row r="206" spans="1:15" x14ac:dyDescent="0.25">
      <c r="A206" t="s">
        <v>400</v>
      </c>
      <c r="B206" t="s">
        <v>13</v>
      </c>
      <c r="C206">
        <v>45966</v>
      </c>
      <c r="D206">
        <v>46022</v>
      </c>
      <c r="E206" t="s">
        <v>749</v>
      </c>
      <c r="F206" t="s">
        <v>14</v>
      </c>
      <c r="G206">
        <v>12969231</v>
      </c>
      <c r="H206" t="s">
        <v>401</v>
      </c>
      <c r="I206">
        <v>43624414</v>
      </c>
      <c r="J206" t="s">
        <v>14</v>
      </c>
      <c r="K206" t="s">
        <v>18</v>
      </c>
      <c r="L206" s="1">
        <v>15600000</v>
      </c>
      <c r="M206" s="1">
        <v>15600000</v>
      </c>
      <c r="N206" t="s">
        <v>704</v>
      </c>
      <c r="O206" s="1">
        <f t="shared" si="6"/>
        <v>0</v>
      </c>
    </row>
    <row r="207" spans="1:15" x14ac:dyDescent="0.25">
      <c r="A207" t="s">
        <v>454</v>
      </c>
      <c r="B207" t="s">
        <v>13</v>
      </c>
      <c r="C207">
        <v>45966</v>
      </c>
      <c r="D207">
        <v>46022</v>
      </c>
      <c r="E207" t="s">
        <v>749</v>
      </c>
      <c r="F207" t="s">
        <v>14</v>
      </c>
      <c r="G207">
        <v>1233193848</v>
      </c>
      <c r="H207" t="s">
        <v>455</v>
      </c>
      <c r="I207">
        <v>43624414</v>
      </c>
      <c r="J207" t="s">
        <v>14</v>
      </c>
      <c r="K207" t="s">
        <v>18</v>
      </c>
      <c r="L207" s="1">
        <v>15600000</v>
      </c>
      <c r="M207" s="1">
        <v>15600000</v>
      </c>
      <c r="N207" t="s">
        <v>704</v>
      </c>
      <c r="O207" s="1">
        <f t="shared" si="6"/>
        <v>0</v>
      </c>
    </row>
    <row r="208" spans="1:15" x14ac:dyDescent="0.25">
      <c r="A208" t="s">
        <v>209</v>
      </c>
      <c r="B208" t="s">
        <v>13</v>
      </c>
      <c r="C208">
        <v>45946</v>
      </c>
      <c r="D208">
        <v>46022</v>
      </c>
      <c r="E208" t="s">
        <v>740</v>
      </c>
      <c r="F208" t="s">
        <v>14</v>
      </c>
      <c r="G208">
        <v>27252200</v>
      </c>
      <c r="H208" t="s">
        <v>210</v>
      </c>
      <c r="I208">
        <v>59836926</v>
      </c>
      <c r="J208" t="s">
        <v>14</v>
      </c>
      <c r="K208" t="s">
        <v>17</v>
      </c>
      <c r="L208" s="1">
        <v>15750000</v>
      </c>
      <c r="M208" s="1">
        <v>15750000</v>
      </c>
      <c r="N208" t="s">
        <v>704</v>
      </c>
      <c r="O208" s="1">
        <f t="shared" si="6"/>
        <v>0</v>
      </c>
    </row>
    <row r="209" spans="1:17" x14ac:dyDescent="0.25">
      <c r="A209" t="s">
        <v>1028</v>
      </c>
      <c r="B209" t="s">
        <v>13</v>
      </c>
      <c r="C209">
        <v>46024</v>
      </c>
      <c r="D209">
        <v>46112</v>
      </c>
      <c r="E209" t="s">
        <v>775</v>
      </c>
      <c r="F209" t="s">
        <v>14</v>
      </c>
      <c r="G209">
        <v>1233189234</v>
      </c>
      <c r="H209" t="s">
        <v>848</v>
      </c>
      <c r="I209">
        <v>59836926</v>
      </c>
      <c r="J209" t="s">
        <v>14</v>
      </c>
      <c r="K209" t="s">
        <v>17</v>
      </c>
      <c r="M209" s="10">
        <v>9450000</v>
      </c>
      <c r="N209" t="s">
        <v>704</v>
      </c>
      <c r="Q209" s="11" t="s">
        <v>1036</v>
      </c>
    </row>
    <row r="210" spans="1:17" x14ac:dyDescent="0.25">
      <c r="A210" t="s">
        <v>222</v>
      </c>
      <c r="B210" t="s">
        <v>13</v>
      </c>
      <c r="C210">
        <v>45946</v>
      </c>
      <c r="D210">
        <v>46022</v>
      </c>
      <c r="E210" t="s">
        <v>745</v>
      </c>
      <c r="F210" t="s">
        <v>14</v>
      </c>
      <c r="G210">
        <v>1085278004</v>
      </c>
      <c r="H210" t="s">
        <v>223</v>
      </c>
      <c r="I210">
        <v>59836926</v>
      </c>
      <c r="J210" t="s">
        <v>14</v>
      </c>
      <c r="K210" t="s">
        <v>17</v>
      </c>
      <c r="L210" s="1">
        <v>15750000</v>
      </c>
      <c r="M210" s="1">
        <v>15750000</v>
      </c>
      <c r="N210" t="s">
        <v>704</v>
      </c>
      <c r="O210" s="1">
        <f t="shared" ref="O210:O237" si="7">M210-L210</f>
        <v>0</v>
      </c>
    </row>
    <row r="211" spans="1:17" x14ac:dyDescent="0.25">
      <c r="A211" t="s">
        <v>423</v>
      </c>
      <c r="B211" t="s">
        <v>13</v>
      </c>
      <c r="C211">
        <v>45938</v>
      </c>
      <c r="D211">
        <v>46022</v>
      </c>
      <c r="E211" t="s">
        <v>777</v>
      </c>
      <c r="F211" t="s">
        <v>14</v>
      </c>
      <c r="G211">
        <v>1004213964</v>
      </c>
      <c r="H211" t="s">
        <v>72</v>
      </c>
      <c r="I211">
        <v>59836926</v>
      </c>
      <c r="J211" t="s">
        <v>14</v>
      </c>
      <c r="K211" t="s">
        <v>17</v>
      </c>
      <c r="L211" s="1">
        <v>18900000</v>
      </c>
      <c r="M211" s="1">
        <v>18900000</v>
      </c>
      <c r="N211" t="s">
        <v>704</v>
      </c>
      <c r="O211" s="1">
        <f t="shared" si="7"/>
        <v>0</v>
      </c>
    </row>
    <row r="212" spans="1:17" x14ac:dyDescent="0.25">
      <c r="A212" t="s">
        <v>653</v>
      </c>
      <c r="B212" t="s">
        <v>13</v>
      </c>
      <c r="C212">
        <v>45930</v>
      </c>
      <c r="D212">
        <v>46022</v>
      </c>
      <c r="E212" t="s">
        <v>821</v>
      </c>
      <c r="F212" t="s">
        <v>14</v>
      </c>
      <c r="G212">
        <v>37085864</v>
      </c>
      <c r="H212" t="s">
        <v>654</v>
      </c>
      <c r="I212">
        <v>59836926</v>
      </c>
      <c r="J212" t="s">
        <v>14</v>
      </c>
      <c r="K212" t="s">
        <v>17</v>
      </c>
      <c r="L212" s="1">
        <v>18900000</v>
      </c>
      <c r="M212" s="1">
        <v>18900000</v>
      </c>
      <c r="N212" t="s">
        <v>704</v>
      </c>
      <c r="O212" s="1">
        <f t="shared" si="7"/>
        <v>0</v>
      </c>
    </row>
    <row r="213" spans="1:17" x14ac:dyDescent="0.25">
      <c r="A213" t="s">
        <v>315</v>
      </c>
      <c r="B213" t="s">
        <v>13</v>
      </c>
      <c r="C213">
        <v>45930</v>
      </c>
      <c r="D213">
        <v>46022</v>
      </c>
      <c r="E213" t="s">
        <v>754</v>
      </c>
      <c r="F213" t="s">
        <v>14</v>
      </c>
      <c r="G213">
        <v>1085253062</v>
      </c>
      <c r="H213" t="s">
        <v>316</v>
      </c>
      <c r="I213">
        <v>98390119</v>
      </c>
      <c r="J213" t="s">
        <v>14</v>
      </c>
      <c r="K213" t="s">
        <v>63</v>
      </c>
      <c r="L213" s="1">
        <v>18900000</v>
      </c>
      <c r="M213" s="1">
        <v>18900000</v>
      </c>
      <c r="N213" t="s">
        <v>704</v>
      </c>
      <c r="O213" s="1">
        <f t="shared" si="7"/>
        <v>0</v>
      </c>
    </row>
    <row r="214" spans="1:17" x14ac:dyDescent="0.25">
      <c r="A214" t="s">
        <v>203</v>
      </c>
      <c r="B214" t="s">
        <v>13</v>
      </c>
      <c r="C214">
        <v>45930</v>
      </c>
      <c r="D214">
        <v>46022</v>
      </c>
      <c r="E214" t="s">
        <v>738</v>
      </c>
      <c r="F214" t="s">
        <v>14</v>
      </c>
      <c r="G214">
        <v>1193271485</v>
      </c>
      <c r="H214" t="s">
        <v>204</v>
      </c>
      <c r="I214">
        <v>98390119</v>
      </c>
      <c r="J214" t="s">
        <v>14</v>
      </c>
      <c r="K214" t="s">
        <v>63</v>
      </c>
      <c r="L214" s="1">
        <v>18900000</v>
      </c>
      <c r="M214" s="1">
        <v>18900000</v>
      </c>
      <c r="N214" t="s">
        <v>704</v>
      </c>
      <c r="O214" s="1">
        <f t="shared" si="7"/>
        <v>0</v>
      </c>
    </row>
    <row r="215" spans="1:17" x14ac:dyDescent="0.25">
      <c r="A215" t="s">
        <v>396</v>
      </c>
      <c r="B215" t="s">
        <v>13</v>
      </c>
      <c r="C215">
        <v>45929</v>
      </c>
      <c r="D215">
        <v>46022</v>
      </c>
      <c r="E215" t="s">
        <v>772</v>
      </c>
      <c r="F215" t="s">
        <v>14</v>
      </c>
      <c r="G215">
        <v>1086360087</v>
      </c>
      <c r="H215" t="s">
        <v>397</v>
      </c>
      <c r="I215">
        <v>98390119</v>
      </c>
      <c r="J215" t="s">
        <v>14</v>
      </c>
      <c r="K215" t="s">
        <v>63</v>
      </c>
      <c r="L215" s="1">
        <v>18900000</v>
      </c>
      <c r="M215" s="1">
        <v>18900000</v>
      </c>
      <c r="N215" t="s">
        <v>704</v>
      </c>
      <c r="O215" s="1">
        <f t="shared" si="7"/>
        <v>0</v>
      </c>
    </row>
    <row r="216" spans="1:17" x14ac:dyDescent="0.25">
      <c r="A216" t="s">
        <v>585</v>
      </c>
      <c r="B216" t="s">
        <v>13</v>
      </c>
      <c r="C216">
        <v>45940</v>
      </c>
      <c r="D216">
        <v>46022</v>
      </c>
      <c r="E216" t="s">
        <v>807</v>
      </c>
      <c r="F216" t="s">
        <v>14</v>
      </c>
      <c r="G216">
        <v>1085248939</v>
      </c>
      <c r="H216" t="s">
        <v>586</v>
      </c>
      <c r="I216">
        <v>98333941</v>
      </c>
      <c r="J216" t="s">
        <v>14</v>
      </c>
      <c r="K216" t="s">
        <v>15</v>
      </c>
      <c r="L216" s="1">
        <v>18900000</v>
      </c>
      <c r="M216" s="1">
        <v>18900000</v>
      </c>
      <c r="N216" t="s">
        <v>704</v>
      </c>
      <c r="O216" s="1">
        <f t="shared" si="7"/>
        <v>0</v>
      </c>
    </row>
    <row r="217" spans="1:17" x14ac:dyDescent="0.25">
      <c r="A217" t="s">
        <v>486</v>
      </c>
      <c r="B217" t="s">
        <v>13</v>
      </c>
      <c r="C217">
        <v>45911</v>
      </c>
      <c r="D217">
        <v>46022</v>
      </c>
      <c r="E217" t="s">
        <v>706</v>
      </c>
      <c r="F217" t="s">
        <v>14</v>
      </c>
      <c r="G217">
        <v>1005829176</v>
      </c>
      <c r="H217" t="s">
        <v>487</v>
      </c>
      <c r="I217">
        <v>59836926</v>
      </c>
      <c r="J217" t="s">
        <v>14</v>
      </c>
      <c r="K217" t="s">
        <v>17</v>
      </c>
      <c r="L217" s="1">
        <v>18920000</v>
      </c>
      <c r="M217" s="1">
        <v>18920000</v>
      </c>
      <c r="N217" t="s">
        <v>704</v>
      </c>
      <c r="O217" s="1">
        <f t="shared" si="7"/>
        <v>0</v>
      </c>
    </row>
    <row r="218" spans="1:17" x14ac:dyDescent="0.25">
      <c r="A218" t="s">
        <v>657</v>
      </c>
      <c r="B218" t="s">
        <v>13</v>
      </c>
      <c r="C218">
        <v>45911</v>
      </c>
      <c r="D218">
        <v>46022</v>
      </c>
      <c r="E218" t="s">
        <v>706</v>
      </c>
      <c r="F218" t="s">
        <v>14</v>
      </c>
      <c r="G218">
        <v>1086137686</v>
      </c>
      <c r="H218" t="s">
        <v>658</v>
      </c>
      <c r="I218">
        <v>98333941</v>
      </c>
      <c r="J218" t="s">
        <v>14</v>
      </c>
      <c r="K218" t="s">
        <v>15</v>
      </c>
      <c r="L218" s="1">
        <v>18920000</v>
      </c>
      <c r="M218" s="1">
        <v>18920000</v>
      </c>
      <c r="N218" t="s">
        <v>704</v>
      </c>
      <c r="O218" s="1">
        <f t="shared" si="7"/>
        <v>0</v>
      </c>
    </row>
    <row r="219" spans="1:17" x14ac:dyDescent="0.25">
      <c r="A219" t="s">
        <v>89</v>
      </c>
      <c r="B219" t="s">
        <v>13</v>
      </c>
      <c r="C219">
        <v>45910</v>
      </c>
      <c r="D219">
        <v>46022</v>
      </c>
      <c r="E219" t="s">
        <v>706</v>
      </c>
      <c r="F219" t="s">
        <v>14</v>
      </c>
      <c r="G219">
        <v>1086360022</v>
      </c>
      <c r="H219" t="s">
        <v>90</v>
      </c>
      <c r="I219">
        <v>98333941</v>
      </c>
      <c r="J219" t="s">
        <v>14</v>
      </c>
      <c r="K219" t="s">
        <v>15</v>
      </c>
      <c r="L219" s="1">
        <v>18920000</v>
      </c>
      <c r="M219" s="1">
        <v>18920000</v>
      </c>
      <c r="N219" t="s">
        <v>704</v>
      </c>
      <c r="O219" s="1">
        <f t="shared" si="7"/>
        <v>0</v>
      </c>
    </row>
    <row r="220" spans="1:17" x14ac:dyDescent="0.25">
      <c r="A220" t="s">
        <v>575</v>
      </c>
      <c r="B220" t="s">
        <v>13</v>
      </c>
      <c r="C220">
        <v>45910</v>
      </c>
      <c r="D220">
        <v>46022</v>
      </c>
      <c r="E220" t="s">
        <v>706</v>
      </c>
      <c r="F220" t="s">
        <v>14</v>
      </c>
      <c r="G220">
        <v>1087960287</v>
      </c>
      <c r="H220" t="s">
        <v>576</v>
      </c>
      <c r="I220">
        <v>59836926</v>
      </c>
      <c r="J220" t="s">
        <v>14</v>
      </c>
      <c r="K220" t="s">
        <v>17</v>
      </c>
      <c r="L220" s="1">
        <v>18920000</v>
      </c>
      <c r="M220" s="1">
        <v>18920000</v>
      </c>
      <c r="N220" t="s">
        <v>704</v>
      </c>
      <c r="O220" s="1">
        <f t="shared" si="7"/>
        <v>0</v>
      </c>
    </row>
    <row r="221" spans="1:17" x14ac:dyDescent="0.25">
      <c r="A221" t="s">
        <v>158</v>
      </c>
      <c r="B221" t="s">
        <v>13</v>
      </c>
      <c r="C221">
        <v>45908</v>
      </c>
      <c r="D221">
        <v>46022</v>
      </c>
      <c r="E221" t="s">
        <v>706</v>
      </c>
      <c r="F221" t="s">
        <v>14</v>
      </c>
      <c r="G221">
        <v>36756149</v>
      </c>
      <c r="H221" t="s">
        <v>159</v>
      </c>
      <c r="I221">
        <v>98333941</v>
      </c>
      <c r="J221" t="s">
        <v>14</v>
      </c>
      <c r="K221" t="s">
        <v>15</v>
      </c>
      <c r="L221" s="1">
        <v>18920000</v>
      </c>
      <c r="M221" s="1">
        <v>18920000</v>
      </c>
      <c r="N221" t="s">
        <v>704</v>
      </c>
      <c r="O221" s="1">
        <f t="shared" si="7"/>
        <v>0</v>
      </c>
    </row>
    <row r="222" spans="1:17" x14ac:dyDescent="0.25">
      <c r="A222" t="s">
        <v>444</v>
      </c>
      <c r="B222" t="s">
        <v>13</v>
      </c>
      <c r="C222">
        <v>45908</v>
      </c>
      <c r="D222">
        <v>46022</v>
      </c>
      <c r="E222" t="s">
        <v>706</v>
      </c>
      <c r="F222" t="s">
        <v>14</v>
      </c>
      <c r="G222">
        <v>36950073</v>
      </c>
      <c r="H222" t="s">
        <v>445</v>
      </c>
      <c r="I222">
        <v>98333941</v>
      </c>
      <c r="J222" t="s">
        <v>14</v>
      </c>
      <c r="K222" t="s">
        <v>15</v>
      </c>
      <c r="L222" s="1">
        <v>18920000</v>
      </c>
      <c r="M222" s="1">
        <v>18920000</v>
      </c>
      <c r="N222" t="s">
        <v>704</v>
      </c>
      <c r="O222" s="1">
        <f t="shared" si="7"/>
        <v>0</v>
      </c>
    </row>
    <row r="223" spans="1:17" x14ac:dyDescent="0.25">
      <c r="A223" t="s">
        <v>568</v>
      </c>
      <c r="B223" t="s">
        <v>13</v>
      </c>
      <c r="C223">
        <v>45908</v>
      </c>
      <c r="D223">
        <v>46022</v>
      </c>
      <c r="E223" t="s">
        <v>803</v>
      </c>
      <c r="F223" t="s">
        <v>14</v>
      </c>
      <c r="G223">
        <v>1085343783</v>
      </c>
      <c r="H223" t="s">
        <v>19</v>
      </c>
      <c r="I223">
        <v>59836926</v>
      </c>
      <c r="J223" t="s">
        <v>14</v>
      </c>
      <c r="K223" t="s">
        <v>17</v>
      </c>
      <c r="L223" s="1">
        <v>18920000</v>
      </c>
      <c r="M223" s="1">
        <v>18920000</v>
      </c>
      <c r="N223" t="s">
        <v>704</v>
      </c>
      <c r="O223" s="1">
        <f t="shared" si="7"/>
        <v>0</v>
      </c>
    </row>
    <row r="224" spans="1:17" x14ac:dyDescent="0.25">
      <c r="A224" t="s">
        <v>430</v>
      </c>
      <c r="B224" t="s">
        <v>13</v>
      </c>
      <c r="C224">
        <v>45905</v>
      </c>
      <c r="D224">
        <v>46022</v>
      </c>
      <c r="E224" t="s">
        <v>744</v>
      </c>
      <c r="F224" t="s">
        <v>14</v>
      </c>
      <c r="G224">
        <v>1085318201</v>
      </c>
      <c r="H224" t="s">
        <v>431</v>
      </c>
      <c r="I224">
        <v>98333941</v>
      </c>
      <c r="J224" t="s">
        <v>14</v>
      </c>
      <c r="K224" t="s">
        <v>15</v>
      </c>
      <c r="L224" s="1">
        <v>18920000</v>
      </c>
      <c r="M224" s="1">
        <v>18920000</v>
      </c>
      <c r="N224" t="s">
        <v>704</v>
      </c>
      <c r="O224" s="1">
        <f t="shared" si="7"/>
        <v>0</v>
      </c>
    </row>
    <row r="225" spans="1:17" x14ac:dyDescent="0.25">
      <c r="A225" t="s">
        <v>426</v>
      </c>
      <c r="B225" t="s">
        <v>13</v>
      </c>
      <c r="C225">
        <v>45905</v>
      </c>
      <c r="D225">
        <v>46022</v>
      </c>
      <c r="E225" t="s">
        <v>744</v>
      </c>
      <c r="F225" t="s">
        <v>14</v>
      </c>
      <c r="G225">
        <v>1085318684</v>
      </c>
      <c r="H225" t="s">
        <v>427</v>
      </c>
      <c r="I225">
        <v>98333941</v>
      </c>
      <c r="J225" t="s">
        <v>14</v>
      </c>
      <c r="K225" t="s">
        <v>15</v>
      </c>
      <c r="L225" s="1">
        <v>18920000</v>
      </c>
      <c r="M225" s="1">
        <v>18920000</v>
      </c>
      <c r="N225" t="s">
        <v>704</v>
      </c>
      <c r="O225" s="1">
        <f t="shared" si="7"/>
        <v>0</v>
      </c>
    </row>
    <row r="226" spans="1:17" x14ac:dyDescent="0.25">
      <c r="A226" t="s">
        <v>439</v>
      </c>
      <c r="B226" t="s">
        <v>13</v>
      </c>
      <c r="C226">
        <v>45905</v>
      </c>
      <c r="D226">
        <v>46022</v>
      </c>
      <c r="E226" t="s">
        <v>782</v>
      </c>
      <c r="F226" t="s">
        <v>14</v>
      </c>
      <c r="G226">
        <v>27087475</v>
      </c>
      <c r="H226" t="s">
        <v>48</v>
      </c>
      <c r="I226">
        <v>43624414</v>
      </c>
      <c r="J226" t="s">
        <v>14</v>
      </c>
      <c r="K226" t="s">
        <v>18</v>
      </c>
      <c r="L226" s="1">
        <v>18920000</v>
      </c>
      <c r="M226" s="1">
        <v>18920000</v>
      </c>
      <c r="N226" t="s">
        <v>704</v>
      </c>
      <c r="O226" s="1">
        <f t="shared" si="7"/>
        <v>0</v>
      </c>
    </row>
    <row r="227" spans="1:17" x14ac:dyDescent="0.25">
      <c r="A227" t="s">
        <v>561</v>
      </c>
      <c r="B227" t="s">
        <v>13</v>
      </c>
      <c r="C227">
        <v>45905</v>
      </c>
      <c r="D227">
        <v>46022</v>
      </c>
      <c r="E227" t="s">
        <v>755</v>
      </c>
      <c r="F227" t="s">
        <v>14</v>
      </c>
      <c r="G227">
        <v>1085264667</v>
      </c>
      <c r="H227" t="s">
        <v>562</v>
      </c>
      <c r="I227">
        <v>98333941</v>
      </c>
      <c r="J227" t="s">
        <v>14</v>
      </c>
      <c r="K227" t="s">
        <v>15</v>
      </c>
      <c r="L227" s="1">
        <v>18920000</v>
      </c>
      <c r="M227" s="1">
        <v>18920000</v>
      </c>
      <c r="N227" t="s">
        <v>704</v>
      </c>
      <c r="O227" s="1">
        <f t="shared" si="7"/>
        <v>0</v>
      </c>
    </row>
    <row r="228" spans="1:17" x14ac:dyDescent="0.25">
      <c r="A228" t="s">
        <v>94</v>
      </c>
      <c r="B228" t="s">
        <v>13</v>
      </c>
      <c r="C228">
        <v>45905</v>
      </c>
      <c r="D228">
        <v>46022</v>
      </c>
      <c r="E228" t="s">
        <v>709</v>
      </c>
      <c r="F228" t="s">
        <v>14</v>
      </c>
      <c r="G228">
        <v>1193424771</v>
      </c>
      <c r="H228" t="s">
        <v>95</v>
      </c>
      <c r="I228">
        <v>98333941</v>
      </c>
      <c r="J228" t="s">
        <v>14</v>
      </c>
      <c r="K228" t="s">
        <v>15</v>
      </c>
      <c r="L228" s="1">
        <v>18920000</v>
      </c>
      <c r="M228" s="1">
        <v>18920000</v>
      </c>
      <c r="N228" t="s">
        <v>704</v>
      </c>
      <c r="O228" s="1">
        <f t="shared" si="7"/>
        <v>0</v>
      </c>
    </row>
    <row r="229" spans="1:17" x14ac:dyDescent="0.25">
      <c r="A229" t="s">
        <v>524</v>
      </c>
      <c r="B229" t="s">
        <v>13</v>
      </c>
      <c r="C229">
        <v>45905</v>
      </c>
      <c r="D229">
        <v>46022</v>
      </c>
      <c r="E229" t="s">
        <v>725</v>
      </c>
      <c r="F229" t="s">
        <v>14</v>
      </c>
      <c r="G229">
        <v>59651018</v>
      </c>
      <c r="H229" t="s">
        <v>525</v>
      </c>
      <c r="I229">
        <v>43624414</v>
      </c>
      <c r="J229" t="s">
        <v>14</v>
      </c>
      <c r="K229" t="s">
        <v>18</v>
      </c>
      <c r="L229" s="1">
        <v>18920000</v>
      </c>
      <c r="M229" s="1">
        <v>18920000</v>
      </c>
      <c r="N229" t="s">
        <v>704</v>
      </c>
      <c r="O229" s="1">
        <f t="shared" si="7"/>
        <v>0</v>
      </c>
    </row>
    <row r="230" spans="1:17" x14ac:dyDescent="0.25">
      <c r="A230" t="s">
        <v>91</v>
      </c>
      <c r="B230" t="s">
        <v>13</v>
      </c>
      <c r="C230">
        <v>45904</v>
      </c>
      <c r="D230">
        <v>46022</v>
      </c>
      <c r="E230" t="s">
        <v>707</v>
      </c>
      <c r="F230" t="s">
        <v>14</v>
      </c>
      <c r="G230">
        <v>1087414586</v>
      </c>
      <c r="H230" t="s">
        <v>92</v>
      </c>
      <c r="I230">
        <v>43624414</v>
      </c>
      <c r="J230" t="s">
        <v>14</v>
      </c>
      <c r="K230" t="s">
        <v>18</v>
      </c>
      <c r="L230" s="1">
        <v>18920000</v>
      </c>
      <c r="M230" s="1">
        <v>18920000</v>
      </c>
      <c r="N230" t="s">
        <v>704</v>
      </c>
      <c r="O230" s="1">
        <f t="shared" si="7"/>
        <v>0</v>
      </c>
    </row>
    <row r="231" spans="1:17" x14ac:dyDescent="0.25">
      <c r="A231" t="s">
        <v>294</v>
      </c>
      <c r="B231" t="s">
        <v>13</v>
      </c>
      <c r="C231">
        <v>45904</v>
      </c>
      <c r="D231">
        <v>46022</v>
      </c>
      <c r="E231" t="s">
        <v>707</v>
      </c>
      <c r="F231" t="s">
        <v>14</v>
      </c>
      <c r="G231">
        <v>1085263018</v>
      </c>
      <c r="H231" t="s">
        <v>295</v>
      </c>
      <c r="I231">
        <v>98333941</v>
      </c>
      <c r="J231" t="s">
        <v>14</v>
      </c>
      <c r="K231" t="s">
        <v>15</v>
      </c>
      <c r="L231" s="1">
        <v>18920000</v>
      </c>
      <c r="M231" s="1">
        <v>18920000</v>
      </c>
      <c r="N231" t="s">
        <v>704</v>
      </c>
      <c r="O231" s="1">
        <f t="shared" si="7"/>
        <v>0</v>
      </c>
    </row>
    <row r="232" spans="1:17" x14ac:dyDescent="0.25">
      <c r="A232" t="s">
        <v>163</v>
      </c>
      <c r="B232" t="s">
        <v>13</v>
      </c>
      <c r="C232">
        <v>45904</v>
      </c>
      <c r="D232">
        <v>46022</v>
      </c>
      <c r="E232" t="s">
        <v>707</v>
      </c>
      <c r="F232" t="s">
        <v>14</v>
      </c>
      <c r="G232">
        <v>36757491</v>
      </c>
      <c r="H232" t="s">
        <v>164</v>
      </c>
      <c r="I232">
        <v>98333941</v>
      </c>
      <c r="J232" t="s">
        <v>14</v>
      </c>
      <c r="K232" t="s">
        <v>15</v>
      </c>
      <c r="L232" s="1">
        <v>18920000</v>
      </c>
      <c r="M232" s="1">
        <v>18920000</v>
      </c>
      <c r="N232" t="s">
        <v>704</v>
      </c>
      <c r="O232" s="1">
        <f t="shared" si="7"/>
        <v>0</v>
      </c>
    </row>
    <row r="233" spans="1:17" x14ac:dyDescent="0.25">
      <c r="A233" t="s">
        <v>388</v>
      </c>
      <c r="B233" t="s">
        <v>13</v>
      </c>
      <c r="C233">
        <v>45904</v>
      </c>
      <c r="D233">
        <v>46022</v>
      </c>
      <c r="E233" t="s">
        <v>707</v>
      </c>
      <c r="F233" t="s">
        <v>14</v>
      </c>
      <c r="G233">
        <v>1085260497</v>
      </c>
      <c r="H233" t="s">
        <v>389</v>
      </c>
      <c r="I233">
        <v>98333941</v>
      </c>
      <c r="J233" t="s">
        <v>14</v>
      </c>
      <c r="K233" t="s">
        <v>15</v>
      </c>
      <c r="L233" s="1">
        <v>18920000</v>
      </c>
      <c r="M233" s="1">
        <v>18920000</v>
      </c>
      <c r="N233" t="s">
        <v>704</v>
      </c>
      <c r="O233" s="1">
        <f t="shared" si="7"/>
        <v>0</v>
      </c>
    </row>
    <row r="234" spans="1:17" x14ac:dyDescent="0.25">
      <c r="A234" t="s">
        <v>458</v>
      </c>
      <c r="B234" t="s">
        <v>13</v>
      </c>
      <c r="C234">
        <v>45904</v>
      </c>
      <c r="D234">
        <v>46022</v>
      </c>
      <c r="E234" t="s">
        <v>707</v>
      </c>
      <c r="F234" t="s">
        <v>14</v>
      </c>
      <c r="G234">
        <v>1082749648</v>
      </c>
      <c r="H234" t="s">
        <v>459</v>
      </c>
      <c r="I234">
        <v>98333941</v>
      </c>
      <c r="J234" t="s">
        <v>14</v>
      </c>
      <c r="K234" t="s">
        <v>15</v>
      </c>
      <c r="L234" s="1">
        <v>18920000</v>
      </c>
      <c r="M234" s="1">
        <v>18920000</v>
      </c>
      <c r="N234" t="s">
        <v>704</v>
      </c>
      <c r="O234" s="1">
        <f t="shared" si="7"/>
        <v>0</v>
      </c>
    </row>
    <row r="235" spans="1:17" x14ac:dyDescent="0.25">
      <c r="A235" t="s">
        <v>336</v>
      </c>
      <c r="B235" t="s">
        <v>13</v>
      </c>
      <c r="C235">
        <v>45903</v>
      </c>
      <c r="D235">
        <v>46022</v>
      </c>
      <c r="E235" t="s">
        <v>707</v>
      </c>
      <c r="F235" t="s">
        <v>14</v>
      </c>
      <c r="G235">
        <v>36759759</v>
      </c>
      <c r="H235" t="s">
        <v>26</v>
      </c>
      <c r="I235">
        <v>98390119</v>
      </c>
      <c r="J235" t="s">
        <v>14</v>
      </c>
      <c r="K235" t="s">
        <v>63</v>
      </c>
      <c r="L235" s="1">
        <v>18920000</v>
      </c>
      <c r="M235" s="1">
        <v>18920000</v>
      </c>
      <c r="N235" t="s">
        <v>704</v>
      </c>
      <c r="O235" s="1">
        <f t="shared" si="7"/>
        <v>0</v>
      </c>
    </row>
    <row r="236" spans="1:17" x14ac:dyDescent="0.25">
      <c r="A236" t="s">
        <v>699</v>
      </c>
      <c r="B236" t="s">
        <v>13</v>
      </c>
      <c r="C236">
        <v>45903</v>
      </c>
      <c r="D236">
        <v>46022</v>
      </c>
      <c r="E236" t="s">
        <v>825</v>
      </c>
      <c r="F236" t="s">
        <v>14</v>
      </c>
      <c r="G236">
        <v>1084227101</v>
      </c>
      <c r="H236" t="s">
        <v>700</v>
      </c>
      <c r="I236">
        <v>98333941</v>
      </c>
      <c r="J236" t="s">
        <v>14</v>
      </c>
      <c r="K236" t="s">
        <v>15</v>
      </c>
      <c r="L236" s="1">
        <v>18920000</v>
      </c>
      <c r="M236" s="1">
        <v>18920000</v>
      </c>
      <c r="N236" t="s">
        <v>704</v>
      </c>
      <c r="O236" s="1">
        <f t="shared" si="7"/>
        <v>0</v>
      </c>
    </row>
    <row r="237" spans="1:17" x14ac:dyDescent="0.25">
      <c r="A237" t="s">
        <v>479</v>
      </c>
      <c r="B237" t="s">
        <v>13</v>
      </c>
      <c r="C237">
        <v>45903</v>
      </c>
      <c r="D237">
        <v>46022</v>
      </c>
      <c r="E237" t="s">
        <v>790</v>
      </c>
      <c r="F237" t="s">
        <v>14</v>
      </c>
      <c r="G237">
        <v>59824313</v>
      </c>
      <c r="H237" t="s">
        <v>480</v>
      </c>
      <c r="I237">
        <v>98390119</v>
      </c>
      <c r="J237" t="s">
        <v>14</v>
      </c>
      <c r="K237" t="s">
        <v>63</v>
      </c>
      <c r="L237" s="1">
        <v>18920000</v>
      </c>
      <c r="M237" s="1">
        <v>18920000</v>
      </c>
      <c r="N237" t="s">
        <v>704</v>
      </c>
      <c r="O237" s="1">
        <f t="shared" si="7"/>
        <v>0</v>
      </c>
    </row>
    <row r="238" spans="1:17" x14ac:dyDescent="0.25">
      <c r="A238" t="s">
        <v>1043</v>
      </c>
      <c r="B238" t="s">
        <v>13</v>
      </c>
      <c r="C238">
        <v>46024</v>
      </c>
      <c r="D238">
        <v>46112</v>
      </c>
      <c r="E238" t="s">
        <v>775</v>
      </c>
      <c r="F238" t="s">
        <v>14</v>
      </c>
      <c r="G238">
        <v>5930737</v>
      </c>
      <c r="H238" t="s">
        <v>370</v>
      </c>
      <c r="I238">
        <v>98390119</v>
      </c>
      <c r="J238" t="s">
        <v>14</v>
      </c>
      <c r="K238" t="s">
        <v>63</v>
      </c>
      <c r="M238" s="10">
        <v>9450000</v>
      </c>
      <c r="N238" t="s">
        <v>704</v>
      </c>
      <c r="Q238" s="11" t="s">
        <v>1036</v>
      </c>
    </row>
    <row r="239" spans="1:17" x14ac:dyDescent="0.25">
      <c r="A239" t="s">
        <v>328</v>
      </c>
      <c r="B239" t="s">
        <v>13</v>
      </c>
      <c r="C239">
        <v>45902</v>
      </c>
      <c r="D239">
        <v>46022</v>
      </c>
      <c r="E239" t="s">
        <v>759</v>
      </c>
      <c r="F239" t="s">
        <v>14</v>
      </c>
      <c r="G239">
        <v>1085330309</v>
      </c>
      <c r="H239" t="s">
        <v>16</v>
      </c>
      <c r="I239">
        <v>43624414</v>
      </c>
      <c r="J239" t="s">
        <v>14</v>
      </c>
      <c r="K239" t="s">
        <v>18</v>
      </c>
      <c r="L239" s="1">
        <v>18920000</v>
      </c>
      <c r="M239" s="1">
        <v>18920000</v>
      </c>
      <c r="N239" t="s">
        <v>704</v>
      </c>
      <c r="O239" s="1">
        <f t="shared" ref="O239:O270" si="8">M239-L239</f>
        <v>0</v>
      </c>
    </row>
    <row r="240" spans="1:17" x14ac:dyDescent="0.25">
      <c r="A240" t="s">
        <v>218</v>
      </c>
      <c r="B240" t="s">
        <v>13</v>
      </c>
      <c r="C240">
        <v>45902</v>
      </c>
      <c r="D240">
        <v>46022</v>
      </c>
      <c r="E240" t="s">
        <v>743</v>
      </c>
      <c r="F240" t="s">
        <v>14</v>
      </c>
      <c r="G240">
        <v>1087413951</v>
      </c>
      <c r="H240" t="s">
        <v>219</v>
      </c>
      <c r="I240">
        <v>98333941</v>
      </c>
      <c r="J240" t="s">
        <v>14</v>
      </c>
      <c r="K240" t="s">
        <v>15</v>
      </c>
      <c r="L240" s="1">
        <v>18920000</v>
      </c>
      <c r="M240" s="1">
        <v>18920000</v>
      </c>
      <c r="N240" t="s">
        <v>704</v>
      </c>
      <c r="O240" s="1">
        <f t="shared" si="8"/>
        <v>0</v>
      </c>
    </row>
    <row r="241" spans="1:15" x14ac:dyDescent="0.25">
      <c r="A241" t="s">
        <v>432</v>
      </c>
      <c r="B241" t="s">
        <v>13</v>
      </c>
      <c r="C241">
        <v>45902</v>
      </c>
      <c r="D241">
        <v>46022</v>
      </c>
      <c r="E241" t="s">
        <v>779</v>
      </c>
      <c r="F241" t="s">
        <v>14</v>
      </c>
      <c r="G241">
        <v>1085340885</v>
      </c>
      <c r="H241" t="s">
        <v>433</v>
      </c>
      <c r="I241">
        <v>98333941</v>
      </c>
      <c r="J241" t="s">
        <v>14</v>
      </c>
      <c r="K241" t="s">
        <v>15</v>
      </c>
      <c r="L241" s="1">
        <v>18920000</v>
      </c>
      <c r="M241" s="1">
        <v>18920000</v>
      </c>
      <c r="N241" t="s">
        <v>704</v>
      </c>
      <c r="O241" s="1">
        <f t="shared" si="8"/>
        <v>0</v>
      </c>
    </row>
    <row r="242" spans="1:15" x14ac:dyDescent="0.25">
      <c r="A242" t="s">
        <v>273</v>
      </c>
      <c r="B242" t="s">
        <v>13</v>
      </c>
      <c r="C242">
        <v>45901</v>
      </c>
      <c r="D242">
        <v>46022</v>
      </c>
      <c r="E242" t="s">
        <v>752</v>
      </c>
      <c r="F242" t="s">
        <v>14</v>
      </c>
      <c r="G242">
        <v>1193383306</v>
      </c>
      <c r="H242" t="s">
        <v>274</v>
      </c>
      <c r="I242">
        <v>59836926</v>
      </c>
      <c r="J242" t="s">
        <v>14</v>
      </c>
      <c r="K242" t="s">
        <v>17</v>
      </c>
      <c r="L242" s="1">
        <v>18920000</v>
      </c>
      <c r="M242" s="1">
        <v>18920000</v>
      </c>
      <c r="N242" t="s">
        <v>704</v>
      </c>
      <c r="O242" s="1">
        <f t="shared" si="8"/>
        <v>0</v>
      </c>
    </row>
    <row r="243" spans="1:15" x14ac:dyDescent="0.25">
      <c r="A243" t="s">
        <v>176</v>
      </c>
      <c r="B243" t="s">
        <v>13</v>
      </c>
      <c r="C243">
        <v>45946</v>
      </c>
      <c r="D243">
        <v>46022</v>
      </c>
      <c r="E243" t="s">
        <v>717</v>
      </c>
      <c r="F243" t="s">
        <v>14</v>
      </c>
      <c r="G243">
        <v>1061794455</v>
      </c>
      <c r="H243" t="s">
        <v>177</v>
      </c>
      <c r="I243">
        <v>59836926</v>
      </c>
      <c r="J243" t="s">
        <v>14</v>
      </c>
      <c r="K243" t="s">
        <v>17</v>
      </c>
      <c r="L243" s="1">
        <v>19500000</v>
      </c>
      <c r="M243" s="1">
        <v>19500000</v>
      </c>
      <c r="N243" t="s">
        <v>704</v>
      </c>
      <c r="O243" s="1">
        <f t="shared" si="8"/>
        <v>0</v>
      </c>
    </row>
    <row r="244" spans="1:15" x14ac:dyDescent="0.25">
      <c r="A244" t="s">
        <v>390</v>
      </c>
      <c r="B244" t="s">
        <v>13</v>
      </c>
      <c r="C244">
        <v>45946</v>
      </c>
      <c r="D244">
        <v>46022</v>
      </c>
      <c r="E244" t="s">
        <v>769</v>
      </c>
      <c r="F244" t="s">
        <v>14</v>
      </c>
      <c r="G244">
        <v>98398376</v>
      </c>
      <c r="H244" t="s">
        <v>391</v>
      </c>
      <c r="I244">
        <v>59836926</v>
      </c>
      <c r="J244" t="s">
        <v>14</v>
      </c>
      <c r="K244" t="s">
        <v>17</v>
      </c>
      <c r="L244" s="1">
        <v>19500000</v>
      </c>
      <c r="M244" s="1">
        <v>19500000</v>
      </c>
      <c r="N244" t="s">
        <v>704</v>
      </c>
      <c r="O244" s="1">
        <f t="shared" si="8"/>
        <v>0</v>
      </c>
    </row>
    <row r="245" spans="1:15" x14ac:dyDescent="0.25">
      <c r="A245" t="s">
        <v>409</v>
      </c>
      <c r="B245" t="s">
        <v>13</v>
      </c>
      <c r="C245">
        <v>45945</v>
      </c>
      <c r="D245">
        <v>46022</v>
      </c>
      <c r="E245" t="s">
        <v>776</v>
      </c>
      <c r="F245" t="s">
        <v>14</v>
      </c>
      <c r="G245">
        <v>87065647</v>
      </c>
      <c r="H245" t="s">
        <v>410</v>
      </c>
      <c r="I245">
        <v>59836926</v>
      </c>
      <c r="J245" t="s">
        <v>14</v>
      </c>
      <c r="K245" t="s">
        <v>17</v>
      </c>
      <c r="L245" s="1">
        <v>19500000</v>
      </c>
      <c r="M245" s="1">
        <v>19500000</v>
      </c>
      <c r="N245" t="s">
        <v>704</v>
      </c>
      <c r="O245" s="1">
        <f t="shared" si="8"/>
        <v>0</v>
      </c>
    </row>
    <row r="246" spans="1:15" x14ac:dyDescent="0.25">
      <c r="A246" t="s">
        <v>607</v>
      </c>
      <c r="B246" t="s">
        <v>13</v>
      </c>
      <c r="C246">
        <v>45923</v>
      </c>
      <c r="D246">
        <v>46022</v>
      </c>
      <c r="E246" t="s">
        <v>745</v>
      </c>
      <c r="F246" t="s">
        <v>14</v>
      </c>
      <c r="G246">
        <v>27456421</v>
      </c>
      <c r="H246" t="s">
        <v>608</v>
      </c>
      <c r="I246">
        <v>98390119</v>
      </c>
      <c r="J246" t="s">
        <v>14</v>
      </c>
      <c r="K246" t="s">
        <v>63</v>
      </c>
      <c r="L246" s="1">
        <v>22050000</v>
      </c>
      <c r="M246" s="1">
        <v>22050000</v>
      </c>
      <c r="N246" t="s">
        <v>704</v>
      </c>
      <c r="O246" s="1">
        <f t="shared" si="8"/>
        <v>0</v>
      </c>
    </row>
    <row r="247" spans="1:15" x14ac:dyDescent="0.25">
      <c r="A247" t="s">
        <v>329</v>
      </c>
      <c r="B247" t="s">
        <v>13</v>
      </c>
      <c r="C247">
        <v>45922</v>
      </c>
      <c r="D247">
        <v>46022</v>
      </c>
      <c r="E247" t="s">
        <v>760</v>
      </c>
      <c r="F247" t="s">
        <v>14</v>
      </c>
      <c r="G247">
        <v>59314458</v>
      </c>
      <c r="H247" t="s">
        <v>25</v>
      </c>
      <c r="I247">
        <v>98390119</v>
      </c>
      <c r="J247" t="s">
        <v>14</v>
      </c>
      <c r="K247" t="s">
        <v>63</v>
      </c>
      <c r="L247" s="1">
        <v>22050000</v>
      </c>
      <c r="M247" s="1">
        <v>22050000</v>
      </c>
      <c r="N247" t="s">
        <v>704</v>
      </c>
      <c r="O247" s="1">
        <f t="shared" si="8"/>
        <v>0</v>
      </c>
    </row>
    <row r="248" spans="1:15" x14ac:dyDescent="0.25">
      <c r="A248" t="s">
        <v>121</v>
      </c>
      <c r="B248" t="s">
        <v>13</v>
      </c>
      <c r="C248">
        <v>45922</v>
      </c>
      <c r="D248">
        <v>46022</v>
      </c>
      <c r="E248" t="s">
        <v>718</v>
      </c>
      <c r="F248" t="s">
        <v>14</v>
      </c>
      <c r="G248">
        <v>1193383314</v>
      </c>
      <c r="H248" t="s">
        <v>122</v>
      </c>
      <c r="I248">
        <v>98390119</v>
      </c>
      <c r="J248" t="s">
        <v>14</v>
      </c>
      <c r="K248" t="s">
        <v>63</v>
      </c>
      <c r="L248" s="1">
        <v>22050000</v>
      </c>
      <c r="M248" s="1">
        <v>22050000</v>
      </c>
      <c r="N248" t="s">
        <v>704</v>
      </c>
      <c r="O248" s="1">
        <f t="shared" si="8"/>
        <v>0</v>
      </c>
    </row>
    <row r="249" spans="1:15" x14ac:dyDescent="0.25">
      <c r="A249" t="s">
        <v>671</v>
      </c>
      <c r="B249" t="s">
        <v>13</v>
      </c>
      <c r="C249">
        <v>45919</v>
      </c>
      <c r="D249">
        <v>46022</v>
      </c>
      <c r="E249" t="s">
        <v>822</v>
      </c>
      <c r="F249" t="s">
        <v>14</v>
      </c>
      <c r="G249">
        <v>59837608</v>
      </c>
      <c r="H249" t="s">
        <v>47</v>
      </c>
      <c r="I249">
        <v>98333941</v>
      </c>
      <c r="J249" t="s">
        <v>14</v>
      </c>
      <c r="K249" t="s">
        <v>15</v>
      </c>
      <c r="L249" s="1">
        <v>22050000</v>
      </c>
      <c r="M249" s="1">
        <v>22050000</v>
      </c>
      <c r="N249" t="s">
        <v>704</v>
      </c>
      <c r="O249" s="1">
        <f t="shared" si="8"/>
        <v>0</v>
      </c>
    </row>
    <row r="250" spans="1:15" x14ac:dyDescent="0.25">
      <c r="A250" t="s">
        <v>638</v>
      </c>
      <c r="B250" t="s">
        <v>13</v>
      </c>
      <c r="C250">
        <v>45919</v>
      </c>
      <c r="D250">
        <v>46022</v>
      </c>
      <c r="E250" t="s">
        <v>817</v>
      </c>
      <c r="F250" t="s">
        <v>14</v>
      </c>
      <c r="G250">
        <v>1004564013</v>
      </c>
      <c r="H250" t="s">
        <v>639</v>
      </c>
      <c r="I250">
        <v>43624414</v>
      </c>
      <c r="J250" t="s">
        <v>14</v>
      </c>
      <c r="K250" t="s">
        <v>18</v>
      </c>
      <c r="L250" s="1">
        <v>22050000</v>
      </c>
      <c r="M250" s="1">
        <v>22050000</v>
      </c>
      <c r="N250" t="s">
        <v>704</v>
      </c>
      <c r="O250" s="1">
        <f t="shared" si="8"/>
        <v>0</v>
      </c>
    </row>
    <row r="251" spans="1:15" x14ac:dyDescent="0.25">
      <c r="A251" t="s">
        <v>563</v>
      </c>
      <c r="B251" t="s">
        <v>13</v>
      </c>
      <c r="C251">
        <v>45917</v>
      </c>
      <c r="D251">
        <v>46022</v>
      </c>
      <c r="E251" t="s">
        <v>802</v>
      </c>
      <c r="F251" t="s">
        <v>14</v>
      </c>
      <c r="G251">
        <v>1085275879</v>
      </c>
      <c r="H251" t="s">
        <v>59</v>
      </c>
      <c r="I251">
        <v>98390119</v>
      </c>
      <c r="J251" t="s">
        <v>14</v>
      </c>
      <c r="K251" t="s">
        <v>63</v>
      </c>
      <c r="L251" s="1">
        <v>22050000</v>
      </c>
      <c r="M251" s="1">
        <v>22050000</v>
      </c>
      <c r="N251" t="s">
        <v>704</v>
      </c>
      <c r="O251" s="1">
        <f t="shared" si="8"/>
        <v>0</v>
      </c>
    </row>
    <row r="252" spans="1:15" x14ac:dyDescent="0.25">
      <c r="A252" t="s">
        <v>371</v>
      </c>
      <c r="B252" t="s">
        <v>13</v>
      </c>
      <c r="C252">
        <v>45938</v>
      </c>
      <c r="D252">
        <v>46022</v>
      </c>
      <c r="E252" t="s">
        <v>722</v>
      </c>
      <c r="F252" t="s">
        <v>14</v>
      </c>
      <c r="G252">
        <v>1123327071</v>
      </c>
      <c r="H252" t="s">
        <v>372</v>
      </c>
      <c r="I252">
        <v>43624414</v>
      </c>
      <c r="J252" t="s">
        <v>14</v>
      </c>
      <c r="K252" t="s">
        <v>18</v>
      </c>
      <c r="L252" s="1">
        <v>23400000</v>
      </c>
      <c r="M252" s="1">
        <v>23400000</v>
      </c>
      <c r="N252" t="s">
        <v>704</v>
      </c>
      <c r="O252" s="1">
        <f t="shared" si="8"/>
        <v>0</v>
      </c>
    </row>
    <row r="253" spans="1:15" x14ac:dyDescent="0.25">
      <c r="A253" t="s">
        <v>472</v>
      </c>
      <c r="B253" t="s">
        <v>13</v>
      </c>
      <c r="C253">
        <v>45930</v>
      </c>
      <c r="D253">
        <v>46022</v>
      </c>
      <c r="E253" t="s">
        <v>789</v>
      </c>
      <c r="F253" t="s">
        <v>14</v>
      </c>
      <c r="G253">
        <v>12961407</v>
      </c>
      <c r="H253" t="s">
        <v>473</v>
      </c>
      <c r="I253">
        <v>59836926</v>
      </c>
      <c r="J253" t="s">
        <v>14</v>
      </c>
      <c r="K253" t="s">
        <v>17</v>
      </c>
      <c r="L253" s="1">
        <v>23400000</v>
      </c>
      <c r="M253" s="1">
        <v>23400000</v>
      </c>
      <c r="N253" t="s">
        <v>704</v>
      </c>
      <c r="O253" s="1">
        <f t="shared" si="8"/>
        <v>0</v>
      </c>
    </row>
    <row r="254" spans="1:15" x14ac:dyDescent="0.25">
      <c r="A254" t="s">
        <v>613</v>
      </c>
      <c r="B254" t="s">
        <v>13</v>
      </c>
      <c r="C254">
        <v>45940</v>
      </c>
      <c r="D254">
        <v>46022</v>
      </c>
      <c r="E254" t="s">
        <v>809</v>
      </c>
      <c r="F254" t="s">
        <v>14</v>
      </c>
      <c r="G254">
        <v>59313415</v>
      </c>
      <c r="H254" t="s">
        <v>614</v>
      </c>
      <c r="I254">
        <v>98390119</v>
      </c>
      <c r="J254" t="s">
        <v>14</v>
      </c>
      <c r="K254" t="s">
        <v>63</v>
      </c>
      <c r="L254" s="1">
        <v>23400000</v>
      </c>
      <c r="M254" s="1">
        <v>23400000</v>
      </c>
      <c r="N254" t="s">
        <v>704</v>
      </c>
      <c r="O254" s="1">
        <f t="shared" si="8"/>
        <v>0</v>
      </c>
    </row>
    <row r="255" spans="1:15" x14ac:dyDescent="0.25">
      <c r="A255" t="s">
        <v>596</v>
      </c>
      <c r="B255" t="s">
        <v>13</v>
      </c>
      <c r="C255">
        <v>45911</v>
      </c>
      <c r="D255">
        <v>46022</v>
      </c>
      <c r="E255" t="s">
        <v>719</v>
      </c>
      <c r="F255" t="s">
        <v>14</v>
      </c>
      <c r="G255">
        <v>59825948</v>
      </c>
      <c r="H255" t="s">
        <v>34</v>
      </c>
      <c r="I255">
        <v>43624414</v>
      </c>
      <c r="J255" t="s">
        <v>14</v>
      </c>
      <c r="K255" t="s">
        <v>18</v>
      </c>
      <c r="L255" s="1">
        <v>25200000</v>
      </c>
      <c r="M255" s="1">
        <v>25200000</v>
      </c>
      <c r="N255" t="s">
        <v>704</v>
      </c>
      <c r="O255" s="1">
        <f t="shared" si="8"/>
        <v>0</v>
      </c>
    </row>
    <row r="256" spans="1:15" x14ac:dyDescent="0.25">
      <c r="A256" t="s">
        <v>125</v>
      </c>
      <c r="B256" t="s">
        <v>13</v>
      </c>
      <c r="C256">
        <v>45911</v>
      </c>
      <c r="D256">
        <v>46022</v>
      </c>
      <c r="E256" t="s">
        <v>719</v>
      </c>
      <c r="F256" t="s">
        <v>14</v>
      </c>
      <c r="G256">
        <v>1085347312</v>
      </c>
      <c r="H256" t="s">
        <v>126</v>
      </c>
      <c r="I256">
        <v>98333941</v>
      </c>
      <c r="J256" t="s">
        <v>14</v>
      </c>
      <c r="K256" t="s">
        <v>15</v>
      </c>
      <c r="L256" s="1">
        <v>25200000</v>
      </c>
      <c r="M256" s="1">
        <v>25200000</v>
      </c>
      <c r="N256" t="s">
        <v>704</v>
      </c>
      <c r="O256" s="1">
        <f t="shared" si="8"/>
        <v>0</v>
      </c>
    </row>
    <row r="257" spans="1:15" x14ac:dyDescent="0.25">
      <c r="A257" t="s">
        <v>667</v>
      </c>
      <c r="B257" t="s">
        <v>13</v>
      </c>
      <c r="C257">
        <v>45911</v>
      </c>
      <c r="D257">
        <v>46022</v>
      </c>
      <c r="E257" t="s">
        <v>719</v>
      </c>
      <c r="F257" t="s">
        <v>14</v>
      </c>
      <c r="G257">
        <v>1084551863</v>
      </c>
      <c r="H257" t="s">
        <v>668</v>
      </c>
      <c r="I257">
        <v>98333941</v>
      </c>
      <c r="J257" t="s">
        <v>14</v>
      </c>
      <c r="K257" t="s">
        <v>15</v>
      </c>
      <c r="L257" s="1">
        <v>25200000</v>
      </c>
      <c r="M257" s="1">
        <v>25200000</v>
      </c>
      <c r="N257" t="s">
        <v>704</v>
      </c>
      <c r="O257" s="1">
        <f t="shared" si="8"/>
        <v>0</v>
      </c>
    </row>
    <row r="258" spans="1:15" x14ac:dyDescent="0.25">
      <c r="A258" t="s">
        <v>476</v>
      </c>
      <c r="B258" t="s">
        <v>13</v>
      </c>
      <c r="C258">
        <v>45910</v>
      </c>
      <c r="D258">
        <v>46022</v>
      </c>
      <c r="E258" t="s">
        <v>719</v>
      </c>
      <c r="F258" t="s">
        <v>14</v>
      </c>
      <c r="G258">
        <v>97470681</v>
      </c>
      <c r="H258" t="s">
        <v>55</v>
      </c>
      <c r="I258">
        <v>98333941</v>
      </c>
      <c r="J258" t="s">
        <v>14</v>
      </c>
      <c r="K258" t="s">
        <v>15</v>
      </c>
      <c r="L258" s="1">
        <v>25200000</v>
      </c>
      <c r="M258" s="1">
        <v>25200000</v>
      </c>
      <c r="N258" t="s">
        <v>704</v>
      </c>
      <c r="O258" s="1">
        <f t="shared" si="8"/>
        <v>0</v>
      </c>
    </row>
    <row r="259" spans="1:15" x14ac:dyDescent="0.25">
      <c r="A259" t="s">
        <v>205</v>
      </c>
      <c r="B259" t="s">
        <v>13</v>
      </c>
      <c r="C259">
        <v>45910</v>
      </c>
      <c r="D259">
        <v>46022</v>
      </c>
      <c r="E259" t="s">
        <v>719</v>
      </c>
      <c r="F259" t="s">
        <v>14</v>
      </c>
      <c r="G259">
        <v>1082748420</v>
      </c>
      <c r="H259" t="s">
        <v>65</v>
      </c>
      <c r="I259">
        <v>98333941</v>
      </c>
      <c r="J259" t="s">
        <v>14</v>
      </c>
      <c r="K259" t="s">
        <v>15</v>
      </c>
      <c r="L259" s="1">
        <v>25200000</v>
      </c>
      <c r="M259" s="1">
        <v>25200000</v>
      </c>
      <c r="N259" t="s">
        <v>704</v>
      </c>
      <c r="O259" s="1">
        <f t="shared" si="8"/>
        <v>0</v>
      </c>
    </row>
    <row r="260" spans="1:15" x14ac:dyDescent="0.25">
      <c r="A260" t="s">
        <v>134</v>
      </c>
      <c r="B260" t="s">
        <v>13</v>
      </c>
      <c r="C260">
        <v>45909</v>
      </c>
      <c r="D260">
        <v>46022</v>
      </c>
      <c r="E260" t="s">
        <v>719</v>
      </c>
      <c r="F260" t="s">
        <v>14</v>
      </c>
      <c r="G260">
        <v>59310291</v>
      </c>
      <c r="H260" t="s">
        <v>135</v>
      </c>
      <c r="I260">
        <v>98333941</v>
      </c>
      <c r="J260" t="s">
        <v>14</v>
      </c>
      <c r="K260" t="s">
        <v>15</v>
      </c>
      <c r="L260" s="1">
        <v>25200000</v>
      </c>
      <c r="M260" s="1">
        <v>25200000</v>
      </c>
      <c r="N260" t="s">
        <v>704</v>
      </c>
      <c r="O260" s="1">
        <f t="shared" si="8"/>
        <v>0</v>
      </c>
    </row>
    <row r="261" spans="1:15" x14ac:dyDescent="0.25">
      <c r="A261" t="s">
        <v>411</v>
      </c>
      <c r="B261" t="s">
        <v>13</v>
      </c>
      <c r="C261">
        <v>45909</v>
      </c>
      <c r="D261">
        <v>46022</v>
      </c>
      <c r="E261" t="s">
        <v>719</v>
      </c>
      <c r="F261" t="s">
        <v>14</v>
      </c>
      <c r="G261">
        <v>1085272491</v>
      </c>
      <c r="H261" t="s">
        <v>412</v>
      </c>
      <c r="I261">
        <v>98390119</v>
      </c>
      <c r="J261" t="s">
        <v>14</v>
      </c>
      <c r="K261" t="s">
        <v>63</v>
      </c>
      <c r="L261" s="1">
        <v>25200000</v>
      </c>
      <c r="M261" s="1">
        <v>25200000</v>
      </c>
      <c r="N261" t="s">
        <v>704</v>
      </c>
      <c r="O261" s="1">
        <f t="shared" si="8"/>
        <v>0</v>
      </c>
    </row>
    <row r="262" spans="1:15" x14ac:dyDescent="0.25">
      <c r="A262" t="s">
        <v>260</v>
      </c>
      <c r="B262" t="s">
        <v>13</v>
      </c>
      <c r="C262">
        <v>45908</v>
      </c>
      <c r="D262">
        <v>46022</v>
      </c>
      <c r="E262" t="s">
        <v>719</v>
      </c>
      <c r="F262" t="s">
        <v>14</v>
      </c>
      <c r="G262">
        <v>1053793750</v>
      </c>
      <c r="H262" t="s">
        <v>261</v>
      </c>
      <c r="I262">
        <v>98333941</v>
      </c>
      <c r="J262" t="s">
        <v>14</v>
      </c>
      <c r="K262" t="s">
        <v>15</v>
      </c>
      <c r="L262" s="1">
        <v>25200000</v>
      </c>
      <c r="M262" s="1">
        <v>25200000</v>
      </c>
      <c r="N262" t="s">
        <v>704</v>
      </c>
      <c r="O262" s="1">
        <f t="shared" si="8"/>
        <v>0</v>
      </c>
    </row>
    <row r="263" spans="1:15" x14ac:dyDescent="0.25">
      <c r="A263" t="s">
        <v>192</v>
      </c>
      <c r="B263" t="s">
        <v>13</v>
      </c>
      <c r="C263">
        <v>45908</v>
      </c>
      <c r="D263">
        <v>46022</v>
      </c>
      <c r="E263" t="s">
        <v>719</v>
      </c>
      <c r="F263" t="s">
        <v>14</v>
      </c>
      <c r="G263">
        <v>27146489</v>
      </c>
      <c r="H263" t="s">
        <v>193</v>
      </c>
      <c r="I263">
        <v>98390119</v>
      </c>
      <c r="J263" t="s">
        <v>14</v>
      </c>
      <c r="K263" t="s">
        <v>63</v>
      </c>
      <c r="L263" s="1">
        <v>25200000</v>
      </c>
      <c r="M263" s="1">
        <v>25200000</v>
      </c>
      <c r="N263" t="s">
        <v>704</v>
      </c>
      <c r="O263" s="1">
        <f t="shared" si="8"/>
        <v>0</v>
      </c>
    </row>
    <row r="264" spans="1:15" x14ac:dyDescent="0.25">
      <c r="A264" t="s">
        <v>180</v>
      </c>
      <c r="B264" t="s">
        <v>13</v>
      </c>
      <c r="C264">
        <v>45908</v>
      </c>
      <c r="D264">
        <v>46022</v>
      </c>
      <c r="E264" t="s">
        <v>719</v>
      </c>
      <c r="F264" t="s">
        <v>14</v>
      </c>
      <c r="G264">
        <v>59836480</v>
      </c>
      <c r="H264" t="s">
        <v>181</v>
      </c>
      <c r="I264">
        <v>43624414</v>
      </c>
      <c r="J264" t="s">
        <v>14</v>
      </c>
      <c r="K264" t="s">
        <v>18</v>
      </c>
      <c r="L264" s="1">
        <v>25200000</v>
      </c>
      <c r="M264" s="1">
        <v>25200000</v>
      </c>
      <c r="N264" t="s">
        <v>704</v>
      </c>
      <c r="O264" s="1">
        <f t="shared" si="8"/>
        <v>0</v>
      </c>
    </row>
    <row r="265" spans="1:15" x14ac:dyDescent="0.25">
      <c r="A265" t="s">
        <v>378</v>
      </c>
      <c r="B265" t="s">
        <v>13</v>
      </c>
      <c r="C265">
        <v>45908</v>
      </c>
      <c r="D265">
        <v>46022</v>
      </c>
      <c r="E265" t="s">
        <v>766</v>
      </c>
      <c r="F265" t="s">
        <v>14</v>
      </c>
      <c r="G265">
        <v>1010010954</v>
      </c>
      <c r="H265" t="s">
        <v>379</v>
      </c>
      <c r="I265">
        <v>43624414</v>
      </c>
      <c r="J265" t="s">
        <v>14</v>
      </c>
      <c r="K265" t="s">
        <v>18</v>
      </c>
      <c r="L265" s="1">
        <v>25200000</v>
      </c>
      <c r="M265" s="1">
        <v>25200000</v>
      </c>
      <c r="N265" t="s">
        <v>704</v>
      </c>
      <c r="O265" s="1">
        <f t="shared" si="8"/>
        <v>0</v>
      </c>
    </row>
    <row r="266" spans="1:15" x14ac:dyDescent="0.25">
      <c r="A266" t="s">
        <v>526</v>
      </c>
      <c r="B266" t="s">
        <v>13</v>
      </c>
      <c r="C266">
        <v>45905</v>
      </c>
      <c r="D266">
        <v>46022</v>
      </c>
      <c r="E266" t="s">
        <v>754</v>
      </c>
      <c r="F266" t="s">
        <v>14</v>
      </c>
      <c r="G266">
        <v>1085299577</v>
      </c>
      <c r="H266" t="s">
        <v>527</v>
      </c>
      <c r="I266">
        <v>98390119</v>
      </c>
      <c r="J266" t="s">
        <v>14</v>
      </c>
      <c r="K266" t="s">
        <v>63</v>
      </c>
      <c r="L266" s="1">
        <v>25200000</v>
      </c>
      <c r="M266" s="1">
        <v>25200000</v>
      </c>
      <c r="N266" t="s">
        <v>704</v>
      </c>
      <c r="O266" s="1">
        <f t="shared" si="8"/>
        <v>0</v>
      </c>
    </row>
    <row r="267" spans="1:15" x14ac:dyDescent="0.25">
      <c r="A267" t="s">
        <v>402</v>
      </c>
      <c r="B267" t="s">
        <v>13</v>
      </c>
      <c r="C267">
        <v>45905</v>
      </c>
      <c r="D267">
        <v>46022</v>
      </c>
      <c r="E267" t="s">
        <v>754</v>
      </c>
      <c r="F267" t="s">
        <v>14</v>
      </c>
      <c r="G267">
        <v>1084228089</v>
      </c>
      <c r="H267" t="s">
        <v>403</v>
      </c>
      <c r="I267">
        <v>98333941</v>
      </c>
      <c r="J267" t="s">
        <v>14</v>
      </c>
      <c r="K267" t="s">
        <v>15</v>
      </c>
      <c r="L267" s="1">
        <v>25200000</v>
      </c>
      <c r="M267" s="1">
        <v>25200000</v>
      </c>
      <c r="N267" t="s">
        <v>704</v>
      </c>
      <c r="O267" s="1">
        <f t="shared" si="8"/>
        <v>0</v>
      </c>
    </row>
    <row r="268" spans="1:15" x14ac:dyDescent="0.25">
      <c r="A268" t="s">
        <v>499</v>
      </c>
      <c r="B268" t="s">
        <v>13</v>
      </c>
      <c r="C268">
        <v>45905</v>
      </c>
      <c r="D268">
        <v>46022</v>
      </c>
      <c r="E268" t="s">
        <v>745</v>
      </c>
      <c r="F268" t="s">
        <v>14</v>
      </c>
      <c r="G268">
        <v>1085286476</v>
      </c>
      <c r="H268" t="s">
        <v>500</v>
      </c>
      <c r="I268">
        <v>59836926</v>
      </c>
      <c r="J268" t="s">
        <v>14</v>
      </c>
      <c r="K268" t="s">
        <v>17</v>
      </c>
      <c r="L268" s="1">
        <v>25200000</v>
      </c>
      <c r="M268" s="1">
        <v>25200000</v>
      </c>
      <c r="N268" t="s">
        <v>704</v>
      </c>
      <c r="O268" s="1">
        <f t="shared" si="8"/>
        <v>0</v>
      </c>
    </row>
    <row r="269" spans="1:15" x14ac:dyDescent="0.25">
      <c r="A269" t="s">
        <v>680</v>
      </c>
      <c r="B269" t="s">
        <v>13</v>
      </c>
      <c r="C269">
        <v>45904</v>
      </c>
      <c r="D269">
        <v>46022</v>
      </c>
      <c r="E269" t="s">
        <v>823</v>
      </c>
      <c r="F269" t="s">
        <v>14</v>
      </c>
      <c r="G269">
        <v>1085277976</v>
      </c>
      <c r="H269" t="s">
        <v>681</v>
      </c>
      <c r="I269">
        <v>43624414</v>
      </c>
      <c r="J269" t="s">
        <v>14</v>
      </c>
      <c r="K269" t="s">
        <v>18</v>
      </c>
      <c r="L269" s="1">
        <v>25200000</v>
      </c>
      <c r="M269" s="1">
        <v>25200000</v>
      </c>
      <c r="N269" t="s">
        <v>704</v>
      </c>
      <c r="O269" s="1">
        <f t="shared" si="8"/>
        <v>0</v>
      </c>
    </row>
    <row r="270" spans="1:15" x14ac:dyDescent="0.25">
      <c r="A270" t="s">
        <v>413</v>
      </c>
      <c r="B270" t="s">
        <v>13</v>
      </c>
      <c r="C270">
        <v>45904</v>
      </c>
      <c r="D270">
        <v>46022</v>
      </c>
      <c r="E270" t="s">
        <v>777</v>
      </c>
      <c r="F270" t="s">
        <v>14</v>
      </c>
      <c r="G270">
        <v>1085283868</v>
      </c>
      <c r="H270" t="s">
        <v>414</v>
      </c>
      <c r="I270">
        <v>43624414</v>
      </c>
      <c r="J270" t="s">
        <v>14</v>
      </c>
      <c r="K270" t="s">
        <v>18</v>
      </c>
      <c r="L270" s="1">
        <v>25200000</v>
      </c>
      <c r="M270" s="1">
        <v>25200000</v>
      </c>
      <c r="N270" t="s">
        <v>704</v>
      </c>
      <c r="O270" s="1">
        <f t="shared" si="8"/>
        <v>0</v>
      </c>
    </row>
    <row r="271" spans="1:15" x14ac:dyDescent="0.25">
      <c r="A271" t="s">
        <v>553</v>
      </c>
      <c r="B271" t="s">
        <v>13</v>
      </c>
      <c r="C271">
        <v>45904</v>
      </c>
      <c r="D271">
        <v>46022</v>
      </c>
      <c r="E271" t="s">
        <v>777</v>
      </c>
      <c r="F271" t="s">
        <v>14</v>
      </c>
      <c r="G271">
        <v>1085296068</v>
      </c>
      <c r="H271" t="s">
        <v>554</v>
      </c>
      <c r="I271">
        <v>98333941</v>
      </c>
      <c r="J271" t="s">
        <v>14</v>
      </c>
      <c r="K271" t="s">
        <v>15</v>
      </c>
      <c r="L271" s="1">
        <v>25200000</v>
      </c>
      <c r="M271" s="1">
        <v>25200000</v>
      </c>
      <c r="N271" t="s">
        <v>704</v>
      </c>
      <c r="O271" s="1">
        <f t="shared" ref="O271:O302" si="9">M271-L271</f>
        <v>0</v>
      </c>
    </row>
    <row r="272" spans="1:15" x14ac:dyDescent="0.25">
      <c r="A272" t="s">
        <v>583</v>
      </c>
      <c r="B272" t="s">
        <v>13</v>
      </c>
      <c r="C272">
        <v>45903</v>
      </c>
      <c r="D272">
        <v>46022</v>
      </c>
      <c r="E272" t="s">
        <v>777</v>
      </c>
      <c r="F272" t="s">
        <v>14</v>
      </c>
      <c r="G272">
        <v>59820414</v>
      </c>
      <c r="H272" t="s">
        <v>584</v>
      </c>
      <c r="I272">
        <v>43624414</v>
      </c>
      <c r="J272" t="s">
        <v>14</v>
      </c>
      <c r="K272" t="s">
        <v>18</v>
      </c>
      <c r="L272" s="1">
        <v>25200000</v>
      </c>
      <c r="M272" s="1">
        <v>25200000</v>
      </c>
      <c r="N272" t="s">
        <v>704</v>
      </c>
      <c r="O272" s="1">
        <f t="shared" si="9"/>
        <v>0</v>
      </c>
    </row>
    <row r="273" spans="1:15" x14ac:dyDescent="0.25">
      <c r="A273" t="s">
        <v>357</v>
      </c>
      <c r="B273" t="s">
        <v>13</v>
      </c>
      <c r="C273">
        <v>45925</v>
      </c>
      <c r="D273">
        <v>46022</v>
      </c>
      <c r="E273" t="s">
        <v>722</v>
      </c>
      <c r="F273" t="s">
        <v>14</v>
      </c>
      <c r="G273">
        <v>1233188295</v>
      </c>
      <c r="H273" t="s">
        <v>358</v>
      </c>
      <c r="I273">
        <v>98390119</v>
      </c>
      <c r="J273" t="s">
        <v>14</v>
      </c>
      <c r="K273" t="s">
        <v>63</v>
      </c>
      <c r="L273" s="1">
        <v>27300000</v>
      </c>
      <c r="M273" s="1">
        <v>27300000</v>
      </c>
      <c r="N273" t="s">
        <v>704</v>
      </c>
      <c r="O273" s="1">
        <f t="shared" si="9"/>
        <v>0</v>
      </c>
    </row>
    <row r="274" spans="1:15" x14ac:dyDescent="0.25">
      <c r="A274" t="s">
        <v>279</v>
      </c>
      <c r="B274" t="s">
        <v>13</v>
      </c>
      <c r="C274">
        <v>45925</v>
      </c>
      <c r="D274">
        <v>46022</v>
      </c>
      <c r="E274" t="s">
        <v>722</v>
      </c>
      <c r="F274" t="s">
        <v>14</v>
      </c>
      <c r="G274">
        <v>1144172704</v>
      </c>
      <c r="H274" t="s">
        <v>280</v>
      </c>
      <c r="I274">
        <v>43624414</v>
      </c>
      <c r="J274" t="s">
        <v>14</v>
      </c>
      <c r="K274" t="s">
        <v>18</v>
      </c>
      <c r="L274" s="1">
        <v>27300000</v>
      </c>
      <c r="M274" s="1">
        <v>27300000</v>
      </c>
      <c r="N274" t="s">
        <v>704</v>
      </c>
      <c r="O274" s="1">
        <f t="shared" si="9"/>
        <v>0</v>
      </c>
    </row>
    <row r="275" spans="1:15" x14ac:dyDescent="0.25">
      <c r="A275" t="s">
        <v>102</v>
      </c>
      <c r="B275" t="s">
        <v>13</v>
      </c>
      <c r="C275">
        <v>45923</v>
      </c>
      <c r="D275">
        <v>46022</v>
      </c>
      <c r="E275" t="s">
        <v>713</v>
      </c>
      <c r="F275" t="s">
        <v>14</v>
      </c>
      <c r="G275">
        <v>1089846684</v>
      </c>
      <c r="H275" t="s">
        <v>103</v>
      </c>
      <c r="I275">
        <v>98390119</v>
      </c>
      <c r="J275" t="s">
        <v>14</v>
      </c>
      <c r="K275" t="s">
        <v>63</v>
      </c>
      <c r="L275" s="1">
        <v>27300000</v>
      </c>
      <c r="M275" s="1">
        <v>27300000</v>
      </c>
      <c r="N275" t="s">
        <v>704</v>
      </c>
      <c r="O275" s="1">
        <f t="shared" si="9"/>
        <v>0</v>
      </c>
    </row>
    <row r="276" spans="1:15" x14ac:dyDescent="0.25">
      <c r="A276" t="s">
        <v>363</v>
      </c>
      <c r="B276" t="s">
        <v>13</v>
      </c>
      <c r="C276">
        <v>45922</v>
      </c>
      <c r="D276">
        <v>46022</v>
      </c>
      <c r="E276" t="s">
        <v>749</v>
      </c>
      <c r="F276" t="s">
        <v>14</v>
      </c>
      <c r="G276">
        <v>1085274300</v>
      </c>
      <c r="H276" t="s">
        <v>364</v>
      </c>
      <c r="I276">
        <v>98390119</v>
      </c>
      <c r="J276" t="s">
        <v>14</v>
      </c>
      <c r="K276" t="s">
        <v>63</v>
      </c>
      <c r="L276" s="1">
        <v>27300000</v>
      </c>
      <c r="M276" s="1">
        <v>27300000</v>
      </c>
      <c r="N276" t="s">
        <v>704</v>
      </c>
      <c r="O276" s="1">
        <f t="shared" si="9"/>
        <v>0</v>
      </c>
    </row>
    <row r="277" spans="1:15" x14ac:dyDescent="0.25">
      <c r="A277" t="s">
        <v>152</v>
      </c>
      <c r="B277" t="s">
        <v>13</v>
      </c>
      <c r="C277">
        <v>45919</v>
      </c>
      <c r="D277">
        <v>46022</v>
      </c>
      <c r="E277" t="s">
        <v>722</v>
      </c>
      <c r="F277" t="s">
        <v>14</v>
      </c>
      <c r="G277">
        <v>1087645723</v>
      </c>
      <c r="H277" t="s">
        <v>153</v>
      </c>
      <c r="I277">
        <v>98390119</v>
      </c>
      <c r="J277" t="s">
        <v>14</v>
      </c>
      <c r="K277" t="s">
        <v>63</v>
      </c>
      <c r="L277" s="1">
        <v>27300000</v>
      </c>
      <c r="M277" s="1">
        <v>27300000</v>
      </c>
      <c r="N277" t="s">
        <v>704</v>
      </c>
      <c r="O277" s="1">
        <f t="shared" si="9"/>
        <v>0</v>
      </c>
    </row>
    <row r="278" spans="1:15" x14ac:dyDescent="0.25">
      <c r="A278" t="s">
        <v>245</v>
      </c>
      <c r="B278" t="s">
        <v>13</v>
      </c>
      <c r="C278">
        <v>45919</v>
      </c>
      <c r="D278">
        <v>46022</v>
      </c>
      <c r="E278" t="s">
        <v>749</v>
      </c>
      <c r="F278" t="s">
        <v>14</v>
      </c>
      <c r="G278">
        <v>1110594073</v>
      </c>
      <c r="H278" t="s">
        <v>246</v>
      </c>
      <c r="I278">
        <v>98390119</v>
      </c>
      <c r="J278" t="s">
        <v>14</v>
      </c>
      <c r="K278" t="s">
        <v>63</v>
      </c>
      <c r="L278" s="1">
        <v>27300000</v>
      </c>
      <c r="M278" s="1">
        <v>27300000</v>
      </c>
      <c r="N278" t="s">
        <v>704</v>
      </c>
      <c r="O278" s="1">
        <f t="shared" si="9"/>
        <v>0</v>
      </c>
    </row>
    <row r="279" spans="1:15" x14ac:dyDescent="0.25">
      <c r="A279" t="s">
        <v>337</v>
      </c>
      <c r="B279" t="s">
        <v>13</v>
      </c>
      <c r="C279">
        <v>45917</v>
      </c>
      <c r="D279">
        <v>46022</v>
      </c>
      <c r="E279" t="s">
        <v>749</v>
      </c>
      <c r="F279" t="s">
        <v>14</v>
      </c>
      <c r="G279">
        <v>1233193769</v>
      </c>
      <c r="H279" t="s">
        <v>338</v>
      </c>
      <c r="I279">
        <v>98390119</v>
      </c>
      <c r="J279" t="s">
        <v>14</v>
      </c>
      <c r="K279" t="s">
        <v>63</v>
      </c>
      <c r="L279" s="1">
        <v>27300000</v>
      </c>
      <c r="M279" s="1">
        <v>27300000</v>
      </c>
      <c r="N279" t="s">
        <v>704</v>
      </c>
      <c r="O279" s="1">
        <f t="shared" si="9"/>
        <v>0</v>
      </c>
    </row>
    <row r="280" spans="1:15" x14ac:dyDescent="0.25">
      <c r="A280" t="s">
        <v>113</v>
      </c>
      <c r="B280" t="s">
        <v>13</v>
      </c>
      <c r="C280">
        <v>45915</v>
      </c>
      <c r="D280">
        <v>46022</v>
      </c>
      <c r="E280" t="s">
        <v>710</v>
      </c>
      <c r="F280" t="s">
        <v>14</v>
      </c>
      <c r="G280">
        <v>1086361969</v>
      </c>
      <c r="H280" t="s">
        <v>114</v>
      </c>
      <c r="I280">
        <v>98333941</v>
      </c>
      <c r="J280" t="s">
        <v>14</v>
      </c>
      <c r="K280" t="s">
        <v>15</v>
      </c>
      <c r="L280" s="1">
        <v>31200000</v>
      </c>
      <c r="M280" s="1">
        <v>31200000</v>
      </c>
      <c r="N280" t="s">
        <v>704</v>
      </c>
      <c r="O280" s="1">
        <f t="shared" si="9"/>
        <v>0</v>
      </c>
    </row>
    <row r="281" spans="1:15" x14ac:dyDescent="0.25">
      <c r="A281" t="s">
        <v>324</v>
      </c>
      <c r="B281" t="s">
        <v>13</v>
      </c>
      <c r="C281">
        <v>45912</v>
      </c>
      <c r="D281">
        <v>46022</v>
      </c>
      <c r="E281" t="s">
        <v>710</v>
      </c>
      <c r="F281" t="s">
        <v>14</v>
      </c>
      <c r="G281">
        <v>1089483067</v>
      </c>
      <c r="H281" t="s">
        <v>325</v>
      </c>
      <c r="I281">
        <v>43624414</v>
      </c>
      <c r="J281" t="s">
        <v>14</v>
      </c>
      <c r="K281" t="s">
        <v>18</v>
      </c>
      <c r="L281" s="1">
        <v>31200000</v>
      </c>
      <c r="M281" s="1">
        <v>31200000</v>
      </c>
      <c r="N281" t="s">
        <v>704</v>
      </c>
      <c r="O281" s="1">
        <f t="shared" si="9"/>
        <v>0</v>
      </c>
    </row>
    <row r="282" spans="1:15" x14ac:dyDescent="0.25">
      <c r="A282" t="s">
        <v>465</v>
      </c>
      <c r="B282" t="s">
        <v>13</v>
      </c>
      <c r="C282">
        <v>45909</v>
      </c>
      <c r="D282">
        <v>46022</v>
      </c>
      <c r="E282" t="s">
        <v>710</v>
      </c>
      <c r="F282" t="s">
        <v>14</v>
      </c>
      <c r="G282">
        <v>1233189066</v>
      </c>
      <c r="H282" t="s">
        <v>466</v>
      </c>
      <c r="I282">
        <v>98390119</v>
      </c>
      <c r="J282" t="s">
        <v>14</v>
      </c>
      <c r="K282" t="s">
        <v>63</v>
      </c>
      <c r="L282" s="1">
        <v>31200000</v>
      </c>
      <c r="M282" s="1">
        <v>31200000</v>
      </c>
      <c r="N282" t="s">
        <v>704</v>
      </c>
      <c r="O282" s="1">
        <f t="shared" si="9"/>
        <v>0</v>
      </c>
    </row>
    <row r="283" spans="1:15" x14ac:dyDescent="0.25">
      <c r="A283" t="s">
        <v>326</v>
      </c>
      <c r="B283" t="s">
        <v>13</v>
      </c>
      <c r="C283">
        <v>45909</v>
      </c>
      <c r="D283">
        <v>46022</v>
      </c>
      <c r="E283" t="s">
        <v>710</v>
      </c>
      <c r="F283" t="s">
        <v>14</v>
      </c>
      <c r="G283">
        <v>1084552063</v>
      </c>
      <c r="H283" t="s">
        <v>327</v>
      </c>
      <c r="I283">
        <v>98333941</v>
      </c>
      <c r="J283" t="s">
        <v>14</v>
      </c>
      <c r="K283" t="s">
        <v>15</v>
      </c>
      <c r="L283" s="1">
        <v>31200000</v>
      </c>
      <c r="M283" s="1">
        <v>31200000</v>
      </c>
      <c r="N283" t="s">
        <v>704</v>
      </c>
      <c r="O283" s="1">
        <f t="shared" si="9"/>
        <v>0</v>
      </c>
    </row>
    <row r="284" spans="1:15" x14ac:dyDescent="0.25">
      <c r="A284" t="s">
        <v>399</v>
      </c>
      <c r="B284" t="s">
        <v>13</v>
      </c>
      <c r="C284">
        <v>45909</v>
      </c>
      <c r="D284">
        <v>46022</v>
      </c>
      <c r="E284" t="s">
        <v>710</v>
      </c>
      <c r="F284" t="s">
        <v>14</v>
      </c>
      <c r="G284">
        <v>37087120</v>
      </c>
      <c r="H284" t="s">
        <v>51</v>
      </c>
      <c r="I284">
        <v>98333941</v>
      </c>
      <c r="J284" t="s">
        <v>14</v>
      </c>
      <c r="K284" t="s">
        <v>15</v>
      </c>
      <c r="L284" s="1">
        <v>31200000</v>
      </c>
      <c r="M284" s="1">
        <v>31200000</v>
      </c>
      <c r="N284" t="s">
        <v>704</v>
      </c>
      <c r="O284" s="1">
        <f t="shared" si="9"/>
        <v>0</v>
      </c>
    </row>
    <row r="285" spans="1:15" x14ac:dyDescent="0.25">
      <c r="A285" t="s">
        <v>515</v>
      </c>
      <c r="B285" t="s">
        <v>13</v>
      </c>
      <c r="C285">
        <v>45908</v>
      </c>
      <c r="D285">
        <v>46022</v>
      </c>
      <c r="E285" t="s">
        <v>710</v>
      </c>
      <c r="F285" t="s">
        <v>14</v>
      </c>
      <c r="G285">
        <v>1233192708</v>
      </c>
      <c r="H285" t="s">
        <v>516</v>
      </c>
      <c r="I285">
        <v>43624414</v>
      </c>
      <c r="J285" t="s">
        <v>14</v>
      </c>
      <c r="K285" t="s">
        <v>18</v>
      </c>
      <c r="L285" s="1">
        <v>31200000</v>
      </c>
      <c r="M285" s="1">
        <v>31200000</v>
      </c>
      <c r="N285" t="s">
        <v>704</v>
      </c>
      <c r="O285" s="1">
        <f t="shared" si="9"/>
        <v>0</v>
      </c>
    </row>
    <row r="286" spans="1:15" x14ac:dyDescent="0.25">
      <c r="A286" t="s">
        <v>474</v>
      </c>
      <c r="B286" t="s">
        <v>13</v>
      </c>
      <c r="C286">
        <v>45908</v>
      </c>
      <c r="D286">
        <v>46022</v>
      </c>
      <c r="E286" t="s">
        <v>710</v>
      </c>
      <c r="F286" t="s">
        <v>14</v>
      </c>
      <c r="G286">
        <v>80765093</v>
      </c>
      <c r="H286" t="s">
        <v>20</v>
      </c>
      <c r="I286">
        <v>59836926</v>
      </c>
      <c r="J286" t="s">
        <v>14</v>
      </c>
      <c r="K286" t="s">
        <v>17</v>
      </c>
      <c r="L286" s="1">
        <v>31200000</v>
      </c>
      <c r="M286" s="1">
        <v>31200000</v>
      </c>
      <c r="N286" t="s">
        <v>704</v>
      </c>
      <c r="O286" s="1">
        <f t="shared" si="9"/>
        <v>0</v>
      </c>
    </row>
    <row r="287" spans="1:15" x14ac:dyDescent="0.25">
      <c r="A287" t="s">
        <v>589</v>
      </c>
      <c r="B287" t="s">
        <v>13</v>
      </c>
      <c r="C287">
        <v>45908</v>
      </c>
      <c r="D287">
        <v>46022</v>
      </c>
      <c r="E287" t="s">
        <v>710</v>
      </c>
      <c r="F287" t="s">
        <v>14</v>
      </c>
      <c r="G287">
        <v>1083814276</v>
      </c>
      <c r="H287" t="s">
        <v>590</v>
      </c>
      <c r="I287">
        <v>98333941</v>
      </c>
      <c r="J287" t="s">
        <v>14</v>
      </c>
      <c r="K287" t="s">
        <v>15</v>
      </c>
      <c r="L287" s="1">
        <v>31200000</v>
      </c>
      <c r="M287" s="1">
        <v>31200000</v>
      </c>
      <c r="N287" t="s">
        <v>704</v>
      </c>
      <c r="O287" s="1">
        <f t="shared" si="9"/>
        <v>0</v>
      </c>
    </row>
    <row r="288" spans="1:15" x14ac:dyDescent="0.25">
      <c r="A288" t="s">
        <v>365</v>
      </c>
      <c r="B288" t="s">
        <v>13</v>
      </c>
      <c r="C288">
        <v>45905</v>
      </c>
      <c r="D288">
        <v>46022</v>
      </c>
      <c r="E288" t="s">
        <v>722</v>
      </c>
      <c r="F288" t="s">
        <v>14</v>
      </c>
      <c r="G288">
        <v>1022426162</v>
      </c>
      <c r="H288" t="s">
        <v>366</v>
      </c>
      <c r="I288">
        <v>98333941</v>
      </c>
      <c r="J288" t="s">
        <v>14</v>
      </c>
      <c r="K288" t="s">
        <v>15</v>
      </c>
      <c r="L288" s="1">
        <v>31200000</v>
      </c>
      <c r="M288" s="1">
        <v>31200000</v>
      </c>
      <c r="N288" t="s">
        <v>704</v>
      </c>
      <c r="O288" s="1">
        <f t="shared" si="9"/>
        <v>0</v>
      </c>
    </row>
    <row r="289" spans="1:16" x14ac:dyDescent="0.25">
      <c r="A289" t="s">
        <v>564</v>
      </c>
      <c r="B289" t="s">
        <v>13</v>
      </c>
      <c r="C289">
        <v>45905</v>
      </c>
      <c r="D289">
        <v>46022</v>
      </c>
      <c r="E289" t="s">
        <v>749</v>
      </c>
      <c r="F289" t="s">
        <v>14</v>
      </c>
      <c r="G289">
        <v>1088734182</v>
      </c>
      <c r="H289" t="s">
        <v>565</v>
      </c>
      <c r="I289">
        <v>98333941</v>
      </c>
      <c r="J289" t="s">
        <v>14</v>
      </c>
      <c r="K289" t="s">
        <v>15</v>
      </c>
      <c r="L289" s="1">
        <v>31200000</v>
      </c>
      <c r="M289" s="1">
        <v>31200000</v>
      </c>
      <c r="N289" t="s">
        <v>704</v>
      </c>
      <c r="O289" s="1">
        <f t="shared" si="9"/>
        <v>0</v>
      </c>
    </row>
    <row r="290" spans="1:16" x14ac:dyDescent="0.25">
      <c r="A290" t="s">
        <v>630</v>
      </c>
      <c r="B290" t="s">
        <v>13</v>
      </c>
      <c r="C290">
        <v>45905</v>
      </c>
      <c r="D290">
        <v>46022</v>
      </c>
      <c r="E290" t="s">
        <v>722</v>
      </c>
      <c r="F290" t="s">
        <v>14</v>
      </c>
      <c r="G290">
        <v>1193292339</v>
      </c>
      <c r="H290" t="s">
        <v>631</v>
      </c>
      <c r="I290">
        <v>98333941</v>
      </c>
      <c r="J290" t="s">
        <v>14</v>
      </c>
      <c r="K290" t="s">
        <v>15</v>
      </c>
      <c r="L290" s="1">
        <v>31200000</v>
      </c>
      <c r="M290" s="1">
        <v>31200000</v>
      </c>
      <c r="N290" t="s">
        <v>704</v>
      </c>
      <c r="O290" s="1">
        <f t="shared" si="9"/>
        <v>0</v>
      </c>
    </row>
    <row r="291" spans="1:16" x14ac:dyDescent="0.25">
      <c r="A291" t="s">
        <v>593</v>
      </c>
      <c r="B291" t="s">
        <v>13</v>
      </c>
      <c r="C291">
        <v>45905</v>
      </c>
      <c r="D291">
        <v>46022</v>
      </c>
      <c r="E291" t="s">
        <v>722</v>
      </c>
      <c r="F291" t="s">
        <v>14</v>
      </c>
      <c r="G291">
        <v>1085293105</v>
      </c>
      <c r="H291" t="s">
        <v>33</v>
      </c>
      <c r="I291">
        <v>43624414</v>
      </c>
      <c r="J291" t="s">
        <v>14</v>
      </c>
      <c r="K291" t="s">
        <v>18</v>
      </c>
      <c r="L291" s="1">
        <v>31200000</v>
      </c>
      <c r="M291" s="1">
        <v>31200000</v>
      </c>
      <c r="N291" t="s">
        <v>704</v>
      </c>
      <c r="O291" s="1">
        <f t="shared" si="9"/>
        <v>0</v>
      </c>
    </row>
    <row r="292" spans="1:16" x14ac:dyDescent="0.25">
      <c r="A292" t="s">
        <v>275</v>
      </c>
      <c r="B292" t="s">
        <v>13</v>
      </c>
      <c r="C292">
        <v>45904</v>
      </c>
      <c r="D292">
        <v>46022</v>
      </c>
      <c r="E292" t="s">
        <v>722</v>
      </c>
      <c r="F292" t="s">
        <v>14</v>
      </c>
      <c r="G292">
        <v>1085329980</v>
      </c>
      <c r="H292" t="s">
        <v>276</v>
      </c>
      <c r="I292">
        <v>98333941</v>
      </c>
      <c r="J292" t="s">
        <v>14</v>
      </c>
      <c r="K292" t="s">
        <v>15</v>
      </c>
      <c r="L292" s="1">
        <v>31200000</v>
      </c>
      <c r="M292" s="1">
        <v>31200000</v>
      </c>
      <c r="N292" t="s">
        <v>704</v>
      </c>
      <c r="O292" s="1">
        <f t="shared" si="9"/>
        <v>0</v>
      </c>
    </row>
    <row r="293" spans="1:16" x14ac:dyDescent="0.25">
      <c r="A293" t="s">
        <v>456</v>
      </c>
      <c r="B293" t="s">
        <v>13</v>
      </c>
      <c r="C293">
        <v>45904</v>
      </c>
      <c r="D293">
        <v>46022</v>
      </c>
      <c r="E293" t="s">
        <v>710</v>
      </c>
      <c r="F293" t="s">
        <v>14</v>
      </c>
      <c r="G293">
        <v>1087006619</v>
      </c>
      <c r="H293" t="s">
        <v>457</v>
      </c>
      <c r="I293">
        <v>98333941</v>
      </c>
      <c r="J293" t="s">
        <v>14</v>
      </c>
      <c r="K293" t="s">
        <v>15</v>
      </c>
      <c r="L293" s="1">
        <v>31200000</v>
      </c>
      <c r="M293" s="1">
        <v>31200000</v>
      </c>
      <c r="N293" t="s">
        <v>704</v>
      </c>
      <c r="O293" s="1">
        <f t="shared" si="9"/>
        <v>0</v>
      </c>
    </row>
    <row r="294" spans="1:16" x14ac:dyDescent="0.25">
      <c r="A294" t="s">
        <v>96</v>
      </c>
      <c r="B294" t="s">
        <v>13</v>
      </c>
      <c r="C294">
        <v>45904</v>
      </c>
      <c r="D294">
        <v>46022</v>
      </c>
      <c r="E294" t="s">
        <v>710</v>
      </c>
      <c r="F294" t="s">
        <v>14</v>
      </c>
      <c r="G294">
        <v>1233193882</v>
      </c>
      <c r="H294" t="s">
        <v>97</v>
      </c>
      <c r="I294">
        <v>98390119</v>
      </c>
      <c r="J294" t="s">
        <v>14</v>
      </c>
      <c r="K294" t="s">
        <v>63</v>
      </c>
      <c r="L294" s="1">
        <v>31200000</v>
      </c>
      <c r="M294" s="1">
        <v>31200000</v>
      </c>
      <c r="N294" t="s">
        <v>704</v>
      </c>
      <c r="O294" s="1">
        <f t="shared" si="9"/>
        <v>0</v>
      </c>
    </row>
    <row r="295" spans="1:16" x14ac:dyDescent="0.25">
      <c r="A295" t="s">
        <v>557</v>
      </c>
      <c r="B295" t="s">
        <v>13</v>
      </c>
      <c r="C295">
        <v>45903</v>
      </c>
      <c r="D295">
        <v>46022</v>
      </c>
      <c r="E295" t="s">
        <v>710</v>
      </c>
      <c r="F295" t="s">
        <v>14</v>
      </c>
      <c r="G295">
        <v>1085334279</v>
      </c>
      <c r="H295" t="s">
        <v>558</v>
      </c>
      <c r="I295">
        <v>98333941</v>
      </c>
      <c r="J295" t="s">
        <v>14</v>
      </c>
      <c r="K295" t="s">
        <v>15</v>
      </c>
      <c r="L295" s="1">
        <v>31200000</v>
      </c>
      <c r="M295" s="1">
        <v>31200000</v>
      </c>
      <c r="N295" t="s">
        <v>704</v>
      </c>
      <c r="O295" s="1">
        <f t="shared" si="9"/>
        <v>0</v>
      </c>
    </row>
    <row r="296" spans="1:16" x14ac:dyDescent="0.25">
      <c r="A296" t="s">
        <v>302</v>
      </c>
      <c r="B296" t="s">
        <v>13</v>
      </c>
      <c r="C296">
        <v>45902</v>
      </c>
      <c r="D296">
        <v>46022</v>
      </c>
      <c r="E296" t="s">
        <v>710</v>
      </c>
      <c r="F296" t="s">
        <v>14</v>
      </c>
      <c r="G296">
        <v>1006946167</v>
      </c>
      <c r="H296" t="s">
        <v>303</v>
      </c>
      <c r="I296">
        <v>59836926</v>
      </c>
      <c r="J296" t="s">
        <v>14</v>
      </c>
      <c r="K296" t="s">
        <v>17</v>
      </c>
      <c r="L296" s="1">
        <v>31200000</v>
      </c>
      <c r="M296" s="1">
        <v>31200000</v>
      </c>
      <c r="N296" t="s">
        <v>704</v>
      </c>
      <c r="O296" s="1">
        <f t="shared" si="9"/>
        <v>0</v>
      </c>
    </row>
    <row r="297" spans="1:16" x14ac:dyDescent="0.25">
      <c r="A297" t="s">
        <v>131</v>
      </c>
      <c r="B297" t="s">
        <v>13</v>
      </c>
      <c r="C297">
        <v>45901</v>
      </c>
      <c r="D297">
        <v>46022</v>
      </c>
      <c r="E297" t="s">
        <v>722</v>
      </c>
      <c r="F297" t="s">
        <v>14</v>
      </c>
      <c r="G297">
        <v>1085336362</v>
      </c>
      <c r="H297" t="s">
        <v>49</v>
      </c>
      <c r="I297">
        <v>98333941</v>
      </c>
      <c r="J297" t="s">
        <v>14</v>
      </c>
      <c r="K297" t="s">
        <v>15</v>
      </c>
      <c r="L297" s="1">
        <v>31200000</v>
      </c>
      <c r="M297" s="1">
        <v>31200000</v>
      </c>
      <c r="N297" t="s">
        <v>704</v>
      </c>
      <c r="O297" s="1">
        <f t="shared" si="9"/>
        <v>0</v>
      </c>
    </row>
    <row r="298" spans="1:16" x14ac:dyDescent="0.25">
      <c r="A298" t="s">
        <v>119</v>
      </c>
      <c r="B298" t="s">
        <v>13</v>
      </c>
      <c r="C298">
        <v>45901</v>
      </c>
      <c r="D298">
        <v>46022</v>
      </c>
      <c r="E298" t="s">
        <v>717</v>
      </c>
      <c r="F298" t="s">
        <v>14</v>
      </c>
      <c r="G298">
        <v>1193202097</v>
      </c>
      <c r="H298" t="s">
        <v>43</v>
      </c>
      <c r="I298">
        <v>43624414</v>
      </c>
      <c r="J298" t="s">
        <v>14</v>
      </c>
      <c r="K298" t="s">
        <v>18</v>
      </c>
      <c r="L298" s="1">
        <v>31200000</v>
      </c>
      <c r="M298" s="1">
        <v>31200000</v>
      </c>
      <c r="N298" t="s">
        <v>704</v>
      </c>
      <c r="O298" s="1">
        <f t="shared" si="9"/>
        <v>0</v>
      </c>
    </row>
    <row r="299" spans="1:16" x14ac:dyDescent="0.25">
      <c r="A299" t="s">
        <v>140</v>
      </c>
      <c r="B299" t="s">
        <v>13</v>
      </c>
      <c r="C299">
        <v>45940</v>
      </c>
      <c r="D299">
        <v>46022</v>
      </c>
      <c r="E299" t="s">
        <v>141</v>
      </c>
      <c r="F299" t="s">
        <v>83</v>
      </c>
      <c r="G299">
        <v>900752343</v>
      </c>
      <c r="H299" t="s">
        <v>107</v>
      </c>
      <c r="I299">
        <v>17658216</v>
      </c>
      <c r="J299" t="s">
        <v>14</v>
      </c>
      <c r="K299" t="s">
        <v>108</v>
      </c>
      <c r="L299" s="1">
        <v>283000000</v>
      </c>
      <c r="M299" s="1">
        <v>283000000</v>
      </c>
      <c r="N299" t="s">
        <v>704</v>
      </c>
      <c r="O299" s="1">
        <f t="shared" si="9"/>
        <v>0</v>
      </c>
    </row>
    <row r="300" spans="1:16" x14ac:dyDescent="0.25">
      <c r="A300" s="8" t="s">
        <v>555</v>
      </c>
      <c r="B300" s="8" t="s">
        <v>13</v>
      </c>
      <c r="C300" s="8">
        <v>45944</v>
      </c>
      <c r="D300" s="8">
        <v>46022</v>
      </c>
      <c r="E300" s="8" t="s">
        <v>715</v>
      </c>
      <c r="F300" s="8" t="s">
        <v>14</v>
      </c>
      <c r="G300" s="8">
        <v>87070742</v>
      </c>
      <c r="H300" s="8" t="s">
        <v>556</v>
      </c>
      <c r="I300" s="8">
        <v>98390119</v>
      </c>
      <c r="J300" s="8" t="s">
        <v>14</v>
      </c>
      <c r="K300" s="8" t="s">
        <v>63</v>
      </c>
      <c r="L300" s="9">
        <v>2000000</v>
      </c>
      <c r="M300" s="9">
        <v>6000000</v>
      </c>
      <c r="N300" s="8" t="s">
        <v>704</v>
      </c>
      <c r="O300" s="9">
        <f t="shared" si="9"/>
        <v>4000000</v>
      </c>
      <c r="P300" s="2" t="s">
        <v>828</v>
      </c>
    </row>
    <row r="301" spans="1:16" x14ac:dyDescent="0.25">
      <c r="A301" s="8" t="s">
        <v>292</v>
      </c>
      <c r="B301" s="8" t="s">
        <v>13</v>
      </c>
      <c r="C301" s="8">
        <v>45960</v>
      </c>
      <c r="D301" s="8">
        <v>46022</v>
      </c>
      <c r="E301" s="8" t="s">
        <v>720</v>
      </c>
      <c r="F301" s="8" t="s">
        <v>14</v>
      </c>
      <c r="G301" s="8">
        <v>1233191359</v>
      </c>
      <c r="H301" s="8" t="s">
        <v>293</v>
      </c>
      <c r="I301" s="8">
        <v>98390119</v>
      </c>
      <c r="J301" s="8" t="s">
        <v>14</v>
      </c>
      <c r="K301" s="8" t="s">
        <v>63</v>
      </c>
      <c r="L301" s="9">
        <v>3150000</v>
      </c>
      <c r="M301" s="9">
        <v>6300000</v>
      </c>
      <c r="N301" s="8" t="s">
        <v>704</v>
      </c>
      <c r="O301" s="9">
        <f t="shared" si="9"/>
        <v>3150000</v>
      </c>
      <c r="P301" s="2" t="s">
        <v>828</v>
      </c>
    </row>
    <row r="302" spans="1:16" x14ac:dyDescent="0.25">
      <c r="A302" s="8" t="s">
        <v>386</v>
      </c>
      <c r="B302" s="8" t="s">
        <v>13</v>
      </c>
      <c r="C302" s="8">
        <v>45950</v>
      </c>
      <c r="D302" s="8">
        <v>46015</v>
      </c>
      <c r="E302" s="8" t="s">
        <v>720</v>
      </c>
      <c r="F302" s="8" t="s">
        <v>14</v>
      </c>
      <c r="G302" s="8">
        <v>1193271854</v>
      </c>
      <c r="H302" s="8" t="s">
        <v>24</v>
      </c>
      <c r="I302" s="8">
        <v>98390119</v>
      </c>
      <c r="J302" s="8" t="s">
        <v>14</v>
      </c>
      <c r="K302" s="8" t="s">
        <v>63</v>
      </c>
      <c r="L302" s="9">
        <v>3150000</v>
      </c>
      <c r="M302" s="9">
        <v>6720000</v>
      </c>
      <c r="N302" s="8" t="s">
        <v>704</v>
      </c>
      <c r="O302" s="9">
        <f t="shared" si="9"/>
        <v>3570000</v>
      </c>
      <c r="P302" s="2" t="s">
        <v>828</v>
      </c>
    </row>
    <row r="303" spans="1:16" x14ac:dyDescent="0.25">
      <c r="A303" s="8" t="s">
        <v>647</v>
      </c>
      <c r="B303" s="8" t="s">
        <v>13</v>
      </c>
      <c r="C303" s="8">
        <v>45939</v>
      </c>
      <c r="D303" s="8">
        <v>46006</v>
      </c>
      <c r="E303" s="8" t="s">
        <v>819</v>
      </c>
      <c r="F303" s="8" t="s">
        <v>14</v>
      </c>
      <c r="G303" s="8">
        <v>1030606749</v>
      </c>
      <c r="H303" s="8" t="s">
        <v>86</v>
      </c>
      <c r="I303" s="8">
        <v>98390119</v>
      </c>
      <c r="J303" s="8" t="s">
        <v>14</v>
      </c>
      <c r="K303" s="8" t="s">
        <v>63</v>
      </c>
      <c r="L303" s="9">
        <v>4200000</v>
      </c>
      <c r="M303" s="9">
        <v>7875000</v>
      </c>
      <c r="N303" s="8" t="s">
        <v>704</v>
      </c>
      <c r="O303" s="9">
        <f t="shared" ref="O303:O311" si="10">M303-L303</f>
        <v>3675000</v>
      </c>
      <c r="P303" s="2" t="s">
        <v>828</v>
      </c>
    </row>
    <row r="304" spans="1:16" x14ac:dyDescent="0.25">
      <c r="A304" s="8" t="s">
        <v>367</v>
      </c>
      <c r="B304" s="8" t="s">
        <v>13</v>
      </c>
      <c r="C304" s="8">
        <v>45930</v>
      </c>
      <c r="D304" s="8">
        <v>46022</v>
      </c>
      <c r="E304" s="8" t="s">
        <v>765</v>
      </c>
      <c r="F304" s="8" t="s">
        <v>14</v>
      </c>
      <c r="G304" s="8">
        <v>1193035720</v>
      </c>
      <c r="H304" s="8" t="s">
        <v>368</v>
      </c>
      <c r="I304" s="8">
        <v>43624414</v>
      </c>
      <c r="J304" s="8" t="s">
        <v>14</v>
      </c>
      <c r="K304" s="8" t="s">
        <v>18</v>
      </c>
      <c r="L304" s="9">
        <v>6300000</v>
      </c>
      <c r="M304" s="9">
        <v>9450000</v>
      </c>
      <c r="N304" s="8" t="s">
        <v>704</v>
      </c>
      <c r="O304" s="9">
        <f t="shared" si="10"/>
        <v>3150000</v>
      </c>
      <c r="P304" s="2" t="s">
        <v>828</v>
      </c>
    </row>
    <row r="305" spans="1:17" x14ac:dyDescent="0.25">
      <c r="A305" s="8" t="s">
        <v>651</v>
      </c>
      <c r="B305" s="8" t="s">
        <v>13</v>
      </c>
      <c r="C305" s="8">
        <v>45930</v>
      </c>
      <c r="D305" s="8">
        <v>46022</v>
      </c>
      <c r="E305" s="8" t="s">
        <v>820</v>
      </c>
      <c r="F305" s="8" t="s">
        <v>14</v>
      </c>
      <c r="G305" s="8">
        <v>1081053820</v>
      </c>
      <c r="H305" s="8" t="s">
        <v>652</v>
      </c>
      <c r="I305" s="8">
        <v>98333941</v>
      </c>
      <c r="J305" s="8" t="s">
        <v>14</v>
      </c>
      <c r="K305" s="8" t="s">
        <v>15</v>
      </c>
      <c r="L305" s="9">
        <v>9450000</v>
      </c>
      <c r="M305" s="9">
        <v>11025000</v>
      </c>
      <c r="N305" s="8" t="s">
        <v>704</v>
      </c>
      <c r="O305" s="9">
        <f t="shared" si="10"/>
        <v>1575000</v>
      </c>
      <c r="P305" s="2" t="s">
        <v>828</v>
      </c>
    </row>
    <row r="306" spans="1:17" x14ac:dyDescent="0.25">
      <c r="A306" s="8" t="s">
        <v>330</v>
      </c>
      <c r="B306" s="8" t="s">
        <v>13</v>
      </c>
      <c r="C306" s="8">
        <v>45930</v>
      </c>
      <c r="D306" s="8">
        <v>46022</v>
      </c>
      <c r="E306" s="8" t="s">
        <v>761</v>
      </c>
      <c r="F306" s="8" t="s">
        <v>14</v>
      </c>
      <c r="G306" s="8">
        <v>1080041553</v>
      </c>
      <c r="H306" s="8" t="s">
        <v>331</v>
      </c>
      <c r="I306" s="8">
        <v>98390119</v>
      </c>
      <c r="J306" s="8" t="s">
        <v>14</v>
      </c>
      <c r="K306" s="8" t="s">
        <v>63</v>
      </c>
      <c r="L306" s="9">
        <v>9450000</v>
      </c>
      <c r="M306" s="9">
        <v>11025000</v>
      </c>
      <c r="N306" s="8" t="s">
        <v>704</v>
      </c>
      <c r="O306" s="9">
        <f t="shared" si="10"/>
        <v>1575000</v>
      </c>
      <c r="P306" s="2" t="s">
        <v>828</v>
      </c>
    </row>
    <row r="307" spans="1:17" x14ac:dyDescent="0.25">
      <c r="A307" s="8" t="s">
        <v>470</v>
      </c>
      <c r="B307" s="8" t="s">
        <v>13</v>
      </c>
      <c r="C307" s="8">
        <v>45924</v>
      </c>
      <c r="D307" s="8">
        <v>46022</v>
      </c>
      <c r="E307" s="8" t="s">
        <v>788</v>
      </c>
      <c r="F307" s="8" t="s">
        <v>14</v>
      </c>
      <c r="G307" s="8">
        <v>1004508406</v>
      </c>
      <c r="H307" s="8" t="s">
        <v>471</v>
      </c>
      <c r="I307" s="8">
        <v>43624414</v>
      </c>
      <c r="J307" s="8" t="s">
        <v>14</v>
      </c>
      <c r="K307" s="8" t="s">
        <v>18</v>
      </c>
      <c r="L307" s="9">
        <v>7875000</v>
      </c>
      <c r="M307" s="9">
        <v>11025000</v>
      </c>
      <c r="N307" s="8" t="s">
        <v>704</v>
      </c>
      <c r="O307" s="9">
        <f t="shared" si="10"/>
        <v>3150000</v>
      </c>
      <c r="P307" s="2" t="s">
        <v>828</v>
      </c>
    </row>
    <row r="308" spans="1:17" x14ac:dyDescent="0.25">
      <c r="A308" s="8" t="s">
        <v>545</v>
      </c>
      <c r="B308" s="8" t="s">
        <v>13</v>
      </c>
      <c r="C308" s="8">
        <v>45922</v>
      </c>
      <c r="D308" s="8">
        <v>46022</v>
      </c>
      <c r="E308" s="8" t="s">
        <v>799</v>
      </c>
      <c r="F308" s="8" t="s">
        <v>14</v>
      </c>
      <c r="G308" s="8">
        <v>1004709928</v>
      </c>
      <c r="H308" s="8" t="s">
        <v>546</v>
      </c>
      <c r="I308" s="8">
        <v>98333941</v>
      </c>
      <c r="J308" s="8" t="s">
        <v>14</v>
      </c>
      <c r="K308" s="8" t="s">
        <v>15</v>
      </c>
      <c r="L308" s="9">
        <v>7875000</v>
      </c>
      <c r="M308" s="9">
        <v>11025000</v>
      </c>
      <c r="N308" s="8" t="s">
        <v>704</v>
      </c>
      <c r="O308" s="9">
        <f t="shared" si="10"/>
        <v>3150000</v>
      </c>
      <c r="P308" s="2" t="s">
        <v>828</v>
      </c>
    </row>
    <row r="309" spans="1:17" x14ac:dyDescent="0.25">
      <c r="A309" s="8" t="s">
        <v>234</v>
      </c>
      <c r="B309" s="8" t="s">
        <v>13</v>
      </c>
      <c r="C309" s="8">
        <v>45918</v>
      </c>
      <c r="D309" s="8">
        <v>46022</v>
      </c>
      <c r="E309" s="8" t="s">
        <v>711</v>
      </c>
      <c r="F309" s="8" t="s">
        <v>14</v>
      </c>
      <c r="G309" s="8">
        <v>27087122</v>
      </c>
      <c r="H309" s="8" t="s">
        <v>69</v>
      </c>
      <c r="I309" s="8">
        <v>43624414</v>
      </c>
      <c r="J309" s="8" t="s">
        <v>14</v>
      </c>
      <c r="K309" s="8" t="s">
        <v>18</v>
      </c>
      <c r="L309" s="9">
        <v>9450000</v>
      </c>
      <c r="M309" s="9">
        <v>11025000</v>
      </c>
      <c r="N309" s="8" t="s">
        <v>704</v>
      </c>
      <c r="O309" s="9">
        <f t="shared" si="10"/>
        <v>1575000</v>
      </c>
      <c r="P309" s="2" t="s">
        <v>828</v>
      </c>
    </row>
    <row r="310" spans="1:17" x14ac:dyDescent="0.25">
      <c r="A310" s="8" t="s">
        <v>150</v>
      </c>
      <c r="B310" s="8" t="s">
        <v>13</v>
      </c>
      <c r="C310" s="8">
        <v>45915</v>
      </c>
      <c r="D310" s="8">
        <v>46022</v>
      </c>
      <c r="E310" s="8" t="s">
        <v>711</v>
      </c>
      <c r="F310" s="8" t="s">
        <v>14</v>
      </c>
      <c r="G310" s="8">
        <v>1087645341</v>
      </c>
      <c r="H310" s="8" t="s">
        <v>151</v>
      </c>
      <c r="I310" s="8">
        <v>98333941</v>
      </c>
      <c r="J310" s="8" t="s">
        <v>14</v>
      </c>
      <c r="K310" s="8" t="s">
        <v>15</v>
      </c>
      <c r="L310" s="9">
        <v>4725000</v>
      </c>
      <c r="M310" s="9">
        <v>12600000</v>
      </c>
      <c r="N310" s="8" t="s">
        <v>704</v>
      </c>
      <c r="O310" s="9">
        <f t="shared" si="10"/>
        <v>7875000</v>
      </c>
      <c r="P310" s="2" t="s">
        <v>828</v>
      </c>
    </row>
    <row r="311" spans="1:17" x14ac:dyDescent="0.25">
      <c r="A311" s="8" t="s">
        <v>226</v>
      </c>
      <c r="B311" s="8" t="s">
        <v>13</v>
      </c>
      <c r="C311" s="8">
        <v>45912</v>
      </c>
      <c r="D311" s="8">
        <v>46022</v>
      </c>
      <c r="E311" s="8" t="s">
        <v>711</v>
      </c>
      <c r="F311" s="8" t="s">
        <v>14</v>
      </c>
      <c r="G311" s="8">
        <v>27549931</v>
      </c>
      <c r="H311" s="8" t="s">
        <v>227</v>
      </c>
      <c r="I311" s="8">
        <v>98333941</v>
      </c>
      <c r="J311" s="8" t="s">
        <v>14</v>
      </c>
      <c r="K311" s="8" t="s">
        <v>15</v>
      </c>
      <c r="L311" s="9">
        <v>4725000</v>
      </c>
      <c r="M311" s="9">
        <v>12600000</v>
      </c>
      <c r="N311" s="8" t="s">
        <v>704</v>
      </c>
      <c r="O311" s="9">
        <f t="shared" si="10"/>
        <v>7875000</v>
      </c>
      <c r="P311" s="2" t="s">
        <v>828</v>
      </c>
    </row>
    <row r="312" spans="1:17" x14ac:dyDescent="0.25">
      <c r="A312" t="s">
        <v>1017</v>
      </c>
      <c r="B312" t="s">
        <v>13</v>
      </c>
      <c r="C312">
        <v>46024</v>
      </c>
      <c r="D312">
        <v>46112</v>
      </c>
      <c r="E312" t="s">
        <v>775</v>
      </c>
      <c r="F312" t="s">
        <v>14</v>
      </c>
      <c r="G312">
        <v>1085325325</v>
      </c>
      <c r="H312" t="s">
        <v>610</v>
      </c>
      <c r="I312">
        <v>43624414</v>
      </c>
      <c r="J312" t="s">
        <v>14</v>
      </c>
      <c r="K312" t="s">
        <v>18</v>
      </c>
      <c r="M312" s="10">
        <v>9450000</v>
      </c>
      <c r="N312" t="s">
        <v>704</v>
      </c>
      <c r="Q312" s="11" t="s">
        <v>1036</v>
      </c>
    </row>
    <row r="313" spans="1:17" x14ac:dyDescent="0.25">
      <c r="A313" s="8" t="s">
        <v>296</v>
      </c>
      <c r="B313" s="8" t="s">
        <v>13</v>
      </c>
      <c r="C313" s="8">
        <v>45910</v>
      </c>
      <c r="D313" s="8">
        <v>46022</v>
      </c>
      <c r="E313" s="8" t="s">
        <v>711</v>
      </c>
      <c r="F313" s="8" t="s">
        <v>14</v>
      </c>
      <c r="G313" s="8">
        <v>27276869</v>
      </c>
      <c r="H313" s="8" t="s">
        <v>297</v>
      </c>
      <c r="I313" s="8">
        <v>98333941</v>
      </c>
      <c r="J313" s="8" t="s">
        <v>14</v>
      </c>
      <c r="K313" s="8" t="s">
        <v>15</v>
      </c>
      <c r="L313" s="9">
        <v>9450000</v>
      </c>
      <c r="M313" s="9">
        <v>12600000</v>
      </c>
      <c r="N313" s="8" t="s">
        <v>704</v>
      </c>
      <c r="O313" s="9">
        <f t="shared" ref="O313:O331" si="11">M313-L313</f>
        <v>3150000</v>
      </c>
      <c r="P313" s="2" t="s">
        <v>828</v>
      </c>
    </row>
    <row r="314" spans="1:17" x14ac:dyDescent="0.25">
      <c r="A314" s="8" t="s">
        <v>136</v>
      </c>
      <c r="B314" s="8" t="s">
        <v>13</v>
      </c>
      <c r="C314" s="8">
        <v>45910</v>
      </c>
      <c r="D314" s="8">
        <v>46022</v>
      </c>
      <c r="E314" s="8" t="s">
        <v>711</v>
      </c>
      <c r="F314" s="8" t="s">
        <v>14</v>
      </c>
      <c r="G314" s="8">
        <v>1086016304</v>
      </c>
      <c r="H314" s="8" t="s">
        <v>137</v>
      </c>
      <c r="I314" s="8">
        <v>98333941</v>
      </c>
      <c r="J314" s="8" t="s">
        <v>14</v>
      </c>
      <c r="K314" s="8" t="s">
        <v>15</v>
      </c>
      <c r="L314" s="9">
        <v>3150000</v>
      </c>
      <c r="M314" s="9">
        <v>12600000</v>
      </c>
      <c r="N314" s="8" t="s">
        <v>704</v>
      </c>
      <c r="O314" s="9">
        <f t="shared" si="11"/>
        <v>9450000</v>
      </c>
      <c r="P314" s="2" t="s">
        <v>828</v>
      </c>
    </row>
    <row r="315" spans="1:17" x14ac:dyDescent="0.25">
      <c r="A315" s="8" t="s">
        <v>541</v>
      </c>
      <c r="B315" s="8" t="s">
        <v>13</v>
      </c>
      <c r="C315" s="8">
        <v>45909</v>
      </c>
      <c r="D315" s="8">
        <v>46022</v>
      </c>
      <c r="E315" s="8" t="s">
        <v>711</v>
      </c>
      <c r="F315" s="8" t="s">
        <v>14</v>
      </c>
      <c r="G315" s="8">
        <v>36953590</v>
      </c>
      <c r="H315" s="8" t="s">
        <v>542</v>
      </c>
      <c r="I315" s="8">
        <v>98333941</v>
      </c>
      <c r="J315" s="8" t="s">
        <v>14</v>
      </c>
      <c r="K315" s="8" t="s">
        <v>15</v>
      </c>
      <c r="L315" s="9">
        <v>4200000</v>
      </c>
      <c r="M315" s="9">
        <v>12600000</v>
      </c>
      <c r="N315" s="8" t="s">
        <v>704</v>
      </c>
      <c r="O315" s="9">
        <f t="shared" si="11"/>
        <v>8400000</v>
      </c>
      <c r="P315" s="2" t="s">
        <v>828</v>
      </c>
    </row>
    <row r="316" spans="1:17" x14ac:dyDescent="0.25">
      <c r="A316" s="8" t="s">
        <v>387</v>
      </c>
      <c r="B316" s="8" t="s">
        <v>13</v>
      </c>
      <c r="C316" s="8">
        <v>45905</v>
      </c>
      <c r="D316" s="8">
        <v>46022</v>
      </c>
      <c r="E316" s="8" t="s">
        <v>768</v>
      </c>
      <c r="F316" s="8" t="s">
        <v>14</v>
      </c>
      <c r="G316" s="8">
        <v>98382500</v>
      </c>
      <c r="H316" s="8" t="s">
        <v>45</v>
      </c>
      <c r="I316" s="8">
        <v>43624414</v>
      </c>
      <c r="J316" s="8" t="s">
        <v>14</v>
      </c>
      <c r="K316" s="8" t="s">
        <v>18</v>
      </c>
      <c r="L316" s="9">
        <v>9450000</v>
      </c>
      <c r="M316" s="9">
        <v>12600000</v>
      </c>
      <c r="N316" s="8" t="s">
        <v>704</v>
      </c>
      <c r="O316" s="9">
        <f t="shared" si="11"/>
        <v>3150000</v>
      </c>
      <c r="P316" s="2" t="s">
        <v>828</v>
      </c>
    </row>
    <row r="317" spans="1:17" x14ac:dyDescent="0.25">
      <c r="A317" s="8" t="s">
        <v>488</v>
      </c>
      <c r="B317" s="8" t="s">
        <v>13</v>
      </c>
      <c r="C317" s="8">
        <v>45929</v>
      </c>
      <c r="D317" s="8">
        <v>46022</v>
      </c>
      <c r="E317" s="8" t="s">
        <v>791</v>
      </c>
      <c r="F317" s="8" t="s">
        <v>14</v>
      </c>
      <c r="G317" s="8">
        <v>12754447</v>
      </c>
      <c r="H317" s="8" t="s">
        <v>489</v>
      </c>
      <c r="I317" s="8">
        <v>59836926</v>
      </c>
      <c r="J317" s="8" t="s">
        <v>14</v>
      </c>
      <c r="K317" s="8" t="s">
        <v>17</v>
      </c>
      <c r="L317" s="9">
        <v>4730000</v>
      </c>
      <c r="M317" s="9">
        <v>14190000</v>
      </c>
      <c r="N317" s="8" t="s">
        <v>704</v>
      </c>
      <c r="O317" s="9">
        <f t="shared" si="11"/>
        <v>9460000</v>
      </c>
      <c r="P317" s="2" t="s">
        <v>828</v>
      </c>
    </row>
    <row r="318" spans="1:17" x14ac:dyDescent="0.25">
      <c r="A318" s="8" t="s">
        <v>566</v>
      </c>
      <c r="B318" s="8" t="s">
        <v>13</v>
      </c>
      <c r="C318" s="8">
        <v>45910</v>
      </c>
      <c r="D318" s="8">
        <v>46022</v>
      </c>
      <c r="E318" s="8" t="s">
        <v>706</v>
      </c>
      <c r="F318" s="8" t="s">
        <v>14</v>
      </c>
      <c r="G318" s="8">
        <v>1088730615</v>
      </c>
      <c r="H318" s="8" t="s">
        <v>567</v>
      </c>
      <c r="I318" s="8">
        <v>59836926</v>
      </c>
      <c r="J318" s="8" t="s">
        <v>14</v>
      </c>
      <c r="K318" s="8" t="s">
        <v>17</v>
      </c>
      <c r="L318" s="9">
        <v>4730000</v>
      </c>
      <c r="M318" s="9">
        <v>18920000</v>
      </c>
      <c r="N318" s="8" t="s">
        <v>704</v>
      </c>
      <c r="O318" s="9">
        <f t="shared" si="11"/>
        <v>14190000</v>
      </c>
      <c r="P318" s="2" t="s">
        <v>828</v>
      </c>
    </row>
    <row r="319" spans="1:17" x14ac:dyDescent="0.25">
      <c r="A319" s="8" t="s">
        <v>594</v>
      </c>
      <c r="B319" s="8" t="s">
        <v>13</v>
      </c>
      <c r="C319" s="8">
        <v>45910</v>
      </c>
      <c r="D319" s="8">
        <v>46022</v>
      </c>
      <c r="E319" s="8" t="s">
        <v>706</v>
      </c>
      <c r="F319" s="8" t="s">
        <v>14</v>
      </c>
      <c r="G319" s="8">
        <v>1085333467</v>
      </c>
      <c r="H319" s="8" t="s">
        <v>595</v>
      </c>
      <c r="I319" s="8">
        <v>98333941</v>
      </c>
      <c r="J319" s="8" t="s">
        <v>14</v>
      </c>
      <c r="K319" s="8" t="s">
        <v>15</v>
      </c>
      <c r="L319" s="9">
        <v>4572333</v>
      </c>
      <c r="M319" s="9">
        <v>18920000</v>
      </c>
      <c r="N319" s="8" t="s">
        <v>704</v>
      </c>
      <c r="O319" s="9">
        <f t="shared" si="11"/>
        <v>14347667</v>
      </c>
      <c r="P319" s="2" t="s">
        <v>828</v>
      </c>
    </row>
    <row r="320" spans="1:17" x14ac:dyDescent="0.25">
      <c r="A320" s="8" t="s">
        <v>206</v>
      </c>
      <c r="B320" s="8" t="s">
        <v>13</v>
      </c>
      <c r="C320" s="8">
        <v>45905</v>
      </c>
      <c r="D320" s="8">
        <v>46022</v>
      </c>
      <c r="E320" s="8" t="s">
        <v>739</v>
      </c>
      <c r="F320" s="8" t="s">
        <v>14</v>
      </c>
      <c r="G320" s="8">
        <v>36953206</v>
      </c>
      <c r="H320" s="8" t="s">
        <v>46</v>
      </c>
      <c r="I320" s="8">
        <v>43624414</v>
      </c>
      <c r="J320" s="8" t="s">
        <v>14</v>
      </c>
      <c r="K320" s="8" t="s">
        <v>18</v>
      </c>
      <c r="L320" s="9">
        <v>4730000</v>
      </c>
      <c r="M320" s="9">
        <v>18920000</v>
      </c>
      <c r="N320" s="8" t="s">
        <v>704</v>
      </c>
      <c r="O320" s="9">
        <f t="shared" si="11"/>
        <v>14190000</v>
      </c>
      <c r="P320" s="2" t="s">
        <v>828</v>
      </c>
    </row>
    <row r="321" spans="1:17" x14ac:dyDescent="0.25">
      <c r="A321" s="8" t="s">
        <v>533</v>
      </c>
      <c r="B321" s="8" t="s">
        <v>13</v>
      </c>
      <c r="C321" s="8">
        <v>45903</v>
      </c>
      <c r="D321" s="8">
        <v>46022</v>
      </c>
      <c r="E321" s="8" t="s">
        <v>796</v>
      </c>
      <c r="F321" s="8" t="s">
        <v>14</v>
      </c>
      <c r="G321" s="8">
        <v>59312865</v>
      </c>
      <c r="H321" s="8" t="s">
        <v>534</v>
      </c>
      <c r="I321" s="8">
        <v>43624414</v>
      </c>
      <c r="J321" s="8" t="s">
        <v>14</v>
      </c>
      <c r="K321" s="8" t="s">
        <v>18</v>
      </c>
      <c r="L321" s="9">
        <v>16239333</v>
      </c>
      <c r="M321" s="9">
        <v>18920000</v>
      </c>
      <c r="N321" s="8" t="s">
        <v>704</v>
      </c>
      <c r="O321" s="9">
        <f t="shared" si="11"/>
        <v>2680667</v>
      </c>
      <c r="P321" s="2" t="s">
        <v>828</v>
      </c>
    </row>
    <row r="322" spans="1:17" x14ac:dyDescent="0.25">
      <c r="A322" s="8" t="s">
        <v>187</v>
      </c>
      <c r="B322" s="8" t="s">
        <v>13</v>
      </c>
      <c r="C322" s="8">
        <v>45926</v>
      </c>
      <c r="D322" s="8">
        <v>46022</v>
      </c>
      <c r="E322" s="8" t="s">
        <v>735</v>
      </c>
      <c r="F322" s="8" t="s">
        <v>14</v>
      </c>
      <c r="G322" s="8">
        <v>27097745</v>
      </c>
      <c r="H322" s="8" t="s">
        <v>70</v>
      </c>
      <c r="I322" s="8">
        <v>98390119</v>
      </c>
      <c r="J322" s="8" t="s">
        <v>14</v>
      </c>
      <c r="K322" s="8" t="s">
        <v>63</v>
      </c>
      <c r="L322" s="9">
        <v>9450000</v>
      </c>
      <c r="M322" s="9">
        <v>22050000</v>
      </c>
      <c r="N322" s="8" t="s">
        <v>704</v>
      </c>
      <c r="O322" s="9">
        <f t="shared" si="11"/>
        <v>12600000</v>
      </c>
      <c r="P322" s="2" t="s">
        <v>828</v>
      </c>
    </row>
    <row r="323" spans="1:17" x14ac:dyDescent="0.25">
      <c r="A323" s="8" t="s">
        <v>253</v>
      </c>
      <c r="B323" s="8" t="s">
        <v>13</v>
      </c>
      <c r="C323" s="8">
        <v>45923</v>
      </c>
      <c r="D323" s="8">
        <v>46022</v>
      </c>
      <c r="E323" s="8" t="s">
        <v>750</v>
      </c>
      <c r="F323" s="8" t="s">
        <v>14</v>
      </c>
      <c r="G323" s="8">
        <v>36952916</v>
      </c>
      <c r="H323" s="8" t="s">
        <v>254</v>
      </c>
      <c r="I323" s="8">
        <v>59836926</v>
      </c>
      <c r="J323" s="8" t="s">
        <v>14</v>
      </c>
      <c r="K323" s="8" t="s">
        <v>17</v>
      </c>
      <c r="L323" s="9">
        <v>7350000</v>
      </c>
      <c r="M323" s="9">
        <v>22050000</v>
      </c>
      <c r="N323" s="8" t="s">
        <v>704</v>
      </c>
      <c r="O323" s="9">
        <f t="shared" si="11"/>
        <v>14700000</v>
      </c>
      <c r="P323" s="2" t="s">
        <v>828</v>
      </c>
    </row>
    <row r="324" spans="1:17" x14ac:dyDescent="0.25">
      <c r="A324" s="8" t="s">
        <v>601</v>
      </c>
      <c r="B324" s="8" t="s">
        <v>13</v>
      </c>
      <c r="C324" s="8">
        <v>45931</v>
      </c>
      <c r="D324" s="8">
        <v>46022</v>
      </c>
      <c r="E324" s="8" t="s">
        <v>808</v>
      </c>
      <c r="F324" s="8" t="s">
        <v>14</v>
      </c>
      <c r="G324" s="8">
        <v>1085298800</v>
      </c>
      <c r="H324" s="8" t="s">
        <v>602</v>
      </c>
      <c r="I324" s="8">
        <v>98390119</v>
      </c>
      <c r="J324" s="8" t="s">
        <v>14</v>
      </c>
      <c r="K324" s="8" t="s">
        <v>63</v>
      </c>
      <c r="L324" s="9">
        <v>15600000</v>
      </c>
      <c r="M324" s="9">
        <v>23400000</v>
      </c>
      <c r="N324" s="8" t="s">
        <v>704</v>
      </c>
      <c r="O324" s="9">
        <f t="shared" si="11"/>
        <v>7800000</v>
      </c>
      <c r="P324" s="2" t="s">
        <v>828</v>
      </c>
    </row>
    <row r="325" spans="1:17" x14ac:dyDescent="0.25">
      <c r="A325" s="8" t="s">
        <v>503</v>
      </c>
      <c r="B325" s="8" t="s">
        <v>13</v>
      </c>
      <c r="C325" s="8">
        <v>45911</v>
      </c>
      <c r="D325" s="8">
        <v>46022</v>
      </c>
      <c r="E325" s="8" t="s">
        <v>719</v>
      </c>
      <c r="F325" s="8" t="s">
        <v>14</v>
      </c>
      <c r="G325" s="8">
        <v>1084224761</v>
      </c>
      <c r="H325" s="8" t="s">
        <v>504</v>
      </c>
      <c r="I325" s="8">
        <v>98333941</v>
      </c>
      <c r="J325" s="8" t="s">
        <v>14</v>
      </c>
      <c r="K325" s="8" t="s">
        <v>15</v>
      </c>
      <c r="L325" s="9">
        <v>22050000</v>
      </c>
      <c r="M325" s="9">
        <v>25200000</v>
      </c>
      <c r="N325" s="8" t="s">
        <v>704</v>
      </c>
      <c r="O325" s="9">
        <f t="shared" si="11"/>
        <v>3150000</v>
      </c>
      <c r="P325" s="2" t="s">
        <v>828</v>
      </c>
    </row>
    <row r="326" spans="1:17" x14ac:dyDescent="0.25">
      <c r="A326" s="8" t="s">
        <v>603</v>
      </c>
      <c r="B326" s="8" t="s">
        <v>13</v>
      </c>
      <c r="C326" s="8">
        <v>45911</v>
      </c>
      <c r="D326" s="8">
        <v>46022</v>
      </c>
      <c r="E326" s="8" t="s">
        <v>719</v>
      </c>
      <c r="F326" s="8" t="s">
        <v>14</v>
      </c>
      <c r="G326" s="8">
        <v>27090399</v>
      </c>
      <c r="H326" s="8" t="s">
        <v>604</v>
      </c>
      <c r="I326" s="8">
        <v>98333941</v>
      </c>
      <c r="J326" s="8" t="s">
        <v>14</v>
      </c>
      <c r="K326" s="8" t="s">
        <v>15</v>
      </c>
      <c r="L326" s="9">
        <v>12600000</v>
      </c>
      <c r="M326" s="9">
        <v>25200000</v>
      </c>
      <c r="N326" s="8" t="s">
        <v>704</v>
      </c>
      <c r="O326" s="9">
        <f t="shared" si="11"/>
        <v>12600000</v>
      </c>
      <c r="P326" s="2" t="s">
        <v>828</v>
      </c>
    </row>
    <row r="327" spans="1:17" x14ac:dyDescent="0.25">
      <c r="A327" s="8" t="s">
        <v>343</v>
      </c>
      <c r="B327" s="8" t="s">
        <v>13</v>
      </c>
      <c r="C327" s="8">
        <v>45909</v>
      </c>
      <c r="D327" s="8">
        <v>46022</v>
      </c>
      <c r="E327" s="8" t="s">
        <v>719</v>
      </c>
      <c r="F327" s="8" t="s">
        <v>14</v>
      </c>
      <c r="G327" s="8">
        <v>1014212900</v>
      </c>
      <c r="H327" s="8" t="s">
        <v>344</v>
      </c>
      <c r="I327" s="8">
        <v>98390119</v>
      </c>
      <c r="J327" s="8" t="s">
        <v>14</v>
      </c>
      <c r="K327" s="8" t="s">
        <v>63</v>
      </c>
      <c r="L327" s="9">
        <v>18900000</v>
      </c>
      <c r="M327" s="9">
        <v>25200000</v>
      </c>
      <c r="N327" s="8" t="s">
        <v>704</v>
      </c>
      <c r="O327" s="9">
        <f t="shared" si="11"/>
        <v>6300000</v>
      </c>
      <c r="P327" s="2" t="s">
        <v>828</v>
      </c>
    </row>
    <row r="328" spans="1:17" x14ac:dyDescent="0.25">
      <c r="A328" s="8" t="s">
        <v>334</v>
      </c>
      <c r="B328" s="8" t="s">
        <v>13</v>
      </c>
      <c r="C328" s="8">
        <v>45908</v>
      </c>
      <c r="D328" s="8">
        <v>46022</v>
      </c>
      <c r="E328" s="8" t="s">
        <v>735</v>
      </c>
      <c r="F328" s="8" t="s">
        <v>14</v>
      </c>
      <c r="G328" s="8">
        <v>37086513</v>
      </c>
      <c r="H328" s="8" t="s">
        <v>335</v>
      </c>
      <c r="I328" s="8">
        <v>98333941</v>
      </c>
      <c r="J328" s="8" t="s">
        <v>14</v>
      </c>
      <c r="K328" s="8" t="s">
        <v>15</v>
      </c>
      <c r="L328" s="9">
        <v>6300000</v>
      </c>
      <c r="M328" s="9">
        <v>25200000</v>
      </c>
      <c r="N328" s="8" t="s">
        <v>704</v>
      </c>
      <c r="O328" s="9">
        <f t="shared" si="11"/>
        <v>18900000</v>
      </c>
      <c r="P328" s="2" t="s">
        <v>828</v>
      </c>
    </row>
    <row r="329" spans="1:17" x14ac:dyDescent="0.25">
      <c r="A329" s="8" t="s">
        <v>493</v>
      </c>
      <c r="B329" s="8" t="s">
        <v>13</v>
      </c>
      <c r="C329" s="8">
        <v>45908</v>
      </c>
      <c r="D329" s="8">
        <v>46022</v>
      </c>
      <c r="E329" s="8" t="s">
        <v>792</v>
      </c>
      <c r="F329" s="8" t="s">
        <v>14</v>
      </c>
      <c r="G329" s="8">
        <v>1085284997</v>
      </c>
      <c r="H329" s="8" t="s">
        <v>494</v>
      </c>
      <c r="I329" s="8">
        <v>98333941</v>
      </c>
      <c r="J329" s="8" t="s">
        <v>14</v>
      </c>
      <c r="K329" s="8" t="s">
        <v>15</v>
      </c>
      <c r="L329" s="9">
        <v>18900000</v>
      </c>
      <c r="M329" s="9">
        <v>25200000</v>
      </c>
      <c r="N329" s="8" t="s">
        <v>704</v>
      </c>
      <c r="O329" s="9">
        <f t="shared" si="11"/>
        <v>6300000</v>
      </c>
      <c r="P329" s="2" t="s">
        <v>828</v>
      </c>
    </row>
    <row r="330" spans="1:17" x14ac:dyDescent="0.25">
      <c r="A330" s="8" t="s">
        <v>481</v>
      </c>
      <c r="B330" s="8" t="s">
        <v>13</v>
      </c>
      <c r="C330" s="8">
        <v>45904</v>
      </c>
      <c r="D330" s="8">
        <v>46022</v>
      </c>
      <c r="E330" s="8" t="s">
        <v>777</v>
      </c>
      <c r="F330" s="8" t="s">
        <v>14</v>
      </c>
      <c r="G330" s="8">
        <v>36757221</v>
      </c>
      <c r="H330" s="8" t="s">
        <v>482</v>
      </c>
      <c r="I330" s="8">
        <v>43624414</v>
      </c>
      <c r="J330" s="8" t="s">
        <v>14</v>
      </c>
      <c r="K330" s="8" t="s">
        <v>18</v>
      </c>
      <c r="L330" s="9">
        <v>21140000</v>
      </c>
      <c r="M330" s="9">
        <v>25200000</v>
      </c>
      <c r="N330" s="8" t="s">
        <v>704</v>
      </c>
      <c r="O330" s="9">
        <f t="shared" si="11"/>
        <v>4060000</v>
      </c>
      <c r="P330" s="2" t="s">
        <v>828</v>
      </c>
    </row>
    <row r="331" spans="1:17" x14ac:dyDescent="0.25">
      <c r="A331" s="8" t="s">
        <v>415</v>
      </c>
      <c r="B331" s="8" t="s">
        <v>13</v>
      </c>
      <c r="C331" s="8">
        <v>45911</v>
      </c>
      <c r="D331" s="8">
        <v>46022</v>
      </c>
      <c r="E331" s="8" t="s">
        <v>710</v>
      </c>
      <c r="F331" s="8" t="s">
        <v>14</v>
      </c>
      <c r="G331" s="8">
        <v>1085246871</v>
      </c>
      <c r="H331" s="8" t="s">
        <v>416</v>
      </c>
      <c r="I331" s="8">
        <v>98333941</v>
      </c>
      <c r="J331" s="8" t="s">
        <v>14</v>
      </c>
      <c r="K331" s="8" t="s">
        <v>15</v>
      </c>
      <c r="L331" s="9">
        <v>7800000</v>
      </c>
      <c r="M331" s="9">
        <v>31200000</v>
      </c>
      <c r="N331" s="8" t="s">
        <v>704</v>
      </c>
      <c r="O331" s="9">
        <f t="shared" si="11"/>
        <v>23400000</v>
      </c>
      <c r="P331" s="2" t="s">
        <v>828</v>
      </c>
    </row>
    <row r="332" spans="1:17" x14ac:dyDescent="0.25">
      <c r="A332" t="s">
        <v>995</v>
      </c>
      <c r="B332" t="s">
        <v>13</v>
      </c>
      <c r="C332">
        <v>46024</v>
      </c>
      <c r="D332">
        <v>46112</v>
      </c>
      <c r="E332" t="s">
        <v>775</v>
      </c>
      <c r="F332" t="s">
        <v>14</v>
      </c>
      <c r="G332">
        <v>1085275879</v>
      </c>
      <c r="H332" t="s">
        <v>59</v>
      </c>
      <c r="I332">
        <v>98390119</v>
      </c>
      <c r="J332" t="s">
        <v>14</v>
      </c>
      <c r="K332" t="s">
        <v>63</v>
      </c>
      <c r="M332" s="10">
        <v>18900000</v>
      </c>
      <c r="N332" t="s">
        <v>704</v>
      </c>
      <c r="Q332" s="11" t="s">
        <v>1036</v>
      </c>
    </row>
    <row r="333" spans="1:17" x14ac:dyDescent="0.25">
      <c r="A333" t="s">
        <v>1044</v>
      </c>
      <c r="B333" t="s">
        <v>13</v>
      </c>
      <c r="C333">
        <v>46024</v>
      </c>
      <c r="D333">
        <v>46112</v>
      </c>
      <c r="E333" t="s">
        <v>775</v>
      </c>
      <c r="F333" t="s">
        <v>14</v>
      </c>
      <c r="G333">
        <v>1081594639</v>
      </c>
      <c r="H333" t="s">
        <v>887</v>
      </c>
      <c r="I333">
        <v>43624414</v>
      </c>
      <c r="J333" t="s">
        <v>14</v>
      </c>
      <c r="K333" t="s">
        <v>18</v>
      </c>
      <c r="M333" s="10">
        <v>9450000</v>
      </c>
      <c r="N333" t="s">
        <v>704</v>
      </c>
      <c r="Q333" s="11" t="s">
        <v>1036</v>
      </c>
    </row>
    <row r="334" spans="1:17" x14ac:dyDescent="0.25">
      <c r="A334" t="s">
        <v>1018</v>
      </c>
      <c r="B334" t="s">
        <v>13</v>
      </c>
      <c r="C334">
        <v>46024</v>
      </c>
      <c r="D334">
        <v>46112</v>
      </c>
      <c r="E334" t="s">
        <v>775</v>
      </c>
      <c r="F334" t="s">
        <v>14</v>
      </c>
      <c r="G334">
        <v>1086328142</v>
      </c>
      <c r="H334" t="s">
        <v>85</v>
      </c>
      <c r="I334">
        <v>43624414</v>
      </c>
      <c r="J334" t="s">
        <v>14</v>
      </c>
      <c r="K334" t="s">
        <v>18</v>
      </c>
      <c r="M334" s="10">
        <v>9450000</v>
      </c>
      <c r="N334" t="s">
        <v>704</v>
      </c>
      <c r="Q334" s="11" t="s">
        <v>1036</v>
      </c>
    </row>
    <row r="335" spans="1:17" x14ac:dyDescent="0.25">
      <c r="A335" t="s">
        <v>1019</v>
      </c>
      <c r="B335" t="s">
        <v>13</v>
      </c>
      <c r="C335">
        <v>46024</v>
      </c>
      <c r="D335">
        <v>46112</v>
      </c>
      <c r="E335" t="s">
        <v>775</v>
      </c>
      <c r="F335" t="s">
        <v>14</v>
      </c>
      <c r="G335">
        <v>37084285</v>
      </c>
      <c r="H335" t="s">
        <v>29</v>
      </c>
      <c r="I335">
        <v>98333941</v>
      </c>
      <c r="J335" t="s">
        <v>14</v>
      </c>
      <c r="K335" t="s">
        <v>15</v>
      </c>
      <c r="M335" s="10">
        <v>9450000</v>
      </c>
      <c r="N335" t="s">
        <v>704</v>
      </c>
      <c r="Q335" s="11" t="s">
        <v>1036</v>
      </c>
    </row>
    <row r="336" spans="1:17" x14ac:dyDescent="0.25">
      <c r="A336" s="8" t="s">
        <v>665</v>
      </c>
      <c r="B336" s="8" t="s">
        <v>13</v>
      </c>
      <c r="C336" s="8">
        <v>45909</v>
      </c>
      <c r="D336" s="8">
        <v>46022</v>
      </c>
      <c r="E336" s="8" t="s">
        <v>710</v>
      </c>
      <c r="F336" s="8" t="s">
        <v>14</v>
      </c>
      <c r="G336" s="8">
        <v>1085244624</v>
      </c>
      <c r="H336" s="8" t="s">
        <v>666</v>
      </c>
      <c r="I336" s="8">
        <v>98333941</v>
      </c>
      <c r="J336" s="8" t="s">
        <v>14</v>
      </c>
      <c r="K336" s="8" t="s">
        <v>15</v>
      </c>
      <c r="L336" s="9">
        <v>3900000</v>
      </c>
      <c r="M336" s="9">
        <v>31200000</v>
      </c>
      <c r="N336" s="8" t="s">
        <v>704</v>
      </c>
      <c r="O336" s="9">
        <f>M336-L336</f>
        <v>27300000</v>
      </c>
      <c r="P336" s="2" t="s">
        <v>828</v>
      </c>
    </row>
    <row r="337" spans="1:17" x14ac:dyDescent="0.25">
      <c r="A337" t="s">
        <v>1045</v>
      </c>
      <c r="B337" t="s">
        <v>13</v>
      </c>
      <c r="C337">
        <v>46024</v>
      </c>
      <c r="D337">
        <v>46112</v>
      </c>
      <c r="E337" t="s">
        <v>775</v>
      </c>
      <c r="F337" t="s">
        <v>14</v>
      </c>
      <c r="G337">
        <v>1086361622</v>
      </c>
      <c r="H337" t="s">
        <v>267</v>
      </c>
      <c r="I337">
        <v>98390119</v>
      </c>
      <c r="J337" t="s">
        <v>14</v>
      </c>
      <c r="K337" t="s">
        <v>63</v>
      </c>
      <c r="M337" s="10">
        <v>9450000</v>
      </c>
      <c r="N337" t="s">
        <v>704</v>
      </c>
      <c r="Q337" s="11" t="s">
        <v>1036</v>
      </c>
    </row>
    <row r="338" spans="1:17" x14ac:dyDescent="0.25">
      <c r="A338" t="s">
        <v>1046</v>
      </c>
      <c r="B338" t="s">
        <v>13</v>
      </c>
      <c r="C338">
        <v>46024</v>
      </c>
      <c r="D338">
        <v>46112</v>
      </c>
      <c r="E338" t="s">
        <v>775</v>
      </c>
      <c r="F338" t="s">
        <v>14</v>
      </c>
      <c r="G338">
        <v>1005977438</v>
      </c>
      <c r="H338" t="s">
        <v>133</v>
      </c>
      <c r="I338">
        <v>98390119</v>
      </c>
      <c r="J338" t="s">
        <v>14</v>
      </c>
      <c r="K338" t="s">
        <v>63</v>
      </c>
      <c r="M338" s="10">
        <v>9450000</v>
      </c>
      <c r="N338" t="s">
        <v>704</v>
      </c>
      <c r="Q338" s="11" t="s">
        <v>1036</v>
      </c>
    </row>
    <row r="339" spans="1:17" x14ac:dyDescent="0.25">
      <c r="A339" t="s">
        <v>1047</v>
      </c>
      <c r="B339" t="s">
        <v>13</v>
      </c>
      <c r="C339">
        <v>46024</v>
      </c>
      <c r="D339">
        <v>46112</v>
      </c>
      <c r="E339" t="s">
        <v>775</v>
      </c>
      <c r="F339" t="s">
        <v>14</v>
      </c>
      <c r="G339">
        <v>1086755989</v>
      </c>
      <c r="H339" t="s">
        <v>930</v>
      </c>
      <c r="I339">
        <v>59836926</v>
      </c>
      <c r="J339" t="s">
        <v>14</v>
      </c>
      <c r="K339" t="s">
        <v>17</v>
      </c>
      <c r="M339" s="10">
        <v>18900000</v>
      </c>
      <c r="N339" t="s">
        <v>704</v>
      </c>
      <c r="Q339" s="11" t="s">
        <v>1036</v>
      </c>
    </row>
    <row r="340" spans="1:17" x14ac:dyDescent="0.25">
      <c r="A340" t="s">
        <v>998</v>
      </c>
      <c r="B340" t="s">
        <v>13</v>
      </c>
      <c r="C340">
        <v>46024</v>
      </c>
      <c r="D340">
        <v>46112</v>
      </c>
      <c r="E340" t="s">
        <v>744</v>
      </c>
      <c r="F340" t="s">
        <v>14</v>
      </c>
      <c r="G340">
        <v>1233189066</v>
      </c>
      <c r="H340" t="s">
        <v>854</v>
      </c>
      <c r="I340">
        <v>98390119</v>
      </c>
      <c r="J340" t="s">
        <v>14</v>
      </c>
      <c r="K340" t="s">
        <v>63</v>
      </c>
      <c r="M340" s="10">
        <v>7800000</v>
      </c>
      <c r="N340" t="s">
        <v>704</v>
      </c>
      <c r="Q340" s="11" t="s">
        <v>1036</v>
      </c>
    </row>
    <row r="341" spans="1:17" x14ac:dyDescent="0.25">
      <c r="A341" t="s">
        <v>1003</v>
      </c>
      <c r="B341" t="s">
        <v>13</v>
      </c>
      <c r="C341">
        <v>46024</v>
      </c>
      <c r="D341">
        <v>46112</v>
      </c>
      <c r="E341" t="s">
        <v>744</v>
      </c>
      <c r="F341" t="s">
        <v>14</v>
      </c>
      <c r="G341">
        <v>80765093</v>
      </c>
      <c r="H341" t="s">
        <v>20</v>
      </c>
      <c r="I341">
        <v>59836926</v>
      </c>
      <c r="J341" t="s">
        <v>14</v>
      </c>
      <c r="K341" t="s">
        <v>17</v>
      </c>
      <c r="M341" s="10">
        <v>23400000</v>
      </c>
      <c r="N341" t="s">
        <v>704</v>
      </c>
      <c r="Q341" s="11" t="s">
        <v>1036</v>
      </c>
    </row>
    <row r="342" spans="1:17" x14ac:dyDescent="0.25">
      <c r="A342" t="s">
        <v>1048</v>
      </c>
      <c r="B342" t="s">
        <v>13</v>
      </c>
      <c r="C342">
        <v>46024</v>
      </c>
      <c r="D342">
        <v>46112</v>
      </c>
      <c r="E342" t="s">
        <v>775</v>
      </c>
      <c r="F342" t="s">
        <v>14</v>
      </c>
      <c r="G342">
        <v>1085283868</v>
      </c>
      <c r="H342" t="s">
        <v>414</v>
      </c>
      <c r="I342">
        <v>43624414</v>
      </c>
      <c r="J342" t="s">
        <v>14</v>
      </c>
      <c r="K342" t="s">
        <v>18</v>
      </c>
      <c r="M342" s="10">
        <v>18900000</v>
      </c>
      <c r="N342" t="s">
        <v>704</v>
      </c>
      <c r="Q342" s="11" t="s">
        <v>1036</v>
      </c>
    </row>
    <row r="343" spans="1:17" x14ac:dyDescent="0.25">
      <c r="A343" t="s">
        <v>999</v>
      </c>
      <c r="B343" t="s">
        <v>13</v>
      </c>
      <c r="C343">
        <v>46024</v>
      </c>
      <c r="D343">
        <v>46112</v>
      </c>
      <c r="E343" t="s">
        <v>744</v>
      </c>
      <c r="F343" t="s">
        <v>14</v>
      </c>
      <c r="G343">
        <v>59816986</v>
      </c>
      <c r="H343" t="s">
        <v>447</v>
      </c>
      <c r="I343">
        <v>98390119</v>
      </c>
      <c r="J343" t="s">
        <v>14</v>
      </c>
      <c r="K343" t="s">
        <v>63</v>
      </c>
      <c r="M343" s="10">
        <v>14190000</v>
      </c>
      <c r="N343" t="s">
        <v>704</v>
      </c>
      <c r="Q343" s="11" t="s">
        <v>1036</v>
      </c>
    </row>
    <row r="344" spans="1:17" x14ac:dyDescent="0.25">
      <c r="A344" t="s">
        <v>1026</v>
      </c>
      <c r="B344" t="s">
        <v>13</v>
      </c>
      <c r="C344">
        <v>46024</v>
      </c>
      <c r="D344">
        <v>46112</v>
      </c>
      <c r="E344" t="s">
        <v>744</v>
      </c>
      <c r="F344" t="s">
        <v>14</v>
      </c>
      <c r="G344">
        <v>36756149</v>
      </c>
      <c r="H344" t="s">
        <v>159</v>
      </c>
      <c r="I344">
        <v>98390119</v>
      </c>
      <c r="J344" t="s">
        <v>14</v>
      </c>
      <c r="K344" t="s">
        <v>63</v>
      </c>
      <c r="M344" s="10">
        <v>14190000</v>
      </c>
      <c r="N344" t="s">
        <v>704</v>
      </c>
      <c r="Q344" s="11" t="s">
        <v>1036</v>
      </c>
    </row>
    <row r="345" spans="1:17" x14ac:dyDescent="0.25">
      <c r="A345" t="s">
        <v>1049</v>
      </c>
      <c r="B345" t="s">
        <v>13</v>
      </c>
      <c r="C345">
        <v>46024</v>
      </c>
      <c r="D345">
        <v>46112</v>
      </c>
      <c r="E345" t="s">
        <v>744</v>
      </c>
      <c r="F345" t="s">
        <v>14</v>
      </c>
      <c r="G345">
        <v>1082749648</v>
      </c>
      <c r="H345" t="s">
        <v>459</v>
      </c>
      <c r="I345">
        <v>43624414</v>
      </c>
      <c r="J345" t="s">
        <v>14</v>
      </c>
      <c r="K345" t="s">
        <v>18</v>
      </c>
      <c r="M345" s="10">
        <v>14190000</v>
      </c>
      <c r="N345" t="s">
        <v>704</v>
      </c>
      <c r="Q345" s="11" t="s">
        <v>1036</v>
      </c>
    </row>
    <row r="346" spans="1:17" x14ac:dyDescent="0.25">
      <c r="A346" t="s">
        <v>1050</v>
      </c>
      <c r="B346" t="s">
        <v>13</v>
      </c>
      <c r="C346">
        <v>46024</v>
      </c>
      <c r="D346">
        <v>46112</v>
      </c>
      <c r="E346" t="s">
        <v>775</v>
      </c>
      <c r="F346" t="s">
        <v>14</v>
      </c>
      <c r="G346">
        <v>59825948</v>
      </c>
      <c r="H346" t="s">
        <v>34</v>
      </c>
      <c r="I346">
        <v>43624414</v>
      </c>
      <c r="J346" t="s">
        <v>14</v>
      </c>
      <c r="K346" t="s">
        <v>18</v>
      </c>
      <c r="M346" s="10">
        <v>18900000</v>
      </c>
      <c r="N346" t="s">
        <v>704</v>
      </c>
      <c r="Q346" s="11" t="s">
        <v>1036</v>
      </c>
    </row>
    <row r="347" spans="1:17" x14ac:dyDescent="0.25">
      <c r="A347" t="s">
        <v>986</v>
      </c>
      <c r="B347" t="s">
        <v>13</v>
      </c>
      <c r="C347">
        <v>46024</v>
      </c>
      <c r="D347">
        <v>46112</v>
      </c>
      <c r="E347" t="s">
        <v>744</v>
      </c>
      <c r="F347" t="s">
        <v>14</v>
      </c>
      <c r="G347">
        <v>1085336362</v>
      </c>
      <c r="H347" t="s">
        <v>49</v>
      </c>
      <c r="I347">
        <v>98333941</v>
      </c>
      <c r="J347" t="s">
        <v>14</v>
      </c>
      <c r="K347" t="s">
        <v>15</v>
      </c>
      <c r="M347" s="10">
        <v>23400000</v>
      </c>
      <c r="N347" t="s">
        <v>704</v>
      </c>
      <c r="Q347" s="11" t="s">
        <v>1036</v>
      </c>
    </row>
    <row r="348" spans="1:17" x14ac:dyDescent="0.25">
      <c r="A348" t="s">
        <v>1004</v>
      </c>
      <c r="B348" t="s">
        <v>13</v>
      </c>
      <c r="C348">
        <v>46024</v>
      </c>
      <c r="D348">
        <v>46112</v>
      </c>
      <c r="E348" t="s">
        <v>744</v>
      </c>
      <c r="F348" t="s">
        <v>14</v>
      </c>
      <c r="G348">
        <v>1006946167</v>
      </c>
      <c r="H348" t="s">
        <v>303</v>
      </c>
      <c r="I348">
        <v>59836926</v>
      </c>
      <c r="J348" t="s">
        <v>14</v>
      </c>
      <c r="K348" t="s">
        <v>17</v>
      </c>
      <c r="M348" s="10">
        <v>23400000</v>
      </c>
      <c r="N348" t="s">
        <v>704</v>
      </c>
      <c r="Q348" s="11" t="s">
        <v>1036</v>
      </c>
    </row>
    <row r="349" spans="1:17" x14ac:dyDescent="0.25">
      <c r="A349" t="s">
        <v>1051</v>
      </c>
      <c r="B349" t="s">
        <v>13</v>
      </c>
      <c r="C349">
        <v>46024</v>
      </c>
      <c r="D349">
        <v>46112</v>
      </c>
      <c r="E349" t="s">
        <v>775</v>
      </c>
      <c r="F349" t="s">
        <v>14</v>
      </c>
      <c r="G349">
        <v>1085275473</v>
      </c>
      <c r="H349" t="s">
        <v>857</v>
      </c>
      <c r="I349">
        <v>98390119</v>
      </c>
      <c r="J349" t="s">
        <v>14</v>
      </c>
      <c r="K349" t="s">
        <v>63</v>
      </c>
      <c r="M349" s="10">
        <v>9450000</v>
      </c>
      <c r="N349" t="s">
        <v>704</v>
      </c>
      <c r="Q349" s="11" t="s">
        <v>1036</v>
      </c>
    </row>
    <row r="350" spans="1:17" x14ac:dyDescent="0.25">
      <c r="A350" t="s">
        <v>1025</v>
      </c>
      <c r="B350" t="s">
        <v>13</v>
      </c>
      <c r="C350">
        <v>46024</v>
      </c>
      <c r="D350">
        <v>46112</v>
      </c>
      <c r="E350" t="s">
        <v>775</v>
      </c>
      <c r="F350" t="s">
        <v>14</v>
      </c>
      <c r="G350">
        <v>59833899</v>
      </c>
      <c r="H350" t="s">
        <v>78</v>
      </c>
      <c r="I350">
        <v>43624414</v>
      </c>
      <c r="J350" t="s">
        <v>14</v>
      </c>
      <c r="K350" t="s">
        <v>18</v>
      </c>
      <c r="M350" s="10">
        <v>9450000</v>
      </c>
      <c r="N350" t="s">
        <v>704</v>
      </c>
      <c r="Q350" s="11" t="s">
        <v>1036</v>
      </c>
    </row>
    <row r="351" spans="1:17" x14ac:dyDescent="0.25">
      <c r="A351" t="s">
        <v>993</v>
      </c>
      <c r="B351" t="s">
        <v>13</v>
      </c>
      <c r="C351">
        <v>46024</v>
      </c>
      <c r="D351">
        <v>46112</v>
      </c>
      <c r="E351" t="s">
        <v>744</v>
      </c>
      <c r="F351" t="s">
        <v>14</v>
      </c>
      <c r="G351">
        <v>36759759</v>
      </c>
      <c r="H351" t="s">
        <v>26</v>
      </c>
      <c r="I351">
        <v>98390119</v>
      </c>
      <c r="J351" t="s">
        <v>14</v>
      </c>
      <c r="K351" t="s">
        <v>63</v>
      </c>
      <c r="M351" s="10">
        <v>14190000</v>
      </c>
      <c r="N351" t="s">
        <v>704</v>
      </c>
      <c r="Q351" s="11" t="s">
        <v>1036</v>
      </c>
    </row>
    <row r="352" spans="1:17" x14ac:dyDescent="0.25">
      <c r="A352" t="s">
        <v>1052</v>
      </c>
      <c r="B352" t="s">
        <v>13</v>
      </c>
      <c r="C352">
        <v>46024</v>
      </c>
      <c r="D352">
        <v>46112</v>
      </c>
      <c r="E352" t="s">
        <v>775</v>
      </c>
      <c r="F352" t="s">
        <v>14</v>
      </c>
      <c r="G352">
        <v>1085248939</v>
      </c>
      <c r="H352" t="s">
        <v>586</v>
      </c>
      <c r="I352">
        <v>98333941</v>
      </c>
      <c r="J352" t="s">
        <v>14</v>
      </c>
      <c r="K352" t="s">
        <v>15</v>
      </c>
      <c r="M352" s="10">
        <v>18900000</v>
      </c>
      <c r="N352" t="s">
        <v>704</v>
      </c>
      <c r="Q352" s="11" t="s">
        <v>1036</v>
      </c>
    </row>
    <row r="353" spans="1:17" x14ac:dyDescent="0.25">
      <c r="A353" t="s">
        <v>992</v>
      </c>
      <c r="B353" t="s">
        <v>13</v>
      </c>
      <c r="C353">
        <v>46024</v>
      </c>
      <c r="D353">
        <v>46112</v>
      </c>
      <c r="E353" t="s">
        <v>775</v>
      </c>
      <c r="F353" t="s">
        <v>14</v>
      </c>
      <c r="G353">
        <v>1085339190</v>
      </c>
      <c r="H353" t="s">
        <v>860</v>
      </c>
      <c r="I353">
        <v>98390119</v>
      </c>
      <c r="J353" t="s">
        <v>14</v>
      </c>
      <c r="K353" t="s">
        <v>63</v>
      </c>
      <c r="M353" s="10">
        <v>9450000</v>
      </c>
      <c r="N353" t="s">
        <v>704</v>
      </c>
      <c r="Q353" s="11" t="s">
        <v>1036</v>
      </c>
    </row>
    <row r="354" spans="1:17" x14ac:dyDescent="0.25">
      <c r="A354" t="s">
        <v>991</v>
      </c>
      <c r="B354" t="s">
        <v>13</v>
      </c>
      <c r="C354">
        <v>46024</v>
      </c>
      <c r="D354">
        <v>46112</v>
      </c>
      <c r="E354" t="s">
        <v>775</v>
      </c>
      <c r="F354" t="s">
        <v>14</v>
      </c>
      <c r="G354">
        <v>1085300095</v>
      </c>
      <c r="H354" t="s">
        <v>27</v>
      </c>
      <c r="I354">
        <v>59836926</v>
      </c>
      <c r="J354" t="s">
        <v>14</v>
      </c>
      <c r="K354" t="s">
        <v>17</v>
      </c>
      <c r="M354" s="10">
        <v>9450000</v>
      </c>
      <c r="N354" t="s">
        <v>704</v>
      </c>
      <c r="Q354" s="11" t="s">
        <v>1036</v>
      </c>
    </row>
    <row r="355" spans="1:17" x14ac:dyDescent="0.25">
      <c r="A355" t="s">
        <v>1053</v>
      </c>
      <c r="B355" t="s">
        <v>13</v>
      </c>
      <c r="C355">
        <v>46024</v>
      </c>
      <c r="D355">
        <v>46112</v>
      </c>
      <c r="E355" t="s">
        <v>775</v>
      </c>
      <c r="F355" t="s">
        <v>14</v>
      </c>
      <c r="G355">
        <v>59820414</v>
      </c>
      <c r="H355" t="s">
        <v>847</v>
      </c>
      <c r="I355">
        <v>43624414</v>
      </c>
      <c r="J355" t="s">
        <v>14</v>
      </c>
      <c r="K355" t="s">
        <v>18</v>
      </c>
      <c r="M355" s="10">
        <v>18900000</v>
      </c>
      <c r="N355" t="s">
        <v>704</v>
      </c>
      <c r="Q355" s="11" t="s">
        <v>1036</v>
      </c>
    </row>
    <row r="356" spans="1:17" x14ac:dyDescent="0.25">
      <c r="A356" t="s">
        <v>997</v>
      </c>
      <c r="B356" t="s">
        <v>13</v>
      </c>
      <c r="C356">
        <v>46024</v>
      </c>
      <c r="D356">
        <v>46112</v>
      </c>
      <c r="E356" t="s">
        <v>775</v>
      </c>
      <c r="F356" t="s">
        <v>14</v>
      </c>
      <c r="G356">
        <v>1085338921</v>
      </c>
      <c r="H356" t="s">
        <v>362</v>
      </c>
      <c r="I356">
        <v>98390119</v>
      </c>
      <c r="J356" t="s">
        <v>14</v>
      </c>
      <c r="K356" t="s">
        <v>63</v>
      </c>
      <c r="M356" s="10">
        <v>9450000</v>
      </c>
      <c r="N356" t="s">
        <v>704</v>
      </c>
      <c r="Q356" s="11" t="s">
        <v>1036</v>
      </c>
    </row>
    <row r="357" spans="1:17" x14ac:dyDescent="0.25">
      <c r="A357" t="s">
        <v>1007</v>
      </c>
      <c r="B357" t="s">
        <v>13</v>
      </c>
      <c r="C357">
        <v>46024</v>
      </c>
      <c r="D357">
        <v>46112</v>
      </c>
      <c r="E357" t="s">
        <v>775</v>
      </c>
      <c r="F357" t="s">
        <v>14</v>
      </c>
      <c r="G357">
        <v>1137624011</v>
      </c>
      <c r="H357" t="s">
        <v>356</v>
      </c>
      <c r="I357">
        <v>98390119</v>
      </c>
      <c r="J357" t="s">
        <v>14</v>
      </c>
      <c r="K357" t="s">
        <v>63</v>
      </c>
      <c r="M357" s="10">
        <v>9450000</v>
      </c>
      <c r="N357" t="s">
        <v>704</v>
      </c>
      <c r="Q357" s="11" t="s">
        <v>1036</v>
      </c>
    </row>
    <row r="358" spans="1:17" x14ac:dyDescent="0.25">
      <c r="A358" t="s">
        <v>1054</v>
      </c>
      <c r="B358" t="s">
        <v>13</v>
      </c>
      <c r="C358">
        <v>46024</v>
      </c>
      <c r="D358">
        <v>46112</v>
      </c>
      <c r="E358" t="s">
        <v>744</v>
      </c>
      <c r="F358" t="s">
        <v>14</v>
      </c>
      <c r="G358">
        <v>1086331521</v>
      </c>
      <c r="H358" t="s">
        <v>927</v>
      </c>
      <c r="I358">
        <v>43624414</v>
      </c>
      <c r="J358" t="s">
        <v>14</v>
      </c>
      <c r="K358" t="s">
        <v>18</v>
      </c>
      <c r="M358" s="10">
        <v>23400000</v>
      </c>
      <c r="N358" t="s">
        <v>704</v>
      </c>
      <c r="Q358" s="11" t="s">
        <v>1036</v>
      </c>
    </row>
    <row r="359" spans="1:17" x14ac:dyDescent="0.25">
      <c r="A359" t="s">
        <v>1055</v>
      </c>
      <c r="B359" t="s">
        <v>13</v>
      </c>
      <c r="C359">
        <v>46024</v>
      </c>
      <c r="D359">
        <v>46112</v>
      </c>
      <c r="E359" t="s">
        <v>744</v>
      </c>
      <c r="F359" t="s">
        <v>14</v>
      </c>
      <c r="G359">
        <v>1233193882</v>
      </c>
      <c r="H359" t="s">
        <v>97</v>
      </c>
      <c r="I359">
        <v>43624414</v>
      </c>
      <c r="J359" t="s">
        <v>14</v>
      </c>
      <c r="K359" t="s">
        <v>18</v>
      </c>
      <c r="M359" s="10">
        <v>23400000</v>
      </c>
      <c r="N359" t="s">
        <v>704</v>
      </c>
      <c r="Q359" s="11" t="s">
        <v>1036</v>
      </c>
    </row>
    <row r="360" spans="1:17" x14ac:dyDescent="0.25">
      <c r="A360" t="s">
        <v>1005</v>
      </c>
      <c r="B360" t="s">
        <v>13</v>
      </c>
      <c r="C360">
        <v>46024</v>
      </c>
      <c r="D360">
        <v>46112</v>
      </c>
      <c r="E360" t="s">
        <v>744</v>
      </c>
      <c r="F360" t="s">
        <v>14</v>
      </c>
      <c r="G360">
        <v>1193383306</v>
      </c>
      <c r="H360" t="s">
        <v>274</v>
      </c>
      <c r="I360">
        <v>59836926</v>
      </c>
      <c r="J360" t="s">
        <v>14</v>
      </c>
      <c r="K360" t="s">
        <v>17</v>
      </c>
      <c r="M360" s="10">
        <v>14190000</v>
      </c>
      <c r="N360" t="s">
        <v>704</v>
      </c>
      <c r="Q360" s="11" t="s">
        <v>1036</v>
      </c>
    </row>
    <row r="361" spans="1:17" x14ac:dyDescent="0.25">
      <c r="A361" t="s">
        <v>994</v>
      </c>
      <c r="B361" t="s">
        <v>13</v>
      </c>
      <c r="C361">
        <v>46024</v>
      </c>
      <c r="D361">
        <v>46112</v>
      </c>
      <c r="E361" t="s">
        <v>775</v>
      </c>
      <c r="F361" t="s">
        <v>14</v>
      </c>
      <c r="G361">
        <v>1010082397</v>
      </c>
      <c r="H361" t="s">
        <v>44</v>
      </c>
      <c r="I361">
        <v>59836926</v>
      </c>
      <c r="J361" t="s">
        <v>14</v>
      </c>
      <c r="K361" t="s">
        <v>17</v>
      </c>
      <c r="M361" s="10">
        <v>9450000</v>
      </c>
      <c r="N361" t="s">
        <v>704</v>
      </c>
      <c r="Q361" s="11" t="s">
        <v>1036</v>
      </c>
    </row>
    <row r="362" spans="1:17" x14ac:dyDescent="0.25">
      <c r="A362" t="s">
        <v>1056</v>
      </c>
      <c r="B362" t="s">
        <v>13</v>
      </c>
      <c r="C362">
        <v>46024</v>
      </c>
      <c r="D362">
        <v>46112</v>
      </c>
      <c r="E362" t="s">
        <v>775</v>
      </c>
      <c r="F362" t="s">
        <v>14</v>
      </c>
      <c r="G362">
        <v>30743783</v>
      </c>
      <c r="H362" t="s">
        <v>436</v>
      </c>
      <c r="I362">
        <v>59836926</v>
      </c>
      <c r="J362" t="s">
        <v>14</v>
      </c>
      <c r="K362" t="s">
        <v>17</v>
      </c>
      <c r="M362" s="10">
        <v>9450000</v>
      </c>
      <c r="N362" t="s">
        <v>704</v>
      </c>
      <c r="Q362" s="11" t="s">
        <v>1036</v>
      </c>
    </row>
    <row r="363" spans="1:17" x14ac:dyDescent="0.25">
      <c r="A363" t="s">
        <v>1035</v>
      </c>
      <c r="B363" t="s">
        <v>13</v>
      </c>
      <c r="C363">
        <v>46024</v>
      </c>
      <c r="D363">
        <v>46112</v>
      </c>
      <c r="E363" t="s">
        <v>744</v>
      </c>
      <c r="F363" t="s">
        <v>14</v>
      </c>
      <c r="G363">
        <v>1087006619</v>
      </c>
      <c r="H363" t="s">
        <v>457</v>
      </c>
      <c r="I363">
        <v>98333941</v>
      </c>
      <c r="J363" t="s">
        <v>14</v>
      </c>
      <c r="K363" t="s">
        <v>15</v>
      </c>
      <c r="M363" s="10">
        <v>23400000</v>
      </c>
      <c r="N363" t="s">
        <v>704</v>
      </c>
      <c r="Q363" s="11" t="s">
        <v>1036</v>
      </c>
    </row>
    <row r="364" spans="1:17" x14ac:dyDescent="0.25">
      <c r="A364" t="s">
        <v>1002</v>
      </c>
      <c r="B364" t="s">
        <v>13</v>
      </c>
      <c r="C364">
        <v>46024</v>
      </c>
      <c r="D364">
        <v>46112</v>
      </c>
      <c r="E364" t="s">
        <v>744</v>
      </c>
      <c r="F364" t="s">
        <v>14</v>
      </c>
      <c r="G364">
        <v>1085343783</v>
      </c>
      <c r="H364" t="s">
        <v>19</v>
      </c>
      <c r="I364">
        <v>59836926</v>
      </c>
      <c r="J364" t="s">
        <v>14</v>
      </c>
      <c r="K364" t="s">
        <v>17</v>
      </c>
      <c r="M364" s="10">
        <v>14190000</v>
      </c>
      <c r="N364" t="s">
        <v>704</v>
      </c>
      <c r="Q364" s="11" t="s">
        <v>1036</v>
      </c>
    </row>
    <row r="365" spans="1:17" x14ac:dyDescent="0.25">
      <c r="A365" t="s">
        <v>989</v>
      </c>
      <c r="B365" t="s">
        <v>13</v>
      </c>
      <c r="C365">
        <v>46024</v>
      </c>
      <c r="D365">
        <v>46112</v>
      </c>
      <c r="E365" t="s">
        <v>775</v>
      </c>
      <c r="F365" t="s">
        <v>14</v>
      </c>
      <c r="G365">
        <v>1004235479</v>
      </c>
      <c r="H365" t="s">
        <v>56</v>
      </c>
      <c r="I365">
        <v>98333941</v>
      </c>
      <c r="J365" t="s">
        <v>14</v>
      </c>
      <c r="K365" t="s">
        <v>15</v>
      </c>
      <c r="M365" s="10">
        <v>9450000</v>
      </c>
      <c r="N365" t="s">
        <v>704</v>
      </c>
      <c r="Q365" s="11" t="s">
        <v>1036</v>
      </c>
    </row>
    <row r="366" spans="1:17" x14ac:dyDescent="0.25">
      <c r="A366" t="s">
        <v>1024</v>
      </c>
      <c r="B366" t="s">
        <v>13</v>
      </c>
      <c r="C366">
        <v>46024</v>
      </c>
      <c r="D366">
        <v>46112</v>
      </c>
      <c r="E366" t="s">
        <v>775</v>
      </c>
      <c r="F366" t="s">
        <v>14</v>
      </c>
      <c r="G366">
        <v>1085344795</v>
      </c>
      <c r="H366" t="s">
        <v>79</v>
      </c>
      <c r="I366">
        <v>43624414</v>
      </c>
      <c r="J366" t="s">
        <v>14</v>
      </c>
      <c r="K366" t="s">
        <v>18</v>
      </c>
      <c r="M366" s="10">
        <v>9450000</v>
      </c>
      <c r="N366" t="s">
        <v>704</v>
      </c>
      <c r="Q366" s="11" t="s">
        <v>1036</v>
      </c>
    </row>
    <row r="367" spans="1:17" x14ac:dyDescent="0.25">
      <c r="A367" t="s">
        <v>987</v>
      </c>
      <c r="B367" t="s">
        <v>13</v>
      </c>
      <c r="C367">
        <v>46024</v>
      </c>
      <c r="D367">
        <v>46112</v>
      </c>
      <c r="E367" t="s">
        <v>744</v>
      </c>
      <c r="F367" t="s">
        <v>14</v>
      </c>
      <c r="G367">
        <v>1085334279</v>
      </c>
      <c r="H367" t="s">
        <v>558</v>
      </c>
      <c r="I367">
        <v>98333941</v>
      </c>
      <c r="J367" t="s">
        <v>14</v>
      </c>
      <c r="K367" t="s">
        <v>15</v>
      </c>
      <c r="M367" s="10">
        <v>23400000</v>
      </c>
      <c r="N367" t="s">
        <v>704</v>
      </c>
      <c r="Q367" s="11" t="s">
        <v>1036</v>
      </c>
    </row>
    <row r="368" spans="1:17" x14ac:dyDescent="0.25">
      <c r="A368" t="s">
        <v>1000</v>
      </c>
      <c r="B368" t="s">
        <v>13</v>
      </c>
      <c r="C368">
        <v>46024</v>
      </c>
      <c r="D368">
        <v>46112</v>
      </c>
      <c r="E368" t="s">
        <v>775</v>
      </c>
      <c r="F368" t="s">
        <v>14</v>
      </c>
      <c r="G368">
        <v>1085331508</v>
      </c>
      <c r="H368" t="s">
        <v>191</v>
      </c>
      <c r="I368">
        <v>59836926</v>
      </c>
      <c r="J368" t="s">
        <v>14</v>
      </c>
      <c r="K368" t="s">
        <v>17</v>
      </c>
      <c r="M368" s="10">
        <v>9450000</v>
      </c>
      <c r="N368" t="s">
        <v>704</v>
      </c>
      <c r="Q368" s="11" t="s">
        <v>1036</v>
      </c>
    </row>
    <row r="369" spans="1:17" x14ac:dyDescent="0.25">
      <c r="A369" t="s">
        <v>1014</v>
      </c>
      <c r="B369" t="s">
        <v>13</v>
      </c>
      <c r="C369">
        <v>46024</v>
      </c>
      <c r="D369">
        <v>46112</v>
      </c>
      <c r="E369" t="s">
        <v>775</v>
      </c>
      <c r="F369" t="s">
        <v>14</v>
      </c>
      <c r="G369">
        <v>1085269090</v>
      </c>
      <c r="H369" t="s">
        <v>52</v>
      </c>
      <c r="I369">
        <v>98333941</v>
      </c>
      <c r="J369" t="s">
        <v>14</v>
      </c>
      <c r="K369" t="s">
        <v>15</v>
      </c>
      <c r="M369" s="10">
        <v>9450000</v>
      </c>
      <c r="N369" t="s">
        <v>704</v>
      </c>
      <c r="Q369" s="11" t="s">
        <v>1036</v>
      </c>
    </row>
    <row r="370" spans="1:17" x14ac:dyDescent="0.25">
      <c r="A370" t="s">
        <v>988</v>
      </c>
      <c r="B370" t="s">
        <v>13</v>
      </c>
      <c r="C370">
        <v>46024</v>
      </c>
      <c r="D370">
        <v>46112</v>
      </c>
      <c r="E370" t="s">
        <v>775</v>
      </c>
      <c r="F370" t="s">
        <v>14</v>
      </c>
      <c r="G370">
        <v>1086329609</v>
      </c>
      <c r="H370" t="s">
        <v>64</v>
      </c>
      <c r="I370">
        <v>98333941</v>
      </c>
      <c r="J370" t="s">
        <v>14</v>
      </c>
      <c r="K370" t="s">
        <v>15</v>
      </c>
      <c r="M370" s="10">
        <v>9450000</v>
      </c>
      <c r="N370" t="s">
        <v>704</v>
      </c>
      <c r="Q370" s="11" t="s">
        <v>1036</v>
      </c>
    </row>
    <row r="371" spans="1:17" x14ac:dyDescent="0.25">
      <c r="A371" t="s">
        <v>996</v>
      </c>
      <c r="B371" t="s">
        <v>13</v>
      </c>
      <c r="C371">
        <v>46024</v>
      </c>
      <c r="D371">
        <v>46112</v>
      </c>
      <c r="E371" t="s">
        <v>744</v>
      </c>
      <c r="F371" t="s">
        <v>14</v>
      </c>
      <c r="G371">
        <v>1085264667</v>
      </c>
      <c r="H371" t="s">
        <v>844</v>
      </c>
      <c r="I371">
        <v>98390119</v>
      </c>
      <c r="J371" t="s">
        <v>14</v>
      </c>
      <c r="K371" t="s">
        <v>63</v>
      </c>
      <c r="M371" s="10">
        <v>14190000</v>
      </c>
      <c r="N371" t="s">
        <v>704</v>
      </c>
      <c r="Q371" s="11" t="s">
        <v>1036</v>
      </c>
    </row>
    <row r="372" spans="1:17" x14ac:dyDescent="0.25">
      <c r="A372" t="s">
        <v>1057</v>
      </c>
      <c r="B372" t="s">
        <v>13</v>
      </c>
      <c r="C372">
        <v>46024</v>
      </c>
      <c r="D372">
        <v>46112</v>
      </c>
      <c r="E372" t="s">
        <v>775</v>
      </c>
      <c r="F372" t="s">
        <v>14</v>
      </c>
      <c r="G372">
        <v>97470681</v>
      </c>
      <c r="H372" t="s">
        <v>55</v>
      </c>
      <c r="I372">
        <v>98333941</v>
      </c>
      <c r="J372" t="s">
        <v>14</v>
      </c>
      <c r="K372" t="s">
        <v>15</v>
      </c>
      <c r="M372" s="10">
        <v>18900000</v>
      </c>
      <c r="N372" t="s">
        <v>704</v>
      </c>
      <c r="Q372" s="11" t="s">
        <v>1036</v>
      </c>
    </row>
    <row r="373" spans="1:17" x14ac:dyDescent="0.25">
      <c r="A373" t="s">
        <v>1058</v>
      </c>
      <c r="B373" t="s">
        <v>13</v>
      </c>
      <c r="C373">
        <v>46024</v>
      </c>
      <c r="D373">
        <v>46112</v>
      </c>
      <c r="E373" t="s">
        <v>775</v>
      </c>
      <c r="F373" t="s">
        <v>14</v>
      </c>
      <c r="G373">
        <v>1004213964</v>
      </c>
      <c r="H373" t="s">
        <v>905</v>
      </c>
      <c r="I373">
        <v>98390119</v>
      </c>
      <c r="J373" t="s">
        <v>14</v>
      </c>
      <c r="K373" t="s">
        <v>63</v>
      </c>
      <c r="M373" s="10">
        <v>18900000</v>
      </c>
      <c r="N373" t="s">
        <v>704</v>
      </c>
      <c r="Q373" s="11" t="s">
        <v>1036</v>
      </c>
    </row>
    <row r="374" spans="1:17" x14ac:dyDescent="0.25">
      <c r="A374" t="s">
        <v>1009</v>
      </c>
      <c r="B374" t="s">
        <v>13</v>
      </c>
      <c r="C374">
        <v>46024</v>
      </c>
      <c r="D374">
        <v>46112</v>
      </c>
      <c r="E374" t="s">
        <v>744</v>
      </c>
      <c r="F374" t="s">
        <v>14</v>
      </c>
      <c r="G374">
        <v>1087413951</v>
      </c>
      <c r="H374" t="s">
        <v>219</v>
      </c>
      <c r="I374">
        <v>98333941</v>
      </c>
      <c r="J374" t="s">
        <v>14</v>
      </c>
      <c r="K374" t="s">
        <v>15</v>
      </c>
      <c r="M374" s="10">
        <v>14190000</v>
      </c>
      <c r="N374" t="s">
        <v>704</v>
      </c>
      <c r="Q374" s="11" t="s">
        <v>1036</v>
      </c>
    </row>
    <row r="375" spans="1:17" x14ac:dyDescent="0.25">
      <c r="A375" t="s">
        <v>1023</v>
      </c>
      <c r="B375" t="s">
        <v>13</v>
      </c>
      <c r="C375">
        <v>46024</v>
      </c>
      <c r="D375">
        <v>46112</v>
      </c>
      <c r="E375" t="s">
        <v>744</v>
      </c>
      <c r="F375" t="s">
        <v>14</v>
      </c>
      <c r="G375">
        <v>27087475</v>
      </c>
      <c r="H375" t="s">
        <v>48</v>
      </c>
      <c r="I375">
        <v>43624414</v>
      </c>
      <c r="J375" t="s">
        <v>14</v>
      </c>
      <c r="K375" t="s">
        <v>18</v>
      </c>
      <c r="M375" s="10">
        <v>14190000</v>
      </c>
      <c r="N375" t="s">
        <v>704</v>
      </c>
      <c r="Q375" s="11" t="s">
        <v>1036</v>
      </c>
    </row>
    <row r="376" spans="1:17" x14ac:dyDescent="0.25">
      <c r="A376" t="s">
        <v>1015</v>
      </c>
      <c r="B376" t="s">
        <v>13</v>
      </c>
      <c r="C376">
        <v>46024</v>
      </c>
      <c r="D376">
        <v>46112</v>
      </c>
      <c r="E376" t="s">
        <v>744</v>
      </c>
      <c r="F376" t="s">
        <v>14</v>
      </c>
      <c r="G376">
        <v>1085318684</v>
      </c>
      <c r="H376" t="s">
        <v>427</v>
      </c>
      <c r="I376">
        <v>98333941</v>
      </c>
      <c r="J376" t="s">
        <v>14</v>
      </c>
      <c r="K376" t="s">
        <v>15</v>
      </c>
      <c r="M376" s="10">
        <v>14190000</v>
      </c>
      <c r="N376" t="s">
        <v>704</v>
      </c>
      <c r="Q376" s="11" t="s">
        <v>1036</v>
      </c>
    </row>
    <row r="377" spans="1:17" x14ac:dyDescent="0.25">
      <c r="A377" t="s">
        <v>1059</v>
      </c>
      <c r="B377" t="s">
        <v>13</v>
      </c>
      <c r="C377">
        <v>46024</v>
      </c>
      <c r="D377">
        <v>46112</v>
      </c>
      <c r="E377" t="s">
        <v>744</v>
      </c>
      <c r="F377" t="s">
        <v>14</v>
      </c>
      <c r="G377">
        <v>1087414586</v>
      </c>
      <c r="H377" t="s">
        <v>92</v>
      </c>
      <c r="I377">
        <v>43624414</v>
      </c>
      <c r="J377" t="s">
        <v>14</v>
      </c>
      <c r="K377" t="s">
        <v>18</v>
      </c>
      <c r="M377" s="10">
        <v>14190000</v>
      </c>
      <c r="N377" t="s">
        <v>704</v>
      </c>
      <c r="Q377" s="11" t="s">
        <v>1036</v>
      </c>
    </row>
    <row r="378" spans="1:17" x14ac:dyDescent="0.25">
      <c r="A378" t="s">
        <v>1060</v>
      </c>
      <c r="B378" t="s">
        <v>13</v>
      </c>
      <c r="C378">
        <v>46024</v>
      </c>
      <c r="D378">
        <v>46112</v>
      </c>
      <c r="E378" t="s">
        <v>775</v>
      </c>
      <c r="F378" t="s">
        <v>14</v>
      </c>
      <c r="G378">
        <v>98391531</v>
      </c>
      <c r="H378" t="s">
        <v>453</v>
      </c>
      <c r="I378">
        <v>43624414</v>
      </c>
      <c r="J378" t="s">
        <v>14</v>
      </c>
      <c r="K378" t="s">
        <v>18</v>
      </c>
      <c r="M378" s="10">
        <v>9450000</v>
      </c>
      <c r="N378" t="s">
        <v>704</v>
      </c>
      <c r="Q378" s="11" t="s">
        <v>1036</v>
      </c>
    </row>
    <row r="379" spans="1:17" x14ac:dyDescent="0.25">
      <c r="A379" t="s">
        <v>1010</v>
      </c>
      <c r="B379" t="s">
        <v>13</v>
      </c>
      <c r="C379">
        <v>46024</v>
      </c>
      <c r="D379">
        <v>46112</v>
      </c>
      <c r="E379" t="s">
        <v>775</v>
      </c>
      <c r="F379" t="s">
        <v>14</v>
      </c>
      <c r="G379">
        <v>37082272</v>
      </c>
      <c r="H379" t="s">
        <v>461</v>
      </c>
      <c r="I379">
        <v>98390119</v>
      </c>
      <c r="J379" t="s">
        <v>14</v>
      </c>
      <c r="K379" t="s">
        <v>63</v>
      </c>
      <c r="M379" s="10">
        <v>9450000</v>
      </c>
      <c r="N379" t="s">
        <v>704</v>
      </c>
      <c r="Q379" s="11" t="s">
        <v>1036</v>
      </c>
    </row>
    <row r="380" spans="1:17" x14ac:dyDescent="0.25">
      <c r="A380" t="s">
        <v>1061</v>
      </c>
      <c r="B380" t="s">
        <v>13</v>
      </c>
      <c r="C380">
        <v>46024</v>
      </c>
      <c r="D380">
        <v>46112</v>
      </c>
      <c r="E380" t="s">
        <v>775</v>
      </c>
      <c r="F380" t="s">
        <v>14</v>
      </c>
      <c r="G380">
        <v>1082748783</v>
      </c>
      <c r="H380" t="s">
        <v>67</v>
      </c>
      <c r="I380">
        <v>43624414</v>
      </c>
      <c r="J380" t="s">
        <v>14</v>
      </c>
      <c r="K380" t="s">
        <v>18</v>
      </c>
      <c r="M380" s="10">
        <v>9450000</v>
      </c>
      <c r="N380" t="s">
        <v>704</v>
      </c>
      <c r="Q380" s="11" t="s">
        <v>1036</v>
      </c>
    </row>
    <row r="381" spans="1:17" x14ac:dyDescent="0.25">
      <c r="A381" t="s">
        <v>1016</v>
      </c>
      <c r="B381" t="s">
        <v>13</v>
      </c>
      <c r="C381">
        <v>46024</v>
      </c>
      <c r="D381">
        <v>46112</v>
      </c>
      <c r="E381" t="s">
        <v>775</v>
      </c>
      <c r="F381" t="s">
        <v>14</v>
      </c>
      <c r="G381">
        <v>1193223736</v>
      </c>
      <c r="H381" t="s">
        <v>75</v>
      </c>
      <c r="I381">
        <v>43624414</v>
      </c>
      <c r="J381" t="s">
        <v>14</v>
      </c>
      <c r="K381" t="s">
        <v>18</v>
      </c>
      <c r="M381" s="10">
        <v>18900000</v>
      </c>
      <c r="N381" t="s">
        <v>704</v>
      </c>
      <c r="Q381" s="11" t="s">
        <v>1036</v>
      </c>
    </row>
    <row r="382" spans="1:17" x14ac:dyDescent="0.25">
      <c r="A382" t="s">
        <v>1006</v>
      </c>
      <c r="B382" t="s">
        <v>13</v>
      </c>
      <c r="C382">
        <v>46024</v>
      </c>
      <c r="D382">
        <v>46112</v>
      </c>
      <c r="E382" t="s">
        <v>775</v>
      </c>
      <c r="F382" t="s">
        <v>14</v>
      </c>
      <c r="G382">
        <v>1004190751</v>
      </c>
      <c r="H382" t="s">
        <v>233</v>
      </c>
      <c r="I382">
        <v>43624414</v>
      </c>
      <c r="J382" t="s">
        <v>14</v>
      </c>
      <c r="K382" t="s">
        <v>18</v>
      </c>
      <c r="M382" s="10">
        <v>9450000</v>
      </c>
      <c r="N382" t="s">
        <v>704</v>
      </c>
      <c r="Q382" s="11" t="s">
        <v>1036</v>
      </c>
    </row>
    <row r="383" spans="1:17" x14ac:dyDescent="0.25">
      <c r="A383" t="s">
        <v>1032</v>
      </c>
      <c r="B383" t="s">
        <v>13</v>
      </c>
      <c r="C383">
        <v>46024</v>
      </c>
      <c r="D383">
        <v>46112</v>
      </c>
      <c r="E383" t="s">
        <v>775</v>
      </c>
      <c r="F383" t="s">
        <v>14</v>
      </c>
      <c r="G383">
        <v>1085317833</v>
      </c>
      <c r="H383" t="s">
        <v>41</v>
      </c>
      <c r="I383">
        <v>59836926</v>
      </c>
      <c r="J383" t="s">
        <v>14</v>
      </c>
      <c r="K383" t="s">
        <v>17</v>
      </c>
      <c r="M383" s="10">
        <v>9450000</v>
      </c>
      <c r="N383" t="s">
        <v>704</v>
      </c>
      <c r="Q383" s="11" t="s">
        <v>1036</v>
      </c>
    </row>
    <row r="384" spans="1:17" x14ac:dyDescent="0.25">
      <c r="A384" t="s">
        <v>1062</v>
      </c>
      <c r="B384" t="s">
        <v>13</v>
      </c>
      <c r="C384">
        <v>46024</v>
      </c>
      <c r="D384">
        <v>46112</v>
      </c>
      <c r="E384" t="s">
        <v>775</v>
      </c>
      <c r="F384" t="s">
        <v>14</v>
      </c>
      <c r="G384">
        <v>1085286725</v>
      </c>
      <c r="H384" t="s">
        <v>40</v>
      </c>
      <c r="I384">
        <v>98333941</v>
      </c>
      <c r="J384" t="s">
        <v>14</v>
      </c>
      <c r="K384" t="s">
        <v>15</v>
      </c>
      <c r="M384" s="10">
        <v>9450000</v>
      </c>
      <c r="N384" t="s">
        <v>704</v>
      </c>
      <c r="Q384" s="11" t="s">
        <v>1036</v>
      </c>
    </row>
    <row r="385" spans="1:17" x14ac:dyDescent="0.25">
      <c r="A385" t="s">
        <v>1008</v>
      </c>
      <c r="B385" t="s">
        <v>13</v>
      </c>
      <c r="C385">
        <v>46024</v>
      </c>
      <c r="D385">
        <v>46112</v>
      </c>
      <c r="E385" t="s">
        <v>744</v>
      </c>
      <c r="F385" t="s">
        <v>14</v>
      </c>
      <c r="G385">
        <v>1089846684</v>
      </c>
      <c r="H385" t="s">
        <v>103</v>
      </c>
      <c r="I385">
        <v>98390119</v>
      </c>
      <c r="J385" t="s">
        <v>14</v>
      </c>
      <c r="K385" t="s">
        <v>63</v>
      </c>
      <c r="M385" s="10">
        <v>23400000</v>
      </c>
      <c r="N385" t="s">
        <v>704</v>
      </c>
      <c r="Q385" s="11" t="s">
        <v>1036</v>
      </c>
    </row>
    <row r="386" spans="1:17" x14ac:dyDescent="0.25">
      <c r="A386" t="s">
        <v>990</v>
      </c>
      <c r="B386" t="s">
        <v>13</v>
      </c>
      <c r="C386">
        <v>46024</v>
      </c>
      <c r="D386">
        <v>46112</v>
      </c>
      <c r="E386" t="s">
        <v>744</v>
      </c>
      <c r="F386" t="s">
        <v>14</v>
      </c>
      <c r="G386">
        <v>1010141840</v>
      </c>
      <c r="H386" t="s">
        <v>574</v>
      </c>
      <c r="I386">
        <v>43624414</v>
      </c>
      <c r="J386" t="s">
        <v>14</v>
      </c>
      <c r="K386" t="s">
        <v>18</v>
      </c>
      <c r="M386" s="10">
        <v>23400000</v>
      </c>
      <c r="N386" t="s">
        <v>704</v>
      </c>
      <c r="Q386" s="11" t="s">
        <v>1036</v>
      </c>
    </row>
    <row r="387" spans="1:17" x14ac:dyDescent="0.25">
      <c r="A387" t="s">
        <v>985</v>
      </c>
      <c r="B387" t="s">
        <v>13</v>
      </c>
      <c r="C387">
        <v>46024</v>
      </c>
      <c r="D387">
        <v>46112</v>
      </c>
      <c r="E387" t="s">
        <v>981</v>
      </c>
      <c r="F387" t="s">
        <v>14</v>
      </c>
      <c r="G387">
        <v>1085340885</v>
      </c>
      <c r="H387" t="s">
        <v>837</v>
      </c>
      <c r="I387">
        <v>98333941</v>
      </c>
      <c r="J387" t="s">
        <v>14</v>
      </c>
      <c r="K387" t="s">
        <v>15</v>
      </c>
      <c r="M387" s="10">
        <v>14190000</v>
      </c>
      <c r="N387" t="s">
        <v>704</v>
      </c>
      <c r="Q387" s="11" t="s">
        <v>1036</v>
      </c>
    </row>
    <row r="388" spans="1:17" x14ac:dyDescent="0.25">
      <c r="A388" t="s">
        <v>1011</v>
      </c>
      <c r="B388" t="s">
        <v>13</v>
      </c>
      <c r="C388">
        <v>46024</v>
      </c>
      <c r="D388">
        <v>46112</v>
      </c>
      <c r="E388" t="s">
        <v>744</v>
      </c>
      <c r="F388" t="s">
        <v>14</v>
      </c>
      <c r="G388">
        <v>1085260497</v>
      </c>
      <c r="H388" t="s">
        <v>389</v>
      </c>
      <c r="I388">
        <v>98333941</v>
      </c>
      <c r="J388" t="s">
        <v>14</v>
      </c>
      <c r="K388" t="s">
        <v>15</v>
      </c>
      <c r="M388" s="10">
        <v>14190000</v>
      </c>
      <c r="N388" t="s">
        <v>704</v>
      </c>
      <c r="Q388" s="11" t="s">
        <v>1036</v>
      </c>
    </row>
    <row r="389" spans="1:17" x14ac:dyDescent="0.25">
      <c r="A389" t="s">
        <v>1063</v>
      </c>
      <c r="B389" t="s">
        <v>13</v>
      </c>
      <c r="C389">
        <v>46038</v>
      </c>
      <c r="D389">
        <v>46128</v>
      </c>
      <c r="E389" t="s">
        <v>775</v>
      </c>
      <c r="F389" t="s">
        <v>14</v>
      </c>
      <c r="G389">
        <v>27091114</v>
      </c>
      <c r="H389" t="s">
        <v>80</v>
      </c>
      <c r="I389">
        <v>98390119</v>
      </c>
      <c r="J389" t="s">
        <v>14</v>
      </c>
      <c r="K389" t="s">
        <v>63</v>
      </c>
      <c r="M389" s="10">
        <v>9450000</v>
      </c>
      <c r="N389" t="s">
        <v>704</v>
      </c>
      <c r="Q389" s="11" t="s">
        <v>1036</v>
      </c>
    </row>
    <row r="390" spans="1:17" x14ac:dyDescent="0.25">
      <c r="A390" t="s">
        <v>1064</v>
      </c>
      <c r="B390" t="s">
        <v>13</v>
      </c>
      <c r="C390">
        <v>46038</v>
      </c>
      <c r="D390">
        <v>46069</v>
      </c>
      <c r="E390" t="s">
        <v>775</v>
      </c>
      <c r="F390" t="s">
        <v>14</v>
      </c>
      <c r="G390">
        <v>1233192104</v>
      </c>
      <c r="H390" t="s">
        <v>514</v>
      </c>
      <c r="I390">
        <v>59836926</v>
      </c>
      <c r="J390" t="s">
        <v>14</v>
      </c>
      <c r="K390" t="s">
        <v>17</v>
      </c>
      <c r="M390" s="10">
        <v>3150000</v>
      </c>
      <c r="N390" t="s">
        <v>704</v>
      </c>
      <c r="Q390" s="11" t="s">
        <v>1036</v>
      </c>
    </row>
    <row r="391" spans="1:17" x14ac:dyDescent="0.25">
      <c r="A391" t="s">
        <v>1065</v>
      </c>
      <c r="B391" t="s">
        <v>13</v>
      </c>
      <c r="C391">
        <v>46038</v>
      </c>
      <c r="D391">
        <v>46128</v>
      </c>
      <c r="E391" t="s">
        <v>775</v>
      </c>
      <c r="F391" t="s">
        <v>14</v>
      </c>
      <c r="G391">
        <v>27088197</v>
      </c>
      <c r="H391" t="s">
        <v>62</v>
      </c>
      <c r="I391">
        <v>59836926</v>
      </c>
      <c r="J391" t="s">
        <v>14</v>
      </c>
      <c r="K391" t="s">
        <v>17</v>
      </c>
      <c r="M391" s="10">
        <v>9450000</v>
      </c>
      <c r="N391" t="s">
        <v>704</v>
      </c>
      <c r="Q391" s="11" t="s">
        <v>1036</v>
      </c>
    </row>
    <row r="392" spans="1:17" x14ac:dyDescent="0.25">
      <c r="A392" t="s">
        <v>1066</v>
      </c>
      <c r="B392" t="s">
        <v>13</v>
      </c>
      <c r="C392">
        <v>46038</v>
      </c>
      <c r="D392">
        <v>46069</v>
      </c>
      <c r="E392" t="s">
        <v>775</v>
      </c>
      <c r="F392" t="s">
        <v>14</v>
      </c>
      <c r="G392">
        <v>1081272318</v>
      </c>
      <c r="H392" t="s">
        <v>393</v>
      </c>
      <c r="I392">
        <v>43624414</v>
      </c>
      <c r="J392" t="s">
        <v>14</v>
      </c>
      <c r="K392" t="s">
        <v>18</v>
      </c>
      <c r="M392" s="10">
        <v>3150000</v>
      </c>
      <c r="N392" t="s">
        <v>704</v>
      </c>
      <c r="Q392" s="11" t="s">
        <v>1036</v>
      </c>
    </row>
    <row r="393" spans="1:17" x14ac:dyDescent="0.25">
      <c r="A393" t="s">
        <v>1067</v>
      </c>
      <c r="B393" t="s">
        <v>13</v>
      </c>
      <c r="C393">
        <v>46038</v>
      </c>
      <c r="D393">
        <v>46189</v>
      </c>
      <c r="E393" t="s">
        <v>775</v>
      </c>
      <c r="F393" t="s">
        <v>14</v>
      </c>
      <c r="G393">
        <v>1233191675</v>
      </c>
      <c r="H393" t="s">
        <v>28</v>
      </c>
      <c r="I393">
        <v>98390119</v>
      </c>
      <c r="J393" t="s">
        <v>14</v>
      </c>
      <c r="K393" t="s">
        <v>63</v>
      </c>
      <c r="M393" s="10">
        <v>15750000</v>
      </c>
      <c r="N393" t="s">
        <v>704</v>
      </c>
      <c r="Q393" s="11" t="s">
        <v>1036</v>
      </c>
    </row>
    <row r="394" spans="1:17" x14ac:dyDescent="0.25">
      <c r="A394" t="s">
        <v>1068</v>
      </c>
      <c r="B394" t="s">
        <v>13</v>
      </c>
      <c r="C394">
        <v>46038</v>
      </c>
      <c r="D394">
        <v>46128</v>
      </c>
      <c r="E394" t="s">
        <v>775</v>
      </c>
      <c r="F394" t="s">
        <v>14</v>
      </c>
      <c r="G394">
        <v>1193224810</v>
      </c>
      <c r="H394" t="s">
        <v>31</v>
      </c>
      <c r="I394">
        <v>98333941</v>
      </c>
      <c r="J394" t="s">
        <v>14</v>
      </c>
      <c r="K394" t="s">
        <v>15</v>
      </c>
      <c r="M394" s="10">
        <v>9450000</v>
      </c>
      <c r="N394" t="s">
        <v>704</v>
      </c>
      <c r="Q394" s="11" t="s">
        <v>1036</v>
      </c>
    </row>
    <row r="395" spans="1:17" x14ac:dyDescent="0.25">
      <c r="A395" t="s">
        <v>1030</v>
      </c>
      <c r="B395" t="s">
        <v>13</v>
      </c>
      <c r="C395">
        <v>46038</v>
      </c>
      <c r="D395">
        <v>46128</v>
      </c>
      <c r="E395" t="s">
        <v>775</v>
      </c>
      <c r="F395" t="s">
        <v>14</v>
      </c>
      <c r="G395">
        <v>1004543161</v>
      </c>
      <c r="H395" t="s">
        <v>866</v>
      </c>
      <c r="I395">
        <v>59836926</v>
      </c>
      <c r="J395" t="s">
        <v>14</v>
      </c>
      <c r="K395" t="s">
        <v>17</v>
      </c>
      <c r="M395" s="10">
        <v>9450000</v>
      </c>
      <c r="N395" t="s">
        <v>704</v>
      </c>
      <c r="Q395" s="11" t="s">
        <v>1036</v>
      </c>
    </row>
    <row r="396" spans="1:17" x14ac:dyDescent="0.25">
      <c r="A396" t="s">
        <v>1069</v>
      </c>
      <c r="B396" t="s">
        <v>13</v>
      </c>
      <c r="C396">
        <v>46038</v>
      </c>
      <c r="D396">
        <v>46189</v>
      </c>
      <c r="E396" t="s">
        <v>775</v>
      </c>
      <c r="F396" t="s">
        <v>14</v>
      </c>
      <c r="G396">
        <v>1085315013</v>
      </c>
      <c r="H396" t="s">
        <v>60</v>
      </c>
      <c r="I396">
        <v>98390119</v>
      </c>
      <c r="J396" t="s">
        <v>14</v>
      </c>
      <c r="K396" t="s">
        <v>63</v>
      </c>
      <c r="M396" s="10">
        <v>15750000</v>
      </c>
      <c r="N396" t="s">
        <v>704</v>
      </c>
      <c r="Q396" s="11" t="s">
        <v>1036</v>
      </c>
    </row>
    <row r="397" spans="1:17" x14ac:dyDescent="0.25">
      <c r="A397" t="s">
        <v>1070</v>
      </c>
      <c r="B397" t="s">
        <v>13</v>
      </c>
      <c r="C397">
        <v>46038</v>
      </c>
      <c r="D397">
        <v>46189</v>
      </c>
      <c r="E397" t="s">
        <v>775</v>
      </c>
      <c r="F397" t="s">
        <v>14</v>
      </c>
      <c r="G397">
        <v>1193271485</v>
      </c>
      <c r="H397" t="s">
        <v>204</v>
      </c>
      <c r="I397">
        <v>98390119</v>
      </c>
      <c r="J397" t="s">
        <v>14</v>
      </c>
      <c r="K397" t="s">
        <v>63</v>
      </c>
      <c r="M397" s="10">
        <v>31500000</v>
      </c>
      <c r="N397" t="s">
        <v>704</v>
      </c>
      <c r="Q397" s="11" t="s">
        <v>1036</v>
      </c>
    </row>
    <row r="398" spans="1:17" x14ac:dyDescent="0.25">
      <c r="A398" t="s">
        <v>1071</v>
      </c>
      <c r="B398" t="s">
        <v>13</v>
      </c>
      <c r="C398">
        <v>46038</v>
      </c>
      <c r="D398">
        <v>46128</v>
      </c>
      <c r="E398" t="s">
        <v>775</v>
      </c>
      <c r="F398" t="s">
        <v>14</v>
      </c>
      <c r="G398">
        <v>1081053045</v>
      </c>
      <c r="H398" t="s">
        <v>287</v>
      </c>
      <c r="I398">
        <v>98333941</v>
      </c>
      <c r="J398" t="s">
        <v>14</v>
      </c>
      <c r="K398" t="s">
        <v>15</v>
      </c>
      <c r="M398" s="10">
        <v>9450000</v>
      </c>
      <c r="N398" t="s">
        <v>704</v>
      </c>
      <c r="Q398" s="11" t="s">
        <v>1036</v>
      </c>
    </row>
    <row r="399" spans="1:17" x14ac:dyDescent="0.25">
      <c r="A399" t="s">
        <v>1072</v>
      </c>
      <c r="B399" t="s">
        <v>13</v>
      </c>
      <c r="C399">
        <v>46038</v>
      </c>
      <c r="D399">
        <v>46128</v>
      </c>
      <c r="E399" t="s">
        <v>775</v>
      </c>
      <c r="F399" t="s">
        <v>14</v>
      </c>
      <c r="G399">
        <v>1085275400</v>
      </c>
      <c r="H399" t="s">
        <v>145</v>
      </c>
      <c r="I399">
        <v>43624414</v>
      </c>
      <c r="J399" t="s">
        <v>14</v>
      </c>
      <c r="K399" t="s">
        <v>18</v>
      </c>
      <c r="M399" s="10">
        <v>9450000</v>
      </c>
      <c r="N399" t="s">
        <v>704</v>
      </c>
      <c r="Q399" s="11" t="s">
        <v>1036</v>
      </c>
    </row>
    <row r="400" spans="1:17" x14ac:dyDescent="0.25">
      <c r="A400" t="s">
        <v>1073</v>
      </c>
      <c r="B400" t="s">
        <v>13</v>
      </c>
      <c r="C400">
        <v>46038</v>
      </c>
      <c r="D400">
        <v>46069</v>
      </c>
      <c r="E400" t="s">
        <v>775</v>
      </c>
      <c r="F400" t="s">
        <v>14</v>
      </c>
      <c r="G400">
        <v>1193035720</v>
      </c>
      <c r="H400" t="s">
        <v>904</v>
      </c>
      <c r="I400">
        <v>43624414</v>
      </c>
      <c r="J400" t="s">
        <v>14</v>
      </c>
      <c r="K400" t="s">
        <v>18</v>
      </c>
      <c r="M400" s="10">
        <v>3150000</v>
      </c>
      <c r="N400" t="s">
        <v>704</v>
      </c>
      <c r="Q400" s="11" t="s">
        <v>1036</v>
      </c>
    </row>
    <row r="401" spans="1:17" x14ac:dyDescent="0.25">
      <c r="A401" t="s">
        <v>1074</v>
      </c>
      <c r="B401" t="s">
        <v>13</v>
      </c>
      <c r="C401">
        <v>46038</v>
      </c>
      <c r="D401">
        <v>46069</v>
      </c>
      <c r="E401" t="s">
        <v>775</v>
      </c>
      <c r="F401" t="s">
        <v>14</v>
      </c>
      <c r="G401">
        <v>59813323</v>
      </c>
      <c r="H401" t="s">
        <v>74</v>
      </c>
      <c r="I401">
        <v>59836926</v>
      </c>
      <c r="J401" t="s">
        <v>14</v>
      </c>
      <c r="K401" t="s">
        <v>17</v>
      </c>
      <c r="M401" s="10">
        <v>3150000</v>
      </c>
      <c r="N401" t="s">
        <v>704</v>
      </c>
      <c r="Q401" s="11" t="s">
        <v>1036</v>
      </c>
    </row>
    <row r="402" spans="1:17" x14ac:dyDescent="0.25">
      <c r="A402" t="s">
        <v>1075</v>
      </c>
      <c r="B402" t="s">
        <v>13</v>
      </c>
      <c r="C402">
        <v>46038</v>
      </c>
      <c r="D402">
        <v>46128</v>
      </c>
      <c r="E402" t="s">
        <v>775</v>
      </c>
      <c r="F402" t="s">
        <v>14</v>
      </c>
      <c r="G402">
        <v>1004592366</v>
      </c>
      <c r="H402" t="s">
        <v>449</v>
      </c>
      <c r="I402">
        <v>43624414</v>
      </c>
      <c r="J402" t="s">
        <v>14</v>
      </c>
      <c r="K402" t="s">
        <v>18</v>
      </c>
      <c r="M402" s="10">
        <v>9450000</v>
      </c>
      <c r="N402" t="s">
        <v>704</v>
      </c>
      <c r="Q402" s="11" t="s">
        <v>1036</v>
      </c>
    </row>
    <row r="403" spans="1:17" x14ac:dyDescent="0.25">
      <c r="A403" t="s">
        <v>1076</v>
      </c>
      <c r="B403" t="s">
        <v>13</v>
      </c>
      <c r="C403">
        <v>46038</v>
      </c>
      <c r="D403">
        <v>46128</v>
      </c>
      <c r="E403" t="s">
        <v>775</v>
      </c>
      <c r="F403" t="s">
        <v>14</v>
      </c>
      <c r="G403">
        <v>1085253062</v>
      </c>
      <c r="H403" t="s">
        <v>316</v>
      </c>
      <c r="I403">
        <v>43624414</v>
      </c>
      <c r="J403" t="s">
        <v>14</v>
      </c>
      <c r="K403" t="s">
        <v>18</v>
      </c>
      <c r="M403" s="10">
        <v>18900000</v>
      </c>
      <c r="N403" t="s">
        <v>704</v>
      </c>
      <c r="Q403" s="11" t="s">
        <v>1036</v>
      </c>
    </row>
    <row r="404" spans="1:17" x14ac:dyDescent="0.25">
      <c r="A404" t="s">
        <v>1077</v>
      </c>
      <c r="B404" t="s">
        <v>13</v>
      </c>
      <c r="C404">
        <v>46038</v>
      </c>
      <c r="D404">
        <v>46069</v>
      </c>
      <c r="E404" t="s">
        <v>775</v>
      </c>
      <c r="F404" t="s">
        <v>14</v>
      </c>
      <c r="G404">
        <v>87030128</v>
      </c>
      <c r="H404" t="s">
        <v>101</v>
      </c>
      <c r="I404">
        <v>98390119</v>
      </c>
      <c r="J404" t="s">
        <v>14</v>
      </c>
      <c r="K404" t="s">
        <v>63</v>
      </c>
      <c r="M404" s="10">
        <v>3150000</v>
      </c>
      <c r="N404" t="s">
        <v>704</v>
      </c>
      <c r="Q404" s="11" t="s">
        <v>1036</v>
      </c>
    </row>
    <row r="405" spans="1:17" x14ac:dyDescent="0.25">
      <c r="A405" t="s">
        <v>1078</v>
      </c>
      <c r="B405" t="s">
        <v>13</v>
      </c>
      <c r="C405">
        <v>46038</v>
      </c>
      <c r="D405">
        <v>46189</v>
      </c>
      <c r="E405" t="s">
        <v>775</v>
      </c>
      <c r="F405" t="s">
        <v>14</v>
      </c>
      <c r="G405">
        <v>59310524</v>
      </c>
      <c r="H405" t="s">
        <v>22</v>
      </c>
      <c r="I405">
        <v>59836926</v>
      </c>
      <c r="J405" t="s">
        <v>14</v>
      </c>
      <c r="K405" t="s">
        <v>17</v>
      </c>
      <c r="M405" s="10">
        <v>15750000</v>
      </c>
      <c r="N405" t="s">
        <v>704</v>
      </c>
      <c r="Q405" s="11" t="s">
        <v>1036</v>
      </c>
    </row>
    <row r="406" spans="1:17" x14ac:dyDescent="0.25">
      <c r="A406" t="s">
        <v>1022</v>
      </c>
      <c r="B406" t="s">
        <v>13</v>
      </c>
      <c r="C406">
        <v>46038</v>
      </c>
      <c r="D406">
        <v>46069</v>
      </c>
      <c r="E406" t="s">
        <v>775</v>
      </c>
      <c r="F406" t="s">
        <v>14</v>
      </c>
      <c r="G406">
        <v>1086360087</v>
      </c>
      <c r="H406" t="s">
        <v>397</v>
      </c>
      <c r="I406">
        <v>98390119</v>
      </c>
      <c r="J406" t="s">
        <v>14</v>
      </c>
      <c r="K406" t="s">
        <v>63</v>
      </c>
      <c r="M406" s="10">
        <v>6300000</v>
      </c>
      <c r="N406" t="s">
        <v>704</v>
      </c>
      <c r="Q406" s="11" t="s">
        <v>1036</v>
      </c>
    </row>
    <row r="407" spans="1:17" x14ac:dyDescent="0.25">
      <c r="A407" t="s">
        <v>1079</v>
      </c>
      <c r="B407" t="s">
        <v>13</v>
      </c>
      <c r="C407">
        <v>46038</v>
      </c>
      <c r="D407">
        <v>46128</v>
      </c>
      <c r="E407" t="s">
        <v>775</v>
      </c>
      <c r="F407" t="s">
        <v>14</v>
      </c>
      <c r="G407">
        <v>1081572042</v>
      </c>
      <c r="H407" t="s">
        <v>641</v>
      </c>
      <c r="I407">
        <v>98390119</v>
      </c>
      <c r="J407" t="s">
        <v>14</v>
      </c>
      <c r="K407" t="s">
        <v>63</v>
      </c>
      <c r="M407" s="10">
        <v>9450000</v>
      </c>
      <c r="N407" t="s">
        <v>704</v>
      </c>
      <c r="Q407" s="11" t="s">
        <v>1036</v>
      </c>
    </row>
    <row r="408" spans="1:17" x14ac:dyDescent="0.25">
      <c r="A408" t="s">
        <v>1080</v>
      </c>
      <c r="B408" t="s">
        <v>13</v>
      </c>
      <c r="C408">
        <v>46038</v>
      </c>
      <c r="D408">
        <v>46128</v>
      </c>
      <c r="E408" t="s">
        <v>744</v>
      </c>
      <c r="F408" t="s">
        <v>14</v>
      </c>
      <c r="G408">
        <v>1233193848</v>
      </c>
      <c r="H408" t="s">
        <v>455</v>
      </c>
      <c r="I408">
        <v>43624414</v>
      </c>
      <c r="J408" t="s">
        <v>14</v>
      </c>
      <c r="K408" t="s">
        <v>18</v>
      </c>
      <c r="M408" s="10">
        <v>23400000</v>
      </c>
      <c r="N408" t="s">
        <v>704</v>
      </c>
      <c r="Q408" s="11" t="s">
        <v>1036</v>
      </c>
    </row>
    <row r="409" spans="1:17" x14ac:dyDescent="0.25">
      <c r="A409" t="s">
        <v>1081</v>
      </c>
      <c r="B409" t="s">
        <v>13</v>
      </c>
      <c r="C409">
        <v>46038</v>
      </c>
      <c r="D409">
        <v>46069</v>
      </c>
      <c r="E409" t="s">
        <v>775</v>
      </c>
      <c r="F409" t="s">
        <v>14</v>
      </c>
      <c r="G409">
        <v>1085254153</v>
      </c>
      <c r="H409" t="s">
        <v>308</v>
      </c>
      <c r="I409">
        <v>59836926</v>
      </c>
      <c r="J409" t="s">
        <v>14</v>
      </c>
      <c r="K409" t="s">
        <v>17</v>
      </c>
      <c r="M409" s="10">
        <v>6300000</v>
      </c>
      <c r="N409" t="s">
        <v>704</v>
      </c>
      <c r="Q409" s="11" t="s">
        <v>1036</v>
      </c>
    </row>
    <row r="410" spans="1:17" x14ac:dyDescent="0.25">
      <c r="A410" t="s">
        <v>1082</v>
      </c>
      <c r="B410" t="s">
        <v>13</v>
      </c>
      <c r="C410">
        <v>46038</v>
      </c>
      <c r="D410">
        <v>46069</v>
      </c>
      <c r="E410" t="s">
        <v>775</v>
      </c>
      <c r="F410" t="s">
        <v>14</v>
      </c>
      <c r="G410">
        <v>1085265947</v>
      </c>
      <c r="H410" t="s">
        <v>278</v>
      </c>
      <c r="I410">
        <v>59836926</v>
      </c>
      <c r="J410" t="s">
        <v>14</v>
      </c>
      <c r="K410" t="s">
        <v>17</v>
      </c>
      <c r="M410" s="10">
        <v>3150000</v>
      </c>
      <c r="N410" t="s">
        <v>704</v>
      </c>
      <c r="Q410" s="11" t="s">
        <v>1036</v>
      </c>
    </row>
    <row r="411" spans="1:17" x14ac:dyDescent="0.25">
      <c r="A411" t="s">
        <v>1027</v>
      </c>
      <c r="B411" t="s">
        <v>13</v>
      </c>
      <c r="C411">
        <v>46038</v>
      </c>
      <c r="D411">
        <v>46189</v>
      </c>
      <c r="E411" t="s">
        <v>775</v>
      </c>
      <c r="F411" t="s">
        <v>14</v>
      </c>
      <c r="G411">
        <v>1085286476</v>
      </c>
      <c r="H411" t="s">
        <v>842</v>
      </c>
      <c r="I411">
        <v>59836926</v>
      </c>
      <c r="J411" t="s">
        <v>14</v>
      </c>
      <c r="K411" t="s">
        <v>17</v>
      </c>
      <c r="M411" s="10">
        <v>31500000</v>
      </c>
      <c r="N411" t="s">
        <v>704</v>
      </c>
      <c r="Q411" s="11" t="s">
        <v>1036</v>
      </c>
    </row>
    <row r="412" spans="1:17" x14ac:dyDescent="0.25">
      <c r="A412" t="s">
        <v>1083</v>
      </c>
      <c r="B412" t="s">
        <v>13</v>
      </c>
      <c r="C412">
        <v>46038</v>
      </c>
      <c r="D412">
        <v>46128</v>
      </c>
      <c r="E412" t="s">
        <v>775</v>
      </c>
      <c r="F412" t="s">
        <v>14</v>
      </c>
      <c r="G412">
        <v>1010010954</v>
      </c>
      <c r="H412" t="s">
        <v>379</v>
      </c>
      <c r="I412">
        <v>43624414</v>
      </c>
      <c r="J412" t="s">
        <v>14</v>
      </c>
      <c r="K412" t="s">
        <v>18</v>
      </c>
      <c r="M412" s="10">
        <v>18900000</v>
      </c>
      <c r="N412" t="s">
        <v>704</v>
      </c>
      <c r="Q412" s="11" t="s">
        <v>1036</v>
      </c>
    </row>
    <row r="413" spans="1:17" x14ac:dyDescent="0.25">
      <c r="A413" t="s">
        <v>1084</v>
      </c>
      <c r="B413" t="s">
        <v>13</v>
      </c>
      <c r="C413">
        <v>46038</v>
      </c>
      <c r="D413">
        <v>46069</v>
      </c>
      <c r="E413" t="s">
        <v>775</v>
      </c>
      <c r="F413" t="s">
        <v>14</v>
      </c>
      <c r="G413">
        <v>36757221</v>
      </c>
      <c r="H413" t="s">
        <v>482</v>
      </c>
      <c r="I413">
        <v>43624414</v>
      </c>
      <c r="J413" t="s">
        <v>14</v>
      </c>
      <c r="K413" t="s">
        <v>18</v>
      </c>
      <c r="M413" s="10">
        <v>6300000</v>
      </c>
      <c r="N413" t="s">
        <v>704</v>
      </c>
      <c r="Q413" s="11" t="s">
        <v>1036</v>
      </c>
    </row>
    <row r="414" spans="1:17" x14ac:dyDescent="0.25">
      <c r="A414" t="s">
        <v>1085</v>
      </c>
      <c r="B414" t="s">
        <v>13</v>
      </c>
      <c r="C414">
        <v>46038</v>
      </c>
      <c r="D414">
        <v>46189</v>
      </c>
      <c r="E414" t="s">
        <v>775</v>
      </c>
      <c r="F414" t="s">
        <v>14</v>
      </c>
      <c r="G414">
        <v>1084224761</v>
      </c>
      <c r="H414" t="s">
        <v>504</v>
      </c>
      <c r="I414">
        <v>98333941</v>
      </c>
      <c r="J414" t="s">
        <v>14</v>
      </c>
      <c r="K414" t="s">
        <v>15</v>
      </c>
      <c r="M414" s="10">
        <v>31500000</v>
      </c>
      <c r="N414" t="s">
        <v>704</v>
      </c>
      <c r="Q414" s="11" t="s">
        <v>1036</v>
      </c>
    </row>
    <row r="415" spans="1:17" x14ac:dyDescent="0.25">
      <c r="A415" t="s">
        <v>1086</v>
      </c>
      <c r="B415" t="s">
        <v>13</v>
      </c>
      <c r="C415">
        <v>46038</v>
      </c>
      <c r="D415">
        <v>46189</v>
      </c>
      <c r="E415" t="s">
        <v>775</v>
      </c>
      <c r="F415" t="s">
        <v>14</v>
      </c>
      <c r="G415">
        <v>59836480</v>
      </c>
      <c r="H415" t="s">
        <v>181</v>
      </c>
      <c r="I415">
        <v>43624414</v>
      </c>
      <c r="J415" t="s">
        <v>14</v>
      </c>
      <c r="K415" t="s">
        <v>18</v>
      </c>
      <c r="M415" s="10">
        <v>31500000</v>
      </c>
      <c r="N415" t="s">
        <v>704</v>
      </c>
      <c r="Q415" s="11" t="s">
        <v>1036</v>
      </c>
    </row>
    <row r="416" spans="1:17" x14ac:dyDescent="0.25">
      <c r="A416" t="s">
        <v>1087</v>
      </c>
      <c r="B416" t="s">
        <v>13</v>
      </c>
      <c r="C416">
        <v>46038</v>
      </c>
      <c r="D416">
        <v>46189</v>
      </c>
      <c r="E416" t="s">
        <v>775</v>
      </c>
      <c r="F416" t="s">
        <v>14</v>
      </c>
      <c r="G416">
        <v>1085299577</v>
      </c>
      <c r="H416" t="s">
        <v>527</v>
      </c>
      <c r="I416">
        <v>98390119</v>
      </c>
      <c r="J416" t="s">
        <v>14</v>
      </c>
      <c r="K416" t="s">
        <v>63</v>
      </c>
      <c r="M416" s="10">
        <v>31500000</v>
      </c>
      <c r="N416" t="s">
        <v>704</v>
      </c>
      <c r="Q416" s="11" t="s">
        <v>1036</v>
      </c>
    </row>
    <row r="417" spans="1:17" x14ac:dyDescent="0.25">
      <c r="A417" t="s">
        <v>1088</v>
      </c>
      <c r="B417" t="s">
        <v>13</v>
      </c>
      <c r="C417">
        <v>46038</v>
      </c>
      <c r="D417">
        <v>46069</v>
      </c>
      <c r="E417" t="s">
        <v>744</v>
      </c>
      <c r="F417" t="s">
        <v>14</v>
      </c>
      <c r="G417">
        <v>59824313</v>
      </c>
      <c r="H417" t="s">
        <v>480</v>
      </c>
      <c r="I417">
        <v>98390119</v>
      </c>
      <c r="J417" t="s">
        <v>14</v>
      </c>
      <c r="K417" t="s">
        <v>63</v>
      </c>
      <c r="M417" s="10">
        <v>4730000</v>
      </c>
      <c r="N417" t="s">
        <v>704</v>
      </c>
      <c r="Q417" s="11" t="s">
        <v>1036</v>
      </c>
    </row>
    <row r="418" spans="1:17" x14ac:dyDescent="0.25">
      <c r="A418" t="s">
        <v>1089</v>
      </c>
      <c r="B418" t="s">
        <v>13</v>
      </c>
      <c r="C418">
        <v>46038</v>
      </c>
      <c r="D418">
        <v>46128</v>
      </c>
      <c r="E418" t="s">
        <v>775</v>
      </c>
      <c r="F418" t="s">
        <v>14</v>
      </c>
      <c r="G418">
        <v>69028150</v>
      </c>
      <c r="H418" t="s">
        <v>21</v>
      </c>
      <c r="I418">
        <v>59836926</v>
      </c>
      <c r="J418" t="s">
        <v>14</v>
      </c>
      <c r="K418" t="s">
        <v>17</v>
      </c>
      <c r="M418" s="10">
        <v>9450000</v>
      </c>
      <c r="N418" t="s">
        <v>704</v>
      </c>
      <c r="Q418" s="11" t="s">
        <v>1036</v>
      </c>
    </row>
    <row r="419" spans="1:17" x14ac:dyDescent="0.25">
      <c r="A419" t="s">
        <v>1090</v>
      </c>
      <c r="B419" t="s">
        <v>13</v>
      </c>
      <c r="C419">
        <v>46041</v>
      </c>
      <c r="D419">
        <v>46072</v>
      </c>
      <c r="E419" t="s">
        <v>775</v>
      </c>
      <c r="F419" t="s">
        <v>14</v>
      </c>
      <c r="G419">
        <v>1085277976</v>
      </c>
      <c r="H419" t="s">
        <v>681</v>
      </c>
      <c r="I419">
        <v>43624414</v>
      </c>
      <c r="J419" t="s">
        <v>14</v>
      </c>
      <c r="K419" t="s">
        <v>18</v>
      </c>
      <c r="M419" s="10">
        <v>6300000</v>
      </c>
      <c r="N419" t="s">
        <v>704</v>
      </c>
      <c r="Q419" s="11" t="s">
        <v>1036</v>
      </c>
    </row>
    <row r="420" spans="1:17" x14ac:dyDescent="0.25">
      <c r="A420" t="s">
        <v>1091</v>
      </c>
      <c r="B420" t="s">
        <v>13</v>
      </c>
      <c r="C420">
        <v>46041</v>
      </c>
      <c r="D420">
        <v>46131</v>
      </c>
      <c r="E420" t="s">
        <v>775</v>
      </c>
      <c r="F420" t="s">
        <v>14</v>
      </c>
      <c r="G420">
        <v>27285974</v>
      </c>
      <c r="H420" t="s">
        <v>283</v>
      </c>
      <c r="I420">
        <v>59836926</v>
      </c>
      <c r="J420" t="s">
        <v>14</v>
      </c>
      <c r="K420" t="s">
        <v>17</v>
      </c>
      <c r="M420" s="10">
        <v>9450000</v>
      </c>
      <c r="N420" t="s">
        <v>704</v>
      </c>
      <c r="Q420" s="11" t="s">
        <v>1036</v>
      </c>
    </row>
    <row r="421" spans="1:17" x14ac:dyDescent="0.25">
      <c r="A421" t="s">
        <v>1092</v>
      </c>
      <c r="B421" t="s">
        <v>13</v>
      </c>
      <c r="C421">
        <v>46041</v>
      </c>
      <c r="D421">
        <v>46131</v>
      </c>
      <c r="E421" t="s">
        <v>775</v>
      </c>
      <c r="F421" t="s">
        <v>14</v>
      </c>
      <c r="G421">
        <v>37083086</v>
      </c>
      <c r="H421" t="s">
        <v>354</v>
      </c>
      <c r="I421">
        <v>98333941</v>
      </c>
      <c r="J421" t="s">
        <v>14</v>
      </c>
      <c r="K421" t="s">
        <v>15</v>
      </c>
      <c r="M421" s="10">
        <v>9450000</v>
      </c>
      <c r="N421" t="s">
        <v>704</v>
      </c>
      <c r="Q421" s="11" t="s">
        <v>1036</v>
      </c>
    </row>
    <row r="422" spans="1:17" x14ac:dyDescent="0.25">
      <c r="A422" t="s">
        <v>1093</v>
      </c>
      <c r="B422" t="s">
        <v>13</v>
      </c>
      <c r="C422">
        <v>46041</v>
      </c>
      <c r="D422">
        <v>46131</v>
      </c>
      <c r="E422" t="s">
        <v>775</v>
      </c>
      <c r="F422" t="s">
        <v>14</v>
      </c>
      <c r="G422">
        <v>59311295</v>
      </c>
      <c r="H422" t="s">
        <v>606</v>
      </c>
      <c r="I422">
        <v>43624414</v>
      </c>
      <c r="J422" t="s">
        <v>14</v>
      </c>
      <c r="K422" t="s">
        <v>18</v>
      </c>
      <c r="M422" s="10">
        <v>9450000</v>
      </c>
      <c r="N422" t="s">
        <v>704</v>
      </c>
      <c r="Q422" s="11" t="s">
        <v>1036</v>
      </c>
    </row>
    <row r="423" spans="1:17" x14ac:dyDescent="0.25">
      <c r="A423" t="s">
        <v>1094</v>
      </c>
      <c r="B423" t="s">
        <v>13</v>
      </c>
      <c r="C423">
        <v>46041</v>
      </c>
      <c r="D423">
        <v>46131</v>
      </c>
      <c r="E423" t="s">
        <v>775</v>
      </c>
      <c r="F423" t="s">
        <v>14</v>
      </c>
      <c r="G423">
        <v>1087960258</v>
      </c>
      <c r="H423" t="s">
        <v>865</v>
      </c>
      <c r="I423">
        <v>98333941</v>
      </c>
      <c r="J423" t="s">
        <v>14</v>
      </c>
      <c r="K423" t="s">
        <v>15</v>
      </c>
      <c r="M423" s="10">
        <v>9450000</v>
      </c>
      <c r="N423" t="s">
        <v>704</v>
      </c>
      <c r="Q423" s="11" t="s">
        <v>1036</v>
      </c>
    </row>
    <row r="424" spans="1:17" x14ac:dyDescent="0.25">
      <c r="A424" t="s">
        <v>1095</v>
      </c>
      <c r="B424" t="s">
        <v>13</v>
      </c>
      <c r="C424">
        <v>46041</v>
      </c>
      <c r="D424">
        <v>46131</v>
      </c>
      <c r="E424" t="s">
        <v>744</v>
      </c>
      <c r="F424" t="s">
        <v>14</v>
      </c>
      <c r="G424">
        <v>59312865</v>
      </c>
      <c r="H424" t="s">
        <v>534</v>
      </c>
      <c r="I424">
        <v>43624414</v>
      </c>
      <c r="J424" t="s">
        <v>14</v>
      </c>
      <c r="K424" t="s">
        <v>18</v>
      </c>
      <c r="M424" s="10">
        <v>14190000</v>
      </c>
      <c r="N424" t="s">
        <v>704</v>
      </c>
      <c r="Q424" s="11" t="s">
        <v>1036</v>
      </c>
    </row>
    <row r="425" spans="1:17" x14ac:dyDescent="0.25">
      <c r="A425" t="s">
        <v>1096</v>
      </c>
      <c r="B425" t="s">
        <v>13</v>
      </c>
      <c r="C425">
        <v>46041</v>
      </c>
      <c r="D425">
        <v>46072</v>
      </c>
      <c r="E425" t="s">
        <v>744</v>
      </c>
      <c r="F425" t="s">
        <v>14</v>
      </c>
      <c r="G425">
        <v>59651018</v>
      </c>
      <c r="H425" t="s">
        <v>839</v>
      </c>
      <c r="I425">
        <v>43624414</v>
      </c>
      <c r="J425" t="s">
        <v>14</v>
      </c>
      <c r="K425" t="s">
        <v>18</v>
      </c>
      <c r="M425" s="10">
        <v>4730000</v>
      </c>
      <c r="N425" t="s">
        <v>704</v>
      </c>
      <c r="Q425" s="11" t="s">
        <v>1036</v>
      </c>
    </row>
    <row r="426" spans="1:17" x14ac:dyDescent="0.25">
      <c r="A426" t="s">
        <v>1097</v>
      </c>
      <c r="B426" t="s">
        <v>13</v>
      </c>
      <c r="C426">
        <v>46041</v>
      </c>
      <c r="D426">
        <v>46072</v>
      </c>
      <c r="E426" t="s">
        <v>775</v>
      </c>
      <c r="F426" t="s">
        <v>14</v>
      </c>
      <c r="G426">
        <v>1004134014</v>
      </c>
      <c r="H426" t="s">
        <v>633</v>
      </c>
      <c r="I426">
        <v>43624414</v>
      </c>
      <c r="J426" t="s">
        <v>14</v>
      </c>
      <c r="K426" t="s">
        <v>18</v>
      </c>
      <c r="M426" s="10">
        <v>3150000</v>
      </c>
      <c r="N426" t="s">
        <v>704</v>
      </c>
      <c r="Q426" s="11" t="s">
        <v>1036</v>
      </c>
    </row>
    <row r="427" spans="1:17" x14ac:dyDescent="0.25">
      <c r="A427" t="s">
        <v>1098</v>
      </c>
      <c r="B427" t="s">
        <v>13</v>
      </c>
      <c r="C427">
        <v>46041</v>
      </c>
      <c r="D427">
        <v>46192</v>
      </c>
      <c r="E427" t="s">
        <v>744</v>
      </c>
      <c r="F427" t="s">
        <v>14</v>
      </c>
      <c r="G427">
        <v>37084258</v>
      </c>
      <c r="H427" t="s">
        <v>901</v>
      </c>
      <c r="I427">
        <v>43624414</v>
      </c>
      <c r="J427" t="s">
        <v>14</v>
      </c>
      <c r="K427" t="s">
        <v>18</v>
      </c>
      <c r="M427" s="10">
        <v>23650000</v>
      </c>
      <c r="N427" t="s">
        <v>704</v>
      </c>
      <c r="Q427" s="11" t="s">
        <v>1036</v>
      </c>
    </row>
    <row r="428" spans="1:17" x14ac:dyDescent="0.25">
      <c r="A428" t="s">
        <v>1099</v>
      </c>
      <c r="B428" t="s">
        <v>13</v>
      </c>
      <c r="C428">
        <v>46041</v>
      </c>
      <c r="D428">
        <v>46131</v>
      </c>
      <c r="E428" t="s">
        <v>744</v>
      </c>
      <c r="F428" t="s">
        <v>14</v>
      </c>
      <c r="G428">
        <v>1005829176</v>
      </c>
      <c r="H428" t="s">
        <v>487</v>
      </c>
      <c r="I428">
        <v>59836926</v>
      </c>
      <c r="J428" t="s">
        <v>14</v>
      </c>
      <c r="K428" t="s">
        <v>17</v>
      </c>
      <c r="M428" s="10">
        <v>14190000</v>
      </c>
      <c r="N428" t="s">
        <v>704</v>
      </c>
      <c r="Q428" s="11" t="s">
        <v>1036</v>
      </c>
    </row>
    <row r="429" spans="1:17" x14ac:dyDescent="0.25">
      <c r="A429" t="s">
        <v>1100</v>
      </c>
      <c r="B429" t="s">
        <v>13</v>
      </c>
      <c r="C429">
        <v>46041</v>
      </c>
      <c r="D429">
        <v>46192</v>
      </c>
      <c r="E429" t="s">
        <v>744</v>
      </c>
      <c r="F429" t="s">
        <v>14</v>
      </c>
      <c r="G429">
        <v>27105277</v>
      </c>
      <c r="H429" t="s">
        <v>221</v>
      </c>
      <c r="I429">
        <v>59836926</v>
      </c>
      <c r="J429" t="s">
        <v>14</v>
      </c>
      <c r="K429" t="s">
        <v>17</v>
      </c>
      <c r="M429" s="10">
        <v>23650000</v>
      </c>
      <c r="N429" t="s">
        <v>704</v>
      </c>
      <c r="Q429" s="11" t="s">
        <v>1036</v>
      </c>
    </row>
    <row r="430" spans="1:17" x14ac:dyDescent="0.25">
      <c r="A430" t="s">
        <v>1101</v>
      </c>
      <c r="B430" t="s">
        <v>13</v>
      </c>
      <c r="C430">
        <v>46041</v>
      </c>
      <c r="D430">
        <v>46192</v>
      </c>
      <c r="E430" t="s">
        <v>775</v>
      </c>
      <c r="F430" t="s">
        <v>14</v>
      </c>
      <c r="G430">
        <v>27146489</v>
      </c>
      <c r="H430" t="s">
        <v>193</v>
      </c>
      <c r="I430">
        <v>98390119</v>
      </c>
      <c r="J430" t="s">
        <v>14</v>
      </c>
      <c r="K430" t="s">
        <v>63</v>
      </c>
      <c r="M430" s="10">
        <v>31500000</v>
      </c>
      <c r="N430" t="s">
        <v>704</v>
      </c>
      <c r="Q430" s="11" t="s">
        <v>1036</v>
      </c>
    </row>
    <row r="431" spans="1:17" x14ac:dyDescent="0.25">
      <c r="A431" t="s">
        <v>1102</v>
      </c>
      <c r="B431" t="s">
        <v>13</v>
      </c>
      <c r="C431">
        <v>46041</v>
      </c>
      <c r="D431">
        <v>46192</v>
      </c>
      <c r="E431" t="s">
        <v>744</v>
      </c>
      <c r="F431" t="s">
        <v>14</v>
      </c>
      <c r="G431">
        <v>52381227</v>
      </c>
      <c r="H431" t="s">
        <v>147</v>
      </c>
      <c r="I431">
        <v>98333941</v>
      </c>
      <c r="J431" t="s">
        <v>14</v>
      </c>
      <c r="K431" t="s">
        <v>15</v>
      </c>
      <c r="M431" s="10">
        <v>23650000</v>
      </c>
      <c r="N431" t="s">
        <v>704</v>
      </c>
      <c r="Q431" s="11" t="s">
        <v>1036</v>
      </c>
    </row>
    <row r="432" spans="1:17" x14ac:dyDescent="0.25">
      <c r="A432" t="s">
        <v>1103</v>
      </c>
      <c r="B432" t="s">
        <v>13</v>
      </c>
      <c r="C432">
        <v>46041</v>
      </c>
      <c r="D432">
        <v>46131</v>
      </c>
      <c r="E432" t="s">
        <v>744</v>
      </c>
      <c r="F432" t="s">
        <v>14</v>
      </c>
      <c r="G432">
        <v>1083814276</v>
      </c>
      <c r="H432" t="s">
        <v>590</v>
      </c>
      <c r="I432">
        <v>98333941</v>
      </c>
      <c r="J432" t="s">
        <v>14</v>
      </c>
      <c r="K432" t="s">
        <v>15</v>
      </c>
      <c r="M432" s="10">
        <v>23400000</v>
      </c>
      <c r="N432" t="s">
        <v>704</v>
      </c>
      <c r="Q432" s="11" t="s">
        <v>1036</v>
      </c>
    </row>
    <row r="433" spans="1:17" x14ac:dyDescent="0.25">
      <c r="A433" t="s">
        <v>1104</v>
      </c>
      <c r="B433" t="s">
        <v>13</v>
      </c>
      <c r="C433">
        <v>46041</v>
      </c>
      <c r="D433">
        <v>46131</v>
      </c>
      <c r="E433" t="s">
        <v>744</v>
      </c>
      <c r="F433" t="s">
        <v>14</v>
      </c>
      <c r="G433">
        <v>1084227101</v>
      </c>
      <c r="H433" t="s">
        <v>700</v>
      </c>
      <c r="I433">
        <v>98333941</v>
      </c>
      <c r="J433" t="s">
        <v>14</v>
      </c>
      <c r="K433" t="s">
        <v>15</v>
      </c>
      <c r="M433" s="10">
        <v>14190000</v>
      </c>
      <c r="N433" t="s">
        <v>704</v>
      </c>
      <c r="Q433" s="11" t="s">
        <v>1036</v>
      </c>
    </row>
    <row r="434" spans="1:17" x14ac:dyDescent="0.25">
      <c r="A434" t="s">
        <v>1105</v>
      </c>
      <c r="B434" t="s">
        <v>13</v>
      </c>
      <c r="C434">
        <v>46041</v>
      </c>
      <c r="D434">
        <v>46192</v>
      </c>
      <c r="E434" t="s">
        <v>744</v>
      </c>
      <c r="F434" t="s">
        <v>14</v>
      </c>
      <c r="G434">
        <v>1233193769</v>
      </c>
      <c r="H434" t="s">
        <v>890</v>
      </c>
      <c r="I434">
        <v>98390119</v>
      </c>
      <c r="J434" t="s">
        <v>14</v>
      </c>
      <c r="K434" t="s">
        <v>63</v>
      </c>
      <c r="M434" s="10">
        <v>39000000</v>
      </c>
      <c r="N434" t="s">
        <v>704</v>
      </c>
      <c r="Q434" s="11" t="s">
        <v>1036</v>
      </c>
    </row>
    <row r="435" spans="1:17" x14ac:dyDescent="0.25">
      <c r="A435" t="s">
        <v>1106</v>
      </c>
      <c r="B435" t="s">
        <v>13</v>
      </c>
      <c r="C435">
        <v>46041</v>
      </c>
      <c r="D435">
        <v>46131</v>
      </c>
      <c r="E435" t="s">
        <v>744</v>
      </c>
      <c r="F435" t="s">
        <v>14</v>
      </c>
      <c r="G435">
        <v>1086137686</v>
      </c>
      <c r="H435" t="s">
        <v>658</v>
      </c>
      <c r="I435">
        <v>98390119</v>
      </c>
      <c r="J435" t="s">
        <v>14</v>
      </c>
      <c r="K435" t="s">
        <v>63</v>
      </c>
      <c r="M435" s="10">
        <v>14190000</v>
      </c>
      <c r="N435" t="s">
        <v>704</v>
      </c>
      <c r="Q435" s="11" t="s">
        <v>1036</v>
      </c>
    </row>
    <row r="436" spans="1:17" x14ac:dyDescent="0.25">
      <c r="A436" t="s">
        <v>1107</v>
      </c>
      <c r="B436" t="s">
        <v>13</v>
      </c>
      <c r="C436">
        <v>46041</v>
      </c>
      <c r="D436">
        <v>46192</v>
      </c>
      <c r="E436" t="s">
        <v>744</v>
      </c>
      <c r="F436" t="s">
        <v>14</v>
      </c>
      <c r="G436">
        <v>1086360022</v>
      </c>
      <c r="H436" t="s">
        <v>90</v>
      </c>
      <c r="I436">
        <v>98390119</v>
      </c>
      <c r="J436" t="s">
        <v>14</v>
      </c>
      <c r="K436" t="s">
        <v>63</v>
      </c>
      <c r="M436" s="10">
        <v>23650000</v>
      </c>
      <c r="N436" t="s">
        <v>704</v>
      </c>
      <c r="Q436" s="11" t="s">
        <v>1036</v>
      </c>
    </row>
    <row r="437" spans="1:17" x14ac:dyDescent="0.25">
      <c r="A437" t="s">
        <v>1108</v>
      </c>
      <c r="B437" t="s">
        <v>13</v>
      </c>
      <c r="C437">
        <v>46041</v>
      </c>
      <c r="D437">
        <v>46192</v>
      </c>
      <c r="E437" t="s">
        <v>744</v>
      </c>
      <c r="F437" t="s">
        <v>14</v>
      </c>
      <c r="G437">
        <v>1087645723</v>
      </c>
      <c r="H437" t="s">
        <v>153</v>
      </c>
      <c r="I437">
        <v>98390119</v>
      </c>
      <c r="J437" t="s">
        <v>14</v>
      </c>
      <c r="K437" t="s">
        <v>63</v>
      </c>
      <c r="M437" s="10">
        <v>39000000</v>
      </c>
      <c r="N437" t="s">
        <v>704</v>
      </c>
      <c r="Q437" s="11" t="s">
        <v>1036</v>
      </c>
    </row>
    <row r="438" spans="1:17" x14ac:dyDescent="0.25">
      <c r="A438" t="s">
        <v>1109</v>
      </c>
      <c r="B438" t="s">
        <v>13</v>
      </c>
      <c r="C438">
        <v>46041</v>
      </c>
      <c r="D438">
        <v>46131</v>
      </c>
      <c r="E438" t="s">
        <v>744</v>
      </c>
      <c r="F438" t="s">
        <v>14</v>
      </c>
      <c r="G438">
        <v>1233188033</v>
      </c>
      <c r="H438" t="s">
        <v>894</v>
      </c>
      <c r="I438">
        <v>98390119</v>
      </c>
      <c r="J438" t="s">
        <v>14</v>
      </c>
      <c r="K438" t="s">
        <v>63</v>
      </c>
      <c r="M438" s="10">
        <v>14190000</v>
      </c>
      <c r="N438" t="s">
        <v>704</v>
      </c>
      <c r="Q438" s="11" t="s">
        <v>1036</v>
      </c>
    </row>
    <row r="439" spans="1:17" x14ac:dyDescent="0.25">
      <c r="A439" t="s">
        <v>1110</v>
      </c>
      <c r="B439" t="s">
        <v>13</v>
      </c>
      <c r="C439">
        <v>46041</v>
      </c>
      <c r="D439">
        <v>46072</v>
      </c>
      <c r="E439" t="s">
        <v>775</v>
      </c>
      <c r="F439" t="s">
        <v>14</v>
      </c>
      <c r="G439">
        <v>1085343154</v>
      </c>
      <c r="H439" t="s">
        <v>600</v>
      </c>
      <c r="I439">
        <v>98333941</v>
      </c>
      <c r="J439" t="s">
        <v>14</v>
      </c>
      <c r="K439" t="s">
        <v>15</v>
      </c>
      <c r="M439" s="10">
        <v>3150000</v>
      </c>
      <c r="N439" t="s">
        <v>704</v>
      </c>
      <c r="Q439" s="11" t="s">
        <v>1036</v>
      </c>
    </row>
    <row r="440" spans="1:17" x14ac:dyDescent="0.25">
      <c r="A440" t="s">
        <v>1111</v>
      </c>
      <c r="B440" t="s">
        <v>13</v>
      </c>
      <c r="C440">
        <v>46041</v>
      </c>
      <c r="D440">
        <v>46192</v>
      </c>
      <c r="E440" t="s">
        <v>744</v>
      </c>
      <c r="F440" t="s">
        <v>14</v>
      </c>
      <c r="G440">
        <v>1127080390</v>
      </c>
      <c r="H440" t="s">
        <v>934</v>
      </c>
      <c r="I440">
        <v>59836926</v>
      </c>
      <c r="J440" t="s">
        <v>14</v>
      </c>
      <c r="K440" t="s">
        <v>17</v>
      </c>
      <c r="M440" s="10">
        <v>23650000</v>
      </c>
      <c r="N440" t="s">
        <v>704</v>
      </c>
      <c r="Q440" s="11" t="s">
        <v>1036</v>
      </c>
    </row>
    <row r="441" spans="1:17" x14ac:dyDescent="0.25">
      <c r="A441" t="s">
        <v>1112</v>
      </c>
      <c r="B441" t="s">
        <v>13</v>
      </c>
      <c r="C441">
        <v>46041</v>
      </c>
      <c r="D441">
        <v>46131</v>
      </c>
      <c r="E441" t="s">
        <v>744</v>
      </c>
      <c r="F441" t="s">
        <v>14</v>
      </c>
      <c r="G441">
        <v>1233190311</v>
      </c>
      <c r="H441" t="s">
        <v>906</v>
      </c>
      <c r="I441">
        <v>98390119</v>
      </c>
      <c r="J441" t="s">
        <v>14</v>
      </c>
      <c r="K441" t="s">
        <v>63</v>
      </c>
      <c r="M441" s="10">
        <v>14190000</v>
      </c>
      <c r="N441" t="s">
        <v>704</v>
      </c>
      <c r="Q441" s="11" t="s">
        <v>1036</v>
      </c>
    </row>
    <row r="442" spans="1:17" x14ac:dyDescent="0.25">
      <c r="A442" t="s">
        <v>1113</v>
      </c>
      <c r="B442" t="s">
        <v>13</v>
      </c>
      <c r="C442">
        <v>46041</v>
      </c>
      <c r="D442">
        <v>46131</v>
      </c>
      <c r="E442" t="s">
        <v>775</v>
      </c>
      <c r="F442" t="s">
        <v>14</v>
      </c>
      <c r="G442">
        <v>37085864</v>
      </c>
      <c r="H442" t="s">
        <v>654</v>
      </c>
      <c r="I442">
        <v>59836926</v>
      </c>
      <c r="J442" t="s">
        <v>14</v>
      </c>
      <c r="K442" t="s">
        <v>17</v>
      </c>
      <c r="M442" s="10">
        <v>18900000</v>
      </c>
      <c r="N442" t="s">
        <v>704</v>
      </c>
      <c r="Q442" s="11" t="s">
        <v>1036</v>
      </c>
    </row>
    <row r="443" spans="1:17" x14ac:dyDescent="0.25">
      <c r="A443" t="s">
        <v>1114</v>
      </c>
      <c r="B443" t="s">
        <v>13</v>
      </c>
      <c r="C443">
        <v>46041</v>
      </c>
      <c r="D443">
        <v>46131</v>
      </c>
      <c r="E443" t="s">
        <v>744</v>
      </c>
      <c r="F443" t="s">
        <v>14</v>
      </c>
      <c r="G443">
        <v>36757491</v>
      </c>
      <c r="H443" t="s">
        <v>164</v>
      </c>
      <c r="I443">
        <v>59836926</v>
      </c>
      <c r="J443" t="s">
        <v>14</v>
      </c>
      <c r="K443" t="s">
        <v>17</v>
      </c>
      <c r="M443" s="10">
        <v>14190000</v>
      </c>
      <c r="N443" t="s">
        <v>704</v>
      </c>
      <c r="Q443" s="11" t="s">
        <v>1036</v>
      </c>
    </row>
    <row r="444" spans="1:17" x14ac:dyDescent="0.25">
      <c r="A444" t="s">
        <v>1115</v>
      </c>
      <c r="B444" t="s">
        <v>13</v>
      </c>
      <c r="C444">
        <v>46041</v>
      </c>
      <c r="D444">
        <v>46192</v>
      </c>
      <c r="E444" t="s">
        <v>744</v>
      </c>
      <c r="F444" t="s">
        <v>14</v>
      </c>
      <c r="G444">
        <v>1144172704</v>
      </c>
      <c r="H444" t="s">
        <v>280</v>
      </c>
      <c r="I444">
        <v>43624414</v>
      </c>
      <c r="J444" t="s">
        <v>14</v>
      </c>
      <c r="K444" t="s">
        <v>18</v>
      </c>
      <c r="M444" s="10">
        <v>39000000</v>
      </c>
      <c r="N444" t="s">
        <v>704</v>
      </c>
      <c r="Q444" s="11" t="s">
        <v>1036</v>
      </c>
    </row>
    <row r="445" spans="1:17" x14ac:dyDescent="0.25">
      <c r="A445" t="s">
        <v>1116</v>
      </c>
      <c r="B445" t="s">
        <v>13</v>
      </c>
      <c r="C445">
        <v>46041</v>
      </c>
      <c r="D445">
        <v>46131</v>
      </c>
      <c r="E445" t="s">
        <v>775</v>
      </c>
      <c r="F445" t="s">
        <v>14</v>
      </c>
      <c r="G445">
        <v>1085255829</v>
      </c>
      <c r="H445" t="s">
        <v>23</v>
      </c>
      <c r="I445">
        <v>98390119</v>
      </c>
      <c r="J445" t="s">
        <v>14</v>
      </c>
      <c r="K445" t="s">
        <v>63</v>
      </c>
      <c r="M445" s="10">
        <v>9450000</v>
      </c>
      <c r="N445" t="s">
        <v>704</v>
      </c>
      <c r="Q445" s="11" t="s">
        <v>1036</v>
      </c>
    </row>
    <row r="446" spans="1:17" x14ac:dyDescent="0.25">
      <c r="A446" t="s">
        <v>1117</v>
      </c>
      <c r="B446" t="s">
        <v>13</v>
      </c>
      <c r="C446">
        <v>46041</v>
      </c>
      <c r="D446">
        <v>46131</v>
      </c>
      <c r="E446" t="s">
        <v>775</v>
      </c>
      <c r="F446" t="s">
        <v>14</v>
      </c>
      <c r="G446">
        <v>1085281002</v>
      </c>
      <c r="H446" t="s">
        <v>199</v>
      </c>
      <c r="I446">
        <v>59836926</v>
      </c>
      <c r="J446" t="s">
        <v>14</v>
      </c>
      <c r="K446" t="s">
        <v>17</v>
      </c>
      <c r="M446" s="10">
        <v>9450000</v>
      </c>
      <c r="N446" t="s">
        <v>704</v>
      </c>
      <c r="Q446" s="11" t="s">
        <v>1036</v>
      </c>
    </row>
    <row r="447" spans="1:17" x14ac:dyDescent="0.25">
      <c r="A447" t="s">
        <v>1029</v>
      </c>
      <c r="B447" t="s">
        <v>13</v>
      </c>
      <c r="C447">
        <v>46041</v>
      </c>
      <c r="D447">
        <v>46131</v>
      </c>
      <c r="E447" t="s">
        <v>744</v>
      </c>
      <c r="F447" t="s">
        <v>14</v>
      </c>
      <c r="G447">
        <v>1087960287</v>
      </c>
      <c r="H447" t="s">
        <v>576</v>
      </c>
      <c r="I447">
        <v>59836926</v>
      </c>
      <c r="J447" t="s">
        <v>14</v>
      </c>
      <c r="K447" t="s">
        <v>17</v>
      </c>
      <c r="M447" s="10">
        <v>14190000</v>
      </c>
      <c r="N447" t="s">
        <v>704</v>
      </c>
      <c r="Q447" s="11" t="s">
        <v>1036</v>
      </c>
    </row>
    <row r="448" spans="1:17" x14ac:dyDescent="0.25">
      <c r="A448" t="s">
        <v>1118</v>
      </c>
      <c r="B448" t="s">
        <v>13</v>
      </c>
      <c r="C448">
        <v>46041</v>
      </c>
      <c r="D448">
        <v>46072</v>
      </c>
      <c r="E448" t="s">
        <v>775</v>
      </c>
      <c r="F448" t="s">
        <v>14</v>
      </c>
      <c r="G448">
        <v>27082649</v>
      </c>
      <c r="H448" t="s">
        <v>174</v>
      </c>
      <c r="I448">
        <v>43624414</v>
      </c>
      <c r="J448" t="s">
        <v>14</v>
      </c>
      <c r="K448" t="s">
        <v>18</v>
      </c>
      <c r="M448" s="10">
        <v>3150000</v>
      </c>
      <c r="N448" t="s">
        <v>704</v>
      </c>
      <c r="Q448" s="11" t="s">
        <v>1036</v>
      </c>
    </row>
    <row r="449" spans="1:17" x14ac:dyDescent="0.25">
      <c r="A449" t="s">
        <v>1119</v>
      </c>
      <c r="B449" t="s">
        <v>13</v>
      </c>
      <c r="C449">
        <v>46041</v>
      </c>
      <c r="D449">
        <v>46192</v>
      </c>
      <c r="E449" t="s">
        <v>744</v>
      </c>
      <c r="F449" t="s">
        <v>14</v>
      </c>
      <c r="G449">
        <v>1085274300</v>
      </c>
      <c r="H449" t="s">
        <v>891</v>
      </c>
      <c r="I449">
        <v>98390119</v>
      </c>
      <c r="J449" t="s">
        <v>14</v>
      </c>
      <c r="K449" t="s">
        <v>63</v>
      </c>
      <c r="M449" s="10">
        <v>39000000</v>
      </c>
      <c r="N449" t="s">
        <v>704</v>
      </c>
      <c r="Q449" s="11" t="s">
        <v>1036</v>
      </c>
    </row>
    <row r="450" spans="1:17" x14ac:dyDescent="0.25">
      <c r="A450" t="s">
        <v>1120</v>
      </c>
      <c r="B450" t="s">
        <v>13</v>
      </c>
      <c r="C450">
        <v>46041</v>
      </c>
      <c r="D450">
        <v>46131</v>
      </c>
      <c r="E450" t="s">
        <v>775</v>
      </c>
      <c r="F450" t="s">
        <v>14</v>
      </c>
      <c r="G450">
        <v>1085296068</v>
      </c>
      <c r="H450" t="s">
        <v>845</v>
      </c>
      <c r="I450">
        <v>98333941</v>
      </c>
      <c r="J450" t="s">
        <v>14</v>
      </c>
      <c r="K450" t="s">
        <v>15</v>
      </c>
      <c r="M450" s="10">
        <v>18900000</v>
      </c>
      <c r="N450" t="s">
        <v>704</v>
      </c>
      <c r="Q450" s="11" t="s">
        <v>1036</v>
      </c>
    </row>
    <row r="451" spans="1:17" x14ac:dyDescent="0.25">
      <c r="A451" t="s">
        <v>1121</v>
      </c>
      <c r="B451" t="s">
        <v>13</v>
      </c>
      <c r="C451">
        <v>46041</v>
      </c>
      <c r="D451">
        <v>46192</v>
      </c>
      <c r="E451" t="s">
        <v>775</v>
      </c>
      <c r="F451" t="s">
        <v>14</v>
      </c>
      <c r="G451">
        <v>1085302942</v>
      </c>
      <c r="H451" t="s">
        <v>257</v>
      </c>
      <c r="I451">
        <v>98333941</v>
      </c>
      <c r="J451" t="s">
        <v>14</v>
      </c>
      <c r="K451" t="s">
        <v>15</v>
      </c>
      <c r="M451" s="10">
        <v>15750000</v>
      </c>
      <c r="N451" t="s">
        <v>704</v>
      </c>
      <c r="Q451" s="11" t="s">
        <v>1036</v>
      </c>
    </row>
    <row r="452" spans="1:17" x14ac:dyDescent="0.25">
      <c r="A452" t="s">
        <v>1122</v>
      </c>
      <c r="B452" t="s">
        <v>13</v>
      </c>
      <c r="C452">
        <v>46041</v>
      </c>
      <c r="D452">
        <v>46072</v>
      </c>
      <c r="E452" t="s">
        <v>744</v>
      </c>
      <c r="F452" t="s">
        <v>14</v>
      </c>
      <c r="G452">
        <v>1085263018</v>
      </c>
      <c r="H452" t="s">
        <v>843</v>
      </c>
      <c r="I452">
        <v>98333941</v>
      </c>
      <c r="J452" t="s">
        <v>14</v>
      </c>
      <c r="K452" t="s">
        <v>15</v>
      </c>
      <c r="M452" s="10">
        <v>4730000</v>
      </c>
      <c r="N452" t="s">
        <v>704</v>
      </c>
      <c r="Q452" s="11" t="s">
        <v>1036</v>
      </c>
    </row>
    <row r="453" spans="1:17" x14ac:dyDescent="0.25">
      <c r="A453" t="s">
        <v>1123</v>
      </c>
      <c r="B453" t="s">
        <v>13</v>
      </c>
      <c r="C453">
        <v>46041</v>
      </c>
      <c r="D453">
        <v>46131</v>
      </c>
      <c r="E453" t="s">
        <v>744</v>
      </c>
      <c r="F453" t="s">
        <v>14</v>
      </c>
      <c r="G453">
        <v>1085330309</v>
      </c>
      <c r="H453" t="s">
        <v>16</v>
      </c>
      <c r="I453">
        <v>43624414</v>
      </c>
      <c r="J453" t="s">
        <v>14</v>
      </c>
      <c r="K453" t="s">
        <v>18</v>
      </c>
      <c r="M453" s="10">
        <v>14190000</v>
      </c>
      <c r="N453" t="s">
        <v>704</v>
      </c>
      <c r="Q453" s="11" t="s">
        <v>1036</v>
      </c>
    </row>
    <row r="454" spans="1:17" x14ac:dyDescent="0.25">
      <c r="A454" t="s">
        <v>1124</v>
      </c>
      <c r="B454" t="s">
        <v>13</v>
      </c>
      <c r="C454">
        <v>46041</v>
      </c>
      <c r="D454">
        <v>46072</v>
      </c>
      <c r="E454" t="s">
        <v>775</v>
      </c>
      <c r="F454" t="s">
        <v>14</v>
      </c>
      <c r="G454">
        <v>1004726621</v>
      </c>
      <c r="H454" t="s">
        <v>560</v>
      </c>
      <c r="I454">
        <v>98390119</v>
      </c>
      <c r="J454" t="s">
        <v>14</v>
      </c>
      <c r="K454" t="s">
        <v>63</v>
      </c>
      <c r="M454" s="10">
        <v>3150000</v>
      </c>
      <c r="N454" t="s">
        <v>704</v>
      </c>
      <c r="Q454" s="11" t="s">
        <v>1036</v>
      </c>
    </row>
    <row r="455" spans="1:17" x14ac:dyDescent="0.25">
      <c r="A455" t="s">
        <v>1125</v>
      </c>
      <c r="B455" t="s">
        <v>13</v>
      </c>
      <c r="C455">
        <v>46041</v>
      </c>
      <c r="D455">
        <v>46131</v>
      </c>
      <c r="E455" t="s">
        <v>744</v>
      </c>
      <c r="F455" t="s">
        <v>14</v>
      </c>
      <c r="G455">
        <v>1061794455</v>
      </c>
      <c r="H455" t="s">
        <v>177</v>
      </c>
      <c r="I455">
        <v>59836926</v>
      </c>
      <c r="J455" t="s">
        <v>14</v>
      </c>
      <c r="K455" t="s">
        <v>17</v>
      </c>
      <c r="M455" s="10">
        <v>23400000</v>
      </c>
      <c r="N455" t="s">
        <v>704</v>
      </c>
      <c r="Q455" s="11" t="s">
        <v>1036</v>
      </c>
    </row>
    <row r="456" spans="1:17" x14ac:dyDescent="0.25">
      <c r="A456" t="s">
        <v>1126</v>
      </c>
      <c r="B456" t="s">
        <v>13</v>
      </c>
      <c r="C456">
        <v>46041</v>
      </c>
      <c r="D456">
        <v>46131</v>
      </c>
      <c r="E456" t="s">
        <v>775</v>
      </c>
      <c r="F456" t="s">
        <v>14</v>
      </c>
      <c r="G456">
        <v>59828916</v>
      </c>
      <c r="H456" t="s">
        <v>73</v>
      </c>
      <c r="I456">
        <v>43624414</v>
      </c>
      <c r="J456" t="s">
        <v>14</v>
      </c>
      <c r="K456" t="s">
        <v>18</v>
      </c>
      <c r="M456" s="10">
        <v>9450000</v>
      </c>
      <c r="N456" t="s">
        <v>704</v>
      </c>
      <c r="Q456" s="11" t="s">
        <v>1036</v>
      </c>
    </row>
    <row r="457" spans="1:17" x14ac:dyDescent="0.25">
      <c r="A457" t="s">
        <v>1127</v>
      </c>
      <c r="B457" t="s">
        <v>13</v>
      </c>
      <c r="C457">
        <v>46041</v>
      </c>
      <c r="D457">
        <v>46131</v>
      </c>
      <c r="E457" t="s">
        <v>775</v>
      </c>
      <c r="F457" t="s">
        <v>14</v>
      </c>
      <c r="G457">
        <v>1085286742</v>
      </c>
      <c r="H457" t="s">
        <v>37</v>
      </c>
      <c r="I457">
        <v>43624414</v>
      </c>
      <c r="J457" t="s">
        <v>14</v>
      </c>
      <c r="K457" t="s">
        <v>18</v>
      </c>
      <c r="M457" s="10">
        <v>9450000</v>
      </c>
      <c r="N457" t="s">
        <v>704</v>
      </c>
      <c r="Q457" s="11" t="s">
        <v>1036</v>
      </c>
    </row>
    <row r="458" spans="1:17" x14ac:dyDescent="0.25">
      <c r="A458" t="s">
        <v>1128</v>
      </c>
      <c r="B458" t="s">
        <v>13</v>
      </c>
      <c r="C458">
        <v>46041</v>
      </c>
      <c r="D458">
        <v>46131</v>
      </c>
      <c r="E458" t="s">
        <v>775</v>
      </c>
      <c r="F458" t="s">
        <v>14</v>
      </c>
      <c r="G458">
        <v>1085278004</v>
      </c>
      <c r="H458" t="s">
        <v>223</v>
      </c>
      <c r="I458">
        <v>59836926</v>
      </c>
      <c r="J458" t="s">
        <v>14</v>
      </c>
      <c r="K458" t="s">
        <v>17</v>
      </c>
      <c r="M458" s="10">
        <v>18900000</v>
      </c>
      <c r="N458" t="s">
        <v>704</v>
      </c>
      <c r="Q458" s="11" t="s">
        <v>1036</v>
      </c>
    </row>
    <row r="459" spans="1:17" x14ac:dyDescent="0.25">
      <c r="A459" t="s">
        <v>1129</v>
      </c>
      <c r="B459" t="s">
        <v>13</v>
      </c>
      <c r="C459">
        <v>46041</v>
      </c>
      <c r="D459">
        <v>46131</v>
      </c>
      <c r="E459" t="s">
        <v>775</v>
      </c>
      <c r="F459" t="s">
        <v>14</v>
      </c>
      <c r="G459">
        <v>1085270448</v>
      </c>
      <c r="H459" t="s">
        <v>340</v>
      </c>
      <c r="I459">
        <v>98390119</v>
      </c>
      <c r="J459" t="s">
        <v>14</v>
      </c>
      <c r="K459" t="s">
        <v>63</v>
      </c>
      <c r="M459" s="10">
        <v>9450000</v>
      </c>
      <c r="N459" t="s">
        <v>704</v>
      </c>
      <c r="Q459" s="11" t="s">
        <v>1036</v>
      </c>
    </row>
    <row r="460" spans="1:17" x14ac:dyDescent="0.25">
      <c r="A460" t="s">
        <v>1130</v>
      </c>
      <c r="B460" t="s">
        <v>13</v>
      </c>
      <c r="C460">
        <v>46041</v>
      </c>
      <c r="D460">
        <v>46192</v>
      </c>
      <c r="E460" t="s">
        <v>775</v>
      </c>
      <c r="F460" t="s">
        <v>14</v>
      </c>
      <c r="G460">
        <v>1085266584</v>
      </c>
      <c r="H460" t="s">
        <v>71</v>
      </c>
      <c r="I460">
        <v>43624414</v>
      </c>
      <c r="J460" t="s">
        <v>14</v>
      </c>
      <c r="K460" t="s">
        <v>18</v>
      </c>
      <c r="M460" s="10">
        <v>15750000</v>
      </c>
      <c r="N460" t="s">
        <v>704</v>
      </c>
      <c r="Q460" s="11" t="s">
        <v>1036</v>
      </c>
    </row>
    <row r="461" spans="1:17" x14ac:dyDescent="0.25">
      <c r="A461" t="s">
        <v>1131</v>
      </c>
      <c r="B461" t="s">
        <v>13</v>
      </c>
      <c r="C461">
        <v>46041</v>
      </c>
      <c r="D461">
        <v>46192</v>
      </c>
      <c r="E461" t="s">
        <v>775</v>
      </c>
      <c r="F461" t="s">
        <v>14</v>
      </c>
      <c r="G461">
        <v>59310291</v>
      </c>
      <c r="H461" t="s">
        <v>135</v>
      </c>
      <c r="I461">
        <v>98333941</v>
      </c>
      <c r="J461" t="s">
        <v>14</v>
      </c>
      <c r="K461" t="s">
        <v>15</v>
      </c>
      <c r="M461" s="10">
        <v>31500000</v>
      </c>
      <c r="N461" t="s">
        <v>704</v>
      </c>
      <c r="Q461" s="11" t="s">
        <v>1036</v>
      </c>
    </row>
    <row r="462" spans="1:17" x14ac:dyDescent="0.25">
      <c r="A462" t="s">
        <v>1132</v>
      </c>
      <c r="B462" t="s">
        <v>13</v>
      </c>
      <c r="C462">
        <v>46041</v>
      </c>
      <c r="D462">
        <v>46131</v>
      </c>
      <c r="E462" t="s">
        <v>744</v>
      </c>
      <c r="F462" t="s">
        <v>14</v>
      </c>
      <c r="G462">
        <v>1089483067</v>
      </c>
      <c r="H462" t="s">
        <v>325</v>
      </c>
      <c r="I462">
        <v>43624414</v>
      </c>
      <c r="J462" t="s">
        <v>14</v>
      </c>
      <c r="K462" t="s">
        <v>18</v>
      </c>
      <c r="M462" s="10">
        <v>23400000</v>
      </c>
      <c r="N462" t="s">
        <v>704</v>
      </c>
      <c r="Q462" s="11" t="s">
        <v>1036</v>
      </c>
    </row>
    <row r="463" spans="1:17" x14ac:dyDescent="0.25">
      <c r="A463" t="s">
        <v>1133</v>
      </c>
      <c r="B463" t="s">
        <v>13</v>
      </c>
      <c r="C463">
        <v>46041</v>
      </c>
      <c r="D463">
        <v>46072</v>
      </c>
      <c r="E463" t="s">
        <v>775</v>
      </c>
      <c r="F463" t="s">
        <v>14</v>
      </c>
      <c r="G463">
        <v>27456421</v>
      </c>
      <c r="H463" t="s">
        <v>608</v>
      </c>
      <c r="I463">
        <v>98390119</v>
      </c>
      <c r="J463" t="s">
        <v>14</v>
      </c>
      <c r="K463" t="s">
        <v>63</v>
      </c>
      <c r="M463" s="10">
        <v>6300000</v>
      </c>
      <c r="N463" t="s">
        <v>704</v>
      </c>
      <c r="Q463" s="11" t="s">
        <v>1036</v>
      </c>
    </row>
    <row r="464" spans="1:17" x14ac:dyDescent="0.25">
      <c r="A464" t="s">
        <v>1134</v>
      </c>
      <c r="B464" t="s">
        <v>13</v>
      </c>
      <c r="C464">
        <v>46041</v>
      </c>
      <c r="D464">
        <v>46131</v>
      </c>
      <c r="E464" t="s">
        <v>744</v>
      </c>
      <c r="F464" t="s">
        <v>14</v>
      </c>
      <c r="G464">
        <v>1193292339</v>
      </c>
      <c r="H464" t="s">
        <v>631</v>
      </c>
      <c r="I464">
        <v>98333941</v>
      </c>
      <c r="J464" t="s">
        <v>14</v>
      </c>
      <c r="K464" t="s">
        <v>15</v>
      </c>
      <c r="M464" s="10">
        <v>23400000</v>
      </c>
      <c r="N464" t="s">
        <v>704</v>
      </c>
      <c r="Q464" s="11" t="s">
        <v>1036</v>
      </c>
    </row>
    <row r="465" spans="1:17" x14ac:dyDescent="0.25">
      <c r="A465" t="s">
        <v>1135</v>
      </c>
      <c r="B465" t="s">
        <v>13</v>
      </c>
      <c r="C465">
        <v>46041</v>
      </c>
      <c r="D465">
        <v>46131</v>
      </c>
      <c r="E465" t="s">
        <v>775</v>
      </c>
      <c r="F465" t="s">
        <v>14</v>
      </c>
      <c r="G465">
        <v>1084228089</v>
      </c>
      <c r="H465" t="s">
        <v>403</v>
      </c>
      <c r="I465">
        <v>98333941</v>
      </c>
      <c r="J465" t="s">
        <v>14</v>
      </c>
      <c r="K465" t="s">
        <v>15</v>
      </c>
      <c r="M465" s="10">
        <v>18900000</v>
      </c>
      <c r="N465" t="s">
        <v>704</v>
      </c>
      <c r="Q465" s="11" t="s">
        <v>1036</v>
      </c>
    </row>
    <row r="466" spans="1:17" x14ac:dyDescent="0.25">
      <c r="A466" t="s">
        <v>1136</v>
      </c>
      <c r="B466" t="s">
        <v>13</v>
      </c>
      <c r="C466">
        <v>46041</v>
      </c>
      <c r="D466">
        <v>46131</v>
      </c>
      <c r="E466" t="s">
        <v>744</v>
      </c>
      <c r="F466" t="s">
        <v>14</v>
      </c>
      <c r="G466">
        <v>1086018206</v>
      </c>
      <c r="H466" t="s">
        <v>922</v>
      </c>
      <c r="I466">
        <v>43624414</v>
      </c>
      <c r="J466" t="s">
        <v>14</v>
      </c>
      <c r="K466" t="s">
        <v>18</v>
      </c>
      <c r="M466" s="10">
        <v>23400000</v>
      </c>
      <c r="N466" t="s">
        <v>704</v>
      </c>
      <c r="Q466" s="11" t="s">
        <v>1036</v>
      </c>
    </row>
    <row r="467" spans="1:17" x14ac:dyDescent="0.25">
      <c r="A467" t="s">
        <v>1137</v>
      </c>
      <c r="B467" t="s">
        <v>13</v>
      </c>
      <c r="C467">
        <v>46041</v>
      </c>
      <c r="D467">
        <v>46192</v>
      </c>
      <c r="E467" t="s">
        <v>744</v>
      </c>
      <c r="F467" t="s">
        <v>14</v>
      </c>
      <c r="G467">
        <v>36950073</v>
      </c>
      <c r="H467" t="s">
        <v>445</v>
      </c>
      <c r="I467">
        <v>98390119</v>
      </c>
      <c r="J467" t="s">
        <v>14</v>
      </c>
      <c r="K467" t="s">
        <v>63</v>
      </c>
      <c r="M467" s="10">
        <v>23650000</v>
      </c>
      <c r="N467" t="s">
        <v>704</v>
      </c>
      <c r="Q467" s="11" t="s">
        <v>1036</v>
      </c>
    </row>
    <row r="468" spans="1:17" x14ac:dyDescent="0.25">
      <c r="A468" t="s">
        <v>1138</v>
      </c>
      <c r="B468" t="s">
        <v>13</v>
      </c>
      <c r="C468">
        <v>46041</v>
      </c>
      <c r="D468">
        <v>46192</v>
      </c>
      <c r="E468" t="s">
        <v>775</v>
      </c>
      <c r="F468" t="s">
        <v>14</v>
      </c>
      <c r="G468">
        <v>1193383314</v>
      </c>
      <c r="H468" t="s">
        <v>122</v>
      </c>
      <c r="I468">
        <v>98390119</v>
      </c>
      <c r="J468" t="s">
        <v>14</v>
      </c>
      <c r="K468" t="s">
        <v>63</v>
      </c>
      <c r="M468" s="10">
        <v>31500000</v>
      </c>
      <c r="N468" t="s">
        <v>704</v>
      </c>
      <c r="Q468" s="11" t="s">
        <v>1036</v>
      </c>
    </row>
    <row r="469" spans="1:17" x14ac:dyDescent="0.25">
      <c r="A469" t="s">
        <v>1139</v>
      </c>
      <c r="B469" t="s">
        <v>13</v>
      </c>
      <c r="C469">
        <v>46041</v>
      </c>
      <c r="D469">
        <v>46072</v>
      </c>
      <c r="E469" t="s">
        <v>775</v>
      </c>
      <c r="F469" t="s">
        <v>14</v>
      </c>
      <c r="G469">
        <v>1085246134</v>
      </c>
      <c r="H469" t="s">
        <v>691</v>
      </c>
      <c r="I469">
        <v>98390119</v>
      </c>
      <c r="J469" t="s">
        <v>14</v>
      </c>
      <c r="K469" t="s">
        <v>63</v>
      </c>
      <c r="M469" s="10">
        <v>6300000</v>
      </c>
      <c r="N469" t="s">
        <v>704</v>
      </c>
      <c r="Q469" s="11" t="s">
        <v>1036</v>
      </c>
    </row>
    <row r="470" spans="1:17" x14ac:dyDescent="0.25">
      <c r="A470" t="s">
        <v>1140</v>
      </c>
      <c r="B470" t="s">
        <v>13</v>
      </c>
      <c r="C470">
        <v>46041</v>
      </c>
      <c r="D470">
        <v>46072</v>
      </c>
      <c r="E470" t="s">
        <v>744</v>
      </c>
      <c r="F470" t="s">
        <v>14</v>
      </c>
      <c r="G470">
        <v>1022426162</v>
      </c>
      <c r="H470" t="s">
        <v>366</v>
      </c>
      <c r="I470">
        <v>98333941</v>
      </c>
      <c r="J470" t="s">
        <v>14</v>
      </c>
      <c r="K470" t="s">
        <v>15</v>
      </c>
      <c r="M470" s="10">
        <v>7800000</v>
      </c>
      <c r="N470" t="s">
        <v>704</v>
      </c>
      <c r="Q470" s="11" t="s">
        <v>1036</v>
      </c>
    </row>
    <row r="471" spans="1:17" x14ac:dyDescent="0.25">
      <c r="A471" t="s">
        <v>1141</v>
      </c>
      <c r="B471" t="s">
        <v>13</v>
      </c>
      <c r="C471">
        <v>46041</v>
      </c>
      <c r="D471">
        <v>46131</v>
      </c>
      <c r="E471" t="s">
        <v>775</v>
      </c>
      <c r="F471" t="s">
        <v>14</v>
      </c>
      <c r="G471">
        <v>1086224204</v>
      </c>
      <c r="H471" t="s">
        <v>451</v>
      </c>
      <c r="I471">
        <v>98333941</v>
      </c>
      <c r="J471" t="s">
        <v>14</v>
      </c>
      <c r="K471" t="s">
        <v>15</v>
      </c>
      <c r="M471" s="10">
        <v>9450000</v>
      </c>
      <c r="N471" t="s">
        <v>704</v>
      </c>
      <c r="Q471" s="11" t="s">
        <v>1036</v>
      </c>
    </row>
    <row r="472" spans="1:17" x14ac:dyDescent="0.25">
      <c r="A472" t="s">
        <v>1142</v>
      </c>
      <c r="B472" t="s">
        <v>13</v>
      </c>
      <c r="C472">
        <v>46041</v>
      </c>
      <c r="D472">
        <v>46192</v>
      </c>
      <c r="E472" t="s">
        <v>775</v>
      </c>
      <c r="F472" t="s">
        <v>14</v>
      </c>
      <c r="G472">
        <v>1082748032</v>
      </c>
      <c r="H472" t="s">
        <v>548</v>
      </c>
      <c r="I472">
        <v>98333941</v>
      </c>
      <c r="J472" t="s">
        <v>14</v>
      </c>
      <c r="K472" t="s">
        <v>15</v>
      </c>
      <c r="M472" s="10">
        <v>15750000</v>
      </c>
      <c r="N472" t="s">
        <v>704</v>
      </c>
      <c r="Q472" s="11" t="s">
        <v>1036</v>
      </c>
    </row>
    <row r="473" spans="1:17" x14ac:dyDescent="0.25">
      <c r="A473" t="s">
        <v>1143</v>
      </c>
      <c r="B473" t="s">
        <v>13</v>
      </c>
      <c r="C473">
        <v>46041</v>
      </c>
      <c r="D473">
        <v>46072</v>
      </c>
      <c r="E473" t="s">
        <v>775</v>
      </c>
      <c r="F473" t="s">
        <v>14</v>
      </c>
      <c r="G473">
        <v>59122805</v>
      </c>
      <c r="H473" t="s">
        <v>463</v>
      </c>
      <c r="I473">
        <v>98333941</v>
      </c>
      <c r="J473" t="s">
        <v>14</v>
      </c>
      <c r="K473" t="s">
        <v>15</v>
      </c>
      <c r="M473" s="10">
        <v>3150000</v>
      </c>
      <c r="N473" t="s">
        <v>704</v>
      </c>
      <c r="Q473" s="11" t="s">
        <v>1036</v>
      </c>
    </row>
    <row r="474" spans="1:17" x14ac:dyDescent="0.25">
      <c r="A474" t="s">
        <v>1144</v>
      </c>
      <c r="B474" t="s">
        <v>13</v>
      </c>
      <c r="C474">
        <v>46041</v>
      </c>
      <c r="D474">
        <v>46131</v>
      </c>
      <c r="E474" t="s">
        <v>744</v>
      </c>
      <c r="F474" t="s">
        <v>14</v>
      </c>
      <c r="G474">
        <v>12961407</v>
      </c>
      <c r="H474" t="s">
        <v>473</v>
      </c>
      <c r="I474">
        <v>43624414</v>
      </c>
      <c r="J474" t="s">
        <v>14</v>
      </c>
      <c r="K474" t="s">
        <v>18</v>
      </c>
      <c r="M474" s="10">
        <v>23400000</v>
      </c>
      <c r="N474" t="s">
        <v>704</v>
      </c>
      <c r="Q474" s="11" t="s">
        <v>1036</v>
      </c>
    </row>
    <row r="475" spans="1:17" x14ac:dyDescent="0.25">
      <c r="A475" t="s">
        <v>1145</v>
      </c>
      <c r="B475" t="s">
        <v>13</v>
      </c>
      <c r="C475">
        <v>46041</v>
      </c>
      <c r="D475">
        <v>46131</v>
      </c>
      <c r="E475" t="s">
        <v>775</v>
      </c>
      <c r="F475" t="s">
        <v>14</v>
      </c>
      <c r="G475">
        <v>1081052779</v>
      </c>
      <c r="H475" t="s">
        <v>662</v>
      </c>
      <c r="I475">
        <v>98390119</v>
      </c>
      <c r="J475" t="s">
        <v>14</v>
      </c>
      <c r="K475" t="s">
        <v>63</v>
      </c>
      <c r="M475" s="10">
        <v>9450000</v>
      </c>
      <c r="N475" t="s">
        <v>704</v>
      </c>
      <c r="Q475" s="11" t="s">
        <v>1036</v>
      </c>
    </row>
    <row r="476" spans="1:17" x14ac:dyDescent="0.25">
      <c r="A476" t="s">
        <v>1146</v>
      </c>
      <c r="B476" t="s">
        <v>13</v>
      </c>
      <c r="C476">
        <v>46041</v>
      </c>
      <c r="D476">
        <v>46072</v>
      </c>
      <c r="E476" t="s">
        <v>744</v>
      </c>
      <c r="F476" t="s">
        <v>14</v>
      </c>
      <c r="G476">
        <v>1085331301</v>
      </c>
      <c r="H476" t="s">
        <v>673</v>
      </c>
      <c r="I476">
        <v>43624414</v>
      </c>
      <c r="J476" t="s">
        <v>14</v>
      </c>
      <c r="K476" t="s">
        <v>18</v>
      </c>
      <c r="M476" s="10">
        <v>4730000</v>
      </c>
      <c r="N476" t="s">
        <v>704</v>
      </c>
      <c r="Q476" s="11" t="s">
        <v>1036</v>
      </c>
    </row>
    <row r="477" spans="1:17" x14ac:dyDescent="0.25">
      <c r="A477" t="s">
        <v>1147</v>
      </c>
      <c r="B477" t="s">
        <v>13</v>
      </c>
      <c r="C477">
        <v>46041</v>
      </c>
      <c r="D477">
        <v>46131</v>
      </c>
      <c r="E477" t="s">
        <v>775</v>
      </c>
      <c r="F477" t="s">
        <v>14</v>
      </c>
      <c r="G477">
        <v>1085347312</v>
      </c>
      <c r="H477" t="s">
        <v>126</v>
      </c>
      <c r="I477">
        <v>98333941</v>
      </c>
      <c r="J477" t="s">
        <v>14</v>
      </c>
      <c r="K477" t="s">
        <v>15</v>
      </c>
      <c r="M477" s="10">
        <v>18900000</v>
      </c>
      <c r="N477" t="s">
        <v>704</v>
      </c>
      <c r="Q477" s="11" t="s">
        <v>1036</v>
      </c>
    </row>
    <row r="478" spans="1:17" x14ac:dyDescent="0.25">
      <c r="A478" t="s">
        <v>1148</v>
      </c>
      <c r="B478" t="s">
        <v>13</v>
      </c>
      <c r="C478">
        <v>46041</v>
      </c>
      <c r="D478">
        <v>46072</v>
      </c>
      <c r="E478" t="s">
        <v>775</v>
      </c>
      <c r="F478" t="s">
        <v>14</v>
      </c>
      <c r="G478">
        <v>1053793750</v>
      </c>
      <c r="H478" t="s">
        <v>261</v>
      </c>
      <c r="I478">
        <v>98333941</v>
      </c>
      <c r="J478" t="s">
        <v>14</v>
      </c>
      <c r="K478" t="s">
        <v>15</v>
      </c>
      <c r="M478" s="10">
        <v>6300000</v>
      </c>
      <c r="N478" t="s">
        <v>704</v>
      </c>
      <c r="Q478" s="11" t="s">
        <v>1036</v>
      </c>
    </row>
    <row r="479" spans="1:17" x14ac:dyDescent="0.25">
      <c r="A479" t="s">
        <v>1149</v>
      </c>
      <c r="B479" t="s">
        <v>13</v>
      </c>
      <c r="C479">
        <v>46041</v>
      </c>
      <c r="D479">
        <v>46131</v>
      </c>
      <c r="E479" t="s">
        <v>744</v>
      </c>
      <c r="F479" t="s">
        <v>14</v>
      </c>
      <c r="G479">
        <v>1193202097</v>
      </c>
      <c r="H479" t="s">
        <v>43</v>
      </c>
      <c r="I479">
        <v>43624414</v>
      </c>
      <c r="J479" t="s">
        <v>14</v>
      </c>
      <c r="K479" t="s">
        <v>18</v>
      </c>
      <c r="M479" s="10">
        <v>23400000</v>
      </c>
      <c r="N479" t="s">
        <v>704</v>
      </c>
      <c r="Q479" s="11" t="s">
        <v>1036</v>
      </c>
    </row>
    <row r="480" spans="1:17" x14ac:dyDescent="0.25">
      <c r="A480" t="s">
        <v>1150</v>
      </c>
      <c r="B480" t="s">
        <v>13</v>
      </c>
      <c r="C480">
        <v>46041</v>
      </c>
      <c r="D480">
        <v>46131</v>
      </c>
      <c r="E480" t="s">
        <v>775</v>
      </c>
      <c r="F480" t="s">
        <v>14</v>
      </c>
      <c r="G480">
        <v>59837608</v>
      </c>
      <c r="H480" t="s">
        <v>47</v>
      </c>
      <c r="I480">
        <v>98333941</v>
      </c>
      <c r="J480" t="s">
        <v>14</v>
      </c>
      <c r="K480" t="s">
        <v>15</v>
      </c>
      <c r="M480" s="10">
        <v>18900000</v>
      </c>
      <c r="N480" t="s">
        <v>704</v>
      </c>
      <c r="Q480" s="11" t="s">
        <v>1036</v>
      </c>
    </row>
    <row r="481" spans="1:17" x14ac:dyDescent="0.25">
      <c r="A481" t="s">
        <v>1151</v>
      </c>
      <c r="B481" t="s">
        <v>13</v>
      </c>
      <c r="C481">
        <v>46041</v>
      </c>
      <c r="D481">
        <v>46192</v>
      </c>
      <c r="E481" t="s">
        <v>775</v>
      </c>
      <c r="F481" t="s">
        <v>14</v>
      </c>
      <c r="G481">
        <v>1193405962</v>
      </c>
      <c r="H481" t="s">
        <v>485</v>
      </c>
      <c r="I481">
        <v>59836926</v>
      </c>
      <c r="J481" t="s">
        <v>14</v>
      </c>
      <c r="K481" t="s">
        <v>17</v>
      </c>
      <c r="M481" s="10">
        <v>15750000</v>
      </c>
      <c r="N481" t="s">
        <v>704</v>
      </c>
      <c r="Q481" s="11" t="s">
        <v>1036</v>
      </c>
    </row>
    <row r="482" spans="1:17" x14ac:dyDescent="0.25">
      <c r="A482" t="s">
        <v>1152</v>
      </c>
      <c r="B482" t="s">
        <v>13</v>
      </c>
      <c r="C482">
        <v>46041</v>
      </c>
      <c r="D482">
        <v>46192</v>
      </c>
      <c r="E482" t="s">
        <v>775</v>
      </c>
      <c r="F482" t="s">
        <v>14</v>
      </c>
      <c r="G482">
        <v>1081053820</v>
      </c>
      <c r="H482" t="s">
        <v>652</v>
      </c>
      <c r="I482">
        <v>98333941</v>
      </c>
      <c r="J482" t="s">
        <v>14</v>
      </c>
      <c r="K482" t="s">
        <v>15</v>
      </c>
      <c r="M482" s="10">
        <v>15750000</v>
      </c>
      <c r="N482" t="s">
        <v>704</v>
      </c>
      <c r="Q482" s="11" t="s">
        <v>1036</v>
      </c>
    </row>
    <row r="483" spans="1:17" x14ac:dyDescent="0.25">
      <c r="A483" t="s">
        <v>1153</v>
      </c>
      <c r="B483" t="s">
        <v>13</v>
      </c>
      <c r="C483">
        <v>46041</v>
      </c>
      <c r="D483">
        <v>46072</v>
      </c>
      <c r="E483" t="s">
        <v>775</v>
      </c>
      <c r="F483" t="s">
        <v>14</v>
      </c>
      <c r="G483">
        <v>1085246674</v>
      </c>
      <c r="H483" t="s">
        <v>240</v>
      </c>
      <c r="I483">
        <v>43624414</v>
      </c>
      <c r="J483" t="s">
        <v>14</v>
      </c>
      <c r="K483" t="s">
        <v>18</v>
      </c>
      <c r="M483" s="10">
        <v>3150000</v>
      </c>
      <c r="N483" t="s">
        <v>704</v>
      </c>
      <c r="Q483" s="11" t="s">
        <v>1036</v>
      </c>
    </row>
    <row r="484" spans="1:17" x14ac:dyDescent="0.25">
      <c r="A484" t="s">
        <v>1154</v>
      </c>
      <c r="B484" t="s">
        <v>13</v>
      </c>
      <c r="C484">
        <v>46041</v>
      </c>
      <c r="D484">
        <v>46072</v>
      </c>
      <c r="E484" t="s">
        <v>775</v>
      </c>
      <c r="F484" t="s">
        <v>14</v>
      </c>
      <c r="G484">
        <v>1085315209</v>
      </c>
      <c r="H484" t="s">
        <v>643</v>
      </c>
      <c r="I484">
        <v>43624414</v>
      </c>
      <c r="J484" t="s">
        <v>14</v>
      </c>
      <c r="K484" t="s">
        <v>18</v>
      </c>
      <c r="M484" s="10">
        <v>3150000</v>
      </c>
      <c r="N484" t="s">
        <v>704</v>
      </c>
      <c r="Q484" s="11" t="s">
        <v>1036</v>
      </c>
    </row>
    <row r="485" spans="1:17" x14ac:dyDescent="0.25">
      <c r="A485" t="s">
        <v>1155</v>
      </c>
      <c r="B485" t="s">
        <v>13</v>
      </c>
      <c r="C485">
        <v>46041</v>
      </c>
      <c r="D485">
        <v>46072</v>
      </c>
      <c r="E485" t="s">
        <v>775</v>
      </c>
      <c r="F485" t="s">
        <v>14</v>
      </c>
      <c r="G485">
        <v>1004437571</v>
      </c>
      <c r="H485" t="s">
        <v>381</v>
      </c>
      <c r="I485">
        <v>43624414</v>
      </c>
      <c r="J485" t="s">
        <v>14</v>
      </c>
      <c r="K485" t="s">
        <v>18</v>
      </c>
      <c r="M485" s="10">
        <v>3150000</v>
      </c>
      <c r="N485" t="s">
        <v>704</v>
      </c>
      <c r="Q485" s="11" t="s">
        <v>1036</v>
      </c>
    </row>
    <row r="486" spans="1:17" x14ac:dyDescent="0.25">
      <c r="A486" t="s">
        <v>1156</v>
      </c>
      <c r="B486" t="s">
        <v>13</v>
      </c>
      <c r="C486">
        <v>46042</v>
      </c>
      <c r="D486">
        <v>46132</v>
      </c>
      <c r="E486" t="s">
        <v>775</v>
      </c>
      <c r="F486" t="s">
        <v>14</v>
      </c>
      <c r="G486">
        <v>36950892</v>
      </c>
      <c r="H486" t="s">
        <v>683</v>
      </c>
      <c r="I486">
        <v>59836926</v>
      </c>
      <c r="J486" t="s">
        <v>14</v>
      </c>
      <c r="K486" t="s">
        <v>17</v>
      </c>
      <c r="M486" s="10">
        <v>9450000</v>
      </c>
      <c r="N486" t="s">
        <v>704</v>
      </c>
      <c r="Q486" s="11" t="s">
        <v>1036</v>
      </c>
    </row>
    <row r="487" spans="1:17" x14ac:dyDescent="0.25">
      <c r="A487" t="s">
        <v>1157</v>
      </c>
      <c r="B487" t="s">
        <v>13</v>
      </c>
      <c r="C487">
        <v>46042</v>
      </c>
      <c r="D487">
        <v>46073</v>
      </c>
      <c r="E487" t="s">
        <v>744</v>
      </c>
      <c r="F487" t="s">
        <v>14</v>
      </c>
      <c r="G487">
        <v>1088734182</v>
      </c>
      <c r="H487" t="s">
        <v>565</v>
      </c>
      <c r="I487">
        <v>98333941</v>
      </c>
      <c r="J487" t="s">
        <v>14</v>
      </c>
      <c r="K487" t="s">
        <v>15</v>
      </c>
      <c r="M487" s="10">
        <v>7800000</v>
      </c>
      <c r="N487" t="s">
        <v>704</v>
      </c>
      <c r="Q487" s="11" t="s">
        <v>1036</v>
      </c>
    </row>
    <row r="488" spans="1:17" x14ac:dyDescent="0.25">
      <c r="A488" t="s">
        <v>1158</v>
      </c>
      <c r="B488" t="s">
        <v>13</v>
      </c>
      <c r="C488">
        <v>46042</v>
      </c>
      <c r="D488">
        <v>46193</v>
      </c>
      <c r="E488" t="s">
        <v>775</v>
      </c>
      <c r="F488" t="s">
        <v>14</v>
      </c>
      <c r="G488">
        <v>1087006717</v>
      </c>
      <c r="H488" t="s">
        <v>42</v>
      </c>
      <c r="I488">
        <v>59836926</v>
      </c>
      <c r="J488" t="s">
        <v>14</v>
      </c>
      <c r="K488" t="s">
        <v>17</v>
      </c>
      <c r="M488" s="10">
        <v>15750000</v>
      </c>
      <c r="N488" t="s">
        <v>704</v>
      </c>
      <c r="Q488" s="11" t="s">
        <v>1036</v>
      </c>
    </row>
    <row r="489" spans="1:17" x14ac:dyDescent="0.25">
      <c r="A489" t="s">
        <v>1159</v>
      </c>
      <c r="B489" t="s">
        <v>13</v>
      </c>
      <c r="C489">
        <v>46042</v>
      </c>
      <c r="D489">
        <v>46132</v>
      </c>
      <c r="E489" t="s">
        <v>775</v>
      </c>
      <c r="F489" t="s">
        <v>14</v>
      </c>
      <c r="G489">
        <v>1086018841</v>
      </c>
      <c r="H489" t="s">
        <v>161</v>
      </c>
      <c r="I489">
        <v>43624414</v>
      </c>
      <c r="J489" t="s">
        <v>14</v>
      </c>
      <c r="K489" t="s">
        <v>18</v>
      </c>
      <c r="M489" s="10">
        <v>9450000</v>
      </c>
      <c r="N489" t="s">
        <v>704</v>
      </c>
      <c r="Q489" s="11" t="s">
        <v>1036</v>
      </c>
    </row>
    <row r="490" spans="1:17" x14ac:dyDescent="0.25">
      <c r="A490" t="s">
        <v>1160</v>
      </c>
      <c r="B490" t="s">
        <v>13</v>
      </c>
      <c r="C490">
        <v>46042</v>
      </c>
      <c r="D490">
        <v>46193</v>
      </c>
      <c r="E490" t="s">
        <v>744</v>
      </c>
      <c r="F490" t="s">
        <v>14</v>
      </c>
      <c r="G490">
        <v>1084552063</v>
      </c>
      <c r="H490" t="s">
        <v>327</v>
      </c>
      <c r="I490">
        <v>98333941</v>
      </c>
      <c r="J490" t="s">
        <v>14</v>
      </c>
      <c r="K490" t="s">
        <v>15</v>
      </c>
      <c r="M490" s="10">
        <v>39000000</v>
      </c>
      <c r="N490" t="s">
        <v>704</v>
      </c>
      <c r="Q490" s="11" t="s">
        <v>1036</v>
      </c>
    </row>
    <row r="491" spans="1:17" x14ac:dyDescent="0.25">
      <c r="A491" t="s">
        <v>1161</v>
      </c>
      <c r="B491" t="s">
        <v>13</v>
      </c>
      <c r="C491">
        <v>46042</v>
      </c>
      <c r="D491">
        <v>46132</v>
      </c>
      <c r="E491" t="s">
        <v>775</v>
      </c>
      <c r="F491" t="s">
        <v>14</v>
      </c>
      <c r="H491" t="s">
        <v>443</v>
      </c>
      <c r="I491">
        <v>43624414</v>
      </c>
      <c r="J491" t="s">
        <v>14</v>
      </c>
      <c r="K491" t="s">
        <v>18</v>
      </c>
      <c r="M491" s="10">
        <v>9450000</v>
      </c>
      <c r="N491" t="s">
        <v>704</v>
      </c>
      <c r="Q491" s="11" t="s">
        <v>1036</v>
      </c>
    </row>
    <row r="492" spans="1:17" x14ac:dyDescent="0.25">
      <c r="A492" t="s">
        <v>1162</v>
      </c>
      <c r="B492" t="s">
        <v>13</v>
      </c>
      <c r="C492">
        <v>46042</v>
      </c>
      <c r="D492">
        <v>46132</v>
      </c>
      <c r="E492" t="s">
        <v>775</v>
      </c>
      <c r="F492" t="s">
        <v>14</v>
      </c>
      <c r="G492">
        <v>1085324685</v>
      </c>
      <c r="H492" t="s">
        <v>312</v>
      </c>
      <c r="I492">
        <v>43624414</v>
      </c>
      <c r="J492" t="s">
        <v>14</v>
      </c>
      <c r="K492" t="s">
        <v>18</v>
      </c>
      <c r="M492" s="10">
        <v>9450000</v>
      </c>
      <c r="N492" t="s">
        <v>704</v>
      </c>
      <c r="Q492" s="11" t="s">
        <v>1036</v>
      </c>
    </row>
    <row r="493" spans="1:17" x14ac:dyDescent="0.25">
      <c r="A493" t="s">
        <v>1163</v>
      </c>
      <c r="B493" t="s">
        <v>13</v>
      </c>
      <c r="C493">
        <v>46042</v>
      </c>
      <c r="D493">
        <v>46132</v>
      </c>
      <c r="E493" t="s">
        <v>775</v>
      </c>
      <c r="F493" t="s">
        <v>14</v>
      </c>
      <c r="G493">
        <v>1080041553</v>
      </c>
      <c r="H493" t="s">
        <v>331</v>
      </c>
      <c r="I493">
        <v>98390119</v>
      </c>
      <c r="J493" t="s">
        <v>14</v>
      </c>
      <c r="K493" t="s">
        <v>63</v>
      </c>
      <c r="M493" s="10">
        <v>9450000</v>
      </c>
      <c r="N493" t="s">
        <v>704</v>
      </c>
      <c r="Q493" s="11" t="s">
        <v>1036</v>
      </c>
    </row>
    <row r="494" spans="1:17" x14ac:dyDescent="0.25">
      <c r="A494" t="s">
        <v>1164</v>
      </c>
      <c r="B494" t="s">
        <v>13</v>
      </c>
      <c r="C494">
        <v>46042</v>
      </c>
      <c r="D494">
        <v>46193</v>
      </c>
      <c r="E494" t="s">
        <v>775</v>
      </c>
      <c r="F494" t="s">
        <v>14</v>
      </c>
      <c r="G494">
        <v>1086328063</v>
      </c>
      <c r="H494" t="s">
        <v>881</v>
      </c>
      <c r="I494">
        <v>98390119</v>
      </c>
      <c r="J494" t="s">
        <v>14</v>
      </c>
      <c r="K494" t="s">
        <v>63</v>
      </c>
      <c r="M494" s="10">
        <v>15750000</v>
      </c>
      <c r="N494" t="s">
        <v>704</v>
      </c>
      <c r="Q494" s="11" t="s">
        <v>1036</v>
      </c>
    </row>
    <row r="495" spans="1:17" x14ac:dyDescent="0.25">
      <c r="A495" t="s">
        <v>1165</v>
      </c>
      <c r="B495" t="s">
        <v>13</v>
      </c>
      <c r="C495">
        <v>46042</v>
      </c>
      <c r="D495">
        <v>46132</v>
      </c>
      <c r="E495" t="s">
        <v>775</v>
      </c>
      <c r="F495" t="s">
        <v>14</v>
      </c>
      <c r="G495">
        <v>59310853</v>
      </c>
      <c r="H495" t="s">
        <v>57</v>
      </c>
      <c r="I495">
        <v>43624414</v>
      </c>
      <c r="J495" t="s">
        <v>14</v>
      </c>
      <c r="K495" t="s">
        <v>18</v>
      </c>
      <c r="M495" s="10">
        <v>9450000</v>
      </c>
      <c r="N495" t="s">
        <v>704</v>
      </c>
      <c r="Q495" s="11" t="s">
        <v>1036</v>
      </c>
    </row>
    <row r="496" spans="1:17" x14ac:dyDescent="0.25">
      <c r="A496" t="s">
        <v>1166</v>
      </c>
      <c r="B496" t="s">
        <v>13</v>
      </c>
      <c r="C496">
        <v>46042</v>
      </c>
      <c r="D496">
        <v>46132</v>
      </c>
      <c r="E496" t="s">
        <v>775</v>
      </c>
      <c r="F496" t="s">
        <v>14</v>
      </c>
      <c r="G496">
        <v>1086330124</v>
      </c>
      <c r="H496" t="s">
        <v>348</v>
      </c>
      <c r="I496">
        <v>98333941</v>
      </c>
      <c r="J496" t="s">
        <v>14</v>
      </c>
      <c r="K496" t="s">
        <v>15</v>
      </c>
      <c r="M496" s="10">
        <v>9450000</v>
      </c>
      <c r="N496" t="s">
        <v>704</v>
      </c>
      <c r="Q496" s="11" t="s">
        <v>1036</v>
      </c>
    </row>
    <row r="497" spans="1:17" x14ac:dyDescent="0.25">
      <c r="A497" t="s">
        <v>1031</v>
      </c>
      <c r="B497" t="s">
        <v>13</v>
      </c>
      <c r="C497">
        <v>46042</v>
      </c>
      <c r="D497">
        <v>46132</v>
      </c>
      <c r="E497" t="s">
        <v>775</v>
      </c>
      <c r="F497" t="s">
        <v>14</v>
      </c>
      <c r="G497">
        <v>1081272656</v>
      </c>
      <c r="H497" t="s">
        <v>664</v>
      </c>
      <c r="I497">
        <v>59836926</v>
      </c>
      <c r="J497" t="s">
        <v>14</v>
      </c>
      <c r="K497" t="s">
        <v>17</v>
      </c>
      <c r="M497" s="10">
        <v>9450000</v>
      </c>
      <c r="N497" t="s">
        <v>704</v>
      </c>
      <c r="Q497" s="11" t="s">
        <v>1036</v>
      </c>
    </row>
    <row r="498" spans="1:17" x14ac:dyDescent="0.25">
      <c r="A498" t="s">
        <v>1167</v>
      </c>
      <c r="B498" t="s">
        <v>13</v>
      </c>
      <c r="C498">
        <v>46042</v>
      </c>
      <c r="D498">
        <v>46193</v>
      </c>
      <c r="E498" t="s">
        <v>775</v>
      </c>
      <c r="F498" t="s">
        <v>14</v>
      </c>
      <c r="G498">
        <v>27388522</v>
      </c>
      <c r="H498" t="s">
        <v>38</v>
      </c>
      <c r="I498">
        <v>59836926</v>
      </c>
      <c r="J498" t="s">
        <v>14</v>
      </c>
      <c r="K498" t="s">
        <v>17</v>
      </c>
      <c r="M498" s="10">
        <v>15750000</v>
      </c>
      <c r="N498" t="s">
        <v>704</v>
      </c>
      <c r="Q498" s="11" t="s">
        <v>1036</v>
      </c>
    </row>
    <row r="499" spans="1:17" x14ac:dyDescent="0.25">
      <c r="A499" t="s">
        <v>1168</v>
      </c>
      <c r="B499" t="s">
        <v>13</v>
      </c>
      <c r="C499">
        <v>46042</v>
      </c>
      <c r="D499">
        <v>46073</v>
      </c>
      <c r="E499" t="s">
        <v>775</v>
      </c>
      <c r="F499" t="s">
        <v>14</v>
      </c>
      <c r="G499">
        <v>59834953</v>
      </c>
      <c r="H499" t="s">
        <v>35</v>
      </c>
      <c r="I499">
        <v>98390119</v>
      </c>
      <c r="J499" t="s">
        <v>14</v>
      </c>
      <c r="K499" t="s">
        <v>63</v>
      </c>
      <c r="M499" s="10">
        <v>3150000</v>
      </c>
      <c r="N499" t="s">
        <v>704</v>
      </c>
      <c r="Q499" s="11" t="s">
        <v>1036</v>
      </c>
    </row>
    <row r="500" spans="1:17" x14ac:dyDescent="0.25">
      <c r="A500" t="s">
        <v>1169</v>
      </c>
      <c r="B500" t="s">
        <v>13</v>
      </c>
      <c r="C500">
        <v>46042</v>
      </c>
      <c r="D500">
        <v>46073</v>
      </c>
      <c r="E500" t="s">
        <v>744</v>
      </c>
      <c r="F500" t="s">
        <v>14</v>
      </c>
      <c r="G500">
        <v>1233188295</v>
      </c>
      <c r="H500" t="s">
        <v>358</v>
      </c>
      <c r="I500">
        <v>98390119</v>
      </c>
      <c r="J500" t="s">
        <v>14</v>
      </c>
      <c r="K500" t="s">
        <v>63</v>
      </c>
      <c r="M500" s="10">
        <v>7800000</v>
      </c>
      <c r="N500" t="s">
        <v>704</v>
      </c>
      <c r="Q500" s="11" t="s">
        <v>1036</v>
      </c>
    </row>
    <row r="501" spans="1:17" x14ac:dyDescent="0.25">
      <c r="A501" t="s">
        <v>1170</v>
      </c>
      <c r="B501" t="s">
        <v>13</v>
      </c>
      <c r="C501">
        <v>46042</v>
      </c>
      <c r="D501">
        <v>46073</v>
      </c>
      <c r="E501" t="s">
        <v>775</v>
      </c>
      <c r="F501" t="s">
        <v>14</v>
      </c>
      <c r="G501">
        <v>59830040</v>
      </c>
      <c r="H501" t="s">
        <v>76</v>
      </c>
      <c r="I501">
        <v>59836926</v>
      </c>
      <c r="J501" t="s">
        <v>14</v>
      </c>
      <c r="K501" t="s">
        <v>17</v>
      </c>
      <c r="M501" s="10">
        <v>3150000</v>
      </c>
      <c r="N501" t="s">
        <v>704</v>
      </c>
      <c r="Q501" s="11" t="s">
        <v>1036</v>
      </c>
    </row>
    <row r="502" spans="1:17" x14ac:dyDescent="0.25">
      <c r="A502" t="s">
        <v>1020</v>
      </c>
      <c r="B502" t="s">
        <v>13</v>
      </c>
      <c r="C502">
        <v>46042</v>
      </c>
      <c r="D502">
        <v>46193</v>
      </c>
      <c r="E502" t="s">
        <v>775</v>
      </c>
      <c r="F502" t="s">
        <v>14</v>
      </c>
      <c r="G502">
        <v>1082749295</v>
      </c>
      <c r="H502" t="s">
        <v>538</v>
      </c>
      <c r="I502">
        <v>98333941</v>
      </c>
      <c r="J502" t="s">
        <v>14</v>
      </c>
      <c r="K502" t="s">
        <v>15</v>
      </c>
      <c r="M502" s="10">
        <v>15750000</v>
      </c>
      <c r="N502" t="s">
        <v>704</v>
      </c>
      <c r="Q502" s="11" t="s">
        <v>1036</v>
      </c>
    </row>
    <row r="503" spans="1:17" x14ac:dyDescent="0.25">
      <c r="A503" t="s">
        <v>1171</v>
      </c>
      <c r="B503" t="s">
        <v>13</v>
      </c>
      <c r="C503">
        <v>46042</v>
      </c>
      <c r="D503">
        <v>46132</v>
      </c>
      <c r="E503" t="s">
        <v>775</v>
      </c>
      <c r="F503" t="s">
        <v>14</v>
      </c>
      <c r="G503">
        <v>59313711</v>
      </c>
      <c r="H503" t="s">
        <v>231</v>
      </c>
      <c r="I503">
        <v>98333941</v>
      </c>
      <c r="J503" t="s">
        <v>14</v>
      </c>
      <c r="K503" t="s">
        <v>15</v>
      </c>
      <c r="M503" s="10">
        <v>9450000</v>
      </c>
      <c r="N503" t="s">
        <v>704</v>
      </c>
      <c r="Q503" s="11" t="s">
        <v>1036</v>
      </c>
    </row>
    <row r="504" spans="1:17" x14ac:dyDescent="0.25">
      <c r="A504" t="s">
        <v>1172</v>
      </c>
      <c r="B504" t="s">
        <v>13</v>
      </c>
      <c r="C504">
        <v>46042</v>
      </c>
      <c r="D504">
        <v>46073</v>
      </c>
      <c r="E504" t="s">
        <v>775</v>
      </c>
      <c r="F504" t="s">
        <v>14</v>
      </c>
      <c r="G504">
        <v>1081572043</v>
      </c>
      <c r="H504" t="s">
        <v>54</v>
      </c>
      <c r="I504">
        <v>59836926</v>
      </c>
      <c r="J504" t="s">
        <v>14</v>
      </c>
      <c r="K504" t="s">
        <v>17</v>
      </c>
      <c r="M504" s="10">
        <v>3150000</v>
      </c>
      <c r="N504" t="s">
        <v>704</v>
      </c>
      <c r="Q504" s="11" t="s">
        <v>1036</v>
      </c>
    </row>
    <row r="505" spans="1:17" x14ac:dyDescent="0.25">
      <c r="A505" t="s">
        <v>1173</v>
      </c>
      <c r="B505" t="s">
        <v>13</v>
      </c>
      <c r="C505">
        <v>46042</v>
      </c>
      <c r="D505">
        <v>46193</v>
      </c>
      <c r="E505" t="s">
        <v>775</v>
      </c>
      <c r="F505" t="s">
        <v>14</v>
      </c>
      <c r="G505">
        <v>1084552048</v>
      </c>
      <c r="H505" t="s">
        <v>66</v>
      </c>
      <c r="I505">
        <v>98333941</v>
      </c>
      <c r="J505" t="s">
        <v>14</v>
      </c>
      <c r="K505" t="s">
        <v>15</v>
      </c>
      <c r="M505" s="10">
        <v>15750000</v>
      </c>
      <c r="N505" t="s">
        <v>704</v>
      </c>
      <c r="Q505" s="11" t="s">
        <v>1036</v>
      </c>
    </row>
    <row r="506" spans="1:17" x14ac:dyDescent="0.25">
      <c r="A506" t="s">
        <v>1174</v>
      </c>
      <c r="B506" t="s">
        <v>13</v>
      </c>
      <c r="C506">
        <v>46042</v>
      </c>
      <c r="D506">
        <v>46132</v>
      </c>
      <c r="E506" t="s">
        <v>744</v>
      </c>
      <c r="F506" t="s">
        <v>14</v>
      </c>
      <c r="G506">
        <v>1085335069</v>
      </c>
      <c r="H506" t="s">
        <v>592</v>
      </c>
      <c r="I506">
        <v>98390119</v>
      </c>
      <c r="J506" t="s">
        <v>14</v>
      </c>
      <c r="K506" t="s">
        <v>63</v>
      </c>
      <c r="M506" s="10">
        <v>14190000</v>
      </c>
      <c r="N506" t="s">
        <v>704</v>
      </c>
      <c r="Q506" s="11" t="s">
        <v>1036</v>
      </c>
    </row>
    <row r="507" spans="1:17" x14ac:dyDescent="0.25">
      <c r="A507" t="s">
        <v>1175</v>
      </c>
      <c r="B507" t="s">
        <v>13</v>
      </c>
      <c r="C507">
        <v>46042</v>
      </c>
      <c r="D507">
        <v>46132</v>
      </c>
      <c r="E507" t="s">
        <v>775</v>
      </c>
      <c r="F507" t="s">
        <v>14</v>
      </c>
      <c r="G507">
        <v>1086222689</v>
      </c>
      <c r="H507" t="s">
        <v>36</v>
      </c>
      <c r="I507">
        <v>59836926</v>
      </c>
      <c r="J507" t="s">
        <v>14</v>
      </c>
      <c r="K507" t="s">
        <v>17</v>
      </c>
      <c r="M507" s="10">
        <v>9450000</v>
      </c>
      <c r="N507" t="s">
        <v>704</v>
      </c>
      <c r="Q507" s="11" t="s">
        <v>1036</v>
      </c>
    </row>
    <row r="508" spans="1:17" x14ac:dyDescent="0.25">
      <c r="A508" t="s">
        <v>1176</v>
      </c>
      <c r="B508" t="s">
        <v>13</v>
      </c>
      <c r="C508">
        <v>46042</v>
      </c>
      <c r="D508">
        <v>46132</v>
      </c>
      <c r="E508" t="s">
        <v>744</v>
      </c>
      <c r="F508" t="s">
        <v>14</v>
      </c>
      <c r="G508">
        <v>1085293619</v>
      </c>
      <c r="H508" t="s">
        <v>420</v>
      </c>
      <c r="I508">
        <v>43624414</v>
      </c>
      <c r="J508" t="s">
        <v>14</v>
      </c>
      <c r="K508" t="s">
        <v>18</v>
      </c>
      <c r="M508" s="10">
        <v>14190000</v>
      </c>
      <c r="N508" t="s">
        <v>704</v>
      </c>
      <c r="Q508" s="11" t="s">
        <v>1036</v>
      </c>
    </row>
    <row r="509" spans="1:17" x14ac:dyDescent="0.25">
      <c r="A509" t="s">
        <v>1177</v>
      </c>
      <c r="B509" t="s">
        <v>13</v>
      </c>
      <c r="C509">
        <v>46042</v>
      </c>
      <c r="D509">
        <v>46073</v>
      </c>
      <c r="E509" t="s">
        <v>775</v>
      </c>
      <c r="F509" t="s">
        <v>14</v>
      </c>
      <c r="G509">
        <v>1004131976</v>
      </c>
      <c r="H509" t="s">
        <v>291</v>
      </c>
      <c r="I509">
        <v>98390119</v>
      </c>
      <c r="J509" t="s">
        <v>14</v>
      </c>
      <c r="K509" t="s">
        <v>63</v>
      </c>
      <c r="M509" s="10">
        <v>3150000</v>
      </c>
      <c r="N509" t="s">
        <v>704</v>
      </c>
      <c r="Q509" s="11" t="s">
        <v>1036</v>
      </c>
    </row>
    <row r="510" spans="1:17" x14ac:dyDescent="0.25">
      <c r="A510" t="s">
        <v>1178</v>
      </c>
      <c r="B510" t="s">
        <v>13</v>
      </c>
      <c r="C510">
        <v>46042</v>
      </c>
      <c r="D510">
        <v>46132</v>
      </c>
      <c r="E510" t="s">
        <v>775</v>
      </c>
      <c r="F510" t="s">
        <v>14</v>
      </c>
      <c r="G510">
        <v>1085267332</v>
      </c>
      <c r="H510" t="s">
        <v>873</v>
      </c>
      <c r="I510">
        <v>98333941</v>
      </c>
      <c r="J510" t="s">
        <v>14</v>
      </c>
      <c r="K510" t="s">
        <v>15</v>
      </c>
      <c r="M510" s="10">
        <v>9450000</v>
      </c>
      <c r="N510" t="s">
        <v>704</v>
      </c>
      <c r="Q510" s="11" t="s">
        <v>1036</v>
      </c>
    </row>
    <row r="511" spans="1:17" x14ac:dyDescent="0.25">
      <c r="A511" t="s">
        <v>1179</v>
      </c>
      <c r="B511" t="s">
        <v>13</v>
      </c>
      <c r="C511">
        <v>46043</v>
      </c>
      <c r="D511">
        <v>46194</v>
      </c>
      <c r="E511" t="s">
        <v>775</v>
      </c>
      <c r="F511" t="s">
        <v>14</v>
      </c>
      <c r="G511">
        <v>36751255</v>
      </c>
      <c r="H511" t="s">
        <v>677</v>
      </c>
      <c r="I511">
        <v>98390119</v>
      </c>
      <c r="J511" t="s">
        <v>14</v>
      </c>
      <c r="K511" t="s">
        <v>63</v>
      </c>
      <c r="M511" s="10">
        <v>15750000</v>
      </c>
      <c r="N511" t="s">
        <v>704</v>
      </c>
      <c r="Q511" s="11" t="s">
        <v>1036</v>
      </c>
    </row>
    <row r="512" spans="1:17" x14ac:dyDescent="0.25">
      <c r="A512" t="s">
        <v>1180</v>
      </c>
      <c r="B512" t="s">
        <v>13</v>
      </c>
      <c r="C512">
        <v>46043</v>
      </c>
      <c r="D512">
        <v>46074</v>
      </c>
      <c r="E512" t="s">
        <v>775</v>
      </c>
      <c r="F512" t="s">
        <v>14</v>
      </c>
      <c r="G512">
        <v>27436186</v>
      </c>
      <c r="H512" t="s">
        <v>932</v>
      </c>
      <c r="I512">
        <v>43624414</v>
      </c>
      <c r="J512" t="s">
        <v>14</v>
      </c>
      <c r="K512" t="s">
        <v>18</v>
      </c>
      <c r="M512" s="10">
        <v>3150000</v>
      </c>
      <c r="N512" t="s">
        <v>704</v>
      </c>
      <c r="Q512" s="11" t="s">
        <v>1036</v>
      </c>
    </row>
    <row r="513" spans="1:17" x14ac:dyDescent="0.25">
      <c r="A513" t="s">
        <v>1181</v>
      </c>
      <c r="B513" t="s">
        <v>13</v>
      </c>
      <c r="C513">
        <v>46043</v>
      </c>
      <c r="D513">
        <v>46133</v>
      </c>
      <c r="E513" t="s">
        <v>775</v>
      </c>
      <c r="F513" t="s">
        <v>14</v>
      </c>
      <c r="G513">
        <v>1087644986</v>
      </c>
      <c r="H513" t="s">
        <v>510</v>
      </c>
      <c r="I513">
        <v>98333941</v>
      </c>
      <c r="J513" t="s">
        <v>14</v>
      </c>
      <c r="K513" t="s">
        <v>15</v>
      </c>
      <c r="M513" s="10">
        <v>9450000</v>
      </c>
      <c r="N513" t="s">
        <v>704</v>
      </c>
      <c r="Q513" s="11" t="s">
        <v>1036</v>
      </c>
    </row>
    <row r="514" spans="1:17" x14ac:dyDescent="0.25">
      <c r="A514" t="s">
        <v>1182</v>
      </c>
      <c r="B514" t="s">
        <v>13</v>
      </c>
      <c r="C514">
        <v>46043</v>
      </c>
      <c r="D514">
        <v>46133</v>
      </c>
      <c r="E514" t="s">
        <v>775</v>
      </c>
      <c r="F514" t="s">
        <v>14</v>
      </c>
      <c r="G514">
        <v>1084224968</v>
      </c>
      <c r="H514" t="s">
        <v>118</v>
      </c>
      <c r="I514">
        <v>59836926</v>
      </c>
      <c r="J514" t="s">
        <v>14</v>
      </c>
      <c r="K514" t="s">
        <v>17</v>
      </c>
      <c r="M514" s="10">
        <v>9450000</v>
      </c>
      <c r="N514" t="s">
        <v>704</v>
      </c>
      <c r="Q514" s="11" t="s">
        <v>1036</v>
      </c>
    </row>
    <row r="515" spans="1:17" x14ac:dyDescent="0.25">
      <c r="A515" t="s">
        <v>1183</v>
      </c>
      <c r="B515" t="s">
        <v>13</v>
      </c>
      <c r="C515">
        <v>46043</v>
      </c>
      <c r="D515">
        <v>46194</v>
      </c>
      <c r="E515" t="s">
        <v>775</v>
      </c>
      <c r="F515" t="s">
        <v>14</v>
      </c>
      <c r="G515">
        <v>1085288636</v>
      </c>
      <c r="H515" t="s">
        <v>519</v>
      </c>
      <c r="I515">
        <v>98390119</v>
      </c>
      <c r="J515" t="s">
        <v>14</v>
      </c>
      <c r="K515" t="s">
        <v>63</v>
      </c>
      <c r="M515" s="10">
        <v>15750000</v>
      </c>
      <c r="N515" t="s">
        <v>704</v>
      </c>
      <c r="Q515" s="11" t="s">
        <v>1036</v>
      </c>
    </row>
    <row r="516" spans="1:17" x14ac:dyDescent="0.25">
      <c r="A516" t="s">
        <v>1021</v>
      </c>
      <c r="B516" t="s">
        <v>13</v>
      </c>
      <c r="C516">
        <v>46043</v>
      </c>
      <c r="D516">
        <v>46194</v>
      </c>
      <c r="E516" t="s">
        <v>775</v>
      </c>
      <c r="F516" t="s">
        <v>14</v>
      </c>
      <c r="G516">
        <v>1085317226</v>
      </c>
      <c r="H516" t="s">
        <v>271</v>
      </c>
      <c r="I516">
        <v>98333941</v>
      </c>
      <c r="J516" t="s">
        <v>14</v>
      </c>
      <c r="K516" t="s">
        <v>15</v>
      </c>
      <c r="M516" s="10">
        <v>15750000</v>
      </c>
      <c r="N516" t="s">
        <v>704</v>
      </c>
      <c r="Q516" s="11" t="s">
        <v>1036</v>
      </c>
    </row>
    <row r="517" spans="1:17" x14ac:dyDescent="0.25">
      <c r="A517" t="s">
        <v>1184</v>
      </c>
      <c r="B517" t="s">
        <v>13</v>
      </c>
      <c r="C517">
        <v>46043</v>
      </c>
      <c r="D517">
        <v>46194</v>
      </c>
      <c r="E517" t="s">
        <v>775</v>
      </c>
      <c r="F517" t="s">
        <v>14</v>
      </c>
      <c r="G517">
        <v>27549932</v>
      </c>
      <c r="H517" t="s">
        <v>931</v>
      </c>
      <c r="I517">
        <v>43624414</v>
      </c>
      <c r="J517" t="s">
        <v>14</v>
      </c>
      <c r="K517" t="s">
        <v>18</v>
      </c>
      <c r="M517" s="10">
        <v>15750000</v>
      </c>
      <c r="N517" t="s">
        <v>704</v>
      </c>
      <c r="Q517" s="11" t="s">
        <v>1036</v>
      </c>
    </row>
    <row r="518" spans="1:17" x14ac:dyDescent="0.25">
      <c r="A518" t="s">
        <v>1185</v>
      </c>
      <c r="B518" t="s">
        <v>13</v>
      </c>
      <c r="C518">
        <v>46043</v>
      </c>
      <c r="D518">
        <v>46074</v>
      </c>
      <c r="E518" t="s">
        <v>775</v>
      </c>
      <c r="F518" t="s">
        <v>14</v>
      </c>
      <c r="G518">
        <v>1085346528</v>
      </c>
      <c r="H518" t="s">
        <v>385</v>
      </c>
      <c r="I518">
        <v>43624414</v>
      </c>
      <c r="J518" t="s">
        <v>14</v>
      </c>
      <c r="K518" t="s">
        <v>18</v>
      </c>
      <c r="M518" s="10">
        <v>3150000</v>
      </c>
      <c r="N518" t="s">
        <v>704</v>
      </c>
      <c r="Q518" s="11" t="s">
        <v>1036</v>
      </c>
    </row>
    <row r="519" spans="1:17" x14ac:dyDescent="0.25">
      <c r="A519" t="s">
        <v>1186</v>
      </c>
      <c r="B519" t="s">
        <v>13</v>
      </c>
      <c r="C519">
        <v>46043</v>
      </c>
      <c r="D519">
        <v>46194</v>
      </c>
      <c r="E519" t="s">
        <v>775</v>
      </c>
      <c r="F519" t="s">
        <v>14</v>
      </c>
      <c r="G519">
        <v>1010099104</v>
      </c>
      <c r="H519" t="s">
        <v>635</v>
      </c>
      <c r="I519">
        <v>59836926</v>
      </c>
      <c r="J519" t="s">
        <v>14</v>
      </c>
      <c r="K519" t="s">
        <v>17</v>
      </c>
      <c r="M519" s="10">
        <v>15750000</v>
      </c>
      <c r="N519" t="s">
        <v>704</v>
      </c>
      <c r="Q519" s="11" t="s">
        <v>1036</v>
      </c>
    </row>
    <row r="520" spans="1:17" x14ac:dyDescent="0.25">
      <c r="A520" t="s">
        <v>1187</v>
      </c>
      <c r="B520" t="s">
        <v>13</v>
      </c>
      <c r="C520">
        <v>46043</v>
      </c>
      <c r="D520">
        <v>46194</v>
      </c>
      <c r="E520" t="s">
        <v>775</v>
      </c>
      <c r="F520" t="s">
        <v>14</v>
      </c>
      <c r="G520">
        <v>27253636</v>
      </c>
      <c r="H520" t="s">
        <v>468</v>
      </c>
      <c r="I520">
        <v>98390119</v>
      </c>
      <c r="J520" t="s">
        <v>14</v>
      </c>
      <c r="K520" t="s">
        <v>63</v>
      </c>
      <c r="M520" s="10">
        <v>15750000</v>
      </c>
      <c r="N520" t="s">
        <v>704</v>
      </c>
      <c r="Q520" s="11" t="s">
        <v>1036</v>
      </c>
    </row>
    <row r="521" spans="1:17" x14ac:dyDescent="0.25">
      <c r="A521" t="s">
        <v>1188</v>
      </c>
      <c r="B521" t="s">
        <v>13</v>
      </c>
      <c r="C521">
        <v>46043</v>
      </c>
      <c r="D521">
        <v>46194</v>
      </c>
      <c r="E521" t="s">
        <v>775</v>
      </c>
      <c r="F521" t="s">
        <v>14</v>
      </c>
      <c r="G521">
        <v>1089291166</v>
      </c>
      <c r="H521" t="s">
        <v>429</v>
      </c>
      <c r="I521">
        <v>98333941</v>
      </c>
      <c r="J521" t="s">
        <v>14</v>
      </c>
      <c r="K521" t="s">
        <v>15</v>
      </c>
      <c r="M521" s="10">
        <v>15750000</v>
      </c>
      <c r="N521" t="s">
        <v>704</v>
      </c>
      <c r="Q521" s="11" t="s">
        <v>1036</v>
      </c>
    </row>
    <row r="522" spans="1:17" x14ac:dyDescent="0.25">
      <c r="A522" t="s">
        <v>1189</v>
      </c>
      <c r="B522" t="s">
        <v>13</v>
      </c>
      <c r="C522">
        <v>46043</v>
      </c>
      <c r="D522">
        <v>46133</v>
      </c>
      <c r="E522" t="s">
        <v>744</v>
      </c>
      <c r="F522" t="s">
        <v>14</v>
      </c>
      <c r="G522">
        <v>87065647</v>
      </c>
      <c r="H522" t="s">
        <v>410</v>
      </c>
      <c r="I522">
        <v>59836926</v>
      </c>
      <c r="J522" t="s">
        <v>14</v>
      </c>
      <c r="K522" t="s">
        <v>17</v>
      </c>
      <c r="M522" s="10">
        <v>23400000</v>
      </c>
      <c r="N522" t="s">
        <v>704</v>
      </c>
      <c r="Q522" s="11" t="s">
        <v>1036</v>
      </c>
    </row>
    <row r="523" spans="1:17" x14ac:dyDescent="0.25">
      <c r="A523" t="s">
        <v>1190</v>
      </c>
      <c r="B523" t="s">
        <v>13</v>
      </c>
      <c r="C523">
        <v>46043</v>
      </c>
      <c r="D523">
        <v>46194</v>
      </c>
      <c r="E523" t="s">
        <v>775</v>
      </c>
      <c r="F523" t="s">
        <v>14</v>
      </c>
      <c r="G523">
        <v>1004236159</v>
      </c>
      <c r="H523" t="s">
        <v>202</v>
      </c>
      <c r="I523">
        <v>98333941</v>
      </c>
      <c r="J523" t="s">
        <v>14</v>
      </c>
      <c r="K523" t="s">
        <v>15</v>
      </c>
      <c r="M523" s="10">
        <v>15750000</v>
      </c>
      <c r="N523" t="s">
        <v>704</v>
      </c>
      <c r="Q523" s="11" t="s">
        <v>1036</v>
      </c>
    </row>
    <row r="524" spans="1:17" x14ac:dyDescent="0.25">
      <c r="A524" t="s">
        <v>1191</v>
      </c>
      <c r="B524" t="s">
        <v>13</v>
      </c>
      <c r="C524">
        <v>46043</v>
      </c>
      <c r="D524">
        <v>46194</v>
      </c>
      <c r="E524" t="s">
        <v>775</v>
      </c>
      <c r="F524" t="s">
        <v>14</v>
      </c>
      <c r="G524">
        <v>1085331558</v>
      </c>
      <c r="H524" t="s">
        <v>314</v>
      </c>
      <c r="I524">
        <v>98390119</v>
      </c>
      <c r="J524" t="s">
        <v>14</v>
      </c>
      <c r="K524" t="s">
        <v>63</v>
      </c>
      <c r="M524" s="10">
        <v>15750000</v>
      </c>
      <c r="N524" t="s">
        <v>704</v>
      </c>
      <c r="Q524" s="11" t="s">
        <v>1036</v>
      </c>
    </row>
    <row r="525" spans="1:17" x14ac:dyDescent="0.25">
      <c r="A525" t="s">
        <v>1192</v>
      </c>
      <c r="B525" t="s">
        <v>13</v>
      </c>
      <c r="C525">
        <v>46043</v>
      </c>
      <c r="D525">
        <v>46194</v>
      </c>
      <c r="E525" t="s">
        <v>775</v>
      </c>
      <c r="F525" t="s">
        <v>14</v>
      </c>
      <c r="G525">
        <v>1081592742</v>
      </c>
      <c r="H525" t="s">
        <v>656</v>
      </c>
      <c r="I525">
        <v>98333941</v>
      </c>
      <c r="J525" t="s">
        <v>14</v>
      </c>
      <c r="K525" t="s">
        <v>15</v>
      </c>
      <c r="M525" s="10">
        <v>15750000</v>
      </c>
      <c r="N525" t="s">
        <v>704</v>
      </c>
      <c r="Q525" s="11" t="s">
        <v>1036</v>
      </c>
    </row>
    <row r="526" spans="1:17" x14ac:dyDescent="0.25">
      <c r="A526" t="s">
        <v>1193</v>
      </c>
      <c r="B526" t="s">
        <v>13</v>
      </c>
      <c r="C526">
        <v>46043</v>
      </c>
      <c r="D526">
        <v>46133</v>
      </c>
      <c r="E526" t="s">
        <v>775</v>
      </c>
      <c r="F526" t="s">
        <v>14</v>
      </c>
      <c r="G526">
        <v>1137089268</v>
      </c>
      <c r="H526" t="s">
        <v>623</v>
      </c>
      <c r="I526">
        <v>59836926</v>
      </c>
      <c r="J526" t="s">
        <v>14</v>
      </c>
      <c r="K526" t="s">
        <v>17</v>
      </c>
      <c r="M526" s="10">
        <v>9450000</v>
      </c>
      <c r="N526" t="s">
        <v>704</v>
      </c>
      <c r="Q526" s="11" t="s">
        <v>1036</v>
      </c>
    </row>
    <row r="527" spans="1:17" x14ac:dyDescent="0.25">
      <c r="A527" t="s">
        <v>1194</v>
      </c>
      <c r="B527" t="s">
        <v>13</v>
      </c>
      <c r="C527">
        <v>46043</v>
      </c>
      <c r="D527">
        <v>46133</v>
      </c>
      <c r="E527" t="s">
        <v>775</v>
      </c>
      <c r="F527" t="s">
        <v>14</v>
      </c>
      <c r="G527">
        <v>1088216350</v>
      </c>
      <c r="H527" t="s">
        <v>333</v>
      </c>
      <c r="I527">
        <v>43624414</v>
      </c>
      <c r="J527" t="s">
        <v>14</v>
      </c>
      <c r="K527" t="s">
        <v>18</v>
      </c>
      <c r="M527" s="10">
        <v>9450000</v>
      </c>
      <c r="N527" t="s">
        <v>704</v>
      </c>
      <c r="Q527" s="11" t="s">
        <v>1036</v>
      </c>
    </row>
    <row r="528" spans="1:17" x14ac:dyDescent="0.25">
      <c r="A528" t="s">
        <v>1195</v>
      </c>
      <c r="B528" t="s">
        <v>13</v>
      </c>
      <c r="C528">
        <v>46043</v>
      </c>
      <c r="D528">
        <v>46133</v>
      </c>
      <c r="E528" t="s">
        <v>775</v>
      </c>
      <c r="F528" t="s">
        <v>14</v>
      </c>
      <c r="G528">
        <v>1086222977</v>
      </c>
      <c r="H528" t="s">
        <v>872</v>
      </c>
      <c r="I528">
        <v>98333941</v>
      </c>
      <c r="J528" t="s">
        <v>14</v>
      </c>
      <c r="K528" t="s">
        <v>15</v>
      </c>
      <c r="M528" s="10">
        <v>9450000</v>
      </c>
      <c r="N528" t="s">
        <v>704</v>
      </c>
      <c r="Q528" s="11" t="s">
        <v>1036</v>
      </c>
    </row>
    <row r="529" spans="1:17" x14ac:dyDescent="0.25">
      <c r="A529" t="s">
        <v>1196</v>
      </c>
      <c r="B529" t="s">
        <v>13</v>
      </c>
      <c r="C529">
        <v>46043</v>
      </c>
      <c r="D529">
        <v>46133</v>
      </c>
      <c r="E529" t="s">
        <v>775</v>
      </c>
      <c r="F529" t="s">
        <v>14</v>
      </c>
      <c r="G529">
        <v>1192717330</v>
      </c>
      <c r="H529" t="s">
        <v>58</v>
      </c>
      <c r="I529">
        <v>43624414</v>
      </c>
      <c r="J529" t="s">
        <v>14</v>
      </c>
      <c r="K529" t="s">
        <v>18</v>
      </c>
      <c r="M529" s="10">
        <v>9450000</v>
      </c>
      <c r="N529" t="s">
        <v>704</v>
      </c>
      <c r="Q529" s="11" t="s">
        <v>1036</v>
      </c>
    </row>
    <row r="530" spans="1:17" x14ac:dyDescent="0.25">
      <c r="A530" t="s">
        <v>1197</v>
      </c>
      <c r="B530" t="s">
        <v>13</v>
      </c>
      <c r="C530">
        <v>46043</v>
      </c>
      <c r="D530">
        <v>46194</v>
      </c>
      <c r="E530" t="s">
        <v>775</v>
      </c>
      <c r="F530" t="s">
        <v>14</v>
      </c>
      <c r="G530">
        <v>1085247449</v>
      </c>
      <c r="H530" t="s">
        <v>498</v>
      </c>
      <c r="I530">
        <v>98333941</v>
      </c>
      <c r="J530" t="s">
        <v>14</v>
      </c>
      <c r="K530" t="s">
        <v>15</v>
      </c>
      <c r="M530" s="10">
        <v>15750000</v>
      </c>
      <c r="N530" t="s">
        <v>704</v>
      </c>
      <c r="Q530" s="11" t="s">
        <v>1036</v>
      </c>
    </row>
    <row r="531" spans="1:17" x14ac:dyDescent="0.25">
      <c r="A531" t="s">
        <v>1198</v>
      </c>
      <c r="B531" t="s">
        <v>13</v>
      </c>
      <c r="C531">
        <v>46043</v>
      </c>
      <c r="D531">
        <v>46133</v>
      </c>
      <c r="E531" t="s">
        <v>775</v>
      </c>
      <c r="F531" t="s">
        <v>14</v>
      </c>
      <c r="G531">
        <v>1085335033</v>
      </c>
      <c r="H531" t="s">
        <v>650</v>
      </c>
      <c r="I531">
        <v>98333941</v>
      </c>
      <c r="J531" t="s">
        <v>14</v>
      </c>
      <c r="K531" t="s">
        <v>15</v>
      </c>
      <c r="M531" s="10">
        <v>9450000</v>
      </c>
      <c r="N531" t="s">
        <v>704</v>
      </c>
      <c r="Q531" s="11" t="s">
        <v>1036</v>
      </c>
    </row>
    <row r="532" spans="1:17" x14ac:dyDescent="0.25">
      <c r="A532" t="s">
        <v>1199</v>
      </c>
      <c r="B532" t="s">
        <v>13</v>
      </c>
      <c r="C532">
        <v>46043</v>
      </c>
      <c r="D532">
        <v>46074</v>
      </c>
      <c r="E532" t="s">
        <v>775</v>
      </c>
      <c r="F532" t="s">
        <v>14</v>
      </c>
      <c r="G532">
        <v>1088799080</v>
      </c>
      <c r="H532" t="s">
        <v>157</v>
      </c>
      <c r="I532">
        <v>43624414</v>
      </c>
      <c r="J532" t="s">
        <v>14</v>
      </c>
      <c r="K532" t="s">
        <v>18</v>
      </c>
      <c r="M532" s="10">
        <v>3150000</v>
      </c>
      <c r="N532" t="s">
        <v>704</v>
      </c>
      <c r="Q532" s="11" t="s">
        <v>1036</v>
      </c>
    </row>
    <row r="533" spans="1:17" x14ac:dyDescent="0.25">
      <c r="A533" t="s">
        <v>1200</v>
      </c>
      <c r="B533" t="s">
        <v>13</v>
      </c>
      <c r="C533">
        <v>46043</v>
      </c>
      <c r="D533">
        <v>46133</v>
      </c>
      <c r="E533" t="s">
        <v>775</v>
      </c>
      <c r="F533" t="s">
        <v>14</v>
      </c>
      <c r="G533">
        <v>1004547484</v>
      </c>
      <c r="H533" t="s">
        <v>874</v>
      </c>
      <c r="I533">
        <v>98333941</v>
      </c>
      <c r="J533" t="s">
        <v>14</v>
      </c>
      <c r="K533" t="s">
        <v>15</v>
      </c>
      <c r="M533" s="10">
        <v>9450000</v>
      </c>
      <c r="N533" t="s">
        <v>704</v>
      </c>
      <c r="Q533" s="11" t="s">
        <v>1036</v>
      </c>
    </row>
    <row r="534" spans="1:17" x14ac:dyDescent="0.25">
      <c r="A534" t="s">
        <v>1201</v>
      </c>
      <c r="B534" t="s">
        <v>13</v>
      </c>
      <c r="C534">
        <v>46043</v>
      </c>
      <c r="D534">
        <v>46133</v>
      </c>
      <c r="E534" t="s">
        <v>775</v>
      </c>
      <c r="F534" t="s">
        <v>14</v>
      </c>
      <c r="G534">
        <v>1080693240</v>
      </c>
      <c r="H534" t="s">
        <v>139</v>
      </c>
      <c r="I534">
        <v>59836926</v>
      </c>
      <c r="J534" t="s">
        <v>14</v>
      </c>
      <c r="K534" t="s">
        <v>17</v>
      </c>
      <c r="M534" s="10">
        <v>9450000</v>
      </c>
      <c r="N534" t="s">
        <v>704</v>
      </c>
      <c r="Q534" s="11" t="s">
        <v>1036</v>
      </c>
    </row>
    <row r="535" spans="1:17" x14ac:dyDescent="0.25">
      <c r="A535" t="s">
        <v>1202</v>
      </c>
      <c r="B535" t="s">
        <v>13</v>
      </c>
      <c r="C535">
        <v>46044</v>
      </c>
      <c r="D535">
        <v>46075</v>
      </c>
      <c r="E535" t="s">
        <v>775</v>
      </c>
      <c r="F535" t="s">
        <v>14</v>
      </c>
      <c r="G535">
        <v>36861874</v>
      </c>
      <c r="H535" t="s">
        <v>50</v>
      </c>
      <c r="I535">
        <v>98390119</v>
      </c>
      <c r="J535" t="s">
        <v>14</v>
      </c>
      <c r="K535" t="s">
        <v>63</v>
      </c>
      <c r="M535" s="10">
        <v>3150000</v>
      </c>
      <c r="N535" t="s">
        <v>704</v>
      </c>
      <c r="Q535" s="11" t="s">
        <v>1036</v>
      </c>
    </row>
    <row r="536" spans="1:17" x14ac:dyDescent="0.25">
      <c r="A536" t="s">
        <v>1203</v>
      </c>
      <c r="B536" t="s">
        <v>13</v>
      </c>
      <c r="C536">
        <v>46044</v>
      </c>
      <c r="D536">
        <v>46134</v>
      </c>
      <c r="E536" t="s">
        <v>775</v>
      </c>
      <c r="F536" t="s">
        <v>14</v>
      </c>
      <c r="G536">
        <v>1086358836</v>
      </c>
      <c r="H536" t="s">
        <v>512</v>
      </c>
      <c r="I536">
        <v>98333941</v>
      </c>
      <c r="J536" t="s">
        <v>14</v>
      </c>
      <c r="K536" t="s">
        <v>15</v>
      </c>
      <c r="M536" s="10">
        <v>9450000</v>
      </c>
      <c r="N536" t="s">
        <v>704</v>
      </c>
      <c r="Q536" s="11" t="s">
        <v>1036</v>
      </c>
    </row>
    <row r="537" spans="1:17" x14ac:dyDescent="0.25">
      <c r="A537" t="s">
        <v>1204</v>
      </c>
      <c r="B537" t="s">
        <v>13</v>
      </c>
      <c r="C537">
        <v>46044</v>
      </c>
      <c r="D537">
        <v>46134</v>
      </c>
      <c r="E537" t="s">
        <v>793</v>
      </c>
      <c r="F537" t="s">
        <v>14</v>
      </c>
      <c r="G537">
        <v>1010113730</v>
      </c>
      <c r="H537" t="s">
        <v>521</v>
      </c>
      <c r="I537">
        <v>98333941</v>
      </c>
      <c r="J537" t="s">
        <v>14</v>
      </c>
      <c r="K537" t="s">
        <v>15</v>
      </c>
      <c r="M537" s="10">
        <v>6000000</v>
      </c>
      <c r="N537" t="s">
        <v>704</v>
      </c>
      <c r="Q537" s="11" t="s">
        <v>1036</v>
      </c>
    </row>
    <row r="538" spans="1:17" x14ac:dyDescent="0.25">
      <c r="A538" t="s">
        <v>1205</v>
      </c>
      <c r="B538" t="s">
        <v>13</v>
      </c>
      <c r="C538">
        <v>46044</v>
      </c>
      <c r="D538">
        <v>46134</v>
      </c>
      <c r="E538" t="s">
        <v>775</v>
      </c>
      <c r="F538" t="s">
        <v>14</v>
      </c>
      <c r="G538">
        <v>1081052746</v>
      </c>
      <c r="H538" t="s">
        <v>376</v>
      </c>
      <c r="I538">
        <v>98333941</v>
      </c>
      <c r="J538" t="s">
        <v>14</v>
      </c>
      <c r="K538" t="s">
        <v>15</v>
      </c>
      <c r="M538" s="10">
        <v>9450000</v>
      </c>
      <c r="N538" t="s">
        <v>704</v>
      </c>
      <c r="Q538" s="11" t="s">
        <v>1036</v>
      </c>
    </row>
    <row r="539" spans="1:17" x14ac:dyDescent="0.25">
      <c r="A539" t="s">
        <v>1206</v>
      </c>
      <c r="B539" t="s">
        <v>13</v>
      </c>
      <c r="C539">
        <v>46044</v>
      </c>
      <c r="D539">
        <v>46134</v>
      </c>
      <c r="E539" t="s">
        <v>793</v>
      </c>
      <c r="F539" t="s">
        <v>14</v>
      </c>
      <c r="G539">
        <v>37083933</v>
      </c>
      <c r="H539" t="s">
        <v>305</v>
      </c>
      <c r="I539">
        <v>43624414</v>
      </c>
      <c r="J539" t="s">
        <v>14</v>
      </c>
      <c r="K539" t="s">
        <v>18</v>
      </c>
      <c r="M539" s="10">
        <v>6000000</v>
      </c>
      <c r="N539" t="s">
        <v>704</v>
      </c>
      <c r="Q539" s="11" t="s">
        <v>1036</v>
      </c>
    </row>
    <row r="540" spans="1:17" x14ac:dyDescent="0.25">
      <c r="A540" t="s">
        <v>1207</v>
      </c>
      <c r="B540" t="s">
        <v>13</v>
      </c>
      <c r="C540">
        <v>46044</v>
      </c>
      <c r="D540">
        <v>46195</v>
      </c>
      <c r="E540" t="s">
        <v>775</v>
      </c>
      <c r="F540" t="s">
        <v>14</v>
      </c>
      <c r="G540">
        <v>59310056</v>
      </c>
      <c r="H540" t="s">
        <v>105</v>
      </c>
      <c r="I540">
        <v>98333941</v>
      </c>
      <c r="J540" t="s">
        <v>14</v>
      </c>
      <c r="K540" t="s">
        <v>15</v>
      </c>
      <c r="M540" s="10">
        <v>15750000</v>
      </c>
      <c r="N540" t="s">
        <v>704</v>
      </c>
      <c r="Q540" s="11" t="s">
        <v>1036</v>
      </c>
    </row>
    <row r="541" spans="1:17" x14ac:dyDescent="0.25">
      <c r="A541" t="s">
        <v>1208</v>
      </c>
      <c r="B541" t="s">
        <v>13</v>
      </c>
      <c r="C541">
        <v>46044</v>
      </c>
      <c r="D541">
        <v>46134</v>
      </c>
      <c r="E541" t="s">
        <v>775</v>
      </c>
      <c r="F541" t="s">
        <v>14</v>
      </c>
      <c r="G541">
        <v>1089975658</v>
      </c>
      <c r="H541" t="s">
        <v>620</v>
      </c>
      <c r="I541">
        <v>59836926</v>
      </c>
      <c r="J541" t="s">
        <v>14</v>
      </c>
      <c r="K541" t="s">
        <v>17</v>
      </c>
      <c r="M541" s="10">
        <v>9450000</v>
      </c>
      <c r="N541" t="s">
        <v>704</v>
      </c>
      <c r="Q541" s="11" t="s">
        <v>1036</v>
      </c>
    </row>
    <row r="542" spans="1:17" x14ac:dyDescent="0.25">
      <c r="A542" t="s">
        <v>1209</v>
      </c>
      <c r="B542" t="s">
        <v>13</v>
      </c>
      <c r="C542">
        <v>46044</v>
      </c>
      <c r="D542">
        <v>46134</v>
      </c>
      <c r="E542" t="s">
        <v>793</v>
      </c>
      <c r="F542" t="s">
        <v>14</v>
      </c>
      <c r="G542">
        <v>1085327836</v>
      </c>
      <c r="H542" t="s">
        <v>77</v>
      </c>
      <c r="I542">
        <v>43624414</v>
      </c>
      <c r="J542" t="s">
        <v>14</v>
      </c>
      <c r="K542" t="s">
        <v>18</v>
      </c>
      <c r="M542" s="10">
        <v>6000000</v>
      </c>
      <c r="N542" t="s">
        <v>704</v>
      </c>
      <c r="Q542" s="11" t="s">
        <v>1036</v>
      </c>
    </row>
    <row r="543" spans="1:17" x14ac:dyDescent="0.25">
      <c r="A543" t="s">
        <v>1210</v>
      </c>
      <c r="B543" t="s">
        <v>13</v>
      </c>
      <c r="C543">
        <v>46044</v>
      </c>
      <c r="D543">
        <v>46195</v>
      </c>
      <c r="E543" t="s">
        <v>775</v>
      </c>
      <c r="F543" t="s">
        <v>14</v>
      </c>
      <c r="G543">
        <v>1085323163</v>
      </c>
      <c r="H543" t="s">
        <v>598</v>
      </c>
      <c r="I543">
        <v>98390119</v>
      </c>
      <c r="J543" t="s">
        <v>14</v>
      </c>
      <c r="K543" t="s">
        <v>63</v>
      </c>
      <c r="M543" s="10">
        <v>15750000</v>
      </c>
      <c r="N543" t="s">
        <v>704</v>
      </c>
      <c r="Q543" s="11" t="s">
        <v>1036</v>
      </c>
    </row>
    <row r="544" spans="1:17" x14ac:dyDescent="0.25">
      <c r="A544" t="s">
        <v>1211</v>
      </c>
      <c r="B544" t="s">
        <v>13</v>
      </c>
      <c r="C544">
        <v>46044</v>
      </c>
      <c r="D544">
        <v>46134</v>
      </c>
      <c r="E544" t="s">
        <v>793</v>
      </c>
      <c r="F544" t="s">
        <v>14</v>
      </c>
      <c r="G544">
        <v>59312779</v>
      </c>
      <c r="H544" t="s">
        <v>920</v>
      </c>
      <c r="I544">
        <v>98390119</v>
      </c>
      <c r="J544" t="s">
        <v>14</v>
      </c>
      <c r="K544" t="s">
        <v>63</v>
      </c>
      <c r="M544" s="10">
        <v>6000000</v>
      </c>
      <c r="N544" t="s">
        <v>704</v>
      </c>
      <c r="Q544" s="11" t="s">
        <v>1036</v>
      </c>
    </row>
    <row r="545" spans="1:17" x14ac:dyDescent="0.25">
      <c r="A545" t="s">
        <v>1212</v>
      </c>
      <c r="B545" t="s">
        <v>13</v>
      </c>
      <c r="C545">
        <v>46044</v>
      </c>
      <c r="D545">
        <v>46134</v>
      </c>
      <c r="E545" t="s">
        <v>793</v>
      </c>
      <c r="F545" t="s">
        <v>14</v>
      </c>
      <c r="G545">
        <v>1085334752</v>
      </c>
      <c r="H545" t="s">
        <v>263</v>
      </c>
      <c r="I545">
        <v>98333941</v>
      </c>
      <c r="J545" t="s">
        <v>14</v>
      </c>
      <c r="K545" t="s">
        <v>15</v>
      </c>
      <c r="M545" s="10">
        <v>6000000</v>
      </c>
      <c r="N545" t="s">
        <v>704</v>
      </c>
      <c r="Q545" s="11" t="s">
        <v>1036</v>
      </c>
    </row>
    <row r="546" spans="1:17" x14ac:dyDescent="0.25">
      <c r="A546" t="s">
        <v>1213</v>
      </c>
      <c r="B546" t="s">
        <v>13</v>
      </c>
      <c r="C546">
        <v>46044</v>
      </c>
      <c r="D546">
        <v>46134</v>
      </c>
      <c r="E546" t="s">
        <v>793</v>
      </c>
      <c r="F546" t="s">
        <v>14</v>
      </c>
      <c r="G546">
        <v>59313273</v>
      </c>
      <c r="H546" t="s">
        <v>616</v>
      </c>
      <c r="I546">
        <v>59836926</v>
      </c>
      <c r="J546" t="s">
        <v>14</v>
      </c>
      <c r="K546" t="s">
        <v>17</v>
      </c>
      <c r="M546" s="10">
        <v>6000000</v>
      </c>
      <c r="N546" t="s">
        <v>704</v>
      </c>
      <c r="Q546" s="11" t="s">
        <v>1036</v>
      </c>
    </row>
    <row r="547" spans="1:17" x14ac:dyDescent="0.25">
      <c r="A547" t="s">
        <v>1214</v>
      </c>
      <c r="B547" t="s">
        <v>13</v>
      </c>
      <c r="C547">
        <v>46044</v>
      </c>
      <c r="D547">
        <v>46134</v>
      </c>
      <c r="E547" t="s">
        <v>744</v>
      </c>
      <c r="F547" t="s">
        <v>14</v>
      </c>
      <c r="G547">
        <v>1233192708</v>
      </c>
      <c r="H547" t="s">
        <v>516</v>
      </c>
      <c r="I547">
        <v>43624414</v>
      </c>
      <c r="J547" t="s">
        <v>14</v>
      </c>
      <c r="K547" t="s">
        <v>18</v>
      </c>
      <c r="M547" s="10">
        <v>23400000</v>
      </c>
      <c r="N547" t="s">
        <v>704</v>
      </c>
      <c r="Q547" s="11" t="s">
        <v>1036</v>
      </c>
    </row>
    <row r="548" spans="1:17" x14ac:dyDescent="0.25">
      <c r="A548" t="s">
        <v>1215</v>
      </c>
      <c r="B548" t="s">
        <v>13</v>
      </c>
      <c r="C548">
        <v>46044</v>
      </c>
      <c r="D548">
        <v>46195</v>
      </c>
      <c r="E548" t="s">
        <v>744</v>
      </c>
      <c r="F548" t="s">
        <v>14</v>
      </c>
      <c r="G548">
        <v>37087120</v>
      </c>
      <c r="H548" t="s">
        <v>51</v>
      </c>
      <c r="I548">
        <v>98333941</v>
      </c>
      <c r="J548" t="s">
        <v>14</v>
      </c>
      <c r="K548" t="s">
        <v>15</v>
      </c>
      <c r="M548" s="10">
        <v>39000000</v>
      </c>
      <c r="N548" t="s">
        <v>704</v>
      </c>
      <c r="Q548" s="11" t="s">
        <v>1036</v>
      </c>
    </row>
    <row r="549" spans="1:17" x14ac:dyDescent="0.25">
      <c r="A549" t="s">
        <v>1216</v>
      </c>
      <c r="B549" t="s">
        <v>13</v>
      </c>
      <c r="C549">
        <v>46044</v>
      </c>
      <c r="D549">
        <v>46134</v>
      </c>
      <c r="E549" t="s">
        <v>775</v>
      </c>
      <c r="F549" t="s">
        <v>14</v>
      </c>
      <c r="G549">
        <v>1193474724</v>
      </c>
      <c r="H549" t="s">
        <v>629</v>
      </c>
      <c r="I549">
        <v>98390119</v>
      </c>
      <c r="J549" t="s">
        <v>14</v>
      </c>
      <c r="K549" t="s">
        <v>63</v>
      </c>
      <c r="M549" s="10">
        <v>18900000</v>
      </c>
      <c r="N549" t="s">
        <v>704</v>
      </c>
      <c r="Q549" s="11" t="s">
        <v>1036</v>
      </c>
    </row>
    <row r="550" spans="1:17" x14ac:dyDescent="0.25">
      <c r="A550" t="s">
        <v>1217</v>
      </c>
      <c r="B550" t="s">
        <v>13</v>
      </c>
      <c r="C550">
        <v>46044</v>
      </c>
      <c r="D550">
        <v>46134</v>
      </c>
      <c r="E550" t="s">
        <v>793</v>
      </c>
      <c r="F550" t="s">
        <v>14</v>
      </c>
      <c r="G550">
        <v>12990231</v>
      </c>
      <c r="H550" t="s">
        <v>502</v>
      </c>
      <c r="I550">
        <v>59836926</v>
      </c>
      <c r="J550" t="s">
        <v>14</v>
      </c>
      <c r="K550" t="s">
        <v>17</v>
      </c>
      <c r="M550" s="10">
        <v>6000000</v>
      </c>
      <c r="N550" t="s">
        <v>704</v>
      </c>
      <c r="Q550" s="11" t="s">
        <v>1036</v>
      </c>
    </row>
    <row r="551" spans="1:17" x14ac:dyDescent="0.25">
      <c r="A551" t="s">
        <v>1218</v>
      </c>
      <c r="B551" t="s">
        <v>13</v>
      </c>
      <c r="C551">
        <v>46044</v>
      </c>
      <c r="D551">
        <v>46134</v>
      </c>
      <c r="E551" t="s">
        <v>793</v>
      </c>
      <c r="F551" t="s">
        <v>14</v>
      </c>
      <c r="G551">
        <v>36933095</v>
      </c>
      <c r="H551" t="s">
        <v>612</v>
      </c>
      <c r="I551">
        <v>98333941</v>
      </c>
      <c r="J551" t="s">
        <v>14</v>
      </c>
      <c r="K551" t="s">
        <v>15</v>
      </c>
      <c r="M551" s="10">
        <v>6000000</v>
      </c>
      <c r="N551" t="s">
        <v>704</v>
      </c>
      <c r="Q551" s="11" t="s">
        <v>1036</v>
      </c>
    </row>
    <row r="552" spans="1:17" x14ac:dyDescent="0.25">
      <c r="A552" t="s">
        <v>1219</v>
      </c>
      <c r="B552" t="s">
        <v>13</v>
      </c>
      <c r="C552">
        <v>46044</v>
      </c>
      <c r="D552">
        <v>46195</v>
      </c>
      <c r="E552" t="s">
        <v>775</v>
      </c>
      <c r="F552" t="s">
        <v>14</v>
      </c>
      <c r="G552">
        <v>59833702</v>
      </c>
      <c r="H552" t="s">
        <v>933</v>
      </c>
      <c r="I552">
        <v>98390119</v>
      </c>
      <c r="J552" t="s">
        <v>14</v>
      </c>
      <c r="K552" t="s">
        <v>63</v>
      </c>
      <c r="M552" s="10">
        <v>15750000</v>
      </c>
      <c r="N552" t="s">
        <v>704</v>
      </c>
      <c r="Q552" s="11" t="s">
        <v>1036</v>
      </c>
    </row>
    <row r="553" spans="1:17" x14ac:dyDescent="0.25">
      <c r="A553" t="s">
        <v>1220</v>
      </c>
      <c r="B553" t="s">
        <v>13</v>
      </c>
      <c r="C553">
        <v>46044</v>
      </c>
      <c r="D553">
        <v>46195</v>
      </c>
      <c r="E553" t="s">
        <v>775</v>
      </c>
      <c r="F553" t="s">
        <v>14</v>
      </c>
      <c r="G553">
        <v>59314458</v>
      </c>
      <c r="H553" t="s">
        <v>25</v>
      </c>
      <c r="I553">
        <v>98390119</v>
      </c>
      <c r="J553" t="s">
        <v>14</v>
      </c>
      <c r="K553" t="s">
        <v>63</v>
      </c>
      <c r="M553" s="10">
        <v>31500000</v>
      </c>
      <c r="N553" t="s">
        <v>704</v>
      </c>
      <c r="Q553" s="11" t="s">
        <v>1036</v>
      </c>
    </row>
    <row r="554" spans="1:17" x14ac:dyDescent="0.25">
      <c r="A554" t="s">
        <v>1221</v>
      </c>
      <c r="B554" t="s">
        <v>13</v>
      </c>
      <c r="C554">
        <v>46044</v>
      </c>
      <c r="D554">
        <v>46195</v>
      </c>
      <c r="E554" t="s">
        <v>793</v>
      </c>
      <c r="F554" t="s">
        <v>14</v>
      </c>
      <c r="G554">
        <v>1085287296</v>
      </c>
      <c r="H554" t="s">
        <v>926</v>
      </c>
      <c r="I554">
        <v>59836926</v>
      </c>
      <c r="J554" t="s">
        <v>14</v>
      </c>
      <c r="K554" t="s">
        <v>17</v>
      </c>
      <c r="M554" s="10">
        <v>10000000</v>
      </c>
      <c r="N554" t="s">
        <v>704</v>
      </c>
      <c r="Q554" s="11" t="s">
        <v>1036</v>
      </c>
    </row>
    <row r="555" spans="1:17" x14ac:dyDescent="0.25">
      <c r="A555" t="s">
        <v>1222</v>
      </c>
      <c r="B555" t="s">
        <v>13</v>
      </c>
      <c r="C555">
        <v>46044</v>
      </c>
      <c r="D555">
        <v>46075</v>
      </c>
      <c r="E555" t="s">
        <v>793</v>
      </c>
      <c r="F555" t="s">
        <v>14</v>
      </c>
      <c r="G555">
        <v>1085313195</v>
      </c>
      <c r="H555" t="s">
        <v>523</v>
      </c>
      <c r="I555">
        <v>43624414</v>
      </c>
      <c r="J555" t="s">
        <v>14</v>
      </c>
      <c r="K555" t="s">
        <v>18</v>
      </c>
      <c r="M555" s="10">
        <v>2000000</v>
      </c>
      <c r="N555" t="s">
        <v>704</v>
      </c>
      <c r="Q555" s="11" t="s">
        <v>1036</v>
      </c>
    </row>
    <row r="556" spans="1:17" x14ac:dyDescent="0.25">
      <c r="A556" t="s">
        <v>1223</v>
      </c>
      <c r="B556" t="s">
        <v>13</v>
      </c>
      <c r="C556">
        <v>46044</v>
      </c>
      <c r="D556">
        <v>46075</v>
      </c>
      <c r="E556" t="s">
        <v>793</v>
      </c>
      <c r="F556" t="s">
        <v>14</v>
      </c>
      <c r="G556">
        <v>1085268450</v>
      </c>
      <c r="H556" t="s">
        <v>208</v>
      </c>
      <c r="I556">
        <v>43624414</v>
      </c>
      <c r="J556" t="s">
        <v>14</v>
      </c>
      <c r="K556" t="s">
        <v>18</v>
      </c>
      <c r="M556" s="10">
        <v>2000000</v>
      </c>
      <c r="N556" t="s">
        <v>704</v>
      </c>
      <c r="Q556" s="11" t="s">
        <v>1036</v>
      </c>
    </row>
    <row r="557" spans="1:17" x14ac:dyDescent="0.25">
      <c r="A557" t="s">
        <v>1224</v>
      </c>
      <c r="B557" t="s">
        <v>13</v>
      </c>
      <c r="C557">
        <v>46044</v>
      </c>
      <c r="D557">
        <v>46134</v>
      </c>
      <c r="E557" t="s">
        <v>793</v>
      </c>
      <c r="F557" t="s">
        <v>14</v>
      </c>
      <c r="G557">
        <v>36757715</v>
      </c>
      <c r="H557" t="s">
        <v>130</v>
      </c>
      <c r="I557">
        <v>98390119</v>
      </c>
      <c r="J557" t="s">
        <v>14</v>
      </c>
      <c r="K557" t="s">
        <v>63</v>
      </c>
      <c r="M557" s="10">
        <v>6000000</v>
      </c>
      <c r="N557" t="s">
        <v>704</v>
      </c>
      <c r="Q557" s="11" t="s">
        <v>1036</v>
      </c>
    </row>
    <row r="558" spans="1:17" x14ac:dyDescent="0.25">
      <c r="A558" t="s">
        <v>1225</v>
      </c>
      <c r="B558" t="s">
        <v>13</v>
      </c>
      <c r="C558">
        <v>46044</v>
      </c>
      <c r="D558">
        <v>46134</v>
      </c>
      <c r="E558" t="s">
        <v>793</v>
      </c>
      <c r="F558" t="s">
        <v>14</v>
      </c>
      <c r="G558">
        <v>1085334831</v>
      </c>
      <c r="H558" t="s">
        <v>626</v>
      </c>
      <c r="I558">
        <v>98390119</v>
      </c>
      <c r="J558" t="s">
        <v>14</v>
      </c>
      <c r="K558" t="s">
        <v>63</v>
      </c>
      <c r="M558" s="10">
        <v>6000000</v>
      </c>
      <c r="N558" t="s">
        <v>704</v>
      </c>
      <c r="Q558" s="11" t="s">
        <v>1036</v>
      </c>
    </row>
    <row r="559" spans="1:17" x14ac:dyDescent="0.25">
      <c r="A559" t="s">
        <v>1226</v>
      </c>
      <c r="B559" t="s">
        <v>13</v>
      </c>
      <c r="C559">
        <v>46045</v>
      </c>
      <c r="D559">
        <v>46135</v>
      </c>
      <c r="E559" t="s">
        <v>793</v>
      </c>
      <c r="F559" t="s">
        <v>14</v>
      </c>
      <c r="G559">
        <v>1085310465</v>
      </c>
      <c r="H559" t="s">
        <v>112</v>
      </c>
      <c r="I559">
        <v>98390119</v>
      </c>
      <c r="J559" t="s">
        <v>14</v>
      </c>
      <c r="K559" t="s">
        <v>63</v>
      </c>
      <c r="M559" s="10">
        <v>6000000</v>
      </c>
      <c r="N559" t="s">
        <v>704</v>
      </c>
      <c r="Q559" s="11" t="s">
        <v>1036</v>
      </c>
    </row>
    <row r="560" spans="1:17" x14ac:dyDescent="0.25">
      <c r="A560" t="s">
        <v>1227</v>
      </c>
      <c r="B560" t="s">
        <v>13</v>
      </c>
      <c r="C560">
        <v>46045</v>
      </c>
      <c r="D560">
        <v>46076</v>
      </c>
      <c r="E560" t="s">
        <v>744</v>
      </c>
      <c r="F560" t="s">
        <v>14</v>
      </c>
      <c r="G560">
        <v>1193424771</v>
      </c>
      <c r="H560" t="s">
        <v>95</v>
      </c>
      <c r="I560">
        <v>98333941</v>
      </c>
      <c r="J560" t="s">
        <v>14</v>
      </c>
      <c r="K560" t="s">
        <v>15</v>
      </c>
      <c r="M560" s="10">
        <v>4730000</v>
      </c>
      <c r="N560" t="s">
        <v>704</v>
      </c>
      <c r="Q560" s="11" t="s">
        <v>1036</v>
      </c>
    </row>
    <row r="561" spans="1:17" x14ac:dyDescent="0.25">
      <c r="A561" t="s">
        <v>1228</v>
      </c>
      <c r="B561" t="s">
        <v>13</v>
      </c>
      <c r="C561">
        <v>46045</v>
      </c>
      <c r="D561">
        <v>46135</v>
      </c>
      <c r="E561" t="s">
        <v>744</v>
      </c>
      <c r="F561" t="s">
        <v>14</v>
      </c>
      <c r="G561">
        <v>1085244624</v>
      </c>
      <c r="H561" t="s">
        <v>868</v>
      </c>
      <c r="I561">
        <v>59836926</v>
      </c>
      <c r="J561" t="s">
        <v>14</v>
      </c>
      <c r="K561" t="s">
        <v>17</v>
      </c>
      <c r="M561" s="10">
        <v>23400000</v>
      </c>
      <c r="N561" t="s">
        <v>704</v>
      </c>
      <c r="Q561" s="11" t="s">
        <v>1036</v>
      </c>
    </row>
    <row r="562" spans="1:17" x14ac:dyDescent="0.25">
      <c r="A562" t="s">
        <v>1229</v>
      </c>
      <c r="B562" t="s">
        <v>13</v>
      </c>
      <c r="C562">
        <v>46045</v>
      </c>
      <c r="D562">
        <v>46196</v>
      </c>
      <c r="E562" t="s">
        <v>744</v>
      </c>
      <c r="F562" t="s">
        <v>14</v>
      </c>
      <c r="G562">
        <v>98398376</v>
      </c>
      <c r="H562" t="s">
        <v>875</v>
      </c>
      <c r="I562">
        <v>98333941</v>
      </c>
      <c r="J562" t="s">
        <v>14</v>
      </c>
      <c r="K562" t="s">
        <v>15</v>
      </c>
      <c r="M562" s="10">
        <v>39000000</v>
      </c>
      <c r="N562" t="s">
        <v>704</v>
      </c>
      <c r="Q562" s="11" t="s">
        <v>1036</v>
      </c>
    </row>
    <row r="563" spans="1:17" x14ac:dyDescent="0.25">
      <c r="A563" t="s">
        <v>1230</v>
      </c>
      <c r="B563" t="s">
        <v>13</v>
      </c>
      <c r="C563">
        <v>46045</v>
      </c>
      <c r="D563">
        <v>46135</v>
      </c>
      <c r="E563" t="s">
        <v>793</v>
      </c>
      <c r="F563" t="s">
        <v>14</v>
      </c>
      <c r="G563">
        <v>59815593</v>
      </c>
      <c r="H563" t="s">
        <v>183</v>
      </c>
      <c r="I563">
        <v>98333941</v>
      </c>
      <c r="J563" t="s">
        <v>14</v>
      </c>
      <c r="K563" t="s">
        <v>15</v>
      </c>
      <c r="M563" s="10">
        <v>6000000</v>
      </c>
      <c r="N563" t="s">
        <v>704</v>
      </c>
      <c r="Q563" s="11" t="s">
        <v>1036</v>
      </c>
    </row>
    <row r="564" spans="1:17" x14ac:dyDescent="0.25">
      <c r="A564" t="s">
        <v>1231</v>
      </c>
      <c r="B564" t="s">
        <v>13</v>
      </c>
      <c r="C564">
        <v>46045</v>
      </c>
      <c r="D564">
        <v>46135</v>
      </c>
      <c r="E564" t="s">
        <v>793</v>
      </c>
      <c r="F564" t="s">
        <v>14</v>
      </c>
      <c r="G564">
        <v>1085317094</v>
      </c>
      <c r="H564" t="s">
        <v>578</v>
      </c>
      <c r="I564">
        <v>98390119</v>
      </c>
      <c r="J564" t="s">
        <v>14</v>
      </c>
      <c r="K564" t="s">
        <v>63</v>
      </c>
      <c r="M564" s="10">
        <v>9450000</v>
      </c>
      <c r="N564" t="s">
        <v>704</v>
      </c>
      <c r="Q564" s="11" t="s">
        <v>1036</v>
      </c>
    </row>
    <row r="565" spans="1:17" x14ac:dyDescent="0.25">
      <c r="A565" t="s">
        <v>1232</v>
      </c>
      <c r="B565" t="s">
        <v>13</v>
      </c>
      <c r="C565">
        <v>46045</v>
      </c>
      <c r="D565">
        <v>46076</v>
      </c>
      <c r="E565" t="s">
        <v>793</v>
      </c>
      <c r="F565" t="s">
        <v>14</v>
      </c>
      <c r="G565">
        <v>1085312669</v>
      </c>
      <c r="H565" t="s">
        <v>321</v>
      </c>
      <c r="I565">
        <v>43624414</v>
      </c>
      <c r="J565" t="s">
        <v>14</v>
      </c>
      <c r="K565" t="s">
        <v>18</v>
      </c>
      <c r="M565" s="10">
        <v>2000000</v>
      </c>
      <c r="N565" t="s">
        <v>704</v>
      </c>
      <c r="Q565" s="11" t="s">
        <v>1036</v>
      </c>
    </row>
    <row r="566" spans="1:17" x14ac:dyDescent="0.25">
      <c r="A566" t="s">
        <v>1233</v>
      </c>
      <c r="B566" t="s">
        <v>13</v>
      </c>
      <c r="C566">
        <v>46045</v>
      </c>
      <c r="D566">
        <v>46135</v>
      </c>
      <c r="E566" t="s">
        <v>775</v>
      </c>
      <c r="F566" t="s">
        <v>14</v>
      </c>
      <c r="G566">
        <v>87069979</v>
      </c>
      <c r="H566" t="s">
        <v>928</v>
      </c>
      <c r="I566">
        <v>98390119</v>
      </c>
      <c r="J566" t="s">
        <v>14</v>
      </c>
      <c r="K566" t="s">
        <v>63</v>
      </c>
      <c r="M566" s="10">
        <v>9450000</v>
      </c>
      <c r="N566" t="s">
        <v>704</v>
      </c>
      <c r="Q566" s="11" t="s">
        <v>1036</v>
      </c>
    </row>
    <row r="567" spans="1:17" x14ac:dyDescent="0.25">
      <c r="A567" t="s">
        <v>1234</v>
      </c>
      <c r="B567" t="s">
        <v>13</v>
      </c>
      <c r="C567">
        <v>46048</v>
      </c>
      <c r="D567">
        <v>46138</v>
      </c>
      <c r="E567" t="s">
        <v>793</v>
      </c>
      <c r="F567" t="s">
        <v>14</v>
      </c>
      <c r="G567">
        <v>1085275445</v>
      </c>
      <c r="H567" t="s">
        <v>166</v>
      </c>
      <c r="I567">
        <v>98390119</v>
      </c>
      <c r="J567" t="s">
        <v>14</v>
      </c>
      <c r="K567" t="s">
        <v>63</v>
      </c>
      <c r="M567" s="10">
        <v>6000000</v>
      </c>
      <c r="N567" t="s">
        <v>704</v>
      </c>
      <c r="Q567" s="11" t="s">
        <v>1036</v>
      </c>
    </row>
    <row r="568" spans="1:17" x14ac:dyDescent="0.25">
      <c r="A568" t="s">
        <v>1235</v>
      </c>
      <c r="B568" t="s">
        <v>13</v>
      </c>
      <c r="C568">
        <v>46048</v>
      </c>
      <c r="D568">
        <v>46138</v>
      </c>
      <c r="E568" t="s">
        <v>793</v>
      </c>
      <c r="F568" t="s">
        <v>14</v>
      </c>
      <c r="G568">
        <v>27082650</v>
      </c>
      <c r="H568" t="s">
        <v>237</v>
      </c>
      <c r="I568">
        <v>43624414</v>
      </c>
      <c r="J568" t="s">
        <v>14</v>
      </c>
      <c r="K568" t="s">
        <v>18</v>
      </c>
      <c r="M568" s="10">
        <v>6000000</v>
      </c>
      <c r="N568" t="s">
        <v>704</v>
      </c>
      <c r="Q568" s="11" t="s">
        <v>1036</v>
      </c>
    </row>
    <row r="569" spans="1:17" x14ac:dyDescent="0.25">
      <c r="A569" t="s">
        <v>1236</v>
      </c>
      <c r="B569" t="s">
        <v>13</v>
      </c>
      <c r="C569">
        <v>46049</v>
      </c>
      <c r="D569">
        <v>46080</v>
      </c>
      <c r="E569" t="s">
        <v>775</v>
      </c>
      <c r="F569" t="s">
        <v>14</v>
      </c>
      <c r="G569">
        <v>1004343043</v>
      </c>
      <c r="H569" t="s">
        <v>189</v>
      </c>
      <c r="I569">
        <v>98390119</v>
      </c>
      <c r="J569" t="s">
        <v>14</v>
      </c>
      <c r="K569" t="s">
        <v>63</v>
      </c>
      <c r="M569" s="10">
        <v>3150000</v>
      </c>
      <c r="N569" t="s">
        <v>704</v>
      </c>
      <c r="Q569" s="11" t="s">
        <v>1036</v>
      </c>
    </row>
    <row r="570" spans="1:17" x14ac:dyDescent="0.25">
      <c r="A570" t="s">
        <v>1237</v>
      </c>
      <c r="B570" t="s">
        <v>13</v>
      </c>
      <c r="C570">
        <v>46049</v>
      </c>
      <c r="D570">
        <v>46139</v>
      </c>
      <c r="E570" t="s">
        <v>793</v>
      </c>
      <c r="F570" t="s">
        <v>14</v>
      </c>
      <c r="G570">
        <v>1081274779</v>
      </c>
      <c r="H570" t="s">
        <v>540</v>
      </c>
      <c r="I570">
        <v>59836926</v>
      </c>
      <c r="J570" t="s">
        <v>14</v>
      </c>
      <c r="K570" t="s">
        <v>17</v>
      </c>
      <c r="M570" s="10">
        <v>6000000</v>
      </c>
      <c r="N570" t="s">
        <v>704</v>
      </c>
      <c r="Q570" s="11" t="s">
        <v>1036</v>
      </c>
    </row>
    <row r="571" spans="1:17" x14ac:dyDescent="0.25">
      <c r="A571" t="s">
        <v>1238</v>
      </c>
      <c r="B571" t="s">
        <v>13</v>
      </c>
      <c r="C571">
        <v>46050</v>
      </c>
      <c r="D571">
        <v>46140</v>
      </c>
      <c r="E571" t="s">
        <v>793</v>
      </c>
      <c r="F571" t="s">
        <v>14</v>
      </c>
      <c r="G571">
        <v>1137089036</v>
      </c>
      <c r="H571" t="s">
        <v>350</v>
      </c>
      <c r="I571">
        <v>59836926</v>
      </c>
      <c r="J571" t="s">
        <v>14</v>
      </c>
      <c r="K571" t="s">
        <v>17</v>
      </c>
      <c r="M571" s="10">
        <v>6000000</v>
      </c>
      <c r="N571" t="s">
        <v>704</v>
      </c>
      <c r="Q571" s="11" t="s">
        <v>1036</v>
      </c>
    </row>
    <row r="572" spans="1:17" x14ac:dyDescent="0.25">
      <c r="A572" t="s">
        <v>1239</v>
      </c>
      <c r="B572" t="s">
        <v>13</v>
      </c>
      <c r="C572">
        <v>46050</v>
      </c>
      <c r="D572">
        <v>46140</v>
      </c>
      <c r="E572" t="s">
        <v>793</v>
      </c>
      <c r="F572" t="s">
        <v>14</v>
      </c>
      <c r="G572">
        <v>12974849</v>
      </c>
      <c r="H572" t="s">
        <v>179</v>
      </c>
      <c r="I572">
        <v>43624414</v>
      </c>
      <c r="J572" t="s">
        <v>14</v>
      </c>
      <c r="K572" t="s">
        <v>18</v>
      </c>
      <c r="M572" s="10">
        <v>6000000</v>
      </c>
      <c r="N572" t="s">
        <v>704</v>
      </c>
      <c r="Q572" s="11" t="s">
        <v>1036</v>
      </c>
    </row>
    <row r="573" spans="1:17" x14ac:dyDescent="0.25">
      <c r="A573" t="s">
        <v>1240</v>
      </c>
      <c r="B573" t="s">
        <v>13</v>
      </c>
      <c r="C573">
        <v>46050</v>
      </c>
      <c r="D573">
        <v>46140</v>
      </c>
      <c r="E573" t="s">
        <v>793</v>
      </c>
      <c r="F573" t="s">
        <v>14</v>
      </c>
      <c r="G573">
        <v>59314118</v>
      </c>
      <c r="H573" t="s">
        <v>259</v>
      </c>
      <c r="I573">
        <v>43624414</v>
      </c>
      <c r="J573" t="s">
        <v>14</v>
      </c>
      <c r="K573" t="s">
        <v>18</v>
      </c>
      <c r="M573" s="10">
        <v>6000000</v>
      </c>
      <c r="N573" t="s">
        <v>704</v>
      </c>
      <c r="Q573" s="11" t="s">
        <v>1036</v>
      </c>
    </row>
    <row r="574" spans="1:17" x14ac:dyDescent="0.25">
      <c r="A574" t="s">
        <v>1241</v>
      </c>
      <c r="B574" t="s">
        <v>13</v>
      </c>
      <c r="C574">
        <v>46050</v>
      </c>
      <c r="D574">
        <v>46140</v>
      </c>
      <c r="E574" t="s">
        <v>793</v>
      </c>
      <c r="F574" t="s">
        <v>14</v>
      </c>
      <c r="G574">
        <v>1081052090</v>
      </c>
      <c r="H574" t="s">
        <v>529</v>
      </c>
      <c r="I574">
        <v>98333941</v>
      </c>
      <c r="J574" t="s">
        <v>14</v>
      </c>
      <c r="K574" t="s">
        <v>15</v>
      </c>
      <c r="M574" s="10">
        <v>6000000</v>
      </c>
      <c r="N574" t="s">
        <v>704</v>
      </c>
      <c r="Q574" s="11" t="s">
        <v>1036</v>
      </c>
    </row>
    <row r="575" spans="1:17" x14ac:dyDescent="0.25">
      <c r="A575" t="s">
        <v>1242</v>
      </c>
      <c r="B575" t="s">
        <v>13</v>
      </c>
      <c r="C575">
        <v>46050</v>
      </c>
      <c r="D575">
        <v>46140</v>
      </c>
      <c r="E575" t="s">
        <v>793</v>
      </c>
      <c r="F575" t="s">
        <v>14</v>
      </c>
      <c r="G575">
        <v>1081282855</v>
      </c>
      <c r="H575" t="s">
        <v>242</v>
      </c>
      <c r="I575">
        <v>43624414</v>
      </c>
      <c r="J575" t="s">
        <v>14</v>
      </c>
      <c r="K575" t="s">
        <v>18</v>
      </c>
      <c r="M575" s="10">
        <v>6000000</v>
      </c>
      <c r="N575" t="s">
        <v>704</v>
      </c>
      <c r="Q575" s="11" t="s">
        <v>1036</v>
      </c>
    </row>
    <row r="576" spans="1:17" x14ac:dyDescent="0.25">
      <c r="A576" t="s">
        <v>1243</v>
      </c>
      <c r="B576" t="s">
        <v>13</v>
      </c>
      <c r="C576">
        <v>46052</v>
      </c>
      <c r="D576">
        <v>46203</v>
      </c>
      <c r="E576" t="s">
        <v>744</v>
      </c>
      <c r="F576" t="s">
        <v>14</v>
      </c>
      <c r="G576">
        <v>1085344910</v>
      </c>
      <c r="H576" t="s">
        <v>841</v>
      </c>
      <c r="I576">
        <v>59836926</v>
      </c>
      <c r="J576" t="s">
        <v>14</v>
      </c>
      <c r="K576" t="s">
        <v>17</v>
      </c>
      <c r="M576" s="10">
        <v>39000000</v>
      </c>
      <c r="N576" t="s">
        <v>704</v>
      </c>
      <c r="Q576" s="11" t="s">
        <v>1036</v>
      </c>
    </row>
    <row r="577" spans="1:17" x14ac:dyDescent="0.25">
      <c r="A577" t="s">
        <v>1244</v>
      </c>
      <c r="B577" t="s">
        <v>13</v>
      </c>
      <c r="C577">
        <v>46055</v>
      </c>
      <c r="D577">
        <v>46203</v>
      </c>
      <c r="E577" t="s">
        <v>775</v>
      </c>
      <c r="F577" t="s">
        <v>14</v>
      </c>
      <c r="G577">
        <v>1085313735</v>
      </c>
      <c r="H577" t="s">
        <v>885</v>
      </c>
      <c r="I577">
        <v>98333941</v>
      </c>
      <c r="J577" t="s">
        <v>14</v>
      </c>
      <c r="K577" t="s">
        <v>15</v>
      </c>
      <c r="M577" s="10">
        <v>15750000</v>
      </c>
      <c r="N577" t="s">
        <v>704</v>
      </c>
      <c r="Q577" s="11" t="s">
        <v>1036</v>
      </c>
    </row>
    <row r="578" spans="1:17" x14ac:dyDescent="0.25">
      <c r="A578" t="s">
        <v>1245</v>
      </c>
      <c r="B578" t="s">
        <v>13</v>
      </c>
      <c r="C578">
        <v>46055</v>
      </c>
      <c r="D578">
        <v>46144</v>
      </c>
      <c r="E578" t="s">
        <v>793</v>
      </c>
      <c r="F578" t="s">
        <v>14</v>
      </c>
      <c r="G578">
        <v>37082781</v>
      </c>
      <c r="H578" t="s">
        <v>959</v>
      </c>
      <c r="I578">
        <v>59836926</v>
      </c>
      <c r="J578" t="s">
        <v>14</v>
      </c>
      <c r="K578" t="s">
        <v>17</v>
      </c>
      <c r="M578" s="10">
        <v>6000000</v>
      </c>
      <c r="N578" t="s">
        <v>704</v>
      </c>
      <c r="Q578" s="11" t="s">
        <v>1036</v>
      </c>
    </row>
    <row r="579" spans="1:17" x14ac:dyDescent="0.25">
      <c r="A579" t="s">
        <v>1246</v>
      </c>
      <c r="B579" t="s">
        <v>13</v>
      </c>
      <c r="C579">
        <v>46055</v>
      </c>
      <c r="D579">
        <v>46203</v>
      </c>
      <c r="E579" t="s">
        <v>775</v>
      </c>
      <c r="F579" t="s">
        <v>14</v>
      </c>
      <c r="G579">
        <v>1004136704</v>
      </c>
      <c r="H579" t="s">
        <v>886</v>
      </c>
      <c r="I579">
        <v>98333941</v>
      </c>
      <c r="J579" t="s">
        <v>14</v>
      </c>
      <c r="K579" t="s">
        <v>15</v>
      </c>
      <c r="M579" s="10">
        <v>15750000</v>
      </c>
      <c r="N579" t="s">
        <v>704</v>
      </c>
      <c r="Q579" s="11" t="s">
        <v>1036</v>
      </c>
    </row>
    <row r="580" spans="1:17" x14ac:dyDescent="0.25">
      <c r="A580" t="s">
        <v>1247</v>
      </c>
      <c r="B580" t="s">
        <v>13</v>
      </c>
      <c r="C580">
        <v>46055</v>
      </c>
      <c r="D580">
        <v>46203</v>
      </c>
      <c r="E580" t="s">
        <v>775</v>
      </c>
      <c r="F580" t="s">
        <v>14</v>
      </c>
      <c r="G580">
        <v>1085339060</v>
      </c>
      <c r="H580" t="s">
        <v>878</v>
      </c>
      <c r="I580">
        <v>98333941</v>
      </c>
      <c r="J580" t="s">
        <v>14</v>
      </c>
      <c r="K580" t="s">
        <v>15</v>
      </c>
      <c r="M580" s="10">
        <v>15750000</v>
      </c>
      <c r="N580" t="s">
        <v>704</v>
      </c>
      <c r="Q580" s="11" t="s">
        <v>1036</v>
      </c>
    </row>
    <row r="581" spans="1:17" x14ac:dyDescent="0.25">
      <c r="A581" t="s">
        <v>1248</v>
      </c>
      <c r="B581" t="s">
        <v>13</v>
      </c>
      <c r="C581">
        <v>46055</v>
      </c>
      <c r="D581">
        <v>46203</v>
      </c>
      <c r="E581" t="s">
        <v>744</v>
      </c>
      <c r="F581" t="s">
        <v>14</v>
      </c>
      <c r="G581">
        <v>1010143140</v>
      </c>
      <c r="H581" t="s">
        <v>870</v>
      </c>
      <c r="I581">
        <v>98390119</v>
      </c>
      <c r="J581" t="s">
        <v>14</v>
      </c>
      <c r="K581" t="s">
        <v>63</v>
      </c>
      <c r="M581" s="10">
        <v>39000000</v>
      </c>
      <c r="N581" t="s">
        <v>704</v>
      </c>
      <c r="Q581" s="11" t="s">
        <v>1036</v>
      </c>
    </row>
    <row r="582" spans="1:17" x14ac:dyDescent="0.25">
      <c r="A582" t="s">
        <v>1249</v>
      </c>
      <c r="B582" t="s">
        <v>13</v>
      </c>
      <c r="C582">
        <v>46055</v>
      </c>
      <c r="D582">
        <v>46203</v>
      </c>
      <c r="E582" t="s">
        <v>775</v>
      </c>
      <c r="F582" t="s">
        <v>14</v>
      </c>
      <c r="G582">
        <v>1087960681</v>
      </c>
      <c r="H582" t="s">
        <v>900</v>
      </c>
      <c r="I582">
        <v>98333941</v>
      </c>
      <c r="J582" t="s">
        <v>14</v>
      </c>
      <c r="K582" t="s">
        <v>15</v>
      </c>
      <c r="M582" s="10">
        <v>15750000</v>
      </c>
      <c r="N582" t="s">
        <v>704</v>
      </c>
      <c r="Q582" s="11" t="s">
        <v>1036</v>
      </c>
    </row>
    <row r="583" spans="1:17" x14ac:dyDescent="0.25">
      <c r="A583" t="s">
        <v>1250</v>
      </c>
      <c r="B583" t="s">
        <v>13</v>
      </c>
      <c r="C583">
        <v>46055</v>
      </c>
      <c r="D583">
        <v>46203</v>
      </c>
      <c r="E583" t="s">
        <v>775</v>
      </c>
      <c r="F583" t="s">
        <v>14</v>
      </c>
      <c r="G583">
        <v>1080040910</v>
      </c>
      <c r="H583" t="s">
        <v>861</v>
      </c>
      <c r="I583">
        <v>98390119</v>
      </c>
      <c r="J583" t="s">
        <v>14</v>
      </c>
      <c r="K583" t="s">
        <v>63</v>
      </c>
      <c r="M583" s="10">
        <v>15750000</v>
      </c>
      <c r="N583" t="s">
        <v>704</v>
      </c>
      <c r="Q583" s="11" t="s">
        <v>1036</v>
      </c>
    </row>
    <row r="584" spans="1:17" x14ac:dyDescent="0.25">
      <c r="A584" t="s">
        <v>1251</v>
      </c>
      <c r="B584" t="s">
        <v>13</v>
      </c>
      <c r="C584">
        <v>46055</v>
      </c>
      <c r="D584">
        <v>46203</v>
      </c>
      <c r="E584" t="s">
        <v>775</v>
      </c>
      <c r="F584" t="s">
        <v>14</v>
      </c>
      <c r="G584">
        <v>1004631427</v>
      </c>
      <c r="H584" t="s">
        <v>917</v>
      </c>
      <c r="I584">
        <v>98390119</v>
      </c>
      <c r="J584" t="s">
        <v>14</v>
      </c>
      <c r="K584" t="s">
        <v>63</v>
      </c>
      <c r="M584" s="10">
        <v>31500000</v>
      </c>
      <c r="N584" t="s">
        <v>704</v>
      </c>
      <c r="Q584" s="11" t="s">
        <v>1036</v>
      </c>
    </row>
    <row r="585" spans="1:17" x14ac:dyDescent="0.25">
      <c r="A585" t="s">
        <v>1252</v>
      </c>
      <c r="B585" t="s">
        <v>13</v>
      </c>
      <c r="C585">
        <v>46055</v>
      </c>
      <c r="D585">
        <v>46142</v>
      </c>
      <c r="E585" t="s">
        <v>744</v>
      </c>
      <c r="F585" t="s">
        <v>14</v>
      </c>
      <c r="G585">
        <v>36950112</v>
      </c>
      <c r="H585" t="s">
        <v>838</v>
      </c>
      <c r="I585">
        <v>59836926</v>
      </c>
      <c r="J585" t="s">
        <v>14</v>
      </c>
      <c r="K585" t="s">
        <v>17</v>
      </c>
      <c r="M585" s="10">
        <v>23400000</v>
      </c>
      <c r="N585" t="s">
        <v>704</v>
      </c>
      <c r="Q585" s="11" t="s">
        <v>1036</v>
      </c>
    </row>
    <row r="586" spans="1:17" x14ac:dyDescent="0.25">
      <c r="A586" t="s">
        <v>1253</v>
      </c>
      <c r="B586" t="s">
        <v>13</v>
      </c>
      <c r="C586">
        <v>46055</v>
      </c>
      <c r="D586">
        <v>46142</v>
      </c>
      <c r="E586" t="s">
        <v>744</v>
      </c>
      <c r="F586" t="s">
        <v>14</v>
      </c>
      <c r="G586">
        <v>37084101</v>
      </c>
      <c r="H586" t="s">
        <v>853</v>
      </c>
      <c r="I586">
        <v>59836926</v>
      </c>
      <c r="J586" t="s">
        <v>14</v>
      </c>
      <c r="K586" t="s">
        <v>17</v>
      </c>
      <c r="M586" s="10">
        <v>23400000</v>
      </c>
      <c r="N586" t="s">
        <v>704</v>
      </c>
      <c r="Q586" s="11" t="s">
        <v>1036</v>
      </c>
    </row>
    <row r="587" spans="1:17" x14ac:dyDescent="0.25">
      <c r="A587" t="s">
        <v>1254</v>
      </c>
      <c r="B587" t="s">
        <v>13</v>
      </c>
      <c r="C587">
        <v>46055</v>
      </c>
      <c r="D587">
        <v>46142</v>
      </c>
      <c r="E587" t="s">
        <v>775</v>
      </c>
      <c r="F587" t="s">
        <v>14</v>
      </c>
      <c r="G587">
        <v>1010035235</v>
      </c>
      <c r="H587" t="s">
        <v>913</v>
      </c>
      <c r="I587">
        <v>59836926</v>
      </c>
      <c r="J587" t="s">
        <v>14</v>
      </c>
      <c r="K587" t="s">
        <v>17</v>
      </c>
      <c r="M587" s="10">
        <v>9450000</v>
      </c>
      <c r="N587" t="s">
        <v>704</v>
      </c>
      <c r="Q587" s="11" t="s">
        <v>1036</v>
      </c>
    </row>
    <row r="588" spans="1:17" x14ac:dyDescent="0.25">
      <c r="A588" t="s">
        <v>1255</v>
      </c>
      <c r="B588" t="s">
        <v>13</v>
      </c>
      <c r="C588">
        <v>46055</v>
      </c>
      <c r="D588">
        <v>46142</v>
      </c>
      <c r="E588" t="s">
        <v>775</v>
      </c>
      <c r="F588" t="s">
        <v>14</v>
      </c>
      <c r="G588">
        <v>26453006</v>
      </c>
      <c r="H588" t="s">
        <v>851</v>
      </c>
      <c r="I588">
        <v>59836926</v>
      </c>
      <c r="J588" t="s">
        <v>14</v>
      </c>
      <c r="K588" t="s">
        <v>17</v>
      </c>
      <c r="M588" s="10">
        <v>9450000</v>
      </c>
      <c r="N588" t="s">
        <v>704</v>
      </c>
      <c r="Q588" s="11" t="s">
        <v>1036</v>
      </c>
    </row>
    <row r="589" spans="1:17" x14ac:dyDescent="0.25">
      <c r="A589" t="s">
        <v>1256</v>
      </c>
      <c r="B589" t="s">
        <v>13</v>
      </c>
      <c r="C589">
        <v>46055</v>
      </c>
      <c r="D589">
        <v>46203</v>
      </c>
      <c r="E589" t="s">
        <v>775</v>
      </c>
      <c r="F589" t="s">
        <v>14</v>
      </c>
      <c r="G589">
        <v>1086363655</v>
      </c>
      <c r="H589" t="s">
        <v>911</v>
      </c>
      <c r="I589">
        <v>98390119</v>
      </c>
      <c r="J589" t="s">
        <v>14</v>
      </c>
      <c r="K589" t="s">
        <v>63</v>
      </c>
      <c r="M589" s="10">
        <v>15750000</v>
      </c>
      <c r="N589" t="s">
        <v>704</v>
      </c>
      <c r="Q589" s="11" t="s">
        <v>1036</v>
      </c>
    </row>
    <row r="590" spans="1:17" x14ac:dyDescent="0.25">
      <c r="A590" t="s">
        <v>1257</v>
      </c>
      <c r="B590" t="s">
        <v>13</v>
      </c>
      <c r="C590">
        <v>46055</v>
      </c>
      <c r="D590">
        <v>46203</v>
      </c>
      <c r="E590" t="s">
        <v>775</v>
      </c>
      <c r="F590" t="s">
        <v>14</v>
      </c>
      <c r="G590">
        <v>98399200</v>
      </c>
      <c r="H590" t="s">
        <v>955</v>
      </c>
      <c r="I590">
        <v>43624414</v>
      </c>
      <c r="J590" t="s">
        <v>14</v>
      </c>
      <c r="K590" t="s">
        <v>18</v>
      </c>
      <c r="M590" s="10">
        <v>18900000</v>
      </c>
      <c r="N590" t="s">
        <v>704</v>
      </c>
      <c r="Q590" s="11" t="s">
        <v>1036</v>
      </c>
    </row>
    <row r="591" spans="1:17" x14ac:dyDescent="0.25">
      <c r="A591" t="s">
        <v>1258</v>
      </c>
      <c r="B591" t="s">
        <v>13</v>
      </c>
      <c r="C591">
        <v>46055</v>
      </c>
      <c r="D591">
        <v>46203</v>
      </c>
      <c r="E591" t="s">
        <v>775</v>
      </c>
      <c r="F591" t="s">
        <v>14</v>
      </c>
      <c r="G591">
        <v>27487890</v>
      </c>
      <c r="H591" t="s">
        <v>942</v>
      </c>
      <c r="I591">
        <v>43624414</v>
      </c>
      <c r="J591" t="s">
        <v>14</v>
      </c>
      <c r="K591" t="s">
        <v>18</v>
      </c>
      <c r="M591" s="10">
        <v>31500000</v>
      </c>
      <c r="N591" t="s">
        <v>704</v>
      </c>
      <c r="Q591" s="11" t="s">
        <v>1036</v>
      </c>
    </row>
    <row r="592" spans="1:17" x14ac:dyDescent="0.25">
      <c r="A592" t="s">
        <v>1259</v>
      </c>
      <c r="B592" t="s">
        <v>13</v>
      </c>
      <c r="C592">
        <v>46055</v>
      </c>
      <c r="D592">
        <v>46203</v>
      </c>
      <c r="E592" t="s">
        <v>775</v>
      </c>
      <c r="F592" t="s">
        <v>14</v>
      </c>
      <c r="G592">
        <v>59313585</v>
      </c>
      <c r="H592" t="s">
        <v>898</v>
      </c>
      <c r="I592">
        <v>98333941</v>
      </c>
      <c r="J592" t="s">
        <v>14</v>
      </c>
      <c r="K592" t="s">
        <v>15</v>
      </c>
      <c r="M592" s="10">
        <v>15750000</v>
      </c>
      <c r="N592" t="s">
        <v>704</v>
      </c>
      <c r="Q592" s="11" t="s">
        <v>1036</v>
      </c>
    </row>
    <row r="593" spans="1:17" x14ac:dyDescent="0.25">
      <c r="A593" t="s">
        <v>1260</v>
      </c>
      <c r="B593" t="s">
        <v>13</v>
      </c>
      <c r="C593">
        <v>46055</v>
      </c>
      <c r="D593">
        <v>46203</v>
      </c>
      <c r="E593" t="s">
        <v>775</v>
      </c>
      <c r="F593" t="s">
        <v>14</v>
      </c>
      <c r="G593">
        <v>1080691508</v>
      </c>
      <c r="H593" t="s">
        <v>899</v>
      </c>
      <c r="I593">
        <v>98333941</v>
      </c>
      <c r="J593" t="s">
        <v>14</v>
      </c>
      <c r="K593" t="s">
        <v>15</v>
      </c>
      <c r="M593" s="10">
        <v>15750000</v>
      </c>
      <c r="N593" t="s">
        <v>704</v>
      </c>
      <c r="Q593" s="11" t="s">
        <v>1036</v>
      </c>
    </row>
    <row r="594" spans="1:17" x14ac:dyDescent="0.25">
      <c r="A594" t="s">
        <v>1261</v>
      </c>
      <c r="B594" t="s">
        <v>13</v>
      </c>
      <c r="C594">
        <v>46055</v>
      </c>
      <c r="D594">
        <v>46203</v>
      </c>
      <c r="E594" t="s">
        <v>775</v>
      </c>
      <c r="F594" t="s">
        <v>14</v>
      </c>
      <c r="G594">
        <v>1004232029</v>
      </c>
      <c r="H594" t="s">
        <v>939</v>
      </c>
      <c r="I594">
        <v>43624414</v>
      </c>
      <c r="J594" t="s">
        <v>14</v>
      </c>
      <c r="K594" t="s">
        <v>18</v>
      </c>
      <c r="M594" s="10">
        <v>31500000</v>
      </c>
      <c r="N594" t="s">
        <v>704</v>
      </c>
      <c r="Q594" s="11" t="s">
        <v>1036</v>
      </c>
    </row>
    <row r="595" spans="1:17" x14ac:dyDescent="0.25">
      <c r="A595" t="s">
        <v>1262</v>
      </c>
      <c r="B595" t="s">
        <v>13</v>
      </c>
      <c r="C595">
        <v>46055</v>
      </c>
      <c r="D595">
        <v>46203</v>
      </c>
      <c r="E595" t="s">
        <v>775</v>
      </c>
      <c r="F595" t="s">
        <v>14</v>
      </c>
      <c r="G595">
        <v>1082630032</v>
      </c>
      <c r="H595" t="s">
        <v>912</v>
      </c>
      <c r="I595">
        <v>98390119</v>
      </c>
      <c r="J595" t="s">
        <v>14</v>
      </c>
      <c r="K595" t="s">
        <v>63</v>
      </c>
      <c r="M595" s="10">
        <v>15750000</v>
      </c>
      <c r="N595" t="s">
        <v>704</v>
      </c>
      <c r="Q595" s="11" t="s">
        <v>1036</v>
      </c>
    </row>
    <row r="596" spans="1:17" x14ac:dyDescent="0.25">
      <c r="A596" t="s">
        <v>1263</v>
      </c>
      <c r="B596" t="s">
        <v>13</v>
      </c>
      <c r="C596">
        <v>46055</v>
      </c>
      <c r="D596">
        <v>46205</v>
      </c>
      <c r="E596" t="s">
        <v>775</v>
      </c>
      <c r="F596" t="s">
        <v>14</v>
      </c>
      <c r="G596">
        <v>1085281034</v>
      </c>
      <c r="H596" t="s">
        <v>884</v>
      </c>
      <c r="I596">
        <v>98333941</v>
      </c>
      <c r="J596" t="s">
        <v>14</v>
      </c>
      <c r="K596" t="s">
        <v>15</v>
      </c>
      <c r="M596" s="10">
        <v>31500000</v>
      </c>
      <c r="N596" t="s">
        <v>704</v>
      </c>
      <c r="Q596" s="11" t="s">
        <v>1036</v>
      </c>
    </row>
    <row r="597" spans="1:17" x14ac:dyDescent="0.25">
      <c r="A597" t="s">
        <v>1264</v>
      </c>
      <c r="B597" t="s">
        <v>13</v>
      </c>
      <c r="C597">
        <v>46055</v>
      </c>
      <c r="D597">
        <v>46203</v>
      </c>
      <c r="E597" t="s">
        <v>775</v>
      </c>
      <c r="F597" t="s">
        <v>14</v>
      </c>
      <c r="G597">
        <v>1085313206</v>
      </c>
      <c r="H597" t="s">
        <v>867</v>
      </c>
      <c r="I597">
        <v>98333941</v>
      </c>
      <c r="J597" t="s">
        <v>14</v>
      </c>
      <c r="K597" t="s">
        <v>15</v>
      </c>
      <c r="M597" s="10">
        <v>31500000</v>
      </c>
      <c r="N597" t="s">
        <v>704</v>
      </c>
      <c r="Q597" s="11" t="s">
        <v>1036</v>
      </c>
    </row>
    <row r="598" spans="1:17" x14ac:dyDescent="0.25">
      <c r="A598" t="s">
        <v>1265</v>
      </c>
      <c r="B598" t="s">
        <v>13</v>
      </c>
      <c r="C598">
        <v>46055</v>
      </c>
      <c r="D598">
        <v>46203</v>
      </c>
      <c r="E598" t="s">
        <v>775</v>
      </c>
      <c r="F598" t="s">
        <v>14</v>
      </c>
      <c r="G598">
        <v>1085288297</v>
      </c>
      <c r="H598" t="s">
        <v>940</v>
      </c>
      <c r="I598">
        <v>43624414</v>
      </c>
      <c r="J598" t="s">
        <v>14</v>
      </c>
      <c r="K598" t="s">
        <v>18</v>
      </c>
      <c r="M598" s="10">
        <v>15750000</v>
      </c>
      <c r="N598" t="s">
        <v>704</v>
      </c>
      <c r="Q598" s="11" t="s">
        <v>1036</v>
      </c>
    </row>
    <row r="599" spans="1:17" x14ac:dyDescent="0.25">
      <c r="A599" t="s">
        <v>1266</v>
      </c>
      <c r="B599" t="s">
        <v>13</v>
      </c>
      <c r="C599">
        <v>46055</v>
      </c>
      <c r="D599">
        <v>46203</v>
      </c>
      <c r="E599" t="s">
        <v>775</v>
      </c>
      <c r="F599" t="s">
        <v>14</v>
      </c>
      <c r="G599">
        <v>1089458129</v>
      </c>
      <c r="H599" t="s">
        <v>862</v>
      </c>
      <c r="I599">
        <v>43624414</v>
      </c>
      <c r="J599" t="s">
        <v>14</v>
      </c>
      <c r="K599" t="s">
        <v>18</v>
      </c>
      <c r="M599" s="10">
        <v>15750000</v>
      </c>
      <c r="N599" t="s">
        <v>704</v>
      </c>
      <c r="Q599" s="11" t="s">
        <v>1036</v>
      </c>
    </row>
    <row r="600" spans="1:17" x14ac:dyDescent="0.25">
      <c r="A600" t="s">
        <v>1267</v>
      </c>
      <c r="B600" t="s">
        <v>13</v>
      </c>
      <c r="C600">
        <v>46055</v>
      </c>
      <c r="D600">
        <v>46203</v>
      </c>
      <c r="E600" t="s">
        <v>775</v>
      </c>
      <c r="F600" t="s">
        <v>14</v>
      </c>
      <c r="G600">
        <v>1085283202</v>
      </c>
      <c r="H600" t="s">
        <v>958</v>
      </c>
      <c r="I600">
        <v>98390119</v>
      </c>
      <c r="J600" t="s">
        <v>14</v>
      </c>
      <c r="K600" t="s">
        <v>63</v>
      </c>
      <c r="M600" s="10">
        <v>31500000</v>
      </c>
      <c r="N600" t="s">
        <v>704</v>
      </c>
      <c r="Q600" s="11" t="s">
        <v>1036</v>
      </c>
    </row>
    <row r="601" spans="1:17" x14ac:dyDescent="0.25">
      <c r="A601" t="s">
        <v>1268</v>
      </c>
      <c r="B601" t="s">
        <v>13</v>
      </c>
      <c r="C601">
        <v>46055</v>
      </c>
      <c r="D601">
        <v>46203</v>
      </c>
      <c r="E601" t="s">
        <v>775</v>
      </c>
      <c r="F601" t="s">
        <v>14</v>
      </c>
      <c r="G601">
        <v>27224982</v>
      </c>
      <c r="H601" t="s">
        <v>907</v>
      </c>
      <c r="I601">
        <v>98390119</v>
      </c>
      <c r="J601" t="s">
        <v>14</v>
      </c>
      <c r="K601" t="s">
        <v>63</v>
      </c>
      <c r="M601" s="10">
        <v>31500000</v>
      </c>
      <c r="N601" t="s">
        <v>704</v>
      </c>
      <c r="Q601" s="11" t="s">
        <v>1036</v>
      </c>
    </row>
    <row r="602" spans="1:17" x14ac:dyDescent="0.25">
      <c r="A602" t="s">
        <v>1269</v>
      </c>
      <c r="B602" t="s">
        <v>13</v>
      </c>
      <c r="C602">
        <v>46055</v>
      </c>
      <c r="D602">
        <v>46203</v>
      </c>
      <c r="E602" t="s">
        <v>775</v>
      </c>
      <c r="F602" t="s">
        <v>14</v>
      </c>
      <c r="G602">
        <v>1004542606</v>
      </c>
      <c r="H602" t="s">
        <v>876</v>
      </c>
      <c r="I602">
        <v>98333941</v>
      </c>
      <c r="J602" t="s">
        <v>14</v>
      </c>
      <c r="K602" t="s">
        <v>15</v>
      </c>
      <c r="M602" s="10">
        <v>15750000</v>
      </c>
      <c r="N602" t="s">
        <v>704</v>
      </c>
      <c r="Q602" s="11" t="s">
        <v>1036</v>
      </c>
    </row>
    <row r="603" spans="1:17" x14ac:dyDescent="0.25">
      <c r="A603" t="s">
        <v>1270</v>
      </c>
      <c r="B603" t="s">
        <v>13</v>
      </c>
      <c r="C603">
        <v>46055</v>
      </c>
      <c r="D603">
        <v>46203</v>
      </c>
      <c r="E603" t="s">
        <v>775</v>
      </c>
      <c r="F603" t="s">
        <v>14</v>
      </c>
      <c r="G603">
        <v>1085252484</v>
      </c>
      <c r="H603" t="s">
        <v>897</v>
      </c>
      <c r="I603">
        <v>98333941</v>
      </c>
      <c r="J603" t="s">
        <v>14</v>
      </c>
      <c r="K603" t="s">
        <v>15</v>
      </c>
      <c r="M603" s="10">
        <v>31500000</v>
      </c>
      <c r="N603" t="s">
        <v>704</v>
      </c>
      <c r="Q603" s="11" t="s">
        <v>1036</v>
      </c>
    </row>
    <row r="604" spans="1:17" x14ac:dyDescent="0.25">
      <c r="A604" t="s">
        <v>1271</v>
      </c>
      <c r="B604" t="s">
        <v>13</v>
      </c>
      <c r="C604">
        <v>46055</v>
      </c>
      <c r="D604">
        <v>46112</v>
      </c>
      <c r="E604" t="s">
        <v>744</v>
      </c>
      <c r="F604" t="s">
        <v>14</v>
      </c>
      <c r="G604">
        <v>1085310394</v>
      </c>
      <c r="H604" t="s">
        <v>840</v>
      </c>
      <c r="I604">
        <v>98333941</v>
      </c>
      <c r="J604" t="s">
        <v>14</v>
      </c>
      <c r="K604" t="s">
        <v>15</v>
      </c>
      <c r="M604" s="10">
        <v>23400000</v>
      </c>
      <c r="N604" t="s">
        <v>704</v>
      </c>
      <c r="Q604" s="11" t="s">
        <v>1036</v>
      </c>
    </row>
    <row r="605" spans="1:17" x14ac:dyDescent="0.25">
      <c r="A605" t="s">
        <v>1272</v>
      </c>
      <c r="B605" t="s">
        <v>13</v>
      </c>
      <c r="C605">
        <v>46055</v>
      </c>
      <c r="D605">
        <v>46203</v>
      </c>
      <c r="E605" t="s">
        <v>775</v>
      </c>
      <c r="F605" t="s">
        <v>14</v>
      </c>
      <c r="G605">
        <v>1086224323</v>
      </c>
      <c r="H605" t="s">
        <v>908</v>
      </c>
      <c r="I605">
        <v>98390119</v>
      </c>
      <c r="J605" t="s">
        <v>14</v>
      </c>
      <c r="K605" t="s">
        <v>63</v>
      </c>
      <c r="M605" s="10">
        <v>15750000</v>
      </c>
      <c r="N605" t="s">
        <v>704</v>
      </c>
      <c r="Q605" s="11" t="s">
        <v>1036</v>
      </c>
    </row>
    <row r="606" spans="1:17" x14ac:dyDescent="0.25">
      <c r="A606" t="s">
        <v>1273</v>
      </c>
      <c r="B606" t="s">
        <v>13</v>
      </c>
      <c r="C606">
        <v>46055</v>
      </c>
      <c r="D606">
        <v>46203</v>
      </c>
      <c r="E606" t="s">
        <v>775</v>
      </c>
      <c r="F606" t="s">
        <v>14</v>
      </c>
      <c r="G606">
        <v>1086362994</v>
      </c>
      <c r="H606" t="s">
        <v>877</v>
      </c>
      <c r="I606">
        <v>98333941</v>
      </c>
      <c r="J606" t="s">
        <v>14</v>
      </c>
      <c r="K606" t="s">
        <v>15</v>
      </c>
      <c r="M606" s="10">
        <v>15750000</v>
      </c>
      <c r="N606" t="s">
        <v>704</v>
      </c>
      <c r="Q606" s="11" t="s">
        <v>1036</v>
      </c>
    </row>
    <row r="607" spans="1:17" x14ac:dyDescent="0.25">
      <c r="A607" t="s">
        <v>1274</v>
      </c>
      <c r="B607" t="s">
        <v>13</v>
      </c>
      <c r="C607">
        <v>46056</v>
      </c>
      <c r="D607">
        <v>46203</v>
      </c>
      <c r="E607" t="s">
        <v>775</v>
      </c>
      <c r="F607" t="s">
        <v>14</v>
      </c>
      <c r="G607">
        <v>36951884</v>
      </c>
      <c r="H607" t="s">
        <v>880</v>
      </c>
      <c r="I607">
        <v>98390119</v>
      </c>
      <c r="J607" t="s">
        <v>14</v>
      </c>
      <c r="K607" t="s">
        <v>63</v>
      </c>
      <c r="M607" s="10">
        <v>15750000</v>
      </c>
      <c r="N607" t="s">
        <v>704</v>
      </c>
      <c r="Q607" s="11" t="s">
        <v>1036</v>
      </c>
    </row>
    <row r="608" spans="1:17" x14ac:dyDescent="0.25">
      <c r="A608" t="s">
        <v>1275</v>
      </c>
      <c r="B608" t="s">
        <v>13</v>
      </c>
      <c r="C608">
        <v>46056</v>
      </c>
      <c r="D608">
        <v>46203</v>
      </c>
      <c r="E608" t="s">
        <v>775</v>
      </c>
      <c r="F608" t="s">
        <v>14</v>
      </c>
      <c r="G608">
        <v>1085311576</v>
      </c>
      <c r="H608" t="s">
        <v>909</v>
      </c>
      <c r="I608">
        <v>98390119</v>
      </c>
      <c r="J608" t="s">
        <v>14</v>
      </c>
      <c r="K608" t="s">
        <v>63</v>
      </c>
      <c r="M608" s="10">
        <v>15750000</v>
      </c>
      <c r="N608" t="s">
        <v>704</v>
      </c>
      <c r="Q608" s="11" t="s">
        <v>1036</v>
      </c>
    </row>
    <row r="609" spans="1:17" x14ac:dyDescent="0.25">
      <c r="A609" t="s">
        <v>1276</v>
      </c>
      <c r="B609" t="s">
        <v>13</v>
      </c>
      <c r="C609">
        <v>46056</v>
      </c>
      <c r="D609">
        <v>46203</v>
      </c>
      <c r="E609" t="s">
        <v>775</v>
      </c>
      <c r="F609" t="s">
        <v>14</v>
      </c>
      <c r="G609">
        <v>27444591</v>
      </c>
      <c r="H609" t="s">
        <v>244</v>
      </c>
      <c r="I609">
        <v>43624414</v>
      </c>
      <c r="J609" t="s">
        <v>14</v>
      </c>
      <c r="K609" t="s">
        <v>18</v>
      </c>
      <c r="M609" s="10">
        <v>15750000</v>
      </c>
      <c r="N609" t="s">
        <v>704</v>
      </c>
      <c r="Q609" s="11" t="s">
        <v>1036</v>
      </c>
    </row>
    <row r="610" spans="1:17" x14ac:dyDescent="0.25">
      <c r="A610" t="s">
        <v>1277</v>
      </c>
      <c r="B610" t="s">
        <v>13</v>
      </c>
      <c r="C610">
        <v>46056</v>
      </c>
      <c r="D610">
        <v>46203</v>
      </c>
      <c r="E610" t="s">
        <v>775</v>
      </c>
      <c r="F610" t="s">
        <v>14</v>
      </c>
      <c r="G610">
        <v>1081276122</v>
      </c>
      <c r="H610" t="s">
        <v>918</v>
      </c>
      <c r="I610">
        <v>98390119</v>
      </c>
      <c r="J610" t="s">
        <v>14</v>
      </c>
      <c r="K610" t="s">
        <v>63</v>
      </c>
      <c r="M610" s="10">
        <v>15750000</v>
      </c>
      <c r="N610" t="s">
        <v>704</v>
      </c>
      <c r="Q610" s="11" t="s">
        <v>1036</v>
      </c>
    </row>
    <row r="611" spans="1:17" x14ac:dyDescent="0.25">
      <c r="A611" t="s">
        <v>1278</v>
      </c>
      <c r="B611" t="s">
        <v>13</v>
      </c>
      <c r="C611">
        <v>46056</v>
      </c>
      <c r="D611">
        <v>46081</v>
      </c>
      <c r="E611" t="s">
        <v>775</v>
      </c>
      <c r="F611" t="s">
        <v>14</v>
      </c>
      <c r="G611">
        <v>1084551863</v>
      </c>
      <c r="H611" t="s">
        <v>668</v>
      </c>
      <c r="I611">
        <v>98333941</v>
      </c>
      <c r="J611" t="s">
        <v>14</v>
      </c>
      <c r="K611" t="s">
        <v>15</v>
      </c>
      <c r="M611" s="10">
        <v>6300000</v>
      </c>
      <c r="N611" t="s">
        <v>704</v>
      </c>
      <c r="Q611" s="11" t="s">
        <v>1036</v>
      </c>
    </row>
    <row r="612" spans="1:17" x14ac:dyDescent="0.25">
      <c r="A612" t="s">
        <v>1279</v>
      </c>
      <c r="B612" t="s">
        <v>13</v>
      </c>
      <c r="C612">
        <v>46056</v>
      </c>
      <c r="D612">
        <v>46203</v>
      </c>
      <c r="E612" t="s">
        <v>775</v>
      </c>
      <c r="F612" t="s">
        <v>14</v>
      </c>
      <c r="G612">
        <v>1004696654</v>
      </c>
      <c r="H612" t="s">
        <v>893</v>
      </c>
      <c r="I612">
        <v>98333941</v>
      </c>
      <c r="J612" t="s">
        <v>14</v>
      </c>
      <c r="K612" t="s">
        <v>15</v>
      </c>
      <c r="M612" s="10">
        <v>31500000</v>
      </c>
      <c r="N612" t="s">
        <v>704</v>
      </c>
      <c r="Q612" s="11" t="s">
        <v>1036</v>
      </c>
    </row>
    <row r="613" spans="1:17" x14ac:dyDescent="0.25">
      <c r="A613" t="s">
        <v>1280</v>
      </c>
      <c r="B613" t="s">
        <v>13</v>
      </c>
      <c r="C613">
        <v>46057</v>
      </c>
      <c r="D613">
        <v>46142</v>
      </c>
      <c r="E613" t="s">
        <v>744</v>
      </c>
      <c r="F613" t="s">
        <v>14</v>
      </c>
      <c r="G613">
        <v>1085274738</v>
      </c>
      <c r="H613" t="s">
        <v>869</v>
      </c>
      <c r="I613">
        <v>59836926</v>
      </c>
      <c r="J613" t="s">
        <v>14</v>
      </c>
      <c r="K613" t="s">
        <v>17</v>
      </c>
      <c r="M613" s="10">
        <v>14190000</v>
      </c>
      <c r="N613" t="s">
        <v>704</v>
      </c>
      <c r="Q613" s="11" t="s">
        <v>1036</v>
      </c>
    </row>
    <row r="614" spans="1:17" x14ac:dyDescent="0.25">
      <c r="A614" t="s">
        <v>1281</v>
      </c>
      <c r="B614" t="s">
        <v>13</v>
      </c>
      <c r="C614">
        <v>46058</v>
      </c>
      <c r="D614">
        <v>46203</v>
      </c>
      <c r="E614" t="s">
        <v>775</v>
      </c>
      <c r="F614" t="s">
        <v>14</v>
      </c>
      <c r="G614">
        <v>59123038</v>
      </c>
      <c r="H614" t="s">
        <v>919</v>
      </c>
      <c r="I614">
        <v>98390119</v>
      </c>
      <c r="J614" t="s">
        <v>14</v>
      </c>
      <c r="K614" t="s">
        <v>63</v>
      </c>
      <c r="M614" s="10">
        <v>15750000</v>
      </c>
      <c r="N614" t="s">
        <v>704</v>
      </c>
      <c r="Q614" s="11" t="s">
        <v>1036</v>
      </c>
    </row>
    <row r="615" spans="1:17" x14ac:dyDescent="0.25">
      <c r="A615" t="s">
        <v>1282</v>
      </c>
      <c r="B615" t="s">
        <v>13</v>
      </c>
      <c r="C615">
        <v>46058</v>
      </c>
      <c r="D615">
        <v>46203</v>
      </c>
      <c r="E615" t="s">
        <v>775</v>
      </c>
      <c r="F615" t="s">
        <v>14</v>
      </c>
      <c r="G615">
        <v>1137089261</v>
      </c>
      <c r="H615" t="s">
        <v>945</v>
      </c>
      <c r="I615">
        <v>43624414</v>
      </c>
      <c r="J615" t="s">
        <v>14</v>
      </c>
      <c r="K615" t="s">
        <v>18</v>
      </c>
      <c r="M615" s="10">
        <v>15750000</v>
      </c>
      <c r="N615" t="s">
        <v>704</v>
      </c>
      <c r="Q615" s="11" t="s">
        <v>1036</v>
      </c>
    </row>
    <row r="616" spans="1:17" x14ac:dyDescent="0.25">
      <c r="A616" t="s">
        <v>1283</v>
      </c>
      <c r="B616" t="s">
        <v>13</v>
      </c>
      <c r="C616">
        <v>46058</v>
      </c>
      <c r="D616">
        <v>46203</v>
      </c>
      <c r="E616" t="s">
        <v>775</v>
      </c>
      <c r="F616" t="s">
        <v>14</v>
      </c>
      <c r="G616">
        <v>1086222412</v>
      </c>
      <c r="H616" t="s">
        <v>921</v>
      </c>
      <c r="I616">
        <v>59836926</v>
      </c>
      <c r="J616" t="s">
        <v>14</v>
      </c>
      <c r="K616" t="s">
        <v>17</v>
      </c>
      <c r="M616" s="10">
        <v>15750000</v>
      </c>
      <c r="N616" t="s">
        <v>704</v>
      </c>
      <c r="Q616" s="11" t="s">
        <v>1036</v>
      </c>
    </row>
    <row r="617" spans="1:17" x14ac:dyDescent="0.25">
      <c r="A617" t="s">
        <v>1284</v>
      </c>
      <c r="B617" t="s">
        <v>13</v>
      </c>
      <c r="C617">
        <v>46058</v>
      </c>
      <c r="D617">
        <v>46203</v>
      </c>
      <c r="E617" t="s">
        <v>775</v>
      </c>
      <c r="F617" t="s">
        <v>14</v>
      </c>
      <c r="G617">
        <v>1089197187</v>
      </c>
      <c r="H617" t="s">
        <v>950</v>
      </c>
      <c r="I617">
        <v>98333941</v>
      </c>
      <c r="J617" t="s">
        <v>14</v>
      </c>
      <c r="K617" t="s">
        <v>15</v>
      </c>
      <c r="M617" s="10">
        <v>15750000</v>
      </c>
      <c r="N617" t="s">
        <v>704</v>
      </c>
      <c r="Q617" s="11" t="s">
        <v>1036</v>
      </c>
    </row>
    <row r="618" spans="1:17" x14ac:dyDescent="0.25">
      <c r="A618" t="s">
        <v>1285</v>
      </c>
      <c r="B618" t="s">
        <v>13</v>
      </c>
      <c r="C618">
        <v>46058</v>
      </c>
      <c r="D618">
        <v>46203</v>
      </c>
      <c r="E618" t="s">
        <v>775</v>
      </c>
      <c r="F618" t="s">
        <v>14</v>
      </c>
      <c r="G618">
        <v>1086223716</v>
      </c>
      <c r="H618" t="s">
        <v>946</v>
      </c>
      <c r="I618">
        <v>43624414</v>
      </c>
      <c r="J618" t="s">
        <v>14</v>
      </c>
      <c r="K618" t="s">
        <v>18</v>
      </c>
      <c r="M618" s="10">
        <v>15750000</v>
      </c>
      <c r="N618" t="s">
        <v>704</v>
      </c>
      <c r="Q618" s="11" t="s">
        <v>1036</v>
      </c>
    </row>
    <row r="619" spans="1:17" x14ac:dyDescent="0.25">
      <c r="A619" t="s">
        <v>1286</v>
      </c>
      <c r="B619" t="s">
        <v>13</v>
      </c>
      <c r="C619">
        <v>46058</v>
      </c>
      <c r="D619">
        <v>46203</v>
      </c>
      <c r="E619" t="s">
        <v>775</v>
      </c>
      <c r="F619" t="s">
        <v>14</v>
      </c>
      <c r="G619">
        <v>1086225739</v>
      </c>
      <c r="H619" t="s">
        <v>943</v>
      </c>
      <c r="I619">
        <v>43624414</v>
      </c>
      <c r="J619" t="s">
        <v>14</v>
      </c>
      <c r="K619" t="s">
        <v>18</v>
      </c>
      <c r="M619" s="10">
        <v>15750000</v>
      </c>
      <c r="N619" t="s">
        <v>704</v>
      </c>
      <c r="Q619" s="11" t="s">
        <v>1036</v>
      </c>
    </row>
    <row r="620" spans="1:17" x14ac:dyDescent="0.25">
      <c r="A620" t="s">
        <v>1287</v>
      </c>
      <c r="B620" t="s">
        <v>13</v>
      </c>
      <c r="C620">
        <v>46059</v>
      </c>
      <c r="D620">
        <v>46203</v>
      </c>
      <c r="E620" t="s">
        <v>775</v>
      </c>
      <c r="F620" t="s">
        <v>14</v>
      </c>
      <c r="G620">
        <v>1193265831</v>
      </c>
      <c r="H620" t="s">
        <v>896</v>
      </c>
      <c r="I620">
        <v>98390119</v>
      </c>
      <c r="J620" t="s">
        <v>14</v>
      </c>
      <c r="K620" t="s">
        <v>63</v>
      </c>
      <c r="M620" s="10">
        <v>15750000</v>
      </c>
      <c r="N620" t="s">
        <v>704</v>
      </c>
      <c r="Q620" s="11" t="s">
        <v>1036</v>
      </c>
    </row>
    <row r="621" spans="1:17" x14ac:dyDescent="0.25">
      <c r="A621" t="s">
        <v>1288</v>
      </c>
      <c r="B621" t="s">
        <v>13</v>
      </c>
      <c r="C621">
        <v>46059</v>
      </c>
      <c r="D621">
        <v>46203</v>
      </c>
      <c r="E621" t="s">
        <v>775</v>
      </c>
      <c r="F621" t="s">
        <v>14</v>
      </c>
      <c r="G621">
        <v>1086223925</v>
      </c>
      <c r="H621" t="s">
        <v>947</v>
      </c>
      <c r="I621">
        <v>43624414</v>
      </c>
      <c r="J621" t="s">
        <v>14</v>
      </c>
      <c r="K621" t="s">
        <v>18</v>
      </c>
      <c r="M621" s="10">
        <v>15750000</v>
      </c>
      <c r="N621" t="s">
        <v>704</v>
      </c>
      <c r="Q621" s="11" t="s">
        <v>1036</v>
      </c>
    </row>
    <row r="622" spans="1:17" x14ac:dyDescent="0.25">
      <c r="A622" t="s">
        <v>1289</v>
      </c>
      <c r="B622" t="s">
        <v>13</v>
      </c>
      <c r="C622">
        <v>46059</v>
      </c>
      <c r="D622">
        <v>46203</v>
      </c>
      <c r="E622" t="s">
        <v>775</v>
      </c>
      <c r="F622" t="s">
        <v>14</v>
      </c>
      <c r="G622">
        <v>1089844032</v>
      </c>
      <c r="H622" t="s">
        <v>883</v>
      </c>
      <c r="I622">
        <v>98333941</v>
      </c>
      <c r="J622" t="s">
        <v>14</v>
      </c>
      <c r="K622" t="s">
        <v>15</v>
      </c>
      <c r="M622" s="10">
        <v>31500000</v>
      </c>
      <c r="N622" t="s">
        <v>704</v>
      </c>
      <c r="Q622" s="11" t="s">
        <v>1036</v>
      </c>
    </row>
    <row r="623" spans="1:17" x14ac:dyDescent="0.25">
      <c r="A623" t="s">
        <v>1290</v>
      </c>
      <c r="B623" t="s">
        <v>13</v>
      </c>
      <c r="C623">
        <v>46059</v>
      </c>
      <c r="D623">
        <v>46203</v>
      </c>
      <c r="E623" t="s">
        <v>775</v>
      </c>
      <c r="F623" t="s">
        <v>14</v>
      </c>
      <c r="G623">
        <v>1004595921</v>
      </c>
      <c r="H623" t="s">
        <v>882</v>
      </c>
      <c r="I623">
        <v>98390119</v>
      </c>
      <c r="J623" t="s">
        <v>14</v>
      </c>
      <c r="K623" t="s">
        <v>63</v>
      </c>
      <c r="M623" s="10">
        <v>15750000</v>
      </c>
      <c r="N623" t="s">
        <v>704</v>
      </c>
      <c r="Q623" s="11" t="s">
        <v>1036</v>
      </c>
    </row>
    <row r="624" spans="1:17" x14ac:dyDescent="0.25">
      <c r="A624" t="s">
        <v>1291</v>
      </c>
      <c r="B624" t="s">
        <v>13</v>
      </c>
      <c r="C624">
        <v>46059</v>
      </c>
      <c r="D624">
        <v>46081</v>
      </c>
      <c r="E624" t="s">
        <v>744</v>
      </c>
      <c r="F624" t="s">
        <v>14</v>
      </c>
      <c r="G624">
        <v>1233192618</v>
      </c>
      <c r="H624" t="s">
        <v>924</v>
      </c>
      <c r="I624">
        <v>43624414</v>
      </c>
      <c r="J624" t="s">
        <v>14</v>
      </c>
      <c r="K624" t="s">
        <v>18</v>
      </c>
      <c r="M624" s="10">
        <v>4730000</v>
      </c>
      <c r="N624" t="s">
        <v>704</v>
      </c>
      <c r="Q624" s="11" t="s">
        <v>1036</v>
      </c>
    </row>
    <row r="625" spans="1:17" x14ac:dyDescent="0.25">
      <c r="A625" t="s">
        <v>1292</v>
      </c>
      <c r="B625" t="s">
        <v>13</v>
      </c>
      <c r="C625">
        <v>46059</v>
      </c>
      <c r="D625">
        <v>46203</v>
      </c>
      <c r="E625" t="s">
        <v>775</v>
      </c>
      <c r="F625" t="s">
        <v>14</v>
      </c>
      <c r="G625">
        <v>1193458466</v>
      </c>
      <c r="H625" t="s">
        <v>889</v>
      </c>
      <c r="I625">
        <v>43624414</v>
      </c>
      <c r="J625" t="s">
        <v>14</v>
      </c>
      <c r="K625" t="s">
        <v>18</v>
      </c>
      <c r="M625" s="10">
        <v>15750000</v>
      </c>
      <c r="N625" t="s">
        <v>704</v>
      </c>
      <c r="Q625" s="11" t="s">
        <v>1036</v>
      </c>
    </row>
    <row r="626" spans="1:17" x14ac:dyDescent="0.25">
      <c r="A626" t="s">
        <v>1293</v>
      </c>
      <c r="B626" t="s">
        <v>13</v>
      </c>
      <c r="C626">
        <v>46062</v>
      </c>
      <c r="D626">
        <v>46203</v>
      </c>
      <c r="E626" t="s">
        <v>775</v>
      </c>
      <c r="F626" t="s">
        <v>14</v>
      </c>
      <c r="G626">
        <v>27110237</v>
      </c>
      <c r="H626" t="s">
        <v>952</v>
      </c>
      <c r="I626">
        <v>98333941</v>
      </c>
      <c r="J626" t="s">
        <v>14</v>
      </c>
      <c r="K626" t="s">
        <v>15</v>
      </c>
      <c r="M626" s="10">
        <v>15750000</v>
      </c>
      <c r="N626" t="s">
        <v>704</v>
      </c>
      <c r="Q626" s="11" t="s">
        <v>1036</v>
      </c>
    </row>
    <row r="627" spans="1:17" x14ac:dyDescent="0.25">
      <c r="A627" t="s">
        <v>1294</v>
      </c>
      <c r="B627" t="s">
        <v>13</v>
      </c>
      <c r="C627">
        <v>46062</v>
      </c>
      <c r="D627">
        <v>46142</v>
      </c>
      <c r="E627" t="s">
        <v>744</v>
      </c>
      <c r="F627" t="s">
        <v>14</v>
      </c>
      <c r="G627">
        <v>1004561553</v>
      </c>
      <c r="H627" t="s">
        <v>864</v>
      </c>
      <c r="I627">
        <v>98390119</v>
      </c>
      <c r="J627" t="s">
        <v>14</v>
      </c>
      <c r="K627" t="s">
        <v>63</v>
      </c>
      <c r="M627" s="10">
        <v>23400000</v>
      </c>
      <c r="N627" t="s">
        <v>704</v>
      </c>
      <c r="Q627" s="11" t="s">
        <v>1036</v>
      </c>
    </row>
    <row r="628" spans="1:17" x14ac:dyDescent="0.25">
      <c r="A628" t="s">
        <v>1295</v>
      </c>
      <c r="B628" t="s">
        <v>13</v>
      </c>
      <c r="C628">
        <v>46062</v>
      </c>
      <c r="D628">
        <v>46142</v>
      </c>
      <c r="E628" t="s">
        <v>744</v>
      </c>
      <c r="F628" t="s">
        <v>14</v>
      </c>
      <c r="G628">
        <v>1087119615</v>
      </c>
      <c r="H628" t="s">
        <v>964</v>
      </c>
      <c r="I628">
        <v>59836926</v>
      </c>
      <c r="J628" t="s">
        <v>14</v>
      </c>
      <c r="K628" t="s">
        <v>17</v>
      </c>
      <c r="M628" s="10"/>
      <c r="N628" t="s">
        <v>704</v>
      </c>
      <c r="Q628" s="11" t="s">
        <v>1036</v>
      </c>
    </row>
    <row r="629" spans="1:17" x14ac:dyDescent="0.25">
      <c r="A629" t="s">
        <v>1296</v>
      </c>
      <c r="B629" t="s">
        <v>13</v>
      </c>
      <c r="C629">
        <v>46063</v>
      </c>
      <c r="D629">
        <v>46203</v>
      </c>
      <c r="E629" t="s">
        <v>775</v>
      </c>
      <c r="F629" t="s">
        <v>14</v>
      </c>
      <c r="G629">
        <v>27090131</v>
      </c>
      <c r="H629" t="s">
        <v>951</v>
      </c>
      <c r="I629">
        <v>98390119</v>
      </c>
      <c r="J629" t="s">
        <v>14</v>
      </c>
      <c r="K629" t="s">
        <v>63</v>
      </c>
      <c r="M629" s="10">
        <v>15750000</v>
      </c>
      <c r="N629" t="s">
        <v>704</v>
      </c>
      <c r="Q629" s="11" t="s">
        <v>1036</v>
      </c>
    </row>
    <row r="630" spans="1:17" x14ac:dyDescent="0.25">
      <c r="A630" t="s">
        <v>1297</v>
      </c>
      <c r="B630" t="s">
        <v>13</v>
      </c>
      <c r="C630">
        <v>46063</v>
      </c>
      <c r="D630">
        <v>46203</v>
      </c>
      <c r="E630" t="s">
        <v>775</v>
      </c>
      <c r="F630" t="s">
        <v>14</v>
      </c>
      <c r="G630">
        <v>1004216587</v>
      </c>
      <c r="H630" t="s">
        <v>956</v>
      </c>
      <c r="I630">
        <v>98390119</v>
      </c>
      <c r="J630" t="s">
        <v>14</v>
      </c>
      <c r="K630" t="s">
        <v>63</v>
      </c>
      <c r="M630" s="10">
        <v>15750000</v>
      </c>
      <c r="N630" t="s">
        <v>704</v>
      </c>
      <c r="Q630" s="11" t="s">
        <v>1036</v>
      </c>
    </row>
    <row r="631" spans="1:17" x14ac:dyDescent="0.25">
      <c r="A631" t="s">
        <v>1298</v>
      </c>
      <c r="B631" t="s">
        <v>13</v>
      </c>
      <c r="C631">
        <v>46063</v>
      </c>
      <c r="D631">
        <v>46142</v>
      </c>
      <c r="E631" t="s">
        <v>793</v>
      </c>
      <c r="F631" t="s">
        <v>14</v>
      </c>
      <c r="G631">
        <v>1233190640</v>
      </c>
      <c r="H631" t="s">
        <v>536</v>
      </c>
      <c r="I631">
        <v>43624414</v>
      </c>
      <c r="J631" t="s">
        <v>14</v>
      </c>
      <c r="K631" t="s">
        <v>18</v>
      </c>
      <c r="M631" s="10">
        <v>6000000</v>
      </c>
      <c r="N631" t="s">
        <v>704</v>
      </c>
      <c r="Q631" s="11" t="s">
        <v>1036</v>
      </c>
    </row>
    <row r="632" spans="1:17" x14ac:dyDescent="0.25">
      <c r="A632" t="s">
        <v>1299</v>
      </c>
      <c r="B632" t="s">
        <v>13</v>
      </c>
      <c r="C632">
        <v>46063</v>
      </c>
      <c r="D632">
        <v>46142</v>
      </c>
      <c r="E632" t="s">
        <v>744</v>
      </c>
      <c r="F632" t="s">
        <v>14</v>
      </c>
      <c r="G632">
        <v>1085329230</v>
      </c>
      <c r="H632" t="s">
        <v>892</v>
      </c>
      <c r="I632">
        <v>98390119</v>
      </c>
      <c r="J632" t="s">
        <v>14</v>
      </c>
      <c r="K632" t="s">
        <v>63</v>
      </c>
      <c r="M632" s="10">
        <v>23400000</v>
      </c>
      <c r="N632" t="s">
        <v>704</v>
      </c>
      <c r="Q632" s="11" t="s">
        <v>1036</v>
      </c>
    </row>
    <row r="633" spans="1:17" x14ac:dyDescent="0.25">
      <c r="A633" t="s">
        <v>1300</v>
      </c>
      <c r="B633" t="s">
        <v>13</v>
      </c>
      <c r="C633">
        <v>46063</v>
      </c>
      <c r="D633">
        <v>46142</v>
      </c>
      <c r="E633" t="s">
        <v>775</v>
      </c>
      <c r="F633" t="s">
        <v>14</v>
      </c>
      <c r="G633">
        <v>1085344098</v>
      </c>
      <c r="H633" t="s">
        <v>910</v>
      </c>
      <c r="I633">
        <v>59836926</v>
      </c>
      <c r="J633" t="s">
        <v>14</v>
      </c>
      <c r="K633" t="s">
        <v>17</v>
      </c>
      <c r="M633" s="10">
        <v>18900000</v>
      </c>
      <c r="N633" t="s">
        <v>704</v>
      </c>
      <c r="Q633" s="11" t="s">
        <v>1036</v>
      </c>
    </row>
    <row r="634" spans="1:17" x14ac:dyDescent="0.25">
      <c r="A634" t="s">
        <v>1301</v>
      </c>
      <c r="B634" t="s">
        <v>13</v>
      </c>
      <c r="C634">
        <v>46063</v>
      </c>
      <c r="D634">
        <v>46203</v>
      </c>
      <c r="E634" t="s">
        <v>775</v>
      </c>
      <c r="F634" t="s">
        <v>14</v>
      </c>
      <c r="G634">
        <v>59314800</v>
      </c>
      <c r="H634" t="s">
        <v>953</v>
      </c>
      <c r="I634">
        <v>98333941</v>
      </c>
      <c r="J634" t="s">
        <v>14</v>
      </c>
      <c r="K634" t="s">
        <v>15</v>
      </c>
      <c r="M634" s="10">
        <v>15750000</v>
      </c>
      <c r="N634" t="s">
        <v>704</v>
      </c>
      <c r="Q634" s="11" t="s">
        <v>1036</v>
      </c>
    </row>
    <row r="635" spans="1:17" x14ac:dyDescent="0.25">
      <c r="A635" t="s">
        <v>1302</v>
      </c>
      <c r="B635" t="s">
        <v>13</v>
      </c>
      <c r="C635">
        <v>46063</v>
      </c>
      <c r="D635">
        <v>46089</v>
      </c>
      <c r="E635" t="s">
        <v>775</v>
      </c>
      <c r="F635" t="s">
        <v>14</v>
      </c>
      <c r="G635">
        <v>1087645520</v>
      </c>
      <c r="H635" t="s">
        <v>871</v>
      </c>
      <c r="I635">
        <v>98333941</v>
      </c>
      <c r="J635" t="s">
        <v>14</v>
      </c>
      <c r="K635" t="s">
        <v>15</v>
      </c>
      <c r="M635" s="10">
        <v>6300000</v>
      </c>
      <c r="N635" t="s">
        <v>704</v>
      </c>
      <c r="Q635" s="11" t="s">
        <v>1036</v>
      </c>
    </row>
    <row r="636" spans="1:17" x14ac:dyDescent="0.25">
      <c r="A636" t="s">
        <v>1303</v>
      </c>
      <c r="B636" t="s">
        <v>13</v>
      </c>
      <c r="C636">
        <v>46063</v>
      </c>
      <c r="D636">
        <v>46146</v>
      </c>
      <c r="E636" t="s">
        <v>793</v>
      </c>
      <c r="F636" t="s">
        <v>14</v>
      </c>
      <c r="G636">
        <v>1233188221</v>
      </c>
      <c r="H636" t="s">
        <v>425</v>
      </c>
      <c r="I636">
        <v>98333941</v>
      </c>
      <c r="J636" t="s">
        <v>14</v>
      </c>
      <c r="K636" t="s">
        <v>15</v>
      </c>
      <c r="M636" s="10">
        <v>6000000</v>
      </c>
      <c r="N636" t="s">
        <v>704</v>
      </c>
      <c r="Q636" s="11" t="s">
        <v>1036</v>
      </c>
    </row>
    <row r="637" spans="1:17" x14ac:dyDescent="0.25">
      <c r="A637" t="s">
        <v>1304</v>
      </c>
      <c r="B637" t="s">
        <v>13</v>
      </c>
      <c r="C637">
        <v>46063</v>
      </c>
      <c r="D637">
        <v>46203</v>
      </c>
      <c r="E637" t="s">
        <v>775</v>
      </c>
      <c r="F637" t="s">
        <v>14</v>
      </c>
      <c r="G637">
        <v>1085318696</v>
      </c>
      <c r="H637" t="s">
        <v>944</v>
      </c>
      <c r="I637">
        <v>43624414</v>
      </c>
      <c r="J637" t="s">
        <v>14</v>
      </c>
      <c r="K637" t="s">
        <v>18</v>
      </c>
      <c r="M637" s="10">
        <v>31500000</v>
      </c>
      <c r="N637" t="s">
        <v>704</v>
      </c>
      <c r="Q637" s="11" t="s">
        <v>1036</v>
      </c>
    </row>
    <row r="638" spans="1:17" x14ac:dyDescent="0.25">
      <c r="A638" t="s">
        <v>1305</v>
      </c>
      <c r="B638" t="s">
        <v>13</v>
      </c>
      <c r="C638">
        <v>46063</v>
      </c>
      <c r="D638">
        <v>46146</v>
      </c>
      <c r="E638" t="s">
        <v>775</v>
      </c>
      <c r="F638" t="s">
        <v>14</v>
      </c>
      <c r="G638">
        <v>1085283127</v>
      </c>
      <c r="H638" t="s">
        <v>888</v>
      </c>
      <c r="I638">
        <v>43624414</v>
      </c>
      <c r="J638" t="s">
        <v>14</v>
      </c>
      <c r="K638" t="s">
        <v>18</v>
      </c>
      <c r="M638" s="10">
        <v>9450000</v>
      </c>
      <c r="N638" t="s">
        <v>704</v>
      </c>
      <c r="Q638" s="11" t="s">
        <v>1036</v>
      </c>
    </row>
    <row r="639" spans="1:17" x14ac:dyDescent="0.25">
      <c r="A639" t="s">
        <v>1306</v>
      </c>
      <c r="B639" t="s">
        <v>13</v>
      </c>
      <c r="C639">
        <v>46063</v>
      </c>
      <c r="D639">
        <v>46089</v>
      </c>
      <c r="E639" t="s">
        <v>744</v>
      </c>
      <c r="F639" t="s">
        <v>14</v>
      </c>
      <c r="G639">
        <v>1123327071</v>
      </c>
      <c r="H639" t="s">
        <v>372</v>
      </c>
      <c r="I639">
        <v>59836926</v>
      </c>
      <c r="J639" t="s">
        <v>14</v>
      </c>
      <c r="K639" t="s">
        <v>17</v>
      </c>
      <c r="M639" s="10">
        <v>7800000</v>
      </c>
      <c r="N639" t="s">
        <v>704</v>
      </c>
      <c r="Q639" s="11" t="s">
        <v>1036</v>
      </c>
    </row>
    <row r="640" spans="1:17" x14ac:dyDescent="0.25">
      <c r="A640" t="s">
        <v>1307</v>
      </c>
      <c r="B640" t="s">
        <v>13</v>
      </c>
      <c r="C640">
        <v>46063</v>
      </c>
      <c r="D640">
        <v>46146</v>
      </c>
      <c r="E640" t="s">
        <v>775</v>
      </c>
      <c r="F640" t="s">
        <v>14</v>
      </c>
      <c r="G640">
        <v>98394398</v>
      </c>
      <c r="H640" t="s">
        <v>954</v>
      </c>
      <c r="I640">
        <v>43624414</v>
      </c>
      <c r="J640" t="s">
        <v>14</v>
      </c>
      <c r="K640" t="s">
        <v>18</v>
      </c>
      <c r="M640" s="10">
        <v>18900000</v>
      </c>
      <c r="N640" t="s">
        <v>704</v>
      </c>
      <c r="Q640" s="11" t="s">
        <v>1036</v>
      </c>
    </row>
    <row r="641" spans="1:17" x14ac:dyDescent="0.25">
      <c r="A641" t="s">
        <v>1308</v>
      </c>
      <c r="B641" t="s">
        <v>13</v>
      </c>
      <c r="C641">
        <v>46063</v>
      </c>
      <c r="D641">
        <v>46146</v>
      </c>
      <c r="E641" t="s">
        <v>793</v>
      </c>
      <c r="F641" t="s">
        <v>14</v>
      </c>
      <c r="G641">
        <v>66958357</v>
      </c>
      <c r="H641" t="s">
        <v>935</v>
      </c>
      <c r="I641">
        <v>98390119</v>
      </c>
      <c r="J641" t="s">
        <v>14</v>
      </c>
      <c r="K641" t="s">
        <v>63</v>
      </c>
      <c r="M641" s="10">
        <v>6000000</v>
      </c>
      <c r="N641" t="s">
        <v>704</v>
      </c>
      <c r="Q641" s="11" t="s">
        <v>1036</v>
      </c>
    </row>
    <row r="642" spans="1:17" x14ac:dyDescent="0.25">
      <c r="A642" t="s">
        <v>1309</v>
      </c>
      <c r="B642" t="s">
        <v>13</v>
      </c>
      <c r="C642">
        <v>46063</v>
      </c>
      <c r="D642">
        <v>46146</v>
      </c>
      <c r="E642" t="s">
        <v>744</v>
      </c>
      <c r="F642" t="s">
        <v>14</v>
      </c>
      <c r="G642">
        <v>1085307978</v>
      </c>
      <c r="H642" t="s">
        <v>895</v>
      </c>
      <c r="I642">
        <v>98390119</v>
      </c>
      <c r="J642" t="s">
        <v>14</v>
      </c>
      <c r="K642" t="s">
        <v>63</v>
      </c>
      <c r="M642" s="10">
        <v>14190000</v>
      </c>
      <c r="N642" t="s">
        <v>704</v>
      </c>
      <c r="Q642" s="11" t="s">
        <v>1036</v>
      </c>
    </row>
    <row r="643" spans="1:17" x14ac:dyDescent="0.25">
      <c r="A643" t="s">
        <v>1310</v>
      </c>
      <c r="B643" t="s">
        <v>13</v>
      </c>
      <c r="C643">
        <v>46063</v>
      </c>
      <c r="D643">
        <v>46203</v>
      </c>
      <c r="E643" t="s">
        <v>744</v>
      </c>
      <c r="F643" t="s">
        <v>14</v>
      </c>
      <c r="G643">
        <v>1085328217</v>
      </c>
      <c r="H643" t="s">
        <v>960</v>
      </c>
      <c r="I643">
        <v>43624414</v>
      </c>
      <c r="J643" t="s">
        <v>14</v>
      </c>
      <c r="K643" t="s">
        <v>18</v>
      </c>
      <c r="M643" s="10">
        <v>39000000</v>
      </c>
      <c r="N643" t="s">
        <v>704</v>
      </c>
      <c r="Q643" s="11" t="s">
        <v>1036</v>
      </c>
    </row>
    <row r="644" spans="1:17" x14ac:dyDescent="0.25">
      <c r="A644" t="s">
        <v>1311</v>
      </c>
      <c r="B644" t="s">
        <v>13</v>
      </c>
      <c r="C644">
        <v>46063</v>
      </c>
      <c r="D644">
        <v>46203</v>
      </c>
      <c r="E644" t="s">
        <v>744</v>
      </c>
      <c r="F644" t="s">
        <v>14</v>
      </c>
      <c r="G644">
        <v>1088738533</v>
      </c>
      <c r="H644" t="s">
        <v>863</v>
      </c>
      <c r="I644">
        <v>43624414</v>
      </c>
      <c r="J644" t="s">
        <v>14</v>
      </c>
      <c r="K644" t="s">
        <v>18</v>
      </c>
      <c r="M644" s="10">
        <v>23650000</v>
      </c>
      <c r="N644" t="s">
        <v>704</v>
      </c>
      <c r="Q644" s="11" t="s">
        <v>1036</v>
      </c>
    </row>
    <row r="645" spans="1:17" x14ac:dyDescent="0.25">
      <c r="A645" t="s">
        <v>1312</v>
      </c>
      <c r="B645" t="s">
        <v>13</v>
      </c>
      <c r="C645">
        <v>46063</v>
      </c>
      <c r="D645">
        <v>46089</v>
      </c>
      <c r="E645" t="s">
        <v>744</v>
      </c>
      <c r="F645" t="s">
        <v>14</v>
      </c>
      <c r="G645">
        <v>59313415</v>
      </c>
      <c r="H645" t="s">
        <v>614</v>
      </c>
      <c r="I645">
        <v>59836926</v>
      </c>
      <c r="J645" t="s">
        <v>14</v>
      </c>
      <c r="K645" t="s">
        <v>17</v>
      </c>
      <c r="M645" s="10">
        <v>7800000</v>
      </c>
      <c r="N645" t="s">
        <v>704</v>
      </c>
      <c r="Q645" s="11" t="s">
        <v>1036</v>
      </c>
    </row>
    <row r="646" spans="1:17" x14ac:dyDescent="0.25">
      <c r="A646" t="s">
        <v>1313</v>
      </c>
      <c r="B646" t="s">
        <v>13</v>
      </c>
      <c r="C646">
        <v>46063</v>
      </c>
      <c r="D646">
        <v>46146</v>
      </c>
      <c r="E646" t="s">
        <v>744</v>
      </c>
      <c r="F646" t="s">
        <v>14</v>
      </c>
      <c r="G646">
        <v>1085343081</v>
      </c>
      <c r="H646" t="s">
        <v>903</v>
      </c>
      <c r="I646">
        <v>43624414</v>
      </c>
      <c r="J646" t="s">
        <v>14</v>
      </c>
      <c r="K646" t="s">
        <v>18</v>
      </c>
      <c r="M646" s="10">
        <v>14190000</v>
      </c>
      <c r="N646" t="s">
        <v>704</v>
      </c>
      <c r="Q646" s="11" t="s">
        <v>1036</v>
      </c>
    </row>
    <row r="647" spans="1:17" x14ac:dyDescent="0.25">
      <c r="A647" t="s">
        <v>1314</v>
      </c>
      <c r="B647" t="s">
        <v>13</v>
      </c>
      <c r="C647">
        <v>46063</v>
      </c>
      <c r="D647">
        <v>46203</v>
      </c>
      <c r="E647" t="s">
        <v>775</v>
      </c>
      <c r="F647" t="s">
        <v>14</v>
      </c>
      <c r="G647">
        <v>1081273836</v>
      </c>
      <c r="H647" t="s">
        <v>941</v>
      </c>
      <c r="I647">
        <v>43624414</v>
      </c>
      <c r="J647" t="s">
        <v>14</v>
      </c>
      <c r="K647" t="s">
        <v>18</v>
      </c>
      <c r="M647" s="10">
        <v>15750000</v>
      </c>
      <c r="N647" t="s">
        <v>704</v>
      </c>
      <c r="Q647" s="11" t="s">
        <v>1036</v>
      </c>
    </row>
    <row r="648" spans="1:17" x14ac:dyDescent="0.25">
      <c r="A648" t="s">
        <v>1315</v>
      </c>
      <c r="B648" t="s">
        <v>13</v>
      </c>
      <c r="C648">
        <v>46063</v>
      </c>
      <c r="D648">
        <v>46089</v>
      </c>
      <c r="E648" t="s">
        <v>775</v>
      </c>
      <c r="F648" t="s">
        <v>14</v>
      </c>
      <c r="G648">
        <v>30723627</v>
      </c>
      <c r="H648" t="s">
        <v>856</v>
      </c>
      <c r="I648">
        <v>59836926</v>
      </c>
      <c r="J648" t="s">
        <v>14</v>
      </c>
      <c r="K648" t="s">
        <v>17</v>
      </c>
      <c r="M648" s="10">
        <v>6300000</v>
      </c>
      <c r="N648" t="s">
        <v>704</v>
      </c>
      <c r="Q648" s="11" t="s">
        <v>1036</v>
      </c>
    </row>
    <row r="649" spans="1:17" x14ac:dyDescent="0.25">
      <c r="A649" t="s">
        <v>1316</v>
      </c>
      <c r="B649" t="s">
        <v>13</v>
      </c>
      <c r="C649">
        <v>46069</v>
      </c>
      <c r="D649">
        <v>46142</v>
      </c>
      <c r="E649" t="s">
        <v>775</v>
      </c>
      <c r="F649" t="s">
        <v>14</v>
      </c>
      <c r="G649">
        <v>37084485</v>
      </c>
      <c r="H649" t="s">
        <v>852</v>
      </c>
      <c r="I649">
        <v>98390119</v>
      </c>
      <c r="J649" t="s">
        <v>14</v>
      </c>
      <c r="K649" t="s">
        <v>63</v>
      </c>
      <c r="M649" s="10">
        <v>18900000</v>
      </c>
      <c r="N649" t="s">
        <v>704</v>
      </c>
      <c r="Q649" s="11" t="s">
        <v>1036</v>
      </c>
    </row>
    <row r="650" spans="1:17" x14ac:dyDescent="0.25">
      <c r="A650" t="s">
        <v>1317</v>
      </c>
      <c r="B650" t="s">
        <v>13</v>
      </c>
      <c r="C650">
        <v>46072</v>
      </c>
      <c r="D650">
        <v>46161</v>
      </c>
      <c r="E650" t="s">
        <v>793</v>
      </c>
      <c r="F650" t="s">
        <v>14</v>
      </c>
      <c r="G650">
        <v>1080040525</v>
      </c>
      <c r="H650" t="s">
        <v>143</v>
      </c>
      <c r="I650">
        <v>98333941</v>
      </c>
      <c r="J650" t="s">
        <v>14</v>
      </c>
      <c r="K650" t="s">
        <v>15</v>
      </c>
      <c r="M650" s="10">
        <v>6000000</v>
      </c>
      <c r="N650" t="s">
        <v>704</v>
      </c>
      <c r="Q650" s="11" t="s">
        <v>1036</v>
      </c>
    </row>
    <row r="651" spans="1:17" x14ac:dyDescent="0.25">
      <c r="A651" t="s">
        <v>1318</v>
      </c>
      <c r="B651" t="s">
        <v>13</v>
      </c>
      <c r="C651">
        <v>46073</v>
      </c>
      <c r="D651">
        <v>46162</v>
      </c>
      <c r="E651" t="s">
        <v>775</v>
      </c>
      <c r="F651" t="s">
        <v>14</v>
      </c>
      <c r="G651">
        <v>1004697868</v>
      </c>
      <c r="H651" t="s">
        <v>915</v>
      </c>
      <c r="I651">
        <v>59836926</v>
      </c>
      <c r="J651" t="s">
        <v>14</v>
      </c>
      <c r="K651" t="s">
        <v>17</v>
      </c>
      <c r="M651" s="10">
        <v>18900000</v>
      </c>
      <c r="N651" t="s">
        <v>704</v>
      </c>
      <c r="Q651" s="11" t="s">
        <v>1036</v>
      </c>
    </row>
    <row r="652" spans="1:17" x14ac:dyDescent="0.25">
      <c r="A652" t="s">
        <v>1319</v>
      </c>
      <c r="B652" t="s">
        <v>13</v>
      </c>
      <c r="C652">
        <v>46076</v>
      </c>
      <c r="D652">
        <v>46165</v>
      </c>
      <c r="E652" t="s">
        <v>744</v>
      </c>
      <c r="F652" t="s">
        <v>14</v>
      </c>
      <c r="G652">
        <v>87065491</v>
      </c>
      <c r="H652" t="s">
        <v>902</v>
      </c>
      <c r="I652">
        <v>59836926</v>
      </c>
      <c r="J652" t="s">
        <v>14</v>
      </c>
      <c r="K652" t="s">
        <v>17</v>
      </c>
      <c r="M652" s="10">
        <v>14190000</v>
      </c>
      <c r="N652" t="s">
        <v>704</v>
      </c>
      <c r="Q652" s="11" t="s">
        <v>1036</v>
      </c>
    </row>
    <row r="653" spans="1:17" x14ac:dyDescent="0.25">
      <c r="A653" t="s">
        <v>1320</v>
      </c>
      <c r="B653" t="s">
        <v>13</v>
      </c>
      <c r="C653">
        <v>46076</v>
      </c>
      <c r="D653">
        <v>46104</v>
      </c>
      <c r="E653" t="s">
        <v>775</v>
      </c>
      <c r="F653" t="s">
        <v>14</v>
      </c>
      <c r="G653">
        <v>37087117</v>
      </c>
      <c r="H653" t="s">
        <v>197</v>
      </c>
      <c r="I653">
        <v>98333941</v>
      </c>
      <c r="J653" t="s">
        <v>14</v>
      </c>
      <c r="K653" t="s">
        <v>15</v>
      </c>
      <c r="M653" s="10">
        <v>3150000</v>
      </c>
      <c r="N653" t="s">
        <v>704</v>
      </c>
      <c r="Q653" s="11" t="s">
        <v>1036</v>
      </c>
    </row>
    <row r="654" spans="1:17" x14ac:dyDescent="0.25">
      <c r="A654" t="s">
        <v>1321</v>
      </c>
      <c r="B654" t="s">
        <v>13</v>
      </c>
      <c r="C654">
        <v>46076</v>
      </c>
      <c r="D654">
        <v>46104</v>
      </c>
      <c r="E654" t="s">
        <v>744</v>
      </c>
      <c r="F654" t="s">
        <v>14</v>
      </c>
      <c r="G654">
        <v>1193406111</v>
      </c>
      <c r="H654" t="s">
        <v>858</v>
      </c>
      <c r="I654">
        <v>43624414</v>
      </c>
      <c r="J654" t="s">
        <v>14</v>
      </c>
      <c r="K654" t="s">
        <v>18</v>
      </c>
      <c r="M654" s="10">
        <v>7800000</v>
      </c>
      <c r="N654" t="s">
        <v>704</v>
      </c>
      <c r="Q654" s="11" t="s">
        <v>1036</v>
      </c>
    </row>
    <row r="655" spans="1:17" x14ac:dyDescent="0.25">
      <c r="A655" t="s">
        <v>1322</v>
      </c>
      <c r="B655" t="s">
        <v>13</v>
      </c>
      <c r="C655">
        <v>46077</v>
      </c>
      <c r="D655">
        <v>46166</v>
      </c>
      <c r="E655" t="s">
        <v>775</v>
      </c>
      <c r="F655" t="s">
        <v>14</v>
      </c>
      <c r="G655">
        <v>1085271641</v>
      </c>
      <c r="H655" t="s">
        <v>30</v>
      </c>
      <c r="I655">
        <v>43624414</v>
      </c>
      <c r="J655" t="s">
        <v>14</v>
      </c>
      <c r="K655" t="s">
        <v>18</v>
      </c>
      <c r="M655" s="10">
        <v>9450000</v>
      </c>
      <c r="N655" t="s">
        <v>704</v>
      </c>
      <c r="Q655" s="11" t="s">
        <v>1036</v>
      </c>
    </row>
    <row r="656" spans="1:17" x14ac:dyDescent="0.25">
      <c r="A656" t="s">
        <v>1323</v>
      </c>
      <c r="B656" t="s">
        <v>13</v>
      </c>
      <c r="C656">
        <v>46077</v>
      </c>
      <c r="D656">
        <v>46166</v>
      </c>
      <c r="E656" t="s">
        <v>775</v>
      </c>
      <c r="F656" t="s">
        <v>14</v>
      </c>
      <c r="G656">
        <v>1004543158</v>
      </c>
      <c r="H656" t="s">
        <v>937</v>
      </c>
      <c r="I656">
        <v>98333941</v>
      </c>
      <c r="J656" t="s">
        <v>14</v>
      </c>
      <c r="K656" t="s">
        <v>15</v>
      </c>
      <c r="M656" s="10">
        <v>9450000</v>
      </c>
      <c r="N656" t="s">
        <v>704</v>
      </c>
      <c r="Q656" s="11" t="s">
        <v>1036</v>
      </c>
    </row>
    <row r="657" spans="1:17" x14ac:dyDescent="0.25">
      <c r="A657" t="s">
        <v>1324</v>
      </c>
      <c r="B657" t="s">
        <v>13</v>
      </c>
      <c r="C657">
        <v>46077</v>
      </c>
      <c r="D657">
        <v>46105</v>
      </c>
      <c r="E657" t="s">
        <v>744</v>
      </c>
      <c r="F657" t="s">
        <v>14</v>
      </c>
      <c r="G657">
        <v>1085262812</v>
      </c>
      <c r="H657" t="s">
        <v>923</v>
      </c>
      <c r="I657">
        <v>59836926</v>
      </c>
      <c r="J657" t="s">
        <v>14</v>
      </c>
      <c r="K657" t="s">
        <v>17</v>
      </c>
      <c r="M657" s="10">
        <v>7800000</v>
      </c>
      <c r="N657" t="s">
        <v>704</v>
      </c>
      <c r="Q657" s="11" t="s">
        <v>1036</v>
      </c>
    </row>
    <row r="658" spans="1:17" x14ac:dyDescent="0.25">
      <c r="A658" t="s">
        <v>1325</v>
      </c>
      <c r="B658" t="s">
        <v>13</v>
      </c>
      <c r="C658">
        <v>46077</v>
      </c>
      <c r="D658">
        <v>46105</v>
      </c>
      <c r="E658" t="s">
        <v>744</v>
      </c>
      <c r="F658" t="s">
        <v>14</v>
      </c>
      <c r="G658">
        <v>1007736489</v>
      </c>
      <c r="H658" t="s">
        <v>961</v>
      </c>
      <c r="I658">
        <v>43624414</v>
      </c>
      <c r="J658" t="s">
        <v>14</v>
      </c>
      <c r="K658" t="s">
        <v>18</v>
      </c>
      <c r="M658" s="10">
        <v>7800000</v>
      </c>
      <c r="N658" t="s">
        <v>704</v>
      </c>
      <c r="Q658" s="11" t="s">
        <v>1036</v>
      </c>
    </row>
    <row r="659" spans="1:17" x14ac:dyDescent="0.25">
      <c r="A659" t="s">
        <v>1326</v>
      </c>
      <c r="B659" t="s">
        <v>13</v>
      </c>
      <c r="C659">
        <v>46077</v>
      </c>
      <c r="D659">
        <v>46166</v>
      </c>
      <c r="E659" t="s">
        <v>744</v>
      </c>
      <c r="F659" t="s">
        <v>14</v>
      </c>
      <c r="G659">
        <v>1085251979</v>
      </c>
      <c r="H659" t="s">
        <v>846</v>
      </c>
      <c r="I659">
        <v>43624414</v>
      </c>
      <c r="J659" t="s">
        <v>14</v>
      </c>
      <c r="K659" t="s">
        <v>18</v>
      </c>
      <c r="M659" s="10">
        <v>14190000</v>
      </c>
      <c r="N659" t="s">
        <v>704</v>
      </c>
      <c r="Q659" s="11" t="s">
        <v>1036</v>
      </c>
    </row>
    <row r="660" spans="1:17" x14ac:dyDescent="0.25">
      <c r="A660" t="s">
        <v>1327</v>
      </c>
      <c r="B660" t="s">
        <v>13</v>
      </c>
      <c r="C660">
        <v>46079</v>
      </c>
      <c r="D660">
        <v>46107</v>
      </c>
      <c r="E660" t="s">
        <v>775</v>
      </c>
      <c r="F660" t="s">
        <v>14</v>
      </c>
      <c r="G660">
        <v>36757522</v>
      </c>
      <c r="H660" t="s">
        <v>849</v>
      </c>
      <c r="I660">
        <v>59836926</v>
      </c>
      <c r="J660" t="s">
        <v>14</v>
      </c>
      <c r="K660" t="s">
        <v>17</v>
      </c>
      <c r="M660" s="10">
        <v>3150000</v>
      </c>
      <c r="N660" t="s">
        <v>704</v>
      </c>
      <c r="Q660" s="11" t="s">
        <v>1036</v>
      </c>
    </row>
    <row r="661" spans="1:17" x14ac:dyDescent="0.25">
      <c r="A661" t="s">
        <v>1328</v>
      </c>
      <c r="B661" t="s">
        <v>13</v>
      </c>
      <c r="C661">
        <v>46079</v>
      </c>
      <c r="D661">
        <v>46168</v>
      </c>
      <c r="E661" t="s">
        <v>775</v>
      </c>
      <c r="F661" t="s">
        <v>14</v>
      </c>
      <c r="G661">
        <v>1086224177</v>
      </c>
      <c r="H661" t="s">
        <v>925</v>
      </c>
      <c r="I661">
        <v>98390119</v>
      </c>
      <c r="J661" t="s">
        <v>14</v>
      </c>
      <c r="K661" t="s">
        <v>63</v>
      </c>
      <c r="M661" s="10">
        <v>9450000</v>
      </c>
      <c r="N661" t="s">
        <v>704</v>
      </c>
      <c r="Q661" s="11" t="s">
        <v>1036</v>
      </c>
    </row>
    <row r="662" spans="1:17" x14ac:dyDescent="0.25">
      <c r="A662" t="s">
        <v>1329</v>
      </c>
      <c r="B662" t="s">
        <v>13</v>
      </c>
      <c r="C662">
        <v>46079</v>
      </c>
      <c r="D662">
        <v>46168</v>
      </c>
      <c r="E662" t="s">
        <v>775</v>
      </c>
      <c r="F662" t="s">
        <v>14</v>
      </c>
      <c r="G662">
        <v>1004189754</v>
      </c>
      <c r="H662" t="s">
        <v>938</v>
      </c>
      <c r="I662">
        <v>98333941</v>
      </c>
      <c r="J662" t="s">
        <v>14</v>
      </c>
      <c r="K662" t="s">
        <v>15</v>
      </c>
      <c r="M662" s="10">
        <v>9450000</v>
      </c>
      <c r="N662" t="s">
        <v>704</v>
      </c>
      <c r="Q662" s="11" t="s">
        <v>1036</v>
      </c>
    </row>
    <row r="663" spans="1:17" x14ac:dyDescent="0.25">
      <c r="A663" t="s">
        <v>1330</v>
      </c>
      <c r="B663" t="s">
        <v>13</v>
      </c>
      <c r="C663">
        <v>46083</v>
      </c>
      <c r="D663">
        <v>46175</v>
      </c>
      <c r="E663" t="s">
        <v>775</v>
      </c>
      <c r="F663" t="s">
        <v>14</v>
      </c>
      <c r="G663">
        <v>1085291729</v>
      </c>
      <c r="H663" t="s">
        <v>949</v>
      </c>
      <c r="I663">
        <v>43624414</v>
      </c>
      <c r="J663" t="s">
        <v>14</v>
      </c>
      <c r="K663" t="s">
        <v>18</v>
      </c>
      <c r="M663" s="10">
        <v>9450000</v>
      </c>
      <c r="N663" t="s">
        <v>704</v>
      </c>
      <c r="Q663" s="11" t="s">
        <v>1036</v>
      </c>
    </row>
    <row r="664" spans="1:17" x14ac:dyDescent="0.25">
      <c r="A664" t="s">
        <v>1331</v>
      </c>
      <c r="B664" t="s">
        <v>13</v>
      </c>
      <c r="C664">
        <v>46084</v>
      </c>
      <c r="D664">
        <v>46203</v>
      </c>
      <c r="E664" t="s">
        <v>744</v>
      </c>
      <c r="F664" t="s">
        <v>14</v>
      </c>
      <c r="G664">
        <v>1085347123</v>
      </c>
      <c r="H664" t="s">
        <v>963</v>
      </c>
      <c r="I664">
        <v>59836926</v>
      </c>
      <c r="J664" t="s">
        <v>14</v>
      </c>
      <c r="K664" t="s">
        <v>17</v>
      </c>
      <c r="M664" s="10">
        <v>31200000</v>
      </c>
      <c r="N664" t="s">
        <v>704</v>
      </c>
      <c r="Q664" s="11" t="s">
        <v>1036</v>
      </c>
    </row>
    <row r="665" spans="1:17" x14ac:dyDescent="0.25">
      <c r="A665" t="s">
        <v>1332</v>
      </c>
      <c r="B665" t="s">
        <v>13</v>
      </c>
      <c r="C665">
        <v>46085</v>
      </c>
      <c r="D665">
        <v>46146</v>
      </c>
      <c r="E665" t="s">
        <v>775</v>
      </c>
      <c r="F665" t="s">
        <v>14</v>
      </c>
      <c r="G665">
        <v>1086360087</v>
      </c>
      <c r="H665" t="s">
        <v>397</v>
      </c>
      <c r="I665">
        <v>98390119</v>
      </c>
      <c r="J665" t="s">
        <v>14</v>
      </c>
      <c r="K665" t="s">
        <v>63</v>
      </c>
      <c r="M665" s="10">
        <v>12600000</v>
      </c>
      <c r="N665" t="s">
        <v>704</v>
      </c>
      <c r="Q665" s="11" t="s">
        <v>1036</v>
      </c>
    </row>
    <row r="666" spans="1:17" x14ac:dyDescent="0.25">
      <c r="A666" t="s">
        <v>1333</v>
      </c>
      <c r="B666" t="s">
        <v>13</v>
      </c>
      <c r="C666">
        <v>46085</v>
      </c>
      <c r="D666">
        <v>46146</v>
      </c>
      <c r="E666" t="s">
        <v>775</v>
      </c>
      <c r="F666" t="s">
        <v>14</v>
      </c>
      <c r="G666">
        <v>27436186</v>
      </c>
      <c r="H666" t="s">
        <v>932</v>
      </c>
      <c r="I666">
        <v>43624414</v>
      </c>
      <c r="J666" t="s">
        <v>14</v>
      </c>
      <c r="K666" t="s">
        <v>18</v>
      </c>
      <c r="M666" s="10">
        <v>6300000</v>
      </c>
      <c r="N666" t="s">
        <v>704</v>
      </c>
      <c r="Q666" s="11" t="s">
        <v>1036</v>
      </c>
    </row>
    <row r="667" spans="1:17" x14ac:dyDescent="0.25">
      <c r="A667" t="s">
        <v>1334</v>
      </c>
      <c r="B667" t="s">
        <v>13</v>
      </c>
      <c r="C667">
        <v>46085</v>
      </c>
      <c r="D667">
        <v>46177</v>
      </c>
      <c r="E667" t="s">
        <v>775</v>
      </c>
      <c r="F667" t="s">
        <v>14</v>
      </c>
      <c r="G667">
        <v>1085343154</v>
      </c>
      <c r="H667" t="s">
        <v>600</v>
      </c>
      <c r="I667">
        <v>98333941</v>
      </c>
      <c r="J667" t="s">
        <v>14</v>
      </c>
      <c r="K667" t="s">
        <v>15</v>
      </c>
      <c r="M667" s="10">
        <v>9450000</v>
      </c>
      <c r="N667" t="s">
        <v>704</v>
      </c>
      <c r="Q667" s="11" t="s">
        <v>1036</v>
      </c>
    </row>
    <row r="668" spans="1:17" x14ac:dyDescent="0.25">
      <c r="A668" t="s">
        <v>1335</v>
      </c>
      <c r="B668" t="s">
        <v>13</v>
      </c>
      <c r="C668">
        <v>46086</v>
      </c>
      <c r="D668">
        <v>46178</v>
      </c>
      <c r="E668" t="s">
        <v>775</v>
      </c>
      <c r="F668" t="s">
        <v>14</v>
      </c>
      <c r="G668">
        <v>1085346528</v>
      </c>
      <c r="H668" t="s">
        <v>385</v>
      </c>
      <c r="I668">
        <v>43624414</v>
      </c>
      <c r="J668" t="s">
        <v>14</v>
      </c>
      <c r="K668" t="s">
        <v>18</v>
      </c>
      <c r="M668" s="10">
        <v>9450000</v>
      </c>
      <c r="N668" t="s">
        <v>704</v>
      </c>
      <c r="Q668" s="11" t="s">
        <v>1036</v>
      </c>
    </row>
    <row r="669" spans="1:17" x14ac:dyDescent="0.25">
      <c r="A669" t="s">
        <v>1336</v>
      </c>
      <c r="B669" t="s">
        <v>13</v>
      </c>
      <c r="C669">
        <v>46087</v>
      </c>
      <c r="D669">
        <v>46179</v>
      </c>
      <c r="E669" t="s">
        <v>775</v>
      </c>
      <c r="F669" t="s">
        <v>14</v>
      </c>
      <c r="G669">
        <v>1086223270</v>
      </c>
      <c r="H669" t="s">
        <v>914</v>
      </c>
      <c r="I669">
        <v>59836926</v>
      </c>
      <c r="J669" t="s">
        <v>14</v>
      </c>
      <c r="K669" t="s">
        <v>17</v>
      </c>
      <c r="M669" s="10">
        <v>9450000</v>
      </c>
      <c r="N669" t="s">
        <v>704</v>
      </c>
      <c r="Q669" s="11" t="s">
        <v>1036</v>
      </c>
    </row>
    <row r="670" spans="1:17" x14ac:dyDescent="0.25">
      <c r="A670" t="s">
        <v>1337</v>
      </c>
      <c r="B670" t="s">
        <v>13</v>
      </c>
      <c r="C670">
        <v>46087</v>
      </c>
      <c r="D670">
        <v>46179</v>
      </c>
      <c r="E670" t="s">
        <v>775</v>
      </c>
      <c r="F670" t="s">
        <v>14</v>
      </c>
      <c r="G670">
        <v>1084550836</v>
      </c>
      <c r="H670" t="s">
        <v>929</v>
      </c>
      <c r="I670">
        <v>98390119</v>
      </c>
      <c r="J670" t="s">
        <v>14</v>
      </c>
      <c r="K670" t="s">
        <v>63</v>
      </c>
      <c r="M670" s="10">
        <v>9450000</v>
      </c>
      <c r="N670" t="s">
        <v>704</v>
      </c>
      <c r="Q670" s="11" t="s">
        <v>1036</v>
      </c>
    </row>
    <row r="671" spans="1:17" x14ac:dyDescent="0.25">
      <c r="A671" t="s">
        <v>1338</v>
      </c>
      <c r="B671" t="s">
        <v>13</v>
      </c>
      <c r="C671">
        <v>46087</v>
      </c>
      <c r="D671">
        <v>46179</v>
      </c>
      <c r="E671" t="s">
        <v>775</v>
      </c>
      <c r="F671" t="s">
        <v>14</v>
      </c>
      <c r="G671">
        <v>36757221</v>
      </c>
      <c r="H671" t="s">
        <v>482</v>
      </c>
      <c r="I671">
        <v>59836926</v>
      </c>
      <c r="J671" t="s">
        <v>14</v>
      </c>
      <c r="K671" t="s">
        <v>17</v>
      </c>
      <c r="M671" s="10">
        <v>18900000</v>
      </c>
      <c r="N671" t="s">
        <v>704</v>
      </c>
      <c r="Q671" s="11" t="s">
        <v>1036</v>
      </c>
    </row>
    <row r="672" spans="1:17" x14ac:dyDescent="0.25">
      <c r="A672" t="s">
        <v>1339</v>
      </c>
      <c r="B672" t="s">
        <v>13</v>
      </c>
      <c r="C672">
        <v>46087</v>
      </c>
      <c r="D672">
        <v>46118</v>
      </c>
      <c r="E672" t="s">
        <v>775</v>
      </c>
      <c r="F672" t="s">
        <v>14</v>
      </c>
      <c r="G672">
        <v>59123136</v>
      </c>
      <c r="H672" t="s">
        <v>859</v>
      </c>
      <c r="I672">
        <v>43624414</v>
      </c>
      <c r="J672" t="s">
        <v>14</v>
      </c>
      <c r="K672" t="s">
        <v>18</v>
      </c>
      <c r="M672" s="10">
        <v>6300000</v>
      </c>
      <c r="N672" t="s">
        <v>704</v>
      </c>
      <c r="Q672" s="11" t="s">
        <v>1036</v>
      </c>
    </row>
    <row r="673" spans="1:17" x14ac:dyDescent="0.25">
      <c r="A673" t="s">
        <v>1340</v>
      </c>
      <c r="B673" t="s">
        <v>13</v>
      </c>
      <c r="C673">
        <v>46087</v>
      </c>
      <c r="D673">
        <v>46148</v>
      </c>
      <c r="E673" t="s">
        <v>775</v>
      </c>
      <c r="F673" t="s">
        <v>14</v>
      </c>
      <c r="G673">
        <v>27456421</v>
      </c>
      <c r="H673" t="s">
        <v>608</v>
      </c>
      <c r="I673">
        <v>98390119</v>
      </c>
      <c r="J673" t="s">
        <v>14</v>
      </c>
      <c r="K673" t="s">
        <v>63</v>
      </c>
      <c r="M673" s="10">
        <v>12600000</v>
      </c>
      <c r="N673" t="s">
        <v>704</v>
      </c>
      <c r="Q673" s="11" t="s">
        <v>1036</v>
      </c>
    </row>
    <row r="674" spans="1:17" x14ac:dyDescent="0.25">
      <c r="A674" t="s">
        <v>1341</v>
      </c>
      <c r="B674" t="s">
        <v>13</v>
      </c>
      <c r="C674">
        <v>46087</v>
      </c>
      <c r="D674">
        <v>46203</v>
      </c>
      <c r="E674" t="s">
        <v>775</v>
      </c>
      <c r="F674" t="s">
        <v>14</v>
      </c>
      <c r="G674">
        <v>1085246134</v>
      </c>
      <c r="H674" t="s">
        <v>691</v>
      </c>
      <c r="I674">
        <v>98333941</v>
      </c>
      <c r="J674" t="s">
        <v>14</v>
      </c>
      <c r="K674" t="s">
        <v>15</v>
      </c>
      <c r="M674" s="10">
        <v>25200000</v>
      </c>
      <c r="N674" t="s">
        <v>704</v>
      </c>
      <c r="Q674" s="11" t="s">
        <v>1036</v>
      </c>
    </row>
    <row r="675" spans="1:17" x14ac:dyDescent="0.25">
      <c r="A675" t="s">
        <v>1342</v>
      </c>
      <c r="B675" t="s">
        <v>13</v>
      </c>
      <c r="C675">
        <v>46090</v>
      </c>
      <c r="D675">
        <v>46203</v>
      </c>
      <c r="E675" t="s">
        <v>744</v>
      </c>
      <c r="F675" t="s">
        <v>14</v>
      </c>
      <c r="G675">
        <v>59651018</v>
      </c>
      <c r="H675" t="s">
        <v>839</v>
      </c>
      <c r="I675">
        <v>98333941</v>
      </c>
      <c r="J675" t="s">
        <v>14</v>
      </c>
      <c r="K675" t="s">
        <v>15</v>
      </c>
      <c r="M675" s="10">
        <v>18920000</v>
      </c>
      <c r="N675" t="s">
        <v>704</v>
      </c>
      <c r="Q675" s="11" t="s">
        <v>1036</v>
      </c>
    </row>
    <row r="676" spans="1:17" x14ac:dyDescent="0.25">
      <c r="A676" t="s">
        <v>1343</v>
      </c>
      <c r="B676" t="s">
        <v>13</v>
      </c>
      <c r="C676">
        <v>46090</v>
      </c>
      <c r="D676">
        <v>46151</v>
      </c>
      <c r="E676" t="s">
        <v>775</v>
      </c>
      <c r="F676" t="s">
        <v>14</v>
      </c>
      <c r="G676">
        <v>59830040</v>
      </c>
      <c r="H676" t="s">
        <v>76</v>
      </c>
      <c r="I676">
        <v>59836926</v>
      </c>
      <c r="J676" t="s">
        <v>14</v>
      </c>
      <c r="K676" t="s">
        <v>17</v>
      </c>
      <c r="M676" s="10">
        <v>6300000</v>
      </c>
      <c r="N676" t="s">
        <v>704</v>
      </c>
      <c r="Q676" s="11" t="s">
        <v>1036</v>
      </c>
    </row>
    <row r="677" spans="1:17" x14ac:dyDescent="0.25">
      <c r="A677" t="s">
        <v>1344</v>
      </c>
      <c r="B677" t="s">
        <v>13</v>
      </c>
      <c r="C677">
        <v>46090</v>
      </c>
      <c r="D677">
        <v>46151</v>
      </c>
      <c r="E677" t="s">
        <v>775</v>
      </c>
      <c r="F677" t="s">
        <v>14</v>
      </c>
      <c r="G677">
        <v>1085254153</v>
      </c>
      <c r="H677" t="s">
        <v>308</v>
      </c>
      <c r="I677">
        <v>59836926</v>
      </c>
      <c r="J677" t="s">
        <v>14</v>
      </c>
      <c r="K677" t="s">
        <v>17</v>
      </c>
      <c r="M677" s="10">
        <v>12600000</v>
      </c>
      <c r="N677" t="s">
        <v>704</v>
      </c>
      <c r="Q677" s="11" t="s">
        <v>1036</v>
      </c>
    </row>
    <row r="678" spans="1:17" x14ac:dyDescent="0.25">
      <c r="A678" t="s">
        <v>1345</v>
      </c>
      <c r="B678" t="s">
        <v>13</v>
      </c>
      <c r="C678">
        <v>46090</v>
      </c>
      <c r="D678">
        <v>46203</v>
      </c>
      <c r="E678" t="s">
        <v>775</v>
      </c>
      <c r="F678" t="s">
        <v>14</v>
      </c>
      <c r="G678">
        <v>1004339825</v>
      </c>
      <c r="H678" t="s">
        <v>957</v>
      </c>
      <c r="I678">
        <v>98390119</v>
      </c>
      <c r="J678" t="s">
        <v>14</v>
      </c>
      <c r="K678" t="s">
        <v>63</v>
      </c>
      <c r="M678" s="10">
        <v>12600000</v>
      </c>
      <c r="N678" t="s">
        <v>704</v>
      </c>
      <c r="Q678" s="11" t="s">
        <v>1036</v>
      </c>
    </row>
    <row r="679" spans="1:17" x14ac:dyDescent="0.25">
      <c r="A679" t="s">
        <v>1346</v>
      </c>
      <c r="B679" t="s">
        <v>13</v>
      </c>
      <c r="C679">
        <v>46090</v>
      </c>
      <c r="D679">
        <v>46182</v>
      </c>
      <c r="E679" t="s">
        <v>744</v>
      </c>
      <c r="F679" t="s">
        <v>14</v>
      </c>
      <c r="G679">
        <v>1085333467</v>
      </c>
      <c r="H679" t="s">
        <v>595</v>
      </c>
      <c r="I679">
        <v>59836926</v>
      </c>
      <c r="J679" t="s">
        <v>14</v>
      </c>
      <c r="K679" t="s">
        <v>17</v>
      </c>
      <c r="M679" s="10">
        <v>14190000</v>
      </c>
      <c r="N679" t="s">
        <v>704</v>
      </c>
      <c r="Q679" s="11" t="s">
        <v>1036</v>
      </c>
    </row>
    <row r="680" spans="1:17" x14ac:dyDescent="0.25">
      <c r="A680" t="s">
        <v>1347</v>
      </c>
      <c r="B680" t="s">
        <v>13</v>
      </c>
      <c r="C680">
        <v>46090</v>
      </c>
      <c r="D680">
        <v>46182</v>
      </c>
      <c r="E680" t="s">
        <v>775</v>
      </c>
      <c r="F680" t="s">
        <v>14</v>
      </c>
      <c r="G680">
        <v>59313528</v>
      </c>
      <c r="H680" t="s">
        <v>948</v>
      </c>
      <c r="I680">
        <v>59836926</v>
      </c>
      <c r="J680" t="s">
        <v>14</v>
      </c>
      <c r="K680" t="s">
        <v>17</v>
      </c>
      <c r="M680" s="10">
        <v>18900000</v>
      </c>
      <c r="N680" t="s">
        <v>704</v>
      </c>
      <c r="Q680" s="11" t="s">
        <v>1036</v>
      </c>
    </row>
    <row r="681" spans="1:17" x14ac:dyDescent="0.25">
      <c r="A681" t="s">
        <v>1348</v>
      </c>
      <c r="B681" t="s">
        <v>13</v>
      </c>
      <c r="C681">
        <v>46090</v>
      </c>
      <c r="D681">
        <v>46203</v>
      </c>
      <c r="E681" t="s">
        <v>775</v>
      </c>
      <c r="F681" t="s">
        <v>14</v>
      </c>
      <c r="G681">
        <v>1004726621</v>
      </c>
      <c r="H681" t="s">
        <v>560</v>
      </c>
      <c r="I681">
        <v>98390119</v>
      </c>
      <c r="J681" t="s">
        <v>14</v>
      </c>
      <c r="K681" t="s">
        <v>63</v>
      </c>
      <c r="M681" s="10">
        <v>12600000</v>
      </c>
      <c r="N681" t="s">
        <v>704</v>
      </c>
      <c r="Q681" s="11" t="s">
        <v>1036</v>
      </c>
    </row>
    <row r="682" spans="1:17" x14ac:dyDescent="0.25">
      <c r="A682" t="s">
        <v>1349</v>
      </c>
      <c r="B682" t="s">
        <v>13</v>
      </c>
      <c r="C682">
        <v>46090</v>
      </c>
      <c r="D682">
        <v>46203</v>
      </c>
      <c r="E682" t="s">
        <v>775</v>
      </c>
      <c r="F682" t="s">
        <v>14</v>
      </c>
      <c r="G682">
        <v>1085315209</v>
      </c>
      <c r="H682" t="s">
        <v>643</v>
      </c>
      <c r="I682">
        <v>43624414</v>
      </c>
      <c r="J682" t="s">
        <v>14</v>
      </c>
      <c r="K682" t="s">
        <v>18</v>
      </c>
      <c r="M682" s="10">
        <v>12600000</v>
      </c>
      <c r="N682" t="s">
        <v>704</v>
      </c>
      <c r="Q682" s="11" t="s">
        <v>1036</v>
      </c>
    </row>
    <row r="683" spans="1:17" x14ac:dyDescent="0.25">
      <c r="A683" t="s">
        <v>1350</v>
      </c>
      <c r="B683" t="s">
        <v>13</v>
      </c>
      <c r="C683">
        <v>46090</v>
      </c>
      <c r="D683">
        <v>46203</v>
      </c>
      <c r="E683" t="s">
        <v>775</v>
      </c>
      <c r="F683" t="s">
        <v>14</v>
      </c>
      <c r="G683">
        <v>59813323</v>
      </c>
      <c r="H683" t="s">
        <v>74</v>
      </c>
      <c r="I683">
        <v>98333941</v>
      </c>
      <c r="J683" t="s">
        <v>14</v>
      </c>
      <c r="K683" t="s">
        <v>15</v>
      </c>
      <c r="M683" s="10">
        <v>12600000</v>
      </c>
      <c r="N683" t="s">
        <v>704</v>
      </c>
      <c r="Q683" s="11" t="s">
        <v>1036</v>
      </c>
    </row>
    <row r="684" spans="1:17" x14ac:dyDescent="0.25">
      <c r="A684" t="s">
        <v>1351</v>
      </c>
      <c r="B684" t="s">
        <v>13</v>
      </c>
      <c r="C684">
        <v>46090</v>
      </c>
      <c r="D684">
        <v>46182</v>
      </c>
      <c r="E684" t="s">
        <v>775</v>
      </c>
      <c r="F684" t="s">
        <v>14</v>
      </c>
      <c r="G684">
        <v>1193035720</v>
      </c>
      <c r="H684" t="s">
        <v>904</v>
      </c>
      <c r="I684">
        <v>43624414</v>
      </c>
      <c r="J684" t="s">
        <v>14</v>
      </c>
      <c r="K684" t="s">
        <v>18</v>
      </c>
      <c r="M684" s="10">
        <v>9450000</v>
      </c>
      <c r="N684" t="s">
        <v>704</v>
      </c>
      <c r="Q684" s="11" t="s">
        <v>1036</v>
      </c>
    </row>
    <row r="685" spans="1:17" x14ac:dyDescent="0.25">
      <c r="A685" t="s">
        <v>1352</v>
      </c>
      <c r="B685" t="s">
        <v>13</v>
      </c>
      <c r="C685">
        <v>46090</v>
      </c>
      <c r="D685">
        <v>46182</v>
      </c>
      <c r="E685" t="s">
        <v>775</v>
      </c>
      <c r="F685" t="s">
        <v>14</v>
      </c>
      <c r="G685">
        <v>1085277976</v>
      </c>
      <c r="H685" t="s">
        <v>681</v>
      </c>
      <c r="I685">
        <v>43624414</v>
      </c>
      <c r="J685" t="s">
        <v>14</v>
      </c>
      <c r="K685" t="s">
        <v>18</v>
      </c>
      <c r="M685" s="10">
        <v>18900000</v>
      </c>
      <c r="N685" t="s">
        <v>704</v>
      </c>
      <c r="Q685" s="11" t="s">
        <v>1036</v>
      </c>
    </row>
    <row r="686" spans="1:17" x14ac:dyDescent="0.25">
      <c r="A686" t="s">
        <v>1353</v>
      </c>
      <c r="B686" t="s">
        <v>13</v>
      </c>
      <c r="C686">
        <v>46090</v>
      </c>
      <c r="D686">
        <v>46203</v>
      </c>
      <c r="E686" t="s">
        <v>775</v>
      </c>
      <c r="F686" t="s">
        <v>14</v>
      </c>
      <c r="G686">
        <v>1004437571</v>
      </c>
      <c r="H686" t="s">
        <v>381</v>
      </c>
      <c r="I686">
        <v>59836926</v>
      </c>
      <c r="J686" t="s">
        <v>14</v>
      </c>
      <c r="K686" t="s">
        <v>17</v>
      </c>
      <c r="M686" s="10">
        <v>12600000</v>
      </c>
      <c r="N686" t="s">
        <v>704</v>
      </c>
      <c r="Q686" s="11" t="s">
        <v>1036</v>
      </c>
    </row>
    <row r="687" spans="1:17" x14ac:dyDescent="0.25">
      <c r="A687" t="s">
        <v>1354</v>
      </c>
      <c r="B687" t="s">
        <v>13</v>
      </c>
      <c r="C687">
        <v>46090</v>
      </c>
      <c r="D687">
        <v>46203</v>
      </c>
      <c r="E687" t="s">
        <v>775</v>
      </c>
      <c r="F687" t="s">
        <v>14</v>
      </c>
      <c r="G687">
        <v>59122805</v>
      </c>
      <c r="H687" t="s">
        <v>463</v>
      </c>
      <c r="I687">
        <v>98333941</v>
      </c>
      <c r="J687" t="s">
        <v>14</v>
      </c>
      <c r="K687" t="s">
        <v>15</v>
      </c>
      <c r="M687" s="10">
        <v>12600000</v>
      </c>
      <c r="N687" t="s">
        <v>704</v>
      </c>
      <c r="Q687" s="11" t="s">
        <v>1036</v>
      </c>
    </row>
    <row r="688" spans="1:17" x14ac:dyDescent="0.25">
      <c r="A688" t="s">
        <v>1355</v>
      </c>
      <c r="B688" t="s">
        <v>13</v>
      </c>
      <c r="C688">
        <v>46090</v>
      </c>
      <c r="D688">
        <v>46182</v>
      </c>
      <c r="E688" t="s">
        <v>775</v>
      </c>
      <c r="F688" t="s">
        <v>14</v>
      </c>
      <c r="G688">
        <v>87030128</v>
      </c>
      <c r="H688" t="s">
        <v>101</v>
      </c>
      <c r="I688">
        <v>59836926</v>
      </c>
      <c r="J688" t="s">
        <v>14</v>
      </c>
      <c r="K688" t="s">
        <v>17</v>
      </c>
      <c r="M688" s="10">
        <v>9450000</v>
      </c>
      <c r="N688" t="s">
        <v>704</v>
      </c>
      <c r="Q688" s="11" t="s">
        <v>1036</v>
      </c>
    </row>
    <row r="689" spans="1:17" x14ac:dyDescent="0.25">
      <c r="A689" t="s">
        <v>1356</v>
      </c>
      <c r="B689" t="s">
        <v>13</v>
      </c>
      <c r="C689">
        <v>46091</v>
      </c>
      <c r="D689">
        <v>46183</v>
      </c>
      <c r="E689" t="s">
        <v>775</v>
      </c>
      <c r="F689" t="s">
        <v>14</v>
      </c>
      <c r="G689">
        <v>1004134014</v>
      </c>
      <c r="H689" t="s">
        <v>633</v>
      </c>
      <c r="I689">
        <v>43624414</v>
      </c>
      <c r="J689" t="s">
        <v>14</v>
      </c>
      <c r="K689" t="s">
        <v>18</v>
      </c>
      <c r="M689" s="10">
        <v>9450000</v>
      </c>
      <c r="N689" t="s">
        <v>704</v>
      </c>
      <c r="Q689" s="11" t="s">
        <v>1036</v>
      </c>
    </row>
    <row r="690" spans="1:17" x14ac:dyDescent="0.25">
      <c r="A690" t="s">
        <v>1357</v>
      </c>
      <c r="B690" t="s">
        <v>13</v>
      </c>
      <c r="C690">
        <v>46091</v>
      </c>
      <c r="D690">
        <v>46213</v>
      </c>
      <c r="E690" t="s">
        <v>775</v>
      </c>
      <c r="F690" t="s">
        <v>14</v>
      </c>
      <c r="G690">
        <v>1081572043</v>
      </c>
      <c r="H690" t="s">
        <v>54</v>
      </c>
      <c r="I690">
        <v>98333941</v>
      </c>
      <c r="J690" t="s">
        <v>14</v>
      </c>
      <c r="K690" t="s">
        <v>15</v>
      </c>
      <c r="M690" s="10">
        <v>12600000</v>
      </c>
      <c r="N690" t="s">
        <v>704</v>
      </c>
      <c r="Q690" s="11" t="s">
        <v>1036</v>
      </c>
    </row>
    <row r="691" spans="1:17" x14ac:dyDescent="0.25">
      <c r="A691" t="s">
        <v>1358</v>
      </c>
      <c r="B691" t="s">
        <v>13</v>
      </c>
      <c r="C691">
        <v>46092</v>
      </c>
      <c r="D691">
        <v>46184</v>
      </c>
      <c r="E691" t="s">
        <v>775</v>
      </c>
      <c r="F691" t="s">
        <v>14</v>
      </c>
      <c r="G691">
        <v>36758868</v>
      </c>
      <c r="H691" t="s">
        <v>936</v>
      </c>
      <c r="I691">
        <v>43624414</v>
      </c>
      <c r="J691" t="s">
        <v>14</v>
      </c>
      <c r="K691" t="s">
        <v>18</v>
      </c>
      <c r="M691" s="10">
        <v>9450000</v>
      </c>
      <c r="N691" t="s">
        <v>704</v>
      </c>
      <c r="Q691" s="11" t="s">
        <v>1036</v>
      </c>
    </row>
    <row r="692" spans="1:17" x14ac:dyDescent="0.25">
      <c r="A692" t="s">
        <v>1359</v>
      </c>
      <c r="B692" t="s">
        <v>13</v>
      </c>
      <c r="C692">
        <v>46093</v>
      </c>
      <c r="D692">
        <v>46185</v>
      </c>
      <c r="E692" t="s">
        <v>775</v>
      </c>
      <c r="F692" t="s">
        <v>14</v>
      </c>
      <c r="G692">
        <v>1053793750</v>
      </c>
      <c r="H692" t="s">
        <v>261</v>
      </c>
      <c r="I692">
        <v>98390119</v>
      </c>
      <c r="J692" t="s">
        <v>14</v>
      </c>
      <c r="K692" t="s">
        <v>63</v>
      </c>
      <c r="M692" s="10">
        <v>18900000</v>
      </c>
      <c r="N692" t="s">
        <v>704</v>
      </c>
      <c r="Q692" s="11" t="s">
        <v>1036</v>
      </c>
    </row>
    <row r="693" spans="1:17" x14ac:dyDescent="0.25">
      <c r="A693" t="s">
        <v>1360</v>
      </c>
      <c r="B693" t="s">
        <v>13</v>
      </c>
      <c r="C693">
        <v>46093</v>
      </c>
      <c r="D693">
        <v>46185</v>
      </c>
      <c r="E693" t="s">
        <v>775</v>
      </c>
      <c r="F693" t="s">
        <v>14</v>
      </c>
      <c r="G693">
        <v>1086298268</v>
      </c>
      <c r="H693" t="s">
        <v>916</v>
      </c>
      <c r="I693">
        <v>98390119</v>
      </c>
      <c r="J693" t="s">
        <v>14</v>
      </c>
      <c r="K693" t="s">
        <v>63</v>
      </c>
      <c r="M693" s="10">
        <v>9450000</v>
      </c>
      <c r="N693" t="s">
        <v>704</v>
      </c>
      <c r="Q693" s="11" t="s">
        <v>1036</v>
      </c>
    </row>
    <row r="694" spans="1:17" x14ac:dyDescent="0.25">
      <c r="A694" t="s">
        <v>1361</v>
      </c>
      <c r="B694" t="s">
        <v>13</v>
      </c>
      <c r="C694">
        <v>46093</v>
      </c>
      <c r="D694">
        <v>46185</v>
      </c>
      <c r="E694" t="s">
        <v>775</v>
      </c>
      <c r="F694" t="s">
        <v>14</v>
      </c>
      <c r="G694">
        <v>1004131976</v>
      </c>
      <c r="H694" t="s">
        <v>291</v>
      </c>
      <c r="I694">
        <v>98390119</v>
      </c>
      <c r="J694" t="s">
        <v>14</v>
      </c>
      <c r="K694" t="s">
        <v>63</v>
      </c>
      <c r="M694" s="10">
        <v>9450000</v>
      </c>
      <c r="N694" t="s">
        <v>704</v>
      </c>
      <c r="Q694" s="11" t="s">
        <v>1036</v>
      </c>
    </row>
    <row r="695" spans="1:17" x14ac:dyDescent="0.25">
      <c r="A695" t="s">
        <v>1362</v>
      </c>
      <c r="B695" t="s">
        <v>13</v>
      </c>
      <c r="C695">
        <v>46094</v>
      </c>
      <c r="D695">
        <v>46155</v>
      </c>
      <c r="E695" t="s">
        <v>744</v>
      </c>
      <c r="F695" t="s">
        <v>14</v>
      </c>
      <c r="G695">
        <v>42144372</v>
      </c>
      <c r="H695" t="s">
        <v>855</v>
      </c>
      <c r="I695">
        <v>98390119</v>
      </c>
      <c r="J695" t="s">
        <v>14</v>
      </c>
      <c r="K695" t="s">
        <v>63</v>
      </c>
      <c r="M695" s="10">
        <v>15600000</v>
      </c>
      <c r="N695" t="s">
        <v>704</v>
      </c>
      <c r="Q695" s="11" t="s">
        <v>1036</v>
      </c>
    </row>
    <row r="696" spans="1:17" x14ac:dyDescent="0.25">
      <c r="A696" t="s">
        <v>1363</v>
      </c>
      <c r="B696" t="s">
        <v>13</v>
      </c>
      <c r="C696">
        <v>46094</v>
      </c>
      <c r="D696">
        <v>46125</v>
      </c>
      <c r="E696" t="s">
        <v>793</v>
      </c>
      <c r="F696" t="s">
        <v>14</v>
      </c>
      <c r="G696">
        <v>87070742</v>
      </c>
      <c r="H696" t="s">
        <v>556</v>
      </c>
      <c r="I696">
        <v>98390119</v>
      </c>
      <c r="J696" t="s">
        <v>14</v>
      </c>
      <c r="K696" t="s">
        <v>63</v>
      </c>
      <c r="M696" s="10">
        <v>2000000</v>
      </c>
      <c r="N696" t="s">
        <v>704</v>
      </c>
      <c r="Q696" s="11" t="s">
        <v>1036</v>
      </c>
    </row>
    <row r="697" spans="1:17" x14ac:dyDescent="0.25">
      <c r="A697" t="s">
        <v>1364</v>
      </c>
      <c r="B697" t="s">
        <v>13</v>
      </c>
      <c r="C697">
        <v>46097</v>
      </c>
      <c r="D697">
        <v>46158</v>
      </c>
      <c r="E697" t="s">
        <v>775</v>
      </c>
      <c r="F697" t="s">
        <v>14</v>
      </c>
      <c r="G697">
        <v>1233192104</v>
      </c>
      <c r="H697" t="s">
        <v>514</v>
      </c>
      <c r="I697">
        <v>59836926</v>
      </c>
      <c r="J697" t="s">
        <v>14</v>
      </c>
      <c r="K697" t="s">
        <v>17</v>
      </c>
      <c r="M697" s="10">
        <v>6300000</v>
      </c>
      <c r="N697" t="s">
        <v>704</v>
      </c>
      <c r="Q697" s="11" t="s">
        <v>1036</v>
      </c>
    </row>
    <row r="698" spans="1:17" x14ac:dyDescent="0.25">
      <c r="A698" t="s">
        <v>1365</v>
      </c>
      <c r="B698" t="s">
        <v>13</v>
      </c>
      <c r="C698">
        <v>46098</v>
      </c>
      <c r="D698">
        <v>46203</v>
      </c>
      <c r="E698" t="s">
        <v>775</v>
      </c>
      <c r="F698" t="s">
        <v>14</v>
      </c>
      <c r="G698">
        <v>1085317652</v>
      </c>
      <c r="H698" t="s">
        <v>962</v>
      </c>
      <c r="I698">
        <v>43624414</v>
      </c>
      <c r="J698" t="s">
        <v>14</v>
      </c>
      <c r="K698" t="s">
        <v>18</v>
      </c>
      <c r="M698" s="10">
        <v>11550000</v>
      </c>
      <c r="N698" t="s">
        <v>704</v>
      </c>
      <c r="Q698" s="11" t="s">
        <v>1036</v>
      </c>
    </row>
    <row r="699" spans="1:17" x14ac:dyDescent="0.25">
      <c r="A699" s="6" t="s">
        <v>373</v>
      </c>
      <c r="B699" s="6" t="s">
        <v>13</v>
      </c>
      <c r="C699" s="6">
        <v>45940</v>
      </c>
      <c r="D699" s="6">
        <v>46022</v>
      </c>
      <c r="E699" s="6" t="s">
        <v>744</v>
      </c>
      <c r="F699" s="6" t="s">
        <v>14</v>
      </c>
      <c r="G699" s="6">
        <v>98394849</v>
      </c>
      <c r="H699" s="6" t="s">
        <v>374</v>
      </c>
      <c r="I699" s="6">
        <v>43624414</v>
      </c>
      <c r="J699" s="6" t="s">
        <v>14</v>
      </c>
      <c r="K699" s="6" t="s">
        <v>18</v>
      </c>
      <c r="L699" s="7">
        <v>0</v>
      </c>
      <c r="M699" s="7">
        <v>14190000</v>
      </c>
      <c r="N699" s="6" t="s">
        <v>704</v>
      </c>
      <c r="O699" s="7">
        <f t="shared" ref="O699:O718" si="12">M699-L699</f>
        <v>14190000</v>
      </c>
      <c r="P699" s="2" t="s">
        <v>827</v>
      </c>
      <c r="Q699" t="s">
        <v>833</v>
      </c>
    </row>
    <row r="700" spans="1:17" x14ac:dyDescent="0.25">
      <c r="A700" s="3" t="s">
        <v>106</v>
      </c>
      <c r="B700" s="4" t="s">
        <v>13</v>
      </c>
      <c r="C700" s="4">
        <v>45940</v>
      </c>
      <c r="D700" s="4">
        <v>46022</v>
      </c>
      <c r="E700" s="4" t="s">
        <v>714</v>
      </c>
      <c r="F700" s="4" t="s">
        <v>83</v>
      </c>
      <c r="G700" s="4">
        <v>900752343</v>
      </c>
      <c r="H700" s="4" t="s">
        <v>107</v>
      </c>
      <c r="I700" s="4">
        <v>17658216</v>
      </c>
      <c r="J700" s="4" t="s">
        <v>14</v>
      </c>
      <c r="K700" s="4" t="s">
        <v>108</v>
      </c>
      <c r="L700" s="5">
        <v>352600000</v>
      </c>
      <c r="M700" s="5">
        <v>284000000</v>
      </c>
      <c r="N700" s="4" t="s">
        <v>704</v>
      </c>
      <c r="O700" s="5">
        <f t="shared" si="12"/>
        <v>-68600000</v>
      </c>
      <c r="P700" s="2" t="s">
        <v>827</v>
      </c>
      <c r="Q700" t="s">
        <v>830</v>
      </c>
    </row>
    <row r="701" spans="1:17" x14ac:dyDescent="0.25">
      <c r="A701" s="4" t="s">
        <v>169</v>
      </c>
      <c r="B701" s="4" t="s">
        <v>13</v>
      </c>
      <c r="C701" s="4">
        <v>45940</v>
      </c>
      <c r="D701" s="4">
        <v>46022</v>
      </c>
      <c r="E701" s="4" t="s">
        <v>170</v>
      </c>
      <c r="F701" s="4" t="s">
        <v>83</v>
      </c>
      <c r="G701" s="4">
        <v>900752343</v>
      </c>
      <c r="H701" s="4" t="s">
        <v>107</v>
      </c>
      <c r="I701" s="4">
        <v>17658216</v>
      </c>
      <c r="J701" s="4" t="s">
        <v>14</v>
      </c>
      <c r="K701" s="4" t="s">
        <v>108</v>
      </c>
      <c r="L701" s="5">
        <v>350950000</v>
      </c>
      <c r="M701" s="5">
        <v>281000000</v>
      </c>
      <c r="N701" s="4" t="s">
        <v>704</v>
      </c>
      <c r="O701" s="5">
        <f t="shared" si="12"/>
        <v>-69950000</v>
      </c>
      <c r="P701" s="2" t="s">
        <v>827</v>
      </c>
      <c r="Q701" t="s">
        <v>830</v>
      </c>
    </row>
    <row r="702" spans="1:17" x14ac:dyDescent="0.25">
      <c r="A702" s="8" t="s">
        <v>211</v>
      </c>
      <c r="B702" s="8" t="s">
        <v>13</v>
      </c>
      <c r="C702" s="8">
        <v>45945</v>
      </c>
      <c r="D702" s="8">
        <v>46022</v>
      </c>
      <c r="E702" s="8" t="s">
        <v>212</v>
      </c>
      <c r="F702" s="8" t="s">
        <v>83</v>
      </c>
      <c r="G702" s="8">
        <v>805021222</v>
      </c>
      <c r="H702" s="8" t="s">
        <v>81</v>
      </c>
      <c r="I702" s="8">
        <v>17658216</v>
      </c>
      <c r="J702" s="8" t="s">
        <v>14</v>
      </c>
      <c r="K702" s="8" t="s">
        <v>108</v>
      </c>
      <c r="L702" s="9">
        <v>277798390</v>
      </c>
      <c r="M702" s="9">
        <v>280000000</v>
      </c>
      <c r="N702" s="8" t="s">
        <v>704</v>
      </c>
      <c r="O702" s="9">
        <f t="shared" si="12"/>
        <v>2201610</v>
      </c>
      <c r="P702" s="2" t="s">
        <v>828</v>
      </c>
      <c r="Q702" t="s">
        <v>834</v>
      </c>
    </row>
    <row r="703" spans="1:17" x14ac:dyDescent="0.25">
      <c r="A703" s="6" t="s">
        <v>249</v>
      </c>
      <c r="B703" s="6" t="s">
        <v>13</v>
      </c>
      <c r="C703" s="6">
        <v>45947</v>
      </c>
      <c r="D703" s="6">
        <v>46022</v>
      </c>
      <c r="E703" s="6" t="s">
        <v>250</v>
      </c>
      <c r="F703" s="6" t="s">
        <v>83</v>
      </c>
      <c r="G703" s="6">
        <v>900991717</v>
      </c>
      <c r="H703" s="6" t="s">
        <v>251</v>
      </c>
      <c r="I703" s="6">
        <v>87248313</v>
      </c>
      <c r="J703" s="6" t="s">
        <v>14</v>
      </c>
      <c r="K703" s="6" t="s">
        <v>252</v>
      </c>
      <c r="L703" s="7">
        <v>0</v>
      </c>
      <c r="M703" s="7">
        <v>5357200</v>
      </c>
      <c r="N703" s="6" t="s">
        <v>704</v>
      </c>
      <c r="O703" s="7">
        <f t="shared" si="12"/>
        <v>5357200</v>
      </c>
      <c r="P703" s="2" t="s">
        <v>827</v>
      </c>
      <c r="Q703" t="s">
        <v>833</v>
      </c>
    </row>
    <row r="704" spans="1:17" x14ac:dyDescent="0.25">
      <c r="A704" s="4" t="s">
        <v>317</v>
      </c>
      <c r="B704" s="4" t="s">
        <v>13</v>
      </c>
      <c r="C704" s="4">
        <v>45951</v>
      </c>
      <c r="D704" s="4">
        <v>45981</v>
      </c>
      <c r="E704" s="4" t="s">
        <v>757</v>
      </c>
      <c r="F704" s="4" t="s">
        <v>83</v>
      </c>
      <c r="G704" s="4">
        <v>901329717</v>
      </c>
      <c r="H704" s="4" t="s">
        <v>318</v>
      </c>
      <c r="I704" s="4">
        <v>36759470</v>
      </c>
      <c r="J704" s="4" t="s">
        <v>14</v>
      </c>
      <c r="K704" s="4" t="s">
        <v>319</v>
      </c>
      <c r="L704" s="5">
        <v>216656524.10000002</v>
      </c>
      <c r="M704" s="5">
        <v>144437683</v>
      </c>
      <c r="N704" s="4" t="s">
        <v>704</v>
      </c>
      <c r="O704" s="5">
        <f t="shared" si="12"/>
        <v>-72218841.100000024</v>
      </c>
      <c r="P704" s="2" t="s">
        <v>827</v>
      </c>
      <c r="Q704" t="s">
        <v>831</v>
      </c>
    </row>
    <row r="705" spans="1:17" x14ac:dyDescent="0.25">
      <c r="A705" s="6" t="s">
        <v>213</v>
      </c>
      <c r="B705" s="6" t="s">
        <v>13</v>
      </c>
      <c r="C705" s="6">
        <v>45967</v>
      </c>
      <c r="D705" s="6">
        <v>46022</v>
      </c>
      <c r="E705" s="6" t="s">
        <v>741</v>
      </c>
      <c r="F705" s="6" t="s">
        <v>14</v>
      </c>
      <c r="G705" s="6">
        <v>1085927513</v>
      </c>
      <c r="H705" s="6" t="s">
        <v>214</v>
      </c>
      <c r="I705" s="6">
        <v>59836926</v>
      </c>
      <c r="J705" s="6" t="s">
        <v>14</v>
      </c>
      <c r="K705" s="6" t="s">
        <v>17</v>
      </c>
      <c r="L705" s="7">
        <v>0</v>
      </c>
      <c r="M705" s="7">
        <v>6300000</v>
      </c>
      <c r="N705" s="6" t="s">
        <v>704</v>
      </c>
      <c r="O705" s="7">
        <f t="shared" si="12"/>
        <v>6300000</v>
      </c>
      <c r="P705" s="2" t="s">
        <v>827</v>
      </c>
      <c r="Q705" t="s">
        <v>833</v>
      </c>
    </row>
    <row r="706" spans="1:17" x14ac:dyDescent="0.25">
      <c r="A706" s="6" t="s">
        <v>421</v>
      </c>
      <c r="B706" s="6" t="s">
        <v>13</v>
      </c>
      <c r="C706" s="6">
        <v>45971</v>
      </c>
      <c r="D706" s="6">
        <v>46022</v>
      </c>
      <c r="E706" s="6" t="s">
        <v>778</v>
      </c>
      <c r="F706" s="6" t="s">
        <v>14</v>
      </c>
      <c r="G706" s="6">
        <v>1085310626</v>
      </c>
      <c r="H706" s="6" t="s">
        <v>422</v>
      </c>
      <c r="I706" s="6">
        <v>98390119</v>
      </c>
      <c r="J706" s="6" t="s">
        <v>14</v>
      </c>
      <c r="K706" s="6" t="s">
        <v>63</v>
      </c>
      <c r="L706" s="7">
        <v>0</v>
      </c>
      <c r="M706" s="7">
        <v>6300000</v>
      </c>
      <c r="N706" s="6" t="s">
        <v>704</v>
      </c>
      <c r="O706" s="7">
        <f t="shared" si="12"/>
        <v>6300000</v>
      </c>
      <c r="P706" s="2" t="s">
        <v>827</v>
      </c>
      <c r="Q706" t="s">
        <v>833</v>
      </c>
    </row>
    <row r="707" spans="1:17" x14ac:dyDescent="0.25">
      <c r="A707" s="6" t="s">
        <v>288</v>
      </c>
      <c r="B707" s="6" t="s">
        <v>13</v>
      </c>
      <c r="C707" s="6">
        <v>45971</v>
      </c>
      <c r="D707" s="6">
        <v>46022</v>
      </c>
      <c r="E707" s="6" t="s">
        <v>715</v>
      </c>
      <c r="F707" s="6" t="s">
        <v>14</v>
      </c>
      <c r="G707" s="6">
        <v>36756798</v>
      </c>
      <c r="H707" s="6" t="s">
        <v>289</v>
      </c>
      <c r="I707" s="6">
        <v>98390119</v>
      </c>
      <c r="J707" s="6" t="s">
        <v>14</v>
      </c>
      <c r="K707" s="6" t="s">
        <v>63</v>
      </c>
      <c r="L707" s="7">
        <v>0</v>
      </c>
      <c r="M707" s="7">
        <v>4000000</v>
      </c>
      <c r="N707" s="6" t="s">
        <v>704</v>
      </c>
      <c r="O707" s="7">
        <f t="shared" si="12"/>
        <v>4000000</v>
      </c>
      <c r="P707" s="2" t="s">
        <v>827</v>
      </c>
      <c r="Q707" t="s">
        <v>833</v>
      </c>
    </row>
    <row r="708" spans="1:17" x14ac:dyDescent="0.25">
      <c r="A708" s="6" t="s">
        <v>530</v>
      </c>
      <c r="B708" s="6" t="s">
        <v>13</v>
      </c>
      <c r="C708" s="6">
        <v>45972</v>
      </c>
      <c r="D708" s="6">
        <v>46022</v>
      </c>
      <c r="E708" s="6" t="s">
        <v>793</v>
      </c>
      <c r="F708" s="6" t="s">
        <v>14</v>
      </c>
      <c r="G708" s="6">
        <v>1081274238</v>
      </c>
      <c r="H708" s="6" t="s">
        <v>531</v>
      </c>
      <c r="I708" s="6">
        <v>43624414</v>
      </c>
      <c r="J708" s="6" t="s">
        <v>14</v>
      </c>
      <c r="K708" s="6" t="s">
        <v>18</v>
      </c>
      <c r="L708" s="7">
        <v>0</v>
      </c>
      <c r="M708" s="7">
        <v>4000000</v>
      </c>
      <c r="N708" s="6" t="s">
        <v>704</v>
      </c>
      <c r="O708" s="7">
        <f t="shared" si="12"/>
        <v>4000000</v>
      </c>
      <c r="P708" s="2" t="s">
        <v>827</v>
      </c>
      <c r="Q708" t="s">
        <v>833</v>
      </c>
    </row>
    <row r="709" spans="1:17" x14ac:dyDescent="0.25">
      <c r="A709" s="6" t="s">
        <v>644</v>
      </c>
      <c r="B709" s="6" t="s">
        <v>13</v>
      </c>
      <c r="C709" s="6">
        <v>45975</v>
      </c>
      <c r="D709" s="6">
        <v>46022</v>
      </c>
      <c r="E709" s="6" t="s">
        <v>775</v>
      </c>
      <c r="F709" s="6" t="s">
        <v>14</v>
      </c>
      <c r="G709" s="6">
        <v>1085321460</v>
      </c>
      <c r="H709" s="6" t="s">
        <v>645</v>
      </c>
      <c r="I709" s="6">
        <v>43624414</v>
      </c>
      <c r="J709" s="6" t="s">
        <v>14</v>
      </c>
      <c r="K709" s="6" t="s">
        <v>18</v>
      </c>
      <c r="L709" s="7">
        <v>0</v>
      </c>
      <c r="M709" s="7">
        <v>4725000</v>
      </c>
      <c r="N709" s="6" t="s">
        <v>704</v>
      </c>
      <c r="O709" s="7">
        <f t="shared" si="12"/>
        <v>4725000</v>
      </c>
      <c r="P709" s="2" t="s">
        <v>827</v>
      </c>
      <c r="Q709" t="s">
        <v>833</v>
      </c>
    </row>
    <row r="710" spans="1:17" x14ac:dyDescent="0.25">
      <c r="A710" s="4" t="s">
        <v>688</v>
      </c>
      <c r="B710" s="4" t="s">
        <v>13</v>
      </c>
      <c r="C710" s="4">
        <v>45982</v>
      </c>
      <c r="D710" s="4">
        <v>46022</v>
      </c>
      <c r="E710" s="4" t="s">
        <v>813</v>
      </c>
      <c r="F710" s="4" t="s">
        <v>14</v>
      </c>
      <c r="G710" s="4">
        <v>1086755989</v>
      </c>
      <c r="H710" s="4" t="s">
        <v>689</v>
      </c>
      <c r="I710" s="4">
        <v>43624414</v>
      </c>
      <c r="J710" s="4" t="s">
        <v>14</v>
      </c>
      <c r="K710" s="4" t="s">
        <v>18</v>
      </c>
      <c r="L710" s="5">
        <v>9450000</v>
      </c>
      <c r="M710" s="5">
        <v>4200000</v>
      </c>
      <c r="N710" s="4" t="s">
        <v>704</v>
      </c>
      <c r="O710" s="5">
        <f t="shared" si="12"/>
        <v>-5250000</v>
      </c>
      <c r="P710" s="2" t="s">
        <v>827</v>
      </c>
      <c r="Q710" t="s">
        <v>832</v>
      </c>
    </row>
    <row r="711" spans="1:17" x14ac:dyDescent="0.25">
      <c r="A711" s="8" t="s">
        <v>696</v>
      </c>
      <c r="B711" s="8" t="s">
        <v>13</v>
      </c>
      <c r="C711" s="8">
        <v>45897</v>
      </c>
      <c r="D711" s="8">
        <v>46019</v>
      </c>
      <c r="E711" s="8" t="s">
        <v>824</v>
      </c>
      <c r="F711" s="8" t="s">
        <v>83</v>
      </c>
      <c r="G711" s="8">
        <v>900994364</v>
      </c>
      <c r="H711" s="8" t="s">
        <v>697</v>
      </c>
      <c r="I711" s="8">
        <v>13016581</v>
      </c>
      <c r="J711" s="8" t="s">
        <v>14</v>
      </c>
      <c r="K711" s="8" t="s">
        <v>698</v>
      </c>
      <c r="L711" s="9">
        <v>603185000</v>
      </c>
      <c r="M711" s="9">
        <v>605000000</v>
      </c>
      <c r="N711" s="8" t="s">
        <v>704</v>
      </c>
      <c r="O711" s="9">
        <f t="shared" si="12"/>
        <v>1815000</v>
      </c>
      <c r="P711" s="2" t="s">
        <v>828</v>
      </c>
      <c r="Q711" t="s">
        <v>834</v>
      </c>
    </row>
    <row r="712" spans="1:17" x14ac:dyDescent="0.25">
      <c r="A712" s="6" t="s">
        <v>247</v>
      </c>
      <c r="B712" s="6" t="s">
        <v>13</v>
      </c>
      <c r="C712" s="6">
        <v>45908</v>
      </c>
      <c r="D712" s="6">
        <v>46022</v>
      </c>
      <c r="E712" s="6" t="s">
        <v>706</v>
      </c>
      <c r="F712" s="6" t="s">
        <v>14</v>
      </c>
      <c r="G712" s="6">
        <v>1085745772</v>
      </c>
      <c r="H712" s="6" t="s">
        <v>248</v>
      </c>
      <c r="I712" s="6">
        <v>59836926</v>
      </c>
      <c r="J712" s="6" t="s">
        <v>14</v>
      </c>
      <c r="K712" s="6" t="s">
        <v>17</v>
      </c>
      <c r="L712" s="7">
        <v>0</v>
      </c>
      <c r="M712" s="7">
        <v>18920000</v>
      </c>
      <c r="N712" s="6" t="s">
        <v>704</v>
      </c>
      <c r="O712" s="7">
        <f t="shared" si="12"/>
        <v>18920000</v>
      </c>
      <c r="P712" s="2" t="s">
        <v>827</v>
      </c>
      <c r="Q712" t="s">
        <v>833</v>
      </c>
    </row>
    <row r="713" spans="1:17" x14ac:dyDescent="0.25">
      <c r="A713" s="6" t="s">
        <v>549</v>
      </c>
      <c r="B713" s="6" t="s">
        <v>13</v>
      </c>
      <c r="C713" s="6">
        <v>45908</v>
      </c>
      <c r="D713" s="6">
        <v>46022</v>
      </c>
      <c r="E713" s="6" t="s">
        <v>710</v>
      </c>
      <c r="F713" s="6" t="s">
        <v>14</v>
      </c>
      <c r="G713" s="6">
        <v>1086224562</v>
      </c>
      <c r="H713" s="6" t="s">
        <v>550</v>
      </c>
      <c r="I713" s="6">
        <v>98333941</v>
      </c>
      <c r="J713" s="6" t="s">
        <v>14</v>
      </c>
      <c r="K713" s="6" t="s">
        <v>15</v>
      </c>
      <c r="L713" s="7">
        <v>0</v>
      </c>
      <c r="M713" s="7">
        <v>31200000</v>
      </c>
      <c r="N713" s="6" t="s">
        <v>704</v>
      </c>
      <c r="O713" s="7">
        <f t="shared" si="12"/>
        <v>31200000</v>
      </c>
      <c r="P713" s="2" t="s">
        <v>827</v>
      </c>
      <c r="Q713" t="s">
        <v>833</v>
      </c>
    </row>
    <row r="714" spans="1:17" x14ac:dyDescent="0.25">
      <c r="A714" s="8" t="s">
        <v>701</v>
      </c>
      <c r="B714" s="8" t="s">
        <v>13</v>
      </c>
      <c r="C714" s="8">
        <v>45912</v>
      </c>
      <c r="D714" s="8">
        <v>46022</v>
      </c>
      <c r="E714" s="8" t="s">
        <v>826</v>
      </c>
      <c r="F714" s="8" t="s">
        <v>83</v>
      </c>
      <c r="G714" s="8">
        <v>805021222</v>
      </c>
      <c r="H714" s="8" t="s">
        <v>702</v>
      </c>
      <c r="I714" s="8">
        <v>17658216</v>
      </c>
      <c r="J714" s="8" t="s">
        <v>14</v>
      </c>
      <c r="K714" s="8" t="s">
        <v>82</v>
      </c>
      <c r="L714" s="9">
        <v>258316240</v>
      </c>
      <c r="M714" s="9">
        <v>270000000</v>
      </c>
      <c r="N714" s="8" t="s">
        <v>704</v>
      </c>
      <c r="O714" s="9">
        <f t="shared" si="12"/>
        <v>11683760</v>
      </c>
      <c r="P714" s="2" t="s">
        <v>828</v>
      </c>
      <c r="Q714" t="s">
        <v>834</v>
      </c>
    </row>
    <row r="715" spans="1:17" x14ac:dyDescent="0.25">
      <c r="A715" s="6" t="s">
        <v>617</v>
      </c>
      <c r="B715" s="6" t="s">
        <v>13</v>
      </c>
      <c r="C715" s="6">
        <v>45923</v>
      </c>
      <c r="D715" s="6">
        <v>46022</v>
      </c>
      <c r="E715" s="6" t="s">
        <v>716</v>
      </c>
      <c r="F715" s="6" t="s">
        <v>14</v>
      </c>
      <c r="G715" s="6">
        <v>1004190710</v>
      </c>
      <c r="H715" s="6" t="s">
        <v>618</v>
      </c>
      <c r="I715" s="6">
        <v>98333941</v>
      </c>
      <c r="J715" s="6" t="s">
        <v>14</v>
      </c>
      <c r="K715" s="6" t="s">
        <v>15</v>
      </c>
      <c r="L715" s="7">
        <v>0</v>
      </c>
      <c r="M715" s="7">
        <v>11025000</v>
      </c>
      <c r="N715" s="6" t="s">
        <v>704</v>
      </c>
      <c r="O715" s="7">
        <f t="shared" si="12"/>
        <v>11025000</v>
      </c>
      <c r="P715" s="2" t="s">
        <v>827</v>
      </c>
      <c r="Q715" t="s">
        <v>833</v>
      </c>
    </row>
    <row r="716" spans="1:17" x14ac:dyDescent="0.25">
      <c r="A716" s="6" t="s">
        <v>127</v>
      </c>
      <c r="B716" s="6" t="s">
        <v>13</v>
      </c>
      <c r="C716" s="6">
        <v>45929</v>
      </c>
      <c r="D716" s="6">
        <v>46022</v>
      </c>
      <c r="E716" s="6" t="s">
        <v>720</v>
      </c>
      <c r="F716" s="6" t="s">
        <v>14</v>
      </c>
      <c r="G716" s="6">
        <v>1004666616</v>
      </c>
      <c r="H716" s="6" t="s">
        <v>128</v>
      </c>
      <c r="I716" s="6">
        <v>98390119</v>
      </c>
      <c r="J716" s="6" t="s">
        <v>14</v>
      </c>
      <c r="K716" s="6" t="s">
        <v>63</v>
      </c>
      <c r="L716" s="7">
        <v>0</v>
      </c>
      <c r="M716" s="7">
        <v>9450000</v>
      </c>
      <c r="N716" s="6" t="s">
        <v>704</v>
      </c>
      <c r="O716" s="7">
        <f t="shared" si="12"/>
        <v>9450000</v>
      </c>
      <c r="P716" s="2" t="s">
        <v>827</v>
      </c>
      <c r="Q716" t="s">
        <v>833</v>
      </c>
    </row>
    <row r="717" spans="1:17" x14ac:dyDescent="0.25">
      <c r="A717" s="6" t="s">
        <v>580</v>
      </c>
      <c r="B717" s="6" t="s">
        <v>13</v>
      </c>
      <c r="C717" s="6">
        <v>45930</v>
      </c>
      <c r="D717" s="6">
        <v>46022</v>
      </c>
      <c r="E717" s="6" t="s">
        <v>806</v>
      </c>
      <c r="F717" s="6" t="s">
        <v>14</v>
      </c>
      <c r="G717" s="6">
        <v>1085310606</v>
      </c>
      <c r="H717" s="6" t="s">
        <v>581</v>
      </c>
      <c r="I717" s="6">
        <v>98390119</v>
      </c>
      <c r="J717" s="6" t="s">
        <v>14</v>
      </c>
      <c r="K717" s="6" t="s">
        <v>63</v>
      </c>
      <c r="L717" s="7">
        <v>0</v>
      </c>
      <c r="M717" s="7">
        <v>9450000</v>
      </c>
      <c r="N717" s="6" t="s">
        <v>704</v>
      </c>
      <c r="O717" s="7">
        <f t="shared" si="12"/>
        <v>9450000</v>
      </c>
      <c r="P717" s="2" t="s">
        <v>827</v>
      </c>
      <c r="Q717" t="s">
        <v>833</v>
      </c>
    </row>
    <row r="718" spans="1:17" x14ac:dyDescent="0.25">
      <c r="A718" s="6" t="s">
        <v>115</v>
      </c>
      <c r="B718" s="6" t="s">
        <v>13</v>
      </c>
      <c r="C718" s="6">
        <v>45931</v>
      </c>
      <c r="D718" s="6">
        <v>46022</v>
      </c>
      <c r="E718" s="6" t="s">
        <v>716</v>
      </c>
      <c r="F718" s="6" t="s">
        <v>14</v>
      </c>
      <c r="G718" s="6">
        <v>1004217101</v>
      </c>
      <c r="H718" s="6" t="s">
        <v>116</v>
      </c>
      <c r="I718" s="6">
        <v>98390119</v>
      </c>
      <c r="J718" s="6" t="s">
        <v>14</v>
      </c>
      <c r="K718" s="6" t="s">
        <v>63</v>
      </c>
      <c r="L718" s="7">
        <v>0</v>
      </c>
      <c r="M718" s="7">
        <v>9450000</v>
      </c>
      <c r="N718" s="6" t="s">
        <v>704</v>
      </c>
      <c r="O718" s="7">
        <f t="shared" si="12"/>
        <v>9450000</v>
      </c>
      <c r="P718" s="2" t="s">
        <v>827</v>
      </c>
      <c r="Q718" t="s">
        <v>833</v>
      </c>
    </row>
    <row r="719" spans="1:17" x14ac:dyDescent="0.25">
      <c r="A719" s="38" t="s">
        <v>982</v>
      </c>
      <c r="B719" s="38" t="s">
        <v>13</v>
      </c>
      <c r="C719" s="39">
        <v>46024</v>
      </c>
      <c r="D719" s="39">
        <v>46112</v>
      </c>
      <c r="E719" s="37" t="s">
        <v>1381</v>
      </c>
      <c r="F719" s="38" t="s">
        <v>83</v>
      </c>
      <c r="G719" s="37">
        <v>900752343</v>
      </c>
      <c r="H719" s="37" t="s">
        <v>107</v>
      </c>
      <c r="I719" s="38">
        <v>17658216</v>
      </c>
      <c r="J719" s="38" t="s">
        <v>14</v>
      </c>
      <c r="K719" s="38" t="s">
        <v>108</v>
      </c>
      <c r="L719" s="37"/>
      <c r="M719" s="41">
        <v>280000000</v>
      </c>
      <c r="N719" t="s">
        <v>704</v>
      </c>
      <c r="Q719" s="11" t="s">
        <v>1036</v>
      </c>
    </row>
    <row r="720" spans="1:17" x14ac:dyDescent="0.25">
      <c r="A720" s="38" t="s">
        <v>983</v>
      </c>
      <c r="B720" s="38" t="s">
        <v>13</v>
      </c>
      <c r="C720" s="39">
        <v>46024</v>
      </c>
      <c r="D720" s="39">
        <v>46112</v>
      </c>
      <c r="E720" s="37" t="s">
        <v>1382</v>
      </c>
      <c r="F720" s="38" t="s">
        <v>83</v>
      </c>
      <c r="G720" s="37">
        <v>900752343</v>
      </c>
      <c r="H720" s="37" t="s">
        <v>107</v>
      </c>
      <c r="I720" s="38">
        <v>17658217</v>
      </c>
      <c r="J720" s="38" t="s">
        <v>14</v>
      </c>
      <c r="K720" s="38" t="s">
        <v>108</v>
      </c>
      <c r="L720" s="37"/>
      <c r="M720" s="41">
        <v>270000000</v>
      </c>
      <c r="N720" t="s">
        <v>704</v>
      </c>
      <c r="Q720" s="11" t="s">
        <v>1036</v>
      </c>
    </row>
    <row r="721" spans="1:17" x14ac:dyDescent="0.25">
      <c r="A721" s="38" t="s">
        <v>984</v>
      </c>
      <c r="B721" s="38" t="s">
        <v>13</v>
      </c>
      <c r="C721" s="39">
        <v>46024</v>
      </c>
      <c r="D721" s="39">
        <v>46112</v>
      </c>
      <c r="E721" s="37" t="s">
        <v>1384</v>
      </c>
      <c r="F721" s="38" t="s">
        <v>83</v>
      </c>
      <c r="G721" s="37">
        <v>900994364</v>
      </c>
      <c r="H721" s="37" t="s">
        <v>1385</v>
      </c>
      <c r="I721" s="37">
        <v>13016581</v>
      </c>
      <c r="J721" s="38" t="s">
        <v>14</v>
      </c>
      <c r="K721" s="37" t="s">
        <v>1386</v>
      </c>
      <c r="L721" s="37"/>
      <c r="M721" s="41">
        <v>297142800</v>
      </c>
      <c r="N721" t="s">
        <v>704</v>
      </c>
      <c r="Q721" s="11" t="s">
        <v>1036</v>
      </c>
    </row>
    <row r="722" spans="1:17" x14ac:dyDescent="0.25">
      <c r="A722" s="37" t="s">
        <v>1373</v>
      </c>
      <c r="B722" s="38" t="s">
        <v>13</v>
      </c>
      <c r="C722" s="39">
        <v>46000</v>
      </c>
      <c r="D722" s="39">
        <v>46022</v>
      </c>
      <c r="E722" s="37" t="s">
        <v>1387</v>
      </c>
      <c r="F722" s="38" t="s">
        <v>14</v>
      </c>
      <c r="G722" s="37">
        <v>66958357</v>
      </c>
      <c r="H722" s="37" t="s">
        <v>935</v>
      </c>
      <c r="I722" s="37">
        <v>98390119</v>
      </c>
      <c r="J722" s="38" t="s">
        <v>14</v>
      </c>
      <c r="K722" s="37" t="s">
        <v>63</v>
      </c>
      <c r="L722" s="37"/>
      <c r="M722" s="41">
        <v>2000000</v>
      </c>
      <c r="N722" t="s">
        <v>704</v>
      </c>
      <c r="Q722" s="11" t="s">
        <v>1036</v>
      </c>
    </row>
    <row r="723" spans="1:17" x14ac:dyDescent="0.25">
      <c r="A723" s="37" t="s">
        <v>1374</v>
      </c>
      <c r="B723" s="38" t="s">
        <v>13</v>
      </c>
      <c r="C723" s="39">
        <v>46008</v>
      </c>
      <c r="D723" s="39">
        <v>46022</v>
      </c>
      <c r="E723" s="37" t="s">
        <v>1388</v>
      </c>
      <c r="F723" s="38" t="s">
        <v>14</v>
      </c>
      <c r="G723" s="37">
        <v>1086132023</v>
      </c>
      <c r="H723" s="37" t="s">
        <v>1379</v>
      </c>
      <c r="I723" s="37">
        <v>59836926</v>
      </c>
      <c r="J723" s="38" t="s">
        <v>14</v>
      </c>
      <c r="K723" s="37" t="s">
        <v>17</v>
      </c>
      <c r="L723" s="37"/>
      <c r="M723" s="41">
        <v>6300000</v>
      </c>
      <c r="N723" t="s">
        <v>704</v>
      </c>
      <c r="Q723" s="11" t="s">
        <v>1036</v>
      </c>
    </row>
    <row r="724" spans="1:17" x14ac:dyDescent="0.25">
      <c r="A724" s="37" t="s">
        <v>1389</v>
      </c>
      <c r="B724" s="38" t="s">
        <v>13</v>
      </c>
      <c r="C724" s="39">
        <v>46008</v>
      </c>
      <c r="D724" s="39">
        <v>46022</v>
      </c>
      <c r="E724" s="37" t="s">
        <v>1390</v>
      </c>
      <c r="F724" s="38" t="s">
        <v>14</v>
      </c>
      <c r="G724" s="37">
        <v>12753216</v>
      </c>
      <c r="H724" s="37" t="s">
        <v>1391</v>
      </c>
      <c r="I724" s="37">
        <v>98333941</v>
      </c>
      <c r="J724" s="38" t="s">
        <v>14</v>
      </c>
      <c r="K724" s="37" t="s">
        <v>15</v>
      </c>
      <c r="L724" s="37"/>
      <c r="M724" s="41">
        <v>17680000</v>
      </c>
      <c r="N724" t="s">
        <v>704</v>
      </c>
      <c r="Q724" s="11" t="s">
        <v>1036</v>
      </c>
    </row>
    <row r="725" spans="1:17" x14ac:dyDescent="0.25">
      <c r="A725" s="37" t="s">
        <v>1392</v>
      </c>
      <c r="B725" s="38" t="s">
        <v>13</v>
      </c>
      <c r="C725" s="39">
        <v>46009</v>
      </c>
      <c r="D725" s="39">
        <v>46022</v>
      </c>
      <c r="E725" s="37" t="s">
        <v>1393</v>
      </c>
      <c r="F725" s="38" t="s">
        <v>83</v>
      </c>
      <c r="G725" s="37">
        <v>900724450</v>
      </c>
      <c r="H725" s="37" t="s">
        <v>1394</v>
      </c>
      <c r="I725" s="38">
        <v>17658216</v>
      </c>
      <c r="J725" s="38" t="s">
        <v>14</v>
      </c>
      <c r="K725" s="38" t="s">
        <v>108</v>
      </c>
      <c r="L725" s="37"/>
      <c r="M725" s="41">
        <v>10457200</v>
      </c>
      <c r="N725" t="s">
        <v>704</v>
      </c>
      <c r="Q725" s="11" t="s">
        <v>1036</v>
      </c>
    </row>
    <row r="726" spans="1:17" x14ac:dyDescent="0.25">
      <c r="A726" s="38" t="s">
        <v>1395</v>
      </c>
      <c r="B726" s="38" t="s">
        <v>13</v>
      </c>
      <c r="C726" s="39">
        <v>45817</v>
      </c>
      <c r="D726" s="39">
        <v>45869</v>
      </c>
      <c r="E726" s="37" t="s">
        <v>1396</v>
      </c>
      <c r="F726" s="38" t="s">
        <v>14</v>
      </c>
      <c r="G726" s="37">
        <v>36751052</v>
      </c>
      <c r="H726" s="37" t="s">
        <v>1397</v>
      </c>
      <c r="I726" s="37">
        <v>98333941</v>
      </c>
      <c r="J726" s="38" t="s">
        <v>14</v>
      </c>
      <c r="K726" s="37" t="s">
        <v>63</v>
      </c>
      <c r="L726" s="37"/>
      <c r="M726" s="41">
        <v>9650000</v>
      </c>
      <c r="N726" t="s">
        <v>704</v>
      </c>
      <c r="Q726" s="11" t="s">
        <v>1036</v>
      </c>
    </row>
    <row r="727" spans="1:17" x14ac:dyDescent="0.25">
      <c r="A727" s="38" t="s">
        <v>1398</v>
      </c>
      <c r="B727" s="38" t="s">
        <v>13</v>
      </c>
      <c r="C727" s="39">
        <v>45590</v>
      </c>
      <c r="D727" s="39">
        <v>45595</v>
      </c>
      <c r="E727" s="37" t="s">
        <v>1399</v>
      </c>
      <c r="F727" s="38" t="s">
        <v>83</v>
      </c>
      <c r="G727" s="37">
        <v>900414376</v>
      </c>
      <c r="H727" s="37" t="s">
        <v>1400</v>
      </c>
      <c r="I727" s="37">
        <v>1004189613</v>
      </c>
      <c r="J727" s="38" t="s">
        <v>14</v>
      </c>
      <c r="K727" s="37" t="s">
        <v>1401</v>
      </c>
      <c r="L727" s="37"/>
      <c r="M727" s="41">
        <v>9891756</v>
      </c>
      <c r="N727" t="s">
        <v>704</v>
      </c>
      <c r="Q727" s="11" t="s">
        <v>1036</v>
      </c>
    </row>
  </sheetData>
  <autoFilter ref="A1:S727" xr:uid="{969CE6AA-B978-451E-9166-37046A388E6B}"/>
  <phoneticPr fontId="1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ADF06-8B4A-49A9-A2F7-2734A65CD754}">
  <sheetPr filterMode="1"/>
  <dimension ref="A1:W730"/>
  <sheetViews>
    <sheetView topLeftCell="E680" workbookViewId="0">
      <selection activeCell="I701" sqref="I701:K701"/>
    </sheetView>
  </sheetViews>
  <sheetFormatPr baseColWidth="10" defaultRowHeight="15" x14ac:dyDescent="0.25"/>
  <cols>
    <col min="2" max="2" width="11.5703125" customWidth="1"/>
    <col min="3" max="4" width="11.5703125" style="12" customWidth="1"/>
    <col min="5" max="5" width="16.5703125" customWidth="1"/>
    <col min="6" max="6" width="11.5703125" customWidth="1"/>
    <col min="7" max="7" width="21.7109375" customWidth="1"/>
    <col min="8" max="8" width="42.5703125" customWidth="1"/>
    <col min="9" max="9" width="19" customWidth="1"/>
    <col min="10" max="10" width="11.5703125" customWidth="1"/>
    <col min="11" max="11" width="33.7109375" customWidth="1"/>
    <col min="12" max="12" width="16.28515625" style="1" bestFit="1" customWidth="1"/>
    <col min="13" max="13" width="16.28515625" style="1" customWidth="1"/>
    <col min="14" max="14" width="16.28515625" style="1" bestFit="1" customWidth="1"/>
    <col min="15" max="15" width="16.28515625" style="1" customWidth="1"/>
    <col min="16" max="16" width="15" customWidth="1"/>
    <col min="17" max="17" width="16.28515625" style="1" bestFit="1" customWidth="1"/>
    <col min="18" max="18" width="4.85546875" customWidth="1"/>
    <col min="19" max="19" width="51" bestFit="1" customWidth="1"/>
    <col min="23" max="23" width="17.7109375" bestFit="1" customWidth="1"/>
  </cols>
  <sheetData>
    <row r="1" spans="1:21" ht="14.25" customHeight="1" x14ac:dyDescent="0.25">
      <c r="A1" t="s">
        <v>0</v>
      </c>
      <c r="B1" t="s">
        <v>1</v>
      </c>
      <c r="C1" s="12" t="s">
        <v>2</v>
      </c>
      <c r="D1" s="12" t="s">
        <v>3</v>
      </c>
      <c r="E1" t="s">
        <v>4</v>
      </c>
      <c r="F1" t="s">
        <v>5</v>
      </c>
      <c r="G1" t="s">
        <v>6</v>
      </c>
      <c r="H1" t="s">
        <v>7</v>
      </c>
      <c r="I1" t="s">
        <v>8</v>
      </c>
      <c r="J1" t="s">
        <v>9</v>
      </c>
      <c r="K1" t="s">
        <v>10</v>
      </c>
      <c r="L1" s="1" t="s">
        <v>11</v>
      </c>
      <c r="M1" s="17" t="s">
        <v>1368</v>
      </c>
      <c r="N1" s="1" t="s">
        <v>12</v>
      </c>
      <c r="P1" t="s">
        <v>84</v>
      </c>
      <c r="Q1" s="1" t="s">
        <v>703</v>
      </c>
      <c r="S1" s="1" t="s">
        <v>829</v>
      </c>
      <c r="T1" s="11"/>
      <c r="U1" s="1"/>
    </row>
    <row r="2" spans="1:21" x14ac:dyDescent="0.25">
      <c r="A2" t="s">
        <v>1013</v>
      </c>
      <c r="B2" t="s">
        <v>13</v>
      </c>
      <c r="C2" s="12">
        <v>46023</v>
      </c>
      <c r="D2" s="12">
        <v>46112</v>
      </c>
      <c r="E2" t="s">
        <v>775</v>
      </c>
      <c r="F2" t="s">
        <v>14</v>
      </c>
      <c r="G2">
        <v>1089458776</v>
      </c>
      <c r="H2" t="s">
        <v>269</v>
      </c>
      <c r="I2">
        <v>98333941</v>
      </c>
      <c r="J2" t="s">
        <v>14</v>
      </c>
      <c r="K2" t="s">
        <v>15</v>
      </c>
      <c r="L2" s="1" t="e">
        <f>VLOOKUP(A2,#REF!,2,0)</f>
        <v>#REF!</v>
      </c>
      <c r="M2" s="1">
        <v>3150000</v>
      </c>
      <c r="N2" s="10">
        <v>9450000</v>
      </c>
      <c r="O2" s="10"/>
      <c r="P2" s="24" t="s">
        <v>704</v>
      </c>
      <c r="Q2" s="1" t="e">
        <f t="shared" ref="Q2:Q3" si="0">N2-L2</f>
        <v>#REF!</v>
      </c>
      <c r="S2" s="11" t="s">
        <v>1036</v>
      </c>
    </row>
    <row r="3" spans="1:21" x14ac:dyDescent="0.25">
      <c r="A3" t="s">
        <v>1037</v>
      </c>
      <c r="B3" t="s">
        <v>13</v>
      </c>
      <c r="C3" s="12">
        <v>46023</v>
      </c>
      <c r="D3" s="12">
        <v>46112</v>
      </c>
      <c r="E3" t="s">
        <v>775</v>
      </c>
      <c r="F3" t="s">
        <v>14</v>
      </c>
      <c r="G3">
        <v>1233191133</v>
      </c>
      <c r="H3" t="s">
        <v>572</v>
      </c>
      <c r="I3">
        <v>59836926</v>
      </c>
      <c r="J3" t="s">
        <v>14</v>
      </c>
      <c r="K3" t="s">
        <v>17</v>
      </c>
      <c r="L3" s="1" t="e">
        <f>VLOOKUP(A3,#REF!,2,0)</f>
        <v>#REF!</v>
      </c>
      <c r="M3" s="1">
        <v>3150000</v>
      </c>
      <c r="N3" s="10">
        <v>9450000</v>
      </c>
      <c r="O3" s="10"/>
      <c r="P3" t="s">
        <v>704</v>
      </c>
      <c r="Q3" s="1" t="e">
        <f t="shared" si="0"/>
        <v>#REF!</v>
      </c>
      <c r="S3" s="11" t="s">
        <v>1036</v>
      </c>
    </row>
    <row r="4" spans="1:21" x14ac:dyDescent="0.25">
      <c r="A4" t="s">
        <v>495</v>
      </c>
      <c r="B4" t="s">
        <v>13</v>
      </c>
      <c r="C4" s="12">
        <v>45972</v>
      </c>
      <c r="D4" s="12">
        <v>46022</v>
      </c>
      <c r="E4" t="s">
        <v>793</v>
      </c>
      <c r="F4" t="s">
        <v>14</v>
      </c>
      <c r="G4">
        <v>1085287296</v>
      </c>
      <c r="H4" t="s">
        <v>496</v>
      </c>
      <c r="I4">
        <v>59836926</v>
      </c>
      <c r="J4" t="s">
        <v>14</v>
      </c>
      <c r="K4" t="s">
        <v>17</v>
      </c>
      <c r="L4" s="1" t="e">
        <f>VLOOKUP(A4,#REF!,2,0)</f>
        <v>#REF!</v>
      </c>
      <c r="M4" s="1">
        <v>4000000</v>
      </c>
      <c r="N4" s="1">
        <v>4000000</v>
      </c>
      <c r="P4" t="s">
        <v>704</v>
      </c>
      <c r="Q4" s="1" t="e">
        <f>N4-L4</f>
        <v>#REF!</v>
      </c>
    </row>
    <row r="5" spans="1:21" x14ac:dyDescent="0.25">
      <c r="A5" t="s">
        <v>351</v>
      </c>
      <c r="B5" t="s">
        <v>13</v>
      </c>
      <c r="C5" s="12">
        <v>45971</v>
      </c>
      <c r="D5" s="12">
        <v>46022</v>
      </c>
      <c r="E5" t="s">
        <v>323</v>
      </c>
      <c r="F5" t="s">
        <v>14</v>
      </c>
      <c r="G5">
        <v>1085253512</v>
      </c>
      <c r="H5" t="s">
        <v>352</v>
      </c>
      <c r="I5">
        <v>98390119</v>
      </c>
      <c r="J5" t="s">
        <v>14</v>
      </c>
      <c r="K5" t="s">
        <v>63</v>
      </c>
      <c r="L5" s="1" t="e">
        <f>VLOOKUP(A5,#REF!,2,0)</f>
        <v>#REF!</v>
      </c>
      <c r="M5" s="1">
        <v>4000000</v>
      </c>
      <c r="N5" s="1">
        <v>4000000</v>
      </c>
      <c r="P5" t="s">
        <v>704</v>
      </c>
      <c r="Q5" s="1" t="e">
        <f t="shared" ref="Q5:Q20" si="1">N5-L5</f>
        <v>#REF!</v>
      </c>
    </row>
    <row r="6" spans="1:21" x14ac:dyDescent="0.25">
      <c r="A6" t="s">
        <v>148</v>
      </c>
      <c r="B6" t="s">
        <v>13</v>
      </c>
      <c r="C6" s="12">
        <v>45971</v>
      </c>
      <c r="D6" s="12">
        <v>46022</v>
      </c>
      <c r="E6" t="s">
        <v>726</v>
      </c>
      <c r="F6" t="s">
        <v>14</v>
      </c>
      <c r="G6">
        <v>59312779</v>
      </c>
      <c r="H6" t="s">
        <v>149</v>
      </c>
      <c r="I6">
        <v>98390119</v>
      </c>
      <c r="J6" t="s">
        <v>14</v>
      </c>
      <c r="K6" t="s">
        <v>63</v>
      </c>
      <c r="L6" s="1" t="e">
        <f>VLOOKUP(A6,#REF!,2,0)</f>
        <v>#REF!</v>
      </c>
      <c r="M6" s="1">
        <v>4000000</v>
      </c>
      <c r="N6" s="1">
        <v>4000000</v>
      </c>
      <c r="P6" t="s">
        <v>704</v>
      </c>
      <c r="Q6" s="1" t="e">
        <f t="shared" si="1"/>
        <v>#REF!</v>
      </c>
    </row>
    <row r="7" spans="1:21" x14ac:dyDescent="0.25">
      <c r="A7" t="s">
        <v>320</v>
      </c>
      <c r="B7" t="s">
        <v>13</v>
      </c>
      <c r="C7" s="12">
        <v>45971</v>
      </c>
      <c r="D7" s="12">
        <v>46022</v>
      </c>
      <c r="E7" t="s">
        <v>758</v>
      </c>
      <c r="F7" t="s">
        <v>14</v>
      </c>
      <c r="G7">
        <v>1085312669</v>
      </c>
      <c r="H7" t="s">
        <v>321</v>
      </c>
      <c r="I7">
        <v>43624414</v>
      </c>
      <c r="J7" t="s">
        <v>14</v>
      </c>
      <c r="K7" t="s">
        <v>18</v>
      </c>
      <c r="L7" s="1" t="e">
        <f>VLOOKUP(A7,#REF!,2,0)</f>
        <v>#REF!</v>
      </c>
      <c r="M7" s="1">
        <v>4000000</v>
      </c>
      <c r="N7" s="1">
        <v>4000000</v>
      </c>
      <c r="P7" t="s">
        <v>704</v>
      </c>
      <c r="Q7" s="1" t="e">
        <f t="shared" si="1"/>
        <v>#REF!</v>
      </c>
    </row>
    <row r="8" spans="1:21" x14ac:dyDescent="0.25">
      <c r="A8" t="s">
        <v>646</v>
      </c>
      <c r="B8" t="s">
        <v>13</v>
      </c>
      <c r="C8" s="12">
        <v>45967</v>
      </c>
      <c r="D8" s="12">
        <v>46022</v>
      </c>
      <c r="E8" t="s">
        <v>748</v>
      </c>
      <c r="F8" t="s">
        <v>14</v>
      </c>
      <c r="G8">
        <v>1085327836</v>
      </c>
      <c r="H8" t="s">
        <v>77</v>
      </c>
      <c r="I8">
        <v>43624414</v>
      </c>
      <c r="J8" t="s">
        <v>14</v>
      </c>
      <c r="K8" t="s">
        <v>18</v>
      </c>
      <c r="L8" s="1" t="e">
        <f>VLOOKUP(A8,#REF!,2,0)</f>
        <v>#REF!</v>
      </c>
      <c r="M8" s="1">
        <v>4000000</v>
      </c>
      <c r="N8" s="1">
        <v>4000000</v>
      </c>
      <c r="P8" t="s">
        <v>704</v>
      </c>
      <c r="Q8" s="1" t="e">
        <f t="shared" si="1"/>
        <v>#REF!</v>
      </c>
    </row>
    <row r="9" spans="1:21" x14ac:dyDescent="0.25">
      <c r="A9" t="s">
        <v>304</v>
      </c>
      <c r="B9" t="s">
        <v>13</v>
      </c>
      <c r="C9" s="12">
        <v>45966</v>
      </c>
      <c r="D9" s="12">
        <v>46022</v>
      </c>
      <c r="E9" t="s">
        <v>715</v>
      </c>
      <c r="F9" t="s">
        <v>14</v>
      </c>
      <c r="G9">
        <v>37083933</v>
      </c>
      <c r="H9" t="s">
        <v>305</v>
      </c>
      <c r="I9">
        <v>43624414</v>
      </c>
      <c r="J9" t="s">
        <v>14</v>
      </c>
      <c r="K9" t="s">
        <v>18</v>
      </c>
      <c r="L9" s="1" t="e">
        <f>VLOOKUP(A9,#REF!,2,0)</f>
        <v>#REF!</v>
      </c>
      <c r="M9" s="1">
        <v>4000000</v>
      </c>
      <c r="N9" s="1">
        <v>4000000</v>
      </c>
      <c r="P9" t="s">
        <v>704</v>
      </c>
      <c r="Q9" s="1" t="e">
        <f t="shared" si="1"/>
        <v>#REF!</v>
      </c>
    </row>
    <row r="10" spans="1:21" x14ac:dyDescent="0.25">
      <c r="A10" t="s">
        <v>520</v>
      </c>
      <c r="B10" t="s">
        <v>13</v>
      </c>
      <c r="C10" s="12">
        <v>45966</v>
      </c>
      <c r="D10" s="12">
        <v>46022</v>
      </c>
      <c r="E10" t="s">
        <v>795</v>
      </c>
      <c r="F10" t="s">
        <v>14</v>
      </c>
      <c r="G10">
        <v>1010113730</v>
      </c>
      <c r="H10" t="s">
        <v>521</v>
      </c>
      <c r="I10">
        <v>43624414</v>
      </c>
      <c r="J10" t="s">
        <v>14</v>
      </c>
      <c r="K10" t="s">
        <v>18</v>
      </c>
      <c r="L10" s="1" t="e">
        <f>VLOOKUP(A10,#REF!,2,0)</f>
        <v>#REF!</v>
      </c>
      <c r="M10" s="1">
        <v>4000000</v>
      </c>
      <c r="N10" s="1">
        <v>4000000</v>
      </c>
      <c r="P10" t="s">
        <v>704</v>
      </c>
      <c r="Q10" s="1" t="e">
        <f t="shared" si="1"/>
        <v>#REF!</v>
      </c>
    </row>
    <row r="11" spans="1:21" x14ac:dyDescent="0.25">
      <c r="A11" t="s">
        <v>359</v>
      </c>
      <c r="B11" t="s">
        <v>13</v>
      </c>
      <c r="C11" s="12">
        <v>45965</v>
      </c>
      <c r="D11" s="12">
        <v>46022</v>
      </c>
      <c r="E11" t="s">
        <v>715</v>
      </c>
      <c r="F11" t="s">
        <v>14</v>
      </c>
      <c r="G11">
        <v>1085281545</v>
      </c>
      <c r="H11" t="s">
        <v>360</v>
      </c>
      <c r="I11">
        <v>98333941</v>
      </c>
      <c r="J11" t="s">
        <v>14</v>
      </c>
      <c r="K11" t="s">
        <v>15</v>
      </c>
      <c r="L11" s="1" t="e">
        <f>VLOOKUP(A11,#REF!,2,0)</f>
        <v>#REF!</v>
      </c>
      <c r="M11" s="1">
        <v>4000000</v>
      </c>
      <c r="N11" s="1">
        <v>4000000</v>
      </c>
      <c r="P11" t="s">
        <v>704</v>
      </c>
      <c r="Q11" s="1" t="e">
        <f t="shared" si="1"/>
        <v>#REF!</v>
      </c>
    </row>
    <row r="12" spans="1:21" x14ac:dyDescent="0.25">
      <c r="A12" t="s">
        <v>539</v>
      </c>
      <c r="B12" t="s">
        <v>13</v>
      </c>
      <c r="C12" s="12">
        <v>45965</v>
      </c>
      <c r="D12" s="12">
        <v>46022</v>
      </c>
      <c r="E12" t="s">
        <v>798</v>
      </c>
      <c r="F12" t="s">
        <v>14</v>
      </c>
      <c r="G12">
        <v>1081274779</v>
      </c>
      <c r="H12" t="s">
        <v>540</v>
      </c>
      <c r="I12">
        <v>59836926</v>
      </c>
      <c r="J12" t="s">
        <v>14</v>
      </c>
      <c r="K12" t="s">
        <v>17</v>
      </c>
      <c r="L12" s="1" t="e">
        <f>VLOOKUP(A12,#REF!,2,0)</f>
        <v>#REF!</v>
      </c>
      <c r="M12" s="1">
        <v>4000000</v>
      </c>
      <c r="N12" s="1">
        <v>4000000</v>
      </c>
      <c r="P12" t="s">
        <v>704</v>
      </c>
      <c r="Q12" s="1" t="e">
        <f t="shared" si="1"/>
        <v>#REF!</v>
      </c>
    </row>
    <row r="13" spans="1:21" x14ac:dyDescent="0.25">
      <c r="A13" t="s">
        <v>165</v>
      </c>
      <c r="B13" t="s">
        <v>13</v>
      </c>
      <c r="C13" s="12">
        <v>45965</v>
      </c>
      <c r="D13" s="12">
        <v>46022</v>
      </c>
      <c r="E13" t="s">
        <v>715</v>
      </c>
      <c r="F13" t="s">
        <v>14</v>
      </c>
      <c r="G13">
        <v>1085275445</v>
      </c>
      <c r="H13" t="s">
        <v>166</v>
      </c>
      <c r="I13">
        <v>98390119</v>
      </c>
      <c r="J13" t="s">
        <v>14</v>
      </c>
      <c r="K13" t="s">
        <v>63</v>
      </c>
      <c r="L13" s="1" t="e">
        <f>VLOOKUP(A13,#REF!,2,0)</f>
        <v>#REF!</v>
      </c>
      <c r="M13" s="1">
        <v>4000000</v>
      </c>
      <c r="N13" s="1">
        <v>4000000</v>
      </c>
      <c r="P13" t="s">
        <v>704</v>
      </c>
      <c r="Q13" s="1" t="e">
        <f t="shared" si="1"/>
        <v>#REF!</v>
      </c>
    </row>
    <row r="14" spans="1:21" x14ac:dyDescent="0.25">
      <c r="A14" t="s">
        <v>207</v>
      </c>
      <c r="B14" t="s">
        <v>13</v>
      </c>
      <c r="C14" s="12">
        <v>45965</v>
      </c>
      <c r="D14" s="12">
        <v>46022</v>
      </c>
      <c r="E14" t="s">
        <v>715</v>
      </c>
      <c r="F14" t="s">
        <v>14</v>
      </c>
      <c r="G14">
        <v>1085268450</v>
      </c>
      <c r="H14" t="s">
        <v>208</v>
      </c>
      <c r="I14">
        <v>43624414</v>
      </c>
      <c r="J14" t="s">
        <v>14</v>
      </c>
      <c r="K14" t="s">
        <v>18</v>
      </c>
      <c r="L14" s="1" t="e">
        <f>VLOOKUP(A14,#REF!,2,0)</f>
        <v>#REF!</v>
      </c>
      <c r="M14" s="1">
        <v>4000000</v>
      </c>
      <c r="N14" s="1">
        <v>4000000</v>
      </c>
      <c r="P14" t="s">
        <v>704</v>
      </c>
      <c r="Q14" s="1" t="e">
        <f t="shared" si="1"/>
        <v>#REF!</v>
      </c>
    </row>
    <row r="15" spans="1:21" x14ac:dyDescent="0.25">
      <c r="A15" t="s">
        <v>182</v>
      </c>
      <c r="B15" t="s">
        <v>13</v>
      </c>
      <c r="C15" s="12">
        <v>45965</v>
      </c>
      <c r="D15" s="12">
        <v>46022</v>
      </c>
      <c r="E15" t="s">
        <v>733</v>
      </c>
      <c r="F15" t="s">
        <v>14</v>
      </c>
      <c r="G15">
        <v>59815593</v>
      </c>
      <c r="H15" t="s">
        <v>183</v>
      </c>
      <c r="I15">
        <v>98333941</v>
      </c>
      <c r="J15" t="s">
        <v>14</v>
      </c>
      <c r="K15" t="s">
        <v>15</v>
      </c>
      <c r="L15" s="1" t="e">
        <f>VLOOKUP(A15,#REF!,2,0)</f>
        <v>#REF!</v>
      </c>
      <c r="M15" s="1">
        <v>4000000</v>
      </c>
      <c r="N15" s="1">
        <v>4000000</v>
      </c>
      <c r="P15" t="s">
        <v>704</v>
      </c>
      <c r="Q15" s="1" t="e">
        <f t="shared" si="1"/>
        <v>#REF!</v>
      </c>
    </row>
    <row r="16" spans="1:21" x14ac:dyDescent="0.25">
      <c r="A16" t="s">
        <v>129</v>
      </c>
      <c r="B16" t="s">
        <v>13</v>
      </c>
      <c r="C16" s="12">
        <v>45965</v>
      </c>
      <c r="D16" s="12">
        <v>46022</v>
      </c>
      <c r="E16" t="s">
        <v>721</v>
      </c>
      <c r="F16" t="s">
        <v>14</v>
      </c>
      <c r="G16">
        <v>36757715</v>
      </c>
      <c r="H16" t="s">
        <v>130</v>
      </c>
      <c r="I16">
        <v>98390119</v>
      </c>
      <c r="J16" t="s">
        <v>14</v>
      </c>
      <c r="K16" t="s">
        <v>63</v>
      </c>
      <c r="L16" s="1" t="e">
        <f>VLOOKUP(A16,#REF!,2,0)</f>
        <v>#REF!</v>
      </c>
      <c r="M16" s="1">
        <v>4000000</v>
      </c>
      <c r="N16" s="1">
        <v>4000000</v>
      </c>
      <c r="P16" t="s">
        <v>704</v>
      </c>
      <c r="Q16" s="1" t="e">
        <f t="shared" si="1"/>
        <v>#REF!</v>
      </c>
    </row>
    <row r="17" spans="1:19" x14ac:dyDescent="0.25">
      <c r="A17" t="s">
        <v>694</v>
      </c>
      <c r="B17" t="s">
        <v>13</v>
      </c>
      <c r="C17" s="12">
        <v>45982</v>
      </c>
      <c r="D17" s="12">
        <v>46022</v>
      </c>
      <c r="E17" t="s">
        <v>323</v>
      </c>
      <c r="F17" t="s">
        <v>14</v>
      </c>
      <c r="G17">
        <v>27436186</v>
      </c>
      <c r="H17" t="s">
        <v>695</v>
      </c>
      <c r="I17">
        <v>43624414</v>
      </c>
      <c r="J17" t="s">
        <v>14</v>
      </c>
      <c r="K17" t="s">
        <v>18</v>
      </c>
      <c r="L17" s="1" t="e">
        <f>VLOOKUP(A17,#REF!,2,0)</f>
        <v>#REF!</v>
      </c>
      <c r="M17" s="1">
        <v>4200000</v>
      </c>
      <c r="N17" s="1">
        <v>4200000</v>
      </c>
      <c r="P17" t="s">
        <v>704</v>
      </c>
      <c r="Q17" s="1" t="e">
        <f t="shared" si="1"/>
        <v>#REF!</v>
      </c>
    </row>
    <row r="18" spans="1:19" x14ac:dyDescent="0.25">
      <c r="A18" t="s">
        <v>692</v>
      </c>
      <c r="B18" t="s">
        <v>13</v>
      </c>
      <c r="C18" s="12">
        <v>45982</v>
      </c>
      <c r="D18" s="12">
        <v>46022</v>
      </c>
      <c r="E18" t="s">
        <v>775</v>
      </c>
      <c r="F18" t="s">
        <v>14</v>
      </c>
      <c r="G18">
        <v>27549932</v>
      </c>
      <c r="H18" t="s">
        <v>693</v>
      </c>
      <c r="I18">
        <v>43624414</v>
      </c>
      <c r="J18" t="s">
        <v>14</v>
      </c>
      <c r="K18" t="s">
        <v>18</v>
      </c>
      <c r="L18" s="1" t="e">
        <f>VLOOKUP(A18,#REF!,2,0)</f>
        <v>#REF!</v>
      </c>
      <c r="M18" s="1">
        <v>4200000</v>
      </c>
      <c r="N18" s="1">
        <v>4200000</v>
      </c>
      <c r="P18" t="s">
        <v>704</v>
      </c>
      <c r="Q18" s="1" t="e">
        <f t="shared" si="1"/>
        <v>#REF!</v>
      </c>
    </row>
    <row r="19" spans="1:19" x14ac:dyDescent="0.25">
      <c r="A19" t="s">
        <v>1038</v>
      </c>
      <c r="B19" t="s">
        <v>13</v>
      </c>
      <c r="C19" s="12">
        <v>46023</v>
      </c>
      <c r="D19" s="12">
        <v>46112</v>
      </c>
      <c r="E19" t="s">
        <v>775</v>
      </c>
      <c r="F19" t="s">
        <v>14</v>
      </c>
      <c r="G19">
        <v>1089243630</v>
      </c>
      <c r="H19" t="s">
        <v>687</v>
      </c>
      <c r="I19">
        <v>43624414</v>
      </c>
      <c r="J19" t="s">
        <v>14</v>
      </c>
      <c r="K19" t="s">
        <v>18</v>
      </c>
      <c r="L19" s="1" t="e">
        <f>VLOOKUP(A19,#REF!,2,0)</f>
        <v>#REF!</v>
      </c>
      <c r="M19" s="1">
        <v>3150000</v>
      </c>
      <c r="N19" s="10">
        <v>9450000</v>
      </c>
      <c r="O19" s="10"/>
      <c r="P19" t="s">
        <v>704</v>
      </c>
      <c r="Q19" s="1" t="e">
        <f>N19-L19</f>
        <v>#REF!</v>
      </c>
      <c r="S19" s="11" t="s">
        <v>1036</v>
      </c>
    </row>
    <row r="20" spans="1:19" x14ac:dyDescent="0.25">
      <c r="A20" t="s">
        <v>1039</v>
      </c>
      <c r="B20" t="s">
        <v>13</v>
      </c>
      <c r="C20" s="12">
        <v>46024</v>
      </c>
      <c r="D20" s="12">
        <v>46112</v>
      </c>
      <c r="E20" t="s">
        <v>775</v>
      </c>
      <c r="F20" t="s">
        <v>14</v>
      </c>
      <c r="G20">
        <v>1085327677</v>
      </c>
      <c r="H20" t="s">
        <v>405</v>
      </c>
      <c r="I20">
        <v>43624414</v>
      </c>
      <c r="J20" t="s">
        <v>14</v>
      </c>
      <c r="K20" t="s">
        <v>18</v>
      </c>
      <c r="L20" s="1" t="e">
        <f>VLOOKUP(A20,#REF!,2,0)</f>
        <v>#REF!</v>
      </c>
      <c r="M20" s="1">
        <v>3150000</v>
      </c>
      <c r="N20" s="10">
        <v>9450000</v>
      </c>
      <c r="O20" s="10"/>
      <c r="P20" t="s">
        <v>704</v>
      </c>
      <c r="Q20" s="1" t="e">
        <f t="shared" si="1"/>
        <v>#REF!</v>
      </c>
      <c r="S20" s="11" t="s">
        <v>1036</v>
      </c>
    </row>
    <row r="21" spans="1:19" x14ac:dyDescent="0.25">
      <c r="A21" t="s">
        <v>686</v>
      </c>
      <c r="B21" t="s">
        <v>13</v>
      </c>
      <c r="C21" s="12">
        <v>45979</v>
      </c>
      <c r="D21" s="12">
        <v>46022</v>
      </c>
      <c r="E21" t="s">
        <v>775</v>
      </c>
      <c r="F21" t="s">
        <v>14</v>
      </c>
      <c r="G21">
        <v>1089243630</v>
      </c>
      <c r="H21" t="s">
        <v>687</v>
      </c>
      <c r="I21">
        <v>43624414</v>
      </c>
      <c r="J21" t="s">
        <v>14</v>
      </c>
      <c r="K21" t="s">
        <v>18</v>
      </c>
      <c r="L21" s="1" t="e">
        <f>VLOOKUP(A21,#REF!,2,0)</f>
        <v>#REF!</v>
      </c>
      <c r="M21" s="1">
        <v>4725000</v>
      </c>
      <c r="N21" s="1">
        <v>4725000</v>
      </c>
      <c r="P21" t="s">
        <v>704</v>
      </c>
      <c r="Q21" s="1" t="e">
        <f t="shared" ref="Q21:Q47" si="2">N21-L21</f>
        <v>#REF!</v>
      </c>
    </row>
    <row r="22" spans="1:19" x14ac:dyDescent="0.25">
      <c r="A22" t="s">
        <v>676</v>
      </c>
      <c r="B22" t="s">
        <v>13</v>
      </c>
      <c r="C22" s="12">
        <v>45979</v>
      </c>
      <c r="D22" s="12">
        <v>46022</v>
      </c>
      <c r="E22" t="s">
        <v>775</v>
      </c>
      <c r="F22" t="s">
        <v>14</v>
      </c>
      <c r="G22">
        <v>36751255</v>
      </c>
      <c r="H22" t="s">
        <v>677</v>
      </c>
      <c r="I22">
        <v>43624414</v>
      </c>
      <c r="J22" t="s">
        <v>14</v>
      </c>
      <c r="K22" t="s">
        <v>18</v>
      </c>
      <c r="L22" s="1" t="e">
        <f>VLOOKUP(A22,#REF!,2,0)</f>
        <v>#REF!</v>
      </c>
      <c r="M22" s="1">
        <v>4725000</v>
      </c>
      <c r="N22" s="1">
        <v>4725000</v>
      </c>
      <c r="P22" t="s">
        <v>704</v>
      </c>
      <c r="Q22" s="1" t="e">
        <f t="shared" si="2"/>
        <v>#REF!</v>
      </c>
    </row>
    <row r="23" spans="1:19" x14ac:dyDescent="0.25">
      <c r="A23" t="s">
        <v>1012</v>
      </c>
      <c r="B23" t="s">
        <v>13</v>
      </c>
      <c r="C23" s="12">
        <v>46024</v>
      </c>
      <c r="D23" s="12">
        <v>46112</v>
      </c>
      <c r="E23" t="s">
        <v>775</v>
      </c>
      <c r="F23" t="s">
        <v>14</v>
      </c>
      <c r="G23">
        <v>1233193191</v>
      </c>
      <c r="H23" t="s">
        <v>195</v>
      </c>
      <c r="I23">
        <v>43624414</v>
      </c>
      <c r="J23" t="s">
        <v>14</v>
      </c>
      <c r="K23" t="s">
        <v>18</v>
      </c>
      <c r="L23" s="1" t="e">
        <f>VLOOKUP(A23,#REF!,2,0)</f>
        <v>#REF!</v>
      </c>
      <c r="M23" s="1">
        <v>3150000</v>
      </c>
      <c r="N23" s="10">
        <v>9450000</v>
      </c>
      <c r="O23" s="10"/>
      <c r="P23" t="s">
        <v>704</v>
      </c>
      <c r="Q23" s="1" t="e">
        <f t="shared" si="2"/>
        <v>#REF!</v>
      </c>
      <c r="S23" s="11" t="s">
        <v>1036</v>
      </c>
    </row>
    <row r="24" spans="1:19" x14ac:dyDescent="0.25">
      <c r="A24" t="s">
        <v>528</v>
      </c>
      <c r="B24" t="s">
        <v>13</v>
      </c>
      <c r="C24" s="12">
        <v>45939</v>
      </c>
      <c r="D24" s="12">
        <v>46022</v>
      </c>
      <c r="E24" t="s">
        <v>715</v>
      </c>
      <c r="F24" t="s">
        <v>14</v>
      </c>
      <c r="G24">
        <v>1081052090</v>
      </c>
      <c r="H24" t="s">
        <v>529</v>
      </c>
      <c r="I24">
        <v>98333941</v>
      </c>
      <c r="J24" t="s">
        <v>14</v>
      </c>
      <c r="K24" t="s">
        <v>15</v>
      </c>
      <c r="L24" s="1" t="e">
        <f>VLOOKUP(A24,#REF!,2,0)</f>
        <v>#REF!</v>
      </c>
      <c r="M24" s="1">
        <v>6000000</v>
      </c>
      <c r="N24" s="1">
        <v>6000000</v>
      </c>
      <c r="P24" t="s">
        <v>704</v>
      </c>
      <c r="Q24" s="1" t="e">
        <f t="shared" si="2"/>
        <v>#REF!</v>
      </c>
    </row>
    <row r="25" spans="1:19" x14ac:dyDescent="0.25">
      <c r="A25" t="s">
        <v>142</v>
      </c>
      <c r="B25" t="s">
        <v>13</v>
      </c>
      <c r="C25" s="12">
        <v>45945</v>
      </c>
      <c r="D25" s="12">
        <v>46022</v>
      </c>
      <c r="E25" t="s">
        <v>723</v>
      </c>
      <c r="F25" t="s">
        <v>14</v>
      </c>
      <c r="G25">
        <v>1080040525</v>
      </c>
      <c r="H25" t="s">
        <v>143</v>
      </c>
      <c r="I25">
        <v>98333941</v>
      </c>
      <c r="J25" t="s">
        <v>14</v>
      </c>
      <c r="K25" t="s">
        <v>15</v>
      </c>
      <c r="L25" s="1" t="e">
        <f>VLOOKUP(A25,#REF!,2,0)</f>
        <v>#REF!</v>
      </c>
      <c r="M25" s="1">
        <v>6000000</v>
      </c>
      <c r="N25" s="1">
        <v>6000000</v>
      </c>
      <c r="P25" t="s">
        <v>704</v>
      </c>
      <c r="Q25" s="1" t="e">
        <f t="shared" si="2"/>
        <v>#REF!</v>
      </c>
    </row>
    <row r="26" spans="1:19" x14ac:dyDescent="0.25">
      <c r="A26" t="s">
        <v>615</v>
      </c>
      <c r="B26" t="s">
        <v>13</v>
      </c>
      <c r="C26" s="12">
        <v>45944</v>
      </c>
      <c r="D26" s="12">
        <v>46022</v>
      </c>
      <c r="E26" t="s">
        <v>810</v>
      </c>
      <c r="F26" t="s">
        <v>14</v>
      </c>
      <c r="G26">
        <v>59313273</v>
      </c>
      <c r="H26" t="s">
        <v>616</v>
      </c>
      <c r="I26">
        <v>59836926</v>
      </c>
      <c r="J26" t="s">
        <v>14</v>
      </c>
      <c r="K26" t="s">
        <v>17</v>
      </c>
      <c r="L26" s="1" t="e">
        <f>VLOOKUP(A26,#REF!,2,0)</f>
        <v>#REF!</v>
      </c>
      <c r="M26" s="1">
        <v>6000000</v>
      </c>
      <c r="N26" s="1">
        <v>6000000</v>
      </c>
      <c r="P26" t="s">
        <v>704</v>
      </c>
      <c r="Q26" s="1" t="e">
        <f t="shared" si="2"/>
        <v>#REF!</v>
      </c>
    </row>
    <row r="27" spans="1:19" x14ac:dyDescent="0.25">
      <c r="A27" t="s">
        <v>522</v>
      </c>
      <c r="B27" t="s">
        <v>13</v>
      </c>
      <c r="C27" s="12">
        <v>45944</v>
      </c>
      <c r="D27" s="12">
        <v>46022</v>
      </c>
      <c r="E27" t="s">
        <v>742</v>
      </c>
      <c r="F27" t="s">
        <v>14</v>
      </c>
      <c r="G27">
        <v>1085313195</v>
      </c>
      <c r="H27" t="s">
        <v>523</v>
      </c>
      <c r="I27">
        <v>43624414</v>
      </c>
      <c r="J27" t="s">
        <v>14</v>
      </c>
      <c r="K27" t="s">
        <v>18</v>
      </c>
      <c r="L27" s="1" t="e">
        <f>VLOOKUP(A27,#REF!,2,0)</f>
        <v>#REF!</v>
      </c>
      <c r="M27" s="1">
        <v>6000000</v>
      </c>
      <c r="N27" s="1">
        <v>6000000</v>
      </c>
      <c r="P27" t="s">
        <v>704</v>
      </c>
      <c r="Q27" s="1" t="e">
        <f t="shared" si="2"/>
        <v>#REF!</v>
      </c>
    </row>
    <row r="28" spans="1:19" x14ac:dyDescent="0.25">
      <c r="A28" t="s">
        <v>262</v>
      </c>
      <c r="B28" t="s">
        <v>13</v>
      </c>
      <c r="C28" s="12">
        <v>45944</v>
      </c>
      <c r="D28" s="12">
        <v>46022</v>
      </c>
      <c r="E28" t="s">
        <v>751</v>
      </c>
      <c r="F28" t="s">
        <v>14</v>
      </c>
      <c r="G28">
        <v>1085334752</v>
      </c>
      <c r="H28" t="s">
        <v>263</v>
      </c>
      <c r="I28">
        <v>98333941</v>
      </c>
      <c r="J28" t="s">
        <v>14</v>
      </c>
      <c r="K28" t="s">
        <v>15</v>
      </c>
      <c r="L28" s="1" t="e">
        <f>VLOOKUP(A28,#REF!,2,0)</f>
        <v>#REF!</v>
      </c>
      <c r="M28" s="1">
        <v>6000000</v>
      </c>
      <c r="N28" s="1">
        <v>6000000</v>
      </c>
      <c r="P28" t="s">
        <v>704</v>
      </c>
      <c r="Q28" s="1" t="e">
        <f t="shared" si="2"/>
        <v>#REF!</v>
      </c>
    </row>
    <row r="29" spans="1:19" x14ac:dyDescent="0.25">
      <c r="A29" t="s">
        <v>406</v>
      </c>
      <c r="B29" t="s">
        <v>13</v>
      </c>
      <c r="C29" s="12">
        <v>45944</v>
      </c>
      <c r="D29" s="12">
        <v>46022</v>
      </c>
      <c r="E29" t="s">
        <v>774</v>
      </c>
      <c r="F29" t="s">
        <v>14</v>
      </c>
      <c r="G29">
        <v>87060188</v>
      </c>
      <c r="H29" t="s">
        <v>407</v>
      </c>
      <c r="I29">
        <v>43624414</v>
      </c>
      <c r="J29" t="s">
        <v>14</v>
      </c>
      <c r="K29" t="s">
        <v>18</v>
      </c>
      <c r="L29" s="1" t="e">
        <f>VLOOKUP(A29,#REF!,2,0)</f>
        <v>#REF!</v>
      </c>
      <c r="M29" s="1">
        <v>6000000</v>
      </c>
      <c r="N29" s="1">
        <v>6000000</v>
      </c>
      <c r="P29" t="s">
        <v>704</v>
      </c>
      <c r="Q29" s="1" t="e">
        <f t="shared" si="2"/>
        <v>#REF!</v>
      </c>
    </row>
    <row r="30" spans="1:19" x14ac:dyDescent="0.25">
      <c r="A30" t="s">
        <v>349</v>
      </c>
      <c r="B30" t="s">
        <v>13</v>
      </c>
      <c r="C30" s="12">
        <v>45944</v>
      </c>
      <c r="D30" s="12">
        <v>46022</v>
      </c>
      <c r="E30" t="s">
        <v>748</v>
      </c>
      <c r="F30" t="s">
        <v>14</v>
      </c>
      <c r="G30">
        <v>1137089036</v>
      </c>
      <c r="H30" t="s">
        <v>350</v>
      </c>
      <c r="I30">
        <v>59836926</v>
      </c>
      <c r="J30" t="s">
        <v>14</v>
      </c>
      <c r="K30" t="s">
        <v>17</v>
      </c>
      <c r="L30" s="1" t="e">
        <f>VLOOKUP(A30,#REF!,2,0)</f>
        <v>#REF!</v>
      </c>
      <c r="M30" s="1">
        <v>6000000</v>
      </c>
      <c r="N30" s="1">
        <v>6000000</v>
      </c>
      <c r="P30" t="s">
        <v>704</v>
      </c>
      <c r="Q30" s="1" t="e">
        <f t="shared" si="2"/>
        <v>#REF!</v>
      </c>
    </row>
    <row r="31" spans="1:19" x14ac:dyDescent="0.25">
      <c r="A31" t="s">
        <v>424</v>
      </c>
      <c r="B31" t="s">
        <v>13</v>
      </c>
      <c r="C31" s="12">
        <v>45944</v>
      </c>
      <c r="D31" s="12">
        <v>46022</v>
      </c>
      <c r="E31" t="s">
        <v>715</v>
      </c>
      <c r="F31" t="s">
        <v>14</v>
      </c>
      <c r="G31">
        <v>1233188221</v>
      </c>
      <c r="H31" t="s">
        <v>425</v>
      </c>
      <c r="I31">
        <v>98333941</v>
      </c>
      <c r="J31" t="s">
        <v>14</v>
      </c>
      <c r="K31" t="s">
        <v>15</v>
      </c>
      <c r="L31" s="1" t="e">
        <f>VLOOKUP(A31,#REF!,2,0)</f>
        <v>#REF!</v>
      </c>
      <c r="M31" s="1">
        <v>6000000</v>
      </c>
      <c r="N31" s="1">
        <v>6000000</v>
      </c>
      <c r="P31" t="s">
        <v>704</v>
      </c>
      <c r="Q31" s="1" t="e">
        <f t="shared" si="2"/>
        <v>#REF!</v>
      </c>
    </row>
    <row r="32" spans="1:19" x14ac:dyDescent="0.25">
      <c r="A32" t="s">
        <v>236</v>
      </c>
      <c r="B32" t="s">
        <v>13</v>
      </c>
      <c r="C32" s="12">
        <v>45944</v>
      </c>
      <c r="D32" s="12">
        <v>46022</v>
      </c>
      <c r="E32" t="s">
        <v>748</v>
      </c>
      <c r="F32" t="s">
        <v>14</v>
      </c>
      <c r="G32">
        <v>27082650</v>
      </c>
      <c r="H32" t="s">
        <v>237</v>
      </c>
      <c r="I32">
        <v>43624414</v>
      </c>
      <c r="J32" t="s">
        <v>14</v>
      </c>
      <c r="K32" t="s">
        <v>18</v>
      </c>
      <c r="L32" s="1" t="e">
        <f>VLOOKUP(A32,#REF!,2,0)</f>
        <v>#REF!</v>
      </c>
      <c r="M32" s="1">
        <v>6000000</v>
      </c>
      <c r="N32" s="1">
        <v>6000000</v>
      </c>
      <c r="P32" t="s">
        <v>704</v>
      </c>
      <c r="Q32" s="1" t="e">
        <f t="shared" si="2"/>
        <v>#REF!</v>
      </c>
    </row>
    <row r="33" spans="1:19" x14ac:dyDescent="0.25">
      <c r="A33" t="s">
        <v>224</v>
      </c>
      <c r="B33" t="s">
        <v>13</v>
      </c>
      <c r="C33" s="12">
        <v>45944</v>
      </c>
      <c r="D33" s="12">
        <v>46022</v>
      </c>
      <c r="E33" t="s">
        <v>715</v>
      </c>
      <c r="F33" t="s">
        <v>14</v>
      </c>
      <c r="G33">
        <v>1085253462</v>
      </c>
      <c r="H33" t="s">
        <v>225</v>
      </c>
      <c r="I33">
        <v>59836926</v>
      </c>
      <c r="J33" t="s">
        <v>14</v>
      </c>
      <c r="K33" t="s">
        <v>17</v>
      </c>
      <c r="L33" s="1" t="e">
        <f>VLOOKUP(A33,#REF!,2,0)</f>
        <v>#REF!</v>
      </c>
      <c r="M33" s="1">
        <v>6000000</v>
      </c>
      <c r="N33" s="1">
        <v>6000000</v>
      </c>
      <c r="P33" t="s">
        <v>704</v>
      </c>
      <c r="Q33" s="1" t="e">
        <f t="shared" si="2"/>
        <v>#REF!</v>
      </c>
    </row>
    <row r="34" spans="1:19" x14ac:dyDescent="0.25">
      <c r="A34" t="s">
        <v>241</v>
      </c>
      <c r="B34" t="s">
        <v>13</v>
      </c>
      <c r="C34" s="12">
        <v>45940</v>
      </c>
      <c r="D34" s="12">
        <v>46022</v>
      </c>
      <c r="E34" t="s">
        <v>715</v>
      </c>
      <c r="F34" t="s">
        <v>14</v>
      </c>
      <c r="G34">
        <v>1081282855</v>
      </c>
      <c r="H34" t="s">
        <v>242</v>
      </c>
      <c r="I34">
        <v>43624414</v>
      </c>
      <c r="J34" t="s">
        <v>14</v>
      </c>
      <c r="K34" t="s">
        <v>18</v>
      </c>
      <c r="L34" s="1" t="e">
        <f>VLOOKUP(A34,#REF!,2,0)</f>
        <v>#REF!</v>
      </c>
      <c r="M34" s="1">
        <v>6000000</v>
      </c>
      <c r="N34" s="1">
        <v>6000000</v>
      </c>
      <c r="P34" t="s">
        <v>704</v>
      </c>
      <c r="Q34" s="1" t="e">
        <f t="shared" si="2"/>
        <v>#REF!</v>
      </c>
    </row>
    <row r="35" spans="1:19" x14ac:dyDescent="0.25">
      <c r="A35" t="s">
        <v>216</v>
      </c>
      <c r="B35" t="s">
        <v>13</v>
      </c>
      <c r="C35" s="12">
        <v>45940</v>
      </c>
      <c r="D35" s="12">
        <v>46022</v>
      </c>
      <c r="E35" t="s">
        <v>742</v>
      </c>
      <c r="F35" t="s">
        <v>14</v>
      </c>
      <c r="G35">
        <v>1004217048</v>
      </c>
      <c r="H35" t="s">
        <v>217</v>
      </c>
      <c r="I35">
        <v>98333941</v>
      </c>
      <c r="J35" t="s">
        <v>14</v>
      </c>
      <c r="K35" t="s">
        <v>15</v>
      </c>
      <c r="L35" s="1" t="e">
        <f>VLOOKUP(A35,#REF!,2,0)</f>
        <v>#REF!</v>
      </c>
      <c r="M35" s="1">
        <v>6000000</v>
      </c>
      <c r="N35" s="1">
        <v>6000000</v>
      </c>
      <c r="P35" t="s">
        <v>704</v>
      </c>
      <c r="Q35" s="1" t="e">
        <f t="shared" si="2"/>
        <v>#REF!</v>
      </c>
    </row>
    <row r="36" spans="1:19" x14ac:dyDescent="0.25">
      <c r="A36" t="s">
        <v>535</v>
      </c>
      <c r="B36" t="s">
        <v>13</v>
      </c>
      <c r="C36" s="12">
        <v>45940</v>
      </c>
      <c r="D36" s="12">
        <v>46022</v>
      </c>
      <c r="E36" t="s">
        <v>797</v>
      </c>
      <c r="F36" t="s">
        <v>14</v>
      </c>
      <c r="G36">
        <v>1233190640</v>
      </c>
      <c r="H36" t="s">
        <v>536</v>
      </c>
      <c r="I36">
        <v>43624414</v>
      </c>
      <c r="J36" t="s">
        <v>14</v>
      </c>
      <c r="K36" t="s">
        <v>18</v>
      </c>
      <c r="L36" s="1" t="e">
        <f>VLOOKUP(A36,#REF!,2,0)</f>
        <v>#REF!</v>
      </c>
      <c r="M36" s="1">
        <v>6000000</v>
      </c>
      <c r="N36" s="1">
        <v>6000000</v>
      </c>
      <c r="P36" t="s">
        <v>704</v>
      </c>
      <c r="Q36" s="1" t="e">
        <f t="shared" si="2"/>
        <v>#REF!</v>
      </c>
    </row>
    <row r="37" spans="1:19" x14ac:dyDescent="0.25">
      <c r="A37" t="s">
        <v>258</v>
      </c>
      <c r="B37" t="s">
        <v>13</v>
      </c>
      <c r="C37" s="12">
        <v>45940</v>
      </c>
      <c r="D37" s="12">
        <v>46022</v>
      </c>
      <c r="E37" t="s">
        <v>715</v>
      </c>
      <c r="F37" t="s">
        <v>14</v>
      </c>
      <c r="G37">
        <v>59314118</v>
      </c>
      <c r="H37" t="s">
        <v>259</v>
      </c>
      <c r="I37">
        <v>43624414</v>
      </c>
      <c r="J37" t="s">
        <v>14</v>
      </c>
      <c r="K37" t="s">
        <v>18</v>
      </c>
      <c r="L37" s="1" t="e">
        <f>VLOOKUP(A37,#REF!,2,0)</f>
        <v>#REF!</v>
      </c>
      <c r="M37" s="1">
        <v>6000000</v>
      </c>
      <c r="N37" s="1">
        <v>6000000</v>
      </c>
      <c r="P37" t="s">
        <v>704</v>
      </c>
      <c r="Q37" s="1" t="e">
        <f t="shared" si="2"/>
        <v>#REF!</v>
      </c>
    </row>
    <row r="38" spans="1:19" x14ac:dyDescent="0.25">
      <c r="A38" t="s">
        <v>111</v>
      </c>
      <c r="B38" t="s">
        <v>13</v>
      </c>
      <c r="C38" s="12">
        <v>45940</v>
      </c>
      <c r="D38" s="12">
        <v>46022</v>
      </c>
      <c r="E38" t="s">
        <v>715</v>
      </c>
      <c r="F38" t="s">
        <v>14</v>
      </c>
      <c r="G38">
        <v>1085310465</v>
      </c>
      <c r="H38" t="s">
        <v>112</v>
      </c>
      <c r="I38">
        <v>98390119</v>
      </c>
      <c r="J38" t="s">
        <v>14</v>
      </c>
      <c r="K38" t="s">
        <v>63</v>
      </c>
      <c r="L38" s="1" t="e">
        <f>VLOOKUP(A38,#REF!,2,0)</f>
        <v>#REF!</v>
      </c>
      <c r="M38" s="1">
        <v>6000000</v>
      </c>
      <c r="N38" s="1">
        <v>6000000</v>
      </c>
      <c r="P38" t="s">
        <v>704</v>
      </c>
      <c r="Q38" s="1" t="e">
        <f t="shared" si="2"/>
        <v>#REF!</v>
      </c>
    </row>
    <row r="39" spans="1:19" x14ac:dyDescent="0.25">
      <c r="A39" t="s">
        <v>228</v>
      </c>
      <c r="B39" t="s">
        <v>13</v>
      </c>
      <c r="C39" s="12">
        <v>45940</v>
      </c>
      <c r="D39" s="12">
        <v>46022</v>
      </c>
      <c r="E39" t="s">
        <v>746</v>
      </c>
      <c r="F39" t="s">
        <v>14</v>
      </c>
      <c r="G39">
        <v>59829440</v>
      </c>
      <c r="H39" t="s">
        <v>229</v>
      </c>
      <c r="I39">
        <v>98333941</v>
      </c>
      <c r="J39" t="s">
        <v>14</v>
      </c>
      <c r="K39" t="s">
        <v>15</v>
      </c>
      <c r="L39" s="1" t="e">
        <f>VLOOKUP(A39,#REF!,2,0)</f>
        <v>#REF!</v>
      </c>
      <c r="M39" s="1">
        <v>6000000</v>
      </c>
      <c r="N39" s="1">
        <v>6000000</v>
      </c>
      <c r="P39" t="s">
        <v>704</v>
      </c>
      <c r="Q39" s="1" t="e">
        <f t="shared" si="2"/>
        <v>#REF!</v>
      </c>
    </row>
    <row r="40" spans="1:19" x14ac:dyDescent="0.25">
      <c r="A40" t="s">
        <v>587</v>
      </c>
      <c r="B40" t="s">
        <v>13</v>
      </c>
      <c r="C40" s="12">
        <v>45940</v>
      </c>
      <c r="D40" s="12">
        <v>46022</v>
      </c>
      <c r="E40" t="s">
        <v>715</v>
      </c>
      <c r="F40" t="s">
        <v>14</v>
      </c>
      <c r="G40">
        <v>27086745</v>
      </c>
      <c r="H40" t="s">
        <v>588</v>
      </c>
      <c r="I40">
        <v>59836926</v>
      </c>
      <c r="J40" t="s">
        <v>14</v>
      </c>
      <c r="K40" t="s">
        <v>17</v>
      </c>
      <c r="L40" s="1" t="e">
        <f>VLOOKUP(A40,#REF!,2,0)</f>
        <v>#REF!</v>
      </c>
      <c r="M40" s="1">
        <v>6000000</v>
      </c>
      <c r="N40" s="1">
        <v>6000000</v>
      </c>
      <c r="P40" t="s">
        <v>704</v>
      </c>
      <c r="Q40" s="1" t="e">
        <f t="shared" si="2"/>
        <v>#REF!</v>
      </c>
    </row>
    <row r="41" spans="1:19" x14ac:dyDescent="0.25">
      <c r="A41" t="s">
        <v>625</v>
      </c>
      <c r="B41" t="s">
        <v>13</v>
      </c>
      <c r="C41" s="12">
        <v>45939</v>
      </c>
      <c r="D41" s="12">
        <v>46022</v>
      </c>
      <c r="E41" t="s">
        <v>812</v>
      </c>
      <c r="F41" t="s">
        <v>14</v>
      </c>
      <c r="G41">
        <v>1085334831</v>
      </c>
      <c r="H41" t="s">
        <v>626</v>
      </c>
      <c r="I41">
        <v>98390119</v>
      </c>
      <c r="J41" t="s">
        <v>14</v>
      </c>
      <c r="K41" t="s">
        <v>63</v>
      </c>
      <c r="L41" s="1" t="e">
        <f>VLOOKUP(A41,#REF!,2,0)</f>
        <v>#REF!</v>
      </c>
      <c r="M41" s="1">
        <v>6000000</v>
      </c>
      <c r="N41" s="1">
        <v>6000000</v>
      </c>
      <c r="P41" t="s">
        <v>704</v>
      </c>
      <c r="Q41" s="1" t="e">
        <f t="shared" si="2"/>
        <v>#REF!</v>
      </c>
    </row>
    <row r="42" spans="1:19" x14ac:dyDescent="0.25">
      <c r="A42" t="s">
        <v>611</v>
      </c>
      <c r="B42" t="s">
        <v>13</v>
      </c>
      <c r="C42" s="12">
        <v>45939</v>
      </c>
      <c r="D42" s="12">
        <v>46022</v>
      </c>
      <c r="E42" t="s">
        <v>721</v>
      </c>
      <c r="F42" t="s">
        <v>14</v>
      </c>
      <c r="G42">
        <v>36933095</v>
      </c>
      <c r="H42" t="s">
        <v>612</v>
      </c>
      <c r="I42">
        <v>98333941</v>
      </c>
      <c r="J42" t="s">
        <v>14</v>
      </c>
      <c r="K42" t="s">
        <v>15</v>
      </c>
      <c r="L42" s="1" t="e">
        <f>VLOOKUP(A42,#REF!,2,0)</f>
        <v>#REF!</v>
      </c>
      <c r="M42" s="1">
        <v>6000000</v>
      </c>
      <c r="N42" s="1">
        <v>6000000</v>
      </c>
      <c r="P42" t="s">
        <v>704</v>
      </c>
      <c r="Q42" s="1" t="e">
        <f t="shared" si="2"/>
        <v>#REF!</v>
      </c>
    </row>
    <row r="43" spans="1:19" x14ac:dyDescent="0.25">
      <c r="A43" t="s">
        <v>507</v>
      </c>
      <c r="B43" t="s">
        <v>13</v>
      </c>
      <c r="C43" s="12">
        <v>45939</v>
      </c>
      <c r="D43" s="12">
        <v>46022</v>
      </c>
      <c r="E43" t="s">
        <v>715</v>
      </c>
      <c r="F43" t="s">
        <v>14</v>
      </c>
      <c r="G43">
        <v>1085317085</v>
      </c>
      <c r="H43" t="s">
        <v>508</v>
      </c>
      <c r="I43">
        <v>59836926</v>
      </c>
      <c r="J43" t="s">
        <v>14</v>
      </c>
      <c r="K43" t="s">
        <v>17</v>
      </c>
      <c r="L43" s="1" t="e">
        <f>VLOOKUP(A43,#REF!,2,0)</f>
        <v>#REF!</v>
      </c>
      <c r="M43" s="1">
        <v>6000000</v>
      </c>
      <c r="N43" s="1">
        <v>6000000</v>
      </c>
      <c r="P43" t="s">
        <v>704</v>
      </c>
      <c r="Q43" s="1" t="e">
        <f t="shared" si="2"/>
        <v>#REF!</v>
      </c>
    </row>
    <row r="44" spans="1:19" x14ac:dyDescent="0.25">
      <c r="A44" t="s">
        <v>501</v>
      </c>
      <c r="B44" t="s">
        <v>13</v>
      </c>
      <c r="C44" s="12">
        <v>45939</v>
      </c>
      <c r="D44" s="12">
        <v>46022</v>
      </c>
      <c r="E44" t="s">
        <v>751</v>
      </c>
      <c r="F44" t="s">
        <v>14</v>
      </c>
      <c r="G44">
        <v>12990231</v>
      </c>
      <c r="H44" t="s">
        <v>502</v>
      </c>
      <c r="I44">
        <v>59836926</v>
      </c>
      <c r="J44" t="s">
        <v>14</v>
      </c>
      <c r="K44" t="s">
        <v>17</v>
      </c>
      <c r="L44" s="1" t="e">
        <f>VLOOKUP(A44,#REF!,2,0)</f>
        <v>#REF!</v>
      </c>
      <c r="M44" s="1">
        <v>6000000</v>
      </c>
      <c r="N44" s="1">
        <v>6000000</v>
      </c>
      <c r="P44" t="s">
        <v>704</v>
      </c>
      <c r="Q44" s="1" t="e">
        <f t="shared" si="2"/>
        <v>#REF!</v>
      </c>
    </row>
    <row r="45" spans="1:19" x14ac:dyDescent="0.25">
      <c r="A45" t="s">
        <v>178</v>
      </c>
      <c r="B45" t="s">
        <v>13</v>
      </c>
      <c r="C45" s="12">
        <v>45939</v>
      </c>
      <c r="D45" s="12">
        <v>46022</v>
      </c>
      <c r="E45" t="s">
        <v>732</v>
      </c>
      <c r="F45" t="s">
        <v>14</v>
      </c>
      <c r="G45">
        <v>12974849</v>
      </c>
      <c r="H45" t="s">
        <v>179</v>
      </c>
      <c r="I45">
        <v>43624414</v>
      </c>
      <c r="J45" t="s">
        <v>14</v>
      </c>
      <c r="K45" t="s">
        <v>18</v>
      </c>
      <c r="L45" s="1" t="e">
        <f>VLOOKUP(A45,#REF!,2,0)</f>
        <v>#REF!</v>
      </c>
      <c r="M45" s="1">
        <v>6000000</v>
      </c>
      <c r="N45" s="1">
        <v>6000000</v>
      </c>
      <c r="P45" t="s">
        <v>704</v>
      </c>
      <c r="Q45" s="1" t="e">
        <f t="shared" si="2"/>
        <v>#REF!</v>
      </c>
    </row>
    <row r="46" spans="1:19" x14ac:dyDescent="0.25">
      <c r="A46" t="s">
        <v>624</v>
      </c>
      <c r="B46" t="s">
        <v>13</v>
      </c>
      <c r="C46" s="12">
        <v>45972</v>
      </c>
      <c r="D46" s="12">
        <v>46022</v>
      </c>
      <c r="E46" t="s">
        <v>775</v>
      </c>
      <c r="F46" t="s">
        <v>14</v>
      </c>
      <c r="G46">
        <v>1085317833</v>
      </c>
      <c r="H46" t="s">
        <v>41</v>
      </c>
      <c r="I46">
        <v>59836926</v>
      </c>
      <c r="J46" t="s">
        <v>14</v>
      </c>
      <c r="K46" t="s">
        <v>17</v>
      </c>
      <c r="L46" s="1" t="e">
        <f>VLOOKUP(A46,#REF!,2,0)</f>
        <v>#REF!</v>
      </c>
      <c r="M46" s="1">
        <v>6300000</v>
      </c>
      <c r="N46" s="1">
        <v>6300000</v>
      </c>
      <c r="P46" t="s">
        <v>704</v>
      </c>
      <c r="Q46" s="1" t="e">
        <f t="shared" si="2"/>
        <v>#REF!</v>
      </c>
    </row>
    <row r="47" spans="1:19" x14ac:dyDescent="0.25">
      <c r="A47" t="s">
        <v>513</v>
      </c>
      <c r="B47" t="s">
        <v>13</v>
      </c>
      <c r="C47" s="12">
        <v>45972</v>
      </c>
      <c r="D47" s="12">
        <v>46022</v>
      </c>
      <c r="E47" t="s">
        <v>323</v>
      </c>
      <c r="F47" t="s">
        <v>14</v>
      </c>
      <c r="G47">
        <v>1233192104</v>
      </c>
      <c r="H47" t="s">
        <v>514</v>
      </c>
      <c r="I47">
        <v>59836926</v>
      </c>
      <c r="J47" t="s">
        <v>14</v>
      </c>
      <c r="K47" t="s">
        <v>17</v>
      </c>
      <c r="L47" s="1" t="e">
        <f>VLOOKUP(A47,#REF!,2,0)</f>
        <v>#REF!</v>
      </c>
      <c r="M47" s="1">
        <v>6300000</v>
      </c>
      <c r="N47" s="1">
        <v>6300000</v>
      </c>
      <c r="P47" t="s">
        <v>704</v>
      </c>
      <c r="Q47" s="1" t="e">
        <f t="shared" si="2"/>
        <v>#REF!</v>
      </c>
    </row>
    <row r="48" spans="1:19" x14ac:dyDescent="0.25">
      <c r="A48" t="s">
        <v>1033</v>
      </c>
      <c r="B48" t="s">
        <v>13</v>
      </c>
      <c r="C48" s="12">
        <v>46024</v>
      </c>
      <c r="D48" s="12">
        <v>46112</v>
      </c>
      <c r="E48" t="s">
        <v>775</v>
      </c>
      <c r="F48" t="s">
        <v>14</v>
      </c>
      <c r="G48">
        <v>1082748420</v>
      </c>
      <c r="H48" t="s">
        <v>65</v>
      </c>
      <c r="I48">
        <v>98333941</v>
      </c>
      <c r="J48" t="s">
        <v>14</v>
      </c>
      <c r="K48" t="s">
        <v>15</v>
      </c>
      <c r="L48" s="1" t="e">
        <f>VLOOKUP(A48,#REF!,2,0)</f>
        <v>#REF!</v>
      </c>
      <c r="M48" s="1">
        <v>6300000</v>
      </c>
      <c r="N48" s="10">
        <v>18900000</v>
      </c>
      <c r="O48" s="10"/>
      <c r="P48" t="s">
        <v>704</v>
      </c>
      <c r="Q48" s="1" t="e">
        <f t="shared" ref="Q48:Q49" si="3">N48-L48</f>
        <v>#REF!</v>
      </c>
      <c r="S48" s="11" t="s">
        <v>1036</v>
      </c>
    </row>
    <row r="49" spans="1:19" x14ac:dyDescent="0.25">
      <c r="A49" t="s">
        <v>1040</v>
      </c>
      <c r="B49" t="s">
        <v>13</v>
      </c>
      <c r="C49" s="12">
        <v>46024</v>
      </c>
      <c r="D49" s="12">
        <v>46112</v>
      </c>
      <c r="E49" t="s">
        <v>775</v>
      </c>
      <c r="F49" t="s">
        <v>14</v>
      </c>
      <c r="G49">
        <v>1085252263</v>
      </c>
      <c r="H49" t="s">
        <v>879</v>
      </c>
      <c r="I49">
        <v>43624414</v>
      </c>
      <c r="J49" t="s">
        <v>14</v>
      </c>
      <c r="K49" t="s">
        <v>18</v>
      </c>
      <c r="L49" s="1" t="e">
        <f>VLOOKUP(A49,#REF!,2,0)</f>
        <v>#REF!</v>
      </c>
      <c r="M49" s="1">
        <v>3150000</v>
      </c>
      <c r="N49" s="10">
        <v>9450000</v>
      </c>
      <c r="O49" s="10"/>
      <c r="P49" t="s">
        <v>704</v>
      </c>
      <c r="Q49" s="1" t="e">
        <f t="shared" si="3"/>
        <v>#REF!</v>
      </c>
      <c r="S49" s="11" t="s">
        <v>1036</v>
      </c>
    </row>
    <row r="50" spans="1:19" x14ac:dyDescent="0.25">
      <c r="A50" t="s">
        <v>408</v>
      </c>
      <c r="B50" t="s">
        <v>13</v>
      </c>
      <c r="C50" s="12">
        <v>45971</v>
      </c>
      <c r="D50" s="12">
        <v>46022</v>
      </c>
      <c r="E50" t="s">
        <v>775</v>
      </c>
      <c r="F50" t="s">
        <v>14</v>
      </c>
      <c r="G50">
        <v>1086222689</v>
      </c>
      <c r="H50" t="s">
        <v>36</v>
      </c>
      <c r="I50">
        <v>59836926</v>
      </c>
      <c r="J50" t="s">
        <v>14</v>
      </c>
      <c r="K50" t="s">
        <v>17</v>
      </c>
      <c r="L50" s="1" t="e">
        <f>VLOOKUP(A50,#REF!,2,0)</f>
        <v>#REF!</v>
      </c>
      <c r="M50" s="1">
        <v>6300000</v>
      </c>
      <c r="N50" s="1">
        <v>6300000</v>
      </c>
      <c r="P50" t="s">
        <v>704</v>
      </c>
      <c r="Q50" s="1" t="e">
        <f t="shared" ref="Q50:Q95" si="4">N50-L50</f>
        <v>#REF!</v>
      </c>
    </row>
    <row r="51" spans="1:19" x14ac:dyDescent="0.25">
      <c r="A51" t="s">
        <v>311</v>
      </c>
      <c r="B51" t="s">
        <v>13</v>
      </c>
      <c r="C51" s="12">
        <v>45971</v>
      </c>
      <c r="D51" s="12">
        <v>46022</v>
      </c>
      <c r="E51" t="s">
        <v>720</v>
      </c>
      <c r="F51" t="s">
        <v>14</v>
      </c>
      <c r="G51">
        <v>1085324685</v>
      </c>
      <c r="H51" t="s">
        <v>312</v>
      </c>
      <c r="I51">
        <v>43624414</v>
      </c>
      <c r="J51" t="s">
        <v>14</v>
      </c>
      <c r="K51" t="s">
        <v>18</v>
      </c>
      <c r="L51" s="1" t="e">
        <f>VLOOKUP(A51,#REF!,2,0)</f>
        <v>#REF!</v>
      </c>
      <c r="M51" s="1">
        <v>6300000</v>
      </c>
      <c r="N51" s="1">
        <v>6300000</v>
      </c>
      <c r="P51" t="s">
        <v>704</v>
      </c>
      <c r="Q51" s="1" t="e">
        <f t="shared" si="4"/>
        <v>#REF!</v>
      </c>
    </row>
    <row r="52" spans="1:19" x14ac:dyDescent="0.25">
      <c r="A52" t="s">
        <v>190</v>
      </c>
      <c r="B52" t="s">
        <v>13</v>
      </c>
      <c r="C52" s="12">
        <v>45971</v>
      </c>
      <c r="D52" s="12">
        <v>46022</v>
      </c>
      <c r="E52" t="s">
        <v>720</v>
      </c>
      <c r="F52" t="s">
        <v>14</v>
      </c>
      <c r="G52">
        <v>1085331508</v>
      </c>
      <c r="H52" t="s">
        <v>191</v>
      </c>
      <c r="I52">
        <v>59836926</v>
      </c>
      <c r="J52" t="s">
        <v>14</v>
      </c>
      <c r="K52" t="s">
        <v>17</v>
      </c>
      <c r="L52" s="1" t="e">
        <f>VLOOKUP(A52,#REF!,2,0)</f>
        <v>#REF!</v>
      </c>
      <c r="M52" s="1">
        <v>6300000</v>
      </c>
      <c r="N52" s="1">
        <v>6300000</v>
      </c>
      <c r="P52" t="s">
        <v>704</v>
      </c>
      <c r="Q52" s="1" t="e">
        <f t="shared" si="4"/>
        <v>#REF!</v>
      </c>
    </row>
    <row r="53" spans="1:19" x14ac:dyDescent="0.25">
      <c r="A53" t="s">
        <v>198</v>
      </c>
      <c r="B53" t="s">
        <v>13</v>
      </c>
      <c r="C53" s="12">
        <v>45968</v>
      </c>
      <c r="D53" s="12">
        <v>46022</v>
      </c>
      <c r="E53" t="s">
        <v>736</v>
      </c>
      <c r="F53" t="s">
        <v>14</v>
      </c>
      <c r="G53">
        <v>1085281002</v>
      </c>
      <c r="H53" t="s">
        <v>199</v>
      </c>
      <c r="I53">
        <v>59836926</v>
      </c>
      <c r="J53" t="s">
        <v>14</v>
      </c>
      <c r="K53" t="s">
        <v>17</v>
      </c>
      <c r="L53" s="1" t="e">
        <f>VLOOKUP(A53,#REF!,2,0)</f>
        <v>#REF!</v>
      </c>
      <c r="M53" s="1">
        <v>6300000</v>
      </c>
      <c r="N53" s="1">
        <v>6300000</v>
      </c>
      <c r="P53" t="s">
        <v>704</v>
      </c>
      <c r="Q53" s="1" t="e">
        <f t="shared" si="4"/>
        <v>#REF!</v>
      </c>
    </row>
    <row r="54" spans="1:19" x14ac:dyDescent="0.25">
      <c r="A54" t="s">
        <v>239</v>
      </c>
      <c r="B54" t="s">
        <v>13</v>
      </c>
      <c r="C54" s="12">
        <v>45967</v>
      </c>
      <c r="D54" s="12">
        <v>46022</v>
      </c>
      <c r="E54" t="s">
        <v>720</v>
      </c>
      <c r="F54" t="s">
        <v>14</v>
      </c>
      <c r="G54">
        <v>1085246674</v>
      </c>
      <c r="H54" t="s">
        <v>240</v>
      </c>
      <c r="I54">
        <v>43624414</v>
      </c>
      <c r="J54" t="s">
        <v>14</v>
      </c>
      <c r="K54" t="s">
        <v>18</v>
      </c>
      <c r="L54" s="1" t="e">
        <f>VLOOKUP(A54,#REF!,2,0)</f>
        <v>#REF!</v>
      </c>
      <c r="M54" s="1">
        <v>6300000</v>
      </c>
      <c r="N54" s="1">
        <v>6300000</v>
      </c>
      <c r="P54" t="s">
        <v>704</v>
      </c>
      <c r="Q54" s="1" t="e">
        <f t="shared" si="4"/>
        <v>#REF!</v>
      </c>
    </row>
    <row r="55" spans="1:19" x14ac:dyDescent="0.25">
      <c r="A55" t="s">
        <v>156</v>
      </c>
      <c r="B55" t="s">
        <v>13</v>
      </c>
      <c r="C55" s="12">
        <v>45967</v>
      </c>
      <c r="D55" s="12">
        <v>46022</v>
      </c>
      <c r="E55" t="s">
        <v>728</v>
      </c>
      <c r="F55" t="s">
        <v>14</v>
      </c>
      <c r="G55">
        <v>1088799080</v>
      </c>
      <c r="H55" t="s">
        <v>157</v>
      </c>
      <c r="I55">
        <v>43624414</v>
      </c>
      <c r="J55" t="s">
        <v>14</v>
      </c>
      <c r="K55" t="s">
        <v>18</v>
      </c>
      <c r="L55" s="1" t="e">
        <f>VLOOKUP(A55,#REF!,2,0)</f>
        <v>#REF!</v>
      </c>
      <c r="M55" s="1">
        <v>6300000</v>
      </c>
      <c r="N55" s="1">
        <v>6300000</v>
      </c>
      <c r="P55" t="s">
        <v>704</v>
      </c>
      <c r="Q55" s="1" t="e">
        <f t="shared" si="4"/>
        <v>#REF!</v>
      </c>
    </row>
    <row r="56" spans="1:19" x14ac:dyDescent="0.25">
      <c r="A56" t="s">
        <v>571</v>
      </c>
      <c r="B56" t="s">
        <v>13</v>
      </c>
      <c r="C56" s="12">
        <v>45967</v>
      </c>
      <c r="D56" s="12">
        <v>46022</v>
      </c>
      <c r="E56" t="s">
        <v>716</v>
      </c>
      <c r="F56" t="s">
        <v>14</v>
      </c>
      <c r="G56">
        <v>1233191133</v>
      </c>
      <c r="H56" t="s">
        <v>572</v>
      </c>
      <c r="I56">
        <v>59836926</v>
      </c>
      <c r="J56" t="s">
        <v>14</v>
      </c>
      <c r="K56" t="s">
        <v>17</v>
      </c>
      <c r="L56" s="1" t="e">
        <f>VLOOKUP(A56,#REF!,2,0)</f>
        <v>#REF!</v>
      </c>
      <c r="M56" s="1">
        <v>6300000</v>
      </c>
      <c r="N56" s="1">
        <v>6300000</v>
      </c>
      <c r="P56" t="s">
        <v>704</v>
      </c>
      <c r="Q56" s="1" t="e">
        <f t="shared" si="4"/>
        <v>#REF!</v>
      </c>
    </row>
    <row r="57" spans="1:19" x14ac:dyDescent="0.25">
      <c r="A57" t="s">
        <v>609</v>
      </c>
      <c r="B57" t="s">
        <v>13</v>
      </c>
      <c r="C57" s="12">
        <v>45966</v>
      </c>
      <c r="D57" s="12">
        <v>46022</v>
      </c>
      <c r="E57" t="s">
        <v>716</v>
      </c>
      <c r="F57" t="s">
        <v>14</v>
      </c>
      <c r="G57">
        <v>1085325325</v>
      </c>
      <c r="H57" t="s">
        <v>610</v>
      </c>
      <c r="I57">
        <v>43624414</v>
      </c>
      <c r="J57" t="s">
        <v>14</v>
      </c>
      <c r="K57" t="s">
        <v>18</v>
      </c>
      <c r="L57" s="1" t="e">
        <f>VLOOKUP(A57,#REF!,2,0)</f>
        <v>#REF!</v>
      </c>
      <c r="M57" s="1">
        <v>6300000</v>
      </c>
      <c r="N57" s="1">
        <v>6300000</v>
      </c>
      <c r="P57" t="s">
        <v>704</v>
      </c>
      <c r="Q57" s="1" t="e">
        <f t="shared" si="4"/>
        <v>#REF!</v>
      </c>
    </row>
    <row r="58" spans="1:19" x14ac:dyDescent="0.25">
      <c r="A58" t="s">
        <v>490</v>
      </c>
      <c r="B58" t="s">
        <v>13</v>
      </c>
      <c r="C58" s="12">
        <v>45966</v>
      </c>
      <c r="D58" s="12">
        <v>46022</v>
      </c>
      <c r="E58" t="s">
        <v>724</v>
      </c>
      <c r="F58" t="s">
        <v>14</v>
      </c>
      <c r="G58">
        <v>27091114</v>
      </c>
      <c r="H58" t="s">
        <v>80</v>
      </c>
      <c r="I58">
        <v>98390119</v>
      </c>
      <c r="J58" t="s">
        <v>14</v>
      </c>
      <c r="K58" t="s">
        <v>63</v>
      </c>
      <c r="L58" s="1" t="e">
        <f>VLOOKUP(A58,#REF!,2,0)</f>
        <v>#REF!</v>
      </c>
      <c r="M58" s="1">
        <v>6300000</v>
      </c>
      <c r="N58" s="1">
        <v>6300000</v>
      </c>
      <c r="P58" t="s">
        <v>704</v>
      </c>
      <c r="Q58" s="1" t="e">
        <f t="shared" si="4"/>
        <v>#REF!</v>
      </c>
    </row>
    <row r="59" spans="1:19" x14ac:dyDescent="0.25">
      <c r="A59" t="s">
        <v>232</v>
      </c>
      <c r="B59" t="s">
        <v>13</v>
      </c>
      <c r="C59" s="12">
        <v>45966</v>
      </c>
      <c r="D59" s="12">
        <v>46022</v>
      </c>
      <c r="E59" t="s">
        <v>747</v>
      </c>
      <c r="F59" t="s">
        <v>14</v>
      </c>
      <c r="G59">
        <v>1004190751</v>
      </c>
      <c r="H59" t="s">
        <v>233</v>
      </c>
      <c r="I59">
        <v>43624414</v>
      </c>
      <c r="J59" t="s">
        <v>14</v>
      </c>
      <c r="K59" t="s">
        <v>18</v>
      </c>
      <c r="L59" s="1" t="e">
        <f>VLOOKUP(A59,#REF!,2,0)</f>
        <v>#REF!</v>
      </c>
      <c r="M59" s="1">
        <v>6300000</v>
      </c>
      <c r="N59" s="1">
        <v>6300000</v>
      </c>
      <c r="P59" t="s">
        <v>704</v>
      </c>
      <c r="Q59" s="1" t="e">
        <f t="shared" si="4"/>
        <v>#REF!</v>
      </c>
    </row>
    <row r="60" spans="1:19" x14ac:dyDescent="0.25">
      <c r="A60" t="s">
        <v>322</v>
      </c>
      <c r="B60" t="s">
        <v>13</v>
      </c>
      <c r="C60" s="12">
        <v>45966</v>
      </c>
      <c r="D60" s="12">
        <v>46022</v>
      </c>
      <c r="E60" t="s">
        <v>323</v>
      </c>
      <c r="F60" t="s">
        <v>14</v>
      </c>
      <c r="G60">
        <v>1082748783</v>
      </c>
      <c r="H60" t="s">
        <v>67</v>
      </c>
      <c r="I60">
        <v>43624414</v>
      </c>
      <c r="J60" t="s">
        <v>14</v>
      </c>
      <c r="K60" t="s">
        <v>18</v>
      </c>
      <c r="L60" s="1" t="e">
        <f>VLOOKUP(A60,#REF!,2,0)</f>
        <v>#REF!</v>
      </c>
      <c r="M60" s="1">
        <v>6300000</v>
      </c>
      <c r="N60" s="1">
        <v>6300000</v>
      </c>
      <c r="P60" t="s">
        <v>704</v>
      </c>
      <c r="Q60" s="1" t="e">
        <f t="shared" si="4"/>
        <v>#REF!</v>
      </c>
    </row>
    <row r="61" spans="1:19" x14ac:dyDescent="0.25">
      <c r="A61" t="s">
        <v>648</v>
      </c>
      <c r="B61" t="s">
        <v>13</v>
      </c>
      <c r="C61" s="12">
        <v>45966</v>
      </c>
      <c r="D61" s="12">
        <v>46022</v>
      </c>
      <c r="E61" t="s">
        <v>716</v>
      </c>
      <c r="F61" t="s">
        <v>14</v>
      </c>
      <c r="G61">
        <v>59833899</v>
      </c>
      <c r="H61" t="s">
        <v>78</v>
      </c>
      <c r="I61">
        <v>43624414</v>
      </c>
      <c r="J61" t="s">
        <v>14</v>
      </c>
      <c r="K61" t="s">
        <v>18</v>
      </c>
      <c r="L61" s="1" t="e">
        <f>VLOOKUP(A61,#REF!,2,0)</f>
        <v>#REF!</v>
      </c>
      <c r="M61" s="1">
        <v>6300000</v>
      </c>
      <c r="N61" s="1">
        <v>6300000</v>
      </c>
      <c r="P61" t="s">
        <v>704</v>
      </c>
      <c r="Q61" s="1" t="e">
        <f t="shared" si="4"/>
        <v>#REF!</v>
      </c>
    </row>
    <row r="62" spans="1:19" x14ac:dyDescent="0.25">
      <c r="A62" t="s">
        <v>162</v>
      </c>
      <c r="B62" t="s">
        <v>13</v>
      </c>
      <c r="C62" s="12">
        <v>45966</v>
      </c>
      <c r="D62" s="12">
        <v>46022</v>
      </c>
      <c r="E62" t="s">
        <v>729</v>
      </c>
      <c r="F62" t="s">
        <v>14</v>
      </c>
      <c r="G62">
        <v>59828916</v>
      </c>
      <c r="H62" t="s">
        <v>73</v>
      </c>
      <c r="I62">
        <v>98390119</v>
      </c>
      <c r="J62" t="s">
        <v>14</v>
      </c>
      <c r="K62" t="s">
        <v>63</v>
      </c>
      <c r="L62" s="1" t="e">
        <f>VLOOKUP(A62,#REF!,2,0)</f>
        <v>#REF!</v>
      </c>
      <c r="M62" s="1">
        <v>6300000</v>
      </c>
      <c r="N62" s="1">
        <v>6300000</v>
      </c>
      <c r="P62" t="s">
        <v>704</v>
      </c>
      <c r="Q62" s="1" t="e">
        <f t="shared" si="4"/>
        <v>#REF!</v>
      </c>
    </row>
    <row r="63" spans="1:19" x14ac:dyDescent="0.25">
      <c r="A63" t="s">
        <v>634</v>
      </c>
      <c r="B63" t="s">
        <v>13</v>
      </c>
      <c r="C63" s="12">
        <v>45966</v>
      </c>
      <c r="D63" s="12">
        <v>46022</v>
      </c>
      <c r="E63" t="s">
        <v>815</v>
      </c>
      <c r="F63" t="s">
        <v>14</v>
      </c>
      <c r="G63">
        <v>1010099104</v>
      </c>
      <c r="H63" t="s">
        <v>635</v>
      </c>
      <c r="I63">
        <v>98390119</v>
      </c>
      <c r="J63" t="s">
        <v>14</v>
      </c>
      <c r="K63" t="s">
        <v>63</v>
      </c>
      <c r="L63" s="1" t="e">
        <f>VLOOKUP(A63,#REF!,2,0)</f>
        <v>#REF!</v>
      </c>
      <c r="M63" s="1">
        <v>6300000</v>
      </c>
      <c r="N63" s="1">
        <v>6300000</v>
      </c>
      <c r="P63" t="s">
        <v>704</v>
      </c>
      <c r="Q63" s="1" t="e">
        <f t="shared" si="4"/>
        <v>#REF!</v>
      </c>
    </row>
    <row r="64" spans="1:19" x14ac:dyDescent="0.25">
      <c r="A64" t="s">
        <v>332</v>
      </c>
      <c r="B64" t="s">
        <v>13</v>
      </c>
      <c r="C64" s="12">
        <v>45966</v>
      </c>
      <c r="D64" s="12">
        <v>46022</v>
      </c>
      <c r="E64" t="s">
        <v>762</v>
      </c>
      <c r="F64" t="s">
        <v>14</v>
      </c>
      <c r="G64">
        <v>1088216350</v>
      </c>
      <c r="H64" t="s">
        <v>333</v>
      </c>
      <c r="I64">
        <v>43624414</v>
      </c>
      <c r="J64" t="s">
        <v>14</v>
      </c>
      <c r="K64" t="s">
        <v>18</v>
      </c>
      <c r="L64" s="1" t="e">
        <f>VLOOKUP(A64,#REF!,2,0)</f>
        <v>#REF!</v>
      </c>
      <c r="M64" s="1">
        <v>6300000</v>
      </c>
      <c r="N64" s="1">
        <v>6300000</v>
      </c>
      <c r="P64" t="s">
        <v>704</v>
      </c>
      <c r="Q64" s="1" t="e">
        <f t="shared" si="4"/>
        <v>#REF!</v>
      </c>
    </row>
    <row r="65" spans="1:17" x14ac:dyDescent="0.25">
      <c r="A65" t="s">
        <v>659</v>
      </c>
      <c r="B65" t="s">
        <v>13</v>
      </c>
      <c r="C65" s="12">
        <v>45965</v>
      </c>
      <c r="D65" s="12">
        <v>46022</v>
      </c>
      <c r="E65" t="s">
        <v>720</v>
      </c>
      <c r="F65" t="s">
        <v>14</v>
      </c>
      <c r="G65">
        <v>59830040</v>
      </c>
      <c r="H65" t="s">
        <v>76</v>
      </c>
      <c r="I65">
        <v>43624414</v>
      </c>
      <c r="J65" t="s">
        <v>14</v>
      </c>
      <c r="K65" t="s">
        <v>18</v>
      </c>
      <c r="L65" s="1" t="e">
        <f>VLOOKUP(A65,#REF!,2,0)</f>
        <v>#REF!</v>
      </c>
      <c r="M65" s="1">
        <v>6300000</v>
      </c>
      <c r="N65" s="1">
        <v>6300000</v>
      </c>
      <c r="P65" t="s">
        <v>704</v>
      </c>
      <c r="Q65" s="1" t="e">
        <f t="shared" si="4"/>
        <v>#REF!</v>
      </c>
    </row>
    <row r="66" spans="1:17" x14ac:dyDescent="0.25">
      <c r="A66" t="s">
        <v>361</v>
      </c>
      <c r="B66" t="s">
        <v>13</v>
      </c>
      <c r="C66" s="12">
        <v>45965</v>
      </c>
      <c r="D66" s="12">
        <v>46022</v>
      </c>
      <c r="E66" t="s">
        <v>764</v>
      </c>
      <c r="F66" t="s">
        <v>14</v>
      </c>
      <c r="G66">
        <v>1085338921</v>
      </c>
      <c r="H66" t="s">
        <v>362</v>
      </c>
      <c r="I66">
        <v>98390119</v>
      </c>
      <c r="J66" t="s">
        <v>14</v>
      </c>
      <c r="K66" t="s">
        <v>63</v>
      </c>
      <c r="L66" s="1" t="e">
        <f>VLOOKUP(A66,#REF!,2,0)</f>
        <v>#REF!</v>
      </c>
      <c r="M66" s="1">
        <v>6300000</v>
      </c>
      <c r="N66" s="1">
        <v>6300000</v>
      </c>
      <c r="P66" t="s">
        <v>704</v>
      </c>
      <c r="Q66" s="1" t="e">
        <f t="shared" si="4"/>
        <v>#REF!</v>
      </c>
    </row>
    <row r="67" spans="1:17" x14ac:dyDescent="0.25">
      <c r="A67" t="s">
        <v>88</v>
      </c>
      <c r="B67" t="s">
        <v>13</v>
      </c>
      <c r="C67" s="12">
        <v>45965</v>
      </c>
      <c r="D67" s="12">
        <v>46022</v>
      </c>
      <c r="E67" t="s">
        <v>705</v>
      </c>
      <c r="F67" t="s">
        <v>14</v>
      </c>
      <c r="G67">
        <v>1086328142</v>
      </c>
      <c r="H67" t="s">
        <v>85</v>
      </c>
      <c r="I67">
        <v>43624414</v>
      </c>
      <c r="J67" t="s">
        <v>14</v>
      </c>
      <c r="K67" t="s">
        <v>18</v>
      </c>
      <c r="L67" s="1" t="e">
        <f>VLOOKUP(A67,#REF!,2,0)</f>
        <v>#REF!</v>
      </c>
      <c r="M67" s="1">
        <v>6300000</v>
      </c>
      <c r="N67" s="1">
        <v>6300000</v>
      </c>
      <c r="P67" t="s">
        <v>704</v>
      </c>
      <c r="Q67" s="1" t="e">
        <f t="shared" si="4"/>
        <v>#REF!</v>
      </c>
    </row>
    <row r="68" spans="1:17" x14ac:dyDescent="0.25">
      <c r="A68" t="s">
        <v>117</v>
      </c>
      <c r="B68" t="s">
        <v>13</v>
      </c>
      <c r="C68" s="12">
        <v>45965</v>
      </c>
      <c r="D68" s="12">
        <v>46022</v>
      </c>
      <c r="E68" t="s">
        <v>711</v>
      </c>
      <c r="F68" t="s">
        <v>14</v>
      </c>
      <c r="G68">
        <v>1084224968</v>
      </c>
      <c r="H68" t="s">
        <v>118</v>
      </c>
      <c r="I68">
        <v>98390119</v>
      </c>
      <c r="J68" t="s">
        <v>14</v>
      </c>
      <c r="K68" t="s">
        <v>63</v>
      </c>
      <c r="L68" s="1" t="e">
        <f>VLOOKUP(A68,#REF!,2,0)</f>
        <v>#REF!</v>
      </c>
      <c r="M68" s="1">
        <v>6300000</v>
      </c>
      <c r="N68" s="1">
        <v>6300000</v>
      </c>
      <c r="P68" t="s">
        <v>704</v>
      </c>
      <c r="Q68" s="1" t="e">
        <f t="shared" si="4"/>
        <v>#REF!</v>
      </c>
    </row>
    <row r="69" spans="1:17" x14ac:dyDescent="0.25">
      <c r="A69" t="s">
        <v>517</v>
      </c>
      <c r="B69" t="s">
        <v>13</v>
      </c>
      <c r="C69" s="12">
        <v>45965</v>
      </c>
      <c r="D69" s="12">
        <v>46022</v>
      </c>
      <c r="E69" t="s">
        <v>720</v>
      </c>
      <c r="F69" t="s">
        <v>14</v>
      </c>
      <c r="G69">
        <v>1085344795</v>
      </c>
      <c r="H69" t="s">
        <v>79</v>
      </c>
      <c r="I69">
        <v>43624414</v>
      </c>
      <c r="J69" t="s">
        <v>14</v>
      </c>
      <c r="K69" t="s">
        <v>18</v>
      </c>
      <c r="L69" s="1" t="e">
        <f>VLOOKUP(A69,#REF!,2,0)</f>
        <v>#REF!</v>
      </c>
      <c r="M69" s="1">
        <v>6300000</v>
      </c>
      <c r="N69" s="1">
        <v>6300000</v>
      </c>
      <c r="P69" t="s">
        <v>704</v>
      </c>
      <c r="Q69" s="1" t="e">
        <f t="shared" si="4"/>
        <v>#REF!</v>
      </c>
    </row>
    <row r="70" spans="1:17" x14ac:dyDescent="0.25">
      <c r="A70" t="s">
        <v>272</v>
      </c>
      <c r="B70" t="s">
        <v>13</v>
      </c>
      <c r="C70" s="12">
        <v>45965</v>
      </c>
      <c r="D70" s="12">
        <v>46022</v>
      </c>
      <c r="E70" t="s">
        <v>728</v>
      </c>
      <c r="F70" t="s">
        <v>14</v>
      </c>
      <c r="G70">
        <v>1085266584</v>
      </c>
      <c r="H70" t="s">
        <v>71</v>
      </c>
      <c r="I70">
        <v>59836926</v>
      </c>
      <c r="J70" t="s">
        <v>14</v>
      </c>
      <c r="K70" t="s">
        <v>17</v>
      </c>
      <c r="L70" s="1" t="e">
        <f>VLOOKUP(A70,#REF!,2,0)</f>
        <v>#REF!</v>
      </c>
      <c r="M70" s="1">
        <v>6300000</v>
      </c>
      <c r="N70" s="1">
        <v>6300000</v>
      </c>
      <c r="P70" t="s">
        <v>704</v>
      </c>
      <c r="Q70" s="1" t="e">
        <f t="shared" si="4"/>
        <v>#REF!</v>
      </c>
    </row>
    <row r="71" spans="1:17" x14ac:dyDescent="0.25">
      <c r="A71" t="s">
        <v>452</v>
      </c>
      <c r="B71" t="s">
        <v>13</v>
      </c>
      <c r="C71" s="12">
        <v>45965</v>
      </c>
      <c r="D71" s="12">
        <v>46022</v>
      </c>
      <c r="E71" t="s">
        <v>787</v>
      </c>
      <c r="F71" t="s">
        <v>14</v>
      </c>
      <c r="G71">
        <v>98391531</v>
      </c>
      <c r="H71" t="s">
        <v>453</v>
      </c>
      <c r="I71">
        <v>43624414</v>
      </c>
      <c r="J71" t="s">
        <v>14</v>
      </c>
      <c r="K71" t="s">
        <v>18</v>
      </c>
      <c r="L71" s="1" t="e">
        <f>VLOOKUP(A71,#REF!,2,0)</f>
        <v>#REF!</v>
      </c>
      <c r="M71" s="1">
        <v>6300000</v>
      </c>
      <c r="N71" s="1">
        <v>6300000</v>
      </c>
      <c r="P71" t="s">
        <v>704</v>
      </c>
      <c r="Q71" s="1" t="e">
        <f t="shared" si="4"/>
        <v>#REF!</v>
      </c>
    </row>
    <row r="72" spans="1:17" x14ac:dyDescent="0.25">
      <c r="A72" t="s">
        <v>684</v>
      </c>
      <c r="B72" t="s">
        <v>13</v>
      </c>
      <c r="C72" s="12">
        <v>45965</v>
      </c>
      <c r="D72" s="12">
        <v>46022</v>
      </c>
      <c r="E72" t="s">
        <v>716</v>
      </c>
      <c r="F72" t="s">
        <v>14</v>
      </c>
      <c r="G72">
        <v>1081592769</v>
      </c>
      <c r="H72" t="s">
        <v>685</v>
      </c>
      <c r="I72">
        <v>98390119</v>
      </c>
      <c r="J72" t="s">
        <v>14</v>
      </c>
      <c r="K72" t="s">
        <v>63</v>
      </c>
      <c r="L72" s="1" t="e">
        <f>VLOOKUP(A72,#REF!,2,0)</f>
        <v>#REF!</v>
      </c>
      <c r="M72" s="1">
        <v>6300000</v>
      </c>
      <c r="N72" s="1">
        <v>6300000</v>
      </c>
      <c r="P72" t="s">
        <v>704</v>
      </c>
      <c r="Q72" s="1" t="e">
        <f t="shared" si="4"/>
        <v>#REF!</v>
      </c>
    </row>
    <row r="73" spans="1:17" x14ac:dyDescent="0.25">
      <c r="A73" t="s">
        <v>120</v>
      </c>
      <c r="B73" t="s">
        <v>13</v>
      </c>
      <c r="C73" s="12">
        <v>45965</v>
      </c>
      <c r="D73" s="12">
        <v>46022</v>
      </c>
      <c r="E73" t="s">
        <v>705</v>
      </c>
      <c r="F73" t="s">
        <v>14</v>
      </c>
      <c r="G73">
        <v>1085286742</v>
      </c>
      <c r="H73" t="s">
        <v>37</v>
      </c>
      <c r="I73">
        <v>98390119</v>
      </c>
      <c r="J73" t="s">
        <v>14</v>
      </c>
      <c r="K73" t="s">
        <v>63</v>
      </c>
      <c r="L73" s="1" t="e">
        <f>VLOOKUP(A73,#REF!,2,0)</f>
        <v>#REF!</v>
      </c>
      <c r="M73" s="1">
        <v>6300000</v>
      </c>
      <c r="N73" s="1">
        <v>6300000</v>
      </c>
      <c r="P73" t="s">
        <v>704</v>
      </c>
      <c r="Q73" s="1" t="e">
        <f t="shared" si="4"/>
        <v>#REF!</v>
      </c>
    </row>
    <row r="74" spans="1:17" x14ac:dyDescent="0.25">
      <c r="A74" t="s">
        <v>313</v>
      </c>
      <c r="B74" t="s">
        <v>13</v>
      </c>
      <c r="C74" s="12">
        <v>45960</v>
      </c>
      <c r="D74" s="12">
        <v>46022</v>
      </c>
      <c r="E74" t="s">
        <v>756</v>
      </c>
      <c r="F74" t="s">
        <v>14</v>
      </c>
      <c r="G74">
        <v>1085331558</v>
      </c>
      <c r="H74" t="s">
        <v>314</v>
      </c>
      <c r="I74">
        <v>98390119</v>
      </c>
      <c r="J74" t="s">
        <v>14</v>
      </c>
      <c r="K74" t="s">
        <v>63</v>
      </c>
      <c r="L74" s="1" t="e">
        <f>VLOOKUP(A74,#REF!,2,0)</f>
        <v>#REF!</v>
      </c>
      <c r="M74" s="1">
        <v>6300000</v>
      </c>
      <c r="N74" s="1">
        <v>6300000</v>
      </c>
      <c r="P74" t="s">
        <v>704</v>
      </c>
      <c r="Q74" s="1" t="e">
        <f t="shared" si="4"/>
        <v>#REF!</v>
      </c>
    </row>
    <row r="75" spans="1:17" x14ac:dyDescent="0.25">
      <c r="A75" t="s">
        <v>160</v>
      </c>
      <c r="B75" t="s">
        <v>13</v>
      </c>
      <c r="C75" s="12">
        <v>45960</v>
      </c>
      <c r="D75" s="12">
        <v>46022</v>
      </c>
      <c r="E75" t="s">
        <v>720</v>
      </c>
      <c r="F75" t="s">
        <v>14</v>
      </c>
      <c r="G75">
        <v>1086018841</v>
      </c>
      <c r="H75" t="s">
        <v>161</v>
      </c>
      <c r="I75">
        <v>43624414</v>
      </c>
      <c r="J75" t="s">
        <v>14</v>
      </c>
      <c r="K75" t="s">
        <v>18</v>
      </c>
      <c r="L75" s="1" t="e">
        <f>VLOOKUP(A75,#REF!,2,0)</f>
        <v>#REF!</v>
      </c>
      <c r="M75" s="1">
        <v>6300000</v>
      </c>
      <c r="N75" s="1">
        <v>6300000</v>
      </c>
      <c r="P75" t="s">
        <v>704</v>
      </c>
      <c r="Q75" s="1" t="e">
        <f t="shared" si="4"/>
        <v>#REF!</v>
      </c>
    </row>
    <row r="76" spans="1:17" x14ac:dyDescent="0.25">
      <c r="A76" t="s">
        <v>339</v>
      </c>
      <c r="B76" t="s">
        <v>13</v>
      </c>
      <c r="C76" s="12">
        <v>45960</v>
      </c>
      <c r="D76" s="12">
        <v>46022</v>
      </c>
      <c r="E76" t="s">
        <v>705</v>
      </c>
      <c r="F76" t="s">
        <v>14</v>
      </c>
      <c r="G76">
        <v>1085270448</v>
      </c>
      <c r="H76" t="s">
        <v>340</v>
      </c>
      <c r="I76">
        <v>98390119</v>
      </c>
      <c r="J76" t="s">
        <v>14</v>
      </c>
      <c r="K76" t="s">
        <v>63</v>
      </c>
      <c r="L76" s="1" t="e">
        <f>VLOOKUP(A76,#REF!,2,0)</f>
        <v>#REF!</v>
      </c>
      <c r="M76" s="1">
        <v>6300000</v>
      </c>
      <c r="N76" s="1">
        <v>6300000</v>
      </c>
      <c r="P76" t="s">
        <v>704</v>
      </c>
      <c r="Q76" s="1" t="e">
        <f t="shared" si="4"/>
        <v>#REF!</v>
      </c>
    </row>
    <row r="77" spans="1:17" x14ac:dyDescent="0.25">
      <c r="A77" t="s">
        <v>172</v>
      </c>
      <c r="B77" t="s">
        <v>13</v>
      </c>
      <c r="C77" s="12">
        <v>45947</v>
      </c>
      <c r="D77" s="12">
        <v>46022</v>
      </c>
      <c r="E77" t="s">
        <v>731</v>
      </c>
      <c r="F77" t="s">
        <v>14</v>
      </c>
      <c r="G77">
        <v>59834953</v>
      </c>
      <c r="H77" t="s">
        <v>35</v>
      </c>
      <c r="I77">
        <v>98390119</v>
      </c>
      <c r="J77" t="s">
        <v>14</v>
      </c>
      <c r="K77" t="s">
        <v>63</v>
      </c>
      <c r="L77" s="1" t="e">
        <f>VLOOKUP(A77,#REF!,2,0)</f>
        <v>#REF!</v>
      </c>
      <c r="M77" s="1">
        <v>7875000</v>
      </c>
      <c r="N77" s="1">
        <v>7875000</v>
      </c>
      <c r="P77" t="s">
        <v>704</v>
      </c>
      <c r="Q77" s="1" t="e">
        <f t="shared" si="4"/>
        <v>#REF!</v>
      </c>
    </row>
    <row r="78" spans="1:17" x14ac:dyDescent="0.25">
      <c r="A78" t="s">
        <v>469</v>
      </c>
      <c r="B78" t="s">
        <v>13</v>
      </c>
      <c r="C78" s="12">
        <v>45946</v>
      </c>
      <c r="D78" s="12">
        <v>46022</v>
      </c>
      <c r="E78" t="s">
        <v>720</v>
      </c>
      <c r="F78" t="s">
        <v>14</v>
      </c>
      <c r="G78">
        <v>59813323</v>
      </c>
      <c r="H78" t="s">
        <v>74</v>
      </c>
      <c r="I78">
        <v>59836926</v>
      </c>
      <c r="J78" t="s">
        <v>14</v>
      </c>
      <c r="K78" t="s">
        <v>17</v>
      </c>
      <c r="L78" s="1" t="e">
        <f>VLOOKUP(A78,#REF!,2,0)</f>
        <v>#REF!</v>
      </c>
      <c r="M78" s="1">
        <v>7875000</v>
      </c>
      <c r="N78" s="1">
        <v>7875000</v>
      </c>
      <c r="P78" t="s">
        <v>704</v>
      </c>
      <c r="Q78" s="1" t="e">
        <f t="shared" si="4"/>
        <v>#REF!</v>
      </c>
    </row>
    <row r="79" spans="1:17" x14ac:dyDescent="0.25">
      <c r="A79" t="s">
        <v>484</v>
      </c>
      <c r="B79" t="s">
        <v>13</v>
      </c>
      <c r="C79" s="12">
        <v>45946</v>
      </c>
      <c r="D79" s="12">
        <v>46022</v>
      </c>
      <c r="E79" t="s">
        <v>764</v>
      </c>
      <c r="F79" t="s">
        <v>14</v>
      </c>
      <c r="G79">
        <v>1193405962</v>
      </c>
      <c r="H79" t="s">
        <v>485</v>
      </c>
      <c r="I79">
        <v>59836926</v>
      </c>
      <c r="J79" t="s">
        <v>14</v>
      </c>
      <c r="K79" t="s">
        <v>17</v>
      </c>
      <c r="L79" s="1" t="e">
        <f>VLOOKUP(A79,#REF!,2,0)</f>
        <v>#REF!</v>
      </c>
      <c r="M79" s="1">
        <v>7875000</v>
      </c>
      <c r="N79" s="1">
        <v>7875000</v>
      </c>
      <c r="P79" t="s">
        <v>704</v>
      </c>
      <c r="Q79" s="1" t="e">
        <f t="shared" si="4"/>
        <v>#REF!</v>
      </c>
    </row>
    <row r="80" spans="1:17" x14ac:dyDescent="0.25">
      <c r="A80" t="s">
        <v>404</v>
      </c>
      <c r="B80" t="s">
        <v>13</v>
      </c>
      <c r="C80" s="12">
        <v>45946</v>
      </c>
      <c r="D80" s="12">
        <v>46022</v>
      </c>
      <c r="E80" t="s">
        <v>773</v>
      </c>
      <c r="F80" t="s">
        <v>14</v>
      </c>
      <c r="G80">
        <v>1085327677</v>
      </c>
      <c r="H80" t="s">
        <v>405</v>
      </c>
      <c r="I80">
        <v>43624414</v>
      </c>
      <c r="J80" t="s">
        <v>14</v>
      </c>
      <c r="K80" t="s">
        <v>18</v>
      </c>
      <c r="L80" s="1" t="e">
        <f>VLOOKUP(A80,#REF!,2,0)</f>
        <v>#REF!</v>
      </c>
      <c r="M80" s="1">
        <v>7875000</v>
      </c>
      <c r="N80" s="1">
        <v>7875000</v>
      </c>
      <c r="P80" t="s">
        <v>704</v>
      </c>
      <c r="Q80" s="1" t="e">
        <f t="shared" si="4"/>
        <v>#REF!</v>
      </c>
    </row>
    <row r="81" spans="1:19" x14ac:dyDescent="0.25">
      <c r="A81" t="s">
        <v>682</v>
      </c>
      <c r="B81" t="s">
        <v>13</v>
      </c>
      <c r="C81" s="12">
        <v>45946</v>
      </c>
      <c r="D81" s="12">
        <v>46022</v>
      </c>
      <c r="E81" t="s">
        <v>716</v>
      </c>
      <c r="F81" t="s">
        <v>14</v>
      </c>
      <c r="G81">
        <v>36950892</v>
      </c>
      <c r="H81" t="s">
        <v>683</v>
      </c>
      <c r="I81">
        <v>59836926</v>
      </c>
      <c r="J81" t="s">
        <v>14</v>
      </c>
      <c r="K81" t="s">
        <v>17</v>
      </c>
      <c r="L81" s="1" t="e">
        <f>VLOOKUP(A81,#REF!,2,0)</f>
        <v>#REF!</v>
      </c>
      <c r="M81" s="1">
        <v>7875000</v>
      </c>
      <c r="N81" s="1">
        <v>7875000</v>
      </c>
      <c r="P81" t="s">
        <v>704</v>
      </c>
      <c r="Q81" s="1" t="e">
        <f t="shared" si="4"/>
        <v>#REF!</v>
      </c>
    </row>
    <row r="82" spans="1:19" x14ac:dyDescent="0.25">
      <c r="A82" t="s">
        <v>551</v>
      </c>
      <c r="B82" t="s">
        <v>13</v>
      </c>
      <c r="C82" s="12">
        <v>45946</v>
      </c>
      <c r="D82" s="12">
        <v>46022</v>
      </c>
      <c r="E82" t="s">
        <v>801</v>
      </c>
      <c r="F82" t="s">
        <v>14</v>
      </c>
      <c r="G82">
        <v>1086329800</v>
      </c>
      <c r="H82" t="s">
        <v>552</v>
      </c>
      <c r="I82">
        <v>59836926</v>
      </c>
      <c r="J82" t="s">
        <v>14</v>
      </c>
      <c r="K82" t="s">
        <v>17</v>
      </c>
      <c r="L82" s="1" t="e">
        <f>VLOOKUP(A82,#REF!,2,0)</f>
        <v>#REF!</v>
      </c>
      <c r="M82" s="1">
        <v>7875000</v>
      </c>
      <c r="N82" s="1">
        <v>7875000</v>
      </c>
      <c r="P82" t="s">
        <v>704</v>
      </c>
      <c r="Q82" s="1" t="e">
        <f t="shared" si="4"/>
        <v>#REF!</v>
      </c>
    </row>
    <row r="83" spans="1:19" x14ac:dyDescent="0.25">
      <c r="A83" t="s">
        <v>467</v>
      </c>
      <c r="B83" t="s">
        <v>13</v>
      </c>
      <c r="C83" s="12">
        <v>45946</v>
      </c>
      <c r="D83" s="12">
        <v>46022</v>
      </c>
      <c r="E83" t="s">
        <v>716</v>
      </c>
      <c r="F83" t="s">
        <v>14</v>
      </c>
      <c r="G83">
        <v>27253636</v>
      </c>
      <c r="H83" t="s">
        <v>468</v>
      </c>
      <c r="I83">
        <v>98390119</v>
      </c>
      <c r="J83" t="s">
        <v>14</v>
      </c>
      <c r="K83" t="s">
        <v>63</v>
      </c>
      <c r="L83" s="1" t="e">
        <f>VLOOKUP(A83,#REF!,2,0)</f>
        <v>#REF!</v>
      </c>
      <c r="M83" s="1">
        <v>7875000</v>
      </c>
      <c r="N83" s="1">
        <v>7875000</v>
      </c>
      <c r="P83" t="s">
        <v>704</v>
      </c>
      <c r="Q83" s="1" t="e">
        <f t="shared" si="4"/>
        <v>#REF!</v>
      </c>
    </row>
    <row r="84" spans="1:19" x14ac:dyDescent="0.25">
      <c r="A84" t="s">
        <v>282</v>
      </c>
      <c r="B84" t="s">
        <v>13</v>
      </c>
      <c r="C84" s="12">
        <v>45946</v>
      </c>
      <c r="D84" s="12">
        <v>46022</v>
      </c>
      <c r="E84" t="s">
        <v>753</v>
      </c>
      <c r="F84" t="s">
        <v>14</v>
      </c>
      <c r="G84">
        <v>27285974</v>
      </c>
      <c r="H84" t="s">
        <v>283</v>
      </c>
      <c r="I84">
        <v>59836926</v>
      </c>
      <c r="J84" t="s">
        <v>14</v>
      </c>
      <c r="K84" t="s">
        <v>17</v>
      </c>
      <c r="L84" s="1" t="e">
        <f>VLOOKUP(A84,#REF!,2,0)</f>
        <v>#REF!</v>
      </c>
      <c r="M84" s="1">
        <v>7875000</v>
      </c>
      <c r="N84" s="1">
        <v>7875000</v>
      </c>
      <c r="P84" t="s">
        <v>704</v>
      </c>
      <c r="Q84" s="1" t="e">
        <f t="shared" si="4"/>
        <v>#REF!</v>
      </c>
    </row>
    <row r="85" spans="1:19" x14ac:dyDescent="0.25">
      <c r="A85" t="s">
        <v>619</v>
      </c>
      <c r="B85" t="s">
        <v>13</v>
      </c>
      <c r="C85" s="12">
        <v>45946</v>
      </c>
      <c r="D85" s="12">
        <v>46022</v>
      </c>
      <c r="E85" t="s">
        <v>811</v>
      </c>
      <c r="F85" t="s">
        <v>14</v>
      </c>
      <c r="G85">
        <v>1088975658</v>
      </c>
      <c r="H85" t="s">
        <v>620</v>
      </c>
      <c r="I85">
        <v>59836926</v>
      </c>
      <c r="J85" t="s">
        <v>14</v>
      </c>
      <c r="K85" t="s">
        <v>17</v>
      </c>
      <c r="L85" s="1" t="e">
        <f>VLOOKUP(A85,#REF!,2,0)</f>
        <v>#REF!</v>
      </c>
      <c r="M85" s="1">
        <v>7875000</v>
      </c>
      <c r="N85" s="1">
        <v>7875000</v>
      </c>
      <c r="P85" t="s">
        <v>704</v>
      </c>
      <c r="Q85" s="1" t="e">
        <f t="shared" si="4"/>
        <v>#REF!</v>
      </c>
    </row>
    <row r="86" spans="1:19" x14ac:dyDescent="0.25">
      <c r="A86" t="s">
        <v>138</v>
      </c>
      <c r="B86" t="s">
        <v>13</v>
      </c>
      <c r="C86" s="12">
        <v>45946</v>
      </c>
      <c r="D86" s="12">
        <v>46022</v>
      </c>
      <c r="E86" t="s">
        <v>720</v>
      </c>
      <c r="F86" t="s">
        <v>14</v>
      </c>
      <c r="G86">
        <v>1080693240</v>
      </c>
      <c r="H86" t="s">
        <v>139</v>
      </c>
      <c r="I86">
        <v>59836926</v>
      </c>
      <c r="J86" t="s">
        <v>14</v>
      </c>
      <c r="K86" t="s">
        <v>17</v>
      </c>
      <c r="L86" s="1" t="e">
        <f>VLOOKUP(A86,#REF!,2,0)</f>
        <v>#REF!</v>
      </c>
      <c r="M86" s="1">
        <v>7875000</v>
      </c>
      <c r="N86" s="1">
        <v>7875000</v>
      </c>
      <c r="P86" t="s">
        <v>704</v>
      </c>
      <c r="Q86" s="1" t="e">
        <f t="shared" si="4"/>
        <v>#REF!</v>
      </c>
    </row>
    <row r="87" spans="1:19" x14ac:dyDescent="0.25">
      <c r="A87" t="s">
        <v>622</v>
      </c>
      <c r="B87" t="s">
        <v>13</v>
      </c>
      <c r="C87" s="12">
        <v>45946</v>
      </c>
      <c r="D87" s="12">
        <v>46022</v>
      </c>
      <c r="E87" t="s">
        <v>705</v>
      </c>
      <c r="F87" t="s">
        <v>14</v>
      </c>
      <c r="G87">
        <v>1137089268</v>
      </c>
      <c r="H87" t="s">
        <v>623</v>
      </c>
      <c r="I87">
        <v>59836926</v>
      </c>
      <c r="J87" t="s">
        <v>14</v>
      </c>
      <c r="K87" t="s">
        <v>17</v>
      </c>
      <c r="L87" s="1" t="e">
        <f>VLOOKUP(A87,#REF!,2,0)</f>
        <v>#REF!</v>
      </c>
      <c r="M87" s="1">
        <v>7875000</v>
      </c>
      <c r="N87" s="1">
        <v>7875000</v>
      </c>
      <c r="P87" t="s">
        <v>704</v>
      </c>
      <c r="Q87" s="1" t="e">
        <f t="shared" si="4"/>
        <v>#REF!</v>
      </c>
    </row>
    <row r="88" spans="1:19" x14ac:dyDescent="0.25">
      <c r="A88" t="s">
        <v>188</v>
      </c>
      <c r="B88" t="s">
        <v>13</v>
      </c>
      <c r="C88" s="12">
        <v>45945</v>
      </c>
      <c r="D88" s="12">
        <v>46022</v>
      </c>
      <c r="E88" t="s">
        <v>720</v>
      </c>
      <c r="F88" t="s">
        <v>14</v>
      </c>
      <c r="G88">
        <v>1004343043</v>
      </c>
      <c r="H88" t="s">
        <v>189</v>
      </c>
      <c r="I88">
        <v>98390119</v>
      </c>
      <c r="J88" t="s">
        <v>14</v>
      </c>
      <c r="K88" t="s">
        <v>63</v>
      </c>
      <c r="L88" s="1" t="e">
        <f>VLOOKUP(A88,#REF!,2,0)</f>
        <v>#REF!</v>
      </c>
      <c r="M88" s="1">
        <v>7875000</v>
      </c>
      <c r="N88" s="1">
        <v>7875000</v>
      </c>
      <c r="P88" t="s">
        <v>704</v>
      </c>
      <c r="Q88" s="1" t="e">
        <f t="shared" si="4"/>
        <v>#REF!</v>
      </c>
    </row>
    <row r="89" spans="1:19" x14ac:dyDescent="0.25">
      <c r="A89" t="s">
        <v>100</v>
      </c>
      <c r="B89" t="s">
        <v>13</v>
      </c>
      <c r="C89" s="12">
        <v>45945</v>
      </c>
      <c r="D89" s="12">
        <v>46022</v>
      </c>
      <c r="E89" t="s">
        <v>712</v>
      </c>
      <c r="F89" t="s">
        <v>14</v>
      </c>
      <c r="G89">
        <v>87030128</v>
      </c>
      <c r="H89" t="s">
        <v>101</v>
      </c>
      <c r="I89">
        <v>98390119</v>
      </c>
      <c r="J89" t="s">
        <v>14</v>
      </c>
      <c r="K89" t="s">
        <v>63</v>
      </c>
      <c r="L89" s="1" t="e">
        <f>VLOOKUP(A89,#REF!,2,0)</f>
        <v>#REF!</v>
      </c>
      <c r="M89" s="1">
        <v>7875000</v>
      </c>
      <c r="N89" s="1">
        <v>7875000</v>
      </c>
      <c r="P89" t="s">
        <v>704</v>
      </c>
      <c r="Q89" s="1" t="e">
        <f t="shared" si="4"/>
        <v>#REF!</v>
      </c>
    </row>
    <row r="90" spans="1:19" x14ac:dyDescent="0.25">
      <c r="A90" t="s">
        <v>184</v>
      </c>
      <c r="B90" t="s">
        <v>13</v>
      </c>
      <c r="C90" s="12">
        <v>45945</v>
      </c>
      <c r="D90" s="12">
        <v>46022</v>
      </c>
      <c r="E90" t="s">
        <v>734</v>
      </c>
      <c r="F90" t="s">
        <v>14</v>
      </c>
      <c r="G90">
        <v>27388522</v>
      </c>
      <c r="H90" t="s">
        <v>38</v>
      </c>
      <c r="I90">
        <v>98390119</v>
      </c>
      <c r="J90" t="s">
        <v>14</v>
      </c>
      <c r="K90" t="s">
        <v>63</v>
      </c>
      <c r="L90" s="1" t="e">
        <f>VLOOKUP(A90,#REF!,2,0)</f>
        <v>#REF!</v>
      </c>
      <c r="M90" s="1">
        <v>7875000</v>
      </c>
      <c r="N90" s="1">
        <v>7875000</v>
      </c>
      <c r="P90" t="s">
        <v>704</v>
      </c>
      <c r="Q90" s="1" t="e">
        <f t="shared" si="4"/>
        <v>#REF!</v>
      </c>
    </row>
    <row r="91" spans="1:19" x14ac:dyDescent="0.25">
      <c r="A91" t="s">
        <v>655</v>
      </c>
      <c r="B91" t="s">
        <v>13</v>
      </c>
      <c r="C91" s="12">
        <v>45938</v>
      </c>
      <c r="D91" s="12">
        <v>46022</v>
      </c>
      <c r="E91" t="s">
        <v>720</v>
      </c>
      <c r="F91" t="s">
        <v>14</v>
      </c>
      <c r="G91">
        <v>1081592742</v>
      </c>
      <c r="H91" t="s">
        <v>656</v>
      </c>
      <c r="I91">
        <v>98333941</v>
      </c>
      <c r="J91" t="s">
        <v>14</v>
      </c>
      <c r="K91" t="s">
        <v>15</v>
      </c>
      <c r="L91" s="1" t="e">
        <f>VLOOKUP(A91,#REF!,2,0)</f>
        <v>#REF!</v>
      </c>
      <c r="M91" s="1">
        <v>9450000</v>
      </c>
      <c r="N91" s="1">
        <v>9450000</v>
      </c>
      <c r="P91" t="s">
        <v>704</v>
      </c>
      <c r="Q91" s="1" t="e">
        <f t="shared" si="4"/>
        <v>#REF!</v>
      </c>
    </row>
    <row r="92" spans="1:19" x14ac:dyDescent="0.25">
      <c r="A92" t="s">
        <v>392</v>
      </c>
      <c r="B92" t="s">
        <v>13</v>
      </c>
      <c r="C92" s="12">
        <v>45937</v>
      </c>
      <c r="D92" s="12">
        <v>46022</v>
      </c>
      <c r="E92" t="s">
        <v>770</v>
      </c>
      <c r="F92" t="s">
        <v>14</v>
      </c>
      <c r="G92">
        <v>1081272318</v>
      </c>
      <c r="H92" t="s">
        <v>393</v>
      </c>
      <c r="I92">
        <v>43624414</v>
      </c>
      <c r="J92" t="s">
        <v>14</v>
      </c>
      <c r="K92" t="s">
        <v>18</v>
      </c>
      <c r="L92" s="1" t="e">
        <f>VLOOKUP(A92,#REF!,2,0)</f>
        <v>#REF!</v>
      </c>
      <c r="M92" s="1">
        <v>9450000</v>
      </c>
      <c r="N92" s="1">
        <v>9450000</v>
      </c>
      <c r="P92" t="s">
        <v>704</v>
      </c>
      <c r="Q92" s="1" t="e">
        <f t="shared" si="4"/>
        <v>#REF!</v>
      </c>
    </row>
    <row r="93" spans="1:19" x14ac:dyDescent="0.25">
      <c r="A93" t="s">
        <v>669</v>
      </c>
      <c r="B93" t="s">
        <v>13</v>
      </c>
      <c r="C93" s="12">
        <v>45937</v>
      </c>
      <c r="D93" s="12">
        <v>46022</v>
      </c>
      <c r="E93" t="s">
        <v>724</v>
      </c>
      <c r="F93" t="s">
        <v>14</v>
      </c>
      <c r="G93">
        <v>27222016</v>
      </c>
      <c r="H93" t="s">
        <v>670</v>
      </c>
      <c r="I93">
        <v>59836926</v>
      </c>
      <c r="J93" t="s">
        <v>14</v>
      </c>
      <c r="K93" t="s">
        <v>17</v>
      </c>
      <c r="L93" s="1" t="e">
        <f>VLOOKUP(A93,#REF!,2,0)</f>
        <v>#REF!</v>
      </c>
      <c r="M93" s="1">
        <v>9450000</v>
      </c>
      <c r="N93" s="1">
        <v>9450000</v>
      </c>
      <c r="P93" t="s">
        <v>704</v>
      </c>
      <c r="Q93" s="1" t="e">
        <f t="shared" si="4"/>
        <v>#REF!</v>
      </c>
    </row>
    <row r="94" spans="1:19" x14ac:dyDescent="0.25">
      <c r="A94" t="s">
        <v>577</v>
      </c>
      <c r="B94" t="s">
        <v>13</v>
      </c>
      <c r="C94" s="12">
        <v>45937</v>
      </c>
      <c r="D94" s="12">
        <v>46022</v>
      </c>
      <c r="E94" t="s">
        <v>805</v>
      </c>
      <c r="F94" t="s">
        <v>14</v>
      </c>
      <c r="G94">
        <v>1085317094</v>
      </c>
      <c r="H94" t="s">
        <v>578</v>
      </c>
      <c r="I94">
        <v>59836926</v>
      </c>
      <c r="J94" t="s">
        <v>14</v>
      </c>
      <c r="K94" t="s">
        <v>17</v>
      </c>
      <c r="L94" s="1" t="e">
        <f>VLOOKUP(A94,#REF!,2,0)</f>
        <v>#REF!</v>
      </c>
      <c r="M94" s="1">
        <v>9450000</v>
      </c>
      <c r="N94" s="1">
        <v>9450000</v>
      </c>
      <c r="P94" t="s">
        <v>704</v>
      </c>
      <c r="Q94" s="1" t="e">
        <f t="shared" si="4"/>
        <v>#REF!</v>
      </c>
    </row>
    <row r="95" spans="1:19" x14ac:dyDescent="0.25">
      <c r="A95" t="s">
        <v>442</v>
      </c>
      <c r="B95" t="s">
        <v>13</v>
      </c>
      <c r="C95" s="12">
        <v>45936</v>
      </c>
      <c r="D95" s="12">
        <v>46022</v>
      </c>
      <c r="E95" t="s">
        <v>783</v>
      </c>
      <c r="F95" t="s">
        <v>14</v>
      </c>
      <c r="G95">
        <v>1085261053</v>
      </c>
      <c r="H95" t="s">
        <v>443</v>
      </c>
      <c r="I95">
        <v>98333941</v>
      </c>
      <c r="J95" t="s">
        <v>14</v>
      </c>
      <c r="K95" t="s">
        <v>15</v>
      </c>
      <c r="L95" s="1" t="e">
        <f>VLOOKUP(A95,#REF!,2,0)</f>
        <v>#REF!</v>
      </c>
      <c r="M95" s="1">
        <v>9450000</v>
      </c>
      <c r="N95" s="1">
        <v>9450000</v>
      </c>
      <c r="P95" t="s">
        <v>704</v>
      </c>
      <c r="Q95" s="1" t="e">
        <f t="shared" si="4"/>
        <v>#REF!</v>
      </c>
    </row>
    <row r="96" spans="1:19" x14ac:dyDescent="0.25">
      <c r="A96" t="s">
        <v>1034</v>
      </c>
      <c r="B96" t="s">
        <v>13</v>
      </c>
      <c r="C96" s="12">
        <v>46024</v>
      </c>
      <c r="D96" s="12">
        <v>46112</v>
      </c>
      <c r="E96" t="s">
        <v>775</v>
      </c>
      <c r="F96" t="s">
        <v>14</v>
      </c>
      <c r="G96">
        <v>1089458048</v>
      </c>
      <c r="H96" t="s">
        <v>492</v>
      </c>
      <c r="I96">
        <v>98333941</v>
      </c>
      <c r="J96" t="s">
        <v>14</v>
      </c>
      <c r="K96" t="s">
        <v>15</v>
      </c>
      <c r="L96" s="1" t="e">
        <f>VLOOKUP(A96,#REF!,2,0)</f>
        <v>#REF!</v>
      </c>
      <c r="M96" s="1">
        <v>3150000</v>
      </c>
      <c r="N96" s="10">
        <v>9450000</v>
      </c>
      <c r="O96" s="10"/>
      <c r="P96" t="s">
        <v>704</v>
      </c>
      <c r="Q96" s="1" t="e">
        <f t="shared" ref="Q96:Q98" si="5">N96-L96</f>
        <v>#REF!</v>
      </c>
      <c r="S96" s="11" t="s">
        <v>1036</v>
      </c>
    </row>
    <row r="97" spans="1:19" x14ac:dyDescent="0.25">
      <c r="A97" t="s">
        <v>1041</v>
      </c>
      <c r="B97" t="s">
        <v>13</v>
      </c>
      <c r="C97" s="12">
        <v>46024</v>
      </c>
      <c r="D97" s="12">
        <v>46112</v>
      </c>
      <c r="E97" t="s">
        <v>775</v>
      </c>
      <c r="F97" t="s">
        <v>14</v>
      </c>
      <c r="G97">
        <v>1081592303</v>
      </c>
      <c r="H97" t="s">
        <v>32</v>
      </c>
      <c r="I97">
        <v>43624414</v>
      </c>
      <c r="J97" t="s">
        <v>14</v>
      </c>
      <c r="K97" t="s">
        <v>18</v>
      </c>
      <c r="L97" s="1" t="e">
        <f>VLOOKUP(A97,#REF!,2,0)</f>
        <v>#REF!</v>
      </c>
      <c r="M97" s="1">
        <v>3150000</v>
      </c>
      <c r="N97" s="10">
        <v>9450000</v>
      </c>
      <c r="O97" s="10"/>
      <c r="P97" t="s">
        <v>704</v>
      </c>
      <c r="Q97" s="1" t="e">
        <f t="shared" si="5"/>
        <v>#REF!</v>
      </c>
      <c r="S97" s="11" t="s">
        <v>1036</v>
      </c>
    </row>
    <row r="98" spans="1:19" x14ac:dyDescent="0.25">
      <c r="A98" t="s">
        <v>1042</v>
      </c>
      <c r="B98" t="s">
        <v>13</v>
      </c>
      <c r="C98" s="12">
        <v>46024</v>
      </c>
      <c r="D98" s="12">
        <v>46112</v>
      </c>
      <c r="E98" t="s">
        <v>775</v>
      </c>
      <c r="F98" t="s">
        <v>14</v>
      </c>
      <c r="G98">
        <v>1081272025</v>
      </c>
      <c r="H98" t="s">
        <v>850</v>
      </c>
      <c r="I98">
        <v>59836926</v>
      </c>
      <c r="J98" t="s">
        <v>14</v>
      </c>
      <c r="K98" t="s">
        <v>17</v>
      </c>
      <c r="L98" s="1" t="e">
        <f>VLOOKUP(A98,#REF!,2,0)</f>
        <v>#REF!</v>
      </c>
      <c r="M98" s="1">
        <v>3150000</v>
      </c>
      <c r="N98" s="10">
        <v>9450000</v>
      </c>
      <c r="O98" s="10"/>
      <c r="P98" t="s">
        <v>704</v>
      </c>
      <c r="Q98" s="1" t="e">
        <f t="shared" si="5"/>
        <v>#REF!</v>
      </c>
      <c r="S98" s="11" t="s">
        <v>1036</v>
      </c>
    </row>
    <row r="99" spans="1:19" x14ac:dyDescent="0.25">
      <c r="A99" t="s">
        <v>477</v>
      </c>
      <c r="B99" t="s">
        <v>13</v>
      </c>
      <c r="C99" s="12">
        <v>45936</v>
      </c>
      <c r="D99" s="12">
        <v>46022</v>
      </c>
      <c r="E99" t="s">
        <v>731</v>
      </c>
      <c r="F99" t="s">
        <v>14</v>
      </c>
      <c r="G99">
        <v>1004190984</v>
      </c>
      <c r="H99" t="s">
        <v>478</v>
      </c>
      <c r="I99">
        <v>98333941</v>
      </c>
      <c r="J99" t="s">
        <v>14</v>
      </c>
      <c r="K99" t="s">
        <v>15</v>
      </c>
      <c r="L99" s="1" t="e">
        <f>VLOOKUP(A99,#REF!,2,0)</f>
        <v>#REF!</v>
      </c>
      <c r="M99" s="1">
        <v>9450000</v>
      </c>
      <c r="N99" s="1">
        <v>9450000</v>
      </c>
      <c r="P99" t="s">
        <v>704</v>
      </c>
      <c r="Q99" s="1" t="e">
        <f t="shared" ref="Q99:Q130" si="6">N99-L99</f>
        <v>#REF!</v>
      </c>
    </row>
    <row r="100" spans="1:19" x14ac:dyDescent="0.25">
      <c r="A100" t="s">
        <v>661</v>
      </c>
      <c r="B100" t="s">
        <v>13</v>
      </c>
      <c r="C100" s="12">
        <v>45932</v>
      </c>
      <c r="D100" s="12">
        <v>46022</v>
      </c>
      <c r="E100" t="s">
        <v>747</v>
      </c>
      <c r="F100" t="s">
        <v>14</v>
      </c>
      <c r="G100">
        <v>1081052779</v>
      </c>
      <c r="H100" t="s">
        <v>662</v>
      </c>
      <c r="I100">
        <v>98390119</v>
      </c>
      <c r="J100" t="s">
        <v>14</v>
      </c>
      <c r="K100" t="s">
        <v>63</v>
      </c>
      <c r="L100" s="1" t="e">
        <f>VLOOKUP(A100,#REF!,2,0)</f>
        <v>#REF!</v>
      </c>
      <c r="M100" s="1">
        <v>9450000</v>
      </c>
      <c r="N100" s="1">
        <v>9450000</v>
      </c>
      <c r="P100" t="s">
        <v>704</v>
      </c>
      <c r="Q100" s="1" t="e">
        <f t="shared" si="6"/>
        <v>#REF!</v>
      </c>
    </row>
    <row r="101" spans="1:19" x14ac:dyDescent="0.25">
      <c r="A101" t="s">
        <v>448</v>
      </c>
      <c r="B101" t="s">
        <v>13</v>
      </c>
      <c r="C101" s="12">
        <v>45931</v>
      </c>
      <c r="D101" s="12">
        <v>46022</v>
      </c>
      <c r="E101" t="s">
        <v>785</v>
      </c>
      <c r="F101" t="s">
        <v>14</v>
      </c>
      <c r="G101">
        <v>1004592366</v>
      </c>
      <c r="H101" t="s">
        <v>449</v>
      </c>
      <c r="I101">
        <v>98390119</v>
      </c>
      <c r="J101" t="s">
        <v>14</v>
      </c>
      <c r="K101" t="s">
        <v>63</v>
      </c>
      <c r="L101" s="1" t="e">
        <f>VLOOKUP(A101,#REF!,2,0)</f>
        <v>#REF!</v>
      </c>
      <c r="M101" s="1">
        <v>9450000</v>
      </c>
      <c r="N101" s="1">
        <v>9450000</v>
      </c>
      <c r="P101" t="s">
        <v>704</v>
      </c>
      <c r="Q101" s="1" t="e">
        <f t="shared" si="6"/>
        <v>#REF!</v>
      </c>
    </row>
    <row r="102" spans="1:19" x14ac:dyDescent="0.25">
      <c r="A102" t="s">
        <v>675</v>
      </c>
      <c r="B102" t="s">
        <v>13</v>
      </c>
      <c r="C102" s="12">
        <v>45931</v>
      </c>
      <c r="D102" s="12">
        <v>46022</v>
      </c>
      <c r="E102" t="s">
        <v>815</v>
      </c>
      <c r="F102" t="s">
        <v>14</v>
      </c>
      <c r="G102">
        <v>1085304308</v>
      </c>
      <c r="H102" t="s">
        <v>68</v>
      </c>
      <c r="I102">
        <v>98333941</v>
      </c>
      <c r="J102" t="s">
        <v>14</v>
      </c>
      <c r="K102" t="s">
        <v>15</v>
      </c>
      <c r="L102" s="1" t="e">
        <f>VLOOKUP(A102,#REF!,2,0)</f>
        <v>#REF!</v>
      </c>
      <c r="M102" s="1">
        <v>9450000</v>
      </c>
      <c r="N102" s="1">
        <v>9450000</v>
      </c>
      <c r="P102" t="s">
        <v>704</v>
      </c>
      <c r="Q102" s="1" t="e">
        <f t="shared" si="6"/>
        <v>#REF!</v>
      </c>
    </row>
    <row r="103" spans="1:19" x14ac:dyDescent="0.25">
      <c r="A103" t="s">
        <v>144</v>
      </c>
      <c r="B103" t="s">
        <v>13</v>
      </c>
      <c r="C103" s="12">
        <v>45931</v>
      </c>
      <c r="D103" s="12">
        <v>46022</v>
      </c>
      <c r="E103" t="s">
        <v>724</v>
      </c>
      <c r="F103" t="s">
        <v>14</v>
      </c>
      <c r="G103">
        <v>1085275400</v>
      </c>
      <c r="H103" t="s">
        <v>145</v>
      </c>
      <c r="I103">
        <v>43624414</v>
      </c>
      <c r="J103" t="s">
        <v>14</v>
      </c>
      <c r="K103" t="s">
        <v>18</v>
      </c>
      <c r="L103" s="1" t="e">
        <f>VLOOKUP(A103,#REF!,2,0)</f>
        <v>#REF!</v>
      </c>
      <c r="M103" s="1">
        <v>9450000</v>
      </c>
      <c r="N103" s="1">
        <v>9450000</v>
      </c>
      <c r="P103" t="s">
        <v>704</v>
      </c>
      <c r="Q103" s="1" t="e">
        <f t="shared" si="6"/>
        <v>#REF!</v>
      </c>
    </row>
    <row r="104" spans="1:19" x14ac:dyDescent="0.25">
      <c r="A104" t="s">
        <v>255</v>
      </c>
      <c r="B104" t="s">
        <v>13</v>
      </c>
      <c r="C104" s="12">
        <v>45931</v>
      </c>
      <c r="D104" s="12">
        <v>46022</v>
      </c>
      <c r="E104" t="s">
        <v>747</v>
      </c>
      <c r="F104" t="s">
        <v>14</v>
      </c>
      <c r="G104">
        <v>36861874</v>
      </c>
      <c r="H104" t="s">
        <v>50</v>
      </c>
      <c r="I104">
        <v>98390119</v>
      </c>
      <c r="J104" t="s">
        <v>14</v>
      </c>
      <c r="K104" t="s">
        <v>63</v>
      </c>
      <c r="L104" s="1" t="e">
        <f>VLOOKUP(A104,#REF!,2,0)</f>
        <v>#REF!</v>
      </c>
      <c r="M104" s="1">
        <v>9450000</v>
      </c>
      <c r="N104" s="1">
        <v>9450000</v>
      </c>
      <c r="P104" t="s">
        <v>704</v>
      </c>
      <c r="Q104" s="1" t="e">
        <f t="shared" si="6"/>
        <v>#REF!</v>
      </c>
    </row>
    <row r="105" spans="1:19" x14ac:dyDescent="0.25">
      <c r="A105" t="s">
        <v>266</v>
      </c>
      <c r="B105" t="s">
        <v>13</v>
      </c>
      <c r="C105" s="12">
        <v>45929</v>
      </c>
      <c r="D105" s="12">
        <v>46022</v>
      </c>
      <c r="E105" t="s">
        <v>720</v>
      </c>
      <c r="F105" t="s">
        <v>14</v>
      </c>
      <c r="G105">
        <v>1086361622</v>
      </c>
      <c r="H105" t="s">
        <v>267</v>
      </c>
      <c r="I105">
        <v>98390119</v>
      </c>
      <c r="J105" t="s">
        <v>14</v>
      </c>
      <c r="K105" t="s">
        <v>63</v>
      </c>
      <c r="L105" s="1" t="e">
        <f>VLOOKUP(A105,#REF!,2,0)</f>
        <v>#REF!</v>
      </c>
      <c r="M105" s="1">
        <v>9450000</v>
      </c>
      <c r="N105" s="1">
        <v>9450000</v>
      </c>
      <c r="P105" t="s">
        <v>704</v>
      </c>
      <c r="Q105" s="1" t="e">
        <f t="shared" si="6"/>
        <v>#REF!</v>
      </c>
    </row>
    <row r="106" spans="1:19" x14ac:dyDescent="0.25">
      <c r="A106" t="s">
        <v>640</v>
      </c>
      <c r="B106" t="s">
        <v>13</v>
      </c>
      <c r="C106" s="12">
        <v>45929</v>
      </c>
      <c r="D106" s="12">
        <v>46022</v>
      </c>
      <c r="E106" t="s">
        <v>818</v>
      </c>
      <c r="F106" t="s">
        <v>14</v>
      </c>
      <c r="G106">
        <v>1081572042</v>
      </c>
      <c r="H106" t="s">
        <v>641</v>
      </c>
      <c r="I106">
        <v>98390119</v>
      </c>
      <c r="J106" t="s">
        <v>14</v>
      </c>
      <c r="K106" t="s">
        <v>63</v>
      </c>
      <c r="L106" s="1" t="e">
        <f>VLOOKUP(A106,#REF!,2,0)</f>
        <v>#REF!</v>
      </c>
      <c r="M106" s="1">
        <v>9450000</v>
      </c>
      <c r="N106" s="1">
        <v>9450000</v>
      </c>
      <c r="P106" t="s">
        <v>704</v>
      </c>
      <c r="Q106" s="1" t="e">
        <f t="shared" si="6"/>
        <v>#REF!</v>
      </c>
    </row>
    <row r="107" spans="1:19" x14ac:dyDescent="0.25">
      <c r="A107" t="s">
        <v>547</v>
      </c>
      <c r="B107" t="s">
        <v>13</v>
      </c>
      <c r="C107" s="12">
        <v>45929</v>
      </c>
      <c r="D107" s="12">
        <v>46022</v>
      </c>
      <c r="E107" t="s">
        <v>800</v>
      </c>
      <c r="F107" t="s">
        <v>14</v>
      </c>
      <c r="G107">
        <v>1082748032</v>
      </c>
      <c r="H107" t="s">
        <v>548</v>
      </c>
      <c r="I107">
        <v>98333941</v>
      </c>
      <c r="J107" t="s">
        <v>14</v>
      </c>
      <c r="K107" t="s">
        <v>15</v>
      </c>
      <c r="L107" s="1" t="e">
        <f>VLOOKUP(A107,#REF!,2,0)</f>
        <v>#REF!</v>
      </c>
      <c r="M107" s="1">
        <v>9450000</v>
      </c>
      <c r="N107" s="1">
        <v>9450000</v>
      </c>
      <c r="P107" t="s">
        <v>704</v>
      </c>
      <c r="Q107" s="1" t="e">
        <f t="shared" si="6"/>
        <v>#REF!</v>
      </c>
    </row>
    <row r="108" spans="1:19" x14ac:dyDescent="0.25">
      <c r="A108" t="s">
        <v>384</v>
      </c>
      <c r="B108" t="s">
        <v>13</v>
      </c>
      <c r="C108" s="12">
        <v>45929</v>
      </c>
      <c r="D108" s="12">
        <v>46022</v>
      </c>
      <c r="E108" t="s">
        <v>724</v>
      </c>
      <c r="F108" t="s">
        <v>14</v>
      </c>
      <c r="G108">
        <v>1085346528</v>
      </c>
      <c r="H108" t="s">
        <v>385</v>
      </c>
      <c r="I108">
        <v>43624414</v>
      </c>
      <c r="J108" t="s">
        <v>14</v>
      </c>
      <c r="K108" t="s">
        <v>18</v>
      </c>
      <c r="L108" s="1" t="e">
        <f>VLOOKUP(A108,#REF!,2,0)</f>
        <v>#REF!</v>
      </c>
      <c r="M108" s="1">
        <v>9450000</v>
      </c>
      <c r="N108" s="1">
        <v>9450000</v>
      </c>
      <c r="P108" t="s">
        <v>704</v>
      </c>
      <c r="Q108" s="1" t="e">
        <f t="shared" si="6"/>
        <v>#REF!</v>
      </c>
    </row>
    <row r="109" spans="1:19" x14ac:dyDescent="0.25">
      <c r="A109" t="s">
        <v>690</v>
      </c>
      <c r="B109" t="s">
        <v>13</v>
      </c>
      <c r="C109" s="12">
        <v>45981</v>
      </c>
      <c r="D109" s="12">
        <v>46022</v>
      </c>
      <c r="E109" t="s">
        <v>323</v>
      </c>
      <c r="F109" t="s">
        <v>14</v>
      </c>
      <c r="G109">
        <v>1085246134</v>
      </c>
      <c r="H109" t="s">
        <v>691</v>
      </c>
      <c r="I109">
        <v>98390119</v>
      </c>
      <c r="J109" t="s">
        <v>14</v>
      </c>
      <c r="K109" t="s">
        <v>63</v>
      </c>
      <c r="L109" s="1" t="e">
        <f>VLOOKUP(A109,#REF!,2,0)</f>
        <v>#REF!</v>
      </c>
      <c r="M109" s="1">
        <v>9450000</v>
      </c>
      <c r="N109" s="1">
        <v>9450000</v>
      </c>
      <c r="P109" t="s">
        <v>704</v>
      </c>
      <c r="Q109" s="1" t="e">
        <f t="shared" si="6"/>
        <v>#REF!</v>
      </c>
    </row>
    <row r="110" spans="1:19" x14ac:dyDescent="0.25">
      <c r="A110" t="s">
        <v>628</v>
      </c>
      <c r="B110" t="s">
        <v>13</v>
      </c>
      <c r="C110" s="12">
        <v>45975</v>
      </c>
      <c r="D110" s="12">
        <v>46022</v>
      </c>
      <c r="E110" t="s">
        <v>813</v>
      </c>
      <c r="F110" t="s">
        <v>14</v>
      </c>
      <c r="G110">
        <v>1193474724</v>
      </c>
      <c r="H110" t="s">
        <v>629</v>
      </c>
      <c r="I110">
        <v>98390119</v>
      </c>
      <c r="J110" t="s">
        <v>14</v>
      </c>
      <c r="K110" t="s">
        <v>63</v>
      </c>
      <c r="L110" s="1" t="e">
        <f>VLOOKUP(A110,#REF!,2,0)</f>
        <v>#REF!</v>
      </c>
      <c r="M110" s="1">
        <v>9450000</v>
      </c>
      <c r="N110" s="1">
        <v>9450000</v>
      </c>
      <c r="P110" t="s">
        <v>704</v>
      </c>
      <c r="Q110" s="1" t="e">
        <f t="shared" si="6"/>
        <v>#REF!</v>
      </c>
    </row>
    <row r="111" spans="1:19" x14ac:dyDescent="0.25">
      <c r="A111" t="s">
        <v>200</v>
      </c>
      <c r="B111" t="s">
        <v>13</v>
      </c>
      <c r="C111" s="12">
        <v>45944</v>
      </c>
      <c r="D111" s="12">
        <v>46022</v>
      </c>
      <c r="E111" t="s">
        <v>737</v>
      </c>
      <c r="F111" t="s">
        <v>14</v>
      </c>
      <c r="G111">
        <v>1233191675</v>
      </c>
      <c r="H111" t="s">
        <v>28</v>
      </c>
      <c r="I111">
        <v>98390119</v>
      </c>
      <c r="J111" t="s">
        <v>14</v>
      </c>
      <c r="K111" t="s">
        <v>63</v>
      </c>
      <c r="L111" s="1" t="e">
        <f>VLOOKUP(A111,#REF!,2,0)</f>
        <v>#REF!</v>
      </c>
      <c r="M111" s="1">
        <v>9450000</v>
      </c>
      <c r="N111" s="1">
        <v>9450000</v>
      </c>
      <c r="P111" t="s">
        <v>704</v>
      </c>
      <c r="Q111" s="1" t="e">
        <f t="shared" si="6"/>
        <v>#REF!</v>
      </c>
    </row>
    <row r="112" spans="1:19" x14ac:dyDescent="0.25">
      <c r="A112" t="s">
        <v>505</v>
      </c>
      <c r="B112" t="s">
        <v>13</v>
      </c>
      <c r="C112" s="12">
        <v>45966</v>
      </c>
      <c r="D112" s="12">
        <v>46022</v>
      </c>
      <c r="E112" t="s">
        <v>744</v>
      </c>
      <c r="F112" t="s">
        <v>14</v>
      </c>
      <c r="G112">
        <v>13070247</v>
      </c>
      <c r="H112" t="s">
        <v>506</v>
      </c>
      <c r="I112">
        <v>98390119</v>
      </c>
      <c r="J112" t="s">
        <v>14</v>
      </c>
      <c r="K112" t="s">
        <v>63</v>
      </c>
      <c r="L112" s="1" t="e">
        <f>VLOOKUP(A112,#REF!,2,0)</f>
        <v>#REF!</v>
      </c>
      <c r="M112" s="1">
        <v>9460000</v>
      </c>
      <c r="N112" s="1">
        <v>9460000</v>
      </c>
      <c r="P112" t="s">
        <v>704</v>
      </c>
      <c r="Q112" s="1" t="e">
        <f t="shared" si="6"/>
        <v>#REF!</v>
      </c>
    </row>
    <row r="113" spans="1:19" x14ac:dyDescent="0.25">
      <c r="A113" t="s">
        <v>132</v>
      </c>
      <c r="B113" t="s">
        <v>13</v>
      </c>
      <c r="C113" s="12">
        <v>45925</v>
      </c>
      <c r="D113" s="12">
        <v>46022</v>
      </c>
      <c r="E113" t="s">
        <v>716</v>
      </c>
      <c r="F113" t="s">
        <v>14</v>
      </c>
      <c r="G113">
        <v>1005977438</v>
      </c>
      <c r="H113" t="s">
        <v>133</v>
      </c>
      <c r="I113">
        <v>98390119</v>
      </c>
      <c r="J113" t="s">
        <v>14</v>
      </c>
      <c r="K113" t="s">
        <v>63</v>
      </c>
      <c r="L113" s="1" t="e">
        <f>VLOOKUP(A113,#REF!,2,0)</f>
        <v>#REF!</v>
      </c>
      <c r="M113" s="1">
        <v>11025000</v>
      </c>
      <c r="N113" s="1">
        <v>11025000</v>
      </c>
      <c r="P113" t="s">
        <v>704</v>
      </c>
      <c r="Q113" s="1" t="e">
        <f t="shared" si="6"/>
        <v>#REF!</v>
      </c>
    </row>
    <row r="114" spans="1:19" x14ac:dyDescent="0.25">
      <c r="A114" t="s">
        <v>353</v>
      </c>
      <c r="B114" t="s">
        <v>13</v>
      </c>
      <c r="C114" s="12">
        <v>45925</v>
      </c>
      <c r="D114" s="12">
        <v>46022</v>
      </c>
      <c r="E114" t="s">
        <v>720</v>
      </c>
      <c r="F114" t="s">
        <v>14</v>
      </c>
      <c r="G114">
        <v>37083086</v>
      </c>
      <c r="H114" t="s">
        <v>354</v>
      </c>
      <c r="I114">
        <v>98333941</v>
      </c>
      <c r="J114" t="s">
        <v>14</v>
      </c>
      <c r="K114" t="s">
        <v>15</v>
      </c>
      <c r="L114" s="1" t="e">
        <f>VLOOKUP(A114,#REF!,2,0)</f>
        <v>#REF!</v>
      </c>
      <c r="M114" s="1">
        <v>11025000</v>
      </c>
      <c r="N114" s="1">
        <v>11025000</v>
      </c>
      <c r="P114" t="s">
        <v>704</v>
      </c>
      <c r="Q114" s="1" t="e">
        <f t="shared" si="6"/>
        <v>#REF!</v>
      </c>
    </row>
    <row r="115" spans="1:19" x14ac:dyDescent="0.25">
      <c r="A115" t="s">
        <v>347</v>
      </c>
      <c r="B115" t="s">
        <v>13</v>
      </c>
      <c r="C115" s="12">
        <v>45924</v>
      </c>
      <c r="D115" s="12">
        <v>46022</v>
      </c>
      <c r="E115" t="s">
        <v>763</v>
      </c>
      <c r="F115" t="s">
        <v>14</v>
      </c>
      <c r="G115">
        <v>1086330124</v>
      </c>
      <c r="H115" t="s">
        <v>348</v>
      </c>
      <c r="I115">
        <v>98333941</v>
      </c>
      <c r="J115" t="s">
        <v>14</v>
      </c>
      <c r="K115" t="s">
        <v>15</v>
      </c>
      <c r="L115" s="1" t="e">
        <f>VLOOKUP(A115,#REF!,2,0)</f>
        <v>#REF!</v>
      </c>
      <c r="M115" s="1">
        <v>11025000</v>
      </c>
      <c r="N115" s="1">
        <v>11025000</v>
      </c>
      <c r="P115" t="s">
        <v>704</v>
      </c>
      <c r="Q115" s="1" t="e">
        <f t="shared" si="6"/>
        <v>#REF!</v>
      </c>
    </row>
    <row r="116" spans="1:19" x14ac:dyDescent="0.25">
      <c r="A116" t="s">
        <v>380</v>
      </c>
      <c r="B116" t="s">
        <v>13</v>
      </c>
      <c r="C116" s="12">
        <v>45924</v>
      </c>
      <c r="D116" s="12">
        <v>46022</v>
      </c>
      <c r="E116" t="s">
        <v>720</v>
      </c>
      <c r="F116" t="s">
        <v>14</v>
      </c>
      <c r="G116">
        <v>1004437571</v>
      </c>
      <c r="H116" t="s">
        <v>381</v>
      </c>
      <c r="I116">
        <v>98390119</v>
      </c>
      <c r="J116" t="s">
        <v>14</v>
      </c>
      <c r="K116" t="s">
        <v>63</v>
      </c>
      <c r="L116" s="1" t="e">
        <f>VLOOKUP(A116,#REF!,2,0)</f>
        <v>#REF!</v>
      </c>
      <c r="M116" s="1">
        <v>11025000</v>
      </c>
      <c r="N116" s="1">
        <v>11025000</v>
      </c>
      <c r="P116" t="s">
        <v>704</v>
      </c>
      <c r="Q116" s="1" t="e">
        <f t="shared" si="6"/>
        <v>#REF!</v>
      </c>
    </row>
    <row r="117" spans="1:19" x14ac:dyDescent="0.25">
      <c r="A117" t="s">
        <v>632</v>
      </c>
      <c r="B117" t="s">
        <v>13</v>
      </c>
      <c r="C117" s="12">
        <v>45923</v>
      </c>
      <c r="D117" s="12">
        <v>46022</v>
      </c>
      <c r="E117" t="s">
        <v>814</v>
      </c>
      <c r="F117" t="s">
        <v>14</v>
      </c>
      <c r="G117">
        <v>1004134014</v>
      </c>
      <c r="H117" t="s">
        <v>633</v>
      </c>
      <c r="I117">
        <v>43624414</v>
      </c>
      <c r="J117" t="s">
        <v>14</v>
      </c>
      <c r="K117" t="s">
        <v>18</v>
      </c>
      <c r="L117" s="1" t="e">
        <f>VLOOKUP(A117,#REF!,2,0)</f>
        <v>#REF!</v>
      </c>
      <c r="M117" s="1">
        <v>11025000</v>
      </c>
      <c r="N117" s="1">
        <v>11025000</v>
      </c>
      <c r="P117" t="s">
        <v>704</v>
      </c>
      <c r="Q117" s="1" t="e">
        <f t="shared" si="6"/>
        <v>#REF!</v>
      </c>
    </row>
    <row r="118" spans="1:19" x14ac:dyDescent="0.25">
      <c r="A118" t="s">
        <v>559</v>
      </c>
      <c r="B118" t="s">
        <v>13</v>
      </c>
      <c r="C118" s="12">
        <v>45923</v>
      </c>
      <c r="D118" s="12">
        <v>46022</v>
      </c>
      <c r="E118" t="s">
        <v>716</v>
      </c>
      <c r="F118" t="s">
        <v>14</v>
      </c>
      <c r="G118">
        <v>1004726621</v>
      </c>
      <c r="H118" t="s">
        <v>560</v>
      </c>
      <c r="I118">
        <v>98390119</v>
      </c>
      <c r="J118" t="s">
        <v>14</v>
      </c>
      <c r="K118" t="s">
        <v>63</v>
      </c>
      <c r="L118" s="1" t="e">
        <f>VLOOKUP(A118,#REF!,2,0)</f>
        <v>#REF!</v>
      </c>
      <c r="M118" s="1">
        <v>11025000</v>
      </c>
      <c r="N118" s="1">
        <v>11025000</v>
      </c>
      <c r="P118" t="s">
        <v>704</v>
      </c>
      <c r="Q118" s="1" t="e">
        <f t="shared" si="6"/>
        <v>#REF!</v>
      </c>
    </row>
    <row r="119" spans="1:19" x14ac:dyDescent="0.25">
      <c r="A119" t="s">
        <v>460</v>
      </c>
      <c r="B119" t="s">
        <v>13</v>
      </c>
      <c r="C119" s="12">
        <v>45923</v>
      </c>
      <c r="D119" s="12">
        <v>46022</v>
      </c>
      <c r="E119" t="s">
        <v>736</v>
      </c>
      <c r="F119" t="s">
        <v>14</v>
      </c>
      <c r="G119">
        <v>37082272</v>
      </c>
      <c r="H119" t="s">
        <v>461</v>
      </c>
      <c r="I119">
        <v>98390119</v>
      </c>
      <c r="J119" t="s">
        <v>14</v>
      </c>
      <c r="K119" t="s">
        <v>63</v>
      </c>
      <c r="L119" s="1" t="e">
        <f>VLOOKUP(A119,#REF!,2,0)</f>
        <v>#REF!</v>
      </c>
      <c r="M119" s="1">
        <v>11025000</v>
      </c>
      <c r="N119" s="1">
        <v>11025000</v>
      </c>
      <c r="P119" t="s">
        <v>704</v>
      </c>
      <c r="Q119" s="1" t="e">
        <f t="shared" si="6"/>
        <v>#REF!</v>
      </c>
    </row>
    <row r="120" spans="1:19" x14ac:dyDescent="0.25">
      <c r="A120" t="s">
        <v>597</v>
      </c>
      <c r="B120" t="s">
        <v>13</v>
      </c>
      <c r="C120" s="12">
        <v>45922</v>
      </c>
      <c r="D120" s="12">
        <v>46022</v>
      </c>
      <c r="E120" t="s">
        <v>720</v>
      </c>
      <c r="F120" t="s">
        <v>14</v>
      </c>
      <c r="G120">
        <v>1085323163</v>
      </c>
      <c r="H120" t="s">
        <v>598</v>
      </c>
      <c r="I120">
        <v>98390119</v>
      </c>
      <c r="J120" t="s">
        <v>14</v>
      </c>
      <c r="K120" t="s">
        <v>63</v>
      </c>
      <c r="L120" s="1" t="e">
        <f>VLOOKUP(A120,#REF!,2,0)</f>
        <v>#REF!</v>
      </c>
      <c r="M120" s="1">
        <v>11025000</v>
      </c>
      <c r="N120" s="1">
        <v>11025000</v>
      </c>
      <c r="P120" t="s">
        <v>704</v>
      </c>
      <c r="Q120" s="1" t="e">
        <f t="shared" si="6"/>
        <v>#REF!</v>
      </c>
    </row>
    <row r="121" spans="1:19" x14ac:dyDescent="0.25">
      <c r="A121" t="s">
        <v>235</v>
      </c>
      <c r="B121" t="s">
        <v>13</v>
      </c>
      <c r="C121" s="12">
        <v>45922</v>
      </c>
      <c r="D121" s="12">
        <v>46022</v>
      </c>
      <c r="E121" t="s">
        <v>716</v>
      </c>
      <c r="F121" t="s">
        <v>14</v>
      </c>
      <c r="G121">
        <v>1081592303</v>
      </c>
      <c r="H121" t="s">
        <v>32</v>
      </c>
      <c r="I121">
        <v>43624414</v>
      </c>
      <c r="J121" t="s">
        <v>14</v>
      </c>
      <c r="K121" t="s">
        <v>18</v>
      </c>
      <c r="L121" s="1" t="e">
        <f>VLOOKUP(A121,#REF!,2,0)</f>
        <v>#REF!</v>
      </c>
      <c r="M121" s="1">
        <v>11025000</v>
      </c>
      <c r="N121" s="1">
        <v>11025000</v>
      </c>
      <c r="P121" t="s">
        <v>704</v>
      </c>
      <c r="Q121" s="1" t="e">
        <f t="shared" si="6"/>
        <v>#REF!</v>
      </c>
    </row>
    <row r="122" spans="1:19" x14ac:dyDescent="0.25">
      <c r="A122" t="s">
        <v>621</v>
      </c>
      <c r="B122" t="s">
        <v>13</v>
      </c>
      <c r="C122" s="12">
        <v>45919</v>
      </c>
      <c r="D122" s="12">
        <v>46022</v>
      </c>
      <c r="E122" t="s">
        <v>711</v>
      </c>
      <c r="F122" t="s">
        <v>14</v>
      </c>
      <c r="G122">
        <v>1081594639</v>
      </c>
      <c r="H122" t="s">
        <v>39</v>
      </c>
      <c r="I122">
        <v>43624414</v>
      </c>
      <c r="J122" t="s">
        <v>14</v>
      </c>
      <c r="K122" t="s">
        <v>18</v>
      </c>
      <c r="L122" s="1" t="e">
        <f>VLOOKUP(A122,#REF!,2,0)</f>
        <v>#REF!</v>
      </c>
      <c r="M122" s="1">
        <v>11025000</v>
      </c>
      <c r="N122" s="1">
        <v>11025000</v>
      </c>
      <c r="P122" t="s">
        <v>704</v>
      </c>
      <c r="Q122" s="1" t="e">
        <f t="shared" si="6"/>
        <v>#REF!</v>
      </c>
    </row>
    <row r="123" spans="1:19" x14ac:dyDescent="0.25">
      <c r="A123" t="s">
        <v>1001</v>
      </c>
      <c r="B123" t="s">
        <v>13</v>
      </c>
      <c r="C123" s="12">
        <v>46024</v>
      </c>
      <c r="D123" s="12">
        <v>46112</v>
      </c>
      <c r="E123" t="s">
        <v>775</v>
      </c>
      <c r="F123" t="s">
        <v>14</v>
      </c>
      <c r="G123">
        <v>36752202</v>
      </c>
      <c r="H123" t="s">
        <v>168</v>
      </c>
      <c r="I123">
        <v>59836926</v>
      </c>
      <c r="J123" t="s">
        <v>14</v>
      </c>
      <c r="K123" t="s">
        <v>17</v>
      </c>
      <c r="L123" s="1" t="e">
        <f>VLOOKUP(A123,#REF!,2,0)</f>
        <v>#REF!</v>
      </c>
      <c r="M123" s="1">
        <v>3150000</v>
      </c>
      <c r="N123" s="10">
        <v>9450000</v>
      </c>
      <c r="O123" s="10"/>
      <c r="P123" t="s">
        <v>704</v>
      </c>
      <c r="Q123" s="1" t="e">
        <f t="shared" si="6"/>
        <v>#REF!</v>
      </c>
      <c r="S123" s="11" t="s">
        <v>1036</v>
      </c>
    </row>
    <row r="124" spans="1:19" x14ac:dyDescent="0.25">
      <c r="A124" t="s">
        <v>642</v>
      </c>
      <c r="B124" t="s">
        <v>13</v>
      </c>
      <c r="C124" s="12">
        <v>45919</v>
      </c>
      <c r="D124" s="12">
        <v>46022</v>
      </c>
      <c r="E124" t="s">
        <v>716</v>
      </c>
      <c r="F124" t="s">
        <v>14</v>
      </c>
      <c r="G124">
        <v>1085315209</v>
      </c>
      <c r="H124" t="s">
        <v>643</v>
      </c>
      <c r="I124">
        <v>43624414</v>
      </c>
      <c r="J124" t="s">
        <v>14</v>
      </c>
      <c r="K124" t="s">
        <v>18</v>
      </c>
      <c r="L124" s="1" t="e">
        <f>VLOOKUP(A124,#REF!,2,0)</f>
        <v>#REF!</v>
      </c>
      <c r="M124" s="1">
        <v>11025000</v>
      </c>
      <c r="N124" s="1">
        <v>11025000</v>
      </c>
      <c r="P124" t="s">
        <v>704</v>
      </c>
      <c r="Q124" s="1" t="e">
        <f t="shared" si="6"/>
        <v>#REF!</v>
      </c>
    </row>
    <row r="125" spans="1:19" x14ac:dyDescent="0.25">
      <c r="A125" t="s">
        <v>678</v>
      </c>
      <c r="B125" t="s">
        <v>13</v>
      </c>
      <c r="C125" s="12">
        <v>45919</v>
      </c>
      <c r="D125" s="12">
        <v>46022</v>
      </c>
      <c r="E125" t="s">
        <v>716</v>
      </c>
      <c r="F125" t="s">
        <v>14</v>
      </c>
      <c r="G125">
        <v>1085295583</v>
      </c>
      <c r="H125" t="s">
        <v>679</v>
      </c>
      <c r="I125">
        <v>98390119</v>
      </c>
      <c r="J125" t="s">
        <v>14</v>
      </c>
      <c r="K125" t="s">
        <v>63</v>
      </c>
      <c r="L125" s="1" t="e">
        <f>VLOOKUP(A125,#REF!,2,0)</f>
        <v>#REF!</v>
      </c>
      <c r="M125" s="1">
        <v>11025000</v>
      </c>
      <c r="N125" s="1">
        <v>11025000</v>
      </c>
      <c r="P125" t="s">
        <v>704</v>
      </c>
      <c r="Q125" s="1" t="e">
        <f t="shared" si="6"/>
        <v>#REF!</v>
      </c>
    </row>
    <row r="126" spans="1:19" x14ac:dyDescent="0.25">
      <c r="A126" t="s">
        <v>243</v>
      </c>
      <c r="B126" t="s">
        <v>13</v>
      </c>
      <c r="C126" s="12">
        <v>45919</v>
      </c>
      <c r="D126" s="12">
        <v>46022</v>
      </c>
      <c r="E126" t="s">
        <v>716</v>
      </c>
      <c r="F126" t="s">
        <v>14</v>
      </c>
      <c r="G126">
        <v>27444591</v>
      </c>
      <c r="H126" t="s">
        <v>244</v>
      </c>
      <c r="I126">
        <v>98390119</v>
      </c>
      <c r="J126" t="s">
        <v>14</v>
      </c>
      <c r="K126" t="s">
        <v>63</v>
      </c>
      <c r="L126" s="1" t="e">
        <f>VLOOKUP(A126,#REF!,2,0)</f>
        <v>#REF!</v>
      </c>
      <c r="M126" s="1">
        <v>11025000</v>
      </c>
      <c r="N126" s="1">
        <v>11025000</v>
      </c>
      <c r="P126" t="s">
        <v>704</v>
      </c>
      <c r="Q126" s="1" t="e">
        <f t="shared" si="6"/>
        <v>#REF!</v>
      </c>
    </row>
    <row r="127" spans="1:19" x14ac:dyDescent="0.25">
      <c r="A127" t="s">
        <v>450</v>
      </c>
      <c r="B127" t="s">
        <v>13</v>
      </c>
      <c r="C127" s="12">
        <v>45918</v>
      </c>
      <c r="D127" s="12">
        <v>46022</v>
      </c>
      <c r="E127" t="s">
        <v>786</v>
      </c>
      <c r="F127" t="s">
        <v>14</v>
      </c>
      <c r="G127">
        <v>1086224204</v>
      </c>
      <c r="H127" t="s">
        <v>451</v>
      </c>
      <c r="I127">
        <v>98333941</v>
      </c>
      <c r="J127" t="s">
        <v>14</v>
      </c>
      <c r="K127" t="s">
        <v>15</v>
      </c>
      <c r="L127" s="1" t="e">
        <f>VLOOKUP(A127,#REF!,2,0)</f>
        <v>#REF!</v>
      </c>
      <c r="M127" s="1">
        <v>11025000</v>
      </c>
      <c r="N127" s="1">
        <v>11025000</v>
      </c>
      <c r="P127" t="s">
        <v>704</v>
      </c>
      <c r="Q127" s="1" t="e">
        <f t="shared" si="6"/>
        <v>#REF!</v>
      </c>
    </row>
    <row r="128" spans="1:19" x14ac:dyDescent="0.25">
      <c r="A128" t="s">
        <v>627</v>
      </c>
      <c r="B128" t="s">
        <v>13</v>
      </c>
      <c r="C128" s="12">
        <v>45918</v>
      </c>
      <c r="D128" s="12">
        <v>46022</v>
      </c>
      <c r="E128" t="s">
        <v>716</v>
      </c>
      <c r="F128" t="s">
        <v>14</v>
      </c>
      <c r="G128">
        <v>1084552048</v>
      </c>
      <c r="H128" t="s">
        <v>66</v>
      </c>
      <c r="I128">
        <v>98333941</v>
      </c>
      <c r="J128" t="s">
        <v>14</v>
      </c>
      <c r="K128" t="s">
        <v>15</v>
      </c>
      <c r="L128" s="1" t="e">
        <f>VLOOKUP(A128,#REF!,2,0)</f>
        <v>#REF!</v>
      </c>
      <c r="M128" s="1">
        <v>11025000</v>
      </c>
      <c r="N128" s="1">
        <v>11025000</v>
      </c>
      <c r="P128" t="s">
        <v>704</v>
      </c>
      <c r="Q128" s="1" t="e">
        <f t="shared" si="6"/>
        <v>#REF!</v>
      </c>
    </row>
    <row r="129" spans="1:17" x14ac:dyDescent="0.25">
      <c r="A129" t="s">
        <v>369</v>
      </c>
      <c r="B129" t="s">
        <v>13</v>
      </c>
      <c r="C129" s="12">
        <v>45917</v>
      </c>
      <c r="D129" s="12">
        <v>46022</v>
      </c>
      <c r="E129" t="s">
        <v>716</v>
      </c>
      <c r="F129" t="s">
        <v>14</v>
      </c>
      <c r="G129">
        <v>5930737</v>
      </c>
      <c r="H129" t="s">
        <v>370</v>
      </c>
      <c r="I129">
        <v>98390119</v>
      </c>
      <c r="J129" t="s">
        <v>14</v>
      </c>
      <c r="K129" t="s">
        <v>63</v>
      </c>
      <c r="L129" s="1" t="e">
        <f>VLOOKUP(A129,#REF!,2,0)</f>
        <v>#REF!</v>
      </c>
      <c r="M129" s="1">
        <v>11025000</v>
      </c>
      <c r="N129" s="1">
        <v>11025000</v>
      </c>
      <c r="P129" t="s">
        <v>704</v>
      </c>
      <c r="Q129" s="1" t="e">
        <f t="shared" si="6"/>
        <v>#REF!</v>
      </c>
    </row>
    <row r="130" spans="1:17" x14ac:dyDescent="0.25">
      <c r="A130" t="s">
        <v>270</v>
      </c>
      <c r="B130" t="s">
        <v>13</v>
      </c>
      <c r="C130" s="12">
        <v>45917</v>
      </c>
      <c r="D130" s="12">
        <v>46022</v>
      </c>
      <c r="E130" t="s">
        <v>711</v>
      </c>
      <c r="F130" t="s">
        <v>14</v>
      </c>
      <c r="G130">
        <v>1085317226</v>
      </c>
      <c r="H130" t="s">
        <v>271</v>
      </c>
      <c r="I130">
        <v>98333941</v>
      </c>
      <c r="J130" t="s">
        <v>14</v>
      </c>
      <c r="K130" t="s">
        <v>15</v>
      </c>
      <c r="L130" s="1" t="e">
        <f>VLOOKUP(A130,#REF!,2,0)</f>
        <v>#REF!</v>
      </c>
      <c r="M130" s="1">
        <v>11025000</v>
      </c>
      <c r="N130" s="1">
        <v>11025000</v>
      </c>
      <c r="P130" t="s">
        <v>704</v>
      </c>
      <c r="Q130" s="1" t="e">
        <f t="shared" si="6"/>
        <v>#REF!</v>
      </c>
    </row>
    <row r="131" spans="1:17" x14ac:dyDescent="0.25">
      <c r="A131" t="s">
        <v>537</v>
      </c>
      <c r="B131" t="s">
        <v>13</v>
      </c>
      <c r="C131" s="12">
        <v>45917</v>
      </c>
      <c r="D131" s="12">
        <v>46022</v>
      </c>
      <c r="E131" t="s">
        <v>711</v>
      </c>
      <c r="F131" t="s">
        <v>14</v>
      </c>
      <c r="G131">
        <v>1082749295</v>
      </c>
      <c r="H131" t="s">
        <v>538</v>
      </c>
      <c r="I131">
        <v>98333941</v>
      </c>
      <c r="J131" t="s">
        <v>14</v>
      </c>
      <c r="K131" t="s">
        <v>15</v>
      </c>
      <c r="L131" s="1" t="e">
        <f>VLOOKUP(A131,#REF!,2,0)</f>
        <v>#REF!</v>
      </c>
      <c r="M131" s="1">
        <v>11025000</v>
      </c>
      <c r="N131" s="1">
        <v>11025000</v>
      </c>
      <c r="P131" t="s">
        <v>704</v>
      </c>
      <c r="Q131" s="1" t="e">
        <f t="shared" ref="Q131:Q162" si="7">N131-L131</f>
        <v>#REF!</v>
      </c>
    </row>
    <row r="132" spans="1:17" x14ac:dyDescent="0.25">
      <c r="A132" t="s">
        <v>264</v>
      </c>
      <c r="B132" t="s">
        <v>13</v>
      </c>
      <c r="C132" s="12">
        <v>45917</v>
      </c>
      <c r="D132" s="12">
        <v>46022</v>
      </c>
      <c r="E132" t="s">
        <v>711</v>
      </c>
      <c r="F132" t="s">
        <v>14</v>
      </c>
      <c r="G132">
        <v>1086328063</v>
      </c>
      <c r="H132" t="s">
        <v>265</v>
      </c>
      <c r="I132">
        <v>98390119</v>
      </c>
      <c r="J132" t="s">
        <v>14</v>
      </c>
      <c r="K132" t="s">
        <v>63</v>
      </c>
      <c r="L132" s="1" t="e">
        <f>VLOOKUP(A132,#REF!,2,0)</f>
        <v>#REF!</v>
      </c>
      <c r="M132" s="1">
        <v>11025000</v>
      </c>
      <c r="N132" s="1">
        <v>11025000</v>
      </c>
      <c r="P132" t="s">
        <v>704</v>
      </c>
      <c r="Q132" s="1" t="e">
        <f t="shared" si="7"/>
        <v>#REF!</v>
      </c>
    </row>
    <row r="133" spans="1:17" x14ac:dyDescent="0.25">
      <c r="A133" t="s">
        <v>591</v>
      </c>
      <c r="B133" t="s">
        <v>13</v>
      </c>
      <c r="C133" s="12">
        <v>45946</v>
      </c>
      <c r="D133" s="12">
        <v>46022</v>
      </c>
      <c r="E133" t="s">
        <v>784</v>
      </c>
      <c r="F133" t="s">
        <v>14</v>
      </c>
      <c r="G133">
        <v>1085335069</v>
      </c>
      <c r="H133" t="s">
        <v>592</v>
      </c>
      <c r="I133">
        <v>98390119</v>
      </c>
      <c r="J133" t="s">
        <v>14</v>
      </c>
      <c r="K133" t="s">
        <v>63</v>
      </c>
      <c r="L133" s="1" t="e">
        <f>VLOOKUP(A133,#REF!,2,0)</f>
        <v>#REF!</v>
      </c>
      <c r="M133" s="1">
        <v>11825000</v>
      </c>
      <c r="N133" s="1">
        <v>11825000</v>
      </c>
      <c r="P133" t="s">
        <v>704</v>
      </c>
      <c r="Q133" s="1" t="e">
        <f t="shared" si="7"/>
        <v>#REF!</v>
      </c>
    </row>
    <row r="134" spans="1:17" x14ac:dyDescent="0.25">
      <c r="A134" t="s">
        <v>109</v>
      </c>
      <c r="B134" t="s">
        <v>13</v>
      </c>
      <c r="C134" s="12">
        <v>45917</v>
      </c>
      <c r="D134" s="12">
        <v>46022</v>
      </c>
      <c r="E134" t="s">
        <v>711</v>
      </c>
      <c r="F134" t="s">
        <v>14</v>
      </c>
      <c r="G134">
        <v>1004547484</v>
      </c>
      <c r="H134" t="s">
        <v>110</v>
      </c>
      <c r="I134">
        <v>98333941</v>
      </c>
      <c r="J134" t="s">
        <v>14</v>
      </c>
      <c r="K134" t="s">
        <v>15</v>
      </c>
      <c r="L134" s="1" t="e">
        <f>VLOOKUP(A134,#REF!,2,0)</f>
        <v>#REF!</v>
      </c>
      <c r="M134" s="1">
        <v>12600000</v>
      </c>
      <c r="N134" s="1">
        <v>12600000</v>
      </c>
      <c r="P134" t="s">
        <v>704</v>
      </c>
      <c r="Q134" s="1" t="e">
        <f t="shared" si="7"/>
        <v>#REF!</v>
      </c>
    </row>
    <row r="135" spans="1:17" x14ac:dyDescent="0.25">
      <c r="A135" t="s">
        <v>277</v>
      </c>
      <c r="B135" t="s">
        <v>13</v>
      </c>
      <c r="C135" s="12">
        <v>45915</v>
      </c>
      <c r="D135" s="12">
        <v>46022</v>
      </c>
      <c r="E135" t="s">
        <v>711</v>
      </c>
      <c r="F135" t="s">
        <v>14</v>
      </c>
      <c r="G135">
        <v>1085265947</v>
      </c>
      <c r="H135" t="s">
        <v>278</v>
      </c>
      <c r="I135">
        <v>43624414</v>
      </c>
      <c r="J135" t="s">
        <v>14</v>
      </c>
      <c r="K135" t="s">
        <v>18</v>
      </c>
      <c r="L135" s="1" t="e">
        <f>VLOOKUP(A135,#REF!,2,0)</f>
        <v>#REF!</v>
      </c>
      <c r="M135" s="1">
        <v>12600000</v>
      </c>
      <c r="N135" s="1">
        <v>12600000</v>
      </c>
      <c r="P135" t="s">
        <v>704</v>
      </c>
      <c r="Q135" s="1" t="e">
        <f t="shared" si="7"/>
        <v>#REF!</v>
      </c>
    </row>
    <row r="136" spans="1:17" x14ac:dyDescent="0.25">
      <c r="A136" t="s">
        <v>605</v>
      </c>
      <c r="B136" t="s">
        <v>13</v>
      </c>
      <c r="C136" s="12">
        <v>45915</v>
      </c>
      <c r="D136" s="12">
        <v>46022</v>
      </c>
      <c r="E136" t="s">
        <v>711</v>
      </c>
      <c r="F136" t="s">
        <v>14</v>
      </c>
      <c r="G136">
        <v>59311295</v>
      </c>
      <c r="H136" t="s">
        <v>606</v>
      </c>
      <c r="I136">
        <v>43624414</v>
      </c>
      <c r="J136" t="s">
        <v>14</v>
      </c>
      <c r="K136" t="s">
        <v>18</v>
      </c>
      <c r="L136" s="1" t="e">
        <f>VLOOKUP(A136,#REF!,2,0)</f>
        <v>#REF!</v>
      </c>
      <c r="M136" s="1">
        <v>12600000</v>
      </c>
      <c r="N136" s="1">
        <v>12600000</v>
      </c>
      <c r="P136" t="s">
        <v>704</v>
      </c>
      <c r="Q136" s="1" t="e">
        <f t="shared" si="7"/>
        <v>#REF!</v>
      </c>
    </row>
    <row r="137" spans="1:17" x14ac:dyDescent="0.25">
      <c r="A137" t="s">
        <v>497</v>
      </c>
      <c r="B137" t="s">
        <v>13</v>
      </c>
      <c r="C137" s="12">
        <v>45912</v>
      </c>
      <c r="D137" s="12">
        <v>46022</v>
      </c>
      <c r="E137" t="s">
        <v>711</v>
      </c>
      <c r="F137" t="s">
        <v>14</v>
      </c>
      <c r="G137">
        <v>1085247449</v>
      </c>
      <c r="H137" t="s">
        <v>498</v>
      </c>
      <c r="I137">
        <v>98333941</v>
      </c>
      <c r="J137" t="s">
        <v>14</v>
      </c>
      <c r="K137" t="s">
        <v>15</v>
      </c>
      <c r="L137" s="1" t="e">
        <f>VLOOKUP(A137,#REF!,2,0)</f>
        <v>#REF!</v>
      </c>
      <c r="M137" s="1">
        <v>12600000</v>
      </c>
      <c r="N137" s="1">
        <v>12600000</v>
      </c>
      <c r="P137" t="s">
        <v>704</v>
      </c>
      <c r="Q137" s="1" t="e">
        <f t="shared" si="7"/>
        <v>#REF!</v>
      </c>
    </row>
    <row r="138" spans="1:17" x14ac:dyDescent="0.25">
      <c r="A138" t="s">
        <v>462</v>
      </c>
      <c r="B138" t="s">
        <v>13</v>
      </c>
      <c r="C138" s="12">
        <v>45912</v>
      </c>
      <c r="D138" s="12">
        <v>46022</v>
      </c>
      <c r="E138" t="s">
        <v>711</v>
      </c>
      <c r="F138" t="s">
        <v>14</v>
      </c>
      <c r="G138">
        <v>59122805</v>
      </c>
      <c r="H138" t="s">
        <v>463</v>
      </c>
      <c r="I138">
        <v>98333941</v>
      </c>
      <c r="J138" t="s">
        <v>14</v>
      </c>
      <c r="K138" t="s">
        <v>15</v>
      </c>
      <c r="L138" s="1" t="e">
        <f>VLOOKUP(A138,#REF!,2,0)</f>
        <v>#REF!</v>
      </c>
      <c r="M138" s="1">
        <v>12600000</v>
      </c>
      <c r="N138" s="1">
        <v>12600000</v>
      </c>
      <c r="P138" t="s">
        <v>704</v>
      </c>
      <c r="Q138" s="1" t="e">
        <f t="shared" si="7"/>
        <v>#REF!</v>
      </c>
    </row>
    <row r="139" spans="1:17" x14ac:dyDescent="0.25">
      <c r="A139" t="s">
        <v>543</v>
      </c>
      <c r="B139" t="s">
        <v>13</v>
      </c>
      <c r="C139" s="12">
        <v>45912</v>
      </c>
      <c r="D139" s="12">
        <v>46022</v>
      </c>
      <c r="E139" t="s">
        <v>711</v>
      </c>
      <c r="F139" t="s">
        <v>14</v>
      </c>
      <c r="G139">
        <v>1085252263</v>
      </c>
      <c r="H139" t="s">
        <v>544</v>
      </c>
      <c r="I139">
        <v>43624414</v>
      </c>
      <c r="J139" t="s">
        <v>14</v>
      </c>
      <c r="K139" t="s">
        <v>18</v>
      </c>
      <c r="L139" s="1" t="e">
        <f>VLOOKUP(A139,#REF!,2,0)</f>
        <v>#REF!</v>
      </c>
      <c r="M139" s="1">
        <v>12600000</v>
      </c>
      <c r="N139" s="1">
        <v>12600000</v>
      </c>
      <c r="P139" t="s">
        <v>704</v>
      </c>
      <c r="Q139" s="1" t="e">
        <f t="shared" si="7"/>
        <v>#REF!</v>
      </c>
    </row>
    <row r="140" spans="1:17" x14ac:dyDescent="0.25">
      <c r="A140" t="s">
        <v>417</v>
      </c>
      <c r="B140" t="s">
        <v>13</v>
      </c>
      <c r="C140" s="12">
        <v>45911</v>
      </c>
      <c r="D140" s="12">
        <v>46022</v>
      </c>
      <c r="E140" t="s">
        <v>711</v>
      </c>
      <c r="F140" t="s">
        <v>14</v>
      </c>
      <c r="G140">
        <v>1085267332</v>
      </c>
      <c r="H140" t="s">
        <v>418</v>
      </c>
      <c r="I140">
        <v>98333941</v>
      </c>
      <c r="J140" t="s">
        <v>14</v>
      </c>
      <c r="K140" t="s">
        <v>15</v>
      </c>
      <c r="L140" s="1" t="e">
        <f>VLOOKUP(A140,#REF!,2,0)</f>
        <v>#REF!</v>
      </c>
      <c r="M140" s="1">
        <v>12600000</v>
      </c>
      <c r="N140" s="1">
        <v>12600000</v>
      </c>
      <c r="P140" t="s">
        <v>704</v>
      </c>
      <c r="Q140" s="1" t="e">
        <f t="shared" si="7"/>
        <v>#REF!</v>
      </c>
    </row>
    <row r="141" spans="1:17" x14ac:dyDescent="0.25">
      <c r="A141" t="s">
        <v>268</v>
      </c>
      <c r="B141" t="s">
        <v>13</v>
      </c>
      <c r="C141" s="12">
        <v>45911</v>
      </c>
      <c r="D141" s="12">
        <v>46022</v>
      </c>
      <c r="E141" t="s">
        <v>711</v>
      </c>
      <c r="F141" t="s">
        <v>14</v>
      </c>
      <c r="G141">
        <v>1089458776</v>
      </c>
      <c r="H141" t="s">
        <v>269</v>
      </c>
      <c r="I141">
        <v>98333941</v>
      </c>
      <c r="J141" t="s">
        <v>14</v>
      </c>
      <c r="K141" t="s">
        <v>15</v>
      </c>
      <c r="L141" s="1" t="e">
        <f>VLOOKUP(A141,#REF!,2,0)</f>
        <v>#REF!</v>
      </c>
      <c r="M141" s="1">
        <v>12600000</v>
      </c>
      <c r="N141" s="1">
        <v>12600000</v>
      </c>
      <c r="P141" t="s">
        <v>704</v>
      </c>
      <c r="Q141" s="1" t="e">
        <f t="shared" si="7"/>
        <v>#REF!</v>
      </c>
    </row>
    <row r="142" spans="1:17" x14ac:dyDescent="0.25">
      <c r="A142" t="s">
        <v>375</v>
      </c>
      <c r="B142" t="s">
        <v>13</v>
      </c>
      <c r="C142" s="12">
        <v>45911</v>
      </c>
      <c r="D142" s="12">
        <v>46022</v>
      </c>
      <c r="E142" t="s">
        <v>711</v>
      </c>
      <c r="F142" t="s">
        <v>14</v>
      </c>
      <c r="G142">
        <v>1081052746</v>
      </c>
      <c r="H142" t="s">
        <v>376</v>
      </c>
      <c r="I142">
        <v>98333941</v>
      </c>
      <c r="J142" t="s">
        <v>14</v>
      </c>
      <c r="K142" t="s">
        <v>15</v>
      </c>
      <c r="L142" s="1" t="e">
        <f>VLOOKUP(A142,#REF!,2,0)</f>
        <v>#REF!</v>
      </c>
      <c r="M142" s="1">
        <v>12600000</v>
      </c>
      <c r="N142" s="1">
        <v>12600000</v>
      </c>
      <c r="P142" t="s">
        <v>704</v>
      </c>
      <c r="Q142" s="1" t="e">
        <f t="shared" si="7"/>
        <v>#REF!</v>
      </c>
    </row>
    <row r="143" spans="1:17" x14ac:dyDescent="0.25">
      <c r="A143" t="s">
        <v>175</v>
      </c>
      <c r="B143" t="s">
        <v>13</v>
      </c>
      <c r="C143" s="12">
        <v>45911</v>
      </c>
      <c r="D143" s="12">
        <v>46022</v>
      </c>
      <c r="E143" t="s">
        <v>711</v>
      </c>
      <c r="F143" t="s">
        <v>14</v>
      </c>
      <c r="G143">
        <v>1082747438</v>
      </c>
      <c r="H143" t="s">
        <v>61</v>
      </c>
      <c r="I143">
        <v>98333941</v>
      </c>
      <c r="J143" t="s">
        <v>14</v>
      </c>
      <c r="K143" t="s">
        <v>15</v>
      </c>
      <c r="L143" s="1" t="e">
        <f>VLOOKUP(A143,#REF!,2,0)</f>
        <v>#REF!</v>
      </c>
      <c r="M143" s="1">
        <v>12600000</v>
      </c>
      <c r="N143" s="1">
        <v>12600000</v>
      </c>
      <c r="P143" t="s">
        <v>704</v>
      </c>
      <c r="Q143" s="1" t="e">
        <f t="shared" si="7"/>
        <v>#REF!</v>
      </c>
    </row>
    <row r="144" spans="1:17" x14ac:dyDescent="0.25">
      <c r="A144" t="s">
        <v>98</v>
      </c>
      <c r="B144" t="s">
        <v>13</v>
      </c>
      <c r="C144" s="12">
        <v>45910</v>
      </c>
      <c r="D144" s="12">
        <v>46022</v>
      </c>
      <c r="E144" t="s">
        <v>711</v>
      </c>
      <c r="F144" t="s">
        <v>14</v>
      </c>
      <c r="G144">
        <v>1004543161</v>
      </c>
      <c r="H144" t="s">
        <v>99</v>
      </c>
      <c r="I144">
        <v>98333941</v>
      </c>
      <c r="J144" t="s">
        <v>14</v>
      </c>
      <c r="K144" t="s">
        <v>15</v>
      </c>
      <c r="L144" s="1" t="e">
        <f>VLOOKUP(A144,#REF!,2,0)</f>
        <v>#REF!</v>
      </c>
      <c r="M144" s="1">
        <v>12600000</v>
      </c>
      <c r="N144" s="1">
        <v>12600000</v>
      </c>
      <c r="P144" t="s">
        <v>704</v>
      </c>
      <c r="Q144" s="1" t="e">
        <f t="shared" si="7"/>
        <v>#REF!</v>
      </c>
    </row>
    <row r="145" spans="1:17" x14ac:dyDescent="0.25">
      <c r="A145" t="s">
        <v>123</v>
      </c>
      <c r="B145" t="s">
        <v>13</v>
      </c>
      <c r="C145" s="12">
        <v>45910</v>
      </c>
      <c r="D145" s="12">
        <v>46022</v>
      </c>
      <c r="E145" t="s">
        <v>711</v>
      </c>
      <c r="F145" t="s">
        <v>14</v>
      </c>
      <c r="G145">
        <v>1081572043</v>
      </c>
      <c r="H145" t="s">
        <v>54</v>
      </c>
      <c r="I145">
        <v>59836926</v>
      </c>
      <c r="J145" t="s">
        <v>14</v>
      </c>
      <c r="K145" t="s">
        <v>17</v>
      </c>
      <c r="L145" s="1" t="e">
        <f>VLOOKUP(A145,#REF!,2,0)</f>
        <v>#REF!</v>
      </c>
      <c r="M145" s="1">
        <v>12600000</v>
      </c>
      <c r="N145" s="1">
        <v>12600000</v>
      </c>
      <c r="P145" t="s">
        <v>704</v>
      </c>
      <c r="Q145" s="1" t="e">
        <f t="shared" si="7"/>
        <v>#REF!</v>
      </c>
    </row>
    <row r="146" spans="1:17" x14ac:dyDescent="0.25">
      <c r="A146" t="s">
        <v>284</v>
      </c>
      <c r="B146" t="s">
        <v>13</v>
      </c>
      <c r="C146" s="12">
        <v>45910</v>
      </c>
      <c r="D146" s="12">
        <v>46022</v>
      </c>
      <c r="E146" t="s">
        <v>711</v>
      </c>
      <c r="F146" t="s">
        <v>14</v>
      </c>
      <c r="G146">
        <v>1080690337</v>
      </c>
      <c r="H146" t="s">
        <v>285</v>
      </c>
      <c r="I146">
        <v>59836926</v>
      </c>
      <c r="J146" t="s">
        <v>14</v>
      </c>
      <c r="K146" t="s">
        <v>17</v>
      </c>
      <c r="L146" s="1" t="e">
        <f>VLOOKUP(A146,#REF!,2,0)</f>
        <v>#REF!</v>
      </c>
      <c r="M146" s="1">
        <v>12600000</v>
      </c>
      <c r="N146" s="1">
        <v>12600000</v>
      </c>
      <c r="P146" t="s">
        <v>704</v>
      </c>
      <c r="Q146" s="1" t="e">
        <f t="shared" si="7"/>
        <v>#REF!</v>
      </c>
    </row>
    <row r="147" spans="1:17" x14ac:dyDescent="0.25">
      <c r="A147" t="s">
        <v>194</v>
      </c>
      <c r="B147" t="s">
        <v>13</v>
      </c>
      <c r="C147" s="12">
        <v>45910</v>
      </c>
      <c r="D147" s="12">
        <v>46022</v>
      </c>
      <c r="E147" t="s">
        <v>711</v>
      </c>
      <c r="F147" t="s">
        <v>14</v>
      </c>
      <c r="G147">
        <v>1233193191</v>
      </c>
      <c r="H147" t="s">
        <v>195</v>
      </c>
      <c r="I147">
        <v>98333941</v>
      </c>
      <c r="J147" t="s">
        <v>14</v>
      </c>
      <c r="K147" t="s">
        <v>15</v>
      </c>
      <c r="L147" s="1" t="e">
        <f>VLOOKUP(A147,#REF!,2,0)</f>
        <v>#REF!</v>
      </c>
      <c r="M147" s="1">
        <v>12600000</v>
      </c>
      <c r="N147" s="1">
        <v>12600000</v>
      </c>
      <c r="P147" t="s">
        <v>704</v>
      </c>
      <c r="Q147" s="1" t="e">
        <f t="shared" si="7"/>
        <v>#REF!</v>
      </c>
    </row>
    <row r="148" spans="1:17" x14ac:dyDescent="0.25">
      <c r="A148" t="s">
        <v>230</v>
      </c>
      <c r="B148" t="s">
        <v>13</v>
      </c>
      <c r="C148" s="12">
        <v>45910</v>
      </c>
      <c r="D148" s="12">
        <v>46022</v>
      </c>
      <c r="E148" t="s">
        <v>711</v>
      </c>
      <c r="F148" t="s">
        <v>14</v>
      </c>
      <c r="G148">
        <v>59313711</v>
      </c>
      <c r="H148" t="s">
        <v>231</v>
      </c>
      <c r="I148">
        <v>98333941</v>
      </c>
      <c r="J148" t="s">
        <v>14</v>
      </c>
      <c r="K148" t="s">
        <v>15</v>
      </c>
      <c r="L148" s="1" t="e">
        <f>VLOOKUP(A148,#REF!,2,0)</f>
        <v>#REF!</v>
      </c>
      <c r="M148" s="1">
        <v>12600000</v>
      </c>
      <c r="N148" s="1">
        <v>12600000</v>
      </c>
      <c r="P148" t="s">
        <v>704</v>
      </c>
      <c r="Q148" s="1" t="e">
        <f t="shared" si="7"/>
        <v>#REF!</v>
      </c>
    </row>
    <row r="149" spans="1:17" x14ac:dyDescent="0.25">
      <c r="A149" t="s">
        <v>256</v>
      </c>
      <c r="B149" t="s">
        <v>13</v>
      </c>
      <c r="C149" s="12">
        <v>45910</v>
      </c>
      <c r="D149" s="12">
        <v>46022</v>
      </c>
      <c r="E149" t="s">
        <v>711</v>
      </c>
      <c r="F149" t="s">
        <v>14</v>
      </c>
      <c r="G149">
        <v>1085302942</v>
      </c>
      <c r="H149" t="s">
        <v>257</v>
      </c>
      <c r="I149">
        <v>98333941</v>
      </c>
      <c r="J149" t="s">
        <v>14</v>
      </c>
      <c r="K149" t="s">
        <v>15</v>
      </c>
      <c r="L149" s="1" t="e">
        <f>VLOOKUP(A149,#REF!,2,0)</f>
        <v>#REF!</v>
      </c>
      <c r="M149" s="1">
        <v>12600000</v>
      </c>
      <c r="N149" s="1">
        <v>12600000</v>
      </c>
      <c r="P149" t="s">
        <v>704</v>
      </c>
      <c r="Q149" s="1" t="e">
        <f t="shared" si="7"/>
        <v>#REF!</v>
      </c>
    </row>
    <row r="150" spans="1:17" x14ac:dyDescent="0.25">
      <c r="A150" t="s">
        <v>341</v>
      </c>
      <c r="B150" t="s">
        <v>13</v>
      </c>
      <c r="C150" s="12">
        <v>45910</v>
      </c>
      <c r="D150" s="12">
        <v>46022</v>
      </c>
      <c r="E150" t="s">
        <v>711</v>
      </c>
      <c r="F150" t="s">
        <v>14</v>
      </c>
      <c r="G150">
        <v>1085275473</v>
      </c>
      <c r="H150" t="s">
        <v>342</v>
      </c>
      <c r="I150">
        <v>98390119</v>
      </c>
      <c r="J150" t="s">
        <v>14</v>
      </c>
      <c r="K150" t="s">
        <v>63</v>
      </c>
      <c r="L150" s="1" t="e">
        <f>VLOOKUP(A150,#REF!,2,0)</f>
        <v>#REF!</v>
      </c>
      <c r="M150" s="1">
        <v>12600000</v>
      </c>
      <c r="N150" s="1">
        <v>12600000</v>
      </c>
      <c r="P150" t="s">
        <v>704</v>
      </c>
      <c r="Q150" s="1" t="e">
        <f t="shared" si="7"/>
        <v>#REF!</v>
      </c>
    </row>
    <row r="151" spans="1:17" x14ac:dyDescent="0.25">
      <c r="A151" t="s">
        <v>298</v>
      </c>
      <c r="B151" t="s">
        <v>13</v>
      </c>
      <c r="C151" s="12">
        <v>45909</v>
      </c>
      <c r="D151" s="12">
        <v>46022</v>
      </c>
      <c r="E151" t="s">
        <v>711</v>
      </c>
      <c r="F151" t="s">
        <v>14</v>
      </c>
      <c r="G151">
        <v>59310853</v>
      </c>
      <c r="H151" t="s">
        <v>57</v>
      </c>
      <c r="I151">
        <v>43624414</v>
      </c>
      <c r="J151" t="s">
        <v>14</v>
      </c>
      <c r="K151" t="s">
        <v>18</v>
      </c>
      <c r="L151" s="1" t="e">
        <f>VLOOKUP(A151,#REF!,2,0)</f>
        <v>#REF!</v>
      </c>
      <c r="M151" s="1">
        <v>12600000</v>
      </c>
      <c r="N151" s="1">
        <v>12600000</v>
      </c>
      <c r="P151" t="s">
        <v>704</v>
      </c>
      <c r="Q151" s="1" t="e">
        <f t="shared" si="7"/>
        <v>#REF!</v>
      </c>
    </row>
    <row r="152" spans="1:17" x14ac:dyDescent="0.25">
      <c r="A152" t="s">
        <v>196</v>
      </c>
      <c r="B152" t="s">
        <v>13</v>
      </c>
      <c r="C152" s="12">
        <v>45909</v>
      </c>
      <c r="D152" s="12">
        <v>46022</v>
      </c>
      <c r="E152" t="s">
        <v>711</v>
      </c>
      <c r="F152" t="s">
        <v>14</v>
      </c>
      <c r="G152">
        <v>37087117</v>
      </c>
      <c r="H152" t="s">
        <v>197</v>
      </c>
      <c r="I152">
        <v>98333941</v>
      </c>
      <c r="J152" t="s">
        <v>14</v>
      </c>
      <c r="K152" t="s">
        <v>15</v>
      </c>
      <c r="L152" s="1" t="e">
        <f>VLOOKUP(A152,#REF!,2,0)</f>
        <v>#REF!</v>
      </c>
      <c r="M152" s="1">
        <v>12600000</v>
      </c>
      <c r="N152" s="1">
        <v>12600000</v>
      </c>
      <c r="P152" t="s">
        <v>704</v>
      </c>
      <c r="Q152" s="1" t="e">
        <f t="shared" si="7"/>
        <v>#REF!</v>
      </c>
    </row>
    <row r="153" spans="1:17" x14ac:dyDescent="0.25">
      <c r="A153" t="s">
        <v>649</v>
      </c>
      <c r="B153" t="s">
        <v>13</v>
      </c>
      <c r="C153" s="12">
        <v>45909</v>
      </c>
      <c r="D153" s="12">
        <v>46022</v>
      </c>
      <c r="E153" t="s">
        <v>711</v>
      </c>
      <c r="F153" t="s">
        <v>14</v>
      </c>
      <c r="G153">
        <v>1085335033</v>
      </c>
      <c r="H153" t="s">
        <v>650</v>
      </c>
      <c r="I153">
        <v>98333941</v>
      </c>
      <c r="J153" t="s">
        <v>14</v>
      </c>
      <c r="K153" t="s">
        <v>15</v>
      </c>
      <c r="L153" s="1" t="e">
        <f>VLOOKUP(A153,#REF!,2,0)</f>
        <v>#REF!</v>
      </c>
      <c r="M153" s="1">
        <v>12600000</v>
      </c>
      <c r="N153" s="1">
        <v>12600000</v>
      </c>
      <c r="P153" t="s">
        <v>704</v>
      </c>
      <c r="Q153" s="1" t="e">
        <f t="shared" si="7"/>
        <v>#REF!</v>
      </c>
    </row>
    <row r="154" spans="1:17" x14ac:dyDescent="0.25">
      <c r="A154" t="s">
        <v>301</v>
      </c>
      <c r="B154" t="s">
        <v>13</v>
      </c>
      <c r="C154" s="12">
        <v>45909</v>
      </c>
      <c r="D154" s="12">
        <v>46022</v>
      </c>
      <c r="E154" t="s">
        <v>711</v>
      </c>
      <c r="F154" t="s">
        <v>14</v>
      </c>
      <c r="G154">
        <v>1086329609</v>
      </c>
      <c r="H154" t="s">
        <v>64</v>
      </c>
      <c r="I154">
        <v>98333941</v>
      </c>
      <c r="J154" t="s">
        <v>14</v>
      </c>
      <c r="K154" t="s">
        <v>15</v>
      </c>
      <c r="L154" s="1" t="e">
        <f>VLOOKUP(A154,#REF!,2,0)</f>
        <v>#REF!</v>
      </c>
      <c r="M154" s="1">
        <v>12600000</v>
      </c>
      <c r="N154" s="1">
        <v>12600000</v>
      </c>
      <c r="P154" t="s">
        <v>704</v>
      </c>
      <c r="Q154" s="1" t="e">
        <f t="shared" si="7"/>
        <v>#REF!</v>
      </c>
    </row>
    <row r="155" spans="1:17" x14ac:dyDescent="0.25">
      <c r="A155" t="s">
        <v>104</v>
      </c>
      <c r="B155" t="s">
        <v>13</v>
      </c>
      <c r="C155" s="12">
        <v>45909</v>
      </c>
      <c r="D155" s="12">
        <v>46022</v>
      </c>
      <c r="E155" t="s">
        <v>711</v>
      </c>
      <c r="F155" t="s">
        <v>14</v>
      </c>
      <c r="G155">
        <v>59310056</v>
      </c>
      <c r="H155" t="s">
        <v>105</v>
      </c>
      <c r="I155">
        <v>98333941</v>
      </c>
      <c r="J155" t="s">
        <v>14</v>
      </c>
      <c r="K155" t="s">
        <v>15</v>
      </c>
      <c r="L155" s="1" t="e">
        <f>VLOOKUP(A155,#REF!,2,0)</f>
        <v>#REF!</v>
      </c>
      <c r="M155" s="1">
        <v>12600000</v>
      </c>
      <c r="N155" s="1">
        <v>12600000</v>
      </c>
      <c r="P155" t="s">
        <v>704</v>
      </c>
      <c r="Q155" s="1" t="e">
        <f t="shared" si="7"/>
        <v>#REF!</v>
      </c>
    </row>
    <row r="156" spans="1:17" x14ac:dyDescent="0.25">
      <c r="A156" t="s">
        <v>171</v>
      </c>
      <c r="B156" t="s">
        <v>13</v>
      </c>
      <c r="C156" s="12">
        <v>45909</v>
      </c>
      <c r="D156" s="12">
        <v>46022</v>
      </c>
      <c r="E156" t="s">
        <v>711</v>
      </c>
      <c r="F156" t="s">
        <v>14</v>
      </c>
      <c r="G156">
        <v>27088197</v>
      </c>
      <c r="H156" t="s">
        <v>62</v>
      </c>
      <c r="I156">
        <v>59836926</v>
      </c>
      <c r="J156" t="s">
        <v>14</v>
      </c>
      <c r="K156" t="s">
        <v>17</v>
      </c>
      <c r="L156" s="1" t="e">
        <f>VLOOKUP(A156,#REF!,2,0)</f>
        <v>#REF!</v>
      </c>
      <c r="M156" s="1">
        <v>12600000</v>
      </c>
      <c r="N156" s="1">
        <v>12600000</v>
      </c>
      <c r="P156" t="s">
        <v>704</v>
      </c>
      <c r="Q156" s="1" t="e">
        <f t="shared" si="7"/>
        <v>#REF!</v>
      </c>
    </row>
    <row r="157" spans="1:17" x14ac:dyDescent="0.25">
      <c r="A157" t="s">
        <v>532</v>
      </c>
      <c r="B157" t="s">
        <v>13</v>
      </c>
      <c r="C157" s="12">
        <v>45909</v>
      </c>
      <c r="D157" s="12">
        <v>46022</v>
      </c>
      <c r="E157" t="s">
        <v>711</v>
      </c>
      <c r="F157" t="s">
        <v>14</v>
      </c>
      <c r="G157">
        <v>1085286725</v>
      </c>
      <c r="H157" t="s">
        <v>40</v>
      </c>
      <c r="I157">
        <v>98333941</v>
      </c>
      <c r="J157" t="s">
        <v>14</v>
      </c>
      <c r="K157" t="s">
        <v>15</v>
      </c>
      <c r="L157" s="1" t="e">
        <f>VLOOKUP(A157,#REF!,2,0)</f>
        <v>#REF!</v>
      </c>
      <c r="M157" s="1">
        <v>12600000</v>
      </c>
      <c r="N157" s="1">
        <v>12600000</v>
      </c>
      <c r="P157" t="s">
        <v>704</v>
      </c>
      <c r="Q157" s="1" t="e">
        <f t="shared" si="7"/>
        <v>#REF!</v>
      </c>
    </row>
    <row r="158" spans="1:17" x14ac:dyDescent="0.25">
      <c r="A158" t="s">
        <v>238</v>
      </c>
      <c r="B158" t="s">
        <v>13</v>
      </c>
      <c r="C158" s="12">
        <v>45909</v>
      </c>
      <c r="D158" s="12">
        <v>46022</v>
      </c>
      <c r="E158" t="s">
        <v>711</v>
      </c>
      <c r="F158" t="s">
        <v>14</v>
      </c>
      <c r="G158">
        <v>59310524</v>
      </c>
      <c r="H158" t="s">
        <v>22</v>
      </c>
      <c r="I158">
        <v>98390119</v>
      </c>
      <c r="J158" t="s">
        <v>14</v>
      </c>
      <c r="K158" t="s">
        <v>63</v>
      </c>
      <c r="L158" s="1" t="e">
        <f>VLOOKUP(A158,#REF!,2,0)</f>
        <v>#REF!</v>
      </c>
      <c r="M158" s="1">
        <v>12600000</v>
      </c>
      <c r="N158" s="1">
        <v>12600000</v>
      </c>
      <c r="P158" t="s">
        <v>704</v>
      </c>
      <c r="Q158" s="1" t="e">
        <f t="shared" si="7"/>
        <v>#REF!</v>
      </c>
    </row>
    <row r="159" spans="1:17" x14ac:dyDescent="0.25">
      <c r="A159" t="s">
        <v>173</v>
      </c>
      <c r="B159" t="s">
        <v>13</v>
      </c>
      <c r="C159" s="12">
        <v>45909</v>
      </c>
      <c r="D159" s="12">
        <v>46022</v>
      </c>
      <c r="E159" t="s">
        <v>711</v>
      </c>
      <c r="F159" t="s">
        <v>14</v>
      </c>
      <c r="G159">
        <v>27082649</v>
      </c>
      <c r="H159" t="s">
        <v>174</v>
      </c>
      <c r="I159">
        <v>43624414</v>
      </c>
      <c r="J159" t="s">
        <v>14</v>
      </c>
      <c r="K159" t="s">
        <v>18</v>
      </c>
      <c r="L159" s="1" t="e">
        <f>VLOOKUP(A159,#REF!,2,0)</f>
        <v>#REF!</v>
      </c>
      <c r="M159" s="1">
        <v>12600000</v>
      </c>
      <c r="N159" s="1">
        <v>12600000</v>
      </c>
      <c r="P159" t="s">
        <v>704</v>
      </c>
      <c r="Q159" s="1" t="e">
        <f t="shared" si="7"/>
        <v>#REF!</v>
      </c>
    </row>
    <row r="160" spans="1:17" x14ac:dyDescent="0.25">
      <c r="A160" t="s">
        <v>185</v>
      </c>
      <c r="B160" t="s">
        <v>13</v>
      </c>
      <c r="C160" s="12">
        <v>45909</v>
      </c>
      <c r="D160" s="12">
        <v>46022</v>
      </c>
      <c r="E160" t="s">
        <v>711</v>
      </c>
      <c r="F160" t="s">
        <v>14</v>
      </c>
      <c r="G160">
        <v>1087960258</v>
      </c>
      <c r="H160" t="s">
        <v>186</v>
      </c>
      <c r="I160">
        <v>98333941</v>
      </c>
      <c r="J160" t="s">
        <v>14</v>
      </c>
      <c r="K160" t="s">
        <v>15</v>
      </c>
      <c r="L160" s="1" t="e">
        <f>VLOOKUP(A160,#REF!,2,0)</f>
        <v>#REF!</v>
      </c>
      <c r="M160" s="1">
        <v>12600000</v>
      </c>
      <c r="N160" s="1">
        <v>12600000</v>
      </c>
      <c r="P160" t="s">
        <v>704</v>
      </c>
      <c r="Q160" s="1" t="e">
        <f t="shared" si="7"/>
        <v>#REF!</v>
      </c>
    </row>
    <row r="161" spans="1:17" x14ac:dyDescent="0.25">
      <c r="A161" t="s">
        <v>345</v>
      </c>
      <c r="B161" t="s">
        <v>13</v>
      </c>
      <c r="C161" s="12">
        <v>45908</v>
      </c>
      <c r="D161" s="12">
        <v>46022</v>
      </c>
      <c r="E161" t="s">
        <v>711</v>
      </c>
      <c r="F161" t="s">
        <v>14</v>
      </c>
      <c r="G161">
        <v>1085339190</v>
      </c>
      <c r="H161" t="s">
        <v>346</v>
      </c>
      <c r="I161">
        <v>98390119</v>
      </c>
      <c r="J161" t="s">
        <v>14</v>
      </c>
      <c r="K161" t="s">
        <v>63</v>
      </c>
      <c r="L161" s="1" t="e">
        <f>VLOOKUP(A161,#REF!,2,0)</f>
        <v>#REF!</v>
      </c>
      <c r="M161" s="1">
        <v>12600000</v>
      </c>
      <c r="N161" s="1">
        <v>12600000</v>
      </c>
      <c r="P161" t="s">
        <v>704</v>
      </c>
      <c r="Q161" s="1" t="e">
        <f t="shared" si="7"/>
        <v>#REF!</v>
      </c>
    </row>
    <row r="162" spans="1:17" x14ac:dyDescent="0.25">
      <c r="A162" t="s">
        <v>290</v>
      </c>
      <c r="B162" t="s">
        <v>13</v>
      </c>
      <c r="C162" s="12">
        <v>45908</v>
      </c>
      <c r="D162" s="12">
        <v>46022</v>
      </c>
      <c r="E162" t="s">
        <v>711</v>
      </c>
      <c r="F162" t="s">
        <v>14</v>
      </c>
      <c r="G162">
        <v>1004131976</v>
      </c>
      <c r="H162" t="s">
        <v>291</v>
      </c>
      <c r="I162">
        <v>98390119</v>
      </c>
      <c r="J162" t="s">
        <v>14</v>
      </c>
      <c r="K162" t="s">
        <v>63</v>
      </c>
      <c r="L162" s="1" t="e">
        <f>VLOOKUP(A162,#REF!,2,0)</f>
        <v>#REF!</v>
      </c>
      <c r="M162" s="1">
        <v>12600000</v>
      </c>
      <c r="N162" s="1">
        <v>12600000</v>
      </c>
      <c r="P162" t="s">
        <v>704</v>
      </c>
      <c r="Q162" s="1" t="e">
        <f t="shared" si="7"/>
        <v>#REF!</v>
      </c>
    </row>
    <row r="163" spans="1:17" x14ac:dyDescent="0.25">
      <c r="A163" t="s">
        <v>491</v>
      </c>
      <c r="B163" t="s">
        <v>13</v>
      </c>
      <c r="C163" s="12">
        <v>45908</v>
      </c>
      <c r="D163" s="12">
        <v>46022</v>
      </c>
      <c r="E163" t="s">
        <v>711</v>
      </c>
      <c r="F163" t="s">
        <v>14</v>
      </c>
      <c r="G163">
        <v>1089458048</v>
      </c>
      <c r="H163" t="s">
        <v>492</v>
      </c>
      <c r="I163">
        <v>98333941</v>
      </c>
      <c r="J163" t="s">
        <v>14</v>
      </c>
      <c r="K163" t="s">
        <v>15</v>
      </c>
      <c r="L163" s="1" t="e">
        <f>VLOOKUP(A163,#REF!,2,0)</f>
        <v>#REF!</v>
      </c>
      <c r="M163" s="1">
        <v>12600000</v>
      </c>
      <c r="N163" s="1">
        <v>12600000</v>
      </c>
      <c r="P163" t="s">
        <v>704</v>
      </c>
      <c r="Q163" s="1" t="e">
        <f t="shared" ref="Q163:Q194" si="8">N163-L163</f>
        <v>#REF!</v>
      </c>
    </row>
    <row r="164" spans="1:17" x14ac:dyDescent="0.25">
      <c r="A164" t="s">
        <v>579</v>
      </c>
      <c r="B164" t="s">
        <v>13</v>
      </c>
      <c r="C164" s="12">
        <v>45908</v>
      </c>
      <c r="D164" s="12">
        <v>46022</v>
      </c>
      <c r="E164" t="s">
        <v>711</v>
      </c>
      <c r="F164" t="s">
        <v>14</v>
      </c>
      <c r="G164">
        <v>1192717330</v>
      </c>
      <c r="H164" t="s">
        <v>58</v>
      </c>
      <c r="I164">
        <v>43624414</v>
      </c>
      <c r="J164" t="s">
        <v>14</v>
      </c>
      <c r="K164" t="s">
        <v>18</v>
      </c>
      <c r="L164" s="1" t="e">
        <f>VLOOKUP(A164,#REF!,2,0)</f>
        <v>#REF!</v>
      </c>
      <c r="M164" s="1">
        <v>12600000</v>
      </c>
      <c r="N164" s="1">
        <v>12600000</v>
      </c>
      <c r="P164" t="s">
        <v>704</v>
      </c>
      <c r="Q164" s="1" t="e">
        <f t="shared" si="8"/>
        <v>#REF!</v>
      </c>
    </row>
    <row r="165" spans="1:17" x14ac:dyDescent="0.25">
      <c r="A165" t="s">
        <v>124</v>
      </c>
      <c r="B165" t="s">
        <v>13</v>
      </c>
      <c r="C165" s="12">
        <v>45908</v>
      </c>
      <c r="D165" s="12">
        <v>46022</v>
      </c>
      <c r="E165" t="s">
        <v>711</v>
      </c>
      <c r="F165" t="s">
        <v>14</v>
      </c>
      <c r="G165">
        <v>1004235479</v>
      </c>
      <c r="H165" t="s">
        <v>56</v>
      </c>
      <c r="I165">
        <v>98333941</v>
      </c>
      <c r="J165" t="s">
        <v>14</v>
      </c>
      <c r="K165" t="s">
        <v>15</v>
      </c>
      <c r="L165" s="1" t="e">
        <f>VLOOKUP(A165,#REF!,2,0)</f>
        <v>#REF!</v>
      </c>
      <c r="M165" s="1">
        <v>12600000</v>
      </c>
      <c r="N165" s="1">
        <v>12600000</v>
      </c>
      <c r="P165" t="s">
        <v>704</v>
      </c>
      <c r="Q165" s="1" t="e">
        <f t="shared" si="8"/>
        <v>#REF!</v>
      </c>
    </row>
    <row r="166" spans="1:17" x14ac:dyDescent="0.25">
      <c r="A166" t="s">
        <v>377</v>
      </c>
      <c r="B166" t="s">
        <v>13</v>
      </c>
      <c r="C166" s="12">
        <v>45908</v>
      </c>
      <c r="D166" s="12">
        <v>46022</v>
      </c>
      <c r="E166" t="s">
        <v>711</v>
      </c>
      <c r="F166" t="s">
        <v>14</v>
      </c>
      <c r="G166">
        <v>37084285</v>
      </c>
      <c r="H166" t="s">
        <v>29</v>
      </c>
      <c r="I166">
        <v>98333941</v>
      </c>
      <c r="J166" t="s">
        <v>14</v>
      </c>
      <c r="K166" t="s">
        <v>15</v>
      </c>
      <c r="L166" s="1" t="e">
        <f>VLOOKUP(A166,#REF!,2,0)</f>
        <v>#REF!</v>
      </c>
      <c r="M166" s="1">
        <v>12600000</v>
      </c>
      <c r="N166" s="1">
        <v>12600000</v>
      </c>
      <c r="P166" t="s">
        <v>704</v>
      </c>
      <c r="Q166" s="1" t="e">
        <f t="shared" si="8"/>
        <v>#REF!</v>
      </c>
    </row>
    <row r="167" spans="1:17" x14ac:dyDescent="0.25">
      <c r="A167" t="s">
        <v>201</v>
      </c>
      <c r="B167" t="s">
        <v>13</v>
      </c>
      <c r="C167" s="12">
        <v>45908</v>
      </c>
      <c r="D167" s="12">
        <v>46022</v>
      </c>
      <c r="E167" t="s">
        <v>711</v>
      </c>
      <c r="F167" t="s">
        <v>14</v>
      </c>
      <c r="G167">
        <v>1004236159</v>
      </c>
      <c r="H167" t="s">
        <v>202</v>
      </c>
      <c r="I167">
        <v>98333941</v>
      </c>
      <c r="J167" t="s">
        <v>14</v>
      </c>
      <c r="K167" t="s">
        <v>15</v>
      </c>
      <c r="L167" s="1" t="e">
        <f>VLOOKUP(A167,#REF!,2,0)</f>
        <v>#REF!</v>
      </c>
      <c r="M167" s="1">
        <v>12600000</v>
      </c>
      <c r="N167" s="1">
        <v>12600000</v>
      </c>
      <c r="P167" t="s">
        <v>704</v>
      </c>
      <c r="Q167" s="1" t="e">
        <f t="shared" si="8"/>
        <v>#REF!</v>
      </c>
    </row>
    <row r="168" spans="1:17" x14ac:dyDescent="0.25">
      <c r="A168" t="s">
        <v>286</v>
      </c>
      <c r="B168" t="s">
        <v>13</v>
      </c>
      <c r="C168" s="12">
        <v>45908</v>
      </c>
      <c r="D168" s="12">
        <v>46022</v>
      </c>
      <c r="E168" t="s">
        <v>719</v>
      </c>
      <c r="F168" t="s">
        <v>14</v>
      </c>
      <c r="G168">
        <v>1081053045</v>
      </c>
      <c r="H168" t="s">
        <v>287</v>
      </c>
      <c r="I168">
        <v>98333941</v>
      </c>
      <c r="J168" t="s">
        <v>14</v>
      </c>
      <c r="K168" t="s">
        <v>15</v>
      </c>
      <c r="L168" s="1" t="e">
        <f>VLOOKUP(A168,#REF!,2,0)</f>
        <v>#REF!</v>
      </c>
      <c r="M168" s="1">
        <v>12600000</v>
      </c>
      <c r="N168" s="1">
        <v>12600000</v>
      </c>
      <c r="P168" t="s">
        <v>704</v>
      </c>
      <c r="Q168" s="1" t="e">
        <f t="shared" si="8"/>
        <v>#REF!</v>
      </c>
    </row>
    <row r="169" spans="1:17" x14ac:dyDescent="0.25">
      <c r="A169" t="s">
        <v>663</v>
      </c>
      <c r="B169" t="s">
        <v>13</v>
      </c>
      <c r="C169" s="12">
        <v>45908</v>
      </c>
      <c r="D169" s="12">
        <v>46022</v>
      </c>
      <c r="E169" t="s">
        <v>711</v>
      </c>
      <c r="F169" t="s">
        <v>14</v>
      </c>
      <c r="G169">
        <v>1081272656</v>
      </c>
      <c r="H169" t="s">
        <v>664</v>
      </c>
      <c r="I169">
        <v>59836926</v>
      </c>
      <c r="J169" t="s">
        <v>14</v>
      </c>
      <c r="K169" t="s">
        <v>17</v>
      </c>
      <c r="L169" s="1" t="e">
        <f>VLOOKUP(A169,#REF!,2,0)</f>
        <v>#REF!</v>
      </c>
      <c r="M169" s="1">
        <v>12600000</v>
      </c>
      <c r="N169" s="1">
        <v>12600000</v>
      </c>
      <c r="P169" t="s">
        <v>704</v>
      </c>
      <c r="Q169" s="1" t="e">
        <f t="shared" si="8"/>
        <v>#REF!</v>
      </c>
    </row>
    <row r="170" spans="1:17" x14ac:dyDescent="0.25">
      <c r="A170" t="s">
        <v>511</v>
      </c>
      <c r="B170" t="s">
        <v>13</v>
      </c>
      <c r="C170" s="12">
        <v>45908</v>
      </c>
      <c r="D170" s="12">
        <v>46022</v>
      </c>
      <c r="E170" t="s">
        <v>711</v>
      </c>
      <c r="F170" t="s">
        <v>14</v>
      </c>
      <c r="G170">
        <v>1086358836</v>
      </c>
      <c r="H170" t="s">
        <v>512</v>
      </c>
      <c r="I170">
        <v>98333941</v>
      </c>
      <c r="J170" t="s">
        <v>14</v>
      </c>
      <c r="K170" t="s">
        <v>15</v>
      </c>
      <c r="L170" s="1" t="e">
        <f>VLOOKUP(A170,#REF!,2,0)</f>
        <v>#REF!</v>
      </c>
      <c r="M170" s="1">
        <v>12600000</v>
      </c>
      <c r="N170" s="1">
        <v>12600000</v>
      </c>
      <c r="P170" t="s">
        <v>704</v>
      </c>
      <c r="Q170" s="1" t="e">
        <f t="shared" si="8"/>
        <v>#REF!</v>
      </c>
    </row>
    <row r="171" spans="1:17" x14ac:dyDescent="0.25">
      <c r="A171" t="s">
        <v>306</v>
      </c>
      <c r="B171" t="s">
        <v>13</v>
      </c>
      <c r="C171" s="12">
        <v>45908</v>
      </c>
      <c r="D171" s="12">
        <v>46022</v>
      </c>
      <c r="E171" t="s">
        <v>711</v>
      </c>
      <c r="F171" t="s">
        <v>14</v>
      </c>
      <c r="G171">
        <v>1085271641</v>
      </c>
      <c r="H171" t="s">
        <v>30</v>
      </c>
      <c r="I171">
        <v>43624414</v>
      </c>
      <c r="J171" t="s">
        <v>14</v>
      </c>
      <c r="K171" t="s">
        <v>18</v>
      </c>
      <c r="L171" s="1" t="e">
        <f>VLOOKUP(A171,#REF!,2,0)</f>
        <v>#REF!</v>
      </c>
      <c r="M171" s="1">
        <v>12600000</v>
      </c>
      <c r="N171" s="1">
        <v>12600000</v>
      </c>
      <c r="P171" t="s">
        <v>704</v>
      </c>
      <c r="Q171" s="1" t="e">
        <f t="shared" si="8"/>
        <v>#REF!</v>
      </c>
    </row>
    <row r="172" spans="1:17" x14ac:dyDescent="0.25">
      <c r="A172" t="s">
        <v>599</v>
      </c>
      <c r="B172" t="s">
        <v>13</v>
      </c>
      <c r="C172" s="12">
        <v>45908</v>
      </c>
      <c r="D172" s="12">
        <v>46022</v>
      </c>
      <c r="E172" t="s">
        <v>711</v>
      </c>
      <c r="F172" t="s">
        <v>14</v>
      </c>
      <c r="G172">
        <v>1085343154</v>
      </c>
      <c r="H172" t="s">
        <v>600</v>
      </c>
      <c r="I172">
        <v>59836926</v>
      </c>
      <c r="J172" t="s">
        <v>14</v>
      </c>
      <c r="K172" t="s">
        <v>17</v>
      </c>
      <c r="L172" s="1" t="e">
        <f>VLOOKUP(A172,#REF!,2,0)</f>
        <v>#REF!</v>
      </c>
      <c r="M172" s="1">
        <v>12600000</v>
      </c>
      <c r="N172" s="1">
        <v>12600000</v>
      </c>
      <c r="P172" t="s">
        <v>704</v>
      </c>
      <c r="Q172" s="1" t="e">
        <f t="shared" si="8"/>
        <v>#REF!</v>
      </c>
    </row>
    <row r="173" spans="1:17" x14ac:dyDescent="0.25">
      <c r="A173" t="s">
        <v>299</v>
      </c>
      <c r="B173" t="s">
        <v>13</v>
      </c>
      <c r="C173" s="12">
        <v>45908</v>
      </c>
      <c r="D173" s="12">
        <v>46022</v>
      </c>
      <c r="E173" t="s">
        <v>711</v>
      </c>
      <c r="F173" t="s">
        <v>14</v>
      </c>
      <c r="G173">
        <v>36758143</v>
      </c>
      <c r="H173" t="s">
        <v>300</v>
      </c>
      <c r="I173">
        <v>43624414</v>
      </c>
      <c r="J173" t="s">
        <v>14</v>
      </c>
      <c r="K173" t="s">
        <v>18</v>
      </c>
      <c r="L173" s="1" t="e">
        <f>VLOOKUP(A173,#REF!,2,0)</f>
        <v>#REF!</v>
      </c>
      <c r="M173" s="1">
        <v>12600000</v>
      </c>
      <c r="N173" s="1">
        <v>12600000</v>
      </c>
      <c r="P173" t="s">
        <v>704</v>
      </c>
      <c r="Q173" s="1" t="e">
        <f t="shared" si="8"/>
        <v>#REF!</v>
      </c>
    </row>
    <row r="174" spans="1:17" x14ac:dyDescent="0.25">
      <c r="A174" t="s">
        <v>674</v>
      </c>
      <c r="B174" t="s">
        <v>13</v>
      </c>
      <c r="C174" s="12">
        <v>45908</v>
      </c>
      <c r="D174" s="12">
        <v>46022</v>
      </c>
      <c r="E174" t="s">
        <v>711</v>
      </c>
      <c r="F174" t="s">
        <v>14</v>
      </c>
      <c r="G174">
        <v>1085300095</v>
      </c>
      <c r="H174" t="s">
        <v>27</v>
      </c>
      <c r="I174">
        <v>59836926</v>
      </c>
      <c r="J174" t="s">
        <v>14</v>
      </c>
      <c r="K174" t="s">
        <v>17</v>
      </c>
      <c r="L174" s="1" t="e">
        <f>VLOOKUP(A174,#REF!,2,0)</f>
        <v>#REF!</v>
      </c>
      <c r="M174" s="1">
        <v>12600000</v>
      </c>
      <c r="N174" s="1">
        <v>12600000</v>
      </c>
      <c r="P174" t="s">
        <v>704</v>
      </c>
      <c r="Q174" s="1" t="e">
        <f t="shared" si="8"/>
        <v>#REF!</v>
      </c>
    </row>
    <row r="175" spans="1:17" x14ac:dyDescent="0.25">
      <c r="A175" t="s">
        <v>355</v>
      </c>
      <c r="B175" t="s">
        <v>13</v>
      </c>
      <c r="C175" s="12">
        <v>45908</v>
      </c>
      <c r="D175" s="12">
        <v>46022</v>
      </c>
      <c r="E175" t="s">
        <v>711</v>
      </c>
      <c r="F175" t="s">
        <v>14</v>
      </c>
      <c r="G175">
        <v>1137624011</v>
      </c>
      <c r="H175" t="s">
        <v>356</v>
      </c>
      <c r="I175">
        <v>98390119</v>
      </c>
      <c r="J175" t="s">
        <v>14</v>
      </c>
      <c r="K175" t="s">
        <v>63</v>
      </c>
      <c r="L175" s="1" t="e">
        <f>VLOOKUP(A175,#REF!,2,0)</f>
        <v>#REF!</v>
      </c>
      <c r="M175" s="1">
        <v>12600000</v>
      </c>
      <c r="N175" s="1">
        <v>12600000</v>
      </c>
      <c r="P175" t="s">
        <v>704</v>
      </c>
      <c r="Q175" s="1" t="e">
        <f t="shared" si="8"/>
        <v>#REF!</v>
      </c>
    </row>
    <row r="176" spans="1:17" x14ac:dyDescent="0.25">
      <c r="A176" t="s">
        <v>518</v>
      </c>
      <c r="B176" t="s">
        <v>13</v>
      </c>
      <c r="C176" s="12">
        <v>45908</v>
      </c>
      <c r="D176" s="12">
        <v>46022</v>
      </c>
      <c r="E176" t="s">
        <v>716</v>
      </c>
      <c r="F176" t="s">
        <v>14</v>
      </c>
      <c r="G176">
        <v>1085288636</v>
      </c>
      <c r="H176" t="s">
        <v>519</v>
      </c>
      <c r="I176">
        <v>98390119</v>
      </c>
      <c r="J176" t="s">
        <v>14</v>
      </c>
      <c r="K176" t="s">
        <v>63</v>
      </c>
      <c r="L176" s="1" t="e">
        <f>VLOOKUP(A176,#REF!,2,0)</f>
        <v>#REF!</v>
      </c>
      <c r="M176" s="1">
        <v>12600000</v>
      </c>
      <c r="N176" s="1">
        <v>12600000</v>
      </c>
      <c r="P176" t="s">
        <v>704</v>
      </c>
      <c r="Q176" s="1" t="e">
        <f t="shared" si="8"/>
        <v>#REF!</v>
      </c>
    </row>
    <row r="177" spans="1:17" x14ac:dyDescent="0.25">
      <c r="A177" t="s">
        <v>428</v>
      </c>
      <c r="B177" t="s">
        <v>13</v>
      </c>
      <c r="C177" s="12">
        <v>45908</v>
      </c>
      <c r="D177" s="12">
        <v>46022</v>
      </c>
      <c r="E177" t="s">
        <v>724</v>
      </c>
      <c r="F177" t="s">
        <v>14</v>
      </c>
      <c r="G177">
        <v>1089291166</v>
      </c>
      <c r="H177" t="s">
        <v>429</v>
      </c>
      <c r="I177">
        <v>98333941</v>
      </c>
      <c r="J177" t="s">
        <v>14</v>
      </c>
      <c r="K177" t="s">
        <v>15</v>
      </c>
      <c r="L177" s="1" t="e">
        <f>VLOOKUP(A177,#REF!,2,0)</f>
        <v>#REF!</v>
      </c>
      <c r="M177" s="1">
        <v>12600000</v>
      </c>
      <c r="N177" s="1">
        <v>12600000</v>
      </c>
      <c r="P177" t="s">
        <v>704</v>
      </c>
      <c r="Q177" s="1" t="e">
        <f t="shared" si="8"/>
        <v>#REF!</v>
      </c>
    </row>
    <row r="178" spans="1:17" x14ac:dyDescent="0.25">
      <c r="A178" t="s">
        <v>435</v>
      </c>
      <c r="B178" t="s">
        <v>13</v>
      </c>
      <c r="C178" s="12">
        <v>45908</v>
      </c>
      <c r="D178" s="12">
        <v>46022</v>
      </c>
      <c r="E178" t="s">
        <v>780</v>
      </c>
      <c r="F178" t="s">
        <v>14</v>
      </c>
      <c r="G178">
        <v>30743783</v>
      </c>
      <c r="H178" t="s">
        <v>436</v>
      </c>
      <c r="I178">
        <v>59836926</v>
      </c>
      <c r="J178" t="s">
        <v>14</v>
      </c>
      <c r="K178" t="s">
        <v>17</v>
      </c>
      <c r="L178" s="1" t="e">
        <f>VLOOKUP(A178,#REF!,2,0)</f>
        <v>#REF!</v>
      </c>
      <c r="M178" s="1">
        <v>12600000</v>
      </c>
      <c r="N178" s="1">
        <v>12600000</v>
      </c>
      <c r="P178" t="s">
        <v>704</v>
      </c>
      <c r="Q178" s="1" t="e">
        <f t="shared" si="8"/>
        <v>#REF!</v>
      </c>
    </row>
    <row r="179" spans="1:17" x14ac:dyDescent="0.25">
      <c r="A179" t="s">
        <v>636</v>
      </c>
      <c r="B179" t="s">
        <v>13</v>
      </c>
      <c r="C179" s="12">
        <v>45908</v>
      </c>
      <c r="D179" s="12">
        <v>46022</v>
      </c>
      <c r="E179" t="s">
        <v>816</v>
      </c>
      <c r="F179" t="s">
        <v>14</v>
      </c>
      <c r="G179">
        <v>1081272025</v>
      </c>
      <c r="H179" t="s">
        <v>637</v>
      </c>
      <c r="I179">
        <v>59836926</v>
      </c>
      <c r="J179" t="s">
        <v>14</v>
      </c>
      <c r="K179" t="s">
        <v>17</v>
      </c>
      <c r="L179" s="1" t="e">
        <f>VLOOKUP(A179,#REF!,2,0)</f>
        <v>#REF!</v>
      </c>
      <c r="M179" s="1">
        <v>12600000</v>
      </c>
      <c r="N179" s="1">
        <v>12600000</v>
      </c>
      <c r="P179" t="s">
        <v>704</v>
      </c>
      <c r="Q179" s="1" t="e">
        <f t="shared" si="8"/>
        <v>#REF!</v>
      </c>
    </row>
    <row r="180" spans="1:17" x14ac:dyDescent="0.25">
      <c r="A180" t="s">
        <v>483</v>
      </c>
      <c r="B180" t="s">
        <v>13</v>
      </c>
      <c r="C180" s="12">
        <v>45908</v>
      </c>
      <c r="D180" s="12">
        <v>46022</v>
      </c>
      <c r="E180" t="s">
        <v>716</v>
      </c>
      <c r="F180" t="s">
        <v>14</v>
      </c>
      <c r="G180">
        <v>1193224810</v>
      </c>
      <c r="H180" t="s">
        <v>31</v>
      </c>
      <c r="I180">
        <v>98333941</v>
      </c>
      <c r="J180" t="s">
        <v>14</v>
      </c>
      <c r="K180" t="s">
        <v>15</v>
      </c>
      <c r="L180" s="1" t="e">
        <f>VLOOKUP(A180,#REF!,2,0)</f>
        <v>#REF!</v>
      </c>
      <c r="M180" s="1">
        <v>12600000</v>
      </c>
      <c r="N180" s="1">
        <v>12600000</v>
      </c>
      <c r="P180" t="s">
        <v>704</v>
      </c>
      <c r="Q180" s="1" t="e">
        <f t="shared" si="8"/>
        <v>#REF!</v>
      </c>
    </row>
    <row r="181" spans="1:17" x14ac:dyDescent="0.25">
      <c r="A181" t="s">
        <v>509</v>
      </c>
      <c r="B181" t="s">
        <v>13</v>
      </c>
      <c r="C181" s="12">
        <v>45908</v>
      </c>
      <c r="D181" s="12">
        <v>46022</v>
      </c>
      <c r="E181" t="s">
        <v>794</v>
      </c>
      <c r="F181" t="s">
        <v>14</v>
      </c>
      <c r="G181">
        <v>1087644986</v>
      </c>
      <c r="H181" t="s">
        <v>510</v>
      </c>
      <c r="I181">
        <v>98333941</v>
      </c>
      <c r="J181" t="s">
        <v>14</v>
      </c>
      <c r="K181" t="s">
        <v>15</v>
      </c>
      <c r="L181" s="1" t="e">
        <f>VLOOKUP(A181,#REF!,2,0)</f>
        <v>#REF!</v>
      </c>
      <c r="M181" s="1">
        <v>12600000</v>
      </c>
      <c r="N181" s="1">
        <v>12600000</v>
      </c>
      <c r="P181" t="s">
        <v>704</v>
      </c>
      <c r="Q181" s="1" t="e">
        <f t="shared" si="8"/>
        <v>#REF!</v>
      </c>
    </row>
    <row r="182" spans="1:17" x14ac:dyDescent="0.25">
      <c r="A182" t="s">
        <v>281</v>
      </c>
      <c r="B182" t="s">
        <v>13</v>
      </c>
      <c r="C182" s="12">
        <v>45905</v>
      </c>
      <c r="D182" s="12">
        <v>46022</v>
      </c>
      <c r="E182" t="s">
        <v>720</v>
      </c>
      <c r="F182" t="s">
        <v>14</v>
      </c>
      <c r="G182">
        <v>69028150</v>
      </c>
      <c r="H182" t="s">
        <v>21</v>
      </c>
      <c r="I182">
        <v>59836926</v>
      </c>
      <c r="J182" t="s">
        <v>14</v>
      </c>
      <c r="K182" t="s">
        <v>17</v>
      </c>
      <c r="L182" s="1" t="e">
        <f>VLOOKUP(A182,#REF!,2,0)</f>
        <v>#REF!</v>
      </c>
      <c r="M182" s="1">
        <v>12600000</v>
      </c>
      <c r="N182" s="1">
        <v>12600000</v>
      </c>
      <c r="P182" t="s">
        <v>704</v>
      </c>
      <c r="Q182" s="1" t="e">
        <f t="shared" si="8"/>
        <v>#REF!</v>
      </c>
    </row>
    <row r="183" spans="1:17" x14ac:dyDescent="0.25">
      <c r="A183" t="s">
        <v>660</v>
      </c>
      <c r="B183" t="s">
        <v>13</v>
      </c>
      <c r="C183" s="12">
        <v>45905</v>
      </c>
      <c r="D183" s="12">
        <v>46022</v>
      </c>
      <c r="E183" t="s">
        <v>716</v>
      </c>
      <c r="F183" t="s">
        <v>14</v>
      </c>
      <c r="G183">
        <v>1085315013</v>
      </c>
      <c r="H183" t="s">
        <v>60</v>
      </c>
      <c r="I183">
        <v>98390119</v>
      </c>
      <c r="J183" t="s">
        <v>14</v>
      </c>
      <c r="K183" t="s">
        <v>63</v>
      </c>
      <c r="L183" s="1" t="e">
        <f>VLOOKUP(A183,#REF!,2,0)</f>
        <v>#REF!</v>
      </c>
      <c r="M183" s="1">
        <v>12600000</v>
      </c>
      <c r="N183" s="1">
        <v>12600000</v>
      </c>
      <c r="P183" t="s">
        <v>704</v>
      </c>
      <c r="Q183" s="1" t="e">
        <f t="shared" si="8"/>
        <v>#REF!</v>
      </c>
    </row>
    <row r="184" spans="1:17" x14ac:dyDescent="0.25">
      <c r="A184" t="s">
        <v>475</v>
      </c>
      <c r="B184" t="s">
        <v>13</v>
      </c>
      <c r="C184" s="12">
        <v>45904</v>
      </c>
      <c r="D184" s="12">
        <v>46022</v>
      </c>
      <c r="E184" t="s">
        <v>708</v>
      </c>
      <c r="F184" t="s">
        <v>14</v>
      </c>
      <c r="G184">
        <v>1085269090</v>
      </c>
      <c r="H184" t="s">
        <v>52</v>
      </c>
      <c r="I184">
        <v>98333941</v>
      </c>
      <c r="J184" t="s">
        <v>14</v>
      </c>
      <c r="K184" t="s">
        <v>15</v>
      </c>
      <c r="L184" s="1" t="e">
        <f>VLOOKUP(A184,#REF!,2,0)</f>
        <v>#REF!</v>
      </c>
      <c r="M184" s="1">
        <v>12600000</v>
      </c>
      <c r="N184" s="1">
        <v>12600000</v>
      </c>
      <c r="P184" t="s">
        <v>704</v>
      </c>
      <c r="Q184" s="1" t="e">
        <f t="shared" si="8"/>
        <v>#REF!</v>
      </c>
    </row>
    <row r="185" spans="1:17" x14ac:dyDescent="0.25">
      <c r="A185" t="s">
        <v>398</v>
      </c>
      <c r="B185" t="s">
        <v>13</v>
      </c>
      <c r="C185" s="12">
        <v>45904</v>
      </c>
      <c r="D185" s="12">
        <v>46022</v>
      </c>
      <c r="E185" t="s">
        <v>708</v>
      </c>
      <c r="F185" t="s">
        <v>14</v>
      </c>
      <c r="G185">
        <v>1085255829</v>
      </c>
      <c r="H185" t="s">
        <v>23</v>
      </c>
      <c r="I185">
        <v>98390119</v>
      </c>
      <c r="J185" t="s">
        <v>14</v>
      </c>
      <c r="K185" t="s">
        <v>63</v>
      </c>
      <c r="L185" s="1" t="e">
        <f>VLOOKUP(A185,#REF!,2,0)</f>
        <v>#REF!</v>
      </c>
      <c r="M185" s="1">
        <v>12600000</v>
      </c>
      <c r="N185" s="1">
        <v>12600000</v>
      </c>
      <c r="P185" t="s">
        <v>704</v>
      </c>
      <c r="Q185" s="1" t="e">
        <f t="shared" si="8"/>
        <v>#REF!</v>
      </c>
    </row>
    <row r="186" spans="1:17" x14ac:dyDescent="0.25">
      <c r="A186" t="s">
        <v>93</v>
      </c>
      <c r="B186" t="s">
        <v>13</v>
      </c>
      <c r="C186" s="12">
        <v>45904</v>
      </c>
      <c r="D186" s="12">
        <v>46022</v>
      </c>
      <c r="E186" t="s">
        <v>708</v>
      </c>
      <c r="F186" t="s">
        <v>14</v>
      </c>
      <c r="G186">
        <v>1233189234</v>
      </c>
      <c r="H186" t="s">
        <v>53</v>
      </c>
      <c r="I186">
        <v>59836926</v>
      </c>
      <c r="J186" t="s">
        <v>14</v>
      </c>
      <c r="K186" t="s">
        <v>17</v>
      </c>
      <c r="L186" s="1" t="e">
        <f>VLOOKUP(A186,#REF!,2,0)</f>
        <v>#REF!</v>
      </c>
      <c r="M186" s="1">
        <v>12600000</v>
      </c>
      <c r="N186" s="1">
        <v>12600000</v>
      </c>
      <c r="P186" t="s">
        <v>704</v>
      </c>
      <c r="Q186" s="1" t="e">
        <f t="shared" si="8"/>
        <v>#REF!</v>
      </c>
    </row>
    <row r="187" spans="1:17" x14ac:dyDescent="0.25">
      <c r="A187" t="s">
        <v>434</v>
      </c>
      <c r="B187" t="s">
        <v>13</v>
      </c>
      <c r="C187" s="12">
        <v>45903</v>
      </c>
      <c r="D187" s="12">
        <v>46022</v>
      </c>
      <c r="E187" t="s">
        <v>708</v>
      </c>
      <c r="F187" t="s">
        <v>14</v>
      </c>
      <c r="G187">
        <v>1010082397</v>
      </c>
      <c r="H187" t="s">
        <v>44</v>
      </c>
      <c r="I187">
        <v>98390119</v>
      </c>
      <c r="J187" t="s">
        <v>14</v>
      </c>
      <c r="K187" t="s">
        <v>63</v>
      </c>
      <c r="L187" s="1" t="e">
        <f>VLOOKUP(A187,#REF!,2,0)</f>
        <v>#REF!</v>
      </c>
      <c r="M187" s="1">
        <v>12600000</v>
      </c>
      <c r="N187" s="1">
        <v>12600000</v>
      </c>
      <c r="P187" t="s">
        <v>704</v>
      </c>
      <c r="Q187" s="1" t="e">
        <f t="shared" si="8"/>
        <v>#REF!</v>
      </c>
    </row>
    <row r="188" spans="1:17" x14ac:dyDescent="0.25">
      <c r="A188" t="s">
        <v>215</v>
      </c>
      <c r="B188" t="s">
        <v>13</v>
      </c>
      <c r="C188" s="12">
        <v>45903</v>
      </c>
      <c r="D188" s="12">
        <v>46022</v>
      </c>
      <c r="E188" t="s">
        <v>708</v>
      </c>
      <c r="F188" t="s">
        <v>14</v>
      </c>
      <c r="G188">
        <v>1087006717</v>
      </c>
      <c r="H188" t="s">
        <v>42</v>
      </c>
      <c r="I188">
        <v>59836926</v>
      </c>
      <c r="J188" t="s">
        <v>14</v>
      </c>
      <c r="K188" t="s">
        <v>17</v>
      </c>
      <c r="L188" s="1" t="e">
        <f>VLOOKUP(A188,#REF!,2,0)</f>
        <v>#REF!</v>
      </c>
      <c r="M188" s="1">
        <v>12600000</v>
      </c>
      <c r="N188" s="1">
        <v>12600000</v>
      </c>
      <c r="P188" t="s">
        <v>704</v>
      </c>
      <c r="Q188" s="1" t="e">
        <f t="shared" si="8"/>
        <v>#REF!</v>
      </c>
    </row>
    <row r="189" spans="1:17" x14ac:dyDescent="0.25">
      <c r="A189" t="s">
        <v>167</v>
      </c>
      <c r="B189" t="s">
        <v>13</v>
      </c>
      <c r="C189" s="12">
        <v>45902</v>
      </c>
      <c r="D189" s="12">
        <v>46022</v>
      </c>
      <c r="E189" t="s">
        <v>730</v>
      </c>
      <c r="F189" t="s">
        <v>14</v>
      </c>
      <c r="G189">
        <v>36752202</v>
      </c>
      <c r="H189" t="s">
        <v>168</v>
      </c>
      <c r="I189">
        <v>59836926</v>
      </c>
      <c r="J189" t="s">
        <v>14</v>
      </c>
      <c r="K189" t="s">
        <v>17</v>
      </c>
      <c r="L189" s="1" t="e">
        <f>VLOOKUP(A189,#REF!,2,0)</f>
        <v>#REF!</v>
      </c>
      <c r="M189" s="1">
        <v>12600000</v>
      </c>
      <c r="N189" s="1">
        <v>12600000</v>
      </c>
      <c r="P189" t="s">
        <v>704</v>
      </c>
      <c r="Q189" s="1" t="e">
        <f t="shared" si="8"/>
        <v>#REF!</v>
      </c>
    </row>
    <row r="190" spans="1:17" x14ac:dyDescent="0.25">
      <c r="A190" t="s">
        <v>464</v>
      </c>
      <c r="B190" t="s">
        <v>13</v>
      </c>
      <c r="C190" s="12">
        <v>45971</v>
      </c>
      <c r="D190" s="12">
        <v>46022</v>
      </c>
      <c r="E190" t="s">
        <v>323</v>
      </c>
      <c r="F190" t="s">
        <v>14</v>
      </c>
      <c r="G190">
        <v>1193223736</v>
      </c>
      <c r="H190" t="s">
        <v>75</v>
      </c>
      <c r="I190">
        <v>59836926</v>
      </c>
      <c r="J190" t="s">
        <v>14</v>
      </c>
      <c r="K190" t="s">
        <v>17</v>
      </c>
      <c r="L190" s="1" t="e">
        <f>VLOOKUP(A190,#REF!,2,0)</f>
        <v>#REF!</v>
      </c>
      <c r="M190" s="1">
        <v>12600000</v>
      </c>
      <c r="N190" s="1">
        <v>12600000</v>
      </c>
      <c r="P190" t="s">
        <v>704</v>
      </c>
      <c r="Q190" s="1" t="e">
        <f t="shared" si="8"/>
        <v>#REF!</v>
      </c>
    </row>
    <row r="191" spans="1:17" x14ac:dyDescent="0.25">
      <c r="A191" t="s">
        <v>307</v>
      </c>
      <c r="B191" t="s">
        <v>13</v>
      </c>
      <c r="C191" s="12">
        <v>45966</v>
      </c>
      <c r="D191" s="12">
        <v>46022</v>
      </c>
      <c r="E191" t="s">
        <v>754</v>
      </c>
      <c r="F191" t="s">
        <v>14</v>
      </c>
      <c r="G191">
        <v>1085254153</v>
      </c>
      <c r="H191" t="s">
        <v>308</v>
      </c>
      <c r="I191">
        <v>59836926</v>
      </c>
      <c r="J191" t="s">
        <v>14</v>
      </c>
      <c r="K191" t="s">
        <v>17</v>
      </c>
      <c r="L191" s="1" t="e">
        <f>VLOOKUP(A191,#REF!,2,0)</f>
        <v>#REF!</v>
      </c>
      <c r="M191" s="1">
        <v>12600000</v>
      </c>
      <c r="N191" s="1">
        <v>12600000</v>
      </c>
      <c r="P191" t="s">
        <v>704</v>
      </c>
      <c r="Q191" s="1" t="e">
        <f t="shared" si="8"/>
        <v>#REF!</v>
      </c>
    </row>
    <row r="192" spans="1:17" x14ac:dyDescent="0.25">
      <c r="A192" t="s">
        <v>309</v>
      </c>
      <c r="B192" t="s">
        <v>13</v>
      </c>
      <c r="C192" s="12">
        <v>45937</v>
      </c>
      <c r="D192" s="12">
        <v>46022</v>
      </c>
      <c r="E192" t="s">
        <v>755</v>
      </c>
      <c r="F192" t="s">
        <v>14</v>
      </c>
      <c r="G192">
        <v>1233190311</v>
      </c>
      <c r="H192" t="s">
        <v>310</v>
      </c>
      <c r="I192">
        <v>98390119</v>
      </c>
      <c r="J192" t="s">
        <v>14</v>
      </c>
      <c r="K192" t="s">
        <v>63</v>
      </c>
      <c r="L192" s="1" t="e">
        <f>VLOOKUP(A192,#REF!,2,0)</f>
        <v>#REF!</v>
      </c>
      <c r="M192" s="1">
        <v>14190000</v>
      </c>
      <c r="N192" s="1">
        <v>14190000</v>
      </c>
      <c r="P192" t="s">
        <v>704</v>
      </c>
      <c r="Q192" s="1" t="e">
        <f t="shared" si="8"/>
        <v>#REF!</v>
      </c>
    </row>
    <row r="193" spans="1:17" x14ac:dyDescent="0.25">
      <c r="A193" t="s">
        <v>419</v>
      </c>
      <c r="B193" t="s">
        <v>13</v>
      </c>
      <c r="C193" s="12">
        <v>45932</v>
      </c>
      <c r="D193" s="12">
        <v>46022</v>
      </c>
      <c r="E193" t="s">
        <v>755</v>
      </c>
      <c r="F193" t="s">
        <v>14</v>
      </c>
      <c r="G193">
        <v>1085293619</v>
      </c>
      <c r="H193" t="s">
        <v>420</v>
      </c>
      <c r="I193">
        <v>43624414</v>
      </c>
      <c r="J193" t="s">
        <v>14</v>
      </c>
      <c r="K193" t="s">
        <v>18</v>
      </c>
      <c r="L193" s="1" t="e">
        <f>VLOOKUP(A193,#REF!,2,0)</f>
        <v>#REF!</v>
      </c>
      <c r="M193" s="1">
        <v>14190000</v>
      </c>
      <c r="N193" s="1">
        <v>14190000</v>
      </c>
      <c r="P193" t="s">
        <v>704</v>
      </c>
      <c r="Q193" s="1" t="e">
        <f t="shared" si="8"/>
        <v>#REF!</v>
      </c>
    </row>
    <row r="194" spans="1:17" x14ac:dyDescent="0.25">
      <c r="A194" t="s">
        <v>437</v>
      </c>
      <c r="B194" t="s">
        <v>13</v>
      </c>
      <c r="C194" s="12">
        <v>45932</v>
      </c>
      <c r="D194" s="12">
        <v>46022</v>
      </c>
      <c r="E194" t="s">
        <v>781</v>
      </c>
      <c r="F194" t="s">
        <v>14</v>
      </c>
      <c r="G194">
        <v>37084258</v>
      </c>
      <c r="H194" t="s">
        <v>438</v>
      </c>
      <c r="I194">
        <v>43624414</v>
      </c>
      <c r="J194" t="s">
        <v>14</v>
      </c>
      <c r="K194" t="s">
        <v>18</v>
      </c>
      <c r="L194" s="1" t="e">
        <f>VLOOKUP(A194,#REF!,2,0)</f>
        <v>#REF!</v>
      </c>
      <c r="M194" s="1">
        <v>14190000</v>
      </c>
      <c r="N194" s="1">
        <v>14190000</v>
      </c>
      <c r="P194" t="s">
        <v>704</v>
      </c>
      <c r="Q194" s="1" t="e">
        <f t="shared" si="8"/>
        <v>#REF!</v>
      </c>
    </row>
    <row r="195" spans="1:17" x14ac:dyDescent="0.25">
      <c r="A195" t="s">
        <v>672</v>
      </c>
      <c r="B195" t="s">
        <v>13</v>
      </c>
      <c r="C195" s="12">
        <v>45932</v>
      </c>
      <c r="D195" s="12">
        <v>46022</v>
      </c>
      <c r="E195" t="s">
        <v>744</v>
      </c>
      <c r="F195" t="s">
        <v>14</v>
      </c>
      <c r="G195">
        <v>1085331301</v>
      </c>
      <c r="H195" t="s">
        <v>673</v>
      </c>
      <c r="I195">
        <v>43624414</v>
      </c>
      <c r="J195" t="s">
        <v>14</v>
      </c>
      <c r="K195" t="s">
        <v>18</v>
      </c>
      <c r="L195" s="1" t="e">
        <f>VLOOKUP(A195,#REF!,2,0)</f>
        <v>#REF!</v>
      </c>
      <c r="M195" s="1">
        <v>14190000</v>
      </c>
      <c r="N195" s="1">
        <v>14190000</v>
      </c>
      <c r="P195" t="s">
        <v>704</v>
      </c>
      <c r="Q195" s="1" t="e">
        <f t="shared" ref="Q195:Q226" si="9">N195-L195</f>
        <v>#REF!</v>
      </c>
    </row>
    <row r="196" spans="1:17" x14ac:dyDescent="0.25">
      <c r="A196" t="s">
        <v>394</v>
      </c>
      <c r="B196" t="s">
        <v>13</v>
      </c>
      <c r="C196" s="12">
        <v>45931</v>
      </c>
      <c r="D196" s="12">
        <v>46022</v>
      </c>
      <c r="E196" t="s">
        <v>771</v>
      </c>
      <c r="F196" t="s">
        <v>14</v>
      </c>
      <c r="G196">
        <v>1233188033</v>
      </c>
      <c r="H196" t="s">
        <v>395</v>
      </c>
      <c r="I196">
        <v>98390119</v>
      </c>
      <c r="J196" t="s">
        <v>14</v>
      </c>
      <c r="K196" t="s">
        <v>63</v>
      </c>
      <c r="L196" s="1" t="e">
        <f>VLOOKUP(A196,#REF!,2,0)</f>
        <v>#REF!</v>
      </c>
      <c r="M196" s="1">
        <v>14190000</v>
      </c>
      <c r="N196" s="1">
        <v>14190000</v>
      </c>
      <c r="P196" t="s">
        <v>704</v>
      </c>
      <c r="Q196" s="1" t="e">
        <f t="shared" si="9"/>
        <v>#REF!</v>
      </c>
    </row>
    <row r="197" spans="1:17" x14ac:dyDescent="0.25">
      <c r="A197" t="s">
        <v>220</v>
      </c>
      <c r="B197" t="s">
        <v>13</v>
      </c>
      <c r="C197" s="12">
        <v>45930</v>
      </c>
      <c r="D197" s="12">
        <v>46022</v>
      </c>
      <c r="E197" t="s">
        <v>744</v>
      </c>
      <c r="F197" t="s">
        <v>14</v>
      </c>
      <c r="G197">
        <v>27105277</v>
      </c>
      <c r="H197" t="s">
        <v>221</v>
      </c>
      <c r="I197">
        <v>59836926</v>
      </c>
      <c r="J197" t="s">
        <v>14</v>
      </c>
      <c r="K197" t="s">
        <v>17</v>
      </c>
      <c r="L197" s="1" t="e">
        <f>VLOOKUP(A197,#REF!,2,0)</f>
        <v>#REF!</v>
      </c>
      <c r="M197" s="1">
        <v>14190000</v>
      </c>
      <c r="N197" s="1">
        <v>14190000</v>
      </c>
      <c r="P197" t="s">
        <v>704</v>
      </c>
      <c r="Q197" s="1" t="e">
        <f t="shared" si="9"/>
        <v>#REF!</v>
      </c>
    </row>
    <row r="198" spans="1:17" x14ac:dyDescent="0.25">
      <c r="A198" t="s">
        <v>582</v>
      </c>
      <c r="B198" t="s">
        <v>13</v>
      </c>
      <c r="C198" s="12">
        <v>45930</v>
      </c>
      <c r="D198" s="12">
        <v>46022</v>
      </c>
      <c r="E198" t="s">
        <v>744</v>
      </c>
      <c r="F198" t="s">
        <v>14</v>
      </c>
      <c r="G198">
        <v>1085313870</v>
      </c>
      <c r="H198" t="s">
        <v>87</v>
      </c>
      <c r="I198">
        <v>43624414</v>
      </c>
      <c r="J198" t="s">
        <v>14</v>
      </c>
      <c r="K198" t="s">
        <v>18</v>
      </c>
      <c r="L198" s="1" t="e">
        <f>VLOOKUP(A198,#REF!,2,0)</f>
        <v>#REF!</v>
      </c>
      <c r="M198" s="1">
        <v>14190000</v>
      </c>
      <c r="N198" s="1">
        <v>14190000</v>
      </c>
      <c r="P198" t="s">
        <v>704</v>
      </c>
      <c r="Q198" s="1" t="e">
        <f t="shared" si="9"/>
        <v>#REF!</v>
      </c>
    </row>
    <row r="199" spans="1:17" x14ac:dyDescent="0.25">
      <c r="A199" t="s">
        <v>446</v>
      </c>
      <c r="B199" t="s">
        <v>13</v>
      </c>
      <c r="C199" s="12">
        <v>45930</v>
      </c>
      <c r="D199" s="12">
        <v>46022</v>
      </c>
      <c r="E199" t="s">
        <v>784</v>
      </c>
      <c r="F199" t="s">
        <v>14</v>
      </c>
      <c r="G199">
        <v>59816986</v>
      </c>
      <c r="H199" t="s">
        <v>447</v>
      </c>
      <c r="I199">
        <v>98390119</v>
      </c>
      <c r="J199" t="s">
        <v>14</v>
      </c>
      <c r="K199" t="s">
        <v>63</v>
      </c>
      <c r="L199" s="1" t="e">
        <f>VLOOKUP(A199,#REF!,2,0)</f>
        <v>#REF!</v>
      </c>
      <c r="M199" s="1">
        <v>14190000</v>
      </c>
      <c r="N199" s="1">
        <v>14190000</v>
      </c>
      <c r="P199" t="s">
        <v>704</v>
      </c>
      <c r="Q199" s="1" t="e">
        <f t="shared" si="9"/>
        <v>#REF!</v>
      </c>
    </row>
    <row r="200" spans="1:17" x14ac:dyDescent="0.25">
      <c r="A200" t="s">
        <v>382</v>
      </c>
      <c r="B200" t="s">
        <v>13</v>
      </c>
      <c r="C200" s="12">
        <v>45929</v>
      </c>
      <c r="D200" s="12">
        <v>46022</v>
      </c>
      <c r="E200" t="s">
        <v>767</v>
      </c>
      <c r="F200" t="s">
        <v>14</v>
      </c>
      <c r="G200">
        <v>1085323338</v>
      </c>
      <c r="H200" t="s">
        <v>383</v>
      </c>
      <c r="I200">
        <v>98390119</v>
      </c>
      <c r="J200" t="s">
        <v>14</v>
      </c>
      <c r="K200" t="s">
        <v>63</v>
      </c>
      <c r="L200" s="1" t="e">
        <f>VLOOKUP(A200,#REF!,2,0)</f>
        <v>#REF!</v>
      </c>
      <c r="M200" s="1">
        <v>14190000</v>
      </c>
      <c r="N200" s="1">
        <v>14190000</v>
      </c>
      <c r="P200" t="s">
        <v>704</v>
      </c>
      <c r="Q200" s="1" t="e">
        <f t="shared" si="9"/>
        <v>#REF!</v>
      </c>
    </row>
    <row r="201" spans="1:17" x14ac:dyDescent="0.25">
      <c r="A201" t="s">
        <v>146</v>
      </c>
      <c r="B201" t="s">
        <v>13</v>
      </c>
      <c r="C201" s="12">
        <v>45929</v>
      </c>
      <c r="D201" s="12">
        <v>46022</v>
      </c>
      <c r="E201" t="s">
        <v>725</v>
      </c>
      <c r="F201" t="s">
        <v>14</v>
      </c>
      <c r="G201">
        <v>52381227</v>
      </c>
      <c r="H201" t="s">
        <v>147</v>
      </c>
      <c r="I201">
        <v>98390119</v>
      </c>
      <c r="J201" t="s">
        <v>14</v>
      </c>
      <c r="K201" t="s">
        <v>63</v>
      </c>
      <c r="L201" s="1" t="e">
        <f>VLOOKUP(A201,#REF!,2,0)</f>
        <v>#REF!</v>
      </c>
      <c r="M201" s="1">
        <v>14190000</v>
      </c>
      <c r="N201" s="1">
        <v>14190000</v>
      </c>
      <c r="P201" t="s">
        <v>704</v>
      </c>
      <c r="Q201" s="1" t="e">
        <f t="shared" si="9"/>
        <v>#REF!</v>
      </c>
    </row>
    <row r="202" spans="1:17" x14ac:dyDescent="0.25">
      <c r="A202" t="s">
        <v>440</v>
      </c>
      <c r="B202" t="s">
        <v>13</v>
      </c>
      <c r="C202" s="12">
        <v>45971</v>
      </c>
      <c r="D202" s="12">
        <v>46022</v>
      </c>
      <c r="E202" t="s">
        <v>749</v>
      </c>
      <c r="F202" t="s">
        <v>14</v>
      </c>
      <c r="G202">
        <v>1086018206</v>
      </c>
      <c r="H202" t="s">
        <v>441</v>
      </c>
      <c r="I202">
        <v>98390119</v>
      </c>
      <c r="J202" t="s">
        <v>14</v>
      </c>
      <c r="K202" t="s">
        <v>63</v>
      </c>
      <c r="L202" s="1" t="e">
        <f>VLOOKUP(A202,#REF!,2,0)</f>
        <v>#REF!</v>
      </c>
      <c r="M202" s="1">
        <v>15600000</v>
      </c>
      <c r="N202" s="1">
        <v>15600000</v>
      </c>
      <c r="P202" t="s">
        <v>704</v>
      </c>
      <c r="Q202" s="1" t="e">
        <f t="shared" si="9"/>
        <v>#REF!</v>
      </c>
    </row>
    <row r="203" spans="1:17" x14ac:dyDescent="0.25">
      <c r="A203" t="s">
        <v>573</v>
      </c>
      <c r="B203" t="s">
        <v>13</v>
      </c>
      <c r="C203" s="12">
        <v>45971</v>
      </c>
      <c r="D203" s="12">
        <v>46022</v>
      </c>
      <c r="E203" t="s">
        <v>722</v>
      </c>
      <c r="F203" t="s">
        <v>14</v>
      </c>
      <c r="G203">
        <v>1010141840</v>
      </c>
      <c r="H203" t="s">
        <v>574</v>
      </c>
      <c r="I203">
        <v>43624414</v>
      </c>
      <c r="J203" t="s">
        <v>14</v>
      </c>
      <c r="K203" t="s">
        <v>18</v>
      </c>
      <c r="L203" s="1" t="e">
        <f>VLOOKUP(A203,#REF!,2,0)</f>
        <v>#REF!</v>
      </c>
      <c r="M203" s="1">
        <v>15600000</v>
      </c>
      <c r="N203" s="1">
        <v>15600000</v>
      </c>
      <c r="P203" t="s">
        <v>704</v>
      </c>
      <c r="Q203" s="1" t="e">
        <f t="shared" si="9"/>
        <v>#REF!</v>
      </c>
    </row>
    <row r="204" spans="1:17" x14ac:dyDescent="0.25">
      <c r="A204" t="s">
        <v>154</v>
      </c>
      <c r="B204" t="s">
        <v>13</v>
      </c>
      <c r="C204" s="12">
        <v>45971</v>
      </c>
      <c r="D204" s="12">
        <v>46022</v>
      </c>
      <c r="E204" t="s">
        <v>727</v>
      </c>
      <c r="F204" t="s">
        <v>14</v>
      </c>
      <c r="G204">
        <v>1086331521</v>
      </c>
      <c r="H204" t="s">
        <v>155</v>
      </c>
      <c r="I204">
        <v>98333941</v>
      </c>
      <c r="J204" t="s">
        <v>14</v>
      </c>
      <c r="K204" t="s">
        <v>15</v>
      </c>
      <c r="L204" s="1" t="e">
        <f>VLOOKUP(A204,#REF!,2,0)</f>
        <v>#REF!</v>
      </c>
      <c r="M204" s="1">
        <v>15600000</v>
      </c>
      <c r="N204" s="1">
        <v>15600000</v>
      </c>
      <c r="P204" t="s">
        <v>704</v>
      </c>
      <c r="Q204" s="1" t="e">
        <f t="shared" si="9"/>
        <v>#REF!</v>
      </c>
    </row>
    <row r="205" spans="1:17" x14ac:dyDescent="0.25">
      <c r="A205" t="s">
        <v>569</v>
      </c>
      <c r="B205" t="s">
        <v>13</v>
      </c>
      <c r="C205" s="12">
        <v>45967</v>
      </c>
      <c r="D205" s="12">
        <v>46022</v>
      </c>
      <c r="E205" t="s">
        <v>804</v>
      </c>
      <c r="F205" t="s">
        <v>14</v>
      </c>
      <c r="G205">
        <v>1085307962</v>
      </c>
      <c r="H205" t="s">
        <v>570</v>
      </c>
      <c r="I205">
        <v>59836926</v>
      </c>
      <c r="J205" t="s">
        <v>14</v>
      </c>
      <c r="K205" t="s">
        <v>17</v>
      </c>
      <c r="L205" s="1" t="e">
        <f>VLOOKUP(A205,#REF!,2,0)</f>
        <v>#REF!</v>
      </c>
      <c r="M205" s="1">
        <v>15600000</v>
      </c>
      <c r="N205" s="1">
        <v>15600000</v>
      </c>
      <c r="P205" t="s">
        <v>704</v>
      </c>
      <c r="Q205" s="1" t="e">
        <f t="shared" si="9"/>
        <v>#REF!</v>
      </c>
    </row>
    <row r="206" spans="1:17" x14ac:dyDescent="0.25">
      <c r="A206" t="s">
        <v>400</v>
      </c>
      <c r="B206" t="s">
        <v>13</v>
      </c>
      <c r="C206" s="12">
        <v>45966</v>
      </c>
      <c r="D206" s="12">
        <v>46022</v>
      </c>
      <c r="E206" t="s">
        <v>749</v>
      </c>
      <c r="F206" t="s">
        <v>14</v>
      </c>
      <c r="G206">
        <v>12969231</v>
      </c>
      <c r="H206" t="s">
        <v>401</v>
      </c>
      <c r="I206">
        <v>43624414</v>
      </c>
      <c r="J206" t="s">
        <v>14</v>
      </c>
      <c r="K206" t="s">
        <v>18</v>
      </c>
      <c r="L206" s="1" t="e">
        <f>VLOOKUP(A206,#REF!,2,0)</f>
        <v>#REF!</v>
      </c>
      <c r="M206" s="1">
        <v>15600000</v>
      </c>
      <c r="N206" s="1">
        <v>15600000</v>
      </c>
      <c r="P206" t="s">
        <v>704</v>
      </c>
      <c r="Q206" s="1" t="e">
        <f t="shared" si="9"/>
        <v>#REF!</v>
      </c>
    </row>
    <row r="207" spans="1:17" x14ac:dyDescent="0.25">
      <c r="A207" t="s">
        <v>454</v>
      </c>
      <c r="B207" t="s">
        <v>13</v>
      </c>
      <c r="C207" s="12">
        <v>45966</v>
      </c>
      <c r="D207" s="12">
        <v>46022</v>
      </c>
      <c r="E207" t="s">
        <v>749</v>
      </c>
      <c r="F207" t="s">
        <v>14</v>
      </c>
      <c r="G207">
        <v>1233193848</v>
      </c>
      <c r="H207" t="s">
        <v>455</v>
      </c>
      <c r="I207">
        <v>43624414</v>
      </c>
      <c r="J207" t="s">
        <v>14</v>
      </c>
      <c r="K207" t="s">
        <v>18</v>
      </c>
      <c r="L207" s="1" t="e">
        <f>VLOOKUP(A207,#REF!,2,0)</f>
        <v>#REF!</v>
      </c>
      <c r="M207" s="1">
        <v>15600000</v>
      </c>
      <c r="N207" s="1">
        <v>15600000</v>
      </c>
      <c r="P207" t="s">
        <v>704</v>
      </c>
      <c r="Q207" s="1" t="e">
        <f t="shared" si="9"/>
        <v>#REF!</v>
      </c>
    </row>
    <row r="208" spans="1:17" x14ac:dyDescent="0.25">
      <c r="A208" t="s">
        <v>209</v>
      </c>
      <c r="B208" t="s">
        <v>13</v>
      </c>
      <c r="C208" s="12">
        <v>45946</v>
      </c>
      <c r="D208" s="12">
        <v>46022</v>
      </c>
      <c r="E208" t="s">
        <v>740</v>
      </c>
      <c r="F208" t="s">
        <v>14</v>
      </c>
      <c r="G208">
        <v>27252200</v>
      </c>
      <c r="H208" t="s">
        <v>210</v>
      </c>
      <c r="I208">
        <v>59836926</v>
      </c>
      <c r="J208" t="s">
        <v>14</v>
      </c>
      <c r="K208" t="s">
        <v>17</v>
      </c>
      <c r="L208" s="1" t="e">
        <f>VLOOKUP(A208,#REF!,2,0)</f>
        <v>#REF!</v>
      </c>
      <c r="M208" s="1">
        <v>15750000</v>
      </c>
      <c r="N208" s="1">
        <v>15750000</v>
      </c>
      <c r="P208" t="s">
        <v>704</v>
      </c>
      <c r="Q208" s="1" t="e">
        <f t="shared" si="9"/>
        <v>#REF!</v>
      </c>
    </row>
    <row r="209" spans="1:19" x14ac:dyDescent="0.25">
      <c r="A209" t="s">
        <v>1028</v>
      </c>
      <c r="B209" t="s">
        <v>13</v>
      </c>
      <c r="C209" s="12">
        <v>46024</v>
      </c>
      <c r="D209" s="12">
        <v>46112</v>
      </c>
      <c r="E209" t="s">
        <v>775</v>
      </c>
      <c r="F209" t="s">
        <v>14</v>
      </c>
      <c r="G209">
        <v>1233189234</v>
      </c>
      <c r="H209" t="s">
        <v>848</v>
      </c>
      <c r="I209">
        <v>59836926</v>
      </c>
      <c r="J209" t="s">
        <v>14</v>
      </c>
      <c r="K209" t="s">
        <v>17</v>
      </c>
      <c r="L209" s="1" t="e">
        <f>VLOOKUP(A209,#REF!,2,0)</f>
        <v>#REF!</v>
      </c>
      <c r="M209" s="1">
        <v>3150000</v>
      </c>
      <c r="N209" s="10">
        <v>9450000</v>
      </c>
      <c r="O209" s="10"/>
      <c r="P209" t="s">
        <v>704</v>
      </c>
      <c r="Q209" s="1" t="e">
        <f t="shared" si="9"/>
        <v>#REF!</v>
      </c>
      <c r="S209" s="11" t="s">
        <v>1036</v>
      </c>
    </row>
    <row r="210" spans="1:19" x14ac:dyDescent="0.25">
      <c r="A210" t="s">
        <v>222</v>
      </c>
      <c r="B210" t="s">
        <v>13</v>
      </c>
      <c r="C210" s="12">
        <v>45946</v>
      </c>
      <c r="D210" s="12">
        <v>46022</v>
      </c>
      <c r="E210" t="s">
        <v>745</v>
      </c>
      <c r="F210" t="s">
        <v>14</v>
      </c>
      <c r="G210">
        <v>1085278004</v>
      </c>
      <c r="H210" t="s">
        <v>223</v>
      </c>
      <c r="I210">
        <v>59836926</v>
      </c>
      <c r="J210" t="s">
        <v>14</v>
      </c>
      <c r="K210" t="s">
        <v>17</v>
      </c>
      <c r="L210" s="1" t="e">
        <f>VLOOKUP(A210,#REF!,2,0)</f>
        <v>#REF!</v>
      </c>
      <c r="M210" s="1">
        <v>15750000</v>
      </c>
      <c r="N210" s="1">
        <v>15750000</v>
      </c>
      <c r="P210" t="s">
        <v>704</v>
      </c>
      <c r="Q210" s="1" t="e">
        <f t="shared" si="9"/>
        <v>#REF!</v>
      </c>
    </row>
    <row r="211" spans="1:19" x14ac:dyDescent="0.25">
      <c r="A211" t="s">
        <v>423</v>
      </c>
      <c r="B211" t="s">
        <v>13</v>
      </c>
      <c r="C211" s="12">
        <v>45938</v>
      </c>
      <c r="D211" s="12">
        <v>46022</v>
      </c>
      <c r="E211" t="s">
        <v>777</v>
      </c>
      <c r="F211" t="s">
        <v>14</v>
      </c>
      <c r="G211">
        <v>1004213964</v>
      </c>
      <c r="H211" t="s">
        <v>72</v>
      </c>
      <c r="I211">
        <v>59836926</v>
      </c>
      <c r="J211" t="s">
        <v>14</v>
      </c>
      <c r="K211" t="s">
        <v>17</v>
      </c>
      <c r="L211" s="1" t="e">
        <f>VLOOKUP(A211,#REF!,2,0)</f>
        <v>#REF!</v>
      </c>
      <c r="M211" s="1">
        <v>18900000</v>
      </c>
      <c r="N211" s="1">
        <v>18900000</v>
      </c>
      <c r="P211" t="s">
        <v>704</v>
      </c>
      <c r="Q211" s="1" t="e">
        <f t="shared" si="9"/>
        <v>#REF!</v>
      </c>
    </row>
    <row r="212" spans="1:19" x14ac:dyDescent="0.25">
      <c r="A212" t="s">
        <v>653</v>
      </c>
      <c r="B212" t="s">
        <v>13</v>
      </c>
      <c r="C212" s="12">
        <v>45930</v>
      </c>
      <c r="D212" s="12">
        <v>46022</v>
      </c>
      <c r="E212" t="s">
        <v>821</v>
      </c>
      <c r="F212" t="s">
        <v>14</v>
      </c>
      <c r="G212">
        <v>37085864</v>
      </c>
      <c r="H212" t="s">
        <v>654</v>
      </c>
      <c r="I212">
        <v>59836926</v>
      </c>
      <c r="J212" t="s">
        <v>14</v>
      </c>
      <c r="K212" t="s">
        <v>17</v>
      </c>
      <c r="L212" s="1" t="e">
        <f>VLOOKUP(A212,#REF!,2,0)</f>
        <v>#REF!</v>
      </c>
      <c r="M212" s="1">
        <v>18900000</v>
      </c>
      <c r="N212" s="1">
        <v>18900000</v>
      </c>
      <c r="P212" t="s">
        <v>704</v>
      </c>
      <c r="Q212" s="1" t="e">
        <f t="shared" si="9"/>
        <v>#REF!</v>
      </c>
    </row>
    <row r="213" spans="1:19" x14ac:dyDescent="0.25">
      <c r="A213" t="s">
        <v>315</v>
      </c>
      <c r="B213" t="s">
        <v>13</v>
      </c>
      <c r="C213" s="12">
        <v>45930</v>
      </c>
      <c r="D213" s="12">
        <v>46022</v>
      </c>
      <c r="E213" t="s">
        <v>754</v>
      </c>
      <c r="F213" t="s">
        <v>14</v>
      </c>
      <c r="G213">
        <v>1085253062</v>
      </c>
      <c r="H213" t="s">
        <v>316</v>
      </c>
      <c r="I213">
        <v>98390119</v>
      </c>
      <c r="J213" t="s">
        <v>14</v>
      </c>
      <c r="K213" t="s">
        <v>63</v>
      </c>
      <c r="L213" s="1" t="e">
        <f>VLOOKUP(A213,#REF!,2,0)</f>
        <v>#REF!</v>
      </c>
      <c r="M213" s="1">
        <v>18900000</v>
      </c>
      <c r="N213" s="1">
        <v>18900000</v>
      </c>
      <c r="P213" t="s">
        <v>704</v>
      </c>
      <c r="Q213" s="1" t="e">
        <f t="shared" si="9"/>
        <v>#REF!</v>
      </c>
    </row>
    <row r="214" spans="1:19" x14ac:dyDescent="0.25">
      <c r="A214" t="s">
        <v>203</v>
      </c>
      <c r="B214" t="s">
        <v>13</v>
      </c>
      <c r="C214" s="12">
        <v>45930</v>
      </c>
      <c r="D214" s="12">
        <v>46022</v>
      </c>
      <c r="E214" t="s">
        <v>738</v>
      </c>
      <c r="F214" t="s">
        <v>14</v>
      </c>
      <c r="G214">
        <v>1193271485</v>
      </c>
      <c r="H214" t="s">
        <v>204</v>
      </c>
      <c r="I214">
        <v>98390119</v>
      </c>
      <c r="J214" t="s">
        <v>14</v>
      </c>
      <c r="K214" t="s">
        <v>63</v>
      </c>
      <c r="L214" s="1" t="e">
        <f>VLOOKUP(A214,#REF!,2,0)</f>
        <v>#REF!</v>
      </c>
      <c r="M214" s="1">
        <v>18900000</v>
      </c>
      <c r="N214" s="1">
        <v>18900000</v>
      </c>
      <c r="P214" t="s">
        <v>704</v>
      </c>
      <c r="Q214" s="1" t="e">
        <f t="shared" si="9"/>
        <v>#REF!</v>
      </c>
    </row>
    <row r="215" spans="1:19" x14ac:dyDescent="0.25">
      <c r="A215" t="s">
        <v>396</v>
      </c>
      <c r="B215" t="s">
        <v>13</v>
      </c>
      <c r="C215" s="12">
        <v>45929</v>
      </c>
      <c r="D215" s="12">
        <v>46022</v>
      </c>
      <c r="E215" t="s">
        <v>772</v>
      </c>
      <c r="F215" t="s">
        <v>14</v>
      </c>
      <c r="G215">
        <v>1086360087</v>
      </c>
      <c r="H215" t="s">
        <v>397</v>
      </c>
      <c r="I215">
        <v>98390119</v>
      </c>
      <c r="J215" t="s">
        <v>14</v>
      </c>
      <c r="K215" t="s">
        <v>63</v>
      </c>
      <c r="L215" s="1" t="e">
        <f>VLOOKUP(A215,#REF!,2,0)</f>
        <v>#REF!</v>
      </c>
      <c r="M215" s="1">
        <v>18900000</v>
      </c>
      <c r="N215" s="1">
        <v>18900000</v>
      </c>
      <c r="P215" t="s">
        <v>704</v>
      </c>
      <c r="Q215" s="1" t="e">
        <f t="shared" si="9"/>
        <v>#REF!</v>
      </c>
    </row>
    <row r="216" spans="1:19" x14ac:dyDescent="0.25">
      <c r="A216" t="s">
        <v>585</v>
      </c>
      <c r="B216" t="s">
        <v>13</v>
      </c>
      <c r="C216" s="12">
        <v>45940</v>
      </c>
      <c r="D216" s="12">
        <v>46022</v>
      </c>
      <c r="E216" t="s">
        <v>807</v>
      </c>
      <c r="F216" t="s">
        <v>14</v>
      </c>
      <c r="G216">
        <v>1085248939</v>
      </c>
      <c r="H216" t="s">
        <v>586</v>
      </c>
      <c r="I216">
        <v>98333941</v>
      </c>
      <c r="J216" t="s">
        <v>14</v>
      </c>
      <c r="K216" t="s">
        <v>15</v>
      </c>
      <c r="L216" s="1" t="e">
        <f>VLOOKUP(A216,#REF!,2,0)</f>
        <v>#REF!</v>
      </c>
      <c r="M216" s="1">
        <v>18900000</v>
      </c>
      <c r="N216" s="1">
        <v>18900000</v>
      </c>
      <c r="P216" t="s">
        <v>704</v>
      </c>
      <c r="Q216" s="1" t="e">
        <f t="shared" si="9"/>
        <v>#REF!</v>
      </c>
    </row>
    <row r="217" spans="1:19" x14ac:dyDescent="0.25">
      <c r="A217" t="s">
        <v>486</v>
      </c>
      <c r="B217" t="s">
        <v>13</v>
      </c>
      <c r="C217" s="12">
        <v>45911</v>
      </c>
      <c r="D217" s="12">
        <v>46022</v>
      </c>
      <c r="E217" t="s">
        <v>706</v>
      </c>
      <c r="F217" t="s">
        <v>14</v>
      </c>
      <c r="G217">
        <v>1005829176</v>
      </c>
      <c r="H217" t="s">
        <v>487</v>
      </c>
      <c r="I217">
        <v>59836926</v>
      </c>
      <c r="J217" t="s">
        <v>14</v>
      </c>
      <c r="K217" t="s">
        <v>17</v>
      </c>
      <c r="L217" s="1" t="e">
        <f>VLOOKUP(A217,#REF!,2,0)</f>
        <v>#REF!</v>
      </c>
      <c r="M217" s="1">
        <v>18920000</v>
      </c>
      <c r="N217" s="1">
        <v>18920000</v>
      </c>
      <c r="P217" t="s">
        <v>704</v>
      </c>
      <c r="Q217" s="1" t="e">
        <f t="shared" si="9"/>
        <v>#REF!</v>
      </c>
    </row>
    <row r="218" spans="1:19" x14ac:dyDescent="0.25">
      <c r="A218" t="s">
        <v>657</v>
      </c>
      <c r="B218" t="s">
        <v>13</v>
      </c>
      <c r="C218" s="12">
        <v>45911</v>
      </c>
      <c r="D218" s="12">
        <v>46022</v>
      </c>
      <c r="E218" t="s">
        <v>706</v>
      </c>
      <c r="F218" t="s">
        <v>14</v>
      </c>
      <c r="G218">
        <v>1086137686</v>
      </c>
      <c r="H218" t="s">
        <v>658</v>
      </c>
      <c r="I218">
        <v>98333941</v>
      </c>
      <c r="J218" t="s">
        <v>14</v>
      </c>
      <c r="K218" t="s">
        <v>15</v>
      </c>
      <c r="L218" s="1" t="e">
        <f>VLOOKUP(A218,#REF!,2,0)</f>
        <v>#REF!</v>
      </c>
      <c r="M218" s="1">
        <v>18920000</v>
      </c>
      <c r="N218" s="1">
        <v>18920000</v>
      </c>
      <c r="P218" t="s">
        <v>704</v>
      </c>
      <c r="Q218" s="1" t="e">
        <f t="shared" si="9"/>
        <v>#REF!</v>
      </c>
    </row>
    <row r="219" spans="1:19" x14ac:dyDescent="0.25">
      <c r="A219" t="s">
        <v>89</v>
      </c>
      <c r="B219" t="s">
        <v>13</v>
      </c>
      <c r="C219" s="12">
        <v>45910</v>
      </c>
      <c r="D219" s="12">
        <v>46022</v>
      </c>
      <c r="E219" t="s">
        <v>706</v>
      </c>
      <c r="F219" t="s">
        <v>14</v>
      </c>
      <c r="G219">
        <v>1086360022</v>
      </c>
      <c r="H219" t="s">
        <v>90</v>
      </c>
      <c r="I219">
        <v>98333941</v>
      </c>
      <c r="J219" t="s">
        <v>14</v>
      </c>
      <c r="K219" t="s">
        <v>15</v>
      </c>
      <c r="L219" s="1" t="e">
        <f>VLOOKUP(A219,#REF!,2,0)</f>
        <v>#REF!</v>
      </c>
      <c r="M219" s="1">
        <v>18920000</v>
      </c>
      <c r="N219" s="1">
        <v>18920000</v>
      </c>
      <c r="P219" t="s">
        <v>704</v>
      </c>
      <c r="Q219" s="1" t="e">
        <f t="shared" si="9"/>
        <v>#REF!</v>
      </c>
    </row>
    <row r="220" spans="1:19" x14ac:dyDescent="0.25">
      <c r="A220" t="s">
        <v>575</v>
      </c>
      <c r="B220" t="s">
        <v>13</v>
      </c>
      <c r="C220" s="12">
        <v>45910</v>
      </c>
      <c r="D220" s="12">
        <v>46022</v>
      </c>
      <c r="E220" t="s">
        <v>706</v>
      </c>
      <c r="F220" t="s">
        <v>14</v>
      </c>
      <c r="G220">
        <v>1087960287</v>
      </c>
      <c r="H220" t="s">
        <v>576</v>
      </c>
      <c r="I220">
        <v>59836926</v>
      </c>
      <c r="J220" t="s">
        <v>14</v>
      </c>
      <c r="K220" t="s">
        <v>17</v>
      </c>
      <c r="L220" s="1" t="e">
        <f>VLOOKUP(A220,#REF!,2,0)</f>
        <v>#REF!</v>
      </c>
      <c r="M220" s="1">
        <v>18920000</v>
      </c>
      <c r="N220" s="1">
        <v>18920000</v>
      </c>
      <c r="P220" t="s">
        <v>704</v>
      </c>
      <c r="Q220" s="1" t="e">
        <f t="shared" si="9"/>
        <v>#REF!</v>
      </c>
    </row>
    <row r="221" spans="1:19" x14ac:dyDescent="0.25">
      <c r="A221" t="s">
        <v>158</v>
      </c>
      <c r="B221" t="s">
        <v>13</v>
      </c>
      <c r="C221" s="12">
        <v>45908</v>
      </c>
      <c r="D221" s="12">
        <v>46022</v>
      </c>
      <c r="E221" t="s">
        <v>706</v>
      </c>
      <c r="F221" t="s">
        <v>14</v>
      </c>
      <c r="G221">
        <v>36756149</v>
      </c>
      <c r="H221" t="s">
        <v>159</v>
      </c>
      <c r="I221">
        <v>98333941</v>
      </c>
      <c r="J221" t="s">
        <v>14</v>
      </c>
      <c r="K221" t="s">
        <v>15</v>
      </c>
      <c r="L221" s="1" t="e">
        <f>VLOOKUP(A221,#REF!,2,0)</f>
        <v>#REF!</v>
      </c>
      <c r="M221" s="1">
        <v>18920000</v>
      </c>
      <c r="N221" s="1">
        <v>18920000</v>
      </c>
      <c r="P221" t="s">
        <v>704</v>
      </c>
      <c r="Q221" s="1" t="e">
        <f t="shared" si="9"/>
        <v>#REF!</v>
      </c>
    </row>
    <row r="222" spans="1:19" x14ac:dyDescent="0.25">
      <c r="A222" t="s">
        <v>444</v>
      </c>
      <c r="B222" t="s">
        <v>13</v>
      </c>
      <c r="C222" s="12">
        <v>45908</v>
      </c>
      <c r="D222" s="12">
        <v>46022</v>
      </c>
      <c r="E222" t="s">
        <v>706</v>
      </c>
      <c r="F222" t="s">
        <v>14</v>
      </c>
      <c r="G222">
        <v>36950073</v>
      </c>
      <c r="H222" t="s">
        <v>445</v>
      </c>
      <c r="I222">
        <v>98333941</v>
      </c>
      <c r="J222" t="s">
        <v>14</v>
      </c>
      <c r="K222" t="s">
        <v>15</v>
      </c>
      <c r="L222" s="1" t="e">
        <f>VLOOKUP(A222,#REF!,2,0)</f>
        <v>#REF!</v>
      </c>
      <c r="M222" s="1">
        <v>18920000</v>
      </c>
      <c r="N222" s="1">
        <v>18920000</v>
      </c>
      <c r="P222" t="s">
        <v>704</v>
      </c>
      <c r="Q222" s="1" t="e">
        <f t="shared" si="9"/>
        <v>#REF!</v>
      </c>
    </row>
    <row r="223" spans="1:19" x14ac:dyDescent="0.25">
      <c r="A223" t="s">
        <v>568</v>
      </c>
      <c r="B223" t="s">
        <v>13</v>
      </c>
      <c r="C223" s="12">
        <v>45908</v>
      </c>
      <c r="D223" s="12">
        <v>46022</v>
      </c>
      <c r="E223" t="s">
        <v>803</v>
      </c>
      <c r="F223" t="s">
        <v>14</v>
      </c>
      <c r="G223">
        <v>1085343783</v>
      </c>
      <c r="H223" t="s">
        <v>19</v>
      </c>
      <c r="I223">
        <v>59836926</v>
      </c>
      <c r="J223" t="s">
        <v>14</v>
      </c>
      <c r="K223" t="s">
        <v>17</v>
      </c>
      <c r="L223" s="1" t="e">
        <f>VLOOKUP(A223,#REF!,2,0)</f>
        <v>#REF!</v>
      </c>
      <c r="M223" s="1">
        <v>18920000</v>
      </c>
      <c r="N223" s="1">
        <v>18920000</v>
      </c>
      <c r="P223" t="s">
        <v>704</v>
      </c>
      <c r="Q223" s="1" t="e">
        <f t="shared" si="9"/>
        <v>#REF!</v>
      </c>
    </row>
    <row r="224" spans="1:19" x14ac:dyDescent="0.25">
      <c r="A224" t="s">
        <v>430</v>
      </c>
      <c r="B224" t="s">
        <v>13</v>
      </c>
      <c r="C224" s="12">
        <v>45905</v>
      </c>
      <c r="D224" s="12">
        <v>46022</v>
      </c>
      <c r="E224" t="s">
        <v>744</v>
      </c>
      <c r="F224" t="s">
        <v>14</v>
      </c>
      <c r="G224">
        <v>1085318201</v>
      </c>
      <c r="H224" t="s">
        <v>431</v>
      </c>
      <c r="I224">
        <v>98333941</v>
      </c>
      <c r="J224" t="s">
        <v>14</v>
      </c>
      <c r="K224" t="s">
        <v>15</v>
      </c>
      <c r="L224" s="1" t="e">
        <f>VLOOKUP(A224,#REF!,2,0)</f>
        <v>#REF!</v>
      </c>
      <c r="M224" s="1">
        <v>18920000</v>
      </c>
      <c r="N224" s="1">
        <v>18920000</v>
      </c>
      <c r="P224" t="s">
        <v>704</v>
      </c>
      <c r="Q224" s="1" t="e">
        <f t="shared" si="9"/>
        <v>#REF!</v>
      </c>
    </row>
    <row r="225" spans="1:19" x14ac:dyDescent="0.25">
      <c r="A225" t="s">
        <v>426</v>
      </c>
      <c r="B225" t="s">
        <v>13</v>
      </c>
      <c r="C225" s="12">
        <v>45905</v>
      </c>
      <c r="D225" s="12">
        <v>46022</v>
      </c>
      <c r="E225" t="s">
        <v>744</v>
      </c>
      <c r="F225" t="s">
        <v>14</v>
      </c>
      <c r="G225">
        <v>1085318684</v>
      </c>
      <c r="H225" t="s">
        <v>427</v>
      </c>
      <c r="I225">
        <v>98333941</v>
      </c>
      <c r="J225" t="s">
        <v>14</v>
      </c>
      <c r="K225" t="s">
        <v>15</v>
      </c>
      <c r="L225" s="1" t="e">
        <f>VLOOKUP(A225,#REF!,2,0)</f>
        <v>#REF!</v>
      </c>
      <c r="M225" s="1">
        <v>18920000</v>
      </c>
      <c r="N225" s="1">
        <v>18920000</v>
      </c>
      <c r="P225" t="s">
        <v>704</v>
      </c>
      <c r="Q225" s="1" t="e">
        <f t="shared" si="9"/>
        <v>#REF!</v>
      </c>
    </row>
    <row r="226" spans="1:19" x14ac:dyDescent="0.25">
      <c r="A226" t="s">
        <v>439</v>
      </c>
      <c r="B226" t="s">
        <v>13</v>
      </c>
      <c r="C226" s="12">
        <v>45905</v>
      </c>
      <c r="D226" s="12">
        <v>46022</v>
      </c>
      <c r="E226" t="s">
        <v>782</v>
      </c>
      <c r="F226" t="s">
        <v>14</v>
      </c>
      <c r="G226">
        <v>27087475</v>
      </c>
      <c r="H226" t="s">
        <v>48</v>
      </c>
      <c r="I226">
        <v>43624414</v>
      </c>
      <c r="J226" t="s">
        <v>14</v>
      </c>
      <c r="K226" t="s">
        <v>18</v>
      </c>
      <c r="L226" s="1" t="e">
        <f>VLOOKUP(A226,#REF!,2,0)</f>
        <v>#REF!</v>
      </c>
      <c r="M226" s="1">
        <v>18920000</v>
      </c>
      <c r="N226" s="1">
        <v>18920000</v>
      </c>
      <c r="P226" t="s">
        <v>704</v>
      </c>
      <c r="Q226" s="1" t="e">
        <f t="shared" si="9"/>
        <v>#REF!</v>
      </c>
    </row>
    <row r="227" spans="1:19" x14ac:dyDescent="0.25">
      <c r="A227" t="s">
        <v>561</v>
      </c>
      <c r="B227" t="s">
        <v>13</v>
      </c>
      <c r="C227" s="12">
        <v>45905</v>
      </c>
      <c r="D227" s="12">
        <v>46022</v>
      </c>
      <c r="E227" t="s">
        <v>755</v>
      </c>
      <c r="F227" t="s">
        <v>14</v>
      </c>
      <c r="G227">
        <v>1085264667</v>
      </c>
      <c r="H227" t="s">
        <v>562</v>
      </c>
      <c r="I227">
        <v>98333941</v>
      </c>
      <c r="J227" t="s">
        <v>14</v>
      </c>
      <c r="K227" t="s">
        <v>15</v>
      </c>
      <c r="L227" s="1" t="e">
        <f>VLOOKUP(A227,#REF!,2,0)</f>
        <v>#REF!</v>
      </c>
      <c r="M227" s="1">
        <v>18920000</v>
      </c>
      <c r="N227" s="1">
        <v>18920000</v>
      </c>
      <c r="P227" t="s">
        <v>704</v>
      </c>
      <c r="Q227" s="1" t="e">
        <f t="shared" ref="Q227:Q237" si="10">N227-L227</f>
        <v>#REF!</v>
      </c>
    </row>
    <row r="228" spans="1:19" x14ac:dyDescent="0.25">
      <c r="A228" t="s">
        <v>94</v>
      </c>
      <c r="B228" t="s">
        <v>13</v>
      </c>
      <c r="C228" s="12">
        <v>45905</v>
      </c>
      <c r="D228" s="12">
        <v>46022</v>
      </c>
      <c r="E228" t="s">
        <v>709</v>
      </c>
      <c r="F228" t="s">
        <v>14</v>
      </c>
      <c r="G228">
        <v>1193424771</v>
      </c>
      <c r="H228" t="s">
        <v>95</v>
      </c>
      <c r="I228">
        <v>98333941</v>
      </c>
      <c r="J228" t="s">
        <v>14</v>
      </c>
      <c r="K228" t="s">
        <v>15</v>
      </c>
      <c r="L228" s="1" t="e">
        <f>VLOOKUP(A228,#REF!,2,0)</f>
        <v>#REF!</v>
      </c>
      <c r="M228" s="1">
        <v>18920000</v>
      </c>
      <c r="N228" s="1">
        <v>18920000</v>
      </c>
      <c r="P228" t="s">
        <v>704</v>
      </c>
      <c r="Q228" s="1" t="e">
        <f t="shared" si="10"/>
        <v>#REF!</v>
      </c>
    </row>
    <row r="229" spans="1:19" x14ac:dyDescent="0.25">
      <c r="A229" t="s">
        <v>524</v>
      </c>
      <c r="B229" t="s">
        <v>13</v>
      </c>
      <c r="C229" s="12">
        <v>45905</v>
      </c>
      <c r="D229" s="12">
        <v>46022</v>
      </c>
      <c r="E229" t="s">
        <v>725</v>
      </c>
      <c r="F229" t="s">
        <v>14</v>
      </c>
      <c r="G229">
        <v>59651018</v>
      </c>
      <c r="H229" t="s">
        <v>525</v>
      </c>
      <c r="I229">
        <v>43624414</v>
      </c>
      <c r="J229" t="s">
        <v>14</v>
      </c>
      <c r="K229" t="s">
        <v>18</v>
      </c>
      <c r="L229" s="1" t="e">
        <f>VLOOKUP(A229,#REF!,2,0)</f>
        <v>#REF!</v>
      </c>
      <c r="M229" s="1">
        <v>18920000</v>
      </c>
      <c r="N229" s="1">
        <v>18920000</v>
      </c>
      <c r="P229" t="s">
        <v>704</v>
      </c>
      <c r="Q229" s="1" t="e">
        <f t="shared" si="10"/>
        <v>#REF!</v>
      </c>
    </row>
    <row r="230" spans="1:19" x14ac:dyDescent="0.25">
      <c r="A230" t="s">
        <v>91</v>
      </c>
      <c r="B230" t="s">
        <v>13</v>
      </c>
      <c r="C230" s="12">
        <v>45904</v>
      </c>
      <c r="D230" s="12">
        <v>46022</v>
      </c>
      <c r="E230" t="s">
        <v>707</v>
      </c>
      <c r="F230" t="s">
        <v>14</v>
      </c>
      <c r="G230">
        <v>1087414586</v>
      </c>
      <c r="H230" t="s">
        <v>92</v>
      </c>
      <c r="I230">
        <v>43624414</v>
      </c>
      <c r="J230" t="s">
        <v>14</v>
      </c>
      <c r="K230" t="s">
        <v>18</v>
      </c>
      <c r="L230" s="1" t="e">
        <f>VLOOKUP(A230,#REF!,2,0)</f>
        <v>#REF!</v>
      </c>
      <c r="M230" s="1">
        <v>18920000</v>
      </c>
      <c r="N230" s="1">
        <v>18920000</v>
      </c>
      <c r="P230" t="s">
        <v>704</v>
      </c>
      <c r="Q230" s="1" t="e">
        <f t="shared" si="10"/>
        <v>#REF!</v>
      </c>
    </row>
    <row r="231" spans="1:19" x14ac:dyDescent="0.25">
      <c r="A231" t="s">
        <v>294</v>
      </c>
      <c r="B231" t="s">
        <v>13</v>
      </c>
      <c r="C231" s="12">
        <v>45904</v>
      </c>
      <c r="D231" s="12">
        <v>46022</v>
      </c>
      <c r="E231" t="s">
        <v>707</v>
      </c>
      <c r="F231" t="s">
        <v>14</v>
      </c>
      <c r="G231">
        <v>1085263018</v>
      </c>
      <c r="H231" t="s">
        <v>295</v>
      </c>
      <c r="I231">
        <v>98333941</v>
      </c>
      <c r="J231" t="s">
        <v>14</v>
      </c>
      <c r="K231" t="s">
        <v>15</v>
      </c>
      <c r="L231" s="1" t="e">
        <f>VLOOKUP(A231,#REF!,2,0)</f>
        <v>#REF!</v>
      </c>
      <c r="M231" s="1">
        <v>18920000</v>
      </c>
      <c r="N231" s="1">
        <v>18920000</v>
      </c>
      <c r="P231" t="s">
        <v>704</v>
      </c>
      <c r="Q231" s="1" t="e">
        <f t="shared" si="10"/>
        <v>#REF!</v>
      </c>
    </row>
    <row r="232" spans="1:19" x14ac:dyDescent="0.25">
      <c r="A232" t="s">
        <v>163</v>
      </c>
      <c r="B232" t="s">
        <v>13</v>
      </c>
      <c r="C232" s="12">
        <v>45904</v>
      </c>
      <c r="D232" s="12">
        <v>46022</v>
      </c>
      <c r="E232" t="s">
        <v>707</v>
      </c>
      <c r="F232" t="s">
        <v>14</v>
      </c>
      <c r="G232">
        <v>36757491</v>
      </c>
      <c r="H232" t="s">
        <v>164</v>
      </c>
      <c r="I232">
        <v>98333941</v>
      </c>
      <c r="J232" t="s">
        <v>14</v>
      </c>
      <c r="K232" t="s">
        <v>15</v>
      </c>
      <c r="L232" s="1" t="e">
        <f>VLOOKUP(A232,#REF!,2,0)</f>
        <v>#REF!</v>
      </c>
      <c r="M232" s="1">
        <v>18920000</v>
      </c>
      <c r="N232" s="1">
        <v>18920000</v>
      </c>
      <c r="P232" t="s">
        <v>704</v>
      </c>
      <c r="Q232" s="1" t="e">
        <f t="shared" si="10"/>
        <v>#REF!</v>
      </c>
    </row>
    <row r="233" spans="1:19" x14ac:dyDescent="0.25">
      <c r="A233" t="s">
        <v>388</v>
      </c>
      <c r="B233" t="s">
        <v>13</v>
      </c>
      <c r="C233" s="12">
        <v>45904</v>
      </c>
      <c r="D233" s="12">
        <v>46022</v>
      </c>
      <c r="E233" t="s">
        <v>707</v>
      </c>
      <c r="F233" t="s">
        <v>14</v>
      </c>
      <c r="G233">
        <v>1085260497</v>
      </c>
      <c r="H233" t="s">
        <v>389</v>
      </c>
      <c r="I233">
        <v>98333941</v>
      </c>
      <c r="J233" t="s">
        <v>14</v>
      </c>
      <c r="K233" t="s">
        <v>15</v>
      </c>
      <c r="L233" s="1" t="e">
        <f>VLOOKUP(A233,#REF!,2,0)</f>
        <v>#REF!</v>
      </c>
      <c r="M233" s="1">
        <v>18920000</v>
      </c>
      <c r="N233" s="1">
        <v>18920000</v>
      </c>
      <c r="P233" t="s">
        <v>704</v>
      </c>
      <c r="Q233" s="1" t="e">
        <f t="shared" si="10"/>
        <v>#REF!</v>
      </c>
    </row>
    <row r="234" spans="1:19" x14ac:dyDescent="0.25">
      <c r="A234" t="s">
        <v>458</v>
      </c>
      <c r="B234" t="s">
        <v>13</v>
      </c>
      <c r="C234" s="12">
        <v>45904</v>
      </c>
      <c r="D234" s="12">
        <v>46022</v>
      </c>
      <c r="E234" t="s">
        <v>707</v>
      </c>
      <c r="F234" t="s">
        <v>14</v>
      </c>
      <c r="G234">
        <v>1082749648</v>
      </c>
      <c r="H234" t="s">
        <v>459</v>
      </c>
      <c r="I234">
        <v>98333941</v>
      </c>
      <c r="J234" t="s">
        <v>14</v>
      </c>
      <c r="K234" t="s">
        <v>15</v>
      </c>
      <c r="L234" s="1" t="e">
        <f>VLOOKUP(A234,#REF!,2,0)</f>
        <v>#REF!</v>
      </c>
      <c r="M234" s="1">
        <v>18920000</v>
      </c>
      <c r="N234" s="1">
        <v>18920000</v>
      </c>
      <c r="P234" t="s">
        <v>704</v>
      </c>
      <c r="Q234" s="1" t="e">
        <f t="shared" si="10"/>
        <v>#REF!</v>
      </c>
    </row>
    <row r="235" spans="1:19" x14ac:dyDescent="0.25">
      <c r="A235" t="s">
        <v>336</v>
      </c>
      <c r="B235" t="s">
        <v>13</v>
      </c>
      <c r="C235" s="12">
        <v>45903</v>
      </c>
      <c r="D235" s="12">
        <v>46022</v>
      </c>
      <c r="E235" t="s">
        <v>707</v>
      </c>
      <c r="F235" t="s">
        <v>14</v>
      </c>
      <c r="G235">
        <v>36759759</v>
      </c>
      <c r="H235" t="s">
        <v>26</v>
      </c>
      <c r="I235">
        <v>98390119</v>
      </c>
      <c r="J235" t="s">
        <v>14</v>
      </c>
      <c r="K235" t="s">
        <v>63</v>
      </c>
      <c r="L235" s="1" t="e">
        <f>VLOOKUP(A235,#REF!,2,0)</f>
        <v>#REF!</v>
      </c>
      <c r="M235" s="1">
        <v>18920000</v>
      </c>
      <c r="N235" s="1">
        <v>18920000</v>
      </c>
      <c r="P235" t="s">
        <v>704</v>
      </c>
      <c r="Q235" s="1" t="e">
        <f t="shared" si="10"/>
        <v>#REF!</v>
      </c>
    </row>
    <row r="236" spans="1:19" x14ac:dyDescent="0.25">
      <c r="A236" t="s">
        <v>699</v>
      </c>
      <c r="B236" t="s">
        <v>13</v>
      </c>
      <c r="C236" s="12">
        <v>45903</v>
      </c>
      <c r="D236" s="12">
        <v>46022</v>
      </c>
      <c r="E236" t="s">
        <v>825</v>
      </c>
      <c r="F236" t="s">
        <v>14</v>
      </c>
      <c r="G236">
        <v>1084227101</v>
      </c>
      <c r="H236" t="s">
        <v>700</v>
      </c>
      <c r="I236">
        <v>98333941</v>
      </c>
      <c r="J236" t="s">
        <v>14</v>
      </c>
      <c r="K236" t="s">
        <v>15</v>
      </c>
      <c r="L236" s="1" t="e">
        <f>VLOOKUP(A236,#REF!,2,0)</f>
        <v>#REF!</v>
      </c>
      <c r="M236" s="1">
        <v>18920000</v>
      </c>
      <c r="N236" s="1">
        <v>18920000</v>
      </c>
      <c r="P236" t="s">
        <v>704</v>
      </c>
      <c r="Q236" s="1" t="e">
        <f t="shared" si="10"/>
        <v>#REF!</v>
      </c>
    </row>
    <row r="237" spans="1:19" x14ac:dyDescent="0.25">
      <c r="A237" t="s">
        <v>479</v>
      </c>
      <c r="B237" t="s">
        <v>13</v>
      </c>
      <c r="C237" s="12">
        <v>45903</v>
      </c>
      <c r="D237" s="12">
        <v>46022</v>
      </c>
      <c r="E237" t="s">
        <v>790</v>
      </c>
      <c r="F237" t="s">
        <v>14</v>
      </c>
      <c r="G237">
        <v>59824313</v>
      </c>
      <c r="H237" t="s">
        <v>480</v>
      </c>
      <c r="I237">
        <v>98390119</v>
      </c>
      <c r="J237" t="s">
        <v>14</v>
      </c>
      <c r="K237" t="s">
        <v>63</v>
      </c>
      <c r="L237" s="1" t="e">
        <f>VLOOKUP(A237,#REF!,2,0)</f>
        <v>#REF!</v>
      </c>
      <c r="M237" s="1">
        <v>18920000</v>
      </c>
      <c r="N237" s="1">
        <v>18920000</v>
      </c>
      <c r="P237" t="s">
        <v>704</v>
      </c>
      <c r="Q237" s="1" t="e">
        <f t="shared" si="10"/>
        <v>#REF!</v>
      </c>
    </row>
    <row r="238" spans="1:19" x14ac:dyDescent="0.25">
      <c r="A238" t="s">
        <v>1043</v>
      </c>
      <c r="B238" t="s">
        <v>13</v>
      </c>
      <c r="C238" s="12">
        <v>46024</v>
      </c>
      <c r="D238" s="12">
        <v>46112</v>
      </c>
      <c r="E238" t="s">
        <v>775</v>
      </c>
      <c r="F238" t="s">
        <v>14</v>
      </c>
      <c r="G238">
        <v>5930737</v>
      </c>
      <c r="H238" t="s">
        <v>370</v>
      </c>
      <c r="I238">
        <v>98390119</v>
      </c>
      <c r="J238" t="s">
        <v>14</v>
      </c>
      <c r="K238" t="s">
        <v>63</v>
      </c>
      <c r="L238" s="1" t="e">
        <f>VLOOKUP(A238,#REF!,2,0)</f>
        <v>#REF!</v>
      </c>
      <c r="M238" s="1">
        <v>3150000</v>
      </c>
      <c r="N238" s="10">
        <v>9450000</v>
      </c>
      <c r="O238" s="10"/>
      <c r="P238" t="s">
        <v>704</v>
      </c>
      <c r="Q238" s="1" t="e">
        <f t="shared" ref="Q238:Q239" si="11">N238-L238</f>
        <v>#REF!</v>
      </c>
      <c r="S238" s="11" t="s">
        <v>1036</v>
      </c>
    </row>
    <row r="239" spans="1:19" x14ac:dyDescent="0.25">
      <c r="A239" t="s">
        <v>328</v>
      </c>
      <c r="B239" t="s">
        <v>13</v>
      </c>
      <c r="C239" s="12">
        <v>45902</v>
      </c>
      <c r="D239" s="12">
        <v>46022</v>
      </c>
      <c r="E239" t="s">
        <v>759</v>
      </c>
      <c r="F239" t="s">
        <v>14</v>
      </c>
      <c r="G239">
        <v>1085330309</v>
      </c>
      <c r="H239" t="s">
        <v>16</v>
      </c>
      <c r="I239">
        <v>43624414</v>
      </c>
      <c r="J239" t="s">
        <v>14</v>
      </c>
      <c r="K239" t="s">
        <v>18</v>
      </c>
      <c r="L239" s="1" t="e">
        <f>VLOOKUP(A239,#REF!,2,0)</f>
        <v>#REF!</v>
      </c>
      <c r="M239" s="1">
        <v>18920000</v>
      </c>
      <c r="N239" s="1">
        <v>18920000</v>
      </c>
      <c r="P239" t="s">
        <v>704</v>
      </c>
      <c r="Q239" s="1" t="e">
        <f t="shared" si="11"/>
        <v>#REF!</v>
      </c>
    </row>
    <row r="240" spans="1:19" x14ac:dyDescent="0.25">
      <c r="A240" t="s">
        <v>218</v>
      </c>
      <c r="B240" t="s">
        <v>13</v>
      </c>
      <c r="C240" s="12">
        <v>45902</v>
      </c>
      <c r="D240" s="12">
        <v>46022</v>
      </c>
      <c r="E240" t="s">
        <v>743</v>
      </c>
      <c r="F240" t="s">
        <v>14</v>
      </c>
      <c r="G240">
        <v>1087413951</v>
      </c>
      <c r="H240" t="s">
        <v>219</v>
      </c>
      <c r="I240">
        <v>98333941</v>
      </c>
      <c r="J240" t="s">
        <v>14</v>
      </c>
      <c r="K240" t="s">
        <v>15</v>
      </c>
      <c r="L240" s="1" t="e">
        <f>VLOOKUP(A240,#REF!,2,0)</f>
        <v>#REF!</v>
      </c>
      <c r="M240" s="1">
        <v>18920000</v>
      </c>
      <c r="N240" s="1">
        <v>18920000</v>
      </c>
      <c r="P240" t="s">
        <v>704</v>
      </c>
      <c r="Q240" s="1" t="e">
        <f t="shared" ref="Q240:Q271" si="12">N240-L240</f>
        <v>#REF!</v>
      </c>
    </row>
    <row r="241" spans="1:17" x14ac:dyDescent="0.25">
      <c r="A241" t="s">
        <v>432</v>
      </c>
      <c r="B241" t="s">
        <v>13</v>
      </c>
      <c r="C241" s="12">
        <v>45902</v>
      </c>
      <c r="D241" s="12">
        <v>46022</v>
      </c>
      <c r="E241" t="s">
        <v>779</v>
      </c>
      <c r="F241" t="s">
        <v>14</v>
      </c>
      <c r="G241">
        <v>1085340885</v>
      </c>
      <c r="H241" t="s">
        <v>433</v>
      </c>
      <c r="I241">
        <v>98333941</v>
      </c>
      <c r="J241" t="s">
        <v>14</v>
      </c>
      <c r="K241" t="s">
        <v>15</v>
      </c>
      <c r="L241" s="1" t="e">
        <f>VLOOKUP(A241,#REF!,2,0)</f>
        <v>#REF!</v>
      </c>
      <c r="M241" s="1">
        <v>18920000</v>
      </c>
      <c r="N241" s="1">
        <v>18920000</v>
      </c>
      <c r="P241" t="s">
        <v>704</v>
      </c>
      <c r="Q241" s="1" t="e">
        <f t="shared" si="12"/>
        <v>#REF!</v>
      </c>
    </row>
    <row r="242" spans="1:17" x14ac:dyDescent="0.25">
      <c r="A242" t="s">
        <v>273</v>
      </c>
      <c r="B242" t="s">
        <v>13</v>
      </c>
      <c r="C242" s="12">
        <v>45901</v>
      </c>
      <c r="D242" s="12">
        <v>46022</v>
      </c>
      <c r="E242" t="s">
        <v>752</v>
      </c>
      <c r="F242" t="s">
        <v>14</v>
      </c>
      <c r="G242">
        <v>1193383306</v>
      </c>
      <c r="H242" t="s">
        <v>274</v>
      </c>
      <c r="I242">
        <v>59836926</v>
      </c>
      <c r="J242" t="s">
        <v>14</v>
      </c>
      <c r="K242" t="s">
        <v>17</v>
      </c>
      <c r="L242" s="1" t="e">
        <f>VLOOKUP(A242,#REF!,2,0)</f>
        <v>#REF!</v>
      </c>
      <c r="M242" s="1">
        <v>18920000</v>
      </c>
      <c r="N242" s="1">
        <v>18920000</v>
      </c>
      <c r="P242" t="s">
        <v>704</v>
      </c>
      <c r="Q242" s="1" t="e">
        <f t="shared" si="12"/>
        <v>#REF!</v>
      </c>
    </row>
    <row r="243" spans="1:17" x14ac:dyDescent="0.25">
      <c r="A243" t="s">
        <v>176</v>
      </c>
      <c r="B243" t="s">
        <v>13</v>
      </c>
      <c r="C243" s="12">
        <v>45946</v>
      </c>
      <c r="D243" s="12">
        <v>46022</v>
      </c>
      <c r="E243" t="s">
        <v>717</v>
      </c>
      <c r="F243" t="s">
        <v>14</v>
      </c>
      <c r="G243">
        <v>1061794455</v>
      </c>
      <c r="H243" t="s">
        <v>177</v>
      </c>
      <c r="I243">
        <v>59836926</v>
      </c>
      <c r="J243" t="s">
        <v>14</v>
      </c>
      <c r="K243" t="s">
        <v>17</v>
      </c>
      <c r="L243" s="1" t="e">
        <f>VLOOKUP(A243,#REF!,2,0)</f>
        <v>#REF!</v>
      </c>
      <c r="M243" s="1">
        <v>19500000</v>
      </c>
      <c r="N243" s="1">
        <v>19500000</v>
      </c>
      <c r="P243" t="s">
        <v>704</v>
      </c>
      <c r="Q243" s="1" t="e">
        <f t="shared" si="12"/>
        <v>#REF!</v>
      </c>
    </row>
    <row r="244" spans="1:17" x14ac:dyDescent="0.25">
      <c r="A244" t="s">
        <v>390</v>
      </c>
      <c r="B244" t="s">
        <v>13</v>
      </c>
      <c r="C244" s="12">
        <v>45946</v>
      </c>
      <c r="D244" s="12">
        <v>46022</v>
      </c>
      <c r="E244" t="s">
        <v>769</v>
      </c>
      <c r="F244" t="s">
        <v>14</v>
      </c>
      <c r="G244">
        <v>98398376</v>
      </c>
      <c r="H244" t="s">
        <v>391</v>
      </c>
      <c r="I244">
        <v>59836926</v>
      </c>
      <c r="J244" t="s">
        <v>14</v>
      </c>
      <c r="K244" t="s">
        <v>17</v>
      </c>
      <c r="L244" s="1" t="e">
        <f>VLOOKUP(A244,#REF!,2,0)</f>
        <v>#REF!</v>
      </c>
      <c r="M244" s="1">
        <v>19500000</v>
      </c>
      <c r="N244" s="1">
        <v>19500000</v>
      </c>
      <c r="P244" t="s">
        <v>704</v>
      </c>
      <c r="Q244" s="1" t="e">
        <f t="shared" si="12"/>
        <v>#REF!</v>
      </c>
    </row>
    <row r="245" spans="1:17" x14ac:dyDescent="0.25">
      <c r="A245" t="s">
        <v>409</v>
      </c>
      <c r="B245" t="s">
        <v>13</v>
      </c>
      <c r="C245" s="12">
        <v>45945</v>
      </c>
      <c r="D245" s="12">
        <v>46022</v>
      </c>
      <c r="E245" t="s">
        <v>776</v>
      </c>
      <c r="F245" t="s">
        <v>14</v>
      </c>
      <c r="G245">
        <v>87065647</v>
      </c>
      <c r="H245" t="s">
        <v>410</v>
      </c>
      <c r="I245">
        <v>59836926</v>
      </c>
      <c r="J245" t="s">
        <v>14</v>
      </c>
      <c r="K245" t="s">
        <v>17</v>
      </c>
      <c r="L245" s="1" t="e">
        <f>VLOOKUP(A245,#REF!,2,0)</f>
        <v>#REF!</v>
      </c>
      <c r="M245" s="1">
        <v>19500000</v>
      </c>
      <c r="N245" s="1">
        <v>19500000</v>
      </c>
      <c r="P245" t="s">
        <v>704</v>
      </c>
      <c r="Q245" s="1" t="e">
        <f t="shared" si="12"/>
        <v>#REF!</v>
      </c>
    </row>
    <row r="246" spans="1:17" x14ac:dyDescent="0.25">
      <c r="A246" t="s">
        <v>607</v>
      </c>
      <c r="B246" t="s">
        <v>13</v>
      </c>
      <c r="C246" s="12">
        <v>45923</v>
      </c>
      <c r="D246" s="12">
        <v>46022</v>
      </c>
      <c r="E246" t="s">
        <v>745</v>
      </c>
      <c r="F246" t="s">
        <v>14</v>
      </c>
      <c r="G246">
        <v>27456421</v>
      </c>
      <c r="H246" t="s">
        <v>608</v>
      </c>
      <c r="I246">
        <v>98390119</v>
      </c>
      <c r="J246" t="s">
        <v>14</v>
      </c>
      <c r="K246" t="s">
        <v>63</v>
      </c>
      <c r="L246" s="1" t="e">
        <f>VLOOKUP(A246,#REF!,2,0)</f>
        <v>#REF!</v>
      </c>
      <c r="M246" s="1">
        <v>22050000</v>
      </c>
      <c r="N246" s="1">
        <v>22050000</v>
      </c>
      <c r="P246" t="s">
        <v>704</v>
      </c>
      <c r="Q246" s="1" t="e">
        <f t="shared" si="12"/>
        <v>#REF!</v>
      </c>
    </row>
    <row r="247" spans="1:17" x14ac:dyDescent="0.25">
      <c r="A247" t="s">
        <v>329</v>
      </c>
      <c r="B247" t="s">
        <v>13</v>
      </c>
      <c r="C247" s="12">
        <v>45922</v>
      </c>
      <c r="D247" s="12">
        <v>46022</v>
      </c>
      <c r="E247" t="s">
        <v>760</v>
      </c>
      <c r="F247" t="s">
        <v>14</v>
      </c>
      <c r="G247">
        <v>59314458</v>
      </c>
      <c r="H247" t="s">
        <v>25</v>
      </c>
      <c r="I247">
        <v>98390119</v>
      </c>
      <c r="J247" t="s">
        <v>14</v>
      </c>
      <c r="K247" t="s">
        <v>63</v>
      </c>
      <c r="L247" s="1" t="e">
        <f>VLOOKUP(A247,#REF!,2,0)</f>
        <v>#REF!</v>
      </c>
      <c r="M247" s="1">
        <v>22050000</v>
      </c>
      <c r="N247" s="1">
        <v>22050000</v>
      </c>
      <c r="P247" t="s">
        <v>704</v>
      </c>
      <c r="Q247" s="1" t="e">
        <f t="shared" si="12"/>
        <v>#REF!</v>
      </c>
    </row>
    <row r="248" spans="1:17" x14ac:dyDescent="0.25">
      <c r="A248" t="s">
        <v>121</v>
      </c>
      <c r="B248" t="s">
        <v>13</v>
      </c>
      <c r="C248" s="12">
        <v>45922</v>
      </c>
      <c r="D248" s="12">
        <v>46022</v>
      </c>
      <c r="E248" t="s">
        <v>718</v>
      </c>
      <c r="F248" t="s">
        <v>14</v>
      </c>
      <c r="G248">
        <v>1193383314</v>
      </c>
      <c r="H248" t="s">
        <v>122</v>
      </c>
      <c r="I248">
        <v>98390119</v>
      </c>
      <c r="J248" t="s">
        <v>14</v>
      </c>
      <c r="K248" t="s">
        <v>63</v>
      </c>
      <c r="L248" s="1" t="e">
        <f>VLOOKUP(A248,#REF!,2,0)</f>
        <v>#REF!</v>
      </c>
      <c r="M248" s="1">
        <v>22050000</v>
      </c>
      <c r="N248" s="1">
        <v>22050000</v>
      </c>
      <c r="P248" t="s">
        <v>704</v>
      </c>
      <c r="Q248" s="1" t="e">
        <f t="shared" si="12"/>
        <v>#REF!</v>
      </c>
    </row>
    <row r="249" spans="1:17" x14ac:dyDescent="0.25">
      <c r="A249" t="s">
        <v>671</v>
      </c>
      <c r="B249" t="s">
        <v>13</v>
      </c>
      <c r="C249" s="12">
        <v>45919</v>
      </c>
      <c r="D249" s="12">
        <v>46022</v>
      </c>
      <c r="E249" t="s">
        <v>822</v>
      </c>
      <c r="F249" t="s">
        <v>14</v>
      </c>
      <c r="G249">
        <v>59837608</v>
      </c>
      <c r="H249" t="s">
        <v>47</v>
      </c>
      <c r="I249">
        <v>98333941</v>
      </c>
      <c r="J249" t="s">
        <v>14</v>
      </c>
      <c r="K249" t="s">
        <v>15</v>
      </c>
      <c r="L249" s="1" t="e">
        <f>VLOOKUP(A249,#REF!,2,0)</f>
        <v>#REF!</v>
      </c>
      <c r="M249" s="1">
        <v>22050000</v>
      </c>
      <c r="N249" s="1">
        <v>22050000</v>
      </c>
      <c r="P249" t="s">
        <v>704</v>
      </c>
      <c r="Q249" s="1" t="e">
        <f t="shared" si="12"/>
        <v>#REF!</v>
      </c>
    </row>
    <row r="250" spans="1:17" x14ac:dyDescent="0.25">
      <c r="A250" t="s">
        <v>638</v>
      </c>
      <c r="B250" t="s">
        <v>13</v>
      </c>
      <c r="C250" s="12">
        <v>45919</v>
      </c>
      <c r="D250" s="12">
        <v>46022</v>
      </c>
      <c r="E250" t="s">
        <v>817</v>
      </c>
      <c r="F250" t="s">
        <v>14</v>
      </c>
      <c r="G250">
        <v>1004564013</v>
      </c>
      <c r="H250" t="s">
        <v>639</v>
      </c>
      <c r="I250">
        <v>43624414</v>
      </c>
      <c r="J250" t="s">
        <v>14</v>
      </c>
      <c r="K250" t="s">
        <v>18</v>
      </c>
      <c r="L250" s="1" t="e">
        <f>VLOOKUP(A250,#REF!,2,0)</f>
        <v>#REF!</v>
      </c>
      <c r="M250" s="1">
        <v>22050000</v>
      </c>
      <c r="N250" s="1">
        <v>22050000</v>
      </c>
      <c r="P250" t="s">
        <v>704</v>
      </c>
      <c r="Q250" s="1" t="e">
        <f t="shared" si="12"/>
        <v>#REF!</v>
      </c>
    </row>
    <row r="251" spans="1:17" x14ac:dyDescent="0.25">
      <c r="A251" t="s">
        <v>563</v>
      </c>
      <c r="B251" t="s">
        <v>13</v>
      </c>
      <c r="C251" s="12">
        <v>45917</v>
      </c>
      <c r="D251" s="12">
        <v>46022</v>
      </c>
      <c r="E251" t="s">
        <v>802</v>
      </c>
      <c r="F251" t="s">
        <v>14</v>
      </c>
      <c r="G251">
        <v>1085275879</v>
      </c>
      <c r="H251" t="s">
        <v>59</v>
      </c>
      <c r="I251">
        <v>98390119</v>
      </c>
      <c r="J251" t="s">
        <v>14</v>
      </c>
      <c r="K251" t="s">
        <v>63</v>
      </c>
      <c r="L251" s="1" t="e">
        <f>VLOOKUP(A251,#REF!,2,0)</f>
        <v>#REF!</v>
      </c>
      <c r="M251" s="1">
        <v>22050000</v>
      </c>
      <c r="N251" s="1">
        <v>22050000</v>
      </c>
      <c r="P251" t="s">
        <v>704</v>
      </c>
      <c r="Q251" s="1" t="e">
        <f t="shared" si="12"/>
        <v>#REF!</v>
      </c>
    </row>
    <row r="252" spans="1:17" x14ac:dyDescent="0.25">
      <c r="A252" t="s">
        <v>371</v>
      </c>
      <c r="B252" t="s">
        <v>13</v>
      </c>
      <c r="C252" s="12">
        <v>45938</v>
      </c>
      <c r="D252" s="12">
        <v>46022</v>
      </c>
      <c r="E252" t="s">
        <v>722</v>
      </c>
      <c r="F252" t="s">
        <v>14</v>
      </c>
      <c r="G252">
        <v>1123327071</v>
      </c>
      <c r="H252" t="s">
        <v>372</v>
      </c>
      <c r="I252">
        <v>43624414</v>
      </c>
      <c r="J252" t="s">
        <v>14</v>
      </c>
      <c r="K252" t="s">
        <v>18</v>
      </c>
      <c r="L252" s="1" t="e">
        <f>VLOOKUP(A252,#REF!,2,0)</f>
        <v>#REF!</v>
      </c>
      <c r="M252" s="1">
        <v>23400000</v>
      </c>
      <c r="N252" s="1">
        <v>23400000</v>
      </c>
      <c r="P252" t="s">
        <v>704</v>
      </c>
      <c r="Q252" s="1" t="e">
        <f t="shared" si="12"/>
        <v>#REF!</v>
      </c>
    </row>
    <row r="253" spans="1:17" x14ac:dyDescent="0.25">
      <c r="A253" t="s">
        <v>472</v>
      </c>
      <c r="B253" t="s">
        <v>13</v>
      </c>
      <c r="C253" s="12">
        <v>45930</v>
      </c>
      <c r="D253" s="12">
        <v>46022</v>
      </c>
      <c r="E253" t="s">
        <v>789</v>
      </c>
      <c r="F253" t="s">
        <v>14</v>
      </c>
      <c r="G253">
        <v>12961407</v>
      </c>
      <c r="H253" t="s">
        <v>473</v>
      </c>
      <c r="I253">
        <v>59836926</v>
      </c>
      <c r="J253" t="s">
        <v>14</v>
      </c>
      <c r="K253" t="s">
        <v>17</v>
      </c>
      <c r="L253" s="1" t="e">
        <f>VLOOKUP(A253,#REF!,2,0)</f>
        <v>#REF!</v>
      </c>
      <c r="M253" s="1">
        <v>23400000</v>
      </c>
      <c r="N253" s="1">
        <v>23400000</v>
      </c>
      <c r="P253" t="s">
        <v>704</v>
      </c>
      <c r="Q253" s="1" t="e">
        <f t="shared" si="12"/>
        <v>#REF!</v>
      </c>
    </row>
    <row r="254" spans="1:17" x14ac:dyDescent="0.25">
      <c r="A254" t="s">
        <v>613</v>
      </c>
      <c r="B254" t="s">
        <v>13</v>
      </c>
      <c r="C254" s="12">
        <v>45940</v>
      </c>
      <c r="D254" s="12">
        <v>46022</v>
      </c>
      <c r="E254" t="s">
        <v>809</v>
      </c>
      <c r="F254" t="s">
        <v>14</v>
      </c>
      <c r="G254">
        <v>59313415</v>
      </c>
      <c r="H254" t="s">
        <v>614</v>
      </c>
      <c r="I254">
        <v>98390119</v>
      </c>
      <c r="J254" t="s">
        <v>14</v>
      </c>
      <c r="K254" t="s">
        <v>63</v>
      </c>
      <c r="L254" s="1" t="e">
        <f>VLOOKUP(A254,#REF!,2,0)</f>
        <v>#REF!</v>
      </c>
      <c r="M254" s="1">
        <v>23400000</v>
      </c>
      <c r="N254" s="1">
        <v>23400000</v>
      </c>
      <c r="P254" t="s">
        <v>704</v>
      </c>
      <c r="Q254" s="1" t="e">
        <f t="shared" si="12"/>
        <v>#REF!</v>
      </c>
    </row>
    <row r="255" spans="1:17" x14ac:dyDescent="0.25">
      <c r="A255" t="s">
        <v>596</v>
      </c>
      <c r="B255" t="s">
        <v>13</v>
      </c>
      <c r="C255" s="12">
        <v>45911</v>
      </c>
      <c r="D255" s="12">
        <v>46022</v>
      </c>
      <c r="E255" t="s">
        <v>719</v>
      </c>
      <c r="F255" t="s">
        <v>14</v>
      </c>
      <c r="G255">
        <v>59825948</v>
      </c>
      <c r="H255" t="s">
        <v>34</v>
      </c>
      <c r="I255">
        <v>43624414</v>
      </c>
      <c r="J255" t="s">
        <v>14</v>
      </c>
      <c r="K255" t="s">
        <v>18</v>
      </c>
      <c r="L255" s="1" t="e">
        <f>VLOOKUP(A255,#REF!,2,0)</f>
        <v>#REF!</v>
      </c>
      <c r="M255" s="1">
        <v>25200000</v>
      </c>
      <c r="N255" s="1">
        <v>25200000</v>
      </c>
      <c r="P255" t="s">
        <v>704</v>
      </c>
      <c r="Q255" s="1" t="e">
        <f t="shared" si="12"/>
        <v>#REF!</v>
      </c>
    </row>
    <row r="256" spans="1:17" x14ac:dyDescent="0.25">
      <c r="A256" t="s">
        <v>125</v>
      </c>
      <c r="B256" t="s">
        <v>13</v>
      </c>
      <c r="C256" s="12">
        <v>45911</v>
      </c>
      <c r="D256" s="12">
        <v>46022</v>
      </c>
      <c r="E256" t="s">
        <v>719</v>
      </c>
      <c r="F256" t="s">
        <v>14</v>
      </c>
      <c r="G256">
        <v>1085347312</v>
      </c>
      <c r="H256" t="s">
        <v>126</v>
      </c>
      <c r="I256">
        <v>98333941</v>
      </c>
      <c r="J256" t="s">
        <v>14</v>
      </c>
      <c r="K256" t="s">
        <v>15</v>
      </c>
      <c r="L256" s="1" t="e">
        <f>VLOOKUP(A256,#REF!,2,0)</f>
        <v>#REF!</v>
      </c>
      <c r="M256" s="1">
        <v>25200000</v>
      </c>
      <c r="N256" s="1">
        <v>25200000</v>
      </c>
      <c r="P256" t="s">
        <v>704</v>
      </c>
      <c r="Q256" s="1" t="e">
        <f t="shared" si="12"/>
        <v>#REF!</v>
      </c>
    </row>
    <row r="257" spans="1:17" x14ac:dyDescent="0.25">
      <c r="A257" t="s">
        <v>667</v>
      </c>
      <c r="B257" t="s">
        <v>13</v>
      </c>
      <c r="C257" s="12">
        <v>45911</v>
      </c>
      <c r="D257" s="12">
        <v>46022</v>
      </c>
      <c r="E257" t="s">
        <v>719</v>
      </c>
      <c r="F257" t="s">
        <v>14</v>
      </c>
      <c r="G257">
        <v>1084551863</v>
      </c>
      <c r="H257" t="s">
        <v>668</v>
      </c>
      <c r="I257">
        <v>98333941</v>
      </c>
      <c r="J257" t="s">
        <v>14</v>
      </c>
      <c r="K257" t="s">
        <v>15</v>
      </c>
      <c r="L257" s="1" t="e">
        <f>VLOOKUP(A257,#REF!,2,0)</f>
        <v>#REF!</v>
      </c>
      <c r="M257" s="1">
        <v>25200000</v>
      </c>
      <c r="N257" s="1">
        <v>25200000</v>
      </c>
      <c r="P257" t="s">
        <v>704</v>
      </c>
      <c r="Q257" s="1" t="e">
        <f t="shared" si="12"/>
        <v>#REF!</v>
      </c>
    </row>
    <row r="258" spans="1:17" x14ac:dyDescent="0.25">
      <c r="A258" t="s">
        <v>476</v>
      </c>
      <c r="B258" t="s">
        <v>13</v>
      </c>
      <c r="C258" s="12">
        <v>45910</v>
      </c>
      <c r="D258" s="12">
        <v>46022</v>
      </c>
      <c r="E258" t="s">
        <v>719</v>
      </c>
      <c r="F258" t="s">
        <v>14</v>
      </c>
      <c r="G258">
        <v>97470681</v>
      </c>
      <c r="H258" t="s">
        <v>55</v>
      </c>
      <c r="I258">
        <v>98333941</v>
      </c>
      <c r="J258" t="s">
        <v>14</v>
      </c>
      <c r="K258" t="s">
        <v>15</v>
      </c>
      <c r="L258" s="1" t="e">
        <f>VLOOKUP(A258,#REF!,2,0)</f>
        <v>#REF!</v>
      </c>
      <c r="M258" s="1">
        <v>25200000</v>
      </c>
      <c r="N258" s="1">
        <v>25200000</v>
      </c>
      <c r="P258" t="s">
        <v>704</v>
      </c>
      <c r="Q258" s="1" t="e">
        <f t="shared" si="12"/>
        <v>#REF!</v>
      </c>
    </row>
    <row r="259" spans="1:17" x14ac:dyDescent="0.25">
      <c r="A259" t="s">
        <v>205</v>
      </c>
      <c r="B259" t="s">
        <v>13</v>
      </c>
      <c r="C259" s="12">
        <v>45910</v>
      </c>
      <c r="D259" s="12">
        <v>46022</v>
      </c>
      <c r="E259" t="s">
        <v>719</v>
      </c>
      <c r="F259" t="s">
        <v>14</v>
      </c>
      <c r="G259">
        <v>1082748420</v>
      </c>
      <c r="H259" t="s">
        <v>65</v>
      </c>
      <c r="I259">
        <v>98333941</v>
      </c>
      <c r="J259" t="s">
        <v>14</v>
      </c>
      <c r="K259" t="s">
        <v>15</v>
      </c>
      <c r="L259" s="1" t="e">
        <f>VLOOKUP(A259,#REF!,2,0)</f>
        <v>#REF!</v>
      </c>
      <c r="M259" s="1">
        <v>25200000</v>
      </c>
      <c r="N259" s="1">
        <v>25200000</v>
      </c>
      <c r="P259" t="s">
        <v>704</v>
      </c>
      <c r="Q259" s="1" t="e">
        <f t="shared" si="12"/>
        <v>#REF!</v>
      </c>
    </row>
    <row r="260" spans="1:17" x14ac:dyDescent="0.25">
      <c r="A260" t="s">
        <v>134</v>
      </c>
      <c r="B260" t="s">
        <v>13</v>
      </c>
      <c r="C260" s="12">
        <v>45909</v>
      </c>
      <c r="D260" s="12">
        <v>46022</v>
      </c>
      <c r="E260" t="s">
        <v>719</v>
      </c>
      <c r="F260" t="s">
        <v>14</v>
      </c>
      <c r="G260">
        <v>59310291</v>
      </c>
      <c r="H260" t="s">
        <v>135</v>
      </c>
      <c r="I260">
        <v>98333941</v>
      </c>
      <c r="J260" t="s">
        <v>14</v>
      </c>
      <c r="K260" t="s">
        <v>15</v>
      </c>
      <c r="L260" s="1" t="e">
        <f>VLOOKUP(A260,#REF!,2,0)</f>
        <v>#REF!</v>
      </c>
      <c r="M260" s="1">
        <v>25200000</v>
      </c>
      <c r="N260" s="1">
        <v>25200000</v>
      </c>
      <c r="P260" t="s">
        <v>704</v>
      </c>
      <c r="Q260" s="1" t="e">
        <f t="shared" si="12"/>
        <v>#REF!</v>
      </c>
    </row>
    <row r="261" spans="1:17" x14ac:dyDescent="0.25">
      <c r="A261" t="s">
        <v>411</v>
      </c>
      <c r="B261" t="s">
        <v>13</v>
      </c>
      <c r="C261" s="12">
        <v>45909</v>
      </c>
      <c r="D261" s="12">
        <v>46022</v>
      </c>
      <c r="E261" t="s">
        <v>719</v>
      </c>
      <c r="F261" t="s">
        <v>14</v>
      </c>
      <c r="G261">
        <v>1085272491</v>
      </c>
      <c r="H261" t="s">
        <v>412</v>
      </c>
      <c r="I261">
        <v>98390119</v>
      </c>
      <c r="J261" t="s">
        <v>14</v>
      </c>
      <c r="K261" t="s">
        <v>63</v>
      </c>
      <c r="L261" s="1" t="e">
        <f>VLOOKUP(A261,#REF!,2,0)</f>
        <v>#REF!</v>
      </c>
      <c r="M261" s="1">
        <v>25200000</v>
      </c>
      <c r="N261" s="1">
        <v>25200000</v>
      </c>
      <c r="P261" t="s">
        <v>704</v>
      </c>
      <c r="Q261" s="1" t="e">
        <f t="shared" si="12"/>
        <v>#REF!</v>
      </c>
    </row>
    <row r="262" spans="1:17" x14ac:dyDescent="0.25">
      <c r="A262" t="s">
        <v>260</v>
      </c>
      <c r="B262" t="s">
        <v>13</v>
      </c>
      <c r="C262" s="12">
        <v>45908</v>
      </c>
      <c r="D262" s="12">
        <v>46022</v>
      </c>
      <c r="E262" t="s">
        <v>719</v>
      </c>
      <c r="F262" t="s">
        <v>14</v>
      </c>
      <c r="G262">
        <v>1053793750</v>
      </c>
      <c r="H262" t="s">
        <v>261</v>
      </c>
      <c r="I262">
        <v>98333941</v>
      </c>
      <c r="J262" t="s">
        <v>14</v>
      </c>
      <c r="K262" t="s">
        <v>15</v>
      </c>
      <c r="L262" s="1" t="e">
        <f>VLOOKUP(A262,#REF!,2,0)</f>
        <v>#REF!</v>
      </c>
      <c r="M262" s="1">
        <v>25200000</v>
      </c>
      <c r="N262" s="1">
        <v>25200000</v>
      </c>
      <c r="P262" t="s">
        <v>704</v>
      </c>
      <c r="Q262" s="1" t="e">
        <f t="shared" si="12"/>
        <v>#REF!</v>
      </c>
    </row>
    <row r="263" spans="1:17" x14ac:dyDescent="0.25">
      <c r="A263" t="s">
        <v>192</v>
      </c>
      <c r="B263" t="s">
        <v>13</v>
      </c>
      <c r="C263" s="12">
        <v>45908</v>
      </c>
      <c r="D263" s="12">
        <v>46022</v>
      </c>
      <c r="E263" t="s">
        <v>719</v>
      </c>
      <c r="F263" t="s">
        <v>14</v>
      </c>
      <c r="G263">
        <v>27146489</v>
      </c>
      <c r="H263" t="s">
        <v>193</v>
      </c>
      <c r="I263">
        <v>98390119</v>
      </c>
      <c r="J263" t="s">
        <v>14</v>
      </c>
      <c r="K263" t="s">
        <v>63</v>
      </c>
      <c r="L263" s="1" t="e">
        <f>VLOOKUP(A263,#REF!,2,0)</f>
        <v>#REF!</v>
      </c>
      <c r="M263" s="1">
        <v>25200000</v>
      </c>
      <c r="N263" s="1">
        <v>25200000</v>
      </c>
      <c r="P263" t="s">
        <v>704</v>
      </c>
      <c r="Q263" s="1" t="e">
        <f t="shared" si="12"/>
        <v>#REF!</v>
      </c>
    </row>
    <row r="264" spans="1:17" x14ac:dyDescent="0.25">
      <c r="A264" t="s">
        <v>180</v>
      </c>
      <c r="B264" t="s">
        <v>13</v>
      </c>
      <c r="C264" s="12">
        <v>45908</v>
      </c>
      <c r="D264" s="12">
        <v>46022</v>
      </c>
      <c r="E264" t="s">
        <v>719</v>
      </c>
      <c r="F264" t="s">
        <v>14</v>
      </c>
      <c r="G264">
        <v>59836480</v>
      </c>
      <c r="H264" t="s">
        <v>181</v>
      </c>
      <c r="I264">
        <v>43624414</v>
      </c>
      <c r="J264" t="s">
        <v>14</v>
      </c>
      <c r="K264" t="s">
        <v>18</v>
      </c>
      <c r="L264" s="1" t="e">
        <f>VLOOKUP(A264,#REF!,2,0)</f>
        <v>#REF!</v>
      </c>
      <c r="M264" s="1">
        <v>25200000</v>
      </c>
      <c r="N264" s="1">
        <v>25200000</v>
      </c>
      <c r="P264" t="s">
        <v>704</v>
      </c>
      <c r="Q264" s="1" t="e">
        <f t="shared" si="12"/>
        <v>#REF!</v>
      </c>
    </row>
    <row r="265" spans="1:17" x14ac:dyDescent="0.25">
      <c r="A265" t="s">
        <v>378</v>
      </c>
      <c r="B265" t="s">
        <v>13</v>
      </c>
      <c r="C265" s="12">
        <v>45908</v>
      </c>
      <c r="D265" s="12">
        <v>46022</v>
      </c>
      <c r="E265" t="s">
        <v>766</v>
      </c>
      <c r="F265" t="s">
        <v>14</v>
      </c>
      <c r="G265">
        <v>1010010954</v>
      </c>
      <c r="H265" t="s">
        <v>379</v>
      </c>
      <c r="I265">
        <v>43624414</v>
      </c>
      <c r="J265" t="s">
        <v>14</v>
      </c>
      <c r="K265" t="s">
        <v>18</v>
      </c>
      <c r="L265" s="1" t="e">
        <f>VLOOKUP(A265,#REF!,2,0)</f>
        <v>#REF!</v>
      </c>
      <c r="M265" s="1">
        <v>25200000</v>
      </c>
      <c r="N265" s="1">
        <v>25200000</v>
      </c>
      <c r="P265" t="s">
        <v>704</v>
      </c>
      <c r="Q265" s="1" t="e">
        <f t="shared" si="12"/>
        <v>#REF!</v>
      </c>
    </row>
    <row r="266" spans="1:17" x14ac:dyDescent="0.25">
      <c r="A266" t="s">
        <v>526</v>
      </c>
      <c r="B266" t="s">
        <v>13</v>
      </c>
      <c r="C266" s="12">
        <v>45905</v>
      </c>
      <c r="D266" s="12">
        <v>46022</v>
      </c>
      <c r="E266" t="s">
        <v>754</v>
      </c>
      <c r="F266" t="s">
        <v>14</v>
      </c>
      <c r="G266">
        <v>1085299577</v>
      </c>
      <c r="H266" t="s">
        <v>527</v>
      </c>
      <c r="I266">
        <v>98390119</v>
      </c>
      <c r="J266" t="s">
        <v>14</v>
      </c>
      <c r="K266" t="s">
        <v>63</v>
      </c>
      <c r="L266" s="1" t="e">
        <f>VLOOKUP(A266,#REF!,2,0)</f>
        <v>#REF!</v>
      </c>
      <c r="M266" s="1">
        <v>25200000</v>
      </c>
      <c r="N266" s="1">
        <v>25200000</v>
      </c>
      <c r="P266" t="s">
        <v>704</v>
      </c>
      <c r="Q266" s="1" t="e">
        <f t="shared" si="12"/>
        <v>#REF!</v>
      </c>
    </row>
    <row r="267" spans="1:17" x14ac:dyDescent="0.25">
      <c r="A267" t="s">
        <v>402</v>
      </c>
      <c r="B267" t="s">
        <v>13</v>
      </c>
      <c r="C267" s="12">
        <v>45905</v>
      </c>
      <c r="D267" s="12">
        <v>46022</v>
      </c>
      <c r="E267" t="s">
        <v>754</v>
      </c>
      <c r="F267" t="s">
        <v>14</v>
      </c>
      <c r="G267">
        <v>1084228089</v>
      </c>
      <c r="H267" t="s">
        <v>403</v>
      </c>
      <c r="I267">
        <v>98333941</v>
      </c>
      <c r="J267" t="s">
        <v>14</v>
      </c>
      <c r="K267" t="s">
        <v>15</v>
      </c>
      <c r="L267" s="1" t="e">
        <f>VLOOKUP(A267,#REF!,2,0)</f>
        <v>#REF!</v>
      </c>
      <c r="M267" s="1">
        <v>25200000</v>
      </c>
      <c r="N267" s="1">
        <v>25200000</v>
      </c>
      <c r="P267" t="s">
        <v>704</v>
      </c>
      <c r="Q267" s="1" t="e">
        <f t="shared" si="12"/>
        <v>#REF!</v>
      </c>
    </row>
    <row r="268" spans="1:17" x14ac:dyDescent="0.25">
      <c r="A268" t="s">
        <v>499</v>
      </c>
      <c r="B268" t="s">
        <v>13</v>
      </c>
      <c r="C268" s="12">
        <v>45905</v>
      </c>
      <c r="D268" s="12">
        <v>46022</v>
      </c>
      <c r="E268" t="s">
        <v>745</v>
      </c>
      <c r="F268" t="s">
        <v>14</v>
      </c>
      <c r="G268">
        <v>1085286476</v>
      </c>
      <c r="H268" t="s">
        <v>500</v>
      </c>
      <c r="I268">
        <v>59836926</v>
      </c>
      <c r="J268" t="s">
        <v>14</v>
      </c>
      <c r="K268" t="s">
        <v>17</v>
      </c>
      <c r="L268" s="1" t="e">
        <f>VLOOKUP(A268,#REF!,2,0)</f>
        <v>#REF!</v>
      </c>
      <c r="M268" s="1">
        <v>25200000</v>
      </c>
      <c r="N268" s="1">
        <v>25200000</v>
      </c>
      <c r="P268" t="s">
        <v>704</v>
      </c>
      <c r="Q268" s="1" t="e">
        <f t="shared" si="12"/>
        <v>#REF!</v>
      </c>
    </row>
    <row r="269" spans="1:17" x14ac:dyDescent="0.25">
      <c r="A269" t="s">
        <v>680</v>
      </c>
      <c r="B269" t="s">
        <v>13</v>
      </c>
      <c r="C269" s="12">
        <v>45904</v>
      </c>
      <c r="D269" s="12">
        <v>46022</v>
      </c>
      <c r="E269" t="s">
        <v>823</v>
      </c>
      <c r="F269" t="s">
        <v>14</v>
      </c>
      <c r="G269">
        <v>1085277976</v>
      </c>
      <c r="H269" t="s">
        <v>681</v>
      </c>
      <c r="I269">
        <v>43624414</v>
      </c>
      <c r="J269" t="s">
        <v>14</v>
      </c>
      <c r="K269" t="s">
        <v>18</v>
      </c>
      <c r="L269" s="1" t="e">
        <f>VLOOKUP(A269,#REF!,2,0)</f>
        <v>#REF!</v>
      </c>
      <c r="M269" s="1">
        <v>25200000</v>
      </c>
      <c r="N269" s="1">
        <v>25200000</v>
      </c>
      <c r="P269" t="s">
        <v>704</v>
      </c>
      <c r="Q269" s="1" t="e">
        <f t="shared" si="12"/>
        <v>#REF!</v>
      </c>
    </row>
    <row r="270" spans="1:17" x14ac:dyDescent="0.25">
      <c r="A270" t="s">
        <v>413</v>
      </c>
      <c r="B270" t="s">
        <v>13</v>
      </c>
      <c r="C270" s="12">
        <v>45904</v>
      </c>
      <c r="D270" s="12">
        <v>46022</v>
      </c>
      <c r="E270" t="s">
        <v>777</v>
      </c>
      <c r="F270" t="s">
        <v>14</v>
      </c>
      <c r="G270">
        <v>1085283868</v>
      </c>
      <c r="H270" t="s">
        <v>414</v>
      </c>
      <c r="I270">
        <v>43624414</v>
      </c>
      <c r="J270" t="s">
        <v>14</v>
      </c>
      <c r="K270" t="s">
        <v>18</v>
      </c>
      <c r="L270" s="1" t="e">
        <f>VLOOKUP(A270,#REF!,2,0)</f>
        <v>#REF!</v>
      </c>
      <c r="M270" s="1">
        <v>25200000</v>
      </c>
      <c r="N270" s="1">
        <v>25200000</v>
      </c>
      <c r="P270" t="s">
        <v>704</v>
      </c>
      <c r="Q270" s="1" t="e">
        <f t="shared" si="12"/>
        <v>#REF!</v>
      </c>
    </row>
    <row r="271" spans="1:17" x14ac:dyDescent="0.25">
      <c r="A271" t="s">
        <v>553</v>
      </c>
      <c r="B271" t="s">
        <v>13</v>
      </c>
      <c r="C271" s="12">
        <v>45904</v>
      </c>
      <c r="D271" s="12">
        <v>46022</v>
      </c>
      <c r="E271" t="s">
        <v>777</v>
      </c>
      <c r="F271" t="s">
        <v>14</v>
      </c>
      <c r="G271">
        <v>1085296068</v>
      </c>
      <c r="H271" t="s">
        <v>554</v>
      </c>
      <c r="I271">
        <v>98333941</v>
      </c>
      <c r="J271" t="s">
        <v>14</v>
      </c>
      <c r="K271" t="s">
        <v>15</v>
      </c>
      <c r="L271" s="1" t="e">
        <f>VLOOKUP(A271,#REF!,2,0)</f>
        <v>#REF!</v>
      </c>
      <c r="M271" s="1">
        <v>25200000</v>
      </c>
      <c r="N271" s="1">
        <v>25200000</v>
      </c>
      <c r="P271" t="s">
        <v>704</v>
      </c>
      <c r="Q271" s="1" t="e">
        <f t="shared" si="12"/>
        <v>#REF!</v>
      </c>
    </row>
    <row r="272" spans="1:17" x14ac:dyDescent="0.25">
      <c r="A272" t="s">
        <v>583</v>
      </c>
      <c r="B272" t="s">
        <v>13</v>
      </c>
      <c r="C272" s="12">
        <v>45903</v>
      </c>
      <c r="D272" s="12">
        <v>46022</v>
      </c>
      <c r="E272" t="s">
        <v>777</v>
      </c>
      <c r="F272" t="s">
        <v>14</v>
      </c>
      <c r="G272">
        <v>59820414</v>
      </c>
      <c r="H272" t="s">
        <v>584</v>
      </c>
      <c r="I272">
        <v>43624414</v>
      </c>
      <c r="J272" t="s">
        <v>14</v>
      </c>
      <c r="K272" t="s">
        <v>18</v>
      </c>
      <c r="L272" s="1" t="e">
        <f>VLOOKUP(A272,#REF!,2,0)</f>
        <v>#REF!</v>
      </c>
      <c r="M272" s="1">
        <v>25200000</v>
      </c>
      <c r="N272" s="1">
        <v>25200000</v>
      </c>
      <c r="P272" t="s">
        <v>704</v>
      </c>
      <c r="Q272" s="1" t="e">
        <f t="shared" ref="Q272:Q303" si="13">N272-L272</f>
        <v>#REF!</v>
      </c>
    </row>
    <row r="273" spans="1:17" x14ac:dyDescent="0.25">
      <c r="A273" t="s">
        <v>357</v>
      </c>
      <c r="B273" t="s">
        <v>13</v>
      </c>
      <c r="C273" s="12">
        <v>45925</v>
      </c>
      <c r="D273" s="12">
        <v>46022</v>
      </c>
      <c r="E273" t="s">
        <v>722</v>
      </c>
      <c r="F273" t="s">
        <v>14</v>
      </c>
      <c r="G273">
        <v>1233188295</v>
      </c>
      <c r="H273" t="s">
        <v>358</v>
      </c>
      <c r="I273">
        <v>98390119</v>
      </c>
      <c r="J273" t="s">
        <v>14</v>
      </c>
      <c r="K273" t="s">
        <v>63</v>
      </c>
      <c r="L273" s="1" t="e">
        <f>VLOOKUP(A273,#REF!,2,0)</f>
        <v>#REF!</v>
      </c>
      <c r="M273" s="1">
        <v>27300000</v>
      </c>
      <c r="N273" s="1">
        <v>27300000</v>
      </c>
      <c r="P273" t="s">
        <v>704</v>
      </c>
      <c r="Q273" s="1" t="e">
        <f t="shared" si="13"/>
        <v>#REF!</v>
      </c>
    </row>
    <row r="274" spans="1:17" x14ac:dyDescent="0.25">
      <c r="A274" t="s">
        <v>279</v>
      </c>
      <c r="B274" t="s">
        <v>13</v>
      </c>
      <c r="C274" s="12">
        <v>45925</v>
      </c>
      <c r="D274" s="12">
        <v>46022</v>
      </c>
      <c r="E274" t="s">
        <v>722</v>
      </c>
      <c r="F274" t="s">
        <v>14</v>
      </c>
      <c r="G274">
        <v>1144172704</v>
      </c>
      <c r="H274" t="s">
        <v>280</v>
      </c>
      <c r="I274">
        <v>43624414</v>
      </c>
      <c r="J274" t="s">
        <v>14</v>
      </c>
      <c r="K274" t="s">
        <v>18</v>
      </c>
      <c r="L274" s="1" t="e">
        <f>VLOOKUP(A274,#REF!,2,0)</f>
        <v>#REF!</v>
      </c>
      <c r="M274" s="1">
        <v>27300000</v>
      </c>
      <c r="N274" s="1">
        <v>27300000</v>
      </c>
      <c r="P274" t="s">
        <v>704</v>
      </c>
      <c r="Q274" s="1" t="e">
        <f t="shared" si="13"/>
        <v>#REF!</v>
      </c>
    </row>
    <row r="275" spans="1:17" x14ac:dyDescent="0.25">
      <c r="A275" t="s">
        <v>102</v>
      </c>
      <c r="B275" t="s">
        <v>13</v>
      </c>
      <c r="C275" s="12">
        <v>45923</v>
      </c>
      <c r="D275" s="12">
        <v>46022</v>
      </c>
      <c r="E275" t="s">
        <v>713</v>
      </c>
      <c r="F275" t="s">
        <v>14</v>
      </c>
      <c r="G275">
        <v>1089846684</v>
      </c>
      <c r="H275" t="s">
        <v>103</v>
      </c>
      <c r="I275">
        <v>98390119</v>
      </c>
      <c r="J275" t="s">
        <v>14</v>
      </c>
      <c r="K275" t="s">
        <v>63</v>
      </c>
      <c r="L275" s="1" t="e">
        <f>VLOOKUP(A275,#REF!,2,0)</f>
        <v>#REF!</v>
      </c>
      <c r="M275" s="1">
        <v>27300000</v>
      </c>
      <c r="N275" s="1">
        <v>27300000</v>
      </c>
      <c r="P275" t="s">
        <v>704</v>
      </c>
      <c r="Q275" s="1" t="e">
        <f t="shared" si="13"/>
        <v>#REF!</v>
      </c>
    </row>
    <row r="276" spans="1:17" x14ac:dyDescent="0.25">
      <c r="A276" t="s">
        <v>363</v>
      </c>
      <c r="B276" t="s">
        <v>13</v>
      </c>
      <c r="C276" s="12">
        <v>45922</v>
      </c>
      <c r="D276" s="12">
        <v>46022</v>
      </c>
      <c r="E276" t="s">
        <v>749</v>
      </c>
      <c r="F276" t="s">
        <v>14</v>
      </c>
      <c r="G276">
        <v>1085274300</v>
      </c>
      <c r="H276" t="s">
        <v>364</v>
      </c>
      <c r="I276">
        <v>98390119</v>
      </c>
      <c r="J276" t="s">
        <v>14</v>
      </c>
      <c r="K276" t="s">
        <v>63</v>
      </c>
      <c r="L276" s="1" t="e">
        <f>VLOOKUP(A276,#REF!,2,0)</f>
        <v>#REF!</v>
      </c>
      <c r="M276" s="1">
        <v>27300000</v>
      </c>
      <c r="N276" s="1">
        <v>27300000</v>
      </c>
      <c r="P276" t="s">
        <v>704</v>
      </c>
      <c r="Q276" s="1" t="e">
        <f t="shared" si="13"/>
        <v>#REF!</v>
      </c>
    </row>
    <row r="277" spans="1:17" x14ac:dyDescent="0.25">
      <c r="A277" t="s">
        <v>152</v>
      </c>
      <c r="B277" t="s">
        <v>13</v>
      </c>
      <c r="C277" s="12">
        <v>45919</v>
      </c>
      <c r="D277" s="12">
        <v>46022</v>
      </c>
      <c r="E277" t="s">
        <v>722</v>
      </c>
      <c r="F277" t="s">
        <v>14</v>
      </c>
      <c r="G277">
        <v>1087645723</v>
      </c>
      <c r="H277" t="s">
        <v>153</v>
      </c>
      <c r="I277">
        <v>98390119</v>
      </c>
      <c r="J277" t="s">
        <v>14</v>
      </c>
      <c r="K277" t="s">
        <v>63</v>
      </c>
      <c r="L277" s="1" t="e">
        <f>VLOOKUP(A277,#REF!,2,0)</f>
        <v>#REF!</v>
      </c>
      <c r="M277" s="1">
        <v>27300000</v>
      </c>
      <c r="N277" s="1">
        <v>27300000</v>
      </c>
      <c r="P277" t="s">
        <v>704</v>
      </c>
      <c r="Q277" s="1" t="e">
        <f t="shared" si="13"/>
        <v>#REF!</v>
      </c>
    </row>
    <row r="278" spans="1:17" x14ac:dyDescent="0.25">
      <c r="A278" t="s">
        <v>245</v>
      </c>
      <c r="B278" t="s">
        <v>13</v>
      </c>
      <c r="C278" s="12">
        <v>45919</v>
      </c>
      <c r="D278" s="12">
        <v>46022</v>
      </c>
      <c r="E278" t="s">
        <v>749</v>
      </c>
      <c r="F278" t="s">
        <v>14</v>
      </c>
      <c r="G278">
        <v>1110594073</v>
      </c>
      <c r="H278" t="s">
        <v>246</v>
      </c>
      <c r="I278">
        <v>98390119</v>
      </c>
      <c r="J278" t="s">
        <v>14</v>
      </c>
      <c r="K278" t="s">
        <v>63</v>
      </c>
      <c r="L278" s="1" t="e">
        <f>VLOOKUP(A278,#REF!,2,0)</f>
        <v>#REF!</v>
      </c>
      <c r="M278" s="1">
        <v>27300000</v>
      </c>
      <c r="N278" s="1">
        <v>27300000</v>
      </c>
      <c r="P278" t="s">
        <v>704</v>
      </c>
      <c r="Q278" s="1" t="e">
        <f t="shared" si="13"/>
        <v>#REF!</v>
      </c>
    </row>
    <row r="279" spans="1:17" x14ac:dyDescent="0.25">
      <c r="A279" t="s">
        <v>337</v>
      </c>
      <c r="B279" t="s">
        <v>13</v>
      </c>
      <c r="C279" s="12">
        <v>45917</v>
      </c>
      <c r="D279" s="12">
        <v>46022</v>
      </c>
      <c r="E279" t="s">
        <v>749</v>
      </c>
      <c r="F279" t="s">
        <v>14</v>
      </c>
      <c r="G279">
        <v>1233193769</v>
      </c>
      <c r="H279" t="s">
        <v>338</v>
      </c>
      <c r="I279">
        <v>98390119</v>
      </c>
      <c r="J279" t="s">
        <v>14</v>
      </c>
      <c r="K279" t="s">
        <v>63</v>
      </c>
      <c r="L279" s="1" t="e">
        <f>VLOOKUP(A279,#REF!,2,0)</f>
        <v>#REF!</v>
      </c>
      <c r="M279" s="1">
        <v>27300000</v>
      </c>
      <c r="N279" s="1">
        <v>27300000</v>
      </c>
      <c r="P279" t="s">
        <v>704</v>
      </c>
      <c r="Q279" s="1" t="e">
        <f t="shared" si="13"/>
        <v>#REF!</v>
      </c>
    </row>
    <row r="280" spans="1:17" x14ac:dyDescent="0.25">
      <c r="A280" t="s">
        <v>113</v>
      </c>
      <c r="B280" t="s">
        <v>13</v>
      </c>
      <c r="C280" s="12">
        <v>45915</v>
      </c>
      <c r="D280" s="12">
        <v>46022</v>
      </c>
      <c r="E280" t="s">
        <v>710</v>
      </c>
      <c r="F280" t="s">
        <v>14</v>
      </c>
      <c r="G280">
        <v>1086361969</v>
      </c>
      <c r="H280" t="s">
        <v>114</v>
      </c>
      <c r="I280">
        <v>98333941</v>
      </c>
      <c r="J280" t="s">
        <v>14</v>
      </c>
      <c r="K280" t="s">
        <v>15</v>
      </c>
      <c r="L280" s="1" t="e">
        <f>VLOOKUP(A280,#REF!,2,0)</f>
        <v>#REF!</v>
      </c>
      <c r="M280" s="1">
        <v>31200000</v>
      </c>
      <c r="N280" s="1">
        <v>31200000</v>
      </c>
      <c r="P280" t="s">
        <v>704</v>
      </c>
      <c r="Q280" s="1" t="e">
        <f t="shared" si="13"/>
        <v>#REF!</v>
      </c>
    </row>
    <row r="281" spans="1:17" x14ac:dyDescent="0.25">
      <c r="A281" t="s">
        <v>324</v>
      </c>
      <c r="B281" t="s">
        <v>13</v>
      </c>
      <c r="C281" s="12">
        <v>45912</v>
      </c>
      <c r="D281" s="12">
        <v>46022</v>
      </c>
      <c r="E281" t="s">
        <v>710</v>
      </c>
      <c r="F281" t="s">
        <v>14</v>
      </c>
      <c r="G281">
        <v>1089483067</v>
      </c>
      <c r="H281" t="s">
        <v>325</v>
      </c>
      <c r="I281">
        <v>43624414</v>
      </c>
      <c r="J281" t="s">
        <v>14</v>
      </c>
      <c r="K281" t="s">
        <v>18</v>
      </c>
      <c r="L281" s="1" t="e">
        <f>VLOOKUP(A281,#REF!,2,0)</f>
        <v>#REF!</v>
      </c>
      <c r="M281" s="1">
        <v>31200000</v>
      </c>
      <c r="N281" s="1">
        <v>31200000</v>
      </c>
      <c r="P281" t="s">
        <v>704</v>
      </c>
      <c r="Q281" s="1" t="e">
        <f t="shared" si="13"/>
        <v>#REF!</v>
      </c>
    </row>
    <row r="282" spans="1:17" x14ac:dyDescent="0.25">
      <c r="A282" t="s">
        <v>465</v>
      </c>
      <c r="B282" t="s">
        <v>13</v>
      </c>
      <c r="C282" s="12">
        <v>45909</v>
      </c>
      <c r="D282" s="12">
        <v>46022</v>
      </c>
      <c r="E282" t="s">
        <v>710</v>
      </c>
      <c r="F282" t="s">
        <v>14</v>
      </c>
      <c r="G282">
        <v>1233189066</v>
      </c>
      <c r="H282" t="s">
        <v>466</v>
      </c>
      <c r="I282">
        <v>98390119</v>
      </c>
      <c r="J282" t="s">
        <v>14</v>
      </c>
      <c r="K282" t="s">
        <v>63</v>
      </c>
      <c r="L282" s="1" t="e">
        <f>VLOOKUP(A282,#REF!,2,0)</f>
        <v>#REF!</v>
      </c>
      <c r="M282" s="1">
        <v>31200000</v>
      </c>
      <c r="N282" s="1">
        <v>31200000</v>
      </c>
      <c r="P282" t="s">
        <v>704</v>
      </c>
      <c r="Q282" s="1" t="e">
        <f t="shared" si="13"/>
        <v>#REF!</v>
      </c>
    </row>
    <row r="283" spans="1:17" x14ac:dyDescent="0.25">
      <c r="A283" t="s">
        <v>326</v>
      </c>
      <c r="B283" t="s">
        <v>13</v>
      </c>
      <c r="C283" s="12">
        <v>45909</v>
      </c>
      <c r="D283" s="12">
        <v>46022</v>
      </c>
      <c r="E283" t="s">
        <v>710</v>
      </c>
      <c r="F283" t="s">
        <v>14</v>
      </c>
      <c r="G283">
        <v>1084552063</v>
      </c>
      <c r="H283" t="s">
        <v>327</v>
      </c>
      <c r="I283">
        <v>98333941</v>
      </c>
      <c r="J283" t="s">
        <v>14</v>
      </c>
      <c r="K283" t="s">
        <v>15</v>
      </c>
      <c r="L283" s="1" t="e">
        <f>VLOOKUP(A283,#REF!,2,0)</f>
        <v>#REF!</v>
      </c>
      <c r="M283" s="1">
        <v>31200000</v>
      </c>
      <c r="N283" s="1">
        <v>31200000</v>
      </c>
      <c r="P283" t="s">
        <v>704</v>
      </c>
      <c r="Q283" s="1" t="e">
        <f t="shared" si="13"/>
        <v>#REF!</v>
      </c>
    </row>
    <row r="284" spans="1:17" x14ac:dyDescent="0.25">
      <c r="A284" t="s">
        <v>399</v>
      </c>
      <c r="B284" t="s">
        <v>13</v>
      </c>
      <c r="C284" s="12">
        <v>45909</v>
      </c>
      <c r="D284" s="12">
        <v>46022</v>
      </c>
      <c r="E284" t="s">
        <v>710</v>
      </c>
      <c r="F284" t="s">
        <v>14</v>
      </c>
      <c r="G284">
        <v>37087120</v>
      </c>
      <c r="H284" t="s">
        <v>51</v>
      </c>
      <c r="I284">
        <v>98333941</v>
      </c>
      <c r="J284" t="s">
        <v>14</v>
      </c>
      <c r="K284" t="s">
        <v>15</v>
      </c>
      <c r="L284" s="1" t="e">
        <f>VLOOKUP(A284,#REF!,2,0)</f>
        <v>#REF!</v>
      </c>
      <c r="M284" s="1">
        <v>31200000</v>
      </c>
      <c r="N284" s="1">
        <v>31200000</v>
      </c>
      <c r="P284" t="s">
        <v>704</v>
      </c>
      <c r="Q284" s="1" t="e">
        <f t="shared" si="13"/>
        <v>#REF!</v>
      </c>
    </row>
    <row r="285" spans="1:17" x14ac:dyDescent="0.25">
      <c r="A285" t="s">
        <v>515</v>
      </c>
      <c r="B285" t="s">
        <v>13</v>
      </c>
      <c r="C285" s="12">
        <v>45908</v>
      </c>
      <c r="D285" s="12">
        <v>46022</v>
      </c>
      <c r="E285" t="s">
        <v>710</v>
      </c>
      <c r="F285" t="s">
        <v>14</v>
      </c>
      <c r="G285">
        <v>1233192708</v>
      </c>
      <c r="H285" t="s">
        <v>516</v>
      </c>
      <c r="I285">
        <v>43624414</v>
      </c>
      <c r="J285" t="s">
        <v>14</v>
      </c>
      <c r="K285" t="s">
        <v>18</v>
      </c>
      <c r="L285" s="1" t="e">
        <f>VLOOKUP(A285,#REF!,2,0)</f>
        <v>#REF!</v>
      </c>
      <c r="M285" s="1">
        <v>31200000</v>
      </c>
      <c r="N285" s="1">
        <v>31200000</v>
      </c>
      <c r="P285" t="s">
        <v>704</v>
      </c>
      <c r="Q285" s="1" t="e">
        <f t="shared" si="13"/>
        <v>#REF!</v>
      </c>
    </row>
    <row r="286" spans="1:17" x14ac:dyDescent="0.25">
      <c r="A286" t="s">
        <v>474</v>
      </c>
      <c r="B286" t="s">
        <v>13</v>
      </c>
      <c r="C286" s="12">
        <v>45908</v>
      </c>
      <c r="D286" s="12">
        <v>46022</v>
      </c>
      <c r="E286" t="s">
        <v>710</v>
      </c>
      <c r="F286" t="s">
        <v>14</v>
      </c>
      <c r="G286">
        <v>80765093</v>
      </c>
      <c r="H286" t="s">
        <v>20</v>
      </c>
      <c r="I286">
        <v>59836926</v>
      </c>
      <c r="J286" t="s">
        <v>14</v>
      </c>
      <c r="K286" t="s">
        <v>17</v>
      </c>
      <c r="L286" s="1" t="e">
        <f>VLOOKUP(A286,#REF!,2,0)</f>
        <v>#REF!</v>
      </c>
      <c r="M286" s="1">
        <v>31200000</v>
      </c>
      <c r="N286" s="1">
        <v>31200000</v>
      </c>
      <c r="P286" t="s">
        <v>704</v>
      </c>
      <c r="Q286" s="1" t="e">
        <f t="shared" si="13"/>
        <v>#REF!</v>
      </c>
    </row>
    <row r="287" spans="1:17" x14ac:dyDescent="0.25">
      <c r="A287" t="s">
        <v>589</v>
      </c>
      <c r="B287" t="s">
        <v>13</v>
      </c>
      <c r="C287" s="12">
        <v>45908</v>
      </c>
      <c r="D287" s="12">
        <v>46022</v>
      </c>
      <c r="E287" t="s">
        <v>710</v>
      </c>
      <c r="F287" t="s">
        <v>14</v>
      </c>
      <c r="G287">
        <v>1083814276</v>
      </c>
      <c r="H287" t="s">
        <v>590</v>
      </c>
      <c r="I287">
        <v>98333941</v>
      </c>
      <c r="J287" t="s">
        <v>14</v>
      </c>
      <c r="K287" t="s">
        <v>15</v>
      </c>
      <c r="L287" s="1" t="e">
        <f>VLOOKUP(A287,#REF!,2,0)</f>
        <v>#REF!</v>
      </c>
      <c r="M287" s="1">
        <v>31200000</v>
      </c>
      <c r="N287" s="1">
        <v>31200000</v>
      </c>
      <c r="P287" t="s">
        <v>704</v>
      </c>
      <c r="Q287" s="1" t="e">
        <f t="shared" si="13"/>
        <v>#REF!</v>
      </c>
    </row>
    <row r="288" spans="1:17" x14ac:dyDescent="0.25">
      <c r="A288" t="s">
        <v>365</v>
      </c>
      <c r="B288" t="s">
        <v>13</v>
      </c>
      <c r="C288" s="12">
        <v>45905</v>
      </c>
      <c r="D288" s="12">
        <v>46022</v>
      </c>
      <c r="E288" t="s">
        <v>722</v>
      </c>
      <c r="F288" t="s">
        <v>14</v>
      </c>
      <c r="G288">
        <v>1022426162</v>
      </c>
      <c r="H288" t="s">
        <v>366</v>
      </c>
      <c r="I288">
        <v>98333941</v>
      </c>
      <c r="J288" t="s">
        <v>14</v>
      </c>
      <c r="K288" t="s">
        <v>15</v>
      </c>
      <c r="L288" s="1" t="e">
        <f>VLOOKUP(A288,#REF!,2,0)</f>
        <v>#REF!</v>
      </c>
      <c r="M288" s="1">
        <v>31200000</v>
      </c>
      <c r="N288" s="1">
        <v>31200000</v>
      </c>
      <c r="P288" t="s">
        <v>704</v>
      </c>
      <c r="Q288" s="1" t="e">
        <f t="shared" si="13"/>
        <v>#REF!</v>
      </c>
    </row>
    <row r="289" spans="1:18" x14ac:dyDescent="0.25">
      <c r="A289" t="s">
        <v>564</v>
      </c>
      <c r="B289" t="s">
        <v>13</v>
      </c>
      <c r="C289" s="12">
        <v>45905</v>
      </c>
      <c r="D289" s="12">
        <v>46022</v>
      </c>
      <c r="E289" t="s">
        <v>749</v>
      </c>
      <c r="F289" t="s">
        <v>14</v>
      </c>
      <c r="G289">
        <v>1088734182</v>
      </c>
      <c r="H289" t="s">
        <v>565</v>
      </c>
      <c r="I289">
        <v>98333941</v>
      </c>
      <c r="J289" t="s">
        <v>14</v>
      </c>
      <c r="K289" t="s">
        <v>15</v>
      </c>
      <c r="L289" s="1" t="e">
        <f>VLOOKUP(A289,#REF!,2,0)</f>
        <v>#REF!</v>
      </c>
      <c r="M289" s="1">
        <v>31200000</v>
      </c>
      <c r="N289" s="1">
        <v>31200000</v>
      </c>
      <c r="P289" t="s">
        <v>704</v>
      </c>
      <c r="Q289" s="1" t="e">
        <f t="shared" si="13"/>
        <v>#REF!</v>
      </c>
    </row>
    <row r="290" spans="1:18" x14ac:dyDescent="0.25">
      <c r="A290" t="s">
        <v>630</v>
      </c>
      <c r="B290" t="s">
        <v>13</v>
      </c>
      <c r="C290" s="12">
        <v>45905</v>
      </c>
      <c r="D290" s="12">
        <v>46022</v>
      </c>
      <c r="E290" t="s">
        <v>722</v>
      </c>
      <c r="F290" t="s">
        <v>14</v>
      </c>
      <c r="G290">
        <v>1193292339</v>
      </c>
      <c r="H290" t="s">
        <v>631</v>
      </c>
      <c r="I290">
        <v>98333941</v>
      </c>
      <c r="J290" t="s">
        <v>14</v>
      </c>
      <c r="K290" t="s">
        <v>15</v>
      </c>
      <c r="L290" s="1" t="e">
        <f>VLOOKUP(A290,#REF!,2,0)</f>
        <v>#REF!</v>
      </c>
      <c r="M290" s="1">
        <v>31200000</v>
      </c>
      <c r="N290" s="1">
        <v>31200000</v>
      </c>
      <c r="P290" t="s">
        <v>704</v>
      </c>
      <c r="Q290" s="1" t="e">
        <f t="shared" si="13"/>
        <v>#REF!</v>
      </c>
    </row>
    <row r="291" spans="1:18" x14ac:dyDescent="0.25">
      <c r="A291" t="s">
        <v>593</v>
      </c>
      <c r="B291" t="s">
        <v>13</v>
      </c>
      <c r="C291" s="12">
        <v>45905</v>
      </c>
      <c r="D291" s="12">
        <v>46022</v>
      </c>
      <c r="E291" t="s">
        <v>722</v>
      </c>
      <c r="F291" t="s">
        <v>14</v>
      </c>
      <c r="G291">
        <v>1085293105</v>
      </c>
      <c r="H291" t="s">
        <v>33</v>
      </c>
      <c r="I291">
        <v>43624414</v>
      </c>
      <c r="J291" t="s">
        <v>14</v>
      </c>
      <c r="K291" t="s">
        <v>18</v>
      </c>
      <c r="L291" s="1" t="e">
        <f>VLOOKUP(A291,#REF!,2,0)</f>
        <v>#REF!</v>
      </c>
      <c r="M291" s="1">
        <v>31200000</v>
      </c>
      <c r="N291" s="1">
        <v>31200000</v>
      </c>
      <c r="P291" t="s">
        <v>704</v>
      </c>
      <c r="Q291" s="1" t="e">
        <f t="shared" si="13"/>
        <v>#REF!</v>
      </c>
    </row>
    <row r="292" spans="1:18" x14ac:dyDescent="0.25">
      <c r="A292" t="s">
        <v>275</v>
      </c>
      <c r="B292" t="s">
        <v>13</v>
      </c>
      <c r="C292" s="12">
        <v>45904</v>
      </c>
      <c r="D292" s="12">
        <v>46022</v>
      </c>
      <c r="E292" t="s">
        <v>722</v>
      </c>
      <c r="F292" t="s">
        <v>14</v>
      </c>
      <c r="G292">
        <v>1085329980</v>
      </c>
      <c r="H292" t="s">
        <v>276</v>
      </c>
      <c r="I292">
        <v>98333941</v>
      </c>
      <c r="J292" t="s">
        <v>14</v>
      </c>
      <c r="K292" t="s">
        <v>15</v>
      </c>
      <c r="L292" s="1" t="e">
        <f>VLOOKUP(A292,#REF!,2,0)</f>
        <v>#REF!</v>
      </c>
      <c r="M292" s="1">
        <v>31200000</v>
      </c>
      <c r="N292" s="1">
        <v>31200000</v>
      </c>
      <c r="P292" t="s">
        <v>704</v>
      </c>
      <c r="Q292" s="1" t="e">
        <f t="shared" si="13"/>
        <v>#REF!</v>
      </c>
    </row>
    <row r="293" spans="1:18" x14ac:dyDescent="0.25">
      <c r="A293" t="s">
        <v>456</v>
      </c>
      <c r="B293" t="s">
        <v>13</v>
      </c>
      <c r="C293" s="12">
        <v>45904</v>
      </c>
      <c r="D293" s="12">
        <v>46022</v>
      </c>
      <c r="E293" t="s">
        <v>710</v>
      </c>
      <c r="F293" t="s">
        <v>14</v>
      </c>
      <c r="G293">
        <v>1087006619</v>
      </c>
      <c r="H293" t="s">
        <v>457</v>
      </c>
      <c r="I293">
        <v>98333941</v>
      </c>
      <c r="J293" t="s">
        <v>14</v>
      </c>
      <c r="K293" t="s">
        <v>15</v>
      </c>
      <c r="L293" s="1" t="e">
        <f>VLOOKUP(A293,#REF!,2,0)</f>
        <v>#REF!</v>
      </c>
      <c r="M293" s="1">
        <v>31200000</v>
      </c>
      <c r="N293" s="1">
        <v>31200000</v>
      </c>
      <c r="P293" t="s">
        <v>704</v>
      </c>
      <c r="Q293" s="1" t="e">
        <f t="shared" si="13"/>
        <v>#REF!</v>
      </c>
    </row>
    <row r="294" spans="1:18" x14ac:dyDescent="0.25">
      <c r="A294" t="s">
        <v>96</v>
      </c>
      <c r="B294" t="s">
        <v>13</v>
      </c>
      <c r="C294" s="12">
        <v>45904</v>
      </c>
      <c r="D294" s="12">
        <v>46022</v>
      </c>
      <c r="E294" t="s">
        <v>710</v>
      </c>
      <c r="F294" t="s">
        <v>14</v>
      </c>
      <c r="G294">
        <v>1233193882</v>
      </c>
      <c r="H294" t="s">
        <v>97</v>
      </c>
      <c r="I294">
        <v>98390119</v>
      </c>
      <c r="J294" t="s">
        <v>14</v>
      </c>
      <c r="K294" t="s">
        <v>63</v>
      </c>
      <c r="L294" s="1" t="e">
        <f>VLOOKUP(A294,#REF!,2,0)</f>
        <v>#REF!</v>
      </c>
      <c r="M294" s="1">
        <v>31200000</v>
      </c>
      <c r="N294" s="1">
        <v>31200000</v>
      </c>
      <c r="P294" t="s">
        <v>704</v>
      </c>
      <c r="Q294" s="1" t="e">
        <f t="shared" si="13"/>
        <v>#REF!</v>
      </c>
    </row>
    <row r="295" spans="1:18" x14ac:dyDescent="0.25">
      <c r="A295" t="s">
        <v>557</v>
      </c>
      <c r="B295" t="s">
        <v>13</v>
      </c>
      <c r="C295" s="12">
        <v>45903</v>
      </c>
      <c r="D295" s="12">
        <v>46022</v>
      </c>
      <c r="E295" t="s">
        <v>710</v>
      </c>
      <c r="F295" t="s">
        <v>14</v>
      </c>
      <c r="G295">
        <v>1085334279</v>
      </c>
      <c r="H295" t="s">
        <v>558</v>
      </c>
      <c r="I295">
        <v>98333941</v>
      </c>
      <c r="J295" t="s">
        <v>14</v>
      </c>
      <c r="K295" t="s">
        <v>15</v>
      </c>
      <c r="L295" s="1" t="e">
        <f>VLOOKUP(A295,#REF!,2,0)</f>
        <v>#REF!</v>
      </c>
      <c r="M295" s="1">
        <v>31200000</v>
      </c>
      <c r="N295" s="1">
        <v>31200000</v>
      </c>
      <c r="P295" t="s">
        <v>704</v>
      </c>
      <c r="Q295" s="1" t="e">
        <f t="shared" si="13"/>
        <v>#REF!</v>
      </c>
    </row>
    <row r="296" spans="1:18" x14ac:dyDescent="0.25">
      <c r="A296" t="s">
        <v>302</v>
      </c>
      <c r="B296" t="s">
        <v>13</v>
      </c>
      <c r="C296" s="12">
        <v>45902</v>
      </c>
      <c r="D296" s="12">
        <v>46022</v>
      </c>
      <c r="E296" t="s">
        <v>710</v>
      </c>
      <c r="F296" t="s">
        <v>14</v>
      </c>
      <c r="G296">
        <v>1006946167</v>
      </c>
      <c r="H296" t="s">
        <v>303</v>
      </c>
      <c r="I296">
        <v>59836926</v>
      </c>
      <c r="J296" t="s">
        <v>14</v>
      </c>
      <c r="K296" t="s">
        <v>17</v>
      </c>
      <c r="L296" s="1" t="e">
        <f>VLOOKUP(A296,#REF!,2,0)</f>
        <v>#REF!</v>
      </c>
      <c r="M296" s="1">
        <v>31200000</v>
      </c>
      <c r="N296" s="1">
        <v>31200000</v>
      </c>
      <c r="P296" t="s">
        <v>704</v>
      </c>
      <c r="Q296" s="1" t="e">
        <f t="shared" si="13"/>
        <v>#REF!</v>
      </c>
    </row>
    <row r="297" spans="1:18" x14ac:dyDescent="0.25">
      <c r="A297" t="s">
        <v>131</v>
      </c>
      <c r="B297" t="s">
        <v>13</v>
      </c>
      <c r="C297" s="12">
        <v>45901</v>
      </c>
      <c r="D297" s="12">
        <v>46022</v>
      </c>
      <c r="E297" t="s">
        <v>722</v>
      </c>
      <c r="F297" t="s">
        <v>14</v>
      </c>
      <c r="G297">
        <v>1085336362</v>
      </c>
      <c r="H297" t="s">
        <v>49</v>
      </c>
      <c r="I297">
        <v>98333941</v>
      </c>
      <c r="J297" t="s">
        <v>14</v>
      </c>
      <c r="K297" t="s">
        <v>15</v>
      </c>
      <c r="L297" s="1" t="e">
        <f>VLOOKUP(A297,#REF!,2,0)</f>
        <v>#REF!</v>
      </c>
      <c r="M297" s="1">
        <v>31200000</v>
      </c>
      <c r="N297" s="1">
        <v>31200000</v>
      </c>
      <c r="P297" t="s">
        <v>704</v>
      </c>
      <c r="Q297" s="1" t="e">
        <f t="shared" si="13"/>
        <v>#REF!</v>
      </c>
    </row>
    <row r="298" spans="1:18" x14ac:dyDescent="0.25">
      <c r="A298" t="s">
        <v>119</v>
      </c>
      <c r="B298" t="s">
        <v>13</v>
      </c>
      <c r="C298" s="12">
        <v>45901</v>
      </c>
      <c r="D298" s="12">
        <v>46022</v>
      </c>
      <c r="E298" t="s">
        <v>717</v>
      </c>
      <c r="F298" t="s">
        <v>14</v>
      </c>
      <c r="G298">
        <v>1193202097</v>
      </c>
      <c r="H298" t="s">
        <v>43</v>
      </c>
      <c r="I298">
        <v>43624414</v>
      </c>
      <c r="J298" t="s">
        <v>14</v>
      </c>
      <c r="K298" t="s">
        <v>18</v>
      </c>
      <c r="L298" s="1" t="e">
        <f>VLOOKUP(A298,#REF!,2,0)</f>
        <v>#REF!</v>
      </c>
      <c r="M298" s="1">
        <v>31200000</v>
      </c>
      <c r="N298" s="1">
        <v>31200000</v>
      </c>
      <c r="P298" t="s">
        <v>704</v>
      </c>
      <c r="Q298" s="1" t="e">
        <f t="shared" si="13"/>
        <v>#REF!</v>
      </c>
    </row>
    <row r="299" spans="1:18" x14ac:dyDescent="0.25">
      <c r="A299" t="s">
        <v>140</v>
      </c>
      <c r="B299" t="s">
        <v>13</v>
      </c>
      <c r="C299" s="12">
        <v>45940</v>
      </c>
      <c r="D299" s="12">
        <v>46022</v>
      </c>
      <c r="E299" t="s">
        <v>141</v>
      </c>
      <c r="F299" t="s">
        <v>83</v>
      </c>
      <c r="G299">
        <v>900752343</v>
      </c>
      <c r="H299" t="s">
        <v>107</v>
      </c>
      <c r="I299">
        <v>17658216</v>
      </c>
      <c r="J299" t="s">
        <v>14</v>
      </c>
      <c r="K299" t="s">
        <v>108</v>
      </c>
      <c r="L299" s="1" t="e">
        <f>VLOOKUP(A299,#REF!,2,0)</f>
        <v>#REF!</v>
      </c>
      <c r="M299" s="1">
        <v>283000000</v>
      </c>
      <c r="N299" s="1">
        <v>283000000</v>
      </c>
      <c r="P299" t="s">
        <v>704</v>
      </c>
      <c r="Q299" s="1" t="e">
        <f t="shared" si="13"/>
        <v>#REF!</v>
      </c>
    </row>
    <row r="300" spans="1:18" x14ac:dyDescent="0.25">
      <c r="A300" s="8" t="s">
        <v>555</v>
      </c>
      <c r="B300" s="8" t="s">
        <v>13</v>
      </c>
      <c r="C300" s="13">
        <v>45944</v>
      </c>
      <c r="D300" s="13">
        <v>46022</v>
      </c>
      <c r="E300" s="8" t="s">
        <v>715</v>
      </c>
      <c r="F300" s="8" t="s">
        <v>14</v>
      </c>
      <c r="G300" s="8">
        <v>87070742</v>
      </c>
      <c r="H300" s="8" t="s">
        <v>556</v>
      </c>
      <c r="I300" s="8">
        <v>98390119</v>
      </c>
      <c r="J300" s="8" t="s">
        <v>14</v>
      </c>
      <c r="K300" s="8" t="s">
        <v>63</v>
      </c>
      <c r="L300" s="1" t="e">
        <f>VLOOKUP(A300,#REF!,2,0)</f>
        <v>#REF!</v>
      </c>
      <c r="M300" s="1">
        <v>2000000</v>
      </c>
      <c r="N300" s="9">
        <v>6000000</v>
      </c>
      <c r="O300" s="9"/>
      <c r="P300" s="8" t="s">
        <v>704</v>
      </c>
      <c r="Q300" s="9" t="e">
        <f t="shared" si="13"/>
        <v>#REF!</v>
      </c>
      <c r="R300" s="2" t="s">
        <v>828</v>
      </c>
    </row>
    <row r="301" spans="1:18" x14ac:dyDescent="0.25">
      <c r="A301" s="8" t="s">
        <v>292</v>
      </c>
      <c r="B301" s="8" t="s">
        <v>13</v>
      </c>
      <c r="C301" s="13">
        <v>45960</v>
      </c>
      <c r="D301" s="13">
        <v>46022</v>
      </c>
      <c r="E301" s="8" t="s">
        <v>720</v>
      </c>
      <c r="F301" s="8" t="s">
        <v>14</v>
      </c>
      <c r="G301" s="8">
        <v>1233191359</v>
      </c>
      <c r="H301" s="8" t="s">
        <v>293</v>
      </c>
      <c r="I301" s="8">
        <v>98390119</v>
      </c>
      <c r="J301" s="8" t="s">
        <v>14</v>
      </c>
      <c r="K301" s="8" t="s">
        <v>63</v>
      </c>
      <c r="L301" s="1" t="e">
        <f>VLOOKUP(A301,#REF!,2,0)</f>
        <v>#REF!</v>
      </c>
      <c r="M301" s="1">
        <v>3150000</v>
      </c>
      <c r="N301" s="9">
        <v>6300000</v>
      </c>
      <c r="O301" s="9"/>
      <c r="P301" s="8" t="s">
        <v>704</v>
      </c>
      <c r="Q301" s="9" t="e">
        <f t="shared" si="13"/>
        <v>#REF!</v>
      </c>
      <c r="R301" s="2" t="s">
        <v>828</v>
      </c>
    </row>
    <row r="302" spans="1:18" x14ac:dyDescent="0.25">
      <c r="A302" s="8" t="s">
        <v>386</v>
      </c>
      <c r="B302" s="8" t="s">
        <v>13</v>
      </c>
      <c r="C302" s="13">
        <v>45950</v>
      </c>
      <c r="D302" s="13">
        <v>46015</v>
      </c>
      <c r="E302" s="8" t="s">
        <v>720</v>
      </c>
      <c r="F302" s="8" t="s">
        <v>14</v>
      </c>
      <c r="G302" s="8">
        <v>1193271854</v>
      </c>
      <c r="H302" s="8" t="s">
        <v>24</v>
      </c>
      <c r="I302" s="8">
        <v>98390119</v>
      </c>
      <c r="J302" s="8" t="s">
        <v>14</v>
      </c>
      <c r="K302" s="8" t="s">
        <v>63</v>
      </c>
      <c r="L302" s="1" t="e">
        <f>VLOOKUP(A302,#REF!,2,0)</f>
        <v>#REF!</v>
      </c>
      <c r="M302" s="1">
        <v>3150000</v>
      </c>
      <c r="N302" s="9">
        <v>6720000</v>
      </c>
      <c r="O302" s="9"/>
      <c r="P302" s="8" t="s">
        <v>704</v>
      </c>
      <c r="Q302" s="9" t="e">
        <f t="shared" si="13"/>
        <v>#REF!</v>
      </c>
      <c r="R302" s="2" t="s">
        <v>828</v>
      </c>
    </row>
    <row r="303" spans="1:18" x14ac:dyDescent="0.25">
      <c r="A303" s="8" t="s">
        <v>647</v>
      </c>
      <c r="B303" s="8" t="s">
        <v>13</v>
      </c>
      <c r="C303" s="13">
        <v>45939</v>
      </c>
      <c r="D303" s="13">
        <v>46006</v>
      </c>
      <c r="E303" s="8" t="s">
        <v>819</v>
      </c>
      <c r="F303" s="8" t="s">
        <v>14</v>
      </c>
      <c r="G303" s="8">
        <v>1030606749</v>
      </c>
      <c r="H303" s="8" t="s">
        <v>86</v>
      </c>
      <c r="I303" s="8">
        <v>98390119</v>
      </c>
      <c r="J303" s="8" t="s">
        <v>14</v>
      </c>
      <c r="K303" s="8" t="s">
        <v>63</v>
      </c>
      <c r="L303" s="1" t="e">
        <f>VLOOKUP(A303,#REF!,2,0)</f>
        <v>#REF!</v>
      </c>
      <c r="M303" s="1">
        <v>4200000</v>
      </c>
      <c r="N303" s="9">
        <v>7875000</v>
      </c>
      <c r="O303" s="9"/>
      <c r="P303" s="8" t="s">
        <v>704</v>
      </c>
      <c r="Q303" s="9" t="e">
        <f t="shared" si="13"/>
        <v>#REF!</v>
      </c>
      <c r="R303" s="2" t="s">
        <v>828</v>
      </c>
    </row>
    <row r="304" spans="1:18" x14ac:dyDescent="0.25">
      <c r="A304" s="8" t="s">
        <v>367</v>
      </c>
      <c r="B304" s="8" t="s">
        <v>13</v>
      </c>
      <c r="C304" s="13">
        <v>45930</v>
      </c>
      <c r="D304" s="13">
        <v>46022</v>
      </c>
      <c r="E304" s="8" t="s">
        <v>765</v>
      </c>
      <c r="F304" s="8" t="s">
        <v>14</v>
      </c>
      <c r="G304" s="8">
        <v>1193035720</v>
      </c>
      <c r="H304" s="8" t="s">
        <v>368</v>
      </c>
      <c r="I304" s="8">
        <v>43624414</v>
      </c>
      <c r="J304" s="8" t="s">
        <v>14</v>
      </c>
      <c r="K304" s="8" t="s">
        <v>18</v>
      </c>
      <c r="L304" s="1" t="e">
        <f>VLOOKUP(A304,#REF!,2,0)</f>
        <v>#REF!</v>
      </c>
      <c r="M304" s="1">
        <v>6300000</v>
      </c>
      <c r="N304" s="9">
        <v>9450000</v>
      </c>
      <c r="O304" s="9"/>
      <c r="P304" s="8" t="s">
        <v>704</v>
      </c>
      <c r="Q304" s="9" t="e">
        <f t="shared" ref="Q304:Q332" si="14">N304-L304</f>
        <v>#REF!</v>
      </c>
      <c r="R304" s="2" t="s">
        <v>828</v>
      </c>
    </row>
    <row r="305" spans="1:19" x14ac:dyDescent="0.25">
      <c r="A305" s="8" t="s">
        <v>651</v>
      </c>
      <c r="B305" s="8" t="s">
        <v>13</v>
      </c>
      <c r="C305" s="13">
        <v>45930</v>
      </c>
      <c r="D305" s="13">
        <v>46022</v>
      </c>
      <c r="E305" s="8" t="s">
        <v>820</v>
      </c>
      <c r="F305" s="8" t="s">
        <v>14</v>
      </c>
      <c r="G305" s="8">
        <v>1081053820</v>
      </c>
      <c r="H305" s="8" t="s">
        <v>652</v>
      </c>
      <c r="I305" s="8">
        <v>98333941</v>
      </c>
      <c r="J305" s="8" t="s">
        <v>14</v>
      </c>
      <c r="K305" s="8" t="s">
        <v>15</v>
      </c>
      <c r="L305" s="1" t="e">
        <f>VLOOKUP(A305,#REF!,2,0)</f>
        <v>#REF!</v>
      </c>
      <c r="M305" s="1">
        <v>9450000</v>
      </c>
      <c r="N305" s="9">
        <v>11025000</v>
      </c>
      <c r="O305" s="9"/>
      <c r="P305" s="8" t="s">
        <v>704</v>
      </c>
      <c r="Q305" s="9" t="e">
        <f t="shared" si="14"/>
        <v>#REF!</v>
      </c>
      <c r="R305" s="2" t="s">
        <v>828</v>
      </c>
    </row>
    <row r="306" spans="1:19" x14ac:dyDescent="0.25">
      <c r="A306" s="8" t="s">
        <v>330</v>
      </c>
      <c r="B306" s="8" t="s">
        <v>13</v>
      </c>
      <c r="C306" s="13">
        <v>45930</v>
      </c>
      <c r="D306" s="13">
        <v>46022</v>
      </c>
      <c r="E306" s="8" t="s">
        <v>761</v>
      </c>
      <c r="F306" s="8" t="s">
        <v>14</v>
      </c>
      <c r="G306" s="8">
        <v>1080041553</v>
      </c>
      <c r="H306" s="8" t="s">
        <v>331</v>
      </c>
      <c r="I306" s="8">
        <v>98390119</v>
      </c>
      <c r="J306" s="8" t="s">
        <v>14</v>
      </c>
      <c r="K306" s="8" t="s">
        <v>63</v>
      </c>
      <c r="L306" s="1" t="e">
        <f>VLOOKUP(A306,#REF!,2,0)</f>
        <v>#REF!</v>
      </c>
      <c r="M306" s="1">
        <v>9450000</v>
      </c>
      <c r="N306" s="9">
        <v>11025000</v>
      </c>
      <c r="O306" s="9"/>
      <c r="P306" s="8" t="s">
        <v>704</v>
      </c>
      <c r="Q306" s="9" t="e">
        <f t="shared" si="14"/>
        <v>#REF!</v>
      </c>
      <c r="R306" s="2" t="s">
        <v>828</v>
      </c>
    </row>
    <row r="307" spans="1:19" x14ac:dyDescent="0.25">
      <c r="A307" s="8" t="s">
        <v>470</v>
      </c>
      <c r="B307" s="8" t="s">
        <v>13</v>
      </c>
      <c r="C307" s="13">
        <v>45924</v>
      </c>
      <c r="D307" s="13">
        <v>46022</v>
      </c>
      <c r="E307" s="8" t="s">
        <v>788</v>
      </c>
      <c r="F307" s="8" t="s">
        <v>14</v>
      </c>
      <c r="G307" s="8">
        <v>1004508406</v>
      </c>
      <c r="H307" s="8" t="s">
        <v>471</v>
      </c>
      <c r="I307" s="8">
        <v>43624414</v>
      </c>
      <c r="J307" s="8" t="s">
        <v>14</v>
      </c>
      <c r="K307" s="8" t="s">
        <v>18</v>
      </c>
      <c r="L307" s="1" t="e">
        <f>VLOOKUP(A307,#REF!,2,0)</f>
        <v>#REF!</v>
      </c>
      <c r="M307" s="1">
        <v>7875000</v>
      </c>
      <c r="N307" s="9">
        <v>11025000</v>
      </c>
      <c r="O307" s="9"/>
      <c r="P307" s="8" t="s">
        <v>704</v>
      </c>
      <c r="Q307" s="9" t="e">
        <f t="shared" si="14"/>
        <v>#REF!</v>
      </c>
      <c r="R307" s="2" t="s">
        <v>828</v>
      </c>
    </row>
    <row r="308" spans="1:19" x14ac:dyDescent="0.25">
      <c r="A308" s="8" t="s">
        <v>545</v>
      </c>
      <c r="B308" s="8" t="s">
        <v>13</v>
      </c>
      <c r="C308" s="13">
        <v>45922</v>
      </c>
      <c r="D308" s="13">
        <v>46022</v>
      </c>
      <c r="E308" s="8" t="s">
        <v>799</v>
      </c>
      <c r="F308" s="8" t="s">
        <v>14</v>
      </c>
      <c r="G308" s="8">
        <v>1004709928</v>
      </c>
      <c r="H308" s="8" t="s">
        <v>546</v>
      </c>
      <c r="I308" s="8">
        <v>98333941</v>
      </c>
      <c r="J308" s="8" t="s">
        <v>14</v>
      </c>
      <c r="K308" s="8" t="s">
        <v>15</v>
      </c>
      <c r="L308" s="1" t="e">
        <f>VLOOKUP(A308,#REF!,2,0)</f>
        <v>#REF!</v>
      </c>
      <c r="M308" s="1">
        <v>7875000</v>
      </c>
      <c r="N308" s="9">
        <v>11025000</v>
      </c>
      <c r="O308" s="9"/>
      <c r="P308" s="8" t="s">
        <v>704</v>
      </c>
      <c r="Q308" s="9" t="e">
        <f t="shared" si="14"/>
        <v>#REF!</v>
      </c>
      <c r="R308" s="2" t="s">
        <v>828</v>
      </c>
    </row>
    <row r="309" spans="1:19" x14ac:dyDescent="0.25">
      <c r="A309" s="8" t="s">
        <v>234</v>
      </c>
      <c r="B309" s="8" t="s">
        <v>13</v>
      </c>
      <c r="C309" s="13">
        <v>45918</v>
      </c>
      <c r="D309" s="13">
        <v>46022</v>
      </c>
      <c r="E309" s="8" t="s">
        <v>711</v>
      </c>
      <c r="F309" s="8" t="s">
        <v>14</v>
      </c>
      <c r="G309" s="8">
        <v>27087122</v>
      </c>
      <c r="H309" s="8" t="s">
        <v>69</v>
      </c>
      <c r="I309" s="8">
        <v>43624414</v>
      </c>
      <c r="J309" s="8" t="s">
        <v>14</v>
      </c>
      <c r="K309" s="8" t="s">
        <v>18</v>
      </c>
      <c r="L309" s="1" t="e">
        <f>VLOOKUP(A309,#REF!,2,0)</f>
        <v>#REF!</v>
      </c>
      <c r="M309" s="1">
        <v>11025000</v>
      </c>
      <c r="N309" s="9">
        <v>11025000</v>
      </c>
      <c r="O309" s="9"/>
      <c r="P309" s="8" t="s">
        <v>704</v>
      </c>
      <c r="Q309" s="9" t="e">
        <f t="shared" si="14"/>
        <v>#REF!</v>
      </c>
      <c r="R309" s="2" t="s">
        <v>828</v>
      </c>
    </row>
    <row r="310" spans="1:19" x14ac:dyDescent="0.25">
      <c r="A310" s="8" t="s">
        <v>150</v>
      </c>
      <c r="B310" s="8" t="s">
        <v>13</v>
      </c>
      <c r="C310" s="13">
        <v>45915</v>
      </c>
      <c r="D310" s="13">
        <v>46022</v>
      </c>
      <c r="E310" s="8" t="s">
        <v>711</v>
      </c>
      <c r="F310" s="8" t="s">
        <v>14</v>
      </c>
      <c r="G310" s="8">
        <v>1087645341</v>
      </c>
      <c r="H310" s="8" t="s">
        <v>151</v>
      </c>
      <c r="I310" s="8">
        <v>98333941</v>
      </c>
      <c r="J310" s="8" t="s">
        <v>14</v>
      </c>
      <c r="K310" s="8" t="s">
        <v>15</v>
      </c>
      <c r="L310" s="1" t="e">
        <f>VLOOKUP(A310,#REF!,2,0)</f>
        <v>#REF!</v>
      </c>
      <c r="M310" s="1">
        <v>4725000</v>
      </c>
      <c r="N310" s="9">
        <v>12600000</v>
      </c>
      <c r="O310" s="9"/>
      <c r="P310" s="8" t="s">
        <v>704</v>
      </c>
      <c r="Q310" s="9" t="e">
        <f t="shared" si="14"/>
        <v>#REF!</v>
      </c>
      <c r="R310" s="2" t="s">
        <v>828</v>
      </c>
    </row>
    <row r="311" spans="1:19" x14ac:dyDescent="0.25">
      <c r="A311" s="8" t="s">
        <v>226</v>
      </c>
      <c r="B311" s="8" t="s">
        <v>13</v>
      </c>
      <c r="C311" s="13">
        <v>45912</v>
      </c>
      <c r="D311" s="13">
        <v>46022</v>
      </c>
      <c r="E311" s="8" t="s">
        <v>711</v>
      </c>
      <c r="F311" s="8" t="s">
        <v>14</v>
      </c>
      <c r="G311" s="8">
        <v>27549931</v>
      </c>
      <c r="H311" s="8" t="s">
        <v>227</v>
      </c>
      <c r="I311" s="8">
        <v>98333941</v>
      </c>
      <c r="J311" s="8" t="s">
        <v>14</v>
      </c>
      <c r="K311" s="8" t="s">
        <v>15</v>
      </c>
      <c r="L311" s="1" t="e">
        <f>VLOOKUP(A311,#REF!,2,0)</f>
        <v>#REF!</v>
      </c>
      <c r="M311" s="1">
        <v>4725000</v>
      </c>
      <c r="N311" s="9">
        <v>12600000</v>
      </c>
      <c r="O311" s="9"/>
      <c r="P311" s="8" t="s">
        <v>704</v>
      </c>
      <c r="Q311" s="9" t="e">
        <f t="shared" si="14"/>
        <v>#REF!</v>
      </c>
      <c r="R311" s="2" t="s">
        <v>828</v>
      </c>
    </row>
    <row r="312" spans="1:19" x14ac:dyDescent="0.25">
      <c r="A312" t="s">
        <v>1017</v>
      </c>
      <c r="B312" t="s">
        <v>13</v>
      </c>
      <c r="C312" s="12">
        <v>46024</v>
      </c>
      <c r="D312" s="12">
        <v>46112</v>
      </c>
      <c r="E312" t="s">
        <v>775</v>
      </c>
      <c r="F312" t="s">
        <v>14</v>
      </c>
      <c r="G312">
        <v>1085325325</v>
      </c>
      <c r="H312" t="s">
        <v>610</v>
      </c>
      <c r="I312">
        <v>43624414</v>
      </c>
      <c r="J312" t="s">
        <v>14</v>
      </c>
      <c r="K312" t="s">
        <v>18</v>
      </c>
      <c r="L312" s="1" t="e">
        <f>VLOOKUP(A312,#REF!,2,0)</f>
        <v>#REF!</v>
      </c>
      <c r="M312" s="1">
        <v>3150000</v>
      </c>
      <c r="N312" s="10">
        <v>9450000</v>
      </c>
      <c r="O312" s="10"/>
      <c r="P312" t="s">
        <v>704</v>
      </c>
      <c r="Q312" s="9" t="e">
        <f t="shared" si="14"/>
        <v>#REF!</v>
      </c>
      <c r="S312" s="11" t="s">
        <v>1036</v>
      </c>
    </row>
    <row r="313" spans="1:19" x14ac:dyDescent="0.25">
      <c r="A313" s="8" t="s">
        <v>296</v>
      </c>
      <c r="B313" s="8" t="s">
        <v>13</v>
      </c>
      <c r="C313" s="13">
        <v>45910</v>
      </c>
      <c r="D313" s="13">
        <v>46022</v>
      </c>
      <c r="E313" s="8" t="s">
        <v>711</v>
      </c>
      <c r="F313" s="8" t="s">
        <v>14</v>
      </c>
      <c r="G313" s="8">
        <v>27276869</v>
      </c>
      <c r="H313" s="8" t="s">
        <v>297</v>
      </c>
      <c r="I313" s="8">
        <v>98333941</v>
      </c>
      <c r="J313" s="8" t="s">
        <v>14</v>
      </c>
      <c r="K313" s="8" t="s">
        <v>15</v>
      </c>
      <c r="L313" s="1" t="e">
        <f>VLOOKUP(A313,#REF!,2,0)</f>
        <v>#REF!</v>
      </c>
      <c r="M313" s="1">
        <v>9450000</v>
      </c>
      <c r="N313" s="9">
        <v>12600000</v>
      </c>
      <c r="O313" s="9"/>
      <c r="P313" s="8" t="s">
        <v>704</v>
      </c>
      <c r="Q313" s="9" t="e">
        <f t="shared" si="14"/>
        <v>#REF!</v>
      </c>
      <c r="R313" s="2" t="s">
        <v>828</v>
      </c>
    </row>
    <row r="314" spans="1:19" x14ac:dyDescent="0.25">
      <c r="A314" s="8" t="s">
        <v>136</v>
      </c>
      <c r="B314" s="8" t="s">
        <v>13</v>
      </c>
      <c r="C314" s="13">
        <v>45910</v>
      </c>
      <c r="D314" s="13">
        <v>46022</v>
      </c>
      <c r="E314" s="8" t="s">
        <v>711</v>
      </c>
      <c r="F314" s="8" t="s">
        <v>14</v>
      </c>
      <c r="G314" s="8">
        <v>1086016304</v>
      </c>
      <c r="H314" s="8" t="s">
        <v>137</v>
      </c>
      <c r="I314" s="8">
        <v>98333941</v>
      </c>
      <c r="J314" s="8" t="s">
        <v>14</v>
      </c>
      <c r="K314" s="8" t="s">
        <v>15</v>
      </c>
      <c r="L314" s="1" t="e">
        <f>VLOOKUP(A314,#REF!,2,0)</f>
        <v>#REF!</v>
      </c>
      <c r="M314" s="1">
        <v>3150000</v>
      </c>
      <c r="N314" s="9">
        <v>12600000</v>
      </c>
      <c r="O314" s="9"/>
      <c r="P314" s="8" t="s">
        <v>704</v>
      </c>
      <c r="Q314" s="9" t="e">
        <f t="shared" si="14"/>
        <v>#REF!</v>
      </c>
      <c r="R314" s="2" t="s">
        <v>828</v>
      </c>
    </row>
    <row r="315" spans="1:19" x14ac:dyDescent="0.25">
      <c r="A315" s="8" t="s">
        <v>541</v>
      </c>
      <c r="B315" s="8" t="s">
        <v>13</v>
      </c>
      <c r="C315" s="13">
        <v>45909</v>
      </c>
      <c r="D315" s="13">
        <v>46022</v>
      </c>
      <c r="E315" s="8" t="s">
        <v>711</v>
      </c>
      <c r="F315" s="8" t="s">
        <v>14</v>
      </c>
      <c r="G315" s="8">
        <v>36953590</v>
      </c>
      <c r="H315" s="8" t="s">
        <v>542</v>
      </c>
      <c r="I315" s="8">
        <v>98333941</v>
      </c>
      <c r="J315" s="8" t="s">
        <v>14</v>
      </c>
      <c r="K315" s="8" t="s">
        <v>15</v>
      </c>
      <c r="L315" s="1" t="e">
        <f>VLOOKUP(A315,#REF!,2,0)</f>
        <v>#REF!</v>
      </c>
      <c r="M315" s="1">
        <v>4200000</v>
      </c>
      <c r="N315" s="9">
        <v>12600000</v>
      </c>
      <c r="O315" s="9"/>
      <c r="P315" s="8" t="s">
        <v>704</v>
      </c>
      <c r="Q315" s="9" t="e">
        <f t="shared" si="14"/>
        <v>#REF!</v>
      </c>
      <c r="R315" s="2" t="s">
        <v>828</v>
      </c>
    </row>
    <row r="316" spans="1:19" x14ac:dyDescent="0.25">
      <c r="A316" s="8" t="s">
        <v>387</v>
      </c>
      <c r="B316" s="8" t="s">
        <v>13</v>
      </c>
      <c r="C316" s="13">
        <v>45905</v>
      </c>
      <c r="D316" s="13">
        <v>46022</v>
      </c>
      <c r="E316" s="8" t="s">
        <v>768</v>
      </c>
      <c r="F316" s="8" t="s">
        <v>14</v>
      </c>
      <c r="G316" s="8">
        <v>98382500</v>
      </c>
      <c r="H316" s="8" t="s">
        <v>45</v>
      </c>
      <c r="I316" s="8">
        <v>43624414</v>
      </c>
      <c r="J316" s="8" t="s">
        <v>14</v>
      </c>
      <c r="K316" s="8" t="s">
        <v>18</v>
      </c>
      <c r="L316" s="1" t="e">
        <f>VLOOKUP(A316,#REF!,2,0)</f>
        <v>#REF!</v>
      </c>
      <c r="M316" s="1">
        <v>9450000</v>
      </c>
      <c r="N316" s="9">
        <v>12600000</v>
      </c>
      <c r="O316" s="9"/>
      <c r="P316" s="8" t="s">
        <v>704</v>
      </c>
      <c r="Q316" s="9" t="e">
        <f t="shared" si="14"/>
        <v>#REF!</v>
      </c>
      <c r="R316" s="2" t="s">
        <v>828</v>
      </c>
    </row>
    <row r="317" spans="1:19" x14ac:dyDescent="0.25">
      <c r="A317" s="8" t="s">
        <v>488</v>
      </c>
      <c r="B317" s="8" t="s">
        <v>13</v>
      </c>
      <c r="C317" s="13">
        <v>45929</v>
      </c>
      <c r="D317" s="13">
        <v>46022</v>
      </c>
      <c r="E317" s="8" t="s">
        <v>791</v>
      </c>
      <c r="F317" s="8" t="s">
        <v>14</v>
      </c>
      <c r="G317" s="8">
        <v>12754447</v>
      </c>
      <c r="H317" s="8" t="s">
        <v>489</v>
      </c>
      <c r="I317" s="8">
        <v>59836926</v>
      </c>
      <c r="J317" s="8" t="s">
        <v>14</v>
      </c>
      <c r="K317" s="8" t="s">
        <v>17</v>
      </c>
      <c r="L317" s="1" t="e">
        <f>VLOOKUP(A317,#REF!,2,0)</f>
        <v>#REF!</v>
      </c>
      <c r="M317" s="1">
        <v>6306000</v>
      </c>
      <c r="N317" s="9">
        <v>14190000</v>
      </c>
      <c r="O317" s="9"/>
      <c r="P317" s="8" t="s">
        <v>704</v>
      </c>
      <c r="Q317" s="9" t="e">
        <f t="shared" si="14"/>
        <v>#REF!</v>
      </c>
      <c r="R317" s="2" t="s">
        <v>828</v>
      </c>
    </row>
    <row r="318" spans="1:19" x14ac:dyDescent="0.25">
      <c r="A318" s="8" t="s">
        <v>566</v>
      </c>
      <c r="B318" s="8" t="s">
        <v>13</v>
      </c>
      <c r="C318" s="13">
        <v>45910</v>
      </c>
      <c r="D318" s="13">
        <v>46022</v>
      </c>
      <c r="E318" s="8" t="s">
        <v>706</v>
      </c>
      <c r="F318" s="8" t="s">
        <v>14</v>
      </c>
      <c r="G318" s="8">
        <v>1088730615</v>
      </c>
      <c r="H318" s="8" t="s">
        <v>567</v>
      </c>
      <c r="I318" s="8">
        <v>59836926</v>
      </c>
      <c r="J318" s="8" t="s">
        <v>14</v>
      </c>
      <c r="K318" s="8" t="s">
        <v>17</v>
      </c>
      <c r="L318" s="1" t="e">
        <f>VLOOKUP(A318,#REF!,2,0)</f>
        <v>#REF!</v>
      </c>
      <c r="M318" s="1">
        <v>6149000</v>
      </c>
      <c r="N318" s="9">
        <v>18920000</v>
      </c>
      <c r="O318" s="9"/>
      <c r="P318" s="8" t="s">
        <v>704</v>
      </c>
      <c r="Q318" s="9" t="e">
        <f t="shared" si="14"/>
        <v>#REF!</v>
      </c>
      <c r="R318" s="2" t="s">
        <v>828</v>
      </c>
    </row>
    <row r="319" spans="1:19" x14ac:dyDescent="0.25">
      <c r="A319" s="8" t="s">
        <v>594</v>
      </c>
      <c r="B319" s="8" t="s">
        <v>13</v>
      </c>
      <c r="C319" s="13">
        <v>45910</v>
      </c>
      <c r="D319" s="13">
        <v>46022</v>
      </c>
      <c r="E319" s="8" t="s">
        <v>706</v>
      </c>
      <c r="F319" s="8" t="s">
        <v>14</v>
      </c>
      <c r="G319" s="8">
        <v>1085333467</v>
      </c>
      <c r="H319" s="8" t="s">
        <v>595</v>
      </c>
      <c r="I319" s="8">
        <v>98333941</v>
      </c>
      <c r="J319" s="8" t="s">
        <v>14</v>
      </c>
      <c r="K319" s="8" t="s">
        <v>15</v>
      </c>
      <c r="L319" s="1" t="e">
        <f>VLOOKUP(A319,#REF!,2,0)</f>
        <v>#REF!</v>
      </c>
      <c r="M319" s="1">
        <v>4572333</v>
      </c>
      <c r="N319" s="9">
        <v>18920000</v>
      </c>
      <c r="O319" s="9"/>
      <c r="P319" s="8" t="s">
        <v>704</v>
      </c>
      <c r="Q319" s="9" t="e">
        <f t="shared" si="14"/>
        <v>#REF!</v>
      </c>
      <c r="R319" s="2" t="s">
        <v>828</v>
      </c>
    </row>
    <row r="320" spans="1:19" x14ac:dyDescent="0.25">
      <c r="A320" s="8" t="s">
        <v>206</v>
      </c>
      <c r="B320" s="8" t="s">
        <v>13</v>
      </c>
      <c r="C320" s="13">
        <v>45905</v>
      </c>
      <c r="D320" s="13">
        <v>46022</v>
      </c>
      <c r="E320" s="8" t="s">
        <v>739</v>
      </c>
      <c r="F320" s="8" t="s">
        <v>14</v>
      </c>
      <c r="G320" s="8">
        <v>36953206</v>
      </c>
      <c r="H320" s="8" t="s">
        <v>46</v>
      </c>
      <c r="I320" s="8">
        <v>43624414</v>
      </c>
      <c r="J320" s="8" t="s">
        <v>14</v>
      </c>
      <c r="K320" s="8" t="s">
        <v>18</v>
      </c>
      <c r="L320" s="1" t="e">
        <f>VLOOKUP(A320,#REF!,2,0)</f>
        <v>#REF!</v>
      </c>
      <c r="M320" s="1">
        <v>4730000</v>
      </c>
      <c r="N320" s="9">
        <v>18920000</v>
      </c>
      <c r="O320" s="9"/>
      <c r="P320" s="8" t="s">
        <v>704</v>
      </c>
      <c r="Q320" s="9" t="e">
        <f t="shared" si="14"/>
        <v>#REF!</v>
      </c>
      <c r="R320" s="2" t="s">
        <v>828</v>
      </c>
    </row>
    <row r="321" spans="1:19" x14ac:dyDescent="0.25">
      <c r="A321" s="8" t="s">
        <v>533</v>
      </c>
      <c r="B321" s="8" t="s">
        <v>13</v>
      </c>
      <c r="C321" s="13">
        <v>45903</v>
      </c>
      <c r="D321" s="13">
        <v>46022</v>
      </c>
      <c r="E321" s="8" t="s">
        <v>796</v>
      </c>
      <c r="F321" s="8" t="s">
        <v>14</v>
      </c>
      <c r="G321" s="8">
        <v>59312865</v>
      </c>
      <c r="H321" s="8" t="s">
        <v>534</v>
      </c>
      <c r="I321" s="8">
        <v>43624414</v>
      </c>
      <c r="J321" s="8" t="s">
        <v>14</v>
      </c>
      <c r="K321" s="8" t="s">
        <v>18</v>
      </c>
      <c r="L321" s="1" t="e">
        <f>VLOOKUP(A321,#REF!,2,0)</f>
        <v>#REF!</v>
      </c>
      <c r="M321" s="1">
        <v>16239333</v>
      </c>
      <c r="N321" s="9">
        <v>18920000</v>
      </c>
      <c r="O321" s="9"/>
      <c r="P321" s="8" t="s">
        <v>704</v>
      </c>
      <c r="Q321" s="9" t="e">
        <f t="shared" si="14"/>
        <v>#REF!</v>
      </c>
      <c r="R321" s="2" t="s">
        <v>828</v>
      </c>
    </row>
    <row r="322" spans="1:19" x14ac:dyDescent="0.25">
      <c r="A322" s="8" t="s">
        <v>187</v>
      </c>
      <c r="B322" s="8" t="s">
        <v>13</v>
      </c>
      <c r="C322" s="13">
        <v>45926</v>
      </c>
      <c r="D322" s="13">
        <v>46022</v>
      </c>
      <c r="E322" s="8" t="s">
        <v>735</v>
      </c>
      <c r="F322" s="8" t="s">
        <v>14</v>
      </c>
      <c r="G322" s="8">
        <v>27097745</v>
      </c>
      <c r="H322" s="8" t="s">
        <v>70</v>
      </c>
      <c r="I322" s="8">
        <v>98390119</v>
      </c>
      <c r="J322" s="8" t="s">
        <v>14</v>
      </c>
      <c r="K322" s="8" t="s">
        <v>63</v>
      </c>
      <c r="L322" s="1" t="e">
        <f>VLOOKUP(A322,#REF!,2,0)</f>
        <v>#REF!</v>
      </c>
      <c r="M322" s="1">
        <v>9450000</v>
      </c>
      <c r="N322" s="9">
        <v>22050000</v>
      </c>
      <c r="O322" s="9"/>
      <c r="P322" s="8" t="s">
        <v>704</v>
      </c>
      <c r="Q322" s="9" t="e">
        <f t="shared" si="14"/>
        <v>#REF!</v>
      </c>
      <c r="R322" s="2" t="s">
        <v>828</v>
      </c>
    </row>
    <row r="323" spans="1:19" x14ac:dyDescent="0.25">
      <c r="A323" s="8" t="s">
        <v>253</v>
      </c>
      <c r="B323" s="8" t="s">
        <v>13</v>
      </c>
      <c r="C323" s="13">
        <v>45923</v>
      </c>
      <c r="D323" s="13">
        <v>46022</v>
      </c>
      <c r="E323" s="8" t="s">
        <v>750</v>
      </c>
      <c r="F323" s="8" t="s">
        <v>14</v>
      </c>
      <c r="G323" s="8">
        <v>36952916</v>
      </c>
      <c r="H323" s="8" t="s">
        <v>254</v>
      </c>
      <c r="I323" s="8">
        <v>59836926</v>
      </c>
      <c r="J323" s="8" t="s">
        <v>14</v>
      </c>
      <c r="K323" s="8" t="s">
        <v>17</v>
      </c>
      <c r="L323" s="1" t="e">
        <f>VLOOKUP(A323,#REF!,2,0)</f>
        <v>#REF!</v>
      </c>
      <c r="M323" s="1">
        <v>7350000</v>
      </c>
      <c r="N323" s="9">
        <v>22050000</v>
      </c>
      <c r="O323" s="9"/>
      <c r="P323" s="8" t="s">
        <v>704</v>
      </c>
      <c r="Q323" s="9" t="e">
        <f t="shared" si="14"/>
        <v>#REF!</v>
      </c>
      <c r="R323" s="2" t="s">
        <v>828</v>
      </c>
    </row>
    <row r="324" spans="1:19" x14ac:dyDescent="0.25">
      <c r="A324" s="8" t="s">
        <v>601</v>
      </c>
      <c r="B324" s="8" t="s">
        <v>13</v>
      </c>
      <c r="C324" s="13">
        <v>45931</v>
      </c>
      <c r="D324" s="13">
        <v>46022</v>
      </c>
      <c r="E324" s="8" t="s">
        <v>808</v>
      </c>
      <c r="F324" s="8" t="s">
        <v>14</v>
      </c>
      <c r="G324" s="8">
        <v>1085298800</v>
      </c>
      <c r="H324" s="8" t="s">
        <v>602</v>
      </c>
      <c r="I324" s="8">
        <v>98390119</v>
      </c>
      <c r="J324" s="8" t="s">
        <v>14</v>
      </c>
      <c r="K324" s="8" t="s">
        <v>63</v>
      </c>
      <c r="L324" s="1" t="e">
        <f>VLOOKUP(A324,#REF!,2,0)</f>
        <v>#REF!</v>
      </c>
      <c r="M324" s="1">
        <v>15600000</v>
      </c>
      <c r="N324" s="9">
        <v>23400000</v>
      </c>
      <c r="O324" s="9"/>
      <c r="P324" s="8" t="s">
        <v>704</v>
      </c>
      <c r="Q324" s="9" t="e">
        <f t="shared" si="14"/>
        <v>#REF!</v>
      </c>
      <c r="R324" s="2" t="s">
        <v>828</v>
      </c>
    </row>
    <row r="325" spans="1:19" x14ac:dyDescent="0.25">
      <c r="A325" s="8" t="s">
        <v>503</v>
      </c>
      <c r="B325" s="8" t="s">
        <v>13</v>
      </c>
      <c r="C325" s="13">
        <v>45911</v>
      </c>
      <c r="D325" s="13">
        <v>46022</v>
      </c>
      <c r="E325" s="8" t="s">
        <v>719</v>
      </c>
      <c r="F325" s="8" t="s">
        <v>14</v>
      </c>
      <c r="G325" s="8">
        <v>1084224761</v>
      </c>
      <c r="H325" s="8" t="s">
        <v>504</v>
      </c>
      <c r="I325" s="8">
        <v>98333941</v>
      </c>
      <c r="J325" s="8" t="s">
        <v>14</v>
      </c>
      <c r="K325" s="8" t="s">
        <v>15</v>
      </c>
      <c r="L325" s="1" t="e">
        <f>VLOOKUP(A325,#REF!,2,0)</f>
        <v>#REF!</v>
      </c>
      <c r="M325" s="1">
        <v>22050000</v>
      </c>
      <c r="N325" s="9">
        <v>25200000</v>
      </c>
      <c r="O325" s="9"/>
      <c r="P325" s="8" t="s">
        <v>704</v>
      </c>
      <c r="Q325" s="9" t="e">
        <f t="shared" si="14"/>
        <v>#REF!</v>
      </c>
      <c r="R325" s="2" t="s">
        <v>828</v>
      </c>
    </row>
    <row r="326" spans="1:19" x14ac:dyDescent="0.25">
      <c r="A326" s="8" t="s">
        <v>603</v>
      </c>
      <c r="B326" s="8" t="s">
        <v>13</v>
      </c>
      <c r="C326" s="13">
        <v>45911</v>
      </c>
      <c r="D326" s="13">
        <v>46022</v>
      </c>
      <c r="E326" s="8" t="s">
        <v>719</v>
      </c>
      <c r="F326" s="8" t="s">
        <v>14</v>
      </c>
      <c r="G326" s="8">
        <v>27090399</v>
      </c>
      <c r="H326" s="8" t="s">
        <v>604</v>
      </c>
      <c r="I326" s="8">
        <v>98333941</v>
      </c>
      <c r="J326" s="8" t="s">
        <v>14</v>
      </c>
      <c r="K326" s="8" t="s">
        <v>15</v>
      </c>
      <c r="L326" s="1" t="e">
        <f>VLOOKUP(A326,#REF!,2,0)</f>
        <v>#REF!</v>
      </c>
      <c r="M326" s="1">
        <v>12600000</v>
      </c>
      <c r="N326" s="9">
        <v>25200000</v>
      </c>
      <c r="O326" s="9"/>
      <c r="P326" s="8" t="s">
        <v>704</v>
      </c>
      <c r="Q326" s="9" t="e">
        <f t="shared" si="14"/>
        <v>#REF!</v>
      </c>
      <c r="R326" s="2" t="s">
        <v>828</v>
      </c>
    </row>
    <row r="327" spans="1:19" x14ac:dyDescent="0.25">
      <c r="A327" s="8" t="s">
        <v>343</v>
      </c>
      <c r="B327" s="8" t="s">
        <v>13</v>
      </c>
      <c r="C327" s="13">
        <v>45909</v>
      </c>
      <c r="D327" s="13">
        <v>46022</v>
      </c>
      <c r="E327" s="8" t="s">
        <v>719</v>
      </c>
      <c r="F327" s="8" t="s">
        <v>14</v>
      </c>
      <c r="G327" s="8">
        <v>1014212900</v>
      </c>
      <c r="H327" s="8" t="s">
        <v>344</v>
      </c>
      <c r="I327" s="8">
        <v>98390119</v>
      </c>
      <c r="J327" s="8" t="s">
        <v>14</v>
      </c>
      <c r="K327" s="8" t="s">
        <v>63</v>
      </c>
      <c r="L327" s="1" t="e">
        <f>VLOOKUP(A327,#REF!,2,0)</f>
        <v>#REF!</v>
      </c>
      <c r="M327" s="1">
        <v>18900000</v>
      </c>
      <c r="N327" s="9">
        <v>25200000</v>
      </c>
      <c r="O327" s="9"/>
      <c r="P327" s="8" t="s">
        <v>704</v>
      </c>
      <c r="Q327" s="9" t="e">
        <f t="shared" si="14"/>
        <v>#REF!</v>
      </c>
      <c r="R327" s="2" t="s">
        <v>828</v>
      </c>
    </row>
    <row r="328" spans="1:19" x14ac:dyDescent="0.25">
      <c r="A328" s="8" t="s">
        <v>334</v>
      </c>
      <c r="B328" s="8" t="s">
        <v>13</v>
      </c>
      <c r="C328" s="13">
        <v>45908</v>
      </c>
      <c r="D328" s="13">
        <v>46022</v>
      </c>
      <c r="E328" s="8" t="s">
        <v>735</v>
      </c>
      <c r="F328" s="8" t="s">
        <v>14</v>
      </c>
      <c r="G328" s="8">
        <v>37086513</v>
      </c>
      <c r="H328" s="8" t="s">
        <v>335</v>
      </c>
      <c r="I328" s="8">
        <v>98333941</v>
      </c>
      <c r="J328" s="8" t="s">
        <v>14</v>
      </c>
      <c r="K328" s="8" t="s">
        <v>15</v>
      </c>
      <c r="L328" s="1" t="e">
        <f>VLOOKUP(A328,#REF!,2,0)</f>
        <v>#REF!</v>
      </c>
      <c r="M328" s="1">
        <v>6300000</v>
      </c>
      <c r="N328" s="9">
        <v>25200000</v>
      </c>
      <c r="O328" s="9"/>
      <c r="P328" s="8" t="s">
        <v>704</v>
      </c>
      <c r="Q328" s="9" t="e">
        <f t="shared" si="14"/>
        <v>#REF!</v>
      </c>
      <c r="R328" s="2" t="s">
        <v>828</v>
      </c>
    </row>
    <row r="329" spans="1:19" x14ac:dyDescent="0.25">
      <c r="A329" s="8" t="s">
        <v>493</v>
      </c>
      <c r="B329" s="8" t="s">
        <v>13</v>
      </c>
      <c r="C329" s="13">
        <v>45908</v>
      </c>
      <c r="D329" s="13">
        <v>46022</v>
      </c>
      <c r="E329" s="8" t="s">
        <v>792</v>
      </c>
      <c r="F329" s="8" t="s">
        <v>14</v>
      </c>
      <c r="G329" s="8">
        <v>1085284997</v>
      </c>
      <c r="H329" s="8" t="s">
        <v>494</v>
      </c>
      <c r="I329" s="8">
        <v>98333941</v>
      </c>
      <c r="J329" s="8" t="s">
        <v>14</v>
      </c>
      <c r="K329" s="8" t="s">
        <v>15</v>
      </c>
      <c r="L329" s="1" t="e">
        <f>VLOOKUP(A329,#REF!,2,0)</f>
        <v>#REF!</v>
      </c>
      <c r="M329" s="1">
        <v>18900000</v>
      </c>
      <c r="N329" s="9">
        <v>25200000</v>
      </c>
      <c r="O329" s="9"/>
      <c r="P329" s="8" t="s">
        <v>704</v>
      </c>
      <c r="Q329" s="9" t="e">
        <f t="shared" si="14"/>
        <v>#REF!</v>
      </c>
      <c r="R329" s="2" t="s">
        <v>828</v>
      </c>
    </row>
    <row r="330" spans="1:19" x14ac:dyDescent="0.25">
      <c r="A330" s="8" t="s">
        <v>481</v>
      </c>
      <c r="B330" s="8" t="s">
        <v>13</v>
      </c>
      <c r="C330" s="13">
        <v>45904</v>
      </c>
      <c r="D330" s="13">
        <v>46022</v>
      </c>
      <c r="E330" s="8" t="s">
        <v>777</v>
      </c>
      <c r="F330" s="8" t="s">
        <v>14</v>
      </c>
      <c r="G330" s="8">
        <v>36757221</v>
      </c>
      <c r="H330" s="8" t="s">
        <v>482</v>
      </c>
      <c r="I330" s="8">
        <v>43624414</v>
      </c>
      <c r="J330" s="8" t="s">
        <v>14</v>
      </c>
      <c r="K330" s="8" t="s">
        <v>18</v>
      </c>
      <c r="L330" s="1" t="e">
        <f>VLOOKUP(A330,#REF!,2,0)</f>
        <v>#REF!</v>
      </c>
      <c r="M330" s="1">
        <v>21140000</v>
      </c>
      <c r="N330" s="9">
        <v>25200000</v>
      </c>
      <c r="O330" s="9"/>
      <c r="P330" s="8" t="s">
        <v>704</v>
      </c>
      <c r="Q330" s="9" t="e">
        <f t="shared" si="14"/>
        <v>#REF!</v>
      </c>
      <c r="R330" s="2" t="s">
        <v>828</v>
      </c>
    </row>
    <row r="331" spans="1:19" x14ac:dyDescent="0.25">
      <c r="A331" s="8" t="s">
        <v>415</v>
      </c>
      <c r="B331" s="8" t="s">
        <v>13</v>
      </c>
      <c r="C331" s="13">
        <v>45911</v>
      </c>
      <c r="D331" s="13">
        <v>46022</v>
      </c>
      <c r="E331" s="8" t="s">
        <v>710</v>
      </c>
      <c r="F331" s="8" t="s">
        <v>14</v>
      </c>
      <c r="G331" s="8">
        <v>1085246871</v>
      </c>
      <c r="H331" s="8" t="s">
        <v>416</v>
      </c>
      <c r="I331" s="8">
        <v>98333941</v>
      </c>
      <c r="J331" s="8" t="s">
        <v>14</v>
      </c>
      <c r="K331" s="8" t="s">
        <v>15</v>
      </c>
      <c r="L331" s="1" t="e">
        <f>VLOOKUP(A331,#REF!,2,0)</f>
        <v>#REF!</v>
      </c>
      <c r="M331" s="1">
        <v>7800000</v>
      </c>
      <c r="N331" s="9">
        <v>31200000</v>
      </c>
      <c r="O331" s="9"/>
      <c r="P331" s="8" t="s">
        <v>704</v>
      </c>
      <c r="Q331" s="9" t="e">
        <f t="shared" si="14"/>
        <v>#REF!</v>
      </c>
      <c r="R331" s="2" t="s">
        <v>828</v>
      </c>
    </row>
    <row r="332" spans="1:19" x14ac:dyDescent="0.25">
      <c r="A332" t="s">
        <v>995</v>
      </c>
      <c r="B332" t="s">
        <v>13</v>
      </c>
      <c r="C332" s="12">
        <v>46024</v>
      </c>
      <c r="D332" s="12">
        <v>46112</v>
      </c>
      <c r="E332" t="s">
        <v>775</v>
      </c>
      <c r="F332" t="s">
        <v>14</v>
      </c>
      <c r="G332">
        <v>1085275879</v>
      </c>
      <c r="H332" t="s">
        <v>59</v>
      </c>
      <c r="I332">
        <v>98390119</v>
      </c>
      <c r="J332" t="s">
        <v>14</v>
      </c>
      <c r="K332" t="s">
        <v>63</v>
      </c>
      <c r="L332" s="1" t="e">
        <f>VLOOKUP(A332,#REF!,2,0)</f>
        <v>#REF!</v>
      </c>
      <c r="M332" s="1">
        <v>6300000</v>
      </c>
      <c r="N332" s="10">
        <v>18900000</v>
      </c>
      <c r="O332" s="10"/>
      <c r="P332" t="s">
        <v>704</v>
      </c>
      <c r="Q332" s="1" t="e">
        <f t="shared" si="14"/>
        <v>#REF!</v>
      </c>
      <c r="S332" s="11" t="s">
        <v>1036</v>
      </c>
    </row>
    <row r="333" spans="1:19" x14ac:dyDescent="0.25">
      <c r="A333" t="s">
        <v>1044</v>
      </c>
      <c r="B333" t="s">
        <v>13</v>
      </c>
      <c r="C333" s="12">
        <v>46024</v>
      </c>
      <c r="D333" s="12">
        <v>46112</v>
      </c>
      <c r="E333" t="s">
        <v>775</v>
      </c>
      <c r="F333" t="s">
        <v>14</v>
      </c>
      <c r="G333">
        <v>1081594639</v>
      </c>
      <c r="H333" t="s">
        <v>887</v>
      </c>
      <c r="I333">
        <v>43624414</v>
      </c>
      <c r="J333" t="s">
        <v>14</v>
      </c>
      <c r="K333" t="s">
        <v>18</v>
      </c>
      <c r="L333" s="1" t="e">
        <f>VLOOKUP(A333,#REF!,2,0)</f>
        <v>#REF!</v>
      </c>
      <c r="M333" s="1">
        <v>3150000</v>
      </c>
      <c r="N333" s="10">
        <v>9450000</v>
      </c>
      <c r="O333" s="10"/>
      <c r="P333" t="s">
        <v>704</v>
      </c>
      <c r="Q333" s="1" t="e">
        <f t="shared" ref="Q333:Q335" si="15">N333-L333</f>
        <v>#REF!</v>
      </c>
      <c r="S333" s="11" t="s">
        <v>1036</v>
      </c>
    </row>
    <row r="334" spans="1:19" x14ac:dyDescent="0.25">
      <c r="A334" t="s">
        <v>1018</v>
      </c>
      <c r="B334" t="s">
        <v>13</v>
      </c>
      <c r="C334" s="12">
        <v>46024</v>
      </c>
      <c r="D334" s="12">
        <v>46112</v>
      </c>
      <c r="E334" t="s">
        <v>775</v>
      </c>
      <c r="F334" t="s">
        <v>14</v>
      </c>
      <c r="G334">
        <v>1086328142</v>
      </c>
      <c r="H334" t="s">
        <v>85</v>
      </c>
      <c r="I334">
        <v>43624414</v>
      </c>
      <c r="J334" t="s">
        <v>14</v>
      </c>
      <c r="K334" t="s">
        <v>18</v>
      </c>
      <c r="L334" s="1" t="e">
        <f>VLOOKUP(A334,#REF!,2,0)</f>
        <v>#REF!</v>
      </c>
      <c r="M334" s="1">
        <v>3150000</v>
      </c>
      <c r="N334" s="10">
        <v>9450000</v>
      </c>
      <c r="O334" s="10"/>
      <c r="P334" t="s">
        <v>704</v>
      </c>
      <c r="Q334" s="1" t="e">
        <f t="shared" si="15"/>
        <v>#REF!</v>
      </c>
      <c r="S334" s="11" t="s">
        <v>1036</v>
      </c>
    </row>
    <row r="335" spans="1:19" x14ac:dyDescent="0.25">
      <c r="A335" t="s">
        <v>1019</v>
      </c>
      <c r="B335" t="s">
        <v>13</v>
      </c>
      <c r="C335" s="12">
        <v>46024</v>
      </c>
      <c r="D335" s="12">
        <v>46112</v>
      </c>
      <c r="E335" t="s">
        <v>775</v>
      </c>
      <c r="F335" t="s">
        <v>14</v>
      </c>
      <c r="G335">
        <v>37084285</v>
      </c>
      <c r="H335" t="s">
        <v>29</v>
      </c>
      <c r="I335">
        <v>98333941</v>
      </c>
      <c r="J335" t="s">
        <v>14</v>
      </c>
      <c r="K335" t="s">
        <v>15</v>
      </c>
      <c r="L335" s="1" t="e">
        <f>VLOOKUP(A335,#REF!,2,0)</f>
        <v>#REF!</v>
      </c>
      <c r="M335" s="1">
        <v>3150000</v>
      </c>
      <c r="N335" s="10">
        <v>9450000</v>
      </c>
      <c r="O335" s="10"/>
      <c r="P335" t="s">
        <v>704</v>
      </c>
      <c r="Q335" s="1" t="e">
        <f t="shared" si="15"/>
        <v>#REF!</v>
      </c>
      <c r="S335" s="11" t="s">
        <v>1036</v>
      </c>
    </row>
    <row r="336" spans="1:19" x14ac:dyDescent="0.25">
      <c r="A336" s="8" t="s">
        <v>665</v>
      </c>
      <c r="B336" s="8" t="s">
        <v>13</v>
      </c>
      <c r="C336" s="13">
        <v>45909</v>
      </c>
      <c r="D336" s="13">
        <v>46022</v>
      </c>
      <c r="E336" s="8" t="s">
        <v>710</v>
      </c>
      <c r="F336" s="8" t="s">
        <v>14</v>
      </c>
      <c r="G336" s="8">
        <v>1085244624</v>
      </c>
      <c r="H336" s="8" t="s">
        <v>666</v>
      </c>
      <c r="I336" s="8">
        <v>98333941</v>
      </c>
      <c r="J336" s="8" t="s">
        <v>14</v>
      </c>
      <c r="K336" s="8" t="s">
        <v>15</v>
      </c>
      <c r="L336" s="1" t="e">
        <f>VLOOKUP(A336,#REF!,2,0)</f>
        <v>#REF!</v>
      </c>
      <c r="M336" s="1">
        <v>3900000</v>
      </c>
      <c r="N336" s="9">
        <v>31200000</v>
      </c>
      <c r="O336" s="9"/>
      <c r="P336" s="8" t="s">
        <v>704</v>
      </c>
      <c r="Q336" s="9" t="e">
        <f>N336-L336</f>
        <v>#REF!</v>
      </c>
      <c r="R336" s="2" t="s">
        <v>828</v>
      </c>
    </row>
    <row r="337" spans="1:19" x14ac:dyDescent="0.25">
      <c r="A337" t="s">
        <v>1045</v>
      </c>
      <c r="B337" t="s">
        <v>13</v>
      </c>
      <c r="C337" s="12">
        <v>46024</v>
      </c>
      <c r="D337" s="12">
        <v>46112</v>
      </c>
      <c r="E337" t="s">
        <v>775</v>
      </c>
      <c r="F337" t="s">
        <v>14</v>
      </c>
      <c r="G337">
        <v>1086361622</v>
      </c>
      <c r="H337" t="s">
        <v>267</v>
      </c>
      <c r="I337">
        <v>98390119</v>
      </c>
      <c r="J337" t="s">
        <v>14</v>
      </c>
      <c r="K337" t="s">
        <v>63</v>
      </c>
      <c r="L337" s="1" t="e">
        <f>VLOOKUP(A337,#REF!,2,0)</f>
        <v>#REF!</v>
      </c>
      <c r="M337" s="1">
        <v>0</v>
      </c>
      <c r="N337" s="10">
        <v>9450000</v>
      </c>
      <c r="O337" s="10"/>
      <c r="P337" t="s">
        <v>704</v>
      </c>
      <c r="Q337" s="1" t="e">
        <f>N337-L337</f>
        <v>#REF!</v>
      </c>
      <c r="S337" s="11" t="s">
        <v>1036</v>
      </c>
    </row>
    <row r="338" spans="1:19" x14ac:dyDescent="0.25">
      <c r="A338" t="s">
        <v>1046</v>
      </c>
      <c r="B338" t="s">
        <v>13</v>
      </c>
      <c r="C338" s="12">
        <v>46024</v>
      </c>
      <c r="D338" s="12">
        <v>46112</v>
      </c>
      <c r="E338" t="s">
        <v>775</v>
      </c>
      <c r="F338" t="s">
        <v>14</v>
      </c>
      <c r="G338">
        <v>1005977438</v>
      </c>
      <c r="H338" t="s">
        <v>133</v>
      </c>
      <c r="I338">
        <v>98390119</v>
      </c>
      <c r="J338" t="s">
        <v>14</v>
      </c>
      <c r="K338" t="s">
        <v>63</v>
      </c>
      <c r="L338" s="1" t="e">
        <f>VLOOKUP(A338,#REF!,2,0)</f>
        <v>#REF!</v>
      </c>
      <c r="M338" s="1">
        <v>3150000</v>
      </c>
      <c r="N338" s="10">
        <v>9450000</v>
      </c>
      <c r="O338" s="10"/>
      <c r="P338" t="s">
        <v>704</v>
      </c>
      <c r="Q338" s="1" t="e">
        <f t="shared" ref="Q338:Q401" si="16">N338-L338</f>
        <v>#REF!</v>
      </c>
      <c r="S338" s="11" t="s">
        <v>1036</v>
      </c>
    </row>
    <row r="339" spans="1:19" x14ac:dyDescent="0.25">
      <c r="A339" t="s">
        <v>1047</v>
      </c>
      <c r="B339" t="s">
        <v>13</v>
      </c>
      <c r="C339" s="12">
        <v>46024</v>
      </c>
      <c r="D339" s="12">
        <v>46112</v>
      </c>
      <c r="E339" t="s">
        <v>775</v>
      </c>
      <c r="F339" t="s">
        <v>14</v>
      </c>
      <c r="G339">
        <v>1086755989</v>
      </c>
      <c r="H339" t="s">
        <v>930</v>
      </c>
      <c r="I339">
        <v>59836926</v>
      </c>
      <c r="J339" t="s">
        <v>14</v>
      </c>
      <c r="K339" t="s">
        <v>17</v>
      </c>
      <c r="L339" s="1" t="e">
        <f>VLOOKUP(A339,#REF!,2,0)</f>
        <v>#REF!</v>
      </c>
      <c r="M339" s="1">
        <v>6300000</v>
      </c>
      <c r="N339" s="10">
        <v>18900000</v>
      </c>
      <c r="O339" s="10"/>
      <c r="P339" t="s">
        <v>704</v>
      </c>
      <c r="Q339" s="1" t="e">
        <f t="shared" si="16"/>
        <v>#REF!</v>
      </c>
      <c r="S339" s="11" t="s">
        <v>1036</v>
      </c>
    </row>
    <row r="340" spans="1:19" x14ac:dyDescent="0.25">
      <c r="A340" t="s">
        <v>998</v>
      </c>
      <c r="B340" t="s">
        <v>13</v>
      </c>
      <c r="C340" s="12">
        <v>46024</v>
      </c>
      <c r="D340" s="12">
        <v>46112</v>
      </c>
      <c r="E340" t="s">
        <v>744</v>
      </c>
      <c r="F340" t="s">
        <v>14</v>
      </c>
      <c r="G340">
        <v>1233189066</v>
      </c>
      <c r="H340" t="s">
        <v>854</v>
      </c>
      <c r="I340">
        <v>98390119</v>
      </c>
      <c r="J340" t="s">
        <v>14</v>
      </c>
      <c r="K340" t="s">
        <v>63</v>
      </c>
      <c r="L340" s="1" t="e">
        <f>VLOOKUP(A340,#REF!,2,0)</f>
        <v>#REF!</v>
      </c>
      <c r="M340" s="1">
        <v>7800000</v>
      </c>
      <c r="N340" s="10">
        <v>7800000</v>
      </c>
      <c r="O340" s="10"/>
      <c r="P340" t="s">
        <v>704</v>
      </c>
      <c r="Q340" s="1" t="e">
        <f t="shared" si="16"/>
        <v>#REF!</v>
      </c>
      <c r="S340" s="11" t="s">
        <v>1036</v>
      </c>
    </row>
    <row r="341" spans="1:19" x14ac:dyDescent="0.25">
      <c r="A341" t="s">
        <v>1003</v>
      </c>
      <c r="B341" t="s">
        <v>13</v>
      </c>
      <c r="C341" s="12">
        <v>46024</v>
      </c>
      <c r="D341" s="12">
        <v>46112</v>
      </c>
      <c r="E341" t="s">
        <v>744</v>
      </c>
      <c r="F341" t="s">
        <v>14</v>
      </c>
      <c r="G341">
        <v>80765093</v>
      </c>
      <c r="H341" t="s">
        <v>20</v>
      </c>
      <c r="I341">
        <v>59836926</v>
      </c>
      <c r="J341" t="s">
        <v>14</v>
      </c>
      <c r="K341" t="s">
        <v>17</v>
      </c>
      <c r="L341" s="1" t="e">
        <f>VLOOKUP(A341,#REF!,2,0)</f>
        <v>#REF!</v>
      </c>
      <c r="M341" s="1">
        <v>7800000</v>
      </c>
      <c r="N341" s="10">
        <v>23400000</v>
      </c>
      <c r="O341" s="10"/>
      <c r="P341" t="s">
        <v>704</v>
      </c>
      <c r="Q341" s="1" t="e">
        <f t="shared" si="16"/>
        <v>#REF!</v>
      </c>
      <c r="S341" s="11" t="s">
        <v>1036</v>
      </c>
    </row>
    <row r="342" spans="1:19" x14ac:dyDescent="0.25">
      <c r="A342" t="s">
        <v>1048</v>
      </c>
      <c r="B342" t="s">
        <v>13</v>
      </c>
      <c r="C342" s="12">
        <v>46024</v>
      </c>
      <c r="D342" s="12">
        <v>46112</v>
      </c>
      <c r="E342" t="s">
        <v>775</v>
      </c>
      <c r="F342" t="s">
        <v>14</v>
      </c>
      <c r="G342">
        <v>1085283868</v>
      </c>
      <c r="H342" t="s">
        <v>414</v>
      </c>
      <c r="I342">
        <v>43624414</v>
      </c>
      <c r="J342" t="s">
        <v>14</v>
      </c>
      <c r="K342" t="s">
        <v>18</v>
      </c>
      <c r="L342" s="1" t="e">
        <f>VLOOKUP(A342,#REF!,2,0)</f>
        <v>#REF!</v>
      </c>
      <c r="M342" s="1">
        <v>6300000</v>
      </c>
      <c r="N342" s="10">
        <v>18900000</v>
      </c>
      <c r="O342" s="10"/>
      <c r="P342" t="s">
        <v>704</v>
      </c>
      <c r="Q342" s="1" t="e">
        <f t="shared" si="16"/>
        <v>#REF!</v>
      </c>
      <c r="S342" s="11" t="s">
        <v>1036</v>
      </c>
    </row>
    <row r="343" spans="1:19" x14ac:dyDescent="0.25">
      <c r="A343" t="s">
        <v>999</v>
      </c>
      <c r="B343" t="s">
        <v>13</v>
      </c>
      <c r="C343" s="12">
        <v>46024</v>
      </c>
      <c r="D343" s="12">
        <v>46112</v>
      </c>
      <c r="E343" t="s">
        <v>744</v>
      </c>
      <c r="F343" t="s">
        <v>14</v>
      </c>
      <c r="G343">
        <v>59816986</v>
      </c>
      <c r="H343" t="s">
        <v>447</v>
      </c>
      <c r="I343">
        <v>98390119</v>
      </c>
      <c r="J343" t="s">
        <v>14</v>
      </c>
      <c r="K343" t="s">
        <v>63</v>
      </c>
      <c r="L343" s="1" t="e">
        <f>VLOOKUP(A343,#REF!,2,0)</f>
        <v>#REF!</v>
      </c>
      <c r="M343" s="1">
        <v>4730000</v>
      </c>
      <c r="N343" s="10">
        <v>14190000</v>
      </c>
      <c r="O343" s="10"/>
      <c r="P343" t="s">
        <v>704</v>
      </c>
      <c r="Q343" s="1" t="e">
        <f t="shared" si="16"/>
        <v>#REF!</v>
      </c>
      <c r="S343" s="11" t="s">
        <v>1036</v>
      </c>
    </row>
    <row r="344" spans="1:19" x14ac:dyDescent="0.25">
      <c r="A344" t="s">
        <v>1026</v>
      </c>
      <c r="B344" t="s">
        <v>13</v>
      </c>
      <c r="C344" s="12">
        <v>46024</v>
      </c>
      <c r="D344" s="12">
        <v>46112</v>
      </c>
      <c r="E344" t="s">
        <v>744</v>
      </c>
      <c r="F344" t="s">
        <v>14</v>
      </c>
      <c r="G344">
        <v>36756149</v>
      </c>
      <c r="H344" t="s">
        <v>159</v>
      </c>
      <c r="I344">
        <v>98390119</v>
      </c>
      <c r="J344" t="s">
        <v>14</v>
      </c>
      <c r="K344" t="s">
        <v>63</v>
      </c>
      <c r="L344" s="1" t="e">
        <f>VLOOKUP(A344,#REF!,2,0)</f>
        <v>#REF!</v>
      </c>
      <c r="M344" s="1">
        <v>4730000</v>
      </c>
      <c r="N344" s="10">
        <v>14190000</v>
      </c>
      <c r="O344" s="10"/>
      <c r="P344" t="s">
        <v>704</v>
      </c>
      <c r="Q344" s="1" t="e">
        <f t="shared" si="16"/>
        <v>#REF!</v>
      </c>
      <c r="S344" s="11" t="s">
        <v>1036</v>
      </c>
    </row>
    <row r="345" spans="1:19" x14ac:dyDescent="0.25">
      <c r="A345" t="s">
        <v>1049</v>
      </c>
      <c r="B345" t="s">
        <v>13</v>
      </c>
      <c r="C345" s="12">
        <v>46024</v>
      </c>
      <c r="D345" s="12">
        <v>46112</v>
      </c>
      <c r="E345" t="s">
        <v>744</v>
      </c>
      <c r="F345" t="s">
        <v>14</v>
      </c>
      <c r="G345">
        <v>1082749648</v>
      </c>
      <c r="H345" t="s">
        <v>459</v>
      </c>
      <c r="I345">
        <v>43624414</v>
      </c>
      <c r="J345" t="s">
        <v>14</v>
      </c>
      <c r="K345" t="s">
        <v>18</v>
      </c>
      <c r="L345" s="1" t="e">
        <f>VLOOKUP(A345,#REF!,2,0)</f>
        <v>#REF!</v>
      </c>
      <c r="M345" s="1">
        <v>4730000</v>
      </c>
      <c r="N345" s="10">
        <v>14190000</v>
      </c>
      <c r="O345" s="10"/>
      <c r="P345" t="s">
        <v>704</v>
      </c>
      <c r="Q345" s="1" t="e">
        <f t="shared" si="16"/>
        <v>#REF!</v>
      </c>
      <c r="S345" s="11" t="s">
        <v>1036</v>
      </c>
    </row>
    <row r="346" spans="1:19" x14ac:dyDescent="0.25">
      <c r="A346" t="s">
        <v>1050</v>
      </c>
      <c r="B346" t="s">
        <v>13</v>
      </c>
      <c r="C346" s="12">
        <v>46024</v>
      </c>
      <c r="D346" s="12">
        <v>46112</v>
      </c>
      <c r="E346" t="s">
        <v>775</v>
      </c>
      <c r="F346" t="s">
        <v>14</v>
      </c>
      <c r="G346">
        <v>59825948</v>
      </c>
      <c r="H346" t="s">
        <v>34</v>
      </c>
      <c r="I346">
        <v>43624414</v>
      </c>
      <c r="J346" t="s">
        <v>14</v>
      </c>
      <c r="K346" t="s">
        <v>18</v>
      </c>
      <c r="L346" s="1" t="e">
        <f>VLOOKUP(A346,#REF!,2,0)</f>
        <v>#REF!</v>
      </c>
      <c r="M346" s="1">
        <v>6300000</v>
      </c>
      <c r="N346" s="10">
        <v>18900000</v>
      </c>
      <c r="O346" s="10"/>
      <c r="P346" t="s">
        <v>704</v>
      </c>
      <c r="Q346" s="1" t="e">
        <f t="shared" si="16"/>
        <v>#REF!</v>
      </c>
      <c r="S346" s="11" t="s">
        <v>1036</v>
      </c>
    </row>
    <row r="347" spans="1:19" x14ac:dyDescent="0.25">
      <c r="A347" t="s">
        <v>986</v>
      </c>
      <c r="B347" t="s">
        <v>13</v>
      </c>
      <c r="C347" s="12">
        <v>46024</v>
      </c>
      <c r="D347" s="12">
        <v>46112</v>
      </c>
      <c r="E347" t="s">
        <v>744</v>
      </c>
      <c r="F347" t="s">
        <v>14</v>
      </c>
      <c r="G347">
        <v>1085336362</v>
      </c>
      <c r="H347" t="s">
        <v>49</v>
      </c>
      <c r="I347">
        <v>98333941</v>
      </c>
      <c r="J347" t="s">
        <v>14</v>
      </c>
      <c r="K347" t="s">
        <v>15</v>
      </c>
      <c r="L347" s="1" t="e">
        <f>VLOOKUP(A347,#REF!,2,0)</f>
        <v>#REF!</v>
      </c>
      <c r="M347" s="1">
        <v>7800000</v>
      </c>
      <c r="N347" s="10">
        <v>23400000</v>
      </c>
      <c r="O347" s="10"/>
      <c r="P347" t="s">
        <v>704</v>
      </c>
      <c r="Q347" s="1" t="e">
        <f t="shared" si="16"/>
        <v>#REF!</v>
      </c>
      <c r="S347" s="11" t="s">
        <v>1036</v>
      </c>
    </row>
    <row r="348" spans="1:19" x14ac:dyDescent="0.25">
      <c r="A348" t="s">
        <v>1004</v>
      </c>
      <c r="B348" t="s">
        <v>13</v>
      </c>
      <c r="C348" s="12">
        <v>46024</v>
      </c>
      <c r="D348" s="12">
        <v>46112</v>
      </c>
      <c r="E348" t="s">
        <v>744</v>
      </c>
      <c r="F348" t="s">
        <v>14</v>
      </c>
      <c r="G348">
        <v>1006946167</v>
      </c>
      <c r="H348" t="s">
        <v>303</v>
      </c>
      <c r="I348">
        <v>59836926</v>
      </c>
      <c r="J348" t="s">
        <v>14</v>
      </c>
      <c r="K348" t="s">
        <v>17</v>
      </c>
      <c r="L348" s="1" t="e">
        <f>VLOOKUP(A348,#REF!,2,0)</f>
        <v>#REF!</v>
      </c>
      <c r="M348" s="1">
        <v>7800000</v>
      </c>
      <c r="N348" s="10">
        <v>23400000</v>
      </c>
      <c r="O348" s="10"/>
      <c r="P348" t="s">
        <v>704</v>
      </c>
      <c r="Q348" s="1" t="e">
        <f t="shared" si="16"/>
        <v>#REF!</v>
      </c>
      <c r="S348" s="11" t="s">
        <v>1036</v>
      </c>
    </row>
    <row r="349" spans="1:19" x14ac:dyDescent="0.25">
      <c r="A349" t="s">
        <v>1051</v>
      </c>
      <c r="B349" t="s">
        <v>13</v>
      </c>
      <c r="C349" s="12">
        <v>46024</v>
      </c>
      <c r="D349" s="12">
        <v>46112</v>
      </c>
      <c r="E349" t="s">
        <v>775</v>
      </c>
      <c r="F349" t="s">
        <v>14</v>
      </c>
      <c r="G349">
        <v>1085275473</v>
      </c>
      <c r="H349" t="s">
        <v>857</v>
      </c>
      <c r="I349">
        <v>98390119</v>
      </c>
      <c r="J349" t="s">
        <v>14</v>
      </c>
      <c r="K349" t="s">
        <v>63</v>
      </c>
      <c r="L349" s="1" t="e">
        <f>VLOOKUP(A349,#REF!,2,0)</f>
        <v>#REF!</v>
      </c>
      <c r="M349" s="1">
        <v>3150000</v>
      </c>
      <c r="N349" s="10">
        <v>9450000</v>
      </c>
      <c r="O349" s="10"/>
      <c r="P349" t="s">
        <v>704</v>
      </c>
      <c r="Q349" s="1" t="e">
        <f t="shared" si="16"/>
        <v>#REF!</v>
      </c>
      <c r="S349" s="11" t="s">
        <v>1036</v>
      </c>
    </row>
    <row r="350" spans="1:19" x14ac:dyDescent="0.25">
      <c r="A350" t="s">
        <v>1025</v>
      </c>
      <c r="B350" t="s">
        <v>13</v>
      </c>
      <c r="C350" s="12">
        <v>46024</v>
      </c>
      <c r="D350" s="12">
        <v>46112</v>
      </c>
      <c r="E350" t="s">
        <v>775</v>
      </c>
      <c r="F350" t="s">
        <v>14</v>
      </c>
      <c r="G350">
        <v>59833899</v>
      </c>
      <c r="H350" t="s">
        <v>78</v>
      </c>
      <c r="I350">
        <v>43624414</v>
      </c>
      <c r="J350" t="s">
        <v>14</v>
      </c>
      <c r="K350" t="s">
        <v>18</v>
      </c>
      <c r="L350" s="1" t="e">
        <f>VLOOKUP(A350,#REF!,2,0)</f>
        <v>#REF!</v>
      </c>
      <c r="M350" s="1">
        <v>3150000</v>
      </c>
      <c r="N350" s="10">
        <v>9450000</v>
      </c>
      <c r="O350" s="10"/>
      <c r="P350" t="s">
        <v>704</v>
      </c>
      <c r="Q350" s="1" t="e">
        <f t="shared" si="16"/>
        <v>#REF!</v>
      </c>
      <c r="S350" s="11" t="s">
        <v>1036</v>
      </c>
    </row>
    <row r="351" spans="1:19" x14ac:dyDescent="0.25">
      <c r="A351" t="s">
        <v>993</v>
      </c>
      <c r="B351" t="s">
        <v>13</v>
      </c>
      <c r="C351" s="12">
        <v>46024</v>
      </c>
      <c r="D351" s="12">
        <v>46112</v>
      </c>
      <c r="E351" t="s">
        <v>744</v>
      </c>
      <c r="F351" t="s">
        <v>14</v>
      </c>
      <c r="G351">
        <v>36759759</v>
      </c>
      <c r="H351" t="s">
        <v>26</v>
      </c>
      <c r="I351">
        <v>98390119</v>
      </c>
      <c r="J351" t="s">
        <v>14</v>
      </c>
      <c r="K351" t="s">
        <v>63</v>
      </c>
      <c r="L351" s="1" t="e">
        <f>VLOOKUP(A351,#REF!,2,0)</f>
        <v>#REF!</v>
      </c>
      <c r="M351" s="1">
        <v>4730000</v>
      </c>
      <c r="N351" s="10">
        <v>14190000</v>
      </c>
      <c r="O351" s="10"/>
      <c r="P351" t="s">
        <v>704</v>
      </c>
      <c r="Q351" s="1" t="e">
        <f t="shared" si="16"/>
        <v>#REF!</v>
      </c>
      <c r="S351" s="11" t="s">
        <v>1036</v>
      </c>
    </row>
    <row r="352" spans="1:19" x14ac:dyDescent="0.25">
      <c r="A352" t="s">
        <v>1052</v>
      </c>
      <c r="B352" t="s">
        <v>13</v>
      </c>
      <c r="C352" s="12">
        <v>46024</v>
      </c>
      <c r="D352" s="12">
        <v>46112</v>
      </c>
      <c r="E352" t="s">
        <v>775</v>
      </c>
      <c r="F352" t="s">
        <v>14</v>
      </c>
      <c r="G352">
        <v>1085248939</v>
      </c>
      <c r="H352" t="s">
        <v>586</v>
      </c>
      <c r="I352">
        <v>98333941</v>
      </c>
      <c r="J352" t="s">
        <v>14</v>
      </c>
      <c r="K352" t="s">
        <v>15</v>
      </c>
      <c r="L352" s="1" t="e">
        <f>VLOOKUP(A352,#REF!,2,0)</f>
        <v>#REF!</v>
      </c>
      <c r="M352" s="1">
        <v>0</v>
      </c>
      <c r="N352" s="10">
        <v>18900000</v>
      </c>
      <c r="O352" s="10"/>
      <c r="P352" t="s">
        <v>704</v>
      </c>
      <c r="Q352" s="1" t="e">
        <f t="shared" si="16"/>
        <v>#REF!</v>
      </c>
      <c r="S352" s="11" t="s">
        <v>1036</v>
      </c>
    </row>
    <row r="353" spans="1:19" x14ac:dyDescent="0.25">
      <c r="A353" t="s">
        <v>992</v>
      </c>
      <c r="B353" t="s">
        <v>13</v>
      </c>
      <c r="C353" s="12">
        <v>46024</v>
      </c>
      <c r="D353" s="12">
        <v>46112</v>
      </c>
      <c r="E353" t="s">
        <v>775</v>
      </c>
      <c r="F353" t="s">
        <v>14</v>
      </c>
      <c r="G353">
        <v>1085339190</v>
      </c>
      <c r="H353" t="s">
        <v>860</v>
      </c>
      <c r="I353">
        <v>98390119</v>
      </c>
      <c r="J353" t="s">
        <v>14</v>
      </c>
      <c r="K353" t="s">
        <v>63</v>
      </c>
      <c r="L353" s="1" t="e">
        <f>VLOOKUP(A353,#REF!,2,0)</f>
        <v>#REF!</v>
      </c>
      <c r="M353" s="1">
        <v>3150000</v>
      </c>
      <c r="N353" s="10">
        <v>9450000</v>
      </c>
      <c r="O353" s="10"/>
      <c r="P353" t="s">
        <v>704</v>
      </c>
      <c r="Q353" s="1" t="e">
        <f t="shared" si="16"/>
        <v>#REF!</v>
      </c>
      <c r="S353" s="11" t="s">
        <v>1036</v>
      </c>
    </row>
    <row r="354" spans="1:19" x14ac:dyDescent="0.25">
      <c r="A354" t="s">
        <v>991</v>
      </c>
      <c r="B354" t="s">
        <v>13</v>
      </c>
      <c r="C354" s="12">
        <v>46024</v>
      </c>
      <c r="D354" s="12">
        <v>46112</v>
      </c>
      <c r="E354" t="s">
        <v>775</v>
      </c>
      <c r="F354" t="s">
        <v>14</v>
      </c>
      <c r="G354">
        <v>1085300095</v>
      </c>
      <c r="H354" t="s">
        <v>27</v>
      </c>
      <c r="I354">
        <v>59836926</v>
      </c>
      <c r="J354" t="s">
        <v>14</v>
      </c>
      <c r="K354" t="s">
        <v>17</v>
      </c>
      <c r="L354" s="1" t="e">
        <f>VLOOKUP(A354,#REF!,2,0)</f>
        <v>#REF!</v>
      </c>
      <c r="M354" s="1">
        <v>3150000</v>
      </c>
      <c r="N354" s="10">
        <v>9450000</v>
      </c>
      <c r="O354" s="10"/>
      <c r="P354" t="s">
        <v>704</v>
      </c>
      <c r="Q354" s="1" t="e">
        <f t="shared" si="16"/>
        <v>#REF!</v>
      </c>
      <c r="S354" s="11" t="s">
        <v>1036</v>
      </c>
    </row>
    <row r="355" spans="1:19" x14ac:dyDescent="0.25">
      <c r="A355" t="s">
        <v>1053</v>
      </c>
      <c r="B355" t="s">
        <v>13</v>
      </c>
      <c r="C355" s="12">
        <v>46024</v>
      </c>
      <c r="D355" s="12">
        <v>46112</v>
      </c>
      <c r="E355" t="s">
        <v>775</v>
      </c>
      <c r="F355" t="s">
        <v>14</v>
      </c>
      <c r="G355">
        <v>59820414</v>
      </c>
      <c r="H355" t="s">
        <v>847</v>
      </c>
      <c r="I355">
        <v>43624414</v>
      </c>
      <c r="J355" t="s">
        <v>14</v>
      </c>
      <c r="K355" t="s">
        <v>18</v>
      </c>
      <c r="L355" s="1" t="e">
        <f>VLOOKUP(A355,#REF!,2,0)</f>
        <v>#REF!</v>
      </c>
      <c r="M355" s="1">
        <v>6300000</v>
      </c>
      <c r="N355" s="10">
        <v>18900000</v>
      </c>
      <c r="O355" s="10"/>
      <c r="P355" t="s">
        <v>704</v>
      </c>
      <c r="Q355" s="1" t="e">
        <f t="shared" si="16"/>
        <v>#REF!</v>
      </c>
      <c r="S355" s="11" t="s">
        <v>1036</v>
      </c>
    </row>
    <row r="356" spans="1:19" x14ac:dyDescent="0.25">
      <c r="A356" t="s">
        <v>997</v>
      </c>
      <c r="B356" t="s">
        <v>13</v>
      </c>
      <c r="C356" s="12">
        <v>46024</v>
      </c>
      <c r="D356" s="12">
        <v>46112</v>
      </c>
      <c r="E356" t="s">
        <v>775</v>
      </c>
      <c r="F356" t="s">
        <v>14</v>
      </c>
      <c r="G356">
        <v>1085338921</v>
      </c>
      <c r="H356" t="s">
        <v>362</v>
      </c>
      <c r="I356">
        <v>98390119</v>
      </c>
      <c r="J356" t="s">
        <v>14</v>
      </c>
      <c r="K356" t="s">
        <v>63</v>
      </c>
      <c r="L356" s="1" t="e">
        <f>VLOOKUP(A356,#REF!,2,0)</f>
        <v>#REF!</v>
      </c>
      <c r="M356" s="1">
        <v>3150000</v>
      </c>
      <c r="N356" s="10">
        <v>9450000</v>
      </c>
      <c r="O356" s="10"/>
      <c r="P356" t="s">
        <v>704</v>
      </c>
      <c r="Q356" s="1" t="e">
        <f t="shared" si="16"/>
        <v>#REF!</v>
      </c>
      <c r="S356" s="11" t="s">
        <v>1036</v>
      </c>
    </row>
    <row r="357" spans="1:19" x14ac:dyDescent="0.25">
      <c r="A357" t="s">
        <v>1007</v>
      </c>
      <c r="B357" t="s">
        <v>13</v>
      </c>
      <c r="C357" s="12">
        <v>46024</v>
      </c>
      <c r="D357" s="12">
        <v>46112</v>
      </c>
      <c r="E357" t="s">
        <v>775</v>
      </c>
      <c r="F357" t="s">
        <v>14</v>
      </c>
      <c r="G357">
        <v>1137624011</v>
      </c>
      <c r="H357" t="s">
        <v>356</v>
      </c>
      <c r="I357">
        <v>98390119</v>
      </c>
      <c r="J357" t="s">
        <v>14</v>
      </c>
      <c r="K357" t="s">
        <v>63</v>
      </c>
      <c r="L357" s="1" t="e">
        <f>VLOOKUP(A357,#REF!,2,0)</f>
        <v>#REF!</v>
      </c>
      <c r="M357" s="1">
        <v>3150000</v>
      </c>
      <c r="N357" s="10">
        <v>9450000</v>
      </c>
      <c r="O357" s="10"/>
      <c r="P357" t="s">
        <v>704</v>
      </c>
      <c r="Q357" s="1" t="e">
        <f t="shared" si="16"/>
        <v>#REF!</v>
      </c>
      <c r="S357" s="11" t="s">
        <v>1036</v>
      </c>
    </row>
    <row r="358" spans="1:19" x14ac:dyDescent="0.25">
      <c r="A358" t="s">
        <v>1054</v>
      </c>
      <c r="B358" t="s">
        <v>13</v>
      </c>
      <c r="C358" s="12">
        <v>46024</v>
      </c>
      <c r="D358" s="12">
        <v>46112</v>
      </c>
      <c r="E358" t="s">
        <v>744</v>
      </c>
      <c r="F358" t="s">
        <v>14</v>
      </c>
      <c r="G358">
        <v>1086331521</v>
      </c>
      <c r="H358" t="s">
        <v>927</v>
      </c>
      <c r="I358">
        <v>43624414</v>
      </c>
      <c r="J358" t="s">
        <v>14</v>
      </c>
      <c r="K358" t="s">
        <v>18</v>
      </c>
      <c r="L358" s="1" t="e">
        <f>VLOOKUP(A358,#REF!,2,0)</f>
        <v>#REF!</v>
      </c>
      <c r="M358" s="1">
        <v>7800000</v>
      </c>
      <c r="N358" s="10">
        <v>23400000</v>
      </c>
      <c r="O358" s="10"/>
      <c r="P358" t="s">
        <v>704</v>
      </c>
      <c r="Q358" s="1" t="e">
        <f t="shared" si="16"/>
        <v>#REF!</v>
      </c>
      <c r="S358" s="11" t="s">
        <v>1036</v>
      </c>
    </row>
    <row r="359" spans="1:19" x14ac:dyDescent="0.25">
      <c r="A359" t="s">
        <v>1055</v>
      </c>
      <c r="B359" t="s">
        <v>13</v>
      </c>
      <c r="C359" s="12">
        <v>46024</v>
      </c>
      <c r="D359" s="12">
        <v>46112</v>
      </c>
      <c r="E359" t="s">
        <v>744</v>
      </c>
      <c r="F359" t="s">
        <v>14</v>
      </c>
      <c r="G359">
        <v>1233193882</v>
      </c>
      <c r="H359" t="s">
        <v>97</v>
      </c>
      <c r="I359">
        <v>43624414</v>
      </c>
      <c r="J359" t="s">
        <v>14</v>
      </c>
      <c r="K359" t="s">
        <v>18</v>
      </c>
      <c r="L359" s="1" t="e">
        <f>VLOOKUP(A359,#REF!,2,0)</f>
        <v>#REF!</v>
      </c>
      <c r="M359" s="1">
        <v>7800000</v>
      </c>
      <c r="N359" s="10">
        <v>23400000</v>
      </c>
      <c r="O359" s="10"/>
      <c r="P359" t="s">
        <v>704</v>
      </c>
      <c r="Q359" s="1" t="e">
        <f t="shared" si="16"/>
        <v>#REF!</v>
      </c>
      <c r="S359" s="11" t="s">
        <v>1036</v>
      </c>
    </row>
    <row r="360" spans="1:19" x14ac:dyDescent="0.25">
      <c r="A360" t="s">
        <v>1005</v>
      </c>
      <c r="B360" t="s">
        <v>13</v>
      </c>
      <c r="C360" s="12">
        <v>46024</v>
      </c>
      <c r="D360" s="12">
        <v>46112</v>
      </c>
      <c r="E360" t="s">
        <v>744</v>
      </c>
      <c r="F360" t="s">
        <v>14</v>
      </c>
      <c r="G360">
        <v>1193383306</v>
      </c>
      <c r="H360" t="s">
        <v>274</v>
      </c>
      <c r="I360">
        <v>59836926</v>
      </c>
      <c r="J360" t="s">
        <v>14</v>
      </c>
      <c r="K360" t="s">
        <v>17</v>
      </c>
      <c r="L360" s="1" t="e">
        <f>VLOOKUP(A360,#REF!,2,0)</f>
        <v>#REF!</v>
      </c>
      <c r="M360" s="1">
        <v>4730000</v>
      </c>
      <c r="N360" s="10">
        <v>14190000</v>
      </c>
      <c r="O360" s="10"/>
      <c r="P360" t="s">
        <v>704</v>
      </c>
      <c r="Q360" s="1" t="e">
        <f t="shared" si="16"/>
        <v>#REF!</v>
      </c>
      <c r="S360" s="11" t="s">
        <v>1036</v>
      </c>
    </row>
    <row r="361" spans="1:19" x14ac:dyDescent="0.25">
      <c r="A361" t="s">
        <v>994</v>
      </c>
      <c r="B361" t="s">
        <v>13</v>
      </c>
      <c r="C361" s="12">
        <v>46024</v>
      </c>
      <c r="D361" s="12">
        <v>46112</v>
      </c>
      <c r="E361" t="s">
        <v>775</v>
      </c>
      <c r="F361" t="s">
        <v>14</v>
      </c>
      <c r="G361">
        <v>1010082397</v>
      </c>
      <c r="H361" t="s">
        <v>44</v>
      </c>
      <c r="I361">
        <v>59836926</v>
      </c>
      <c r="J361" t="s">
        <v>14</v>
      </c>
      <c r="K361" t="s">
        <v>17</v>
      </c>
      <c r="L361" s="1" t="e">
        <f>VLOOKUP(A361,#REF!,2,0)</f>
        <v>#REF!</v>
      </c>
      <c r="M361" s="1">
        <v>3150000</v>
      </c>
      <c r="N361" s="10">
        <v>9450000</v>
      </c>
      <c r="O361" s="10"/>
      <c r="P361" t="s">
        <v>704</v>
      </c>
      <c r="Q361" s="1" t="e">
        <f t="shared" si="16"/>
        <v>#REF!</v>
      </c>
      <c r="S361" s="11" t="s">
        <v>1036</v>
      </c>
    </row>
    <row r="362" spans="1:19" x14ac:dyDescent="0.25">
      <c r="A362" t="s">
        <v>1056</v>
      </c>
      <c r="B362" t="s">
        <v>13</v>
      </c>
      <c r="C362" s="12">
        <v>46024</v>
      </c>
      <c r="D362" s="12">
        <v>46112</v>
      </c>
      <c r="E362" t="s">
        <v>775</v>
      </c>
      <c r="F362" t="s">
        <v>14</v>
      </c>
      <c r="G362">
        <v>30743783</v>
      </c>
      <c r="H362" t="s">
        <v>436</v>
      </c>
      <c r="I362">
        <v>59836926</v>
      </c>
      <c r="J362" t="s">
        <v>14</v>
      </c>
      <c r="K362" t="s">
        <v>17</v>
      </c>
      <c r="L362" s="1" t="e">
        <f>VLOOKUP(A362,#REF!,2,0)</f>
        <v>#REF!</v>
      </c>
      <c r="M362" s="1">
        <v>1260000</v>
      </c>
      <c r="N362" s="10">
        <v>9450000</v>
      </c>
      <c r="O362" s="10"/>
      <c r="P362" t="s">
        <v>704</v>
      </c>
      <c r="Q362" s="1" t="e">
        <f t="shared" si="16"/>
        <v>#REF!</v>
      </c>
      <c r="S362" s="11" t="s">
        <v>1036</v>
      </c>
    </row>
    <row r="363" spans="1:19" x14ac:dyDescent="0.25">
      <c r="A363" t="s">
        <v>1035</v>
      </c>
      <c r="B363" t="s">
        <v>13</v>
      </c>
      <c r="C363" s="12">
        <v>46024</v>
      </c>
      <c r="D363" s="12">
        <v>46112</v>
      </c>
      <c r="E363" t="s">
        <v>744</v>
      </c>
      <c r="F363" t="s">
        <v>14</v>
      </c>
      <c r="G363">
        <v>1087006619</v>
      </c>
      <c r="H363" t="s">
        <v>457</v>
      </c>
      <c r="I363">
        <v>98333941</v>
      </c>
      <c r="J363" t="s">
        <v>14</v>
      </c>
      <c r="K363" t="s">
        <v>15</v>
      </c>
      <c r="L363" s="1" t="e">
        <f>VLOOKUP(A363,#REF!,2,0)</f>
        <v>#REF!</v>
      </c>
      <c r="M363" s="1">
        <v>7800000</v>
      </c>
      <c r="N363" s="10">
        <v>23400000</v>
      </c>
      <c r="O363" s="10"/>
      <c r="P363" t="s">
        <v>704</v>
      </c>
      <c r="Q363" s="1" t="e">
        <f t="shared" si="16"/>
        <v>#REF!</v>
      </c>
      <c r="S363" s="11" t="s">
        <v>1036</v>
      </c>
    </row>
    <row r="364" spans="1:19" x14ac:dyDescent="0.25">
      <c r="A364" t="s">
        <v>1002</v>
      </c>
      <c r="B364" t="s">
        <v>13</v>
      </c>
      <c r="C364" s="12">
        <v>46024</v>
      </c>
      <c r="D364" s="12">
        <v>46112</v>
      </c>
      <c r="E364" t="s">
        <v>744</v>
      </c>
      <c r="F364" t="s">
        <v>14</v>
      </c>
      <c r="G364">
        <v>1085343783</v>
      </c>
      <c r="H364" t="s">
        <v>19</v>
      </c>
      <c r="I364">
        <v>59836926</v>
      </c>
      <c r="J364" t="s">
        <v>14</v>
      </c>
      <c r="K364" t="s">
        <v>17</v>
      </c>
      <c r="L364" s="1" t="e">
        <f>VLOOKUP(A364,#REF!,2,0)</f>
        <v>#REF!</v>
      </c>
      <c r="M364" s="1">
        <v>4730000</v>
      </c>
      <c r="N364" s="10">
        <v>14190000</v>
      </c>
      <c r="O364" s="10"/>
      <c r="P364" t="s">
        <v>704</v>
      </c>
      <c r="Q364" s="1" t="e">
        <f t="shared" si="16"/>
        <v>#REF!</v>
      </c>
      <c r="S364" s="11" t="s">
        <v>1036</v>
      </c>
    </row>
    <row r="365" spans="1:19" x14ac:dyDescent="0.25">
      <c r="A365" t="s">
        <v>989</v>
      </c>
      <c r="B365" t="s">
        <v>13</v>
      </c>
      <c r="C365" s="12">
        <v>46024</v>
      </c>
      <c r="D365" s="12">
        <v>46112</v>
      </c>
      <c r="E365" t="s">
        <v>775</v>
      </c>
      <c r="F365" t="s">
        <v>14</v>
      </c>
      <c r="G365">
        <v>1004235479</v>
      </c>
      <c r="H365" t="s">
        <v>56</v>
      </c>
      <c r="I365">
        <v>98333941</v>
      </c>
      <c r="J365" t="s">
        <v>14</v>
      </c>
      <c r="K365" t="s">
        <v>15</v>
      </c>
      <c r="L365" s="1" t="e">
        <f>VLOOKUP(A365,#REF!,2,0)</f>
        <v>#REF!</v>
      </c>
      <c r="M365" s="1">
        <v>3150000</v>
      </c>
      <c r="N365" s="10">
        <v>9450000</v>
      </c>
      <c r="O365" s="10"/>
      <c r="P365" t="s">
        <v>704</v>
      </c>
      <c r="Q365" s="1" t="e">
        <f t="shared" si="16"/>
        <v>#REF!</v>
      </c>
      <c r="S365" s="11" t="s">
        <v>1036</v>
      </c>
    </row>
    <row r="366" spans="1:19" x14ac:dyDescent="0.25">
      <c r="A366" t="s">
        <v>1024</v>
      </c>
      <c r="B366" t="s">
        <v>13</v>
      </c>
      <c r="C366" s="12">
        <v>46024</v>
      </c>
      <c r="D366" s="12">
        <v>46112</v>
      </c>
      <c r="E366" t="s">
        <v>775</v>
      </c>
      <c r="F366" t="s">
        <v>14</v>
      </c>
      <c r="G366">
        <v>1085344795</v>
      </c>
      <c r="H366" t="s">
        <v>79</v>
      </c>
      <c r="I366">
        <v>43624414</v>
      </c>
      <c r="J366" t="s">
        <v>14</v>
      </c>
      <c r="K366" t="s">
        <v>18</v>
      </c>
      <c r="L366" s="1" t="e">
        <f>VLOOKUP(A366,#REF!,2,0)</f>
        <v>#REF!</v>
      </c>
      <c r="M366" s="1">
        <v>3150000</v>
      </c>
      <c r="N366" s="10">
        <v>9450000</v>
      </c>
      <c r="O366" s="10"/>
      <c r="P366" t="s">
        <v>704</v>
      </c>
      <c r="Q366" s="1" t="e">
        <f t="shared" si="16"/>
        <v>#REF!</v>
      </c>
      <c r="S366" s="11" t="s">
        <v>1036</v>
      </c>
    </row>
    <row r="367" spans="1:19" x14ac:dyDescent="0.25">
      <c r="A367" t="s">
        <v>987</v>
      </c>
      <c r="B367" t="s">
        <v>13</v>
      </c>
      <c r="C367" s="12">
        <v>46024</v>
      </c>
      <c r="D367" s="12">
        <v>46112</v>
      </c>
      <c r="E367" t="s">
        <v>744</v>
      </c>
      <c r="F367" t="s">
        <v>14</v>
      </c>
      <c r="G367">
        <v>1085334279</v>
      </c>
      <c r="H367" t="s">
        <v>558</v>
      </c>
      <c r="I367">
        <v>98333941</v>
      </c>
      <c r="J367" t="s">
        <v>14</v>
      </c>
      <c r="K367" t="s">
        <v>15</v>
      </c>
      <c r="L367" s="1" t="e">
        <f>VLOOKUP(A367,#REF!,2,0)</f>
        <v>#REF!</v>
      </c>
      <c r="M367" s="1">
        <v>7800000</v>
      </c>
      <c r="N367" s="10">
        <v>23400000</v>
      </c>
      <c r="O367" s="10"/>
      <c r="P367" t="s">
        <v>704</v>
      </c>
      <c r="Q367" s="1" t="e">
        <f t="shared" si="16"/>
        <v>#REF!</v>
      </c>
      <c r="S367" s="11" t="s">
        <v>1036</v>
      </c>
    </row>
    <row r="368" spans="1:19" x14ac:dyDescent="0.25">
      <c r="A368" t="s">
        <v>1000</v>
      </c>
      <c r="B368" t="s">
        <v>13</v>
      </c>
      <c r="C368" s="12">
        <v>46024</v>
      </c>
      <c r="D368" s="12">
        <v>46112</v>
      </c>
      <c r="E368" t="s">
        <v>775</v>
      </c>
      <c r="F368" t="s">
        <v>14</v>
      </c>
      <c r="G368">
        <v>1085331508</v>
      </c>
      <c r="H368" t="s">
        <v>191</v>
      </c>
      <c r="I368">
        <v>59836926</v>
      </c>
      <c r="J368" t="s">
        <v>14</v>
      </c>
      <c r="K368" t="s">
        <v>17</v>
      </c>
      <c r="L368" s="1" t="e">
        <f>VLOOKUP(A368,#REF!,2,0)</f>
        <v>#REF!</v>
      </c>
      <c r="M368" s="1">
        <v>3150000</v>
      </c>
      <c r="N368" s="10">
        <v>9450000</v>
      </c>
      <c r="O368" s="10"/>
      <c r="P368" t="s">
        <v>704</v>
      </c>
      <c r="Q368" s="1" t="e">
        <f t="shared" si="16"/>
        <v>#REF!</v>
      </c>
      <c r="S368" s="11" t="s">
        <v>1036</v>
      </c>
    </row>
    <row r="369" spans="1:19" x14ac:dyDescent="0.25">
      <c r="A369" t="s">
        <v>1014</v>
      </c>
      <c r="B369" t="s">
        <v>13</v>
      </c>
      <c r="C369" s="12">
        <v>46024</v>
      </c>
      <c r="D369" s="12">
        <v>46112</v>
      </c>
      <c r="E369" t="s">
        <v>775</v>
      </c>
      <c r="F369" t="s">
        <v>14</v>
      </c>
      <c r="G369">
        <v>1085269090</v>
      </c>
      <c r="H369" t="s">
        <v>52</v>
      </c>
      <c r="I369">
        <v>98333941</v>
      </c>
      <c r="J369" t="s">
        <v>14</v>
      </c>
      <c r="K369" t="s">
        <v>15</v>
      </c>
      <c r="L369" s="1" t="e">
        <f>VLOOKUP(A369,#REF!,2,0)</f>
        <v>#REF!</v>
      </c>
      <c r="M369" s="1">
        <v>3150000</v>
      </c>
      <c r="N369" s="10">
        <v>9450000</v>
      </c>
      <c r="O369" s="10"/>
      <c r="P369" t="s">
        <v>704</v>
      </c>
      <c r="Q369" s="1" t="e">
        <f t="shared" si="16"/>
        <v>#REF!</v>
      </c>
      <c r="S369" s="11" t="s">
        <v>1036</v>
      </c>
    </row>
    <row r="370" spans="1:19" x14ac:dyDescent="0.25">
      <c r="A370" t="s">
        <v>988</v>
      </c>
      <c r="B370" t="s">
        <v>13</v>
      </c>
      <c r="C370" s="12">
        <v>46024</v>
      </c>
      <c r="D370" s="12">
        <v>46112</v>
      </c>
      <c r="E370" t="s">
        <v>775</v>
      </c>
      <c r="F370" t="s">
        <v>14</v>
      </c>
      <c r="G370">
        <v>1086329609</v>
      </c>
      <c r="H370" t="s">
        <v>64</v>
      </c>
      <c r="I370">
        <v>98333941</v>
      </c>
      <c r="J370" t="s">
        <v>14</v>
      </c>
      <c r="K370" t="s">
        <v>15</v>
      </c>
      <c r="L370" s="1" t="e">
        <f>VLOOKUP(A370,#REF!,2,0)</f>
        <v>#REF!</v>
      </c>
      <c r="M370" s="1">
        <v>3150000</v>
      </c>
      <c r="N370" s="10">
        <v>9450000</v>
      </c>
      <c r="O370" s="10"/>
      <c r="P370" t="s">
        <v>704</v>
      </c>
      <c r="Q370" s="1" t="e">
        <f t="shared" si="16"/>
        <v>#REF!</v>
      </c>
      <c r="S370" s="11" t="s">
        <v>1036</v>
      </c>
    </row>
    <row r="371" spans="1:19" x14ac:dyDescent="0.25">
      <c r="A371" t="s">
        <v>996</v>
      </c>
      <c r="B371" t="s">
        <v>13</v>
      </c>
      <c r="C371" s="12">
        <v>46024</v>
      </c>
      <c r="D371" s="12">
        <v>46112</v>
      </c>
      <c r="E371" t="s">
        <v>744</v>
      </c>
      <c r="F371" t="s">
        <v>14</v>
      </c>
      <c r="G371">
        <v>1085264667</v>
      </c>
      <c r="H371" t="s">
        <v>844</v>
      </c>
      <c r="I371">
        <v>98390119</v>
      </c>
      <c r="J371" t="s">
        <v>14</v>
      </c>
      <c r="K371" t="s">
        <v>63</v>
      </c>
      <c r="L371" s="1" t="e">
        <f>VLOOKUP(A371,#REF!,2,0)</f>
        <v>#REF!</v>
      </c>
      <c r="M371" s="1">
        <v>4730000</v>
      </c>
      <c r="N371" s="10">
        <v>14190000</v>
      </c>
      <c r="O371" s="10"/>
      <c r="P371" t="s">
        <v>704</v>
      </c>
      <c r="Q371" s="1" t="e">
        <f t="shared" si="16"/>
        <v>#REF!</v>
      </c>
      <c r="S371" s="11" t="s">
        <v>1036</v>
      </c>
    </row>
    <row r="372" spans="1:19" x14ac:dyDescent="0.25">
      <c r="A372" t="s">
        <v>1057</v>
      </c>
      <c r="B372" t="s">
        <v>13</v>
      </c>
      <c r="C372" s="12">
        <v>46024</v>
      </c>
      <c r="D372" s="12">
        <v>46112</v>
      </c>
      <c r="E372" t="s">
        <v>775</v>
      </c>
      <c r="F372" t="s">
        <v>14</v>
      </c>
      <c r="G372">
        <v>97470681</v>
      </c>
      <c r="H372" t="s">
        <v>55</v>
      </c>
      <c r="I372">
        <v>98333941</v>
      </c>
      <c r="J372" t="s">
        <v>14</v>
      </c>
      <c r="K372" t="s">
        <v>15</v>
      </c>
      <c r="L372" s="1" t="e">
        <f>VLOOKUP(A372,#REF!,2,0)</f>
        <v>#REF!</v>
      </c>
      <c r="M372" s="1">
        <v>0</v>
      </c>
      <c r="N372" s="10">
        <v>18900000</v>
      </c>
      <c r="O372" s="10"/>
      <c r="P372" t="s">
        <v>704</v>
      </c>
      <c r="Q372" s="1" t="e">
        <f t="shared" si="16"/>
        <v>#REF!</v>
      </c>
      <c r="S372" s="11" t="s">
        <v>1036</v>
      </c>
    </row>
    <row r="373" spans="1:19" x14ac:dyDescent="0.25">
      <c r="A373" t="s">
        <v>1058</v>
      </c>
      <c r="B373" t="s">
        <v>13</v>
      </c>
      <c r="C373" s="12">
        <v>46024</v>
      </c>
      <c r="D373" s="12">
        <v>46112</v>
      </c>
      <c r="E373" t="s">
        <v>775</v>
      </c>
      <c r="F373" t="s">
        <v>14</v>
      </c>
      <c r="G373">
        <v>1004213964</v>
      </c>
      <c r="H373" t="s">
        <v>905</v>
      </c>
      <c r="I373">
        <v>98390119</v>
      </c>
      <c r="J373" t="s">
        <v>14</v>
      </c>
      <c r="K373" t="s">
        <v>63</v>
      </c>
      <c r="L373" s="1" t="e">
        <f>VLOOKUP(A373,#REF!,2,0)</f>
        <v>#REF!</v>
      </c>
      <c r="M373" s="1">
        <v>6300000</v>
      </c>
      <c r="N373" s="10">
        <v>18900000</v>
      </c>
      <c r="O373" s="10"/>
      <c r="P373" t="s">
        <v>704</v>
      </c>
      <c r="Q373" s="1" t="e">
        <f t="shared" si="16"/>
        <v>#REF!</v>
      </c>
      <c r="S373" s="11" t="s">
        <v>1036</v>
      </c>
    </row>
    <row r="374" spans="1:19" x14ac:dyDescent="0.25">
      <c r="A374" t="s">
        <v>1009</v>
      </c>
      <c r="B374" t="s">
        <v>13</v>
      </c>
      <c r="C374" s="12">
        <v>46024</v>
      </c>
      <c r="D374" s="12">
        <v>46112</v>
      </c>
      <c r="E374" t="s">
        <v>744</v>
      </c>
      <c r="F374" t="s">
        <v>14</v>
      </c>
      <c r="G374">
        <v>1087413951</v>
      </c>
      <c r="H374" t="s">
        <v>219</v>
      </c>
      <c r="I374">
        <v>98333941</v>
      </c>
      <c r="J374" t="s">
        <v>14</v>
      </c>
      <c r="K374" t="s">
        <v>15</v>
      </c>
      <c r="L374" s="1" t="e">
        <f>VLOOKUP(A374,#REF!,2,0)</f>
        <v>#REF!</v>
      </c>
      <c r="M374" s="1">
        <v>4730000</v>
      </c>
      <c r="N374" s="10">
        <v>14190000</v>
      </c>
      <c r="O374" s="10"/>
      <c r="P374" t="s">
        <v>704</v>
      </c>
      <c r="Q374" s="1" t="e">
        <f t="shared" si="16"/>
        <v>#REF!</v>
      </c>
      <c r="S374" s="11" t="s">
        <v>1036</v>
      </c>
    </row>
    <row r="375" spans="1:19" x14ac:dyDescent="0.25">
      <c r="A375" t="s">
        <v>1023</v>
      </c>
      <c r="B375" t="s">
        <v>13</v>
      </c>
      <c r="C375" s="12">
        <v>46024</v>
      </c>
      <c r="D375" s="12">
        <v>46112</v>
      </c>
      <c r="E375" t="s">
        <v>744</v>
      </c>
      <c r="F375" t="s">
        <v>14</v>
      </c>
      <c r="G375">
        <v>27087475</v>
      </c>
      <c r="H375" t="s">
        <v>48</v>
      </c>
      <c r="I375">
        <v>43624414</v>
      </c>
      <c r="J375" t="s">
        <v>14</v>
      </c>
      <c r="K375" t="s">
        <v>18</v>
      </c>
      <c r="L375" s="1" t="e">
        <f>VLOOKUP(A375,#REF!,2,0)</f>
        <v>#REF!</v>
      </c>
      <c r="M375" s="1">
        <v>4730000</v>
      </c>
      <c r="N375" s="10">
        <v>14190000</v>
      </c>
      <c r="O375" s="10"/>
      <c r="P375" t="s">
        <v>704</v>
      </c>
      <c r="Q375" s="1" t="e">
        <f t="shared" si="16"/>
        <v>#REF!</v>
      </c>
      <c r="S375" s="11" t="s">
        <v>1036</v>
      </c>
    </row>
    <row r="376" spans="1:19" x14ac:dyDescent="0.25">
      <c r="A376" t="s">
        <v>1015</v>
      </c>
      <c r="B376" t="s">
        <v>13</v>
      </c>
      <c r="C376" s="12">
        <v>46024</v>
      </c>
      <c r="D376" s="12">
        <v>46112</v>
      </c>
      <c r="E376" t="s">
        <v>744</v>
      </c>
      <c r="F376" t="s">
        <v>14</v>
      </c>
      <c r="G376">
        <v>1085318684</v>
      </c>
      <c r="H376" t="s">
        <v>427</v>
      </c>
      <c r="I376">
        <v>98333941</v>
      </c>
      <c r="J376" t="s">
        <v>14</v>
      </c>
      <c r="K376" t="s">
        <v>15</v>
      </c>
      <c r="L376" s="1" t="e">
        <f>VLOOKUP(A376,#REF!,2,0)</f>
        <v>#REF!</v>
      </c>
      <c r="M376" s="1">
        <v>4730000</v>
      </c>
      <c r="N376" s="10">
        <v>14190000</v>
      </c>
      <c r="O376" s="10"/>
      <c r="P376" t="s">
        <v>704</v>
      </c>
      <c r="Q376" s="1" t="e">
        <f t="shared" si="16"/>
        <v>#REF!</v>
      </c>
      <c r="S376" s="11" t="s">
        <v>1036</v>
      </c>
    </row>
    <row r="377" spans="1:19" x14ac:dyDescent="0.25">
      <c r="A377" t="s">
        <v>1059</v>
      </c>
      <c r="B377" t="s">
        <v>13</v>
      </c>
      <c r="C377" s="12">
        <v>46024</v>
      </c>
      <c r="D377" s="12">
        <v>46112</v>
      </c>
      <c r="E377" t="s">
        <v>744</v>
      </c>
      <c r="F377" t="s">
        <v>14</v>
      </c>
      <c r="G377">
        <v>1087414586</v>
      </c>
      <c r="H377" t="s">
        <v>92</v>
      </c>
      <c r="I377">
        <v>43624414</v>
      </c>
      <c r="J377" t="s">
        <v>14</v>
      </c>
      <c r="K377" t="s">
        <v>18</v>
      </c>
      <c r="L377" s="1" t="e">
        <f>VLOOKUP(A377,#REF!,2,0)</f>
        <v>#REF!</v>
      </c>
      <c r="M377" s="1">
        <v>4730000</v>
      </c>
      <c r="N377" s="10">
        <v>14190000</v>
      </c>
      <c r="O377" s="10"/>
      <c r="P377" t="s">
        <v>704</v>
      </c>
      <c r="Q377" s="1" t="e">
        <f t="shared" si="16"/>
        <v>#REF!</v>
      </c>
      <c r="S377" s="11" t="s">
        <v>1036</v>
      </c>
    </row>
    <row r="378" spans="1:19" x14ac:dyDescent="0.25">
      <c r="A378" t="s">
        <v>1060</v>
      </c>
      <c r="B378" t="s">
        <v>13</v>
      </c>
      <c r="C378" s="12">
        <v>46024</v>
      </c>
      <c r="D378" s="12">
        <v>46112</v>
      </c>
      <c r="E378" t="s">
        <v>775</v>
      </c>
      <c r="F378" t="s">
        <v>14</v>
      </c>
      <c r="G378">
        <v>98391531</v>
      </c>
      <c r="H378" t="s">
        <v>453</v>
      </c>
      <c r="I378">
        <v>43624414</v>
      </c>
      <c r="J378" t="s">
        <v>14</v>
      </c>
      <c r="K378" t="s">
        <v>18</v>
      </c>
      <c r="L378" s="1" t="e">
        <f>VLOOKUP(A378,#REF!,2,0)</f>
        <v>#REF!</v>
      </c>
      <c r="M378" s="1">
        <v>3150000</v>
      </c>
      <c r="N378" s="10">
        <v>9450000</v>
      </c>
      <c r="O378" s="10"/>
      <c r="P378" t="s">
        <v>704</v>
      </c>
      <c r="Q378" s="1" t="e">
        <f t="shared" si="16"/>
        <v>#REF!</v>
      </c>
      <c r="S378" s="11" t="s">
        <v>1036</v>
      </c>
    </row>
    <row r="379" spans="1:19" x14ac:dyDescent="0.25">
      <c r="A379" t="s">
        <v>1010</v>
      </c>
      <c r="B379" t="s">
        <v>13</v>
      </c>
      <c r="C379" s="12">
        <v>46024</v>
      </c>
      <c r="D379" s="12">
        <v>46112</v>
      </c>
      <c r="E379" t="s">
        <v>775</v>
      </c>
      <c r="F379" t="s">
        <v>14</v>
      </c>
      <c r="G379">
        <v>37082272</v>
      </c>
      <c r="H379" t="s">
        <v>461</v>
      </c>
      <c r="I379">
        <v>98390119</v>
      </c>
      <c r="J379" t="s">
        <v>14</v>
      </c>
      <c r="K379" t="s">
        <v>63</v>
      </c>
      <c r="L379" s="1" t="e">
        <f>VLOOKUP(A379,#REF!,2,0)</f>
        <v>#REF!</v>
      </c>
      <c r="M379" s="1">
        <v>3150000</v>
      </c>
      <c r="N379" s="10">
        <v>9450000</v>
      </c>
      <c r="O379" s="10"/>
      <c r="P379" t="s">
        <v>704</v>
      </c>
      <c r="Q379" s="1" t="e">
        <f t="shared" si="16"/>
        <v>#REF!</v>
      </c>
      <c r="S379" s="11" t="s">
        <v>1036</v>
      </c>
    </row>
    <row r="380" spans="1:19" x14ac:dyDescent="0.25">
      <c r="A380" t="s">
        <v>1061</v>
      </c>
      <c r="B380" t="s">
        <v>13</v>
      </c>
      <c r="C380" s="12">
        <v>46024</v>
      </c>
      <c r="D380" s="12">
        <v>46112</v>
      </c>
      <c r="E380" t="s">
        <v>775</v>
      </c>
      <c r="F380" t="s">
        <v>14</v>
      </c>
      <c r="G380">
        <v>1082748783</v>
      </c>
      <c r="H380" t="s">
        <v>67</v>
      </c>
      <c r="I380">
        <v>43624414</v>
      </c>
      <c r="J380" t="s">
        <v>14</v>
      </c>
      <c r="K380" t="s">
        <v>18</v>
      </c>
      <c r="L380" s="1" t="e">
        <f>VLOOKUP(A380,#REF!,2,0)</f>
        <v>#REF!</v>
      </c>
      <c r="M380" s="1">
        <v>0</v>
      </c>
      <c r="N380" s="10">
        <v>9450000</v>
      </c>
      <c r="O380" s="10"/>
      <c r="P380" t="s">
        <v>704</v>
      </c>
      <c r="Q380" s="1" t="e">
        <f t="shared" si="16"/>
        <v>#REF!</v>
      </c>
      <c r="S380" s="11" t="s">
        <v>1036</v>
      </c>
    </row>
    <row r="381" spans="1:19" x14ac:dyDescent="0.25">
      <c r="A381" t="s">
        <v>1016</v>
      </c>
      <c r="B381" t="s">
        <v>13</v>
      </c>
      <c r="C381" s="12">
        <v>46024</v>
      </c>
      <c r="D381" s="12">
        <v>46112</v>
      </c>
      <c r="E381" t="s">
        <v>775</v>
      </c>
      <c r="F381" t="s">
        <v>14</v>
      </c>
      <c r="G381">
        <v>1193223736</v>
      </c>
      <c r="H381" t="s">
        <v>75</v>
      </c>
      <c r="I381">
        <v>43624414</v>
      </c>
      <c r="J381" t="s">
        <v>14</v>
      </c>
      <c r="K381" t="s">
        <v>18</v>
      </c>
      <c r="L381" s="1" t="e">
        <f>VLOOKUP(A381,#REF!,2,0)</f>
        <v>#REF!</v>
      </c>
      <c r="M381" s="1">
        <v>6300000</v>
      </c>
      <c r="N381" s="10">
        <v>18900000</v>
      </c>
      <c r="O381" s="10"/>
      <c r="P381" t="s">
        <v>704</v>
      </c>
      <c r="Q381" s="1" t="e">
        <f t="shared" si="16"/>
        <v>#REF!</v>
      </c>
      <c r="S381" s="11" t="s">
        <v>1036</v>
      </c>
    </row>
    <row r="382" spans="1:19" x14ac:dyDescent="0.25">
      <c r="A382" t="s">
        <v>1006</v>
      </c>
      <c r="B382" t="s">
        <v>13</v>
      </c>
      <c r="C382" s="12">
        <v>46024</v>
      </c>
      <c r="D382" s="12">
        <v>46112</v>
      </c>
      <c r="E382" t="s">
        <v>775</v>
      </c>
      <c r="F382" t="s">
        <v>14</v>
      </c>
      <c r="G382">
        <v>1004190751</v>
      </c>
      <c r="H382" t="s">
        <v>233</v>
      </c>
      <c r="I382">
        <v>43624414</v>
      </c>
      <c r="J382" t="s">
        <v>14</v>
      </c>
      <c r="K382" t="s">
        <v>18</v>
      </c>
      <c r="L382" s="1" t="e">
        <f>VLOOKUP(A382,#REF!,2,0)</f>
        <v>#REF!</v>
      </c>
      <c r="M382" s="1">
        <v>3150000</v>
      </c>
      <c r="N382" s="10">
        <v>9450000</v>
      </c>
      <c r="O382" s="10"/>
      <c r="P382" t="s">
        <v>704</v>
      </c>
      <c r="Q382" s="1" t="e">
        <f t="shared" si="16"/>
        <v>#REF!</v>
      </c>
      <c r="S382" s="11" t="s">
        <v>1036</v>
      </c>
    </row>
    <row r="383" spans="1:19" x14ac:dyDescent="0.25">
      <c r="A383" t="s">
        <v>1032</v>
      </c>
      <c r="B383" t="s">
        <v>13</v>
      </c>
      <c r="C383" s="12">
        <v>46024</v>
      </c>
      <c r="D383" s="12">
        <v>46112</v>
      </c>
      <c r="E383" t="s">
        <v>775</v>
      </c>
      <c r="F383" t="s">
        <v>14</v>
      </c>
      <c r="G383">
        <v>1085317833</v>
      </c>
      <c r="H383" t="s">
        <v>41</v>
      </c>
      <c r="I383">
        <v>59836926</v>
      </c>
      <c r="J383" t="s">
        <v>14</v>
      </c>
      <c r="K383" t="s">
        <v>17</v>
      </c>
      <c r="L383" s="1" t="e">
        <f>VLOOKUP(A383,#REF!,2,0)</f>
        <v>#REF!</v>
      </c>
      <c r="M383" s="1">
        <v>3150000</v>
      </c>
      <c r="N383" s="10">
        <v>9450000</v>
      </c>
      <c r="O383" s="10"/>
      <c r="P383" t="s">
        <v>704</v>
      </c>
      <c r="Q383" s="1" t="e">
        <f t="shared" si="16"/>
        <v>#REF!</v>
      </c>
      <c r="S383" s="11" t="s">
        <v>1036</v>
      </c>
    </row>
    <row r="384" spans="1:19" x14ac:dyDescent="0.25">
      <c r="A384" t="s">
        <v>1062</v>
      </c>
      <c r="B384" t="s">
        <v>13</v>
      </c>
      <c r="C384" s="12">
        <v>46024</v>
      </c>
      <c r="D384" s="12">
        <v>46112</v>
      </c>
      <c r="E384" t="s">
        <v>775</v>
      </c>
      <c r="F384" t="s">
        <v>14</v>
      </c>
      <c r="G384">
        <v>1085286725</v>
      </c>
      <c r="H384" t="s">
        <v>40</v>
      </c>
      <c r="I384">
        <v>98333941</v>
      </c>
      <c r="J384" t="s">
        <v>14</v>
      </c>
      <c r="K384" t="s">
        <v>15</v>
      </c>
      <c r="L384" s="1" t="e">
        <f>VLOOKUP(A384,#REF!,2,0)</f>
        <v>#REF!</v>
      </c>
      <c r="M384" s="1">
        <v>0</v>
      </c>
      <c r="N384" s="10">
        <v>9450000</v>
      </c>
      <c r="O384" s="10"/>
      <c r="P384" t="s">
        <v>704</v>
      </c>
      <c r="Q384" s="1" t="e">
        <f t="shared" si="16"/>
        <v>#REF!</v>
      </c>
      <c r="S384" s="11" t="s">
        <v>1036</v>
      </c>
    </row>
    <row r="385" spans="1:19" x14ac:dyDescent="0.25">
      <c r="A385" t="s">
        <v>1008</v>
      </c>
      <c r="B385" t="s">
        <v>13</v>
      </c>
      <c r="C385" s="12">
        <v>46024</v>
      </c>
      <c r="D385" s="12">
        <v>46112</v>
      </c>
      <c r="E385" t="s">
        <v>744</v>
      </c>
      <c r="F385" t="s">
        <v>14</v>
      </c>
      <c r="G385">
        <v>1089846684</v>
      </c>
      <c r="H385" t="s">
        <v>103</v>
      </c>
      <c r="I385">
        <v>98390119</v>
      </c>
      <c r="J385" t="s">
        <v>14</v>
      </c>
      <c r="K385" t="s">
        <v>63</v>
      </c>
      <c r="L385" s="1" t="e">
        <f>VLOOKUP(A385,#REF!,2,0)</f>
        <v>#REF!</v>
      </c>
      <c r="M385" s="1">
        <v>7800000</v>
      </c>
      <c r="N385" s="10">
        <v>23400000</v>
      </c>
      <c r="O385" s="10"/>
      <c r="P385" t="s">
        <v>704</v>
      </c>
      <c r="Q385" s="1" t="e">
        <f t="shared" si="16"/>
        <v>#REF!</v>
      </c>
      <c r="S385" s="11" t="s">
        <v>1036</v>
      </c>
    </row>
    <row r="386" spans="1:19" x14ac:dyDescent="0.25">
      <c r="A386" t="s">
        <v>990</v>
      </c>
      <c r="B386" t="s">
        <v>13</v>
      </c>
      <c r="C386" s="12">
        <v>46024</v>
      </c>
      <c r="D386" s="12">
        <v>46112</v>
      </c>
      <c r="E386" t="s">
        <v>744</v>
      </c>
      <c r="F386" t="s">
        <v>14</v>
      </c>
      <c r="G386">
        <v>1010141840</v>
      </c>
      <c r="H386" t="s">
        <v>574</v>
      </c>
      <c r="I386">
        <v>43624414</v>
      </c>
      <c r="J386" t="s">
        <v>14</v>
      </c>
      <c r="K386" t="s">
        <v>18</v>
      </c>
      <c r="L386" s="1" t="e">
        <f>VLOOKUP(A386,#REF!,2,0)</f>
        <v>#REF!</v>
      </c>
      <c r="M386" s="1">
        <v>7800000</v>
      </c>
      <c r="N386" s="10">
        <v>23400000</v>
      </c>
      <c r="O386" s="10"/>
      <c r="P386" t="s">
        <v>704</v>
      </c>
      <c r="Q386" s="1" t="e">
        <f t="shared" si="16"/>
        <v>#REF!</v>
      </c>
      <c r="S386" s="11" t="s">
        <v>1036</v>
      </c>
    </row>
    <row r="387" spans="1:19" x14ac:dyDescent="0.25">
      <c r="A387" t="s">
        <v>985</v>
      </c>
      <c r="B387" t="s">
        <v>13</v>
      </c>
      <c r="C387" s="12">
        <v>46024</v>
      </c>
      <c r="D387" s="12">
        <v>46112</v>
      </c>
      <c r="E387" t="s">
        <v>981</v>
      </c>
      <c r="F387" t="s">
        <v>14</v>
      </c>
      <c r="G387">
        <v>1085340885</v>
      </c>
      <c r="H387" t="s">
        <v>837</v>
      </c>
      <c r="I387">
        <v>98333941</v>
      </c>
      <c r="J387" t="s">
        <v>14</v>
      </c>
      <c r="K387" t="s">
        <v>15</v>
      </c>
      <c r="L387" s="1" t="e">
        <f>VLOOKUP(A387,#REF!,2,0)</f>
        <v>#REF!</v>
      </c>
      <c r="M387" s="1">
        <v>4730000</v>
      </c>
      <c r="N387" s="10">
        <v>14190000</v>
      </c>
      <c r="O387" s="10"/>
      <c r="P387" t="s">
        <v>704</v>
      </c>
      <c r="Q387" s="1" t="e">
        <f t="shared" si="16"/>
        <v>#REF!</v>
      </c>
      <c r="S387" s="11" t="s">
        <v>1036</v>
      </c>
    </row>
    <row r="388" spans="1:19" x14ac:dyDescent="0.25">
      <c r="A388" t="s">
        <v>1011</v>
      </c>
      <c r="B388" t="s">
        <v>13</v>
      </c>
      <c r="C388" s="12">
        <v>46024</v>
      </c>
      <c r="D388" s="12">
        <v>46112</v>
      </c>
      <c r="E388" t="s">
        <v>744</v>
      </c>
      <c r="F388" t="s">
        <v>14</v>
      </c>
      <c r="G388">
        <v>1085260497</v>
      </c>
      <c r="H388" t="s">
        <v>389</v>
      </c>
      <c r="I388">
        <v>98333941</v>
      </c>
      <c r="J388" t="s">
        <v>14</v>
      </c>
      <c r="K388" t="s">
        <v>15</v>
      </c>
      <c r="L388" s="1" t="e">
        <f>VLOOKUP(A388,#REF!,2,0)</f>
        <v>#REF!</v>
      </c>
      <c r="M388" s="1">
        <v>4730000</v>
      </c>
      <c r="N388" s="10">
        <v>14190000</v>
      </c>
      <c r="O388" s="10"/>
      <c r="P388" t="s">
        <v>704</v>
      </c>
      <c r="Q388" s="1" t="e">
        <f t="shared" si="16"/>
        <v>#REF!</v>
      </c>
      <c r="S388" s="11" t="s">
        <v>1036</v>
      </c>
    </row>
    <row r="389" spans="1:19" x14ac:dyDescent="0.25">
      <c r="A389" t="s">
        <v>1063</v>
      </c>
      <c r="B389" t="s">
        <v>13</v>
      </c>
      <c r="C389" s="12">
        <v>46038</v>
      </c>
      <c r="D389" s="12">
        <v>46128</v>
      </c>
      <c r="E389" t="s">
        <v>775</v>
      </c>
      <c r="F389" t="s">
        <v>14</v>
      </c>
      <c r="G389">
        <v>27091114</v>
      </c>
      <c r="H389" t="s">
        <v>80</v>
      </c>
      <c r="I389">
        <v>98390119</v>
      </c>
      <c r="J389" t="s">
        <v>14</v>
      </c>
      <c r="K389" t="s">
        <v>63</v>
      </c>
      <c r="L389" s="1" t="e">
        <f>VLOOKUP(A389,#REF!,2,0)</f>
        <v>#REF!</v>
      </c>
      <c r="M389" s="1">
        <v>0</v>
      </c>
      <c r="N389" s="10">
        <v>9450000</v>
      </c>
      <c r="O389" s="10"/>
      <c r="P389" t="s">
        <v>704</v>
      </c>
      <c r="Q389" s="1" t="e">
        <f t="shared" si="16"/>
        <v>#REF!</v>
      </c>
      <c r="S389" s="11" t="s">
        <v>1036</v>
      </c>
    </row>
    <row r="390" spans="1:19" x14ac:dyDescent="0.25">
      <c r="A390" t="s">
        <v>1064</v>
      </c>
      <c r="B390" t="s">
        <v>13</v>
      </c>
      <c r="C390" s="12">
        <v>46038</v>
      </c>
      <c r="D390" s="12">
        <v>46069</v>
      </c>
      <c r="E390" t="s">
        <v>775</v>
      </c>
      <c r="F390" t="s">
        <v>14</v>
      </c>
      <c r="G390">
        <v>1233192104</v>
      </c>
      <c r="H390" t="s">
        <v>514</v>
      </c>
      <c r="I390">
        <v>59836926</v>
      </c>
      <c r="J390" t="s">
        <v>14</v>
      </c>
      <c r="K390" t="s">
        <v>17</v>
      </c>
      <c r="L390" s="1" t="e">
        <f>VLOOKUP(A390,#REF!,2,0)</f>
        <v>#REF!</v>
      </c>
      <c r="M390" s="1">
        <v>0</v>
      </c>
      <c r="N390" s="10">
        <v>3150000</v>
      </c>
      <c r="O390" s="10"/>
      <c r="P390" t="s">
        <v>704</v>
      </c>
      <c r="Q390" s="1" t="e">
        <f t="shared" si="16"/>
        <v>#REF!</v>
      </c>
      <c r="S390" s="11" t="s">
        <v>1036</v>
      </c>
    </row>
    <row r="391" spans="1:19" x14ac:dyDescent="0.25">
      <c r="A391" t="s">
        <v>1065</v>
      </c>
      <c r="B391" t="s">
        <v>13</v>
      </c>
      <c r="C391" s="12">
        <v>46038</v>
      </c>
      <c r="D391" s="12">
        <v>46128</v>
      </c>
      <c r="E391" t="s">
        <v>775</v>
      </c>
      <c r="F391" t="s">
        <v>14</v>
      </c>
      <c r="G391">
        <v>27088197</v>
      </c>
      <c r="H391" t="s">
        <v>62</v>
      </c>
      <c r="I391">
        <v>59836926</v>
      </c>
      <c r="J391" t="s">
        <v>14</v>
      </c>
      <c r="K391" t="s">
        <v>17</v>
      </c>
      <c r="L391" s="1" t="e">
        <f>VLOOKUP(A391,#REF!,2,0)</f>
        <v>#REF!</v>
      </c>
      <c r="M391" s="1">
        <v>3150000</v>
      </c>
      <c r="N391" s="10">
        <v>9450000</v>
      </c>
      <c r="O391" s="10"/>
      <c r="P391" t="s">
        <v>704</v>
      </c>
      <c r="Q391" s="1" t="e">
        <f t="shared" si="16"/>
        <v>#REF!</v>
      </c>
      <c r="S391" s="11" t="s">
        <v>1036</v>
      </c>
    </row>
    <row r="392" spans="1:19" x14ac:dyDescent="0.25">
      <c r="A392" t="s">
        <v>1066</v>
      </c>
      <c r="B392" t="s">
        <v>13</v>
      </c>
      <c r="C392" s="12">
        <v>46038</v>
      </c>
      <c r="D392" s="12">
        <v>46069</v>
      </c>
      <c r="E392" t="s">
        <v>775</v>
      </c>
      <c r="F392" t="s">
        <v>14</v>
      </c>
      <c r="G392">
        <v>1081272318</v>
      </c>
      <c r="H392" t="s">
        <v>393</v>
      </c>
      <c r="I392">
        <v>43624414</v>
      </c>
      <c r="J392" t="s">
        <v>14</v>
      </c>
      <c r="K392" t="s">
        <v>18</v>
      </c>
      <c r="L392" s="1" t="e">
        <f>VLOOKUP(A392,#REF!,2,0)</f>
        <v>#REF!</v>
      </c>
      <c r="M392" s="1">
        <v>0</v>
      </c>
      <c r="N392" s="10">
        <v>3150000</v>
      </c>
      <c r="O392" s="10"/>
      <c r="P392" t="s">
        <v>704</v>
      </c>
      <c r="Q392" s="1" t="e">
        <f t="shared" si="16"/>
        <v>#REF!</v>
      </c>
      <c r="S392" s="11" t="s">
        <v>1036</v>
      </c>
    </row>
    <row r="393" spans="1:19" x14ac:dyDescent="0.25">
      <c r="A393" t="s">
        <v>1067</v>
      </c>
      <c r="B393" t="s">
        <v>13</v>
      </c>
      <c r="C393" s="12">
        <v>46038</v>
      </c>
      <c r="D393" s="12">
        <v>46189</v>
      </c>
      <c r="E393" t="s">
        <v>775</v>
      </c>
      <c r="F393" t="s">
        <v>14</v>
      </c>
      <c r="G393">
        <v>1233191675</v>
      </c>
      <c r="H393" t="s">
        <v>28</v>
      </c>
      <c r="I393">
        <v>98390119</v>
      </c>
      <c r="J393" t="s">
        <v>14</v>
      </c>
      <c r="K393" t="s">
        <v>63</v>
      </c>
      <c r="L393" s="1" t="e">
        <f>VLOOKUP(A393,#REF!,2,0)</f>
        <v>#REF!</v>
      </c>
      <c r="M393" s="1">
        <v>0</v>
      </c>
      <c r="N393" s="10">
        <v>15750000</v>
      </c>
      <c r="O393" s="10"/>
      <c r="P393" t="s">
        <v>704</v>
      </c>
      <c r="Q393" s="1" t="e">
        <f t="shared" si="16"/>
        <v>#REF!</v>
      </c>
      <c r="S393" s="11" t="s">
        <v>1036</v>
      </c>
    </row>
    <row r="394" spans="1:19" x14ac:dyDescent="0.25">
      <c r="A394" t="s">
        <v>1068</v>
      </c>
      <c r="B394" t="s">
        <v>13</v>
      </c>
      <c r="C394" s="12">
        <v>46038</v>
      </c>
      <c r="D394" s="12">
        <v>46128</v>
      </c>
      <c r="E394" t="s">
        <v>775</v>
      </c>
      <c r="F394" t="s">
        <v>14</v>
      </c>
      <c r="G394">
        <v>1193224810</v>
      </c>
      <c r="H394" t="s">
        <v>31</v>
      </c>
      <c r="I394">
        <v>98333941</v>
      </c>
      <c r="J394" t="s">
        <v>14</v>
      </c>
      <c r="K394" t="s">
        <v>15</v>
      </c>
      <c r="L394" s="1" t="e">
        <f>VLOOKUP(A394,#REF!,2,0)</f>
        <v>#REF!</v>
      </c>
      <c r="M394" s="1">
        <v>0</v>
      </c>
      <c r="N394" s="10">
        <v>9450000</v>
      </c>
      <c r="O394" s="10"/>
      <c r="P394" t="s">
        <v>704</v>
      </c>
      <c r="Q394" s="1" t="e">
        <f t="shared" si="16"/>
        <v>#REF!</v>
      </c>
      <c r="S394" s="11" t="s">
        <v>1036</v>
      </c>
    </row>
    <row r="395" spans="1:19" x14ac:dyDescent="0.25">
      <c r="A395" t="s">
        <v>1030</v>
      </c>
      <c r="B395" t="s">
        <v>13</v>
      </c>
      <c r="C395" s="12">
        <v>46038</v>
      </c>
      <c r="D395" s="12">
        <v>46128</v>
      </c>
      <c r="E395" t="s">
        <v>775</v>
      </c>
      <c r="F395" t="s">
        <v>14</v>
      </c>
      <c r="G395">
        <v>1004543161</v>
      </c>
      <c r="H395" t="s">
        <v>866</v>
      </c>
      <c r="I395">
        <v>59836926</v>
      </c>
      <c r="J395" t="s">
        <v>14</v>
      </c>
      <c r="K395" t="s">
        <v>17</v>
      </c>
      <c r="L395" s="1" t="e">
        <f>VLOOKUP(A395,#REF!,2,0)</f>
        <v>#REF!</v>
      </c>
      <c r="M395" s="1">
        <v>3150000</v>
      </c>
      <c r="N395" s="10">
        <v>9450000</v>
      </c>
      <c r="O395" s="10"/>
      <c r="P395" t="s">
        <v>704</v>
      </c>
      <c r="Q395" s="1" t="e">
        <f t="shared" si="16"/>
        <v>#REF!</v>
      </c>
      <c r="S395" s="11" t="s">
        <v>1036</v>
      </c>
    </row>
    <row r="396" spans="1:19" x14ac:dyDescent="0.25">
      <c r="A396" t="s">
        <v>1069</v>
      </c>
      <c r="B396" t="s">
        <v>13</v>
      </c>
      <c r="C396" s="12">
        <v>46038</v>
      </c>
      <c r="D396" s="12">
        <v>46189</v>
      </c>
      <c r="E396" t="s">
        <v>775</v>
      </c>
      <c r="F396" t="s">
        <v>14</v>
      </c>
      <c r="G396">
        <v>1085315013</v>
      </c>
      <c r="H396" t="s">
        <v>60</v>
      </c>
      <c r="I396">
        <v>98390119</v>
      </c>
      <c r="J396" t="s">
        <v>14</v>
      </c>
      <c r="K396" t="s">
        <v>63</v>
      </c>
      <c r="L396" s="1" t="e">
        <f>VLOOKUP(A396,#REF!,2,0)</f>
        <v>#REF!</v>
      </c>
      <c r="M396" s="1">
        <v>3150000</v>
      </c>
      <c r="N396" s="10">
        <v>15750000</v>
      </c>
      <c r="O396" s="10"/>
      <c r="P396" t="s">
        <v>704</v>
      </c>
      <c r="Q396" s="1" t="e">
        <f t="shared" si="16"/>
        <v>#REF!</v>
      </c>
      <c r="S396" s="11" t="s">
        <v>1036</v>
      </c>
    </row>
    <row r="397" spans="1:19" x14ac:dyDescent="0.25">
      <c r="A397" t="s">
        <v>1070</v>
      </c>
      <c r="B397" t="s">
        <v>13</v>
      </c>
      <c r="C397" s="12">
        <v>46038</v>
      </c>
      <c r="D397" s="12">
        <v>46189</v>
      </c>
      <c r="E397" t="s">
        <v>775</v>
      </c>
      <c r="F397" t="s">
        <v>14</v>
      </c>
      <c r="G397">
        <v>1193271485</v>
      </c>
      <c r="H397" t="s">
        <v>204</v>
      </c>
      <c r="I397">
        <v>98390119</v>
      </c>
      <c r="J397" t="s">
        <v>14</v>
      </c>
      <c r="K397" t="s">
        <v>63</v>
      </c>
      <c r="L397" s="1" t="e">
        <f>VLOOKUP(A397,#REF!,2,0)</f>
        <v>#REF!</v>
      </c>
      <c r="M397" s="1">
        <v>0</v>
      </c>
      <c r="N397" s="10">
        <v>31500000</v>
      </c>
      <c r="O397" s="10"/>
      <c r="P397" t="s">
        <v>704</v>
      </c>
      <c r="Q397" s="1" t="e">
        <f t="shared" si="16"/>
        <v>#REF!</v>
      </c>
      <c r="S397" s="11" t="s">
        <v>1036</v>
      </c>
    </row>
    <row r="398" spans="1:19" x14ac:dyDescent="0.25">
      <c r="A398" t="s">
        <v>1071</v>
      </c>
      <c r="B398" t="s">
        <v>13</v>
      </c>
      <c r="C398" s="12">
        <v>46038</v>
      </c>
      <c r="D398" s="12">
        <v>46128</v>
      </c>
      <c r="E398" t="s">
        <v>775</v>
      </c>
      <c r="F398" t="s">
        <v>14</v>
      </c>
      <c r="G398">
        <v>1081053045</v>
      </c>
      <c r="H398" t="s">
        <v>287</v>
      </c>
      <c r="I398">
        <v>98333941</v>
      </c>
      <c r="J398" t="s">
        <v>14</v>
      </c>
      <c r="K398" t="s">
        <v>15</v>
      </c>
      <c r="L398" s="1" t="e">
        <f>VLOOKUP(A398,#REF!,2,0)</f>
        <v>#REF!</v>
      </c>
      <c r="M398" s="1">
        <v>0</v>
      </c>
      <c r="N398" s="10">
        <v>9450000</v>
      </c>
      <c r="O398" s="10"/>
      <c r="P398" t="s">
        <v>704</v>
      </c>
      <c r="Q398" s="1" t="e">
        <f t="shared" si="16"/>
        <v>#REF!</v>
      </c>
      <c r="S398" s="11" t="s">
        <v>1036</v>
      </c>
    </row>
    <row r="399" spans="1:19" x14ac:dyDescent="0.25">
      <c r="A399" t="s">
        <v>1072</v>
      </c>
      <c r="B399" t="s">
        <v>13</v>
      </c>
      <c r="C399" s="12">
        <v>46038</v>
      </c>
      <c r="D399" s="12">
        <v>46128</v>
      </c>
      <c r="E399" t="s">
        <v>775</v>
      </c>
      <c r="F399" t="s">
        <v>14</v>
      </c>
      <c r="G399">
        <v>1085275400</v>
      </c>
      <c r="H399" t="s">
        <v>145</v>
      </c>
      <c r="I399">
        <v>43624414</v>
      </c>
      <c r="J399" t="s">
        <v>14</v>
      </c>
      <c r="K399" t="s">
        <v>18</v>
      </c>
      <c r="L399" s="1" t="e">
        <f>VLOOKUP(A399,#REF!,2,0)</f>
        <v>#REF!</v>
      </c>
      <c r="M399" s="1">
        <v>3150000</v>
      </c>
      <c r="N399" s="10">
        <v>9450000</v>
      </c>
      <c r="O399" s="10"/>
      <c r="P399" t="s">
        <v>704</v>
      </c>
      <c r="Q399" s="1" t="e">
        <f t="shared" si="16"/>
        <v>#REF!</v>
      </c>
      <c r="S399" s="11" t="s">
        <v>1036</v>
      </c>
    </row>
    <row r="400" spans="1:19" x14ac:dyDescent="0.25">
      <c r="A400" t="s">
        <v>1073</v>
      </c>
      <c r="B400" t="s">
        <v>13</v>
      </c>
      <c r="C400" s="12">
        <v>46038</v>
      </c>
      <c r="D400" s="12">
        <v>46069</v>
      </c>
      <c r="E400" t="s">
        <v>775</v>
      </c>
      <c r="F400" t="s">
        <v>14</v>
      </c>
      <c r="G400">
        <v>1193035720</v>
      </c>
      <c r="H400" t="s">
        <v>904</v>
      </c>
      <c r="I400">
        <v>43624414</v>
      </c>
      <c r="J400" t="s">
        <v>14</v>
      </c>
      <c r="K400" t="s">
        <v>18</v>
      </c>
      <c r="L400" s="1" t="e">
        <f>VLOOKUP(A400,#REF!,2,0)</f>
        <v>#REF!</v>
      </c>
      <c r="M400" s="1">
        <v>0</v>
      </c>
      <c r="N400" s="10">
        <v>3150000</v>
      </c>
      <c r="O400" s="10"/>
      <c r="P400" t="s">
        <v>704</v>
      </c>
      <c r="Q400" s="1" t="e">
        <f t="shared" si="16"/>
        <v>#REF!</v>
      </c>
      <c r="S400" s="11" t="s">
        <v>1036</v>
      </c>
    </row>
    <row r="401" spans="1:19" x14ac:dyDescent="0.25">
      <c r="A401" t="s">
        <v>1074</v>
      </c>
      <c r="B401" t="s">
        <v>13</v>
      </c>
      <c r="C401" s="12">
        <v>46038</v>
      </c>
      <c r="D401" s="12">
        <v>46069</v>
      </c>
      <c r="E401" t="s">
        <v>775</v>
      </c>
      <c r="F401" t="s">
        <v>14</v>
      </c>
      <c r="G401">
        <v>59813323</v>
      </c>
      <c r="H401" t="s">
        <v>74</v>
      </c>
      <c r="I401">
        <v>59836926</v>
      </c>
      <c r="J401" t="s">
        <v>14</v>
      </c>
      <c r="K401" t="s">
        <v>17</v>
      </c>
      <c r="L401" s="1" t="e">
        <f>VLOOKUP(A401,#REF!,2,0)</f>
        <v>#REF!</v>
      </c>
      <c r="M401" s="1">
        <v>0</v>
      </c>
      <c r="N401" s="10">
        <v>3150000</v>
      </c>
      <c r="O401" s="10"/>
      <c r="P401" t="s">
        <v>704</v>
      </c>
      <c r="Q401" s="1" t="e">
        <f t="shared" si="16"/>
        <v>#REF!</v>
      </c>
      <c r="S401" s="11" t="s">
        <v>1036</v>
      </c>
    </row>
    <row r="402" spans="1:19" x14ac:dyDescent="0.25">
      <c r="A402" t="s">
        <v>1075</v>
      </c>
      <c r="B402" t="s">
        <v>13</v>
      </c>
      <c r="C402" s="12">
        <v>46038</v>
      </c>
      <c r="D402" s="12">
        <v>46128</v>
      </c>
      <c r="E402" t="s">
        <v>775</v>
      </c>
      <c r="F402" t="s">
        <v>14</v>
      </c>
      <c r="G402">
        <v>1004592366</v>
      </c>
      <c r="H402" t="s">
        <v>449</v>
      </c>
      <c r="I402">
        <v>43624414</v>
      </c>
      <c r="J402" t="s">
        <v>14</v>
      </c>
      <c r="K402" t="s">
        <v>18</v>
      </c>
      <c r="L402" s="1" t="e">
        <f>VLOOKUP(A402,#REF!,2,0)</f>
        <v>#REF!</v>
      </c>
      <c r="M402" s="1">
        <v>3150000</v>
      </c>
      <c r="N402" s="10">
        <v>9450000</v>
      </c>
      <c r="O402" s="10"/>
      <c r="P402" t="s">
        <v>704</v>
      </c>
      <c r="Q402" s="1" t="e">
        <f t="shared" ref="Q402:Q465" si="17">N402-L402</f>
        <v>#REF!</v>
      </c>
      <c r="S402" s="11" t="s">
        <v>1036</v>
      </c>
    </row>
    <row r="403" spans="1:19" x14ac:dyDescent="0.25">
      <c r="A403" t="s">
        <v>1076</v>
      </c>
      <c r="B403" t="s">
        <v>13</v>
      </c>
      <c r="C403" s="12">
        <v>46038</v>
      </c>
      <c r="D403" s="12">
        <v>46128</v>
      </c>
      <c r="E403" t="s">
        <v>775</v>
      </c>
      <c r="F403" t="s">
        <v>14</v>
      </c>
      <c r="G403">
        <v>1085253062</v>
      </c>
      <c r="H403" t="s">
        <v>316</v>
      </c>
      <c r="I403">
        <v>43624414</v>
      </c>
      <c r="J403" t="s">
        <v>14</v>
      </c>
      <c r="K403" t="s">
        <v>18</v>
      </c>
      <c r="L403" s="1" t="e">
        <f>VLOOKUP(A403,#REF!,2,0)</f>
        <v>#REF!</v>
      </c>
      <c r="M403" s="1">
        <v>0</v>
      </c>
      <c r="N403" s="10">
        <v>18900000</v>
      </c>
      <c r="O403" s="10"/>
      <c r="P403" t="s">
        <v>704</v>
      </c>
      <c r="Q403" s="1" t="e">
        <f t="shared" si="17"/>
        <v>#REF!</v>
      </c>
      <c r="S403" s="11" t="s">
        <v>1036</v>
      </c>
    </row>
    <row r="404" spans="1:19" x14ac:dyDescent="0.25">
      <c r="A404" t="s">
        <v>1077</v>
      </c>
      <c r="B404" t="s">
        <v>13</v>
      </c>
      <c r="C404" s="12">
        <v>46038</v>
      </c>
      <c r="D404" s="12">
        <v>46069</v>
      </c>
      <c r="E404" t="s">
        <v>775</v>
      </c>
      <c r="F404" t="s">
        <v>14</v>
      </c>
      <c r="G404">
        <v>87030128</v>
      </c>
      <c r="H404" t="s">
        <v>101</v>
      </c>
      <c r="I404">
        <v>98390119</v>
      </c>
      <c r="J404" t="s">
        <v>14</v>
      </c>
      <c r="K404" t="s">
        <v>63</v>
      </c>
      <c r="L404" s="1" t="e">
        <f>VLOOKUP(A404,#REF!,2,0)</f>
        <v>#REF!</v>
      </c>
      <c r="M404" s="1">
        <v>0</v>
      </c>
      <c r="N404" s="10">
        <v>3150000</v>
      </c>
      <c r="O404" s="10"/>
      <c r="P404" t="s">
        <v>704</v>
      </c>
      <c r="Q404" s="1" t="e">
        <f t="shared" si="17"/>
        <v>#REF!</v>
      </c>
      <c r="S404" s="11" t="s">
        <v>1036</v>
      </c>
    </row>
    <row r="405" spans="1:19" x14ac:dyDescent="0.25">
      <c r="A405" t="s">
        <v>1078</v>
      </c>
      <c r="B405" t="s">
        <v>13</v>
      </c>
      <c r="C405" s="12">
        <v>46038</v>
      </c>
      <c r="D405" s="12">
        <v>46189</v>
      </c>
      <c r="E405" t="s">
        <v>775</v>
      </c>
      <c r="F405" t="s">
        <v>14</v>
      </c>
      <c r="G405">
        <v>59310524</v>
      </c>
      <c r="H405" t="s">
        <v>22</v>
      </c>
      <c r="I405">
        <v>59836926</v>
      </c>
      <c r="J405" t="s">
        <v>14</v>
      </c>
      <c r="K405" t="s">
        <v>17</v>
      </c>
      <c r="L405" s="1" t="e">
        <f>VLOOKUP(A405,#REF!,2,0)</f>
        <v>#REF!</v>
      </c>
      <c r="M405" s="1">
        <v>0</v>
      </c>
      <c r="N405" s="10">
        <v>15750000</v>
      </c>
      <c r="O405" s="10"/>
      <c r="P405" t="s">
        <v>704</v>
      </c>
      <c r="Q405" s="1" t="e">
        <f t="shared" si="17"/>
        <v>#REF!</v>
      </c>
      <c r="S405" s="11" t="s">
        <v>1036</v>
      </c>
    </row>
    <row r="406" spans="1:19" x14ac:dyDescent="0.25">
      <c r="A406" t="s">
        <v>1022</v>
      </c>
      <c r="B406" t="s">
        <v>13</v>
      </c>
      <c r="C406" s="12">
        <v>46038</v>
      </c>
      <c r="D406" s="12">
        <v>46069</v>
      </c>
      <c r="E406" t="s">
        <v>775</v>
      </c>
      <c r="F406" t="s">
        <v>14</v>
      </c>
      <c r="G406">
        <v>1086360087</v>
      </c>
      <c r="H406" t="s">
        <v>397</v>
      </c>
      <c r="I406">
        <v>98390119</v>
      </c>
      <c r="J406" t="s">
        <v>14</v>
      </c>
      <c r="K406" t="s">
        <v>63</v>
      </c>
      <c r="L406" s="1" t="e">
        <f>VLOOKUP(A406,#REF!,2,0)</f>
        <v>#REF!</v>
      </c>
      <c r="M406" s="1">
        <v>6300000</v>
      </c>
      <c r="N406" s="10">
        <v>6300000</v>
      </c>
      <c r="O406" s="10"/>
      <c r="P406" t="s">
        <v>704</v>
      </c>
      <c r="Q406" s="1" t="e">
        <f t="shared" si="17"/>
        <v>#REF!</v>
      </c>
      <c r="S406" s="11" t="s">
        <v>1036</v>
      </c>
    </row>
    <row r="407" spans="1:19" x14ac:dyDescent="0.25">
      <c r="A407" t="s">
        <v>1079</v>
      </c>
      <c r="B407" t="s">
        <v>13</v>
      </c>
      <c r="C407" s="12">
        <v>46038</v>
      </c>
      <c r="D407" s="12">
        <v>46128</v>
      </c>
      <c r="E407" t="s">
        <v>775</v>
      </c>
      <c r="F407" t="s">
        <v>14</v>
      </c>
      <c r="G407">
        <v>1081572042</v>
      </c>
      <c r="H407" t="s">
        <v>641</v>
      </c>
      <c r="I407">
        <v>98390119</v>
      </c>
      <c r="J407" t="s">
        <v>14</v>
      </c>
      <c r="K407" t="s">
        <v>63</v>
      </c>
      <c r="L407" s="1" t="e">
        <f>VLOOKUP(A407,#REF!,2,0)</f>
        <v>#REF!</v>
      </c>
      <c r="M407" s="1">
        <v>3150000</v>
      </c>
      <c r="N407" s="10">
        <v>9450000</v>
      </c>
      <c r="O407" s="10"/>
      <c r="P407" t="s">
        <v>704</v>
      </c>
      <c r="Q407" s="1" t="e">
        <f t="shared" si="17"/>
        <v>#REF!</v>
      </c>
      <c r="S407" s="11" t="s">
        <v>1036</v>
      </c>
    </row>
    <row r="408" spans="1:19" x14ac:dyDescent="0.25">
      <c r="A408" t="s">
        <v>1080</v>
      </c>
      <c r="B408" t="s">
        <v>13</v>
      </c>
      <c r="C408" s="12">
        <v>46038</v>
      </c>
      <c r="D408" s="12">
        <v>46128</v>
      </c>
      <c r="E408" t="s">
        <v>744</v>
      </c>
      <c r="F408" t="s">
        <v>14</v>
      </c>
      <c r="G408">
        <v>1233193848</v>
      </c>
      <c r="H408" t="s">
        <v>455</v>
      </c>
      <c r="I408">
        <v>43624414</v>
      </c>
      <c r="J408" t="s">
        <v>14</v>
      </c>
      <c r="K408" t="s">
        <v>18</v>
      </c>
      <c r="L408" s="1" t="e">
        <f>VLOOKUP(A408,#REF!,2,0)</f>
        <v>#REF!</v>
      </c>
      <c r="M408" s="1">
        <v>0</v>
      </c>
      <c r="N408" s="10">
        <v>23400000</v>
      </c>
      <c r="O408" s="10"/>
      <c r="P408" t="s">
        <v>704</v>
      </c>
      <c r="Q408" s="1" t="e">
        <f t="shared" si="17"/>
        <v>#REF!</v>
      </c>
      <c r="S408" s="11" t="s">
        <v>1036</v>
      </c>
    </row>
    <row r="409" spans="1:19" x14ac:dyDescent="0.25">
      <c r="A409" t="s">
        <v>1081</v>
      </c>
      <c r="B409" t="s">
        <v>13</v>
      </c>
      <c r="C409" s="12">
        <v>46038</v>
      </c>
      <c r="D409" s="12">
        <v>46069</v>
      </c>
      <c r="E409" t="s">
        <v>775</v>
      </c>
      <c r="F409" t="s">
        <v>14</v>
      </c>
      <c r="G409">
        <v>1085254153</v>
      </c>
      <c r="H409" t="s">
        <v>308</v>
      </c>
      <c r="I409">
        <v>59836926</v>
      </c>
      <c r="J409" t="s">
        <v>14</v>
      </c>
      <c r="K409" t="s">
        <v>17</v>
      </c>
      <c r="L409" s="1" t="e">
        <f>VLOOKUP(A409,#REF!,2,0)</f>
        <v>#REF!</v>
      </c>
      <c r="M409" s="1">
        <v>0</v>
      </c>
      <c r="N409" s="10">
        <v>6300000</v>
      </c>
      <c r="O409" s="10"/>
      <c r="P409" t="s">
        <v>704</v>
      </c>
      <c r="Q409" s="1" t="e">
        <f t="shared" si="17"/>
        <v>#REF!</v>
      </c>
      <c r="S409" s="11" t="s">
        <v>1036</v>
      </c>
    </row>
    <row r="410" spans="1:19" x14ac:dyDescent="0.25">
      <c r="A410" t="s">
        <v>1082</v>
      </c>
      <c r="B410" t="s">
        <v>13</v>
      </c>
      <c r="C410" s="12">
        <v>46038</v>
      </c>
      <c r="D410" s="12">
        <v>46069</v>
      </c>
      <c r="E410" t="s">
        <v>775</v>
      </c>
      <c r="F410" t="s">
        <v>14</v>
      </c>
      <c r="G410">
        <v>1085265947</v>
      </c>
      <c r="H410" t="s">
        <v>278</v>
      </c>
      <c r="I410">
        <v>59836926</v>
      </c>
      <c r="J410" t="s">
        <v>14</v>
      </c>
      <c r="K410" t="s">
        <v>17</v>
      </c>
      <c r="L410" s="1" t="e">
        <f>VLOOKUP(A410,#REF!,2,0)</f>
        <v>#REF!</v>
      </c>
      <c r="M410" s="1">
        <v>0</v>
      </c>
      <c r="N410" s="10">
        <v>3150000</v>
      </c>
      <c r="O410" s="10"/>
      <c r="P410" t="s">
        <v>704</v>
      </c>
      <c r="Q410" s="1" t="e">
        <f t="shared" si="17"/>
        <v>#REF!</v>
      </c>
      <c r="S410" s="11" t="s">
        <v>1036</v>
      </c>
    </row>
    <row r="411" spans="1:19" x14ac:dyDescent="0.25">
      <c r="A411" t="s">
        <v>1027</v>
      </c>
      <c r="B411" t="s">
        <v>13</v>
      </c>
      <c r="C411" s="12">
        <v>46038</v>
      </c>
      <c r="D411" s="12">
        <v>46189</v>
      </c>
      <c r="E411" t="s">
        <v>775</v>
      </c>
      <c r="F411" t="s">
        <v>14</v>
      </c>
      <c r="G411">
        <v>1085286476</v>
      </c>
      <c r="H411" t="s">
        <v>842</v>
      </c>
      <c r="I411">
        <v>59836926</v>
      </c>
      <c r="J411" t="s">
        <v>14</v>
      </c>
      <c r="K411" t="s">
        <v>17</v>
      </c>
      <c r="L411" s="1" t="e">
        <f>VLOOKUP(A411,#REF!,2,0)</f>
        <v>#REF!</v>
      </c>
      <c r="M411" s="1">
        <v>6300000</v>
      </c>
      <c r="N411" s="10">
        <v>31500000</v>
      </c>
      <c r="O411" s="10"/>
      <c r="P411" t="s">
        <v>704</v>
      </c>
      <c r="Q411" s="1" t="e">
        <f t="shared" si="17"/>
        <v>#REF!</v>
      </c>
      <c r="S411" s="11" t="s">
        <v>1036</v>
      </c>
    </row>
    <row r="412" spans="1:19" x14ac:dyDescent="0.25">
      <c r="A412" t="s">
        <v>1083</v>
      </c>
      <c r="B412" t="s">
        <v>13</v>
      </c>
      <c r="C412" s="12">
        <v>46038</v>
      </c>
      <c r="D412" s="12">
        <v>46128</v>
      </c>
      <c r="E412" t="s">
        <v>775</v>
      </c>
      <c r="F412" t="s">
        <v>14</v>
      </c>
      <c r="G412">
        <v>1010010954</v>
      </c>
      <c r="H412" t="s">
        <v>379</v>
      </c>
      <c r="I412">
        <v>43624414</v>
      </c>
      <c r="J412" t="s">
        <v>14</v>
      </c>
      <c r="K412" t="s">
        <v>18</v>
      </c>
      <c r="L412" s="1" t="e">
        <f>VLOOKUP(A412,#REF!,2,0)</f>
        <v>#REF!</v>
      </c>
      <c r="M412" s="1">
        <v>6300000</v>
      </c>
      <c r="N412" s="10">
        <v>18900000</v>
      </c>
      <c r="O412" s="10"/>
      <c r="P412" t="s">
        <v>704</v>
      </c>
      <c r="Q412" s="1" t="e">
        <f t="shared" si="17"/>
        <v>#REF!</v>
      </c>
      <c r="S412" s="11" t="s">
        <v>1036</v>
      </c>
    </row>
    <row r="413" spans="1:19" x14ac:dyDescent="0.25">
      <c r="A413" t="s">
        <v>1084</v>
      </c>
      <c r="B413" t="s">
        <v>13</v>
      </c>
      <c r="C413" s="12">
        <v>46038</v>
      </c>
      <c r="D413" s="12">
        <v>46069</v>
      </c>
      <c r="E413" t="s">
        <v>775</v>
      </c>
      <c r="F413" t="s">
        <v>14</v>
      </c>
      <c r="G413">
        <v>36757221</v>
      </c>
      <c r="H413" t="s">
        <v>482</v>
      </c>
      <c r="I413">
        <v>43624414</v>
      </c>
      <c r="J413" t="s">
        <v>14</v>
      </c>
      <c r="K413" t="s">
        <v>18</v>
      </c>
      <c r="L413" s="1" t="e">
        <f>VLOOKUP(A413,#REF!,2,0)</f>
        <v>#REF!</v>
      </c>
      <c r="M413" s="1">
        <v>6300000</v>
      </c>
      <c r="N413" s="10">
        <v>6300000</v>
      </c>
      <c r="O413" s="10"/>
      <c r="P413" t="s">
        <v>704</v>
      </c>
      <c r="Q413" s="1" t="e">
        <f t="shared" si="17"/>
        <v>#REF!</v>
      </c>
      <c r="S413" s="11" t="s">
        <v>1036</v>
      </c>
    </row>
    <row r="414" spans="1:19" x14ac:dyDescent="0.25">
      <c r="A414" t="s">
        <v>1085</v>
      </c>
      <c r="B414" t="s">
        <v>13</v>
      </c>
      <c r="C414" s="12">
        <v>46038</v>
      </c>
      <c r="D414" s="12">
        <v>46189</v>
      </c>
      <c r="E414" t="s">
        <v>775</v>
      </c>
      <c r="F414" t="s">
        <v>14</v>
      </c>
      <c r="G414">
        <v>1084224761</v>
      </c>
      <c r="H414" t="s">
        <v>504</v>
      </c>
      <c r="I414">
        <v>98333941</v>
      </c>
      <c r="J414" t="s">
        <v>14</v>
      </c>
      <c r="K414" t="s">
        <v>15</v>
      </c>
      <c r="L414" s="1" t="e">
        <f>VLOOKUP(A414,#REF!,2,0)</f>
        <v>#REF!</v>
      </c>
      <c r="M414" s="1">
        <v>0</v>
      </c>
      <c r="N414" s="10">
        <v>31500000</v>
      </c>
      <c r="O414" s="10"/>
      <c r="P414" t="s">
        <v>704</v>
      </c>
      <c r="Q414" s="1" t="e">
        <f t="shared" si="17"/>
        <v>#REF!</v>
      </c>
      <c r="S414" s="11" t="s">
        <v>1036</v>
      </c>
    </row>
    <row r="415" spans="1:19" x14ac:dyDescent="0.25">
      <c r="A415" t="s">
        <v>1086</v>
      </c>
      <c r="B415" t="s">
        <v>13</v>
      </c>
      <c r="C415" s="12">
        <v>46038</v>
      </c>
      <c r="D415" s="12">
        <v>46189</v>
      </c>
      <c r="E415" t="s">
        <v>775</v>
      </c>
      <c r="F415" t="s">
        <v>14</v>
      </c>
      <c r="G415">
        <v>59836480</v>
      </c>
      <c r="H415" t="s">
        <v>181</v>
      </c>
      <c r="I415">
        <v>43624414</v>
      </c>
      <c r="J415" t="s">
        <v>14</v>
      </c>
      <c r="K415" t="s">
        <v>18</v>
      </c>
      <c r="L415" s="1" t="e">
        <f>VLOOKUP(A415,#REF!,2,0)</f>
        <v>#REF!</v>
      </c>
      <c r="M415" s="1">
        <v>0</v>
      </c>
      <c r="N415" s="10">
        <v>31500000</v>
      </c>
      <c r="O415" s="10"/>
      <c r="P415" t="s">
        <v>704</v>
      </c>
      <c r="Q415" s="1" t="e">
        <f t="shared" si="17"/>
        <v>#REF!</v>
      </c>
      <c r="S415" s="11" t="s">
        <v>1036</v>
      </c>
    </row>
    <row r="416" spans="1:19" x14ac:dyDescent="0.25">
      <c r="A416" t="s">
        <v>1087</v>
      </c>
      <c r="B416" t="s">
        <v>13</v>
      </c>
      <c r="C416" s="12">
        <v>46038</v>
      </c>
      <c r="D416" s="12">
        <v>46189</v>
      </c>
      <c r="E416" t="s">
        <v>775</v>
      </c>
      <c r="F416" t="s">
        <v>14</v>
      </c>
      <c r="G416">
        <v>1085299577</v>
      </c>
      <c r="H416" t="s">
        <v>527</v>
      </c>
      <c r="I416">
        <v>98390119</v>
      </c>
      <c r="J416" t="s">
        <v>14</v>
      </c>
      <c r="K416" t="s">
        <v>63</v>
      </c>
      <c r="L416" s="1" t="e">
        <f>VLOOKUP(A416,#REF!,2,0)</f>
        <v>#REF!</v>
      </c>
      <c r="M416" s="1">
        <v>6300000</v>
      </c>
      <c r="N416" s="10">
        <v>31500000</v>
      </c>
      <c r="O416" s="10"/>
      <c r="P416" t="s">
        <v>704</v>
      </c>
      <c r="Q416" s="1" t="e">
        <f t="shared" si="17"/>
        <v>#REF!</v>
      </c>
      <c r="S416" s="11" t="s">
        <v>1036</v>
      </c>
    </row>
    <row r="417" spans="1:19" x14ac:dyDescent="0.25">
      <c r="A417" t="s">
        <v>1088</v>
      </c>
      <c r="B417" t="s">
        <v>13</v>
      </c>
      <c r="C417" s="12">
        <v>46038</v>
      </c>
      <c r="D417" s="12">
        <v>46069</v>
      </c>
      <c r="E417" t="s">
        <v>744</v>
      </c>
      <c r="F417" t="s">
        <v>14</v>
      </c>
      <c r="G417">
        <v>59824313</v>
      </c>
      <c r="H417" t="s">
        <v>480</v>
      </c>
      <c r="I417">
        <v>98390119</v>
      </c>
      <c r="J417" t="s">
        <v>14</v>
      </c>
      <c r="K417" t="s">
        <v>63</v>
      </c>
      <c r="L417" s="1" t="e">
        <f>VLOOKUP(A417,#REF!,2,0)</f>
        <v>#REF!</v>
      </c>
      <c r="M417" s="1">
        <v>0</v>
      </c>
      <c r="N417" s="10">
        <v>4730000</v>
      </c>
      <c r="O417" s="10"/>
      <c r="P417" t="s">
        <v>704</v>
      </c>
      <c r="Q417" s="1" t="e">
        <f t="shared" si="17"/>
        <v>#REF!</v>
      </c>
      <c r="S417" s="11" t="s">
        <v>1036</v>
      </c>
    </row>
    <row r="418" spans="1:19" x14ac:dyDescent="0.25">
      <c r="A418" t="s">
        <v>1089</v>
      </c>
      <c r="B418" t="s">
        <v>13</v>
      </c>
      <c r="C418" s="12">
        <v>46038</v>
      </c>
      <c r="D418" s="12">
        <v>46128</v>
      </c>
      <c r="E418" t="s">
        <v>775</v>
      </c>
      <c r="F418" t="s">
        <v>14</v>
      </c>
      <c r="G418">
        <v>69028150</v>
      </c>
      <c r="H418" t="s">
        <v>21</v>
      </c>
      <c r="I418">
        <v>59836926</v>
      </c>
      <c r="J418" t="s">
        <v>14</v>
      </c>
      <c r="K418" t="s">
        <v>17</v>
      </c>
      <c r="L418" s="1" t="e">
        <f>VLOOKUP(A418,#REF!,2,0)</f>
        <v>#REF!</v>
      </c>
      <c r="M418" s="1">
        <v>3150000</v>
      </c>
      <c r="N418" s="10">
        <v>9450000</v>
      </c>
      <c r="O418" s="10"/>
      <c r="P418" t="s">
        <v>704</v>
      </c>
      <c r="Q418" s="1" t="e">
        <f t="shared" si="17"/>
        <v>#REF!</v>
      </c>
      <c r="S418" s="11" t="s">
        <v>1036</v>
      </c>
    </row>
    <row r="419" spans="1:19" x14ac:dyDescent="0.25">
      <c r="A419" t="s">
        <v>1090</v>
      </c>
      <c r="B419" t="s">
        <v>13</v>
      </c>
      <c r="C419" s="12">
        <v>46041</v>
      </c>
      <c r="D419" s="12">
        <v>46072</v>
      </c>
      <c r="E419" t="s">
        <v>775</v>
      </c>
      <c r="F419" t="s">
        <v>14</v>
      </c>
      <c r="G419">
        <v>1085277976</v>
      </c>
      <c r="H419" t="s">
        <v>681</v>
      </c>
      <c r="I419">
        <v>43624414</v>
      </c>
      <c r="J419" t="s">
        <v>14</v>
      </c>
      <c r="K419" t="s">
        <v>18</v>
      </c>
      <c r="L419" s="1" t="e">
        <f>VLOOKUP(A419,#REF!,2,0)</f>
        <v>#REF!</v>
      </c>
      <c r="M419" s="1">
        <v>6300000</v>
      </c>
      <c r="N419" s="10">
        <v>6300000</v>
      </c>
      <c r="O419" s="10"/>
      <c r="P419" t="s">
        <v>704</v>
      </c>
      <c r="Q419" s="1" t="e">
        <f t="shared" si="17"/>
        <v>#REF!</v>
      </c>
      <c r="S419" s="11" t="s">
        <v>1036</v>
      </c>
    </row>
    <row r="420" spans="1:19" x14ac:dyDescent="0.25">
      <c r="A420" t="s">
        <v>1091</v>
      </c>
      <c r="B420" t="s">
        <v>13</v>
      </c>
      <c r="C420" s="12">
        <v>46041</v>
      </c>
      <c r="D420" s="12">
        <v>46131</v>
      </c>
      <c r="E420" t="s">
        <v>775</v>
      </c>
      <c r="F420" t="s">
        <v>14</v>
      </c>
      <c r="G420">
        <v>27285974</v>
      </c>
      <c r="H420" t="s">
        <v>283</v>
      </c>
      <c r="I420">
        <v>59836926</v>
      </c>
      <c r="J420" t="s">
        <v>14</v>
      </c>
      <c r="K420" t="s">
        <v>17</v>
      </c>
      <c r="L420" s="1" t="e">
        <f>VLOOKUP(A420,#REF!,2,0)</f>
        <v>#REF!</v>
      </c>
      <c r="M420" s="1">
        <v>0</v>
      </c>
      <c r="N420" s="10">
        <v>9450000</v>
      </c>
      <c r="O420" s="10"/>
      <c r="P420" t="s">
        <v>704</v>
      </c>
      <c r="Q420" s="1" t="e">
        <f t="shared" si="17"/>
        <v>#REF!</v>
      </c>
      <c r="S420" s="11" t="s">
        <v>1036</v>
      </c>
    </row>
    <row r="421" spans="1:19" x14ac:dyDescent="0.25">
      <c r="A421" t="s">
        <v>1092</v>
      </c>
      <c r="B421" t="s">
        <v>13</v>
      </c>
      <c r="C421" s="12">
        <v>46041</v>
      </c>
      <c r="D421" s="12">
        <v>46131</v>
      </c>
      <c r="E421" t="s">
        <v>775</v>
      </c>
      <c r="F421" t="s">
        <v>14</v>
      </c>
      <c r="G421">
        <v>37083086</v>
      </c>
      <c r="H421" t="s">
        <v>354</v>
      </c>
      <c r="I421">
        <v>98333941</v>
      </c>
      <c r="J421" t="s">
        <v>14</v>
      </c>
      <c r="K421" t="s">
        <v>15</v>
      </c>
      <c r="L421" s="1" t="e">
        <f>VLOOKUP(A421,#REF!,2,0)</f>
        <v>#REF!</v>
      </c>
      <c r="M421" s="1">
        <v>0</v>
      </c>
      <c r="N421" s="10">
        <v>9450000</v>
      </c>
      <c r="O421" s="10"/>
      <c r="P421" t="s">
        <v>704</v>
      </c>
      <c r="Q421" s="1" t="e">
        <f t="shared" si="17"/>
        <v>#REF!</v>
      </c>
      <c r="S421" s="11" t="s">
        <v>1036</v>
      </c>
    </row>
    <row r="422" spans="1:19" x14ac:dyDescent="0.25">
      <c r="A422" t="s">
        <v>1093</v>
      </c>
      <c r="B422" t="s">
        <v>13</v>
      </c>
      <c r="C422" s="12">
        <v>46041</v>
      </c>
      <c r="D422" s="12">
        <v>46131</v>
      </c>
      <c r="E422" t="s">
        <v>775</v>
      </c>
      <c r="F422" t="s">
        <v>14</v>
      </c>
      <c r="G422">
        <v>59311295</v>
      </c>
      <c r="H422" t="s">
        <v>606</v>
      </c>
      <c r="I422">
        <v>43624414</v>
      </c>
      <c r="J422" t="s">
        <v>14</v>
      </c>
      <c r="K422" t="s">
        <v>18</v>
      </c>
      <c r="L422" s="1" t="e">
        <f>VLOOKUP(A422,#REF!,2,0)</f>
        <v>#REF!</v>
      </c>
      <c r="M422" s="1">
        <v>0</v>
      </c>
      <c r="N422" s="10">
        <v>9450000</v>
      </c>
      <c r="O422" s="10"/>
      <c r="P422" t="s">
        <v>704</v>
      </c>
      <c r="Q422" s="1" t="e">
        <f t="shared" si="17"/>
        <v>#REF!</v>
      </c>
      <c r="S422" s="11" t="s">
        <v>1036</v>
      </c>
    </row>
    <row r="423" spans="1:19" x14ac:dyDescent="0.25">
      <c r="A423" t="s">
        <v>1094</v>
      </c>
      <c r="B423" t="s">
        <v>13</v>
      </c>
      <c r="C423" s="12">
        <v>46041</v>
      </c>
      <c r="D423" s="12">
        <v>46131</v>
      </c>
      <c r="E423" t="s">
        <v>775</v>
      </c>
      <c r="F423" t="s">
        <v>14</v>
      </c>
      <c r="G423">
        <v>1087960258</v>
      </c>
      <c r="H423" t="s">
        <v>865</v>
      </c>
      <c r="I423">
        <v>98333941</v>
      </c>
      <c r="J423" t="s">
        <v>14</v>
      </c>
      <c r="K423" t="s">
        <v>15</v>
      </c>
      <c r="L423" s="1" t="e">
        <f>VLOOKUP(A423,#REF!,2,0)</f>
        <v>#REF!</v>
      </c>
      <c r="M423" s="1">
        <v>0</v>
      </c>
      <c r="N423" s="10">
        <v>9450000</v>
      </c>
      <c r="O423" s="10"/>
      <c r="P423" t="s">
        <v>704</v>
      </c>
      <c r="Q423" s="1" t="e">
        <f t="shared" si="17"/>
        <v>#REF!</v>
      </c>
      <c r="S423" s="11" t="s">
        <v>1036</v>
      </c>
    </row>
    <row r="424" spans="1:19" x14ac:dyDescent="0.25">
      <c r="A424" t="s">
        <v>1095</v>
      </c>
      <c r="B424" t="s">
        <v>13</v>
      </c>
      <c r="C424" s="12">
        <v>46041</v>
      </c>
      <c r="D424" s="12">
        <v>46131</v>
      </c>
      <c r="E424" t="s">
        <v>744</v>
      </c>
      <c r="F424" t="s">
        <v>14</v>
      </c>
      <c r="G424">
        <v>59312865</v>
      </c>
      <c r="H424" t="s">
        <v>534</v>
      </c>
      <c r="I424">
        <v>43624414</v>
      </c>
      <c r="J424" t="s">
        <v>14</v>
      </c>
      <c r="K424" t="s">
        <v>18</v>
      </c>
      <c r="L424" s="1" t="e">
        <f>VLOOKUP(A424,#REF!,2,0)</f>
        <v>#REF!</v>
      </c>
      <c r="M424" s="1">
        <v>0</v>
      </c>
      <c r="N424" s="10">
        <v>14190000</v>
      </c>
      <c r="O424" s="10"/>
      <c r="P424" t="s">
        <v>704</v>
      </c>
      <c r="Q424" s="1" t="e">
        <f t="shared" si="17"/>
        <v>#REF!</v>
      </c>
      <c r="S424" s="11" t="s">
        <v>1036</v>
      </c>
    </row>
    <row r="425" spans="1:19" x14ac:dyDescent="0.25">
      <c r="A425" t="s">
        <v>1096</v>
      </c>
      <c r="B425" t="s">
        <v>13</v>
      </c>
      <c r="C425" s="12">
        <v>46041</v>
      </c>
      <c r="D425" s="12">
        <v>46072</v>
      </c>
      <c r="E425" t="s">
        <v>744</v>
      </c>
      <c r="F425" t="s">
        <v>14</v>
      </c>
      <c r="G425">
        <v>59651018</v>
      </c>
      <c r="H425" t="s">
        <v>839</v>
      </c>
      <c r="I425">
        <v>43624414</v>
      </c>
      <c r="J425" t="s">
        <v>14</v>
      </c>
      <c r="K425" t="s">
        <v>18</v>
      </c>
      <c r="L425" s="1" t="e">
        <f>VLOOKUP(A425,#REF!,2,0)</f>
        <v>#REF!</v>
      </c>
      <c r="M425" s="1">
        <v>4730000</v>
      </c>
      <c r="N425" s="10">
        <v>4730000</v>
      </c>
      <c r="O425" s="10"/>
      <c r="P425" t="s">
        <v>704</v>
      </c>
      <c r="Q425" s="1" t="e">
        <f t="shared" si="17"/>
        <v>#REF!</v>
      </c>
      <c r="S425" s="11" t="s">
        <v>1036</v>
      </c>
    </row>
    <row r="426" spans="1:19" x14ac:dyDescent="0.25">
      <c r="A426" t="s">
        <v>1097</v>
      </c>
      <c r="B426" t="s">
        <v>13</v>
      </c>
      <c r="C426" s="12">
        <v>46041</v>
      </c>
      <c r="D426" s="12">
        <v>46072</v>
      </c>
      <c r="E426" t="s">
        <v>775</v>
      </c>
      <c r="F426" t="s">
        <v>14</v>
      </c>
      <c r="G426">
        <v>1004134014</v>
      </c>
      <c r="H426" t="s">
        <v>633</v>
      </c>
      <c r="I426">
        <v>43624414</v>
      </c>
      <c r="J426" t="s">
        <v>14</v>
      </c>
      <c r="K426" t="s">
        <v>18</v>
      </c>
      <c r="L426" s="1" t="e">
        <f>VLOOKUP(A426,#REF!,2,0)</f>
        <v>#REF!</v>
      </c>
      <c r="M426" s="1">
        <v>0</v>
      </c>
      <c r="N426" s="10">
        <v>3150000</v>
      </c>
      <c r="O426" s="10"/>
      <c r="P426" t="s">
        <v>704</v>
      </c>
      <c r="Q426" s="1" t="e">
        <f t="shared" si="17"/>
        <v>#REF!</v>
      </c>
      <c r="S426" s="11" t="s">
        <v>1036</v>
      </c>
    </row>
    <row r="427" spans="1:19" x14ac:dyDescent="0.25">
      <c r="A427" t="s">
        <v>1098</v>
      </c>
      <c r="B427" t="s">
        <v>13</v>
      </c>
      <c r="C427" s="12">
        <v>46041</v>
      </c>
      <c r="D427" s="12">
        <v>46192</v>
      </c>
      <c r="E427" t="s">
        <v>744</v>
      </c>
      <c r="F427" t="s">
        <v>14</v>
      </c>
      <c r="G427">
        <v>37084258</v>
      </c>
      <c r="H427" t="s">
        <v>901</v>
      </c>
      <c r="I427">
        <v>43624414</v>
      </c>
      <c r="J427" t="s">
        <v>14</v>
      </c>
      <c r="K427" t="s">
        <v>18</v>
      </c>
      <c r="L427" s="1" t="e">
        <f>VLOOKUP(A427,#REF!,2,0)</f>
        <v>#REF!</v>
      </c>
      <c r="M427" s="1">
        <v>0</v>
      </c>
      <c r="N427" s="10">
        <v>23650000</v>
      </c>
      <c r="O427" s="10"/>
      <c r="P427" t="s">
        <v>704</v>
      </c>
      <c r="Q427" s="1" t="e">
        <f t="shared" si="17"/>
        <v>#REF!</v>
      </c>
      <c r="S427" s="11" t="s">
        <v>1036</v>
      </c>
    </row>
    <row r="428" spans="1:19" x14ac:dyDescent="0.25">
      <c r="A428" t="s">
        <v>1099</v>
      </c>
      <c r="B428" t="s">
        <v>13</v>
      </c>
      <c r="C428" s="12">
        <v>46041</v>
      </c>
      <c r="D428" s="12">
        <v>46131</v>
      </c>
      <c r="E428" t="s">
        <v>744</v>
      </c>
      <c r="F428" t="s">
        <v>14</v>
      </c>
      <c r="G428">
        <v>1005829176</v>
      </c>
      <c r="H428" t="s">
        <v>487</v>
      </c>
      <c r="I428">
        <v>59836926</v>
      </c>
      <c r="J428" t="s">
        <v>14</v>
      </c>
      <c r="K428" t="s">
        <v>17</v>
      </c>
      <c r="L428" s="1" t="e">
        <f>VLOOKUP(A428,#REF!,2,0)</f>
        <v>#REF!</v>
      </c>
      <c r="M428" s="1">
        <v>4730000</v>
      </c>
      <c r="N428" s="10">
        <v>14190000</v>
      </c>
      <c r="O428" s="10"/>
      <c r="P428" t="s">
        <v>704</v>
      </c>
      <c r="Q428" s="1" t="e">
        <f t="shared" si="17"/>
        <v>#REF!</v>
      </c>
      <c r="S428" s="11" t="s">
        <v>1036</v>
      </c>
    </row>
    <row r="429" spans="1:19" x14ac:dyDescent="0.25">
      <c r="A429" t="s">
        <v>1100</v>
      </c>
      <c r="B429" t="s">
        <v>13</v>
      </c>
      <c r="C429" s="12">
        <v>46041</v>
      </c>
      <c r="D429" s="12">
        <v>46192</v>
      </c>
      <c r="E429" t="s">
        <v>744</v>
      </c>
      <c r="F429" t="s">
        <v>14</v>
      </c>
      <c r="G429">
        <v>27105277</v>
      </c>
      <c r="H429" t="s">
        <v>221</v>
      </c>
      <c r="I429">
        <v>59836926</v>
      </c>
      <c r="J429" t="s">
        <v>14</v>
      </c>
      <c r="K429" t="s">
        <v>17</v>
      </c>
      <c r="L429" s="1" t="e">
        <f>VLOOKUP(A429,#REF!,2,0)</f>
        <v>#REF!</v>
      </c>
      <c r="M429" s="1">
        <v>0</v>
      </c>
      <c r="N429" s="10">
        <v>23650000</v>
      </c>
      <c r="O429" s="10"/>
      <c r="P429" t="s">
        <v>704</v>
      </c>
      <c r="Q429" s="1" t="e">
        <f t="shared" si="17"/>
        <v>#REF!</v>
      </c>
      <c r="S429" s="11" t="s">
        <v>1036</v>
      </c>
    </row>
    <row r="430" spans="1:19" x14ac:dyDescent="0.25">
      <c r="A430" t="s">
        <v>1101</v>
      </c>
      <c r="B430" t="s">
        <v>13</v>
      </c>
      <c r="C430" s="12">
        <v>46041</v>
      </c>
      <c r="D430" s="12">
        <v>46192</v>
      </c>
      <c r="E430" t="s">
        <v>775</v>
      </c>
      <c r="F430" t="s">
        <v>14</v>
      </c>
      <c r="G430">
        <v>27146489</v>
      </c>
      <c r="H430" t="s">
        <v>193</v>
      </c>
      <c r="I430">
        <v>98390119</v>
      </c>
      <c r="J430" t="s">
        <v>14</v>
      </c>
      <c r="K430" t="s">
        <v>63</v>
      </c>
      <c r="L430" s="1" t="e">
        <f>VLOOKUP(A430,#REF!,2,0)</f>
        <v>#REF!</v>
      </c>
      <c r="M430" s="1">
        <v>6300000</v>
      </c>
      <c r="N430" s="10">
        <v>31500000</v>
      </c>
      <c r="O430" s="10"/>
      <c r="P430" t="s">
        <v>704</v>
      </c>
      <c r="Q430" s="1" t="e">
        <f t="shared" si="17"/>
        <v>#REF!</v>
      </c>
      <c r="S430" s="11" t="s">
        <v>1036</v>
      </c>
    </row>
    <row r="431" spans="1:19" x14ac:dyDescent="0.25">
      <c r="A431" t="s">
        <v>1102</v>
      </c>
      <c r="B431" t="s">
        <v>13</v>
      </c>
      <c r="C431" s="12">
        <v>46041</v>
      </c>
      <c r="D431" s="12">
        <v>46192</v>
      </c>
      <c r="E431" t="s">
        <v>744</v>
      </c>
      <c r="F431" t="s">
        <v>14</v>
      </c>
      <c r="G431">
        <v>52381227</v>
      </c>
      <c r="H431" t="s">
        <v>147</v>
      </c>
      <c r="I431">
        <v>98333941</v>
      </c>
      <c r="J431" t="s">
        <v>14</v>
      </c>
      <c r="K431" t="s">
        <v>15</v>
      </c>
      <c r="L431" s="1" t="e">
        <f>VLOOKUP(A431,#REF!,2,0)</f>
        <v>#REF!</v>
      </c>
      <c r="M431" s="1">
        <v>0</v>
      </c>
      <c r="N431" s="10">
        <v>23650000</v>
      </c>
      <c r="O431" s="10"/>
      <c r="P431" t="s">
        <v>704</v>
      </c>
      <c r="Q431" s="1" t="e">
        <f t="shared" si="17"/>
        <v>#REF!</v>
      </c>
      <c r="S431" s="11" t="s">
        <v>1036</v>
      </c>
    </row>
    <row r="432" spans="1:19" x14ac:dyDescent="0.25">
      <c r="A432" t="s">
        <v>1103</v>
      </c>
      <c r="B432" t="s">
        <v>13</v>
      </c>
      <c r="C432" s="12">
        <v>46041</v>
      </c>
      <c r="D432" s="12">
        <v>46131</v>
      </c>
      <c r="E432" t="s">
        <v>744</v>
      </c>
      <c r="F432" t="s">
        <v>14</v>
      </c>
      <c r="G432">
        <v>1083814276</v>
      </c>
      <c r="H432" t="s">
        <v>590</v>
      </c>
      <c r="I432">
        <v>98333941</v>
      </c>
      <c r="J432" t="s">
        <v>14</v>
      </c>
      <c r="K432" t="s">
        <v>15</v>
      </c>
      <c r="L432" s="1" t="e">
        <f>VLOOKUP(A432,#REF!,2,0)</f>
        <v>#REF!</v>
      </c>
      <c r="M432" s="1">
        <v>0</v>
      </c>
      <c r="N432" s="10">
        <v>23400000</v>
      </c>
      <c r="O432" s="10"/>
      <c r="P432" t="s">
        <v>704</v>
      </c>
      <c r="Q432" s="1" t="e">
        <f t="shared" si="17"/>
        <v>#REF!</v>
      </c>
      <c r="S432" s="11" t="s">
        <v>1036</v>
      </c>
    </row>
    <row r="433" spans="1:19" x14ac:dyDescent="0.25">
      <c r="A433" t="s">
        <v>1104</v>
      </c>
      <c r="B433" t="s">
        <v>13</v>
      </c>
      <c r="C433" s="12">
        <v>46041</v>
      </c>
      <c r="D433" s="12">
        <v>46131</v>
      </c>
      <c r="E433" t="s">
        <v>744</v>
      </c>
      <c r="F433" t="s">
        <v>14</v>
      </c>
      <c r="G433">
        <v>1084227101</v>
      </c>
      <c r="H433" t="s">
        <v>700</v>
      </c>
      <c r="I433">
        <v>98333941</v>
      </c>
      <c r="J433" t="s">
        <v>14</v>
      </c>
      <c r="K433" t="s">
        <v>15</v>
      </c>
      <c r="L433" s="1" t="e">
        <f>VLOOKUP(A433,#REF!,2,0)</f>
        <v>#REF!</v>
      </c>
      <c r="M433" s="1">
        <v>0</v>
      </c>
      <c r="N433" s="10">
        <v>14190000</v>
      </c>
      <c r="O433" s="10"/>
      <c r="P433" t="s">
        <v>704</v>
      </c>
      <c r="Q433" s="1" t="e">
        <f t="shared" si="17"/>
        <v>#REF!</v>
      </c>
      <c r="S433" s="11" t="s">
        <v>1036</v>
      </c>
    </row>
    <row r="434" spans="1:19" x14ac:dyDescent="0.25">
      <c r="A434" t="s">
        <v>1105</v>
      </c>
      <c r="B434" t="s">
        <v>13</v>
      </c>
      <c r="C434" s="12">
        <v>46041</v>
      </c>
      <c r="D434" s="12">
        <v>46192</v>
      </c>
      <c r="E434" t="s">
        <v>744</v>
      </c>
      <c r="F434" t="s">
        <v>14</v>
      </c>
      <c r="G434">
        <v>1233193769</v>
      </c>
      <c r="H434" t="s">
        <v>890</v>
      </c>
      <c r="I434">
        <v>98390119</v>
      </c>
      <c r="J434" t="s">
        <v>14</v>
      </c>
      <c r="K434" t="s">
        <v>63</v>
      </c>
      <c r="L434" s="1" t="e">
        <f>VLOOKUP(A434,#REF!,2,0)</f>
        <v>#REF!</v>
      </c>
      <c r="M434" s="1">
        <v>0</v>
      </c>
      <c r="N434" s="10">
        <v>39000000</v>
      </c>
      <c r="O434" s="10"/>
      <c r="P434" t="s">
        <v>704</v>
      </c>
      <c r="Q434" s="1" t="e">
        <f t="shared" si="17"/>
        <v>#REF!</v>
      </c>
      <c r="S434" s="11" t="s">
        <v>1036</v>
      </c>
    </row>
    <row r="435" spans="1:19" x14ac:dyDescent="0.25">
      <c r="A435" t="s">
        <v>1106</v>
      </c>
      <c r="B435" t="s">
        <v>13</v>
      </c>
      <c r="C435" s="12">
        <v>46041</v>
      </c>
      <c r="D435" s="12">
        <v>46131</v>
      </c>
      <c r="E435" t="s">
        <v>744</v>
      </c>
      <c r="F435" t="s">
        <v>14</v>
      </c>
      <c r="G435">
        <v>1086137686</v>
      </c>
      <c r="H435" t="s">
        <v>658</v>
      </c>
      <c r="I435">
        <v>98390119</v>
      </c>
      <c r="J435" t="s">
        <v>14</v>
      </c>
      <c r="K435" t="s">
        <v>63</v>
      </c>
      <c r="L435" s="1" t="e">
        <f>VLOOKUP(A435,#REF!,2,0)</f>
        <v>#REF!</v>
      </c>
      <c r="M435" s="1">
        <v>0</v>
      </c>
      <c r="N435" s="10">
        <v>14190000</v>
      </c>
      <c r="O435" s="10"/>
      <c r="P435" t="s">
        <v>704</v>
      </c>
      <c r="Q435" s="1" t="e">
        <f t="shared" si="17"/>
        <v>#REF!</v>
      </c>
      <c r="S435" s="11" t="s">
        <v>1036</v>
      </c>
    </row>
    <row r="436" spans="1:19" x14ac:dyDescent="0.25">
      <c r="A436" t="s">
        <v>1107</v>
      </c>
      <c r="B436" t="s">
        <v>13</v>
      </c>
      <c r="C436" s="12">
        <v>46041</v>
      </c>
      <c r="D436" s="12">
        <v>46192</v>
      </c>
      <c r="E436" t="s">
        <v>744</v>
      </c>
      <c r="F436" t="s">
        <v>14</v>
      </c>
      <c r="G436">
        <v>1086360022</v>
      </c>
      <c r="H436" t="s">
        <v>90</v>
      </c>
      <c r="I436">
        <v>98390119</v>
      </c>
      <c r="J436" t="s">
        <v>14</v>
      </c>
      <c r="K436" t="s">
        <v>63</v>
      </c>
      <c r="L436" s="1" t="e">
        <f>VLOOKUP(A436,#REF!,2,0)</f>
        <v>#REF!</v>
      </c>
      <c r="M436" s="1">
        <v>0</v>
      </c>
      <c r="N436" s="10">
        <v>23650000</v>
      </c>
      <c r="O436" s="10"/>
      <c r="P436" t="s">
        <v>704</v>
      </c>
      <c r="Q436" s="1" t="e">
        <f t="shared" si="17"/>
        <v>#REF!</v>
      </c>
      <c r="S436" s="11" t="s">
        <v>1036</v>
      </c>
    </row>
    <row r="437" spans="1:19" x14ac:dyDescent="0.25">
      <c r="A437" t="s">
        <v>1108</v>
      </c>
      <c r="B437" t="s">
        <v>13</v>
      </c>
      <c r="C437" s="12">
        <v>46041</v>
      </c>
      <c r="D437" s="12">
        <v>46192</v>
      </c>
      <c r="E437" t="s">
        <v>744</v>
      </c>
      <c r="F437" t="s">
        <v>14</v>
      </c>
      <c r="G437">
        <v>1087645723</v>
      </c>
      <c r="H437" t="s">
        <v>153</v>
      </c>
      <c r="I437">
        <v>98390119</v>
      </c>
      <c r="J437" t="s">
        <v>14</v>
      </c>
      <c r="K437" t="s">
        <v>63</v>
      </c>
      <c r="L437" s="1" t="e">
        <f>VLOOKUP(A437,#REF!,2,0)</f>
        <v>#REF!</v>
      </c>
      <c r="M437" s="1">
        <v>0</v>
      </c>
      <c r="N437" s="10">
        <v>39000000</v>
      </c>
      <c r="O437" s="10"/>
      <c r="P437" t="s">
        <v>704</v>
      </c>
      <c r="Q437" s="1" t="e">
        <f t="shared" si="17"/>
        <v>#REF!</v>
      </c>
      <c r="S437" s="11" t="s">
        <v>1036</v>
      </c>
    </row>
    <row r="438" spans="1:19" x14ac:dyDescent="0.25">
      <c r="A438" t="s">
        <v>1109</v>
      </c>
      <c r="B438" t="s">
        <v>13</v>
      </c>
      <c r="C438" s="12">
        <v>46041</v>
      </c>
      <c r="D438" s="12">
        <v>46131</v>
      </c>
      <c r="E438" t="s">
        <v>744</v>
      </c>
      <c r="F438" t="s">
        <v>14</v>
      </c>
      <c r="G438">
        <v>1233188033</v>
      </c>
      <c r="H438" t="s">
        <v>894</v>
      </c>
      <c r="I438">
        <v>98390119</v>
      </c>
      <c r="J438" t="s">
        <v>14</v>
      </c>
      <c r="K438" t="s">
        <v>63</v>
      </c>
      <c r="L438" s="1" t="e">
        <f>VLOOKUP(A438,#REF!,2,0)</f>
        <v>#REF!</v>
      </c>
      <c r="M438" s="1">
        <v>0</v>
      </c>
      <c r="N438" s="10">
        <v>14190000</v>
      </c>
      <c r="O438" s="10"/>
      <c r="P438" t="s">
        <v>704</v>
      </c>
      <c r="Q438" s="1" t="e">
        <f t="shared" si="17"/>
        <v>#REF!</v>
      </c>
      <c r="S438" s="11" t="s">
        <v>1036</v>
      </c>
    </row>
    <row r="439" spans="1:19" x14ac:dyDescent="0.25">
      <c r="A439" t="s">
        <v>1110</v>
      </c>
      <c r="B439" t="s">
        <v>13</v>
      </c>
      <c r="C439" s="12">
        <v>46041</v>
      </c>
      <c r="D439" s="12">
        <v>46072</v>
      </c>
      <c r="E439" t="s">
        <v>775</v>
      </c>
      <c r="F439" t="s">
        <v>14</v>
      </c>
      <c r="G439">
        <v>1085343154</v>
      </c>
      <c r="H439" t="s">
        <v>600</v>
      </c>
      <c r="I439">
        <v>98333941</v>
      </c>
      <c r="J439" t="s">
        <v>14</v>
      </c>
      <c r="K439" t="s">
        <v>15</v>
      </c>
      <c r="L439" s="1" t="e">
        <f>VLOOKUP(A439,#REF!,2,0)</f>
        <v>#REF!</v>
      </c>
      <c r="M439" s="1">
        <v>0</v>
      </c>
      <c r="N439" s="10">
        <v>3150000</v>
      </c>
      <c r="O439" s="10"/>
      <c r="P439" t="s">
        <v>704</v>
      </c>
      <c r="Q439" s="1" t="e">
        <f t="shared" si="17"/>
        <v>#REF!</v>
      </c>
      <c r="S439" s="11" t="s">
        <v>1036</v>
      </c>
    </row>
    <row r="440" spans="1:19" x14ac:dyDescent="0.25">
      <c r="A440" t="s">
        <v>1111</v>
      </c>
      <c r="B440" t="s">
        <v>13</v>
      </c>
      <c r="C440" s="12">
        <v>46041</v>
      </c>
      <c r="D440" s="12">
        <v>46192</v>
      </c>
      <c r="E440" t="s">
        <v>744</v>
      </c>
      <c r="F440" t="s">
        <v>14</v>
      </c>
      <c r="G440">
        <v>1127080390</v>
      </c>
      <c r="H440" t="s">
        <v>934</v>
      </c>
      <c r="I440">
        <v>59836926</v>
      </c>
      <c r="J440" t="s">
        <v>14</v>
      </c>
      <c r="K440" t="s">
        <v>17</v>
      </c>
      <c r="L440" s="1" t="e">
        <f>VLOOKUP(A440,#REF!,2,0)</f>
        <v>#REF!</v>
      </c>
      <c r="M440" s="1">
        <v>0</v>
      </c>
      <c r="N440" s="10">
        <v>23650000</v>
      </c>
      <c r="O440" s="10"/>
      <c r="P440" t="s">
        <v>704</v>
      </c>
      <c r="Q440" s="1" t="e">
        <f t="shared" si="17"/>
        <v>#REF!</v>
      </c>
      <c r="S440" s="11" t="s">
        <v>1036</v>
      </c>
    </row>
    <row r="441" spans="1:19" x14ac:dyDescent="0.25">
      <c r="A441" t="s">
        <v>1112</v>
      </c>
      <c r="B441" t="s">
        <v>13</v>
      </c>
      <c r="C441" s="12">
        <v>46041</v>
      </c>
      <c r="D441" s="12">
        <v>46131</v>
      </c>
      <c r="E441" t="s">
        <v>744</v>
      </c>
      <c r="F441" t="s">
        <v>14</v>
      </c>
      <c r="G441">
        <v>1233190311</v>
      </c>
      <c r="H441" t="s">
        <v>906</v>
      </c>
      <c r="I441">
        <v>98390119</v>
      </c>
      <c r="J441" t="s">
        <v>14</v>
      </c>
      <c r="K441" t="s">
        <v>63</v>
      </c>
      <c r="L441" s="1" t="e">
        <f>VLOOKUP(A441,#REF!,2,0)</f>
        <v>#REF!</v>
      </c>
      <c r="M441" s="1">
        <v>0</v>
      </c>
      <c r="N441" s="10">
        <v>14190000</v>
      </c>
      <c r="O441" s="10"/>
      <c r="P441" t="s">
        <v>704</v>
      </c>
      <c r="Q441" s="1" t="e">
        <f t="shared" si="17"/>
        <v>#REF!</v>
      </c>
      <c r="S441" s="11" t="s">
        <v>1036</v>
      </c>
    </row>
    <row r="442" spans="1:19" x14ac:dyDescent="0.25">
      <c r="A442" t="s">
        <v>1113</v>
      </c>
      <c r="B442" t="s">
        <v>13</v>
      </c>
      <c r="C442" s="12">
        <v>46041</v>
      </c>
      <c r="D442" s="12">
        <v>46131</v>
      </c>
      <c r="E442" t="s">
        <v>775</v>
      </c>
      <c r="F442" t="s">
        <v>14</v>
      </c>
      <c r="G442">
        <v>37085864</v>
      </c>
      <c r="H442" t="s">
        <v>654</v>
      </c>
      <c r="I442">
        <v>59836926</v>
      </c>
      <c r="J442" t="s">
        <v>14</v>
      </c>
      <c r="K442" t="s">
        <v>17</v>
      </c>
      <c r="L442" s="1" t="e">
        <f>VLOOKUP(A442,#REF!,2,0)</f>
        <v>#REF!</v>
      </c>
      <c r="M442" s="1">
        <v>0</v>
      </c>
      <c r="N442" s="10">
        <v>18900000</v>
      </c>
      <c r="O442" s="10"/>
      <c r="P442" t="s">
        <v>704</v>
      </c>
      <c r="Q442" s="1" t="e">
        <f t="shared" si="17"/>
        <v>#REF!</v>
      </c>
      <c r="S442" s="11" t="s">
        <v>1036</v>
      </c>
    </row>
    <row r="443" spans="1:19" x14ac:dyDescent="0.25">
      <c r="A443" t="s">
        <v>1114</v>
      </c>
      <c r="B443" t="s">
        <v>13</v>
      </c>
      <c r="C443" s="12">
        <v>46041</v>
      </c>
      <c r="D443" s="12">
        <v>46131</v>
      </c>
      <c r="E443" t="s">
        <v>744</v>
      </c>
      <c r="F443" t="s">
        <v>14</v>
      </c>
      <c r="G443">
        <v>36757491</v>
      </c>
      <c r="H443" t="s">
        <v>164</v>
      </c>
      <c r="I443">
        <v>59836926</v>
      </c>
      <c r="J443" t="s">
        <v>14</v>
      </c>
      <c r="K443" t="s">
        <v>17</v>
      </c>
      <c r="L443" s="1" t="e">
        <f>VLOOKUP(A443,#REF!,2,0)</f>
        <v>#REF!</v>
      </c>
      <c r="M443" s="1">
        <v>0</v>
      </c>
      <c r="N443" s="10">
        <v>14190000</v>
      </c>
      <c r="O443" s="10"/>
      <c r="P443" t="s">
        <v>704</v>
      </c>
      <c r="Q443" s="1" t="e">
        <f t="shared" si="17"/>
        <v>#REF!</v>
      </c>
      <c r="S443" s="11" t="s">
        <v>1036</v>
      </c>
    </row>
    <row r="444" spans="1:19" x14ac:dyDescent="0.25">
      <c r="A444" t="s">
        <v>1115</v>
      </c>
      <c r="B444" t="s">
        <v>13</v>
      </c>
      <c r="C444" s="12">
        <v>46041</v>
      </c>
      <c r="D444" s="12">
        <v>46192</v>
      </c>
      <c r="E444" t="s">
        <v>744</v>
      </c>
      <c r="F444" t="s">
        <v>14</v>
      </c>
      <c r="G444">
        <v>1144172704</v>
      </c>
      <c r="H444" t="s">
        <v>280</v>
      </c>
      <c r="I444">
        <v>43624414</v>
      </c>
      <c r="J444" t="s">
        <v>14</v>
      </c>
      <c r="K444" t="s">
        <v>18</v>
      </c>
      <c r="L444" s="1" t="e">
        <f>VLOOKUP(A444,#REF!,2,0)</f>
        <v>#REF!</v>
      </c>
      <c r="M444" s="1">
        <v>0</v>
      </c>
      <c r="N444" s="10">
        <v>39000000</v>
      </c>
      <c r="O444" s="10"/>
      <c r="P444" t="s">
        <v>704</v>
      </c>
      <c r="Q444" s="1" t="e">
        <f t="shared" si="17"/>
        <v>#REF!</v>
      </c>
      <c r="S444" s="11" t="s">
        <v>1036</v>
      </c>
    </row>
    <row r="445" spans="1:19" x14ac:dyDescent="0.25">
      <c r="A445" t="s">
        <v>1116</v>
      </c>
      <c r="B445" t="s">
        <v>13</v>
      </c>
      <c r="C445" s="12">
        <v>46041</v>
      </c>
      <c r="D445" s="12">
        <v>46131</v>
      </c>
      <c r="E445" t="s">
        <v>775</v>
      </c>
      <c r="F445" t="s">
        <v>14</v>
      </c>
      <c r="G445">
        <v>1085255829</v>
      </c>
      <c r="H445" t="s">
        <v>23</v>
      </c>
      <c r="I445">
        <v>98390119</v>
      </c>
      <c r="J445" t="s">
        <v>14</v>
      </c>
      <c r="K445" t="s">
        <v>63</v>
      </c>
      <c r="L445" s="1" t="e">
        <f>VLOOKUP(A445,#REF!,2,0)</f>
        <v>#REF!</v>
      </c>
      <c r="M445" s="1">
        <v>0</v>
      </c>
      <c r="N445" s="10">
        <v>9450000</v>
      </c>
      <c r="O445" s="10"/>
      <c r="P445" t="s">
        <v>704</v>
      </c>
      <c r="Q445" s="1" t="e">
        <f t="shared" si="17"/>
        <v>#REF!</v>
      </c>
      <c r="S445" s="11" t="s">
        <v>1036</v>
      </c>
    </row>
    <row r="446" spans="1:19" x14ac:dyDescent="0.25">
      <c r="A446" t="s">
        <v>1117</v>
      </c>
      <c r="B446" t="s">
        <v>13</v>
      </c>
      <c r="C446" s="12">
        <v>46041</v>
      </c>
      <c r="D446" s="12">
        <v>46131</v>
      </c>
      <c r="E446" t="s">
        <v>775</v>
      </c>
      <c r="F446" t="s">
        <v>14</v>
      </c>
      <c r="G446">
        <v>1085281002</v>
      </c>
      <c r="H446" t="s">
        <v>199</v>
      </c>
      <c r="I446">
        <v>59836926</v>
      </c>
      <c r="J446" t="s">
        <v>14</v>
      </c>
      <c r="K446" t="s">
        <v>17</v>
      </c>
      <c r="L446" s="1" t="e">
        <f>VLOOKUP(A446,#REF!,2,0)</f>
        <v>#REF!</v>
      </c>
      <c r="M446" s="1">
        <v>3150000</v>
      </c>
      <c r="N446" s="10">
        <v>9450000</v>
      </c>
      <c r="O446" s="10"/>
      <c r="P446" t="s">
        <v>704</v>
      </c>
      <c r="Q446" s="1" t="e">
        <f t="shared" si="17"/>
        <v>#REF!</v>
      </c>
      <c r="S446" s="11" t="s">
        <v>1036</v>
      </c>
    </row>
    <row r="447" spans="1:19" x14ac:dyDescent="0.25">
      <c r="A447" t="s">
        <v>1029</v>
      </c>
      <c r="B447" t="s">
        <v>13</v>
      </c>
      <c r="C447" s="12">
        <v>46041</v>
      </c>
      <c r="D447" s="12">
        <v>46131</v>
      </c>
      <c r="E447" t="s">
        <v>744</v>
      </c>
      <c r="F447" t="s">
        <v>14</v>
      </c>
      <c r="G447">
        <v>1087960287</v>
      </c>
      <c r="H447" t="s">
        <v>576</v>
      </c>
      <c r="I447">
        <v>59836926</v>
      </c>
      <c r="J447" t="s">
        <v>14</v>
      </c>
      <c r="K447" t="s">
        <v>17</v>
      </c>
      <c r="L447" s="1" t="e">
        <f>VLOOKUP(A447,#REF!,2,0)</f>
        <v>#REF!</v>
      </c>
      <c r="M447" s="1">
        <v>4730000</v>
      </c>
      <c r="N447" s="10">
        <v>14190000</v>
      </c>
      <c r="O447" s="10"/>
      <c r="P447" t="s">
        <v>704</v>
      </c>
      <c r="Q447" s="1" t="e">
        <f t="shared" si="17"/>
        <v>#REF!</v>
      </c>
      <c r="S447" s="11" t="s">
        <v>1036</v>
      </c>
    </row>
    <row r="448" spans="1:19" x14ac:dyDescent="0.25">
      <c r="A448" t="s">
        <v>1118</v>
      </c>
      <c r="B448" t="s">
        <v>13</v>
      </c>
      <c r="C448" s="12">
        <v>46041</v>
      </c>
      <c r="D448" s="12">
        <v>46072</v>
      </c>
      <c r="E448" t="s">
        <v>775</v>
      </c>
      <c r="F448" t="s">
        <v>14</v>
      </c>
      <c r="G448">
        <v>27082649</v>
      </c>
      <c r="H448" t="s">
        <v>174</v>
      </c>
      <c r="I448">
        <v>43624414</v>
      </c>
      <c r="J448" t="s">
        <v>14</v>
      </c>
      <c r="K448" t="s">
        <v>18</v>
      </c>
      <c r="L448" s="1" t="e">
        <f>VLOOKUP(A448,#REF!,2,0)</f>
        <v>#REF!</v>
      </c>
      <c r="M448" s="1">
        <v>0</v>
      </c>
      <c r="N448" s="10">
        <v>3150000</v>
      </c>
      <c r="O448" s="10"/>
      <c r="P448" t="s">
        <v>704</v>
      </c>
      <c r="Q448" s="1" t="e">
        <f t="shared" si="17"/>
        <v>#REF!</v>
      </c>
      <c r="S448" s="11" t="s">
        <v>1036</v>
      </c>
    </row>
    <row r="449" spans="1:19" x14ac:dyDescent="0.25">
      <c r="A449" t="s">
        <v>1119</v>
      </c>
      <c r="B449" t="s">
        <v>13</v>
      </c>
      <c r="C449" s="12">
        <v>46041</v>
      </c>
      <c r="D449" s="12">
        <v>46192</v>
      </c>
      <c r="E449" t="s">
        <v>744</v>
      </c>
      <c r="F449" t="s">
        <v>14</v>
      </c>
      <c r="G449">
        <v>1085274300</v>
      </c>
      <c r="H449" t="s">
        <v>891</v>
      </c>
      <c r="I449">
        <v>98390119</v>
      </c>
      <c r="J449" t="s">
        <v>14</v>
      </c>
      <c r="K449" t="s">
        <v>63</v>
      </c>
      <c r="L449" s="1" t="e">
        <f>VLOOKUP(A449,#REF!,2,0)</f>
        <v>#REF!</v>
      </c>
      <c r="M449" s="1">
        <v>0</v>
      </c>
      <c r="N449" s="10">
        <v>39000000</v>
      </c>
      <c r="O449" s="10"/>
      <c r="P449" t="s">
        <v>704</v>
      </c>
      <c r="Q449" s="1" t="e">
        <f t="shared" si="17"/>
        <v>#REF!</v>
      </c>
      <c r="S449" s="11" t="s">
        <v>1036</v>
      </c>
    </row>
    <row r="450" spans="1:19" x14ac:dyDescent="0.25">
      <c r="A450" t="s">
        <v>1120</v>
      </c>
      <c r="B450" t="s">
        <v>13</v>
      </c>
      <c r="C450" s="12">
        <v>46041</v>
      </c>
      <c r="D450" s="12">
        <v>46131</v>
      </c>
      <c r="E450" t="s">
        <v>775</v>
      </c>
      <c r="F450" t="s">
        <v>14</v>
      </c>
      <c r="G450">
        <v>1085296068</v>
      </c>
      <c r="H450" t="s">
        <v>845</v>
      </c>
      <c r="I450">
        <v>98333941</v>
      </c>
      <c r="J450" t="s">
        <v>14</v>
      </c>
      <c r="K450" t="s">
        <v>15</v>
      </c>
      <c r="L450" s="1" t="e">
        <f>VLOOKUP(A450,#REF!,2,0)</f>
        <v>#REF!</v>
      </c>
      <c r="M450" s="1">
        <v>0</v>
      </c>
      <c r="N450" s="10">
        <v>18900000</v>
      </c>
      <c r="O450" s="10"/>
      <c r="P450" t="s">
        <v>704</v>
      </c>
      <c r="Q450" s="1" t="e">
        <f t="shared" si="17"/>
        <v>#REF!</v>
      </c>
      <c r="S450" s="11" t="s">
        <v>1036</v>
      </c>
    </row>
    <row r="451" spans="1:19" x14ac:dyDescent="0.25">
      <c r="A451" t="s">
        <v>1121</v>
      </c>
      <c r="B451" t="s">
        <v>13</v>
      </c>
      <c r="C451" s="12">
        <v>46041</v>
      </c>
      <c r="D451" s="12">
        <v>46192</v>
      </c>
      <c r="E451" t="s">
        <v>775</v>
      </c>
      <c r="F451" t="s">
        <v>14</v>
      </c>
      <c r="G451">
        <v>1085302942</v>
      </c>
      <c r="H451" t="s">
        <v>257</v>
      </c>
      <c r="I451">
        <v>98333941</v>
      </c>
      <c r="J451" t="s">
        <v>14</v>
      </c>
      <c r="K451" t="s">
        <v>15</v>
      </c>
      <c r="L451" s="1" t="e">
        <f>VLOOKUP(A451,#REF!,2,0)</f>
        <v>#REF!</v>
      </c>
      <c r="M451" s="1">
        <v>0</v>
      </c>
      <c r="N451" s="10">
        <v>15750000</v>
      </c>
      <c r="O451" s="10"/>
      <c r="P451" t="s">
        <v>704</v>
      </c>
      <c r="Q451" s="1" t="e">
        <f t="shared" si="17"/>
        <v>#REF!</v>
      </c>
      <c r="S451" s="11" t="s">
        <v>1036</v>
      </c>
    </row>
    <row r="452" spans="1:19" x14ac:dyDescent="0.25">
      <c r="A452" t="s">
        <v>1122</v>
      </c>
      <c r="B452" t="s">
        <v>13</v>
      </c>
      <c r="C452" s="12">
        <v>46041</v>
      </c>
      <c r="D452" s="12">
        <v>46072</v>
      </c>
      <c r="E452" t="s">
        <v>744</v>
      </c>
      <c r="F452" t="s">
        <v>14</v>
      </c>
      <c r="G452">
        <v>1085263018</v>
      </c>
      <c r="H452" t="s">
        <v>843</v>
      </c>
      <c r="I452">
        <v>98333941</v>
      </c>
      <c r="J452" t="s">
        <v>14</v>
      </c>
      <c r="K452" t="s">
        <v>15</v>
      </c>
      <c r="L452" s="1" t="e">
        <f>VLOOKUP(A452,#REF!,2,0)</f>
        <v>#REF!</v>
      </c>
      <c r="M452" s="1">
        <v>0</v>
      </c>
      <c r="N452" s="10">
        <v>4730000</v>
      </c>
      <c r="O452" s="10"/>
      <c r="P452" t="s">
        <v>704</v>
      </c>
      <c r="Q452" s="1" t="e">
        <f t="shared" si="17"/>
        <v>#REF!</v>
      </c>
      <c r="S452" s="11" t="s">
        <v>1036</v>
      </c>
    </row>
    <row r="453" spans="1:19" x14ac:dyDescent="0.25">
      <c r="A453" t="s">
        <v>1123</v>
      </c>
      <c r="B453" t="s">
        <v>13</v>
      </c>
      <c r="C453" s="12">
        <v>46041</v>
      </c>
      <c r="D453" s="12">
        <v>46131</v>
      </c>
      <c r="E453" t="s">
        <v>744</v>
      </c>
      <c r="F453" t="s">
        <v>14</v>
      </c>
      <c r="G453">
        <v>1085330309</v>
      </c>
      <c r="H453" t="s">
        <v>16</v>
      </c>
      <c r="I453">
        <v>43624414</v>
      </c>
      <c r="J453" t="s">
        <v>14</v>
      </c>
      <c r="K453" t="s">
        <v>18</v>
      </c>
      <c r="L453" s="1" t="e">
        <f>VLOOKUP(A453,#REF!,2,0)</f>
        <v>#REF!</v>
      </c>
      <c r="M453" s="1">
        <v>4730000</v>
      </c>
      <c r="N453" s="10">
        <v>14190000</v>
      </c>
      <c r="O453" s="10"/>
      <c r="P453" t="s">
        <v>704</v>
      </c>
      <c r="Q453" s="1" t="e">
        <f t="shared" si="17"/>
        <v>#REF!</v>
      </c>
      <c r="S453" s="11" t="s">
        <v>1036</v>
      </c>
    </row>
    <row r="454" spans="1:19" x14ac:dyDescent="0.25">
      <c r="A454" t="s">
        <v>1124</v>
      </c>
      <c r="B454" t="s">
        <v>13</v>
      </c>
      <c r="C454" s="12">
        <v>46041</v>
      </c>
      <c r="D454" s="12">
        <v>46072</v>
      </c>
      <c r="E454" t="s">
        <v>775</v>
      </c>
      <c r="F454" t="s">
        <v>14</v>
      </c>
      <c r="G454">
        <v>1004726621</v>
      </c>
      <c r="H454" t="s">
        <v>560</v>
      </c>
      <c r="I454">
        <v>98390119</v>
      </c>
      <c r="J454" t="s">
        <v>14</v>
      </c>
      <c r="K454" t="s">
        <v>63</v>
      </c>
      <c r="L454" s="1" t="e">
        <f>VLOOKUP(A454,#REF!,2,0)</f>
        <v>#REF!</v>
      </c>
      <c r="M454" s="1">
        <v>0</v>
      </c>
      <c r="N454" s="10">
        <v>3150000</v>
      </c>
      <c r="O454" s="10"/>
      <c r="P454" t="s">
        <v>704</v>
      </c>
      <c r="Q454" s="1" t="e">
        <f t="shared" si="17"/>
        <v>#REF!</v>
      </c>
      <c r="S454" s="11" t="s">
        <v>1036</v>
      </c>
    </row>
    <row r="455" spans="1:19" x14ac:dyDescent="0.25">
      <c r="A455" t="s">
        <v>1125</v>
      </c>
      <c r="B455" t="s">
        <v>13</v>
      </c>
      <c r="C455" s="12">
        <v>46041</v>
      </c>
      <c r="D455" s="12">
        <v>46131</v>
      </c>
      <c r="E455" t="s">
        <v>744</v>
      </c>
      <c r="F455" t="s">
        <v>14</v>
      </c>
      <c r="G455">
        <v>1061794455</v>
      </c>
      <c r="H455" t="s">
        <v>177</v>
      </c>
      <c r="I455">
        <v>59836926</v>
      </c>
      <c r="J455" t="s">
        <v>14</v>
      </c>
      <c r="K455" t="s">
        <v>17</v>
      </c>
      <c r="L455" s="1" t="e">
        <f>VLOOKUP(A455,#REF!,2,0)</f>
        <v>#REF!</v>
      </c>
      <c r="M455" s="1">
        <v>7800000</v>
      </c>
      <c r="N455" s="10">
        <v>23400000</v>
      </c>
      <c r="O455" s="10"/>
      <c r="P455" t="s">
        <v>704</v>
      </c>
      <c r="Q455" s="1" t="e">
        <f t="shared" si="17"/>
        <v>#REF!</v>
      </c>
      <c r="S455" s="11" t="s">
        <v>1036</v>
      </c>
    </row>
    <row r="456" spans="1:19" x14ac:dyDescent="0.25">
      <c r="A456" t="s">
        <v>1126</v>
      </c>
      <c r="B456" t="s">
        <v>13</v>
      </c>
      <c r="C456" s="12">
        <v>46041</v>
      </c>
      <c r="D456" s="12">
        <v>46131</v>
      </c>
      <c r="E456" t="s">
        <v>775</v>
      </c>
      <c r="F456" t="s">
        <v>14</v>
      </c>
      <c r="G456">
        <v>59828916</v>
      </c>
      <c r="H456" t="s">
        <v>73</v>
      </c>
      <c r="I456">
        <v>43624414</v>
      </c>
      <c r="J456" t="s">
        <v>14</v>
      </c>
      <c r="K456" t="s">
        <v>18</v>
      </c>
      <c r="L456" s="1" t="e">
        <f>VLOOKUP(A456,#REF!,2,0)</f>
        <v>#REF!</v>
      </c>
      <c r="M456" s="1">
        <v>0</v>
      </c>
      <c r="N456" s="10">
        <v>9450000</v>
      </c>
      <c r="O456" s="10"/>
      <c r="P456" t="s">
        <v>704</v>
      </c>
      <c r="Q456" s="1" t="e">
        <f t="shared" si="17"/>
        <v>#REF!</v>
      </c>
      <c r="S456" s="11" t="s">
        <v>1036</v>
      </c>
    </row>
    <row r="457" spans="1:19" x14ac:dyDescent="0.25">
      <c r="A457" t="s">
        <v>1127</v>
      </c>
      <c r="B457" t="s">
        <v>13</v>
      </c>
      <c r="C457" s="12">
        <v>46041</v>
      </c>
      <c r="D457" s="12">
        <v>46131</v>
      </c>
      <c r="E457" t="s">
        <v>775</v>
      </c>
      <c r="F457" t="s">
        <v>14</v>
      </c>
      <c r="G457">
        <v>1085286742</v>
      </c>
      <c r="H457" t="s">
        <v>37</v>
      </c>
      <c r="I457">
        <v>43624414</v>
      </c>
      <c r="J457" t="s">
        <v>14</v>
      </c>
      <c r="K457" t="s">
        <v>18</v>
      </c>
      <c r="L457" s="1" t="e">
        <f>VLOOKUP(A457,#REF!,2,0)</f>
        <v>#REF!</v>
      </c>
      <c r="M457" s="1">
        <v>0</v>
      </c>
      <c r="N457" s="10">
        <v>9450000</v>
      </c>
      <c r="O457" s="10"/>
      <c r="P457" t="s">
        <v>704</v>
      </c>
      <c r="Q457" s="1" t="e">
        <f t="shared" si="17"/>
        <v>#REF!</v>
      </c>
      <c r="S457" s="11" t="s">
        <v>1036</v>
      </c>
    </row>
    <row r="458" spans="1:19" x14ac:dyDescent="0.25">
      <c r="A458" t="s">
        <v>1128</v>
      </c>
      <c r="B458" t="s">
        <v>13</v>
      </c>
      <c r="C458" s="12">
        <v>46041</v>
      </c>
      <c r="D458" s="12">
        <v>46131</v>
      </c>
      <c r="E458" t="s">
        <v>775</v>
      </c>
      <c r="F458" t="s">
        <v>14</v>
      </c>
      <c r="G458">
        <v>1085278004</v>
      </c>
      <c r="H458" t="s">
        <v>223</v>
      </c>
      <c r="I458">
        <v>59836926</v>
      </c>
      <c r="J458" t="s">
        <v>14</v>
      </c>
      <c r="K458" t="s">
        <v>17</v>
      </c>
      <c r="L458" s="1" t="e">
        <f>VLOOKUP(A458,#REF!,2,0)</f>
        <v>#REF!</v>
      </c>
      <c r="M458" s="1">
        <v>6300000</v>
      </c>
      <c r="N458" s="10">
        <v>18900000</v>
      </c>
      <c r="O458" s="10"/>
      <c r="P458" t="s">
        <v>704</v>
      </c>
      <c r="Q458" s="1" t="e">
        <f t="shared" si="17"/>
        <v>#REF!</v>
      </c>
      <c r="S458" s="11" t="s">
        <v>1036</v>
      </c>
    </row>
    <row r="459" spans="1:19" x14ac:dyDescent="0.25">
      <c r="A459" t="s">
        <v>1129</v>
      </c>
      <c r="B459" t="s">
        <v>13</v>
      </c>
      <c r="C459" s="12">
        <v>46041</v>
      </c>
      <c r="D459" s="12">
        <v>46131</v>
      </c>
      <c r="E459" t="s">
        <v>775</v>
      </c>
      <c r="F459" t="s">
        <v>14</v>
      </c>
      <c r="G459">
        <v>1085270448</v>
      </c>
      <c r="H459" t="s">
        <v>340</v>
      </c>
      <c r="I459">
        <v>98390119</v>
      </c>
      <c r="J459" t="s">
        <v>14</v>
      </c>
      <c r="K459" t="s">
        <v>63</v>
      </c>
      <c r="L459" s="1" t="e">
        <f>VLOOKUP(A459,#REF!,2,0)</f>
        <v>#REF!</v>
      </c>
      <c r="M459" s="1">
        <v>0</v>
      </c>
      <c r="N459" s="10">
        <v>9450000</v>
      </c>
      <c r="O459" s="10"/>
      <c r="P459" t="s">
        <v>704</v>
      </c>
      <c r="Q459" s="1" t="e">
        <f t="shared" si="17"/>
        <v>#REF!</v>
      </c>
      <c r="S459" s="11" t="s">
        <v>1036</v>
      </c>
    </row>
    <row r="460" spans="1:19" x14ac:dyDescent="0.25">
      <c r="A460" t="s">
        <v>1130</v>
      </c>
      <c r="B460" t="s">
        <v>13</v>
      </c>
      <c r="C460" s="12">
        <v>46041</v>
      </c>
      <c r="D460" s="12">
        <v>46192</v>
      </c>
      <c r="E460" t="s">
        <v>775</v>
      </c>
      <c r="F460" t="s">
        <v>14</v>
      </c>
      <c r="G460">
        <v>1085266584</v>
      </c>
      <c r="H460" t="s">
        <v>71</v>
      </c>
      <c r="I460">
        <v>43624414</v>
      </c>
      <c r="J460" t="s">
        <v>14</v>
      </c>
      <c r="K460" t="s">
        <v>18</v>
      </c>
      <c r="L460" s="1" t="e">
        <f>VLOOKUP(A460,#REF!,2,0)</f>
        <v>#REF!</v>
      </c>
      <c r="M460" s="1">
        <v>0</v>
      </c>
      <c r="N460" s="10">
        <v>15750000</v>
      </c>
      <c r="O460" s="10"/>
      <c r="P460" t="s">
        <v>704</v>
      </c>
      <c r="Q460" s="1" t="e">
        <f t="shared" si="17"/>
        <v>#REF!</v>
      </c>
      <c r="S460" s="11" t="s">
        <v>1036</v>
      </c>
    </row>
    <row r="461" spans="1:19" x14ac:dyDescent="0.25">
      <c r="A461" t="s">
        <v>1131</v>
      </c>
      <c r="B461" t="s">
        <v>13</v>
      </c>
      <c r="C461" s="12">
        <v>46041</v>
      </c>
      <c r="D461" s="12">
        <v>46192</v>
      </c>
      <c r="E461" t="s">
        <v>775</v>
      </c>
      <c r="F461" t="s">
        <v>14</v>
      </c>
      <c r="G461">
        <v>59310291</v>
      </c>
      <c r="H461" t="s">
        <v>135</v>
      </c>
      <c r="I461">
        <v>98333941</v>
      </c>
      <c r="J461" t="s">
        <v>14</v>
      </c>
      <c r="K461" t="s">
        <v>15</v>
      </c>
      <c r="L461" s="1" t="e">
        <f>VLOOKUP(A461,#REF!,2,0)</f>
        <v>#REF!</v>
      </c>
      <c r="M461" s="1">
        <v>0</v>
      </c>
      <c r="N461" s="10">
        <v>31500000</v>
      </c>
      <c r="O461" s="10"/>
      <c r="P461" t="s">
        <v>704</v>
      </c>
      <c r="Q461" s="1" t="e">
        <f t="shared" si="17"/>
        <v>#REF!</v>
      </c>
      <c r="S461" s="11" t="s">
        <v>1036</v>
      </c>
    </row>
    <row r="462" spans="1:19" x14ac:dyDescent="0.25">
      <c r="A462" t="s">
        <v>1132</v>
      </c>
      <c r="B462" t="s">
        <v>13</v>
      </c>
      <c r="C462" s="12">
        <v>46041</v>
      </c>
      <c r="D462" s="12">
        <v>46131</v>
      </c>
      <c r="E462" t="s">
        <v>744</v>
      </c>
      <c r="F462" t="s">
        <v>14</v>
      </c>
      <c r="G462">
        <v>1089483067</v>
      </c>
      <c r="H462" t="s">
        <v>325</v>
      </c>
      <c r="I462">
        <v>43624414</v>
      </c>
      <c r="J462" t="s">
        <v>14</v>
      </c>
      <c r="K462" t="s">
        <v>18</v>
      </c>
      <c r="L462" s="1" t="e">
        <f>VLOOKUP(A462,#REF!,2,0)</f>
        <v>#REF!</v>
      </c>
      <c r="M462" s="1">
        <v>0</v>
      </c>
      <c r="N462" s="10">
        <v>23400000</v>
      </c>
      <c r="O462" s="10"/>
      <c r="P462" t="s">
        <v>704</v>
      </c>
      <c r="Q462" s="1" t="e">
        <f t="shared" si="17"/>
        <v>#REF!</v>
      </c>
      <c r="S462" s="11" t="s">
        <v>1036</v>
      </c>
    </row>
    <row r="463" spans="1:19" x14ac:dyDescent="0.25">
      <c r="A463" t="s">
        <v>1133</v>
      </c>
      <c r="B463" t="s">
        <v>13</v>
      </c>
      <c r="C463" s="12">
        <v>46041</v>
      </c>
      <c r="D463" s="12">
        <v>46072</v>
      </c>
      <c r="E463" t="s">
        <v>775</v>
      </c>
      <c r="F463" t="s">
        <v>14</v>
      </c>
      <c r="G463">
        <v>27456421</v>
      </c>
      <c r="H463" t="s">
        <v>608</v>
      </c>
      <c r="I463">
        <v>98390119</v>
      </c>
      <c r="J463" t="s">
        <v>14</v>
      </c>
      <c r="K463" t="s">
        <v>63</v>
      </c>
      <c r="L463" s="1" t="e">
        <f>VLOOKUP(A463,#REF!,2,0)</f>
        <v>#REF!</v>
      </c>
      <c r="M463" s="1">
        <v>0</v>
      </c>
      <c r="N463" s="10">
        <v>6300000</v>
      </c>
      <c r="O463" s="10"/>
      <c r="P463" t="s">
        <v>704</v>
      </c>
      <c r="Q463" s="1" t="e">
        <f t="shared" si="17"/>
        <v>#REF!</v>
      </c>
      <c r="S463" s="11" t="s">
        <v>1036</v>
      </c>
    </row>
    <row r="464" spans="1:19" x14ac:dyDescent="0.25">
      <c r="A464" t="s">
        <v>1134</v>
      </c>
      <c r="B464" t="s">
        <v>13</v>
      </c>
      <c r="C464" s="12">
        <v>46041</v>
      </c>
      <c r="D464" s="12">
        <v>46131</v>
      </c>
      <c r="E464" t="s">
        <v>744</v>
      </c>
      <c r="F464" t="s">
        <v>14</v>
      </c>
      <c r="G464">
        <v>1193292339</v>
      </c>
      <c r="H464" t="s">
        <v>631</v>
      </c>
      <c r="I464">
        <v>98333941</v>
      </c>
      <c r="J464" t="s">
        <v>14</v>
      </c>
      <c r="K464" t="s">
        <v>15</v>
      </c>
      <c r="L464" s="1" t="e">
        <f>VLOOKUP(A464,#REF!,2,0)</f>
        <v>#REF!</v>
      </c>
      <c r="M464" s="1">
        <v>0</v>
      </c>
      <c r="N464" s="10">
        <v>23400000</v>
      </c>
      <c r="O464" s="10"/>
      <c r="P464" t="s">
        <v>704</v>
      </c>
      <c r="Q464" s="1" t="e">
        <f t="shared" si="17"/>
        <v>#REF!</v>
      </c>
      <c r="S464" s="11" t="s">
        <v>1036</v>
      </c>
    </row>
    <row r="465" spans="1:19" x14ac:dyDescent="0.25">
      <c r="A465" t="s">
        <v>1135</v>
      </c>
      <c r="B465" t="s">
        <v>13</v>
      </c>
      <c r="C465" s="12">
        <v>46041</v>
      </c>
      <c r="D465" s="12">
        <v>46131</v>
      </c>
      <c r="E465" t="s">
        <v>775</v>
      </c>
      <c r="F465" t="s">
        <v>14</v>
      </c>
      <c r="G465">
        <v>1084228089</v>
      </c>
      <c r="H465" t="s">
        <v>403</v>
      </c>
      <c r="I465">
        <v>98333941</v>
      </c>
      <c r="J465" t="s">
        <v>14</v>
      </c>
      <c r="K465" t="s">
        <v>15</v>
      </c>
      <c r="L465" s="1" t="e">
        <f>VLOOKUP(A465,#REF!,2,0)</f>
        <v>#REF!</v>
      </c>
      <c r="M465" s="1">
        <v>0</v>
      </c>
      <c r="N465" s="10">
        <v>18900000</v>
      </c>
      <c r="O465" s="10"/>
      <c r="P465" t="s">
        <v>704</v>
      </c>
      <c r="Q465" s="1" t="e">
        <f t="shared" si="17"/>
        <v>#REF!</v>
      </c>
      <c r="S465" s="11" t="s">
        <v>1036</v>
      </c>
    </row>
    <row r="466" spans="1:19" x14ac:dyDescent="0.25">
      <c r="A466" t="s">
        <v>1136</v>
      </c>
      <c r="B466" t="s">
        <v>13</v>
      </c>
      <c r="C466" s="12">
        <v>46041</v>
      </c>
      <c r="D466" s="12">
        <v>46131</v>
      </c>
      <c r="E466" t="s">
        <v>744</v>
      </c>
      <c r="F466" t="s">
        <v>14</v>
      </c>
      <c r="G466">
        <v>1086018206</v>
      </c>
      <c r="H466" t="s">
        <v>922</v>
      </c>
      <c r="I466">
        <v>43624414</v>
      </c>
      <c r="J466" t="s">
        <v>14</v>
      </c>
      <c r="K466" t="s">
        <v>18</v>
      </c>
      <c r="L466" s="1" t="e">
        <f>VLOOKUP(A466,#REF!,2,0)</f>
        <v>#REF!</v>
      </c>
      <c r="M466" s="1">
        <v>0</v>
      </c>
      <c r="N466" s="10">
        <v>23400000</v>
      </c>
      <c r="O466" s="10"/>
      <c r="P466" t="s">
        <v>704</v>
      </c>
      <c r="Q466" s="1" t="e">
        <f t="shared" ref="Q466:Q529" si="18">N466-L466</f>
        <v>#REF!</v>
      </c>
      <c r="S466" s="11" t="s">
        <v>1036</v>
      </c>
    </row>
    <row r="467" spans="1:19" x14ac:dyDescent="0.25">
      <c r="A467" t="s">
        <v>1137</v>
      </c>
      <c r="B467" t="s">
        <v>13</v>
      </c>
      <c r="C467" s="12">
        <v>46041</v>
      </c>
      <c r="D467" s="12">
        <v>46192</v>
      </c>
      <c r="E467" t="s">
        <v>744</v>
      </c>
      <c r="F467" t="s">
        <v>14</v>
      </c>
      <c r="G467">
        <v>36950073</v>
      </c>
      <c r="H467" t="s">
        <v>445</v>
      </c>
      <c r="I467">
        <v>98390119</v>
      </c>
      <c r="J467" t="s">
        <v>14</v>
      </c>
      <c r="K467" t="s">
        <v>63</v>
      </c>
      <c r="L467" s="1" t="e">
        <f>VLOOKUP(A467,#REF!,2,0)</f>
        <v>#REF!</v>
      </c>
      <c r="M467" s="1">
        <v>0</v>
      </c>
      <c r="N467" s="10">
        <v>23650000</v>
      </c>
      <c r="O467" s="10"/>
      <c r="P467" t="s">
        <v>704</v>
      </c>
      <c r="Q467" s="1" t="e">
        <f t="shared" si="18"/>
        <v>#REF!</v>
      </c>
      <c r="S467" s="11" t="s">
        <v>1036</v>
      </c>
    </row>
    <row r="468" spans="1:19" x14ac:dyDescent="0.25">
      <c r="A468" t="s">
        <v>1138</v>
      </c>
      <c r="B468" t="s">
        <v>13</v>
      </c>
      <c r="C468" s="12">
        <v>46041</v>
      </c>
      <c r="D468" s="12">
        <v>46192</v>
      </c>
      <c r="E468" t="s">
        <v>775</v>
      </c>
      <c r="F468" t="s">
        <v>14</v>
      </c>
      <c r="G468">
        <v>1193383314</v>
      </c>
      <c r="H468" t="s">
        <v>122</v>
      </c>
      <c r="I468">
        <v>98390119</v>
      </c>
      <c r="J468" t="s">
        <v>14</v>
      </c>
      <c r="K468" t="s">
        <v>63</v>
      </c>
      <c r="L468" s="1" t="e">
        <f>VLOOKUP(A468,#REF!,2,0)</f>
        <v>#REF!</v>
      </c>
      <c r="M468" s="1">
        <v>0</v>
      </c>
      <c r="N468" s="10">
        <v>31500000</v>
      </c>
      <c r="O468" s="10"/>
      <c r="P468" t="s">
        <v>704</v>
      </c>
      <c r="Q468" s="1" t="e">
        <f t="shared" si="18"/>
        <v>#REF!</v>
      </c>
      <c r="S468" s="11" t="s">
        <v>1036</v>
      </c>
    </row>
    <row r="469" spans="1:19" x14ac:dyDescent="0.25">
      <c r="A469" t="s">
        <v>1139</v>
      </c>
      <c r="B469" t="s">
        <v>13</v>
      </c>
      <c r="C469" s="12">
        <v>46041</v>
      </c>
      <c r="D469" s="12">
        <v>46072</v>
      </c>
      <c r="E469" t="s">
        <v>775</v>
      </c>
      <c r="F469" t="s">
        <v>14</v>
      </c>
      <c r="G469">
        <v>1085246134</v>
      </c>
      <c r="H469" t="s">
        <v>691</v>
      </c>
      <c r="I469">
        <v>98390119</v>
      </c>
      <c r="J469" t="s">
        <v>14</v>
      </c>
      <c r="K469" t="s">
        <v>63</v>
      </c>
      <c r="L469" s="1" t="e">
        <f>VLOOKUP(A469,#REF!,2,0)</f>
        <v>#REF!</v>
      </c>
      <c r="M469" s="1">
        <v>0</v>
      </c>
      <c r="N469" s="10">
        <v>6300000</v>
      </c>
      <c r="O469" s="10"/>
      <c r="P469" t="s">
        <v>704</v>
      </c>
      <c r="Q469" s="1" t="e">
        <f t="shared" si="18"/>
        <v>#REF!</v>
      </c>
      <c r="S469" s="11" t="s">
        <v>1036</v>
      </c>
    </row>
    <row r="470" spans="1:19" x14ac:dyDescent="0.25">
      <c r="A470" t="s">
        <v>1140</v>
      </c>
      <c r="B470" t="s">
        <v>13</v>
      </c>
      <c r="C470" s="12">
        <v>46041</v>
      </c>
      <c r="D470" s="12">
        <v>46072</v>
      </c>
      <c r="E470" t="s">
        <v>744</v>
      </c>
      <c r="F470" t="s">
        <v>14</v>
      </c>
      <c r="G470">
        <v>1022426162</v>
      </c>
      <c r="H470" t="s">
        <v>366</v>
      </c>
      <c r="I470">
        <v>98333941</v>
      </c>
      <c r="J470" t="s">
        <v>14</v>
      </c>
      <c r="K470" t="s">
        <v>15</v>
      </c>
      <c r="L470" s="1" t="e">
        <f>VLOOKUP(A470,#REF!,2,0)</f>
        <v>#REF!</v>
      </c>
      <c r="M470" s="1">
        <v>0</v>
      </c>
      <c r="N470" s="10">
        <v>7800000</v>
      </c>
      <c r="O470" s="10"/>
      <c r="P470" t="s">
        <v>704</v>
      </c>
      <c r="Q470" s="1" t="e">
        <f t="shared" si="18"/>
        <v>#REF!</v>
      </c>
      <c r="S470" s="11" t="s">
        <v>1036</v>
      </c>
    </row>
    <row r="471" spans="1:19" x14ac:dyDescent="0.25">
      <c r="A471" t="s">
        <v>1141</v>
      </c>
      <c r="B471" t="s">
        <v>13</v>
      </c>
      <c r="C471" s="12">
        <v>46041</v>
      </c>
      <c r="D471" s="12">
        <v>46131</v>
      </c>
      <c r="E471" t="s">
        <v>775</v>
      </c>
      <c r="F471" t="s">
        <v>14</v>
      </c>
      <c r="G471">
        <v>1086224204</v>
      </c>
      <c r="H471" t="s">
        <v>451</v>
      </c>
      <c r="I471">
        <v>98333941</v>
      </c>
      <c r="J471" t="s">
        <v>14</v>
      </c>
      <c r="K471" t="s">
        <v>15</v>
      </c>
      <c r="L471" s="1" t="e">
        <f>VLOOKUP(A471,#REF!,2,0)</f>
        <v>#REF!</v>
      </c>
      <c r="M471" s="1">
        <v>0</v>
      </c>
      <c r="N471" s="10">
        <v>9450000</v>
      </c>
      <c r="O471" s="10"/>
      <c r="P471" t="s">
        <v>704</v>
      </c>
      <c r="Q471" s="1" t="e">
        <f t="shared" si="18"/>
        <v>#REF!</v>
      </c>
      <c r="S471" s="11" t="s">
        <v>1036</v>
      </c>
    </row>
    <row r="472" spans="1:19" x14ac:dyDescent="0.25">
      <c r="A472" t="s">
        <v>1142</v>
      </c>
      <c r="B472" t="s">
        <v>13</v>
      </c>
      <c r="C472" s="12">
        <v>46041</v>
      </c>
      <c r="D472" s="12">
        <v>46192</v>
      </c>
      <c r="E472" t="s">
        <v>775</v>
      </c>
      <c r="F472" t="s">
        <v>14</v>
      </c>
      <c r="G472">
        <v>1082748032</v>
      </c>
      <c r="H472" t="s">
        <v>548</v>
      </c>
      <c r="I472">
        <v>98333941</v>
      </c>
      <c r="J472" t="s">
        <v>14</v>
      </c>
      <c r="K472" t="s">
        <v>15</v>
      </c>
      <c r="L472" s="1" t="e">
        <f>VLOOKUP(A472,#REF!,2,0)</f>
        <v>#REF!</v>
      </c>
      <c r="M472" s="1">
        <v>0</v>
      </c>
      <c r="N472" s="10">
        <v>15750000</v>
      </c>
      <c r="O472" s="10"/>
      <c r="P472" t="s">
        <v>704</v>
      </c>
      <c r="Q472" s="1" t="e">
        <f t="shared" si="18"/>
        <v>#REF!</v>
      </c>
      <c r="S472" s="11" t="s">
        <v>1036</v>
      </c>
    </row>
    <row r="473" spans="1:19" x14ac:dyDescent="0.25">
      <c r="A473" t="s">
        <v>1143</v>
      </c>
      <c r="B473" t="s">
        <v>13</v>
      </c>
      <c r="C473" s="12">
        <v>46041</v>
      </c>
      <c r="D473" s="12">
        <v>46072</v>
      </c>
      <c r="E473" t="s">
        <v>775</v>
      </c>
      <c r="F473" t="s">
        <v>14</v>
      </c>
      <c r="G473">
        <v>59122805</v>
      </c>
      <c r="H473" t="s">
        <v>463</v>
      </c>
      <c r="I473">
        <v>98333941</v>
      </c>
      <c r="J473" t="s">
        <v>14</v>
      </c>
      <c r="K473" t="s">
        <v>15</v>
      </c>
      <c r="L473" s="1" t="e">
        <f>VLOOKUP(A473,#REF!,2,0)</f>
        <v>#REF!</v>
      </c>
      <c r="M473" s="1">
        <v>0</v>
      </c>
      <c r="N473" s="10">
        <v>3150000</v>
      </c>
      <c r="O473" s="10"/>
      <c r="P473" t="s">
        <v>704</v>
      </c>
      <c r="Q473" s="1" t="e">
        <f t="shared" si="18"/>
        <v>#REF!</v>
      </c>
      <c r="S473" s="11" t="s">
        <v>1036</v>
      </c>
    </row>
    <row r="474" spans="1:19" x14ac:dyDescent="0.25">
      <c r="A474" t="s">
        <v>1144</v>
      </c>
      <c r="B474" t="s">
        <v>13</v>
      </c>
      <c r="C474" s="12">
        <v>46041</v>
      </c>
      <c r="D474" s="12">
        <v>46131</v>
      </c>
      <c r="E474" t="s">
        <v>744</v>
      </c>
      <c r="F474" t="s">
        <v>14</v>
      </c>
      <c r="G474">
        <v>12961407</v>
      </c>
      <c r="H474" t="s">
        <v>473</v>
      </c>
      <c r="I474">
        <v>43624414</v>
      </c>
      <c r="J474" t="s">
        <v>14</v>
      </c>
      <c r="K474" t="s">
        <v>18</v>
      </c>
      <c r="L474" s="1" t="e">
        <f>VLOOKUP(A474,#REF!,2,0)</f>
        <v>#REF!</v>
      </c>
      <c r="M474" s="1">
        <v>0</v>
      </c>
      <c r="N474" s="10">
        <v>23400000</v>
      </c>
      <c r="O474" s="10"/>
      <c r="P474" t="s">
        <v>704</v>
      </c>
      <c r="Q474" s="1" t="e">
        <f t="shared" si="18"/>
        <v>#REF!</v>
      </c>
      <c r="S474" s="11" t="s">
        <v>1036</v>
      </c>
    </row>
    <row r="475" spans="1:19" x14ac:dyDescent="0.25">
      <c r="A475" t="s">
        <v>1145</v>
      </c>
      <c r="B475" t="s">
        <v>13</v>
      </c>
      <c r="C475" s="12">
        <v>46041</v>
      </c>
      <c r="D475" s="12">
        <v>46131</v>
      </c>
      <c r="E475" t="s">
        <v>775</v>
      </c>
      <c r="F475" t="s">
        <v>14</v>
      </c>
      <c r="G475">
        <v>1081052779</v>
      </c>
      <c r="H475" t="s">
        <v>662</v>
      </c>
      <c r="I475">
        <v>98390119</v>
      </c>
      <c r="J475" t="s">
        <v>14</v>
      </c>
      <c r="K475" t="s">
        <v>63</v>
      </c>
      <c r="L475" s="1" t="e">
        <f>VLOOKUP(A475,#REF!,2,0)</f>
        <v>#REF!</v>
      </c>
      <c r="M475" s="1">
        <v>0</v>
      </c>
      <c r="N475" s="10">
        <v>9450000</v>
      </c>
      <c r="O475" s="10"/>
      <c r="P475" t="s">
        <v>704</v>
      </c>
      <c r="Q475" s="1" t="e">
        <f t="shared" si="18"/>
        <v>#REF!</v>
      </c>
      <c r="S475" s="11" t="s">
        <v>1036</v>
      </c>
    </row>
    <row r="476" spans="1:19" x14ac:dyDescent="0.25">
      <c r="A476" t="s">
        <v>1146</v>
      </c>
      <c r="B476" t="s">
        <v>13</v>
      </c>
      <c r="C476" s="12">
        <v>46041</v>
      </c>
      <c r="D476" s="12">
        <v>46072</v>
      </c>
      <c r="E476" t="s">
        <v>744</v>
      </c>
      <c r="F476" t="s">
        <v>14</v>
      </c>
      <c r="G476">
        <v>1085331301</v>
      </c>
      <c r="H476" t="s">
        <v>673</v>
      </c>
      <c r="I476">
        <v>43624414</v>
      </c>
      <c r="J476" t="s">
        <v>14</v>
      </c>
      <c r="K476" t="s">
        <v>18</v>
      </c>
      <c r="L476" s="1" t="e">
        <f>VLOOKUP(A476,#REF!,2,0)</f>
        <v>#REF!</v>
      </c>
      <c r="M476" s="1">
        <v>0</v>
      </c>
      <c r="N476" s="10">
        <v>4730000</v>
      </c>
      <c r="O476" s="10"/>
      <c r="P476" t="s">
        <v>704</v>
      </c>
      <c r="Q476" s="1" t="e">
        <f t="shared" si="18"/>
        <v>#REF!</v>
      </c>
      <c r="S476" s="11" t="s">
        <v>1036</v>
      </c>
    </row>
    <row r="477" spans="1:19" x14ac:dyDescent="0.25">
      <c r="A477" t="s">
        <v>1147</v>
      </c>
      <c r="B477" t="s">
        <v>13</v>
      </c>
      <c r="C477" s="12">
        <v>46041</v>
      </c>
      <c r="D477" s="12">
        <v>46131</v>
      </c>
      <c r="E477" t="s">
        <v>775</v>
      </c>
      <c r="F477" t="s">
        <v>14</v>
      </c>
      <c r="G477">
        <v>1085347312</v>
      </c>
      <c r="H477" t="s">
        <v>126</v>
      </c>
      <c r="I477">
        <v>98333941</v>
      </c>
      <c r="J477" t="s">
        <v>14</v>
      </c>
      <c r="K477" t="s">
        <v>15</v>
      </c>
      <c r="L477" s="1" t="e">
        <f>VLOOKUP(A477,#REF!,2,0)</f>
        <v>#REF!</v>
      </c>
      <c r="M477" s="1">
        <v>0</v>
      </c>
      <c r="N477" s="10">
        <v>18900000</v>
      </c>
      <c r="O477" s="10"/>
      <c r="P477" t="s">
        <v>704</v>
      </c>
      <c r="Q477" s="1" t="e">
        <f t="shared" si="18"/>
        <v>#REF!</v>
      </c>
      <c r="S477" s="11" t="s">
        <v>1036</v>
      </c>
    </row>
    <row r="478" spans="1:19" x14ac:dyDescent="0.25">
      <c r="A478" t="s">
        <v>1148</v>
      </c>
      <c r="B478" t="s">
        <v>13</v>
      </c>
      <c r="C478" s="12">
        <v>46041</v>
      </c>
      <c r="D478" s="12">
        <v>46072</v>
      </c>
      <c r="E478" t="s">
        <v>775</v>
      </c>
      <c r="F478" t="s">
        <v>14</v>
      </c>
      <c r="G478">
        <v>1053793750</v>
      </c>
      <c r="H478" t="s">
        <v>261</v>
      </c>
      <c r="I478">
        <v>98333941</v>
      </c>
      <c r="J478" t="s">
        <v>14</v>
      </c>
      <c r="K478" t="s">
        <v>15</v>
      </c>
      <c r="L478" s="1" t="e">
        <f>VLOOKUP(A478,#REF!,2,0)</f>
        <v>#REF!</v>
      </c>
      <c r="M478" s="1">
        <v>0</v>
      </c>
      <c r="N478" s="10">
        <v>6300000</v>
      </c>
      <c r="O478" s="10"/>
      <c r="P478" t="s">
        <v>704</v>
      </c>
      <c r="Q478" s="1" t="e">
        <f t="shared" si="18"/>
        <v>#REF!</v>
      </c>
      <c r="S478" s="11" t="s">
        <v>1036</v>
      </c>
    </row>
    <row r="479" spans="1:19" x14ac:dyDescent="0.25">
      <c r="A479" t="s">
        <v>1149</v>
      </c>
      <c r="B479" t="s">
        <v>13</v>
      </c>
      <c r="C479" s="12">
        <v>46041</v>
      </c>
      <c r="D479" s="12">
        <v>46131</v>
      </c>
      <c r="E479" t="s">
        <v>744</v>
      </c>
      <c r="F479" t="s">
        <v>14</v>
      </c>
      <c r="G479">
        <v>1193202097</v>
      </c>
      <c r="H479" t="s">
        <v>43</v>
      </c>
      <c r="I479">
        <v>43624414</v>
      </c>
      <c r="J479" t="s">
        <v>14</v>
      </c>
      <c r="K479" t="s">
        <v>18</v>
      </c>
      <c r="L479" s="1" t="e">
        <f>VLOOKUP(A479,#REF!,2,0)</f>
        <v>#REF!</v>
      </c>
      <c r="M479" s="1">
        <v>7800000</v>
      </c>
      <c r="N479" s="10">
        <v>23400000</v>
      </c>
      <c r="O479" s="10"/>
      <c r="P479" t="s">
        <v>704</v>
      </c>
      <c r="Q479" s="1" t="e">
        <f t="shared" si="18"/>
        <v>#REF!</v>
      </c>
      <c r="S479" s="11" t="s">
        <v>1036</v>
      </c>
    </row>
    <row r="480" spans="1:19" x14ac:dyDescent="0.25">
      <c r="A480" t="s">
        <v>1150</v>
      </c>
      <c r="B480" t="s">
        <v>13</v>
      </c>
      <c r="C480" s="12">
        <v>46041</v>
      </c>
      <c r="D480" s="12">
        <v>46131</v>
      </c>
      <c r="E480" t="s">
        <v>775</v>
      </c>
      <c r="F480" t="s">
        <v>14</v>
      </c>
      <c r="G480">
        <v>59837608</v>
      </c>
      <c r="H480" t="s">
        <v>47</v>
      </c>
      <c r="I480">
        <v>98333941</v>
      </c>
      <c r="J480" t="s">
        <v>14</v>
      </c>
      <c r="K480" t="s">
        <v>15</v>
      </c>
      <c r="L480" s="1" t="e">
        <f>VLOOKUP(A480,#REF!,2,0)</f>
        <v>#REF!</v>
      </c>
      <c r="M480" s="1">
        <v>0</v>
      </c>
      <c r="N480" s="10">
        <v>18900000</v>
      </c>
      <c r="O480" s="10"/>
      <c r="P480" t="s">
        <v>704</v>
      </c>
      <c r="Q480" s="1" t="e">
        <f t="shared" si="18"/>
        <v>#REF!</v>
      </c>
      <c r="S480" s="11" t="s">
        <v>1036</v>
      </c>
    </row>
    <row r="481" spans="1:19" x14ac:dyDescent="0.25">
      <c r="A481" t="s">
        <v>1151</v>
      </c>
      <c r="B481" t="s">
        <v>13</v>
      </c>
      <c r="C481" s="12">
        <v>46041</v>
      </c>
      <c r="D481" s="12">
        <v>46192</v>
      </c>
      <c r="E481" t="s">
        <v>775</v>
      </c>
      <c r="F481" t="s">
        <v>14</v>
      </c>
      <c r="G481">
        <v>1193405962</v>
      </c>
      <c r="H481" t="s">
        <v>485</v>
      </c>
      <c r="I481">
        <v>59836926</v>
      </c>
      <c r="J481" t="s">
        <v>14</v>
      </c>
      <c r="K481" t="s">
        <v>17</v>
      </c>
      <c r="L481" s="1" t="e">
        <f>VLOOKUP(A481,#REF!,2,0)</f>
        <v>#REF!</v>
      </c>
      <c r="M481" s="1">
        <v>0</v>
      </c>
      <c r="N481" s="10">
        <v>15750000</v>
      </c>
      <c r="O481" s="10"/>
      <c r="P481" t="s">
        <v>704</v>
      </c>
      <c r="Q481" s="1" t="e">
        <f t="shared" si="18"/>
        <v>#REF!</v>
      </c>
      <c r="S481" s="11" t="s">
        <v>1036</v>
      </c>
    </row>
    <row r="482" spans="1:19" x14ac:dyDescent="0.25">
      <c r="A482" t="s">
        <v>1152</v>
      </c>
      <c r="B482" t="s">
        <v>13</v>
      </c>
      <c r="C482" s="12">
        <v>46041</v>
      </c>
      <c r="D482" s="12">
        <v>46192</v>
      </c>
      <c r="E482" t="s">
        <v>775</v>
      </c>
      <c r="F482" t="s">
        <v>14</v>
      </c>
      <c r="G482">
        <v>1081053820</v>
      </c>
      <c r="H482" t="s">
        <v>652</v>
      </c>
      <c r="I482">
        <v>98333941</v>
      </c>
      <c r="J482" t="s">
        <v>14</v>
      </c>
      <c r="K482" t="s">
        <v>15</v>
      </c>
      <c r="L482" s="1" t="e">
        <f>VLOOKUP(A482,#REF!,2,0)</f>
        <v>#REF!</v>
      </c>
      <c r="M482" s="1">
        <v>0</v>
      </c>
      <c r="N482" s="10">
        <v>15750000</v>
      </c>
      <c r="O482" s="10"/>
      <c r="P482" t="s">
        <v>704</v>
      </c>
      <c r="Q482" s="1" t="e">
        <f t="shared" si="18"/>
        <v>#REF!</v>
      </c>
      <c r="S482" s="11" t="s">
        <v>1036</v>
      </c>
    </row>
    <row r="483" spans="1:19" x14ac:dyDescent="0.25">
      <c r="A483" t="s">
        <v>1153</v>
      </c>
      <c r="B483" t="s">
        <v>13</v>
      </c>
      <c r="C483" s="12">
        <v>46041</v>
      </c>
      <c r="D483" s="12">
        <v>46072</v>
      </c>
      <c r="E483" t="s">
        <v>775</v>
      </c>
      <c r="F483" t="s">
        <v>14</v>
      </c>
      <c r="G483">
        <v>1085246674</v>
      </c>
      <c r="H483" t="s">
        <v>240</v>
      </c>
      <c r="I483">
        <v>43624414</v>
      </c>
      <c r="J483" t="s">
        <v>14</v>
      </c>
      <c r="K483" t="s">
        <v>18</v>
      </c>
      <c r="L483" s="1" t="e">
        <f>VLOOKUP(A483,#REF!,2,0)</f>
        <v>#REF!</v>
      </c>
      <c r="M483" s="1">
        <v>3150000</v>
      </c>
      <c r="N483" s="10">
        <v>3150000</v>
      </c>
      <c r="O483" s="10"/>
      <c r="P483" t="s">
        <v>704</v>
      </c>
      <c r="Q483" s="1" t="e">
        <f t="shared" si="18"/>
        <v>#REF!</v>
      </c>
      <c r="S483" s="11" t="s">
        <v>1036</v>
      </c>
    </row>
    <row r="484" spans="1:19" x14ac:dyDescent="0.25">
      <c r="A484" t="s">
        <v>1154</v>
      </c>
      <c r="B484" t="s">
        <v>13</v>
      </c>
      <c r="C484" s="12">
        <v>46041</v>
      </c>
      <c r="D484" s="12">
        <v>46072</v>
      </c>
      <c r="E484" t="s">
        <v>775</v>
      </c>
      <c r="F484" t="s">
        <v>14</v>
      </c>
      <c r="G484">
        <v>1085315209</v>
      </c>
      <c r="H484" t="s">
        <v>643</v>
      </c>
      <c r="I484">
        <v>43624414</v>
      </c>
      <c r="J484" t="s">
        <v>14</v>
      </c>
      <c r="K484" t="s">
        <v>18</v>
      </c>
      <c r="L484" s="1" t="e">
        <f>VLOOKUP(A484,#REF!,2,0)</f>
        <v>#REF!</v>
      </c>
      <c r="M484" s="1">
        <v>3150000</v>
      </c>
      <c r="N484" s="10">
        <v>3150000</v>
      </c>
      <c r="O484" s="10"/>
      <c r="P484" t="s">
        <v>704</v>
      </c>
      <c r="Q484" s="1" t="e">
        <f t="shared" si="18"/>
        <v>#REF!</v>
      </c>
      <c r="S484" s="11" t="s">
        <v>1036</v>
      </c>
    </row>
    <row r="485" spans="1:19" x14ac:dyDescent="0.25">
      <c r="A485" t="s">
        <v>1155</v>
      </c>
      <c r="B485" t="s">
        <v>13</v>
      </c>
      <c r="C485" s="12">
        <v>46041</v>
      </c>
      <c r="D485" s="12">
        <v>46072</v>
      </c>
      <c r="E485" t="s">
        <v>775</v>
      </c>
      <c r="F485" t="s">
        <v>14</v>
      </c>
      <c r="G485">
        <v>1004437571</v>
      </c>
      <c r="H485" t="s">
        <v>381</v>
      </c>
      <c r="I485">
        <v>43624414</v>
      </c>
      <c r="J485" t="s">
        <v>14</v>
      </c>
      <c r="K485" t="s">
        <v>18</v>
      </c>
      <c r="L485" s="1" t="e">
        <f>VLOOKUP(A485,#REF!,2,0)</f>
        <v>#REF!</v>
      </c>
      <c r="M485" s="1">
        <v>0</v>
      </c>
      <c r="N485" s="10">
        <v>3150000</v>
      </c>
      <c r="O485" s="10"/>
      <c r="P485" t="s">
        <v>704</v>
      </c>
      <c r="Q485" s="1" t="e">
        <f t="shared" si="18"/>
        <v>#REF!</v>
      </c>
      <c r="S485" s="11" t="s">
        <v>1036</v>
      </c>
    </row>
    <row r="486" spans="1:19" x14ac:dyDescent="0.25">
      <c r="A486" t="s">
        <v>1156</v>
      </c>
      <c r="B486" t="s">
        <v>13</v>
      </c>
      <c r="C486" s="12">
        <v>46042</v>
      </c>
      <c r="D486" s="12">
        <v>46132</v>
      </c>
      <c r="E486" t="s">
        <v>775</v>
      </c>
      <c r="F486" t="s">
        <v>14</v>
      </c>
      <c r="G486">
        <v>36950892</v>
      </c>
      <c r="H486" t="s">
        <v>683</v>
      </c>
      <c r="I486">
        <v>59836926</v>
      </c>
      <c r="J486" t="s">
        <v>14</v>
      </c>
      <c r="K486" t="s">
        <v>17</v>
      </c>
      <c r="L486" s="1" t="e">
        <f>VLOOKUP(A486,#REF!,2,0)</f>
        <v>#REF!</v>
      </c>
      <c r="M486" s="1">
        <v>3150000</v>
      </c>
      <c r="N486" s="10">
        <v>9450000</v>
      </c>
      <c r="O486" s="10"/>
      <c r="P486" t="s">
        <v>704</v>
      </c>
      <c r="Q486" s="1" t="e">
        <f t="shared" si="18"/>
        <v>#REF!</v>
      </c>
      <c r="S486" s="11" t="s">
        <v>1036</v>
      </c>
    </row>
    <row r="487" spans="1:19" x14ac:dyDescent="0.25">
      <c r="A487" t="s">
        <v>1157</v>
      </c>
      <c r="B487" t="s">
        <v>13</v>
      </c>
      <c r="C487" s="12">
        <v>46042</v>
      </c>
      <c r="D487" s="12">
        <v>46073</v>
      </c>
      <c r="E487" t="s">
        <v>744</v>
      </c>
      <c r="F487" t="s">
        <v>14</v>
      </c>
      <c r="G487">
        <v>1088734182</v>
      </c>
      <c r="H487" t="s">
        <v>565</v>
      </c>
      <c r="I487">
        <v>98333941</v>
      </c>
      <c r="J487" t="s">
        <v>14</v>
      </c>
      <c r="K487" t="s">
        <v>15</v>
      </c>
      <c r="L487" s="1" t="e">
        <f>VLOOKUP(A487,#REF!,2,0)</f>
        <v>#REF!</v>
      </c>
      <c r="M487" s="1">
        <v>0</v>
      </c>
      <c r="N487" s="10">
        <v>7800000</v>
      </c>
      <c r="O487" s="10"/>
      <c r="P487" t="s">
        <v>704</v>
      </c>
      <c r="Q487" s="1" t="e">
        <f t="shared" si="18"/>
        <v>#REF!</v>
      </c>
      <c r="S487" s="11" t="s">
        <v>1036</v>
      </c>
    </row>
    <row r="488" spans="1:19" x14ac:dyDescent="0.25">
      <c r="A488" t="s">
        <v>1158</v>
      </c>
      <c r="B488" t="s">
        <v>13</v>
      </c>
      <c r="C488" s="12">
        <v>46042</v>
      </c>
      <c r="D488" s="12">
        <v>46193</v>
      </c>
      <c r="E488" t="s">
        <v>775</v>
      </c>
      <c r="F488" t="s">
        <v>14</v>
      </c>
      <c r="G488">
        <v>1087006717</v>
      </c>
      <c r="H488" t="s">
        <v>42</v>
      </c>
      <c r="I488">
        <v>59836926</v>
      </c>
      <c r="J488" t="s">
        <v>14</v>
      </c>
      <c r="K488" t="s">
        <v>17</v>
      </c>
      <c r="L488" s="1" t="e">
        <f>VLOOKUP(A488,#REF!,2,0)</f>
        <v>#REF!</v>
      </c>
      <c r="M488" s="1">
        <v>3150000</v>
      </c>
      <c r="N488" s="10">
        <v>15750000</v>
      </c>
      <c r="O488" s="10"/>
      <c r="P488" t="s">
        <v>704</v>
      </c>
      <c r="Q488" s="1" t="e">
        <f t="shared" si="18"/>
        <v>#REF!</v>
      </c>
      <c r="S488" s="11" t="s">
        <v>1036</v>
      </c>
    </row>
    <row r="489" spans="1:19" x14ac:dyDescent="0.25">
      <c r="A489" t="s">
        <v>1159</v>
      </c>
      <c r="B489" t="s">
        <v>13</v>
      </c>
      <c r="C489" s="12">
        <v>46042</v>
      </c>
      <c r="D489" s="12">
        <v>46132</v>
      </c>
      <c r="E489" t="s">
        <v>775</v>
      </c>
      <c r="F489" t="s">
        <v>14</v>
      </c>
      <c r="G489">
        <v>1086018841</v>
      </c>
      <c r="H489" t="s">
        <v>161</v>
      </c>
      <c r="I489">
        <v>43624414</v>
      </c>
      <c r="J489" t="s">
        <v>14</v>
      </c>
      <c r="K489" t="s">
        <v>18</v>
      </c>
      <c r="L489" s="1" t="e">
        <f>VLOOKUP(A489,#REF!,2,0)</f>
        <v>#REF!</v>
      </c>
      <c r="M489" s="1">
        <v>0</v>
      </c>
      <c r="N489" s="10">
        <v>9450000</v>
      </c>
      <c r="O489" s="10"/>
      <c r="P489" t="s">
        <v>704</v>
      </c>
      <c r="Q489" s="1" t="e">
        <f t="shared" si="18"/>
        <v>#REF!</v>
      </c>
      <c r="S489" s="11" t="s">
        <v>1036</v>
      </c>
    </row>
    <row r="490" spans="1:19" x14ac:dyDescent="0.25">
      <c r="A490" t="s">
        <v>1160</v>
      </c>
      <c r="B490" t="s">
        <v>13</v>
      </c>
      <c r="C490" s="12">
        <v>46042</v>
      </c>
      <c r="D490" s="12">
        <v>46193</v>
      </c>
      <c r="E490" t="s">
        <v>744</v>
      </c>
      <c r="F490" t="s">
        <v>14</v>
      </c>
      <c r="G490">
        <v>1084552063</v>
      </c>
      <c r="H490" t="s">
        <v>327</v>
      </c>
      <c r="I490">
        <v>98333941</v>
      </c>
      <c r="J490" t="s">
        <v>14</v>
      </c>
      <c r="K490" t="s">
        <v>15</v>
      </c>
      <c r="L490" s="1" t="e">
        <f>VLOOKUP(A490,#REF!,2,0)</f>
        <v>#REF!</v>
      </c>
      <c r="M490" s="1">
        <v>0</v>
      </c>
      <c r="N490" s="10">
        <v>39000000</v>
      </c>
      <c r="O490" s="10"/>
      <c r="P490" t="s">
        <v>704</v>
      </c>
      <c r="Q490" s="1" t="e">
        <f t="shared" si="18"/>
        <v>#REF!</v>
      </c>
      <c r="S490" s="11" t="s">
        <v>1036</v>
      </c>
    </row>
    <row r="491" spans="1:19" x14ac:dyDescent="0.25">
      <c r="A491" t="s">
        <v>1161</v>
      </c>
      <c r="B491" t="s">
        <v>13</v>
      </c>
      <c r="C491" s="12">
        <v>46042</v>
      </c>
      <c r="D491" s="12">
        <v>46132</v>
      </c>
      <c r="E491" t="s">
        <v>775</v>
      </c>
      <c r="F491" t="s">
        <v>14</v>
      </c>
      <c r="H491" t="s">
        <v>443</v>
      </c>
      <c r="I491">
        <v>43624414</v>
      </c>
      <c r="J491" t="s">
        <v>14</v>
      </c>
      <c r="K491" t="s">
        <v>18</v>
      </c>
      <c r="L491" s="1" t="e">
        <f>VLOOKUP(A491,#REF!,2,0)</f>
        <v>#REF!</v>
      </c>
      <c r="M491" s="1">
        <v>0</v>
      </c>
      <c r="N491" s="10">
        <v>9450000</v>
      </c>
      <c r="O491" s="10"/>
      <c r="P491" t="s">
        <v>704</v>
      </c>
      <c r="Q491" s="1" t="e">
        <f t="shared" si="18"/>
        <v>#REF!</v>
      </c>
      <c r="S491" s="11" t="s">
        <v>1036</v>
      </c>
    </row>
    <row r="492" spans="1:19" x14ac:dyDescent="0.25">
      <c r="A492" t="s">
        <v>1162</v>
      </c>
      <c r="B492" t="s">
        <v>13</v>
      </c>
      <c r="C492" s="12">
        <v>46042</v>
      </c>
      <c r="D492" s="12">
        <v>46132</v>
      </c>
      <c r="E492" t="s">
        <v>775</v>
      </c>
      <c r="F492" t="s">
        <v>14</v>
      </c>
      <c r="G492">
        <v>1085324685</v>
      </c>
      <c r="H492" t="s">
        <v>312</v>
      </c>
      <c r="I492">
        <v>43624414</v>
      </c>
      <c r="J492" t="s">
        <v>14</v>
      </c>
      <c r="K492" t="s">
        <v>18</v>
      </c>
      <c r="L492" s="1" t="e">
        <f>VLOOKUP(A492,#REF!,2,0)</f>
        <v>#REF!</v>
      </c>
      <c r="M492" s="1">
        <v>3150000</v>
      </c>
      <c r="N492" s="10">
        <v>9450000</v>
      </c>
      <c r="O492" s="10"/>
      <c r="P492" t="s">
        <v>704</v>
      </c>
      <c r="Q492" s="1" t="e">
        <f t="shared" si="18"/>
        <v>#REF!</v>
      </c>
      <c r="S492" s="11" t="s">
        <v>1036</v>
      </c>
    </row>
    <row r="493" spans="1:19" x14ac:dyDescent="0.25">
      <c r="A493" t="s">
        <v>1163</v>
      </c>
      <c r="B493" t="s">
        <v>13</v>
      </c>
      <c r="C493" s="12">
        <v>46042</v>
      </c>
      <c r="D493" s="12">
        <v>46132</v>
      </c>
      <c r="E493" t="s">
        <v>775</v>
      </c>
      <c r="F493" t="s">
        <v>14</v>
      </c>
      <c r="G493">
        <v>1080041553</v>
      </c>
      <c r="H493" t="s">
        <v>331</v>
      </c>
      <c r="I493">
        <v>98390119</v>
      </c>
      <c r="J493" t="s">
        <v>14</v>
      </c>
      <c r="K493" t="s">
        <v>63</v>
      </c>
      <c r="L493" s="1" t="e">
        <f>VLOOKUP(A493,#REF!,2,0)</f>
        <v>#REF!</v>
      </c>
      <c r="M493" s="1">
        <v>0</v>
      </c>
      <c r="N493" s="10">
        <v>9450000</v>
      </c>
      <c r="O493" s="10"/>
      <c r="P493" t="s">
        <v>704</v>
      </c>
      <c r="Q493" s="1" t="e">
        <f t="shared" si="18"/>
        <v>#REF!</v>
      </c>
      <c r="S493" s="11" t="s">
        <v>1036</v>
      </c>
    </row>
    <row r="494" spans="1:19" x14ac:dyDescent="0.25">
      <c r="A494" t="s">
        <v>1164</v>
      </c>
      <c r="B494" t="s">
        <v>13</v>
      </c>
      <c r="C494" s="12">
        <v>46042</v>
      </c>
      <c r="D494" s="12">
        <v>46193</v>
      </c>
      <c r="E494" t="s">
        <v>775</v>
      </c>
      <c r="F494" t="s">
        <v>14</v>
      </c>
      <c r="G494">
        <v>1086328063</v>
      </c>
      <c r="H494" t="s">
        <v>881</v>
      </c>
      <c r="I494">
        <v>98390119</v>
      </c>
      <c r="J494" t="s">
        <v>14</v>
      </c>
      <c r="K494" t="s">
        <v>63</v>
      </c>
      <c r="L494" s="1" t="e">
        <f>VLOOKUP(A494,#REF!,2,0)</f>
        <v>#REF!</v>
      </c>
      <c r="M494" s="1">
        <v>0</v>
      </c>
      <c r="N494" s="10">
        <v>15750000</v>
      </c>
      <c r="O494" s="10"/>
      <c r="P494" t="s">
        <v>704</v>
      </c>
      <c r="Q494" s="1" t="e">
        <f t="shared" si="18"/>
        <v>#REF!</v>
      </c>
      <c r="S494" s="11" t="s">
        <v>1036</v>
      </c>
    </row>
    <row r="495" spans="1:19" x14ac:dyDescent="0.25">
      <c r="A495" t="s">
        <v>1165</v>
      </c>
      <c r="B495" t="s">
        <v>13</v>
      </c>
      <c r="C495" s="12">
        <v>46042</v>
      </c>
      <c r="D495" s="12">
        <v>46132</v>
      </c>
      <c r="E495" t="s">
        <v>775</v>
      </c>
      <c r="F495" t="s">
        <v>14</v>
      </c>
      <c r="G495">
        <v>59310853</v>
      </c>
      <c r="H495" t="s">
        <v>57</v>
      </c>
      <c r="I495">
        <v>43624414</v>
      </c>
      <c r="J495" t="s">
        <v>14</v>
      </c>
      <c r="K495" t="s">
        <v>18</v>
      </c>
      <c r="L495" s="1" t="e">
        <f>VLOOKUP(A495,#REF!,2,0)</f>
        <v>#REF!</v>
      </c>
      <c r="M495" s="1">
        <v>0</v>
      </c>
      <c r="N495" s="10">
        <v>9450000</v>
      </c>
      <c r="O495" s="10"/>
      <c r="P495" t="s">
        <v>704</v>
      </c>
      <c r="Q495" s="1" t="e">
        <f t="shared" si="18"/>
        <v>#REF!</v>
      </c>
      <c r="S495" s="11" t="s">
        <v>1036</v>
      </c>
    </row>
    <row r="496" spans="1:19" x14ac:dyDescent="0.25">
      <c r="A496" t="s">
        <v>1166</v>
      </c>
      <c r="B496" t="s">
        <v>13</v>
      </c>
      <c r="C496" s="12">
        <v>46042</v>
      </c>
      <c r="D496" s="12">
        <v>46132</v>
      </c>
      <c r="E496" t="s">
        <v>775</v>
      </c>
      <c r="F496" t="s">
        <v>14</v>
      </c>
      <c r="G496">
        <v>1086330124</v>
      </c>
      <c r="H496" t="s">
        <v>348</v>
      </c>
      <c r="I496">
        <v>98333941</v>
      </c>
      <c r="J496" t="s">
        <v>14</v>
      </c>
      <c r="K496" t="s">
        <v>15</v>
      </c>
      <c r="L496" s="1" t="e">
        <f>VLOOKUP(A496,#REF!,2,0)</f>
        <v>#REF!</v>
      </c>
      <c r="M496" s="1">
        <v>0</v>
      </c>
      <c r="N496" s="10">
        <v>9450000</v>
      </c>
      <c r="O496" s="10"/>
      <c r="P496" t="s">
        <v>704</v>
      </c>
      <c r="Q496" s="1" t="e">
        <f t="shared" si="18"/>
        <v>#REF!</v>
      </c>
      <c r="S496" s="11" t="s">
        <v>1036</v>
      </c>
    </row>
    <row r="497" spans="1:19" x14ac:dyDescent="0.25">
      <c r="A497" t="s">
        <v>1031</v>
      </c>
      <c r="B497" t="s">
        <v>13</v>
      </c>
      <c r="C497" s="12">
        <v>46042</v>
      </c>
      <c r="D497" s="12">
        <v>46132</v>
      </c>
      <c r="E497" t="s">
        <v>775</v>
      </c>
      <c r="F497" t="s">
        <v>14</v>
      </c>
      <c r="G497">
        <v>1081272656</v>
      </c>
      <c r="H497" t="s">
        <v>664</v>
      </c>
      <c r="I497">
        <v>59836926</v>
      </c>
      <c r="J497" t="s">
        <v>14</v>
      </c>
      <c r="K497" t="s">
        <v>17</v>
      </c>
      <c r="L497" s="1" t="e">
        <f>VLOOKUP(A497,#REF!,2,0)</f>
        <v>#REF!</v>
      </c>
      <c r="M497" s="1">
        <v>3150000</v>
      </c>
      <c r="N497" s="10">
        <v>9450000</v>
      </c>
      <c r="O497" s="10"/>
      <c r="P497" t="s">
        <v>704</v>
      </c>
      <c r="Q497" s="1" t="e">
        <f t="shared" si="18"/>
        <v>#REF!</v>
      </c>
      <c r="S497" s="11" t="s">
        <v>1036</v>
      </c>
    </row>
    <row r="498" spans="1:19" x14ac:dyDescent="0.25">
      <c r="A498" t="s">
        <v>1167</v>
      </c>
      <c r="B498" t="s">
        <v>13</v>
      </c>
      <c r="C498" s="12">
        <v>46042</v>
      </c>
      <c r="D498" s="12">
        <v>46193</v>
      </c>
      <c r="E498" t="s">
        <v>775</v>
      </c>
      <c r="F498" t="s">
        <v>14</v>
      </c>
      <c r="G498">
        <v>27388522</v>
      </c>
      <c r="H498" t="s">
        <v>38</v>
      </c>
      <c r="I498">
        <v>59836926</v>
      </c>
      <c r="J498" t="s">
        <v>14</v>
      </c>
      <c r="K498" t="s">
        <v>17</v>
      </c>
      <c r="L498" s="1" t="e">
        <f>VLOOKUP(A498,#REF!,2,0)</f>
        <v>#REF!</v>
      </c>
      <c r="M498" s="1">
        <v>0</v>
      </c>
      <c r="N498" s="10">
        <v>15750000</v>
      </c>
      <c r="O498" s="10"/>
      <c r="P498" t="s">
        <v>704</v>
      </c>
      <c r="Q498" s="1" t="e">
        <f t="shared" si="18"/>
        <v>#REF!</v>
      </c>
      <c r="S498" s="11" t="s">
        <v>1036</v>
      </c>
    </row>
    <row r="499" spans="1:19" x14ac:dyDescent="0.25">
      <c r="A499" t="s">
        <v>1168</v>
      </c>
      <c r="B499" t="s">
        <v>13</v>
      </c>
      <c r="C499" s="12">
        <v>46042</v>
      </c>
      <c r="D499" s="12">
        <v>46073</v>
      </c>
      <c r="E499" t="s">
        <v>775</v>
      </c>
      <c r="F499" t="s">
        <v>14</v>
      </c>
      <c r="G499">
        <v>59834953</v>
      </c>
      <c r="H499" t="s">
        <v>35</v>
      </c>
      <c r="I499">
        <v>98390119</v>
      </c>
      <c r="J499" t="s">
        <v>14</v>
      </c>
      <c r="K499" t="s">
        <v>63</v>
      </c>
      <c r="L499" s="1" t="e">
        <f>VLOOKUP(A499,#REF!,2,0)</f>
        <v>#REF!</v>
      </c>
      <c r="M499" s="1">
        <v>0</v>
      </c>
      <c r="N499" s="10">
        <v>3150000</v>
      </c>
      <c r="O499" s="10"/>
      <c r="P499" t="s">
        <v>704</v>
      </c>
      <c r="Q499" s="1" t="e">
        <f t="shared" si="18"/>
        <v>#REF!</v>
      </c>
      <c r="S499" s="11" t="s">
        <v>1036</v>
      </c>
    </row>
    <row r="500" spans="1:19" x14ac:dyDescent="0.25">
      <c r="A500" t="s">
        <v>1169</v>
      </c>
      <c r="B500" t="s">
        <v>13</v>
      </c>
      <c r="C500" s="12">
        <v>46042</v>
      </c>
      <c r="D500" s="12">
        <v>46073</v>
      </c>
      <c r="E500" t="s">
        <v>744</v>
      </c>
      <c r="F500" t="s">
        <v>14</v>
      </c>
      <c r="G500">
        <v>1233188295</v>
      </c>
      <c r="H500" t="s">
        <v>358</v>
      </c>
      <c r="I500">
        <v>98390119</v>
      </c>
      <c r="J500" t="s">
        <v>14</v>
      </c>
      <c r="K500" t="s">
        <v>63</v>
      </c>
      <c r="L500" s="1" t="e">
        <f>VLOOKUP(A500,#REF!,2,0)</f>
        <v>#REF!</v>
      </c>
      <c r="M500" s="1">
        <v>0</v>
      </c>
      <c r="N500" s="10">
        <v>7800000</v>
      </c>
      <c r="O500" s="10"/>
      <c r="P500" t="s">
        <v>704</v>
      </c>
      <c r="Q500" s="1" t="e">
        <f t="shared" si="18"/>
        <v>#REF!</v>
      </c>
      <c r="S500" s="11" t="s">
        <v>1036</v>
      </c>
    </row>
    <row r="501" spans="1:19" x14ac:dyDescent="0.25">
      <c r="A501" t="s">
        <v>1170</v>
      </c>
      <c r="B501" t="s">
        <v>13</v>
      </c>
      <c r="C501" s="12">
        <v>46042</v>
      </c>
      <c r="D501" s="12">
        <v>46073</v>
      </c>
      <c r="E501" t="s">
        <v>775</v>
      </c>
      <c r="F501" t="s">
        <v>14</v>
      </c>
      <c r="G501">
        <v>59830040</v>
      </c>
      <c r="H501" t="s">
        <v>76</v>
      </c>
      <c r="I501">
        <v>59836926</v>
      </c>
      <c r="J501" t="s">
        <v>14</v>
      </c>
      <c r="K501" t="s">
        <v>17</v>
      </c>
      <c r="L501" s="1" t="e">
        <f>VLOOKUP(A501,#REF!,2,0)</f>
        <v>#REF!</v>
      </c>
      <c r="M501" s="1">
        <v>0</v>
      </c>
      <c r="N501" s="10">
        <v>3150000</v>
      </c>
      <c r="O501" s="10"/>
      <c r="P501" t="s">
        <v>704</v>
      </c>
      <c r="Q501" s="1" t="e">
        <f t="shared" si="18"/>
        <v>#REF!</v>
      </c>
      <c r="S501" s="11" t="s">
        <v>1036</v>
      </c>
    </row>
    <row r="502" spans="1:19" x14ac:dyDescent="0.25">
      <c r="A502" t="s">
        <v>1020</v>
      </c>
      <c r="B502" t="s">
        <v>13</v>
      </c>
      <c r="C502" s="12">
        <v>46042</v>
      </c>
      <c r="D502" s="12">
        <v>46193</v>
      </c>
      <c r="E502" t="s">
        <v>775</v>
      </c>
      <c r="F502" t="s">
        <v>14</v>
      </c>
      <c r="G502">
        <v>1082749295</v>
      </c>
      <c r="H502" t="s">
        <v>538</v>
      </c>
      <c r="I502">
        <v>98333941</v>
      </c>
      <c r="J502" t="s">
        <v>14</v>
      </c>
      <c r="K502" t="s">
        <v>15</v>
      </c>
      <c r="L502" s="1" t="e">
        <f>VLOOKUP(A502,#REF!,2,0)</f>
        <v>#REF!</v>
      </c>
      <c r="M502" s="1">
        <v>3150000</v>
      </c>
      <c r="N502" s="10">
        <v>15750000</v>
      </c>
      <c r="O502" s="10"/>
      <c r="P502" t="s">
        <v>704</v>
      </c>
      <c r="Q502" s="1" t="e">
        <f t="shared" si="18"/>
        <v>#REF!</v>
      </c>
      <c r="S502" s="11" t="s">
        <v>1036</v>
      </c>
    </row>
    <row r="503" spans="1:19" x14ac:dyDescent="0.25">
      <c r="A503" t="s">
        <v>1171</v>
      </c>
      <c r="B503" t="s">
        <v>13</v>
      </c>
      <c r="C503" s="12">
        <v>46042</v>
      </c>
      <c r="D503" s="12">
        <v>46132</v>
      </c>
      <c r="E503" t="s">
        <v>775</v>
      </c>
      <c r="F503" t="s">
        <v>14</v>
      </c>
      <c r="G503">
        <v>59313711</v>
      </c>
      <c r="H503" t="s">
        <v>231</v>
      </c>
      <c r="I503">
        <v>98333941</v>
      </c>
      <c r="J503" t="s">
        <v>14</v>
      </c>
      <c r="K503" t="s">
        <v>15</v>
      </c>
      <c r="L503" s="1" t="e">
        <f>VLOOKUP(A503,#REF!,2,0)</f>
        <v>#REF!</v>
      </c>
      <c r="M503" s="1">
        <v>0</v>
      </c>
      <c r="N503" s="10">
        <v>9450000</v>
      </c>
      <c r="O503" s="10"/>
      <c r="P503" t="s">
        <v>704</v>
      </c>
      <c r="Q503" s="1" t="e">
        <f t="shared" si="18"/>
        <v>#REF!</v>
      </c>
      <c r="S503" s="11" t="s">
        <v>1036</v>
      </c>
    </row>
    <row r="504" spans="1:19" x14ac:dyDescent="0.25">
      <c r="A504" t="s">
        <v>1172</v>
      </c>
      <c r="B504" t="s">
        <v>13</v>
      </c>
      <c r="C504" s="12">
        <v>46042</v>
      </c>
      <c r="D504" s="12">
        <v>46073</v>
      </c>
      <c r="E504" t="s">
        <v>775</v>
      </c>
      <c r="F504" t="s">
        <v>14</v>
      </c>
      <c r="G504">
        <v>1081572043</v>
      </c>
      <c r="H504" t="s">
        <v>54</v>
      </c>
      <c r="I504">
        <v>59836926</v>
      </c>
      <c r="J504" t="s">
        <v>14</v>
      </c>
      <c r="K504" t="s">
        <v>17</v>
      </c>
      <c r="L504" s="1" t="e">
        <f>VLOOKUP(A504,#REF!,2,0)</f>
        <v>#REF!</v>
      </c>
      <c r="M504" s="1">
        <v>0</v>
      </c>
      <c r="N504" s="10">
        <v>3150000</v>
      </c>
      <c r="O504" s="10"/>
      <c r="P504" t="s">
        <v>704</v>
      </c>
      <c r="Q504" s="1" t="e">
        <f t="shared" si="18"/>
        <v>#REF!</v>
      </c>
      <c r="S504" s="11" t="s">
        <v>1036</v>
      </c>
    </row>
    <row r="505" spans="1:19" x14ac:dyDescent="0.25">
      <c r="A505" t="s">
        <v>1173</v>
      </c>
      <c r="B505" t="s">
        <v>13</v>
      </c>
      <c r="C505" s="12">
        <v>46042</v>
      </c>
      <c r="D505" s="12">
        <v>46193</v>
      </c>
      <c r="E505" t="s">
        <v>775</v>
      </c>
      <c r="F505" t="s">
        <v>14</v>
      </c>
      <c r="G505">
        <v>1084552048</v>
      </c>
      <c r="H505" t="s">
        <v>66</v>
      </c>
      <c r="I505">
        <v>98333941</v>
      </c>
      <c r="J505" t="s">
        <v>14</v>
      </c>
      <c r="K505" t="s">
        <v>15</v>
      </c>
      <c r="L505" s="1" t="e">
        <f>VLOOKUP(A505,#REF!,2,0)</f>
        <v>#REF!</v>
      </c>
      <c r="M505" s="1">
        <v>0</v>
      </c>
      <c r="N505" s="10">
        <v>15750000</v>
      </c>
      <c r="O505" s="10"/>
      <c r="P505" t="s">
        <v>704</v>
      </c>
      <c r="Q505" s="1" t="e">
        <f t="shared" si="18"/>
        <v>#REF!</v>
      </c>
      <c r="S505" s="11" t="s">
        <v>1036</v>
      </c>
    </row>
    <row r="506" spans="1:19" x14ac:dyDescent="0.25">
      <c r="A506" t="s">
        <v>1174</v>
      </c>
      <c r="B506" t="s">
        <v>13</v>
      </c>
      <c r="C506" s="12">
        <v>46042</v>
      </c>
      <c r="D506" s="12">
        <v>46132</v>
      </c>
      <c r="E506" t="s">
        <v>744</v>
      </c>
      <c r="F506" t="s">
        <v>14</v>
      </c>
      <c r="G506">
        <v>1085335069</v>
      </c>
      <c r="H506" t="s">
        <v>592</v>
      </c>
      <c r="I506">
        <v>98390119</v>
      </c>
      <c r="J506" t="s">
        <v>14</v>
      </c>
      <c r="K506" t="s">
        <v>63</v>
      </c>
      <c r="L506" s="1" t="e">
        <f>VLOOKUP(A506,#REF!,2,0)</f>
        <v>#REF!</v>
      </c>
      <c r="M506" s="1">
        <v>0</v>
      </c>
      <c r="N506" s="10">
        <v>14190000</v>
      </c>
      <c r="O506" s="10"/>
      <c r="P506" t="s">
        <v>704</v>
      </c>
      <c r="Q506" s="1" t="e">
        <f t="shared" si="18"/>
        <v>#REF!</v>
      </c>
      <c r="S506" s="11" t="s">
        <v>1036</v>
      </c>
    </row>
    <row r="507" spans="1:19" x14ac:dyDescent="0.25">
      <c r="A507" t="s">
        <v>1175</v>
      </c>
      <c r="B507" t="s">
        <v>13</v>
      </c>
      <c r="C507" s="12">
        <v>46042</v>
      </c>
      <c r="D507" s="12">
        <v>46132</v>
      </c>
      <c r="E507" t="s">
        <v>775</v>
      </c>
      <c r="F507" t="s">
        <v>14</v>
      </c>
      <c r="G507">
        <v>1086222689</v>
      </c>
      <c r="H507" t="s">
        <v>36</v>
      </c>
      <c r="I507">
        <v>59836926</v>
      </c>
      <c r="J507" t="s">
        <v>14</v>
      </c>
      <c r="K507" t="s">
        <v>17</v>
      </c>
      <c r="L507" s="1" t="e">
        <f>VLOOKUP(A507,#REF!,2,0)</f>
        <v>#REF!</v>
      </c>
      <c r="M507" s="1">
        <v>3150000</v>
      </c>
      <c r="N507" s="10">
        <v>9450000</v>
      </c>
      <c r="O507" s="10"/>
      <c r="P507" t="s">
        <v>704</v>
      </c>
      <c r="Q507" s="1" t="e">
        <f t="shared" si="18"/>
        <v>#REF!</v>
      </c>
      <c r="S507" s="11" t="s">
        <v>1036</v>
      </c>
    </row>
    <row r="508" spans="1:19" x14ac:dyDescent="0.25">
      <c r="A508" t="s">
        <v>1176</v>
      </c>
      <c r="B508" t="s">
        <v>13</v>
      </c>
      <c r="C508" s="12">
        <v>46042</v>
      </c>
      <c r="D508" s="12">
        <v>46132</v>
      </c>
      <c r="E508" t="s">
        <v>744</v>
      </c>
      <c r="F508" t="s">
        <v>14</v>
      </c>
      <c r="G508">
        <v>1085293619</v>
      </c>
      <c r="H508" t="s">
        <v>420</v>
      </c>
      <c r="I508">
        <v>43624414</v>
      </c>
      <c r="J508" t="s">
        <v>14</v>
      </c>
      <c r="K508" t="s">
        <v>18</v>
      </c>
      <c r="L508" s="1" t="e">
        <f>VLOOKUP(A508,#REF!,2,0)</f>
        <v>#REF!</v>
      </c>
      <c r="M508" s="1">
        <v>0</v>
      </c>
      <c r="N508" s="10">
        <v>14190000</v>
      </c>
      <c r="O508" s="10"/>
      <c r="P508" t="s">
        <v>704</v>
      </c>
      <c r="Q508" s="1" t="e">
        <f t="shared" si="18"/>
        <v>#REF!</v>
      </c>
      <c r="S508" s="11" t="s">
        <v>1036</v>
      </c>
    </row>
    <row r="509" spans="1:19" x14ac:dyDescent="0.25">
      <c r="A509" t="s">
        <v>1177</v>
      </c>
      <c r="B509" t="s">
        <v>13</v>
      </c>
      <c r="C509" s="12">
        <v>46042</v>
      </c>
      <c r="D509" s="12">
        <v>46073</v>
      </c>
      <c r="E509" t="s">
        <v>775</v>
      </c>
      <c r="F509" t="s">
        <v>14</v>
      </c>
      <c r="G509">
        <v>1004131976</v>
      </c>
      <c r="H509" t="s">
        <v>291</v>
      </c>
      <c r="I509">
        <v>98390119</v>
      </c>
      <c r="J509" t="s">
        <v>14</v>
      </c>
      <c r="K509" t="s">
        <v>63</v>
      </c>
      <c r="L509" s="1" t="e">
        <f>VLOOKUP(A509,#REF!,2,0)</f>
        <v>#REF!</v>
      </c>
      <c r="M509" s="1">
        <v>0</v>
      </c>
      <c r="N509" s="10">
        <v>3150000</v>
      </c>
      <c r="O509" s="10"/>
      <c r="P509" t="s">
        <v>704</v>
      </c>
      <c r="Q509" s="1" t="e">
        <f t="shared" si="18"/>
        <v>#REF!</v>
      </c>
      <c r="S509" s="11" t="s">
        <v>1036</v>
      </c>
    </row>
    <row r="510" spans="1:19" x14ac:dyDescent="0.25">
      <c r="A510" t="s">
        <v>1178</v>
      </c>
      <c r="B510" t="s">
        <v>13</v>
      </c>
      <c r="C510" s="12">
        <v>46042</v>
      </c>
      <c r="D510" s="12">
        <v>46132</v>
      </c>
      <c r="E510" t="s">
        <v>775</v>
      </c>
      <c r="F510" t="s">
        <v>14</v>
      </c>
      <c r="G510">
        <v>1085267332</v>
      </c>
      <c r="H510" t="s">
        <v>873</v>
      </c>
      <c r="I510">
        <v>98333941</v>
      </c>
      <c r="J510" t="s">
        <v>14</v>
      </c>
      <c r="K510" t="s">
        <v>15</v>
      </c>
      <c r="L510" s="1" t="e">
        <f>VLOOKUP(A510,#REF!,2,0)</f>
        <v>#REF!</v>
      </c>
      <c r="M510" s="1">
        <v>0</v>
      </c>
      <c r="N510" s="10">
        <v>9450000</v>
      </c>
      <c r="O510" s="10"/>
      <c r="P510" t="s">
        <v>704</v>
      </c>
      <c r="Q510" s="1" t="e">
        <f t="shared" si="18"/>
        <v>#REF!</v>
      </c>
      <c r="S510" s="11" t="s">
        <v>1036</v>
      </c>
    </row>
    <row r="511" spans="1:19" x14ac:dyDescent="0.25">
      <c r="A511" t="s">
        <v>1179</v>
      </c>
      <c r="B511" t="s">
        <v>13</v>
      </c>
      <c r="C511" s="12">
        <v>46043</v>
      </c>
      <c r="D511" s="12">
        <v>46194</v>
      </c>
      <c r="E511" t="s">
        <v>775</v>
      </c>
      <c r="F511" t="s">
        <v>14</v>
      </c>
      <c r="G511">
        <v>36751255</v>
      </c>
      <c r="H511" t="s">
        <v>677</v>
      </c>
      <c r="I511">
        <v>98390119</v>
      </c>
      <c r="J511" t="s">
        <v>14</v>
      </c>
      <c r="K511" t="s">
        <v>63</v>
      </c>
      <c r="L511" s="1" t="e">
        <f>VLOOKUP(A511,#REF!,2,0)</f>
        <v>#REF!</v>
      </c>
      <c r="M511" s="1">
        <v>0</v>
      </c>
      <c r="N511" s="10">
        <v>15750000</v>
      </c>
      <c r="O511" s="10"/>
      <c r="P511" t="s">
        <v>704</v>
      </c>
      <c r="Q511" s="1" t="e">
        <f t="shared" si="18"/>
        <v>#REF!</v>
      </c>
      <c r="S511" s="11" t="s">
        <v>1036</v>
      </c>
    </row>
    <row r="512" spans="1:19" x14ac:dyDescent="0.25">
      <c r="A512" t="s">
        <v>1180</v>
      </c>
      <c r="B512" t="s">
        <v>13</v>
      </c>
      <c r="C512" s="12">
        <v>46043</v>
      </c>
      <c r="D512" s="12">
        <v>46074</v>
      </c>
      <c r="E512" t="s">
        <v>775</v>
      </c>
      <c r="F512" t="s">
        <v>14</v>
      </c>
      <c r="G512">
        <v>27436186</v>
      </c>
      <c r="H512" t="s">
        <v>932</v>
      </c>
      <c r="I512">
        <v>43624414</v>
      </c>
      <c r="J512" t="s">
        <v>14</v>
      </c>
      <c r="K512" t="s">
        <v>18</v>
      </c>
      <c r="L512" s="1" t="e">
        <f>VLOOKUP(A512,#REF!,2,0)</f>
        <v>#REF!</v>
      </c>
      <c r="M512" s="1">
        <v>0</v>
      </c>
      <c r="N512" s="10">
        <v>3150000</v>
      </c>
      <c r="O512" s="10"/>
      <c r="P512" t="s">
        <v>704</v>
      </c>
      <c r="Q512" s="1" t="e">
        <f t="shared" si="18"/>
        <v>#REF!</v>
      </c>
      <c r="S512" s="11" t="s">
        <v>1036</v>
      </c>
    </row>
    <row r="513" spans="1:19" x14ac:dyDescent="0.25">
      <c r="A513" t="s">
        <v>1181</v>
      </c>
      <c r="B513" t="s">
        <v>13</v>
      </c>
      <c r="C513" s="12">
        <v>46043</v>
      </c>
      <c r="D513" s="12">
        <v>46133</v>
      </c>
      <c r="E513" t="s">
        <v>775</v>
      </c>
      <c r="F513" t="s">
        <v>14</v>
      </c>
      <c r="G513">
        <v>1087644986</v>
      </c>
      <c r="H513" t="s">
        <v>510</v>
      </c>
      <c r="I513">
        <v>98333941</v>
      </c>
      <c r="J513" t="s">
        <v>14</v>
      </c>
      <c r="K513" t="s">
        <v>15</v>
      </c>
      <c r="L513" s="1" t="e">
        <f>VLOOKUP(A513,#REF!,2,0)</f>
        <v>#REF!</v>
      </c>
      <c r="M513" s="1">
        <v>0</v>
      </c>
      <c r="N513" s="10">
        <v>9450000</v>
      </c>
      <c r="O513" s="10"/>
      <c r="P513" t="s">
        <v>704</v>
      </c>
      <c r="Q513" s="1" t="e">
        <f t="shared" si="18"/>
        <v>#REF!</v>
      </c>
      <c r="S513" s="11" t="s">
        <v>1036</v>
      </c>
    </row>
    <row r="514" spans="1:19" x14ac:dyDescent="0.25">
      <c r="A514" t="s">
        <v>1182</v>
      </c>
      <c r="B514" t="s">
        <v>13</v>
      </c>
      <c r="C514" s="12">
        <v>46043</v>
      </c>
      <c r="D514" s="12">
        <v>46133</v>
      </c>
      <c r="E514" t="s">
        <v>775</v>
      </c>
      <c r="F514" t="s">
        <v>14</v>
      </c>
      <c r="G514">
        <v>1084224968</v>
      </c>
      <c r="H514" t="s">
        <v>118</v>
      </c>
      <c r="I514">
        <v>59836926</v>
      </c>
      <c r="J514" t="s">
        <v>14</v>
      </c>
      <c r="K514" t="s">
        <v>17</v>
      </c>
      <c r="L514" s="1" t="e">
        <f>VLOOKUP(A514,#REF!,2,0)</f>
        <v>#REF!</v>
      </c>
      <c r="M514" s="1">
        <v>0</v>
      </c>
      <c r="N514" s="10">
        <v>9450000</v>
      </c>
      <c r="O514" s="10"/>
      <c r="P514" t="s">
        <v>704</v>
      </c>
      <c r="Q514" s="1" t="e">
        <f t="shared" si="18"/>
        <v>#REF!</v>
      </c>
      <c r="S514" s="11" t="s">
        <v>1036</v>
      </c>
    </row>
    <row r="515" spans="1:19" x14ac:dyDescent="0.25">
      <c r="A515" t="s">
        <v>1183</v>
      </c>
      <c r="B515" t="s">
        <v>13</v>
      </c>
      <c r="C515" s="12">
        <v>46043</v>
      </c>
      <c r="D515" s="12">
        <v>46194</v>
      </c>
      <c r="E515" t="s">
        <v>775</v>
      </c>
      <c r="F515" t="s">
        <v>14</v>
      </c>
      <c r="G515">
        <v>1085288636</v>
      </c>
      <c r="H515" t="s">
        <v>519</v>
      </c>
      <c r="I515">
        <v>98390119</v>
      </c>
      <c r="J515" t="s">
        <v>14</v>
      </c>
      <c r="K515" t="s">
        <v>63</v>
      </c>
      <c r="L515" s="1" t="e">
        <f>VLOOKUP(A515,#REF!,2,0)</f>
        <v>#REF!</v>
      </c>
      <c r="M515" s="1">
        <v>0</v>
      </c>
      <c r="N515" s="10">
        <v>15750000</v>
      </c>
      <c r="O515" s="10"/>
      <c r="P515" t="s">
        <v>704</v>
      </c>
      <c r="Q515" s="1" t="e">
        <f t="shared" si="18"/>
        <v>#REF!</v>
      </c>
      <c r="S515" s="11" t="s">
        <v>1036</v>
      </c>
    </row>
    <row r="516" spans="1:19" x14ac:dyDescent="0.25">
      <c r="A516" t="s">
        <v>1021</v>
      </c>
      <c r="B516" t="s">
        <v>13</v>
      </c>
      <c r="C516" s="12">
        <v>46043</v>
      </c>
      <c r="D516" s="12">
        <v>46194</v>
      </c>
      <c r="E516" t="s">
        <v>775</v>
      </c>
      <c r="F516" t="s">
        <v>14</v>
      </c>
      <c r="G516">
        <v>1085317226</v>
      </c>
      <c r="H516" t="s">
        <v>271</v>
      </c>
      <c r="I516">
        <v>98333941</v>
      </c>
      <c r="J516" t="s">
        <v>14</v>
      </c>
      <c r="K516" t="s">
        <v>15</v>
      </c>
      <c r="L516" s="1" t="e">
        <f>VLOOKUP(A516,#REF!,2,0)</f>
        <v>#REF!</v>
      </c>
      <c r="M516" s="1">
        <v>3150000</v>
      </c>
      <c r="N516" s="10">
        <v>15750000</v>
      </c>
      <c r="O516" s="10"/>
      <c r="P516" t="s">
        <v>704</v>
      </c>
      <c r="Q516" s="1" t="e">
        <f t="shared" si="18"/>
        <v>#REF!</v>
      </c>
      <c r="S516" s="11" t="s">
        <v>1036</v>
      </c>
    </row>
    <row r="517" spans="1:19" x14ac:dyDescent="0.25">
      <c r="A517" t="s">
        <v>1184</v>
      </c>
      <c r="B517" t="s">
        <v>13</v>
      </c>
      <c r="C517" s="12">
        <v>46043</v>
      </c>
      <c r="D517" s="12">
        <v>46194</v>
      </c>
      <c r="E517" t="s">
        <v>775</v>
      </c>
      <c r="F517" t="s">
        <v>14</v>
      </c>
      <c r="G517">
        <v>27549932</v>
      </c>
      <c r="H517" t="s">
        <v>931</v>
      </c>
      <c r="I517">
        <v>43624414</v>
      </c>
      <c r="J517" t="s">
        <v>14</v>
      </c>
      <c r="K517" t="s">
        <v>18</v>
      </c>
      <c r="L517" s="1" t="e">
        <f>VLOOKUP(A517,#REF!,2,0)</f>
        <v>#REF!</v>
      </c>
      <c r="M517" s="1">
        <v>0</v>
      </c>
      <c r="N517" s="10">
        <v>15750000</v>
      </c>
      <c r="O517" s="10"/>
      <c r="P517" t="s">
        <v>704</v>
      </c>
      <c r="Q517" s="1" t="e">
        <f t="shared" si="18"/>
        <v>#REF!</v>
      </c>
      <c r="S517" s="11" t="s">
        <v>1036</v>
      </c>
    </row>
    <row r="518" spans="1:19" x14ac:dyDescent="0.25">
      <c r="A518" t="s">
        <v>1185</v>
      </c>
      <c r="B518" t="s">
        <v>13</v>
      </c>
      <c r="C518" s="12">
        <v>46043</v>
      </c>
      <c r="D518" s="12">
        <v>46074</v>
      </c>
      <c r="E518" t="s">
        <v>775</v>
      </c>
      <c r="F518" t="s">
        <v>14</v>
      </c>
      <c r="G518">
        <v>1085346528</v>
      </c>
      <c r="H518" t="s">
        <v>385</v>
      </c>
      <c r="I518">
        <v>43624414</v>
      </c>
      <c r="J518" t="s">
        <v>14</v>
      </c>
      <c r="K518" t="s">
        <v>18</v>
      </c>
      <c r="L518" s="1" t="e">
        <f>VLOOKUP(A518,#REF!,2,0)</f>
        <v>#REF!</v>
      </c>
      <c r="M518" s="1">
        <v>3150000</v>
      </c>
      <c r="N518" s="10">
        <v>3150000</v>
      </c>
      <c r="O518" s="10"/>
      <c r="P518" t="s">
        <v>704</v>
      </c>
      <c r="Q518" s="1" t="e">
        <f t="shared" si="18"/>
        <v>#REF!</v>
      </c>
      <c r="S518" s="11" t="s">
        <v>1036</v>
      </c>
    </row>
    <row r="519" spans="1:19" x14ac:dyDescent="0.25">
      <c r="A519" t="s">
        <v>1186</v>
      </c>
      <c r="B519" t="s">
        <v>13</v>
      </c>
      <c r="C519" s="12">
        <v>46043</v>
      </c>
      <c r="D519" s="12">
        <v>46194</v>
      </c>
      <c r="E519" t="s">
        <v>775</v>
      </c>
      <c r="F519" t="s">
        <v>14</v>
      </c>
      <c r="G519">
        <v>1010099104</v>
      </c>
      <c r="H519" t="s">
        <v>635</v>
      </c>
      <c r="I519">
        <v>59836926</v>
      </c>
      <c r="J519" t="s">
        <v>14</v>
      </c>
      <c r="K519" t="s">
        <v>17</v>
      </c>
      <c r="L519" s="1" t="e">
        <f>VLOOKUP(A519,#REF!,2,0)</f>
        <v>#REF!</v>
      </c>
      <c r="M519" s="1">
        <v>0</v>
      </c>
      <c r="N519" s="10">
        <v>15750000</v>
      </c>
      <c r="O519" s="10"/>
      <c r="P519" t="s">
        <v>704</v>
      </c>
      <c r="Q519" s="1" t="e">
        <f t="shared" si="18"/>
        <v>#REF!</v>
      </c>
      <c r="S519" s="11" t="s">
        <v>1036</v>
      </c>
    </row>
    <row r="520" spans="1:19" x14ac:dyDescent="0.25">
      <c r="A520" t="s">
        <v>1187</v>
      </c>
      <c r="B520" t="s">
        <v>13</v>
      </c>
      <c r="C520" s="12">
        <v>46043</v>
      </c>
      <c r="D520" s="12">
        <v>46194</v>
      </c>
      <c r="E520" t="s">
        <v>775</v>
      </c>
      <c r="F520" t="s">
        <v>14</v>
      </c>
      <c r="G520">
        <v>27253636</v>
      </c>
      <c r="H520" t="s">
        <v>468</v>
      </c>
      <c r="I520">
        <v>98390119</v>
      </c>
      <c r="J520" t="s">
        <v>14</v>
      </c>
      <c r="K520" t="s">
        <v>63</v>
      </c>
      <c r="L520" s="1" t="e">
        <f>VLOOKUP(A520,#REF!,2,0)</f>
        <v>#REF!</v>
      </c>
      <c r="M520" s="1">
        <v>0</v>
      </c>
      <c r="N520" s="10">
        <v>15750000</v>
      </c>
      <c r="O520" s="10"/>
      <c r="P520" t="s">
        <v>704</v>
      </c>
      <c r="Q520" s="1" t="e">
        <f t="shared" si="18"/>
        <v>#REF!</v>
      </c>
      <c r="S520" s="11" t="s">
        <v>1036</v>
      </c>
    </row>
    <row r="521" spans="1:19" x14ac:dyDescent="0.25">
      <c r="A521" t="s">
        <v>1188</v>
      </c>
      <c r="B521" t="s">
        <v>13</v>
      </c>
      <c r="C521" s="12">
        <v>46043</v>
      </c>
      <c r="D521" s="12">
        <v>46194</v>
      </c>
      <c r="E521" t="s">
        <v>775</v>
      </c>
      <c r="F521" t="s">
        <v>14</v>
      </c>
      <c r="G521">
        <v>1089291166</v>
      </c>
      <c r="H521" t="s">
        <v>429</v>
      </c>
      <c r="I521">
        <v>98333941</v>
      </c>
      <c r="J521" t="s">
        <v>14</v>
      </c>
      <c r="K521" t="s">
        <v>15</v>
      </c>
      <c r="L521" s="1" t="e">
        <f>VLOOKUP(A521,#REF!,2,0)</f>
        <v>#REF!</v>
      </c>
      <c r="M521" s="1">
        <v>0</v>
      </c>
      <c r="N521" s="10">
        <v>15750000</v>
      </c>
      <c r="O521" s="10"/>
      <c r="P521" t="s">
        <v>704</v>
      </c>
      <c r="Q521" s="1" t="e">
        <f t="shared" si="18"/>
        <v>#REF!</v>
      </c>
      <c r="S521" s="11" t="s">
        <v>1036</v>
      </c>
    </row>
    <row r="522" spans="1:19" x14ac:dyDescent="0.25">
      <c r="A522" t="s">
        <v>1189</v>
      </c>
      <c r="B522" t="s">
        <v>13</v>
      </c>
      <c r="C522" s="12">
        <v>46043</v>
      </c>
      <c r="D522" s="12">
        <v>46133</v>
      </c>
      <c r="E522" t="s">
        <v>744</v>
      </c>
      <c r="F522" t="s">
        <v>14</v>
      </c>
      <c r="G522">
        <v>87065647</v>
      </c>
      <c r="H522" t="s">
        <v>410</v>
      </c>
      <c r="I522">
        <v>59836926</v>
      </c>
      <c r="J522" t="s">
        <v>14</v>
      </c>
      <c r="K522" t="s">
        <v>17</v>
      </c>
      <c r="L522" s="1" t="e">
        <f>VLOOKUP(A522,#REF!,2,0)</f>
        <v>#REF!</v>
      </c>
      <c r="M522" s="1">
        <v>0</v>
      </c>
      <c r="N522" s="10">
        <v>23400000</v>
      </c>
      <c r="O522" s="10"/>
      <c r="P522" t="s">
        <v>704</v>
      </c>
      <c r="Q522" s="1" t="e">
        <f t="shared" si="18"/>
        <v>#REF!</v>
      </c>
      <c r="S522" s="11" t="s">
        <v>1036</v>
      </c>
    </row>
    <row r="523" spans="1:19" x14ac:dyDescent="0.25">
      <c r="A523" t="s">
        <v>1190</v>
      </c>
      <c r="B523" t="s">
        <v>13</v>
      </c>
      <c r="C523" s="12">
        <v>46043</v>
      </c>
      <c r="D523" s="12">
        <v>46194</v>
      </c>
      <c r="E523" t="s">
        <v>775</v>
      </c>
      <c r="F523" t="s">
        <v>14</v>
      </c>
      <c r="G523">
        <v>1004236159</v>
      </c>
      <c r="H523" t="s">
        <v>202</v>
      </c>
      <c r="I523">
        <v>98333941</v>
      </c>
      <c r="J523" t="s">
        <v>14</v>
      </c>
      <c r="K523" t="s">
        <v>15</v>
      </c>
      <c r="L523" s="1" t="e">
        <f>VLOOKUP(A523,#REF!,2,0)</f>
        <v>#REF!</v>
      </c>
      <c r="M523" s="1">
        <v>0</v>
      </c>
      <c r="N523" s="10">
        <v>15750000</v>
      </c>
      <c r="O523" s="10"/>
      <c r="P523" t="s">
        <v>704</v>
      </c>
      <c r="Q523" s="1" t="e">
        <f t="shared" si="18"/>
        <v>#REF!</v>
      </c>
      <c r="S523" s="11" t="s">
        <v>1036</v>
      </c>
    </row>
    <row r="524" spans="1:19" x14ac:dyDescent="0.25">
      <c r="A524" t="s">
        <v>1191</v>
      </c>
      <c r="B524" t="s">
        <v>13</v>
      </c>
      <c r="C524" s="12">
        <v>46043</v>
      </c>
      <c r="D524" s="12">
        <v>46194</v>
      </c>
      <c r="E524" t="s">
        <v>775</v>
      </c>
      <c r="F524" t="s">
        <v>14</v>
      </c>
      <c r="G524">
        <v>1085331558</v>
      </c>
      <c r="H524" t="s">
        <v>314</v>
      </c>
      <c r="I524">
        <v>98390119</v>
      </c>
      <c r="J524" t="s">
        <v>14</v>
      </c>
      <c r="K524" t="s">
        <v>63</v>
      </c>
      <c r="L524" s="1" t="e">
        <f>VLOOKUP(A524,#REF!,2,0)</f>
        <v>#REF!</v>
      </c>
      <c r="M524" s="1">
        <v>0</v>
      </c>
      <c r="N524" s="10">
        <v>15750000</v>
      </c>
      <c r="O524" s="10"/>
      <c r="P524" t="s">
        <v>704</v>
      </c>
      <c r="Q524" s="1" t="e">
        <f t="shared" si="18"/>
        <v>#REF!</v>
      </c>
      <c r="S524" s="11" t="s">
        <v>1036</v>
      </c>
    </row>
    <row r="525" spans="1:19" x14ac:dyDescent="0.25">
      <c r="A525" t="s">
        <v>1192</v>
      </c>
      <c r="B525" t="s">
        <v>13</v>
      </c>
      <c r="C525" s="12">
        <v>46043</v>
      </c>
      <c r="D525" s="12">
        <v>46194</v>
      </c>
      <c r="E525" t="s">
        <v>775</v>
      </c>
      <c r="F525" t="s">
        <v>14</v>
      </c>
      <c r="G525">
        <v>1081592742</v>
      </c>
      <c r="H525" t="s">
        <v>656</v>
      </c>
      <c r="I525">
        <v>98333941</v>
      </c>
      <c r="J525" t="s">
        <v>14</v>
      </c>
      <c r="K525" t="s">
        <v>15</v>
      </c>
      <c r="L525" s="1" t="e">
        <f>VLOOKUP(A525,#REF!,2,0)</f>
        <v>#REF!</v>
      </c>
      <c r="M525" s="1">
        <v>0</v>
      </c>
      <c r="N525" s="10">
        <v>15750000</v>
      </c>
      <c r="O525" s="10"/>
      <c r="P525" t="s">
        <v>704</v>
      </c>
      <c r="Q525" s="1" t="e">
        <f t="shared" si="18"/>
        <v>#REF!</v>
      </c>
      <c r="S525" s="11" t="s">
        <v>1036</v>
      </c>
    </row>
    <row r="526" spans="1:19" x14ac:dyDescent="0.25">
      <c r="A526" t="s">
        <v>1193</v>
      </c>
      <c r="B526" t="s">
        <v>13</v>
      </c>
      <c r="C526" s="12">
        <v>46043</v>
      </c>
      <c r="D526" s="12">
        <v>46133</v>
      </c>
      <c r="E526" t="s">
        <v>775</v>
      </c>
      <c r="F526" t="s">
        <v>14</v>
      </c>
      <c r="G526">
        <v>1137089268</v>
      </c>
      <c r="H526" t="s">
        <v>623</v>
      </c>
      <c r="I526">
        <v>59836926</v>
      </c>
      <c r="J526" t="s">
        <v>14</v>
      </c>
      <c r="K526" t="s">
        <v>17</v>
      </c>
      <c r="L526" s="1" t="e">
        <f>VLOOKUP(A526,#REF!,2,0)</f>
        <v>#REF!</v>
      </c>
      <c r="M526" s="1">
        <v>3150000</v>
      </c>
      <c r="N526" s="10">
        <v>9450000</v>
      </c>
      <c r="O526" s="10"/>
      <c r="P526" t="s">
        <v>704</v>
      </c>
      <c r="Q526" s="1" t="e">
        <f t="shared" si="18"/>
        <v>#REF!</v>
      </c>
      <c r="S526" s="11" t="s">
        <v>1036</v>
      </c>
    </row>
    <row r="527" spans="1:19" x14ac:dyDescent="0.25">
      <c r="A527" t="s">
        <v>1194</v>
      </c>
      <c r="B527" t="s">
        <v>13</v>
      </c>
      <c r="C527" s="12">
        <v>46043</v>
      </c>
      <c r="D527" s="12">
        <v>46133</v>
      </c>
      <c r="E527" t="s">
        <v>775</v>
      </c>
      <c r="F527" t="s">
        <v>14</v>
      </c>
      <c r="G527">
        <v>1088216350</v>
      </c>
      <c r="H527" t="s">
        <v>333</v>
      </c>
      <c r="I527">
        <v>43624414</v>
      </c>
      <c r="J527" t="s">
        <v>14</v>
      </c>
      <c r="K527" t="s">
        <v>18</v>
      </c>
      <c r="L527" s="1" t="e">
        <f>VLOOKUP(A527,#REF!,2,0)</f>
        <v>#REF!</v>
      </c>
      <c r="M527" s="1">
        <v>3150000</v>
      </c>
      <c r="N527" s="10">
        <v>9450000</v>
      </c>
      <c r="O527" s="10"/>
      <c r="P527" t="s">
        <v>704</v>
      </c>
      <c r="Q527" s="1" t="e">
        <f t="shared" si="18"/>
        <v>#REF!</v>
      </c>
      <c r="S527" s="11" t="s">
        <v>1036</v>
      </c>
    </row>
    <row r="528" spans="1:19" x14ac:dyDescent="0.25">
      <c r="A528" t="s">
        <v>1195</v>
      </c>
      <c r="B528" t="s">
        <v>13</v>
      </c>
      <c r="C528" s="12">
        <v>46043</v>
      </c>
      <c r="D528" s="12">
        <v>46133</v>
      </c>
      <c r="E528" t="s">
        <v>775</v>
      </c>
      <c r="F528" t="s">
        <v>14</v>
      </c>
      <c r="G528">
        <v>1086222977</v>
      </c>
      <c r="H528" t="s">
        <v>872</v>
      </c>
      <c r="I528">
        <v>98333941</v>
      </c>
      <c r="J528" t="s">
        <v>14</v>
      </c>
      <c r="K528" t="s">
        <v>15</v>
      </c>
      <c r="L528" s="1" t="e">
        <f>VLOOKUP(A528,#REF!,2,0)</f>
        <v>#REF!</v>
      </c>
      <c r="M528" s="1">
        <v>0</v>
      </c>
      <c r="N528" s="10">
        <v>9450000</v>
      </c>
      <c r="O528" s="10"/>
      <c r="P528" t="s">
        <v>704</v>
      </c>
      <c r="Q528" s="1" t="e">
        <f t="shared" si="18"/>
        <v>#REF!</v>
      </c>
      <c r="S528" s="11" t="s">
        <v>1036</v>
      </c>
    </row>
    <row r="529" spans="1:19" x14ac:dyDescent="0.25">
      <c r="A529" t="s">
        <v>1196</v>
      </c>
      <c r="B529" t="s">
        <v>13</v>
      </c>
      <c r="C529" s="12">
        <v>46043</v>
      </c>
      <c r="D529" s="12">
        <v>46133</v>
      </c>
      <c r="E529" t="s">
        <v>775</v>
      </c>
      <c r="F529" t="s">
        <v>14</v>
      </c>
      <c r="G529">
        <v>1192717330</v>
      </c>
      <c r="H529" t="s">
        <v>58</v>
      </c>
      <c r="I529">
        <v>43624414</v>
      </c>
      <c r="J529" t="s">
        <v>14</v>
      </c>
      <c r="K529" t="s">
        <v>18</v>
      </c>
      <c r="L529" s="1" t="e">
        <f>VLOOKUP(A529,#REF!,2,0)</f>
        <v>#REF!</v>
      </c>
      <c r="M529" s="1">
        <v>0</v>
      </c>
      <c r="N529" s="10">
        <v>9450000</v>
      </c>
      <c r="O529" s="10"/>
      <c r="P529" t="s">
        <v>704</v>
      </c>
      <c r="Q529" s="1" t="e">
        <f t="shared" si="18"/>
        <v>#REF!</v>
      </c>
      <c r="S529" s="11" t="s">
        <v>1036</v>
      </c>
    </row>
    <row r="530" spans="1:19" x14ac:dyDescent="0.25">
      <c r="A530" t="s">
        <v>1197</v>
      </c>
      <c r="B530" t="s">
        <v>13</v>
      </c>
      <c r="C530" s="12">
        <v>46043</v>
      </c>
      <c r="D530" s="12">
        <v>46194</v>
      </c>
      <c r="E530" t="s">
        <v>775</v>
      </c>
      <c r="F530" t="s">
        <v>14</v>
      </c>
      <c r="G530">
        <v>1085247449</v>
      </c>
      <c r="H530" t="s">
        <v>498</v>
      </c>
      <c r="I530">
        <v>98333941</v>
      </c>
      <c r="J530" t="s">
        <v>14</v>
      </c>
      <c r="K530" t="s">
        <v>15</v>
      </c>
      <c r="L530" s="1" t="e">
        <f>VLOOKUP(A530,#REF!,2,0)</f>
        <v>#REF!</v>
      </c>
      <c r="M530" s="1">
        <v>0</v>
      </c>
      <c r="N530" s="10">
        <v>15750000</v>
      </c>
      <c r="O530" s="10"/>
      <c r="P530" t="s">
        <v>704</v>
      </c>
      <c r="Q530" s="1" t="e">
        <f t="shared" ref="Q530:Q593" si="19">N530-L530</f>
        <v>#REF!</v>
      </c>
      <c r="S530" s="11" t="s">
        <v>1036</v>
      </c>
    </row>
    <row r="531" spans="1:19" x14ac:dyDescent="0.25">
      <c r="A531" t="s">
        <v>1198</v>
      </c>
      <c r="B531" t="s">
        <v>13</v>
      </c>
      <c r="C531" s="12">
        <v>46043</v>
      </c>
      <c r="D531" s="12">
        <v>46133</v>
      </c>
      <c r="E531" t="s">
        <v>775</v>
      </c>
      <c r="F531" t="s">
        <v>14</v>
      </c>
      <c r="G531">
        <v>1085335033</v>
      </c>
      <c r="H531" t="s">
        <v>650</v>
      </c>
      <c r="I531">
        <v>98333941</v>
      </c>
      <c r="J531" t="s">
        <v>14</v>
      </c>
      <c r="K531" t="s">
        <v>15</v>
      </c>
      <c r="L531" s="1" t="e">
        <f>VLOOKUP(A531,#REF!,2,0)</f>
        <v>#REF!</v>
      </c>
      <c r="M531" s="1">
        <v>0</v>
      </c>
      <c r="N531" s="10">
        <v>9450000</v>
      </c>
      <c r="O531" s="10"/>
      <c r="P531" t="s">
        <v>704</v>
      </c>
      <c r="Q531" s="1" t="e">
        <f t="shared" si="19"/>
        <v>#REF!</v>
      </c>
      <c r="S531" s="11" t="s">
        <v>1036</v>
      </c>
    </row>
    <row r="532" spans="1:19" x14ac:dyDescent="0.25">
      <c r="A532" t="s">
        <v>1199</v>
      </c>
      <c r="B532" t="s">
        <v>13</v>
      </c>
      <c r="C532" s="12">
        <v>46043</v>
      </c>
      <c r="D532" s="12">
        <v>46074</v>
      </c>
      <c r="E532" t="s">
        <v>775</v>
      </c>
      <c r="F532" t="s">
        <v>14</v>
      </c>
      <c r="G532">
        <v>1088799080</v>
      </c>
      <c r="H532" t="s">
        <v>157</v>
      </c>
      <c r="I532">
        <v>43624414</v>
      </c>
      <c r="J532" t="s">
        <v>14</v>
      </c>
      <c r="K532" t="s">
        <v>18</v>
      </c>
      <c r="L532" s="1" t="e">
        <f>VLOOKUP(A532,#REF!,2,0)</f>
        <v>#REF!</v>
      </c>
      <c r="M532" s="1">
        <v>0</v>
      </c>
      <c r="N532" s="10">
        <v>3150000</v>
      </c>
      <c r="O532" s="10"/>
      <c r="P532" t="s">
        <v>704</v>
      </c>
      <c r="Q532" s="1" t="e">
        <f t="shared" si="19"/>
        <v>#REF!</v>
      </c>
      <c r="S532" s="11" t="s">
        <v>1036</v>
      </c>
    </row>
    <row r="533" spans="1:19" x14ac:dyDescent="0.25">
      <c r="A533" t="s">
        <v>1200</v>
      </c>
      <c r="B533" t="s">
        <v>13</v>
      </c>
      <c r="C533" s="12">
        <v>46043</v>
      </c>
      <c r="D533" s="12">
        <v>46133</v>
      </c>
      <c r="E533" t="s">
        <v>775</v>
      </c>
      <c r="F533" t="s">
        <v>14</v>
      </c>
      <c r="G533">
        <v>1004547484</v>
      </c>
      <c r="H533" t="s">
        <v>874</v>
      </c>
      <c r="I533">
        <v>98333941</v>
      </c>
      <c r="J533" t="s">
        <v>14</v>
      </c>
      <c r="K533" t="s">
        <v>15</v>
      </c>
      <c r="L533" s="1" t="e">
        <f>VLOOKUP(A533,#REF!,2,0)</f>
        <v>#REF!</v>
      </c>
      <c r="M533" s="1">
        <v>0</v>
      </c>
      <c r="N533" s="10">
        <v>9450000</v>
      </c>
      <c r="O533" s="10"/>
      <c r="P533" t="s">
        <v>704</v>
      </c>
      <c r="Q533" s="1" t="e">
        <f t="shared" si="19"/>
        <v>#REF!</v>
      </c>
      <c r="S533" s="11" t="s">
        <v>1036</v>
      </c>
    </row>
    <row r="534" spans="1:19" x14ac:dyDescent="0.25">
      <c r="A534" t="s">
        <v>1201</v>
      </c>
      <c r="B534" t="s">
        <v>13</v>
      </c>
      <c r="C534" s="12">
        <v>46043</v>
      </c>
      <c r="D534" s="12">
        <v>46133</v>
      </c>
      <c r="E534" t="s">
        <v>775</v>
      </c>
      <c r="F534" t="s">
        <v>14</v>
      </c>
      <c r="G534">
        <v>1080693240</v>
      </c>
      <c r="H534" t="s">
        <v>139</v>
      </c>
      <c r="I534">
        <v>59836926</v>
      </c>
      <c r="J534" t="s">
        <v>14</v>
      </c>
      <c r="K534" t="s">
        <v>17</v>
      </c>
      <c r="L534" s="1" t="e">
        <f>VLOOKUP(A534,#REF!,2,0)</f>
        <v>#REF!</v>
      </c>
      <c r="M534" s="1">
        <v>3150000</v>
      </c>
      <c r="N534" s="10">
        <v>9450000</v>
      </c>
      <c r="O534" s="10"/>
      <c r="P534" t="s">
        <v>704</v>
      </c>
      <c r="Q534" s="1" t="e">
        <f t="shared" si="19"/>
        <v>#REF!</v>
      </c>
      <c r="S534" s="11" t="s">
        <v>1036</v>
      </c>
    </row>
    <row r="535" spans="1:19" x14ac:dyDescent="0.25">
      <c r="A535" t="s">
        <v>1202</v>
      </c>
      <c r="B535" t="s">
        <v>13</v>
      </c>
      <c r="C535" s="12">
        <v>46044</v>
      </c>
      <c r="D535" s="12">
        <v>46075</v>
      </c>
      <c r="E535" t="s">
        <v>775</v>
      </c>
      <c r="F535" t="s">
        <v>14</v>
      </c>
      <c r="G535">
        <v>36861874</v>
      </c>
      <c r="H535" t="s">
        <v>50</v>
      </c>
      <c r="I535">
        <v>98390119</v>
      </c>
      <c r="J535" t="s">
        <v>14</v>
      </c>
      <c r="K535" t="s">
        <v>63</v>
      </c>
      <c r="L535" s="1" t="e">
        <f>VLOOKUP(A535,#REF!,2,0)</f>
        <v>#REF!</v>
      </c>
      <c r="M535" s="1">
        <v>0</v>
      </c>
      <c r="N535" s="10">
        <v>3150000</v>
      </c>
      <c r="O535" s="10"/>
      <c r="P535" t="s">
        <v>704</v>
      </c>
      <c r="Q535" s="1" t="e">
        <f t="shared" si="19"/>
        <v>#REF!</v>
      </c>
      <c r="S535" s="11" t="s">
        <v>1036</v>
      </c>
    </row>
    <row r="536" spans="1:19" x14ac:dyDescent="0.25">
      <c r="A536" t="s">
        <v>1203</v>
      </c>
      <c r="B536" t="s">
        <v>13</v>
      </c>
      <c r="C536" s="12">
        <v>46044</v>
      </c>
      <c r="D536" s="12">
        <v>46134</v>
      </c>
      <c r="E536" t="s">
        <v>775</v>
      </c>
      <c r="F536" t="s">
        <v>14</v>
      </c>
      <c r="G536">
        <v>1086358836</v>
      </c>
      <c r="H536" t="s">
        <v>512</v>
      </c>
      <c r="I536">
        <v>98333941</v>
      </c>
      <c r="J536" t="s">
        <v>14</v>
      </c>
      <c r="K536" t="s">
        <v>15</v>
      </c>
      <c r="L536" s="1" t="e">
        <f>VLOOKUP(A536,#REF!,2,0)</f>
        <v>#REF!</v>
      </c>
      <c r="M536" s="1">
        <v>0</v>
      </c>
      <c r="N536" s="10">
        <v>9450000</v>
      </c>
      <c r="O536" s="10"/>
      <c r="P536" t="s">
        <v>704</v>
      </c>
      <c r="Q536" s="1" t="e">
        <f t="shared" si="19"/>
        <v>#REF!</v>
      </c>
      <c r="S536" s="11" t="s">
        <v>1036</v>
      </c>
    </row>
    <row r="537" spans="1:19" x14ac:dyDescent="0.25">
      <c r="A537" t="s">
        <v>1204</v>
      </c>
      <c r="B537" t="s">
        <v>13</v>
      </c>
      <c r="C537" s="12">
        <v>46044</v>
      </c>
      <c r="D537" s="12">
        <v>46134</v>
      </c>
      <c r="E537" t="s">
        <v>793</v>
      </c>
      <c r="F537" t="s">
        <v>14</v>
      </c>
      <c r="G537">
        <v>1010113730</v>
      </c>
      <c r="H537" t="s">
        <v>521</v>
      </c>
      <c r="I537">
        <v>98333941</v>
      </c>
      <c r="J537" t="s">
        <v>14</v>
      </c>
      <c r="K537" t="s">
        <v>15</v>
      </c>
      <c r="L537" s="1" t="e">
        <f>VLOOKUP(A537,#REF!,2,0)</f>
        <v>#REF!</v>
      </c>
      <c r="M537" s="1">
        <v>0</v>
      </c>
      <c r="N537" s="10">
        <v>6000000</v>
      </c>
      <c r="O537" s="10"/>
      <c r="P537" t="s">
        <v>704</v>
      </c>
      <c r="Q537" s="1" t="e">
        <f t="shared" si="19"/>
        <v>#REF!</v>
      </c>
      <c r="S537" s="11" t="s">
        <v>1036</v>
      </c>
    </row>
    <row r="538" spans="1:19" x14ac:dyDescent="0.25">
      <c r="A538" t="s">
        <v>1205</v>
      </c>
      <c r="B538" t="s">
        <v>13</v>
      </c>
      <c r="C538" s="12">
        <v>46044</v>
      </c>
      <c r="D538" s="12">
        <v>46134</v>
      </c>
      <c r="E538" t="s">
        <v>775</v>
      </c>
      <c r="F538" t="s">
        <v>14</v>
      </c>
      <c r="G538">
        <v>1081052746</v>
      </c>
      <c r="H538" t="s">
        <v>376</v>
      </c>
      <c r="I538">
        <v>98333941</v>
      </c>
      <c r="J538" t="s">
        <v>14</v>
      </c>
      <c r="K538" t="s">
        <v>15</v>
      </c>
      <c r="L538" s="1" t="e">
        <f>VLOOKUP(A538,#REF!,2,0)</f>
        <v>#REF!</v>
      </c>
      <c r="M538" s="1">
        <v>0</v>
      </c>
      <c r="N538" s="10">
        <v>9450000</v>
      </c>
      <c r="O538" s="10"/>
      <c r="P538" t="s">
        <v>704</v>
      </c>
      <c r="Q538" s="1" t="e">
        <f t="shared" si="19"/>
        <v>#REF!</v>
      </c>
      <c r="S538" s="11" t="s">
        <v>1036</v>
      </c>
    </row>
    <row r="539" spans="1:19" x14ac:dyDescent="0.25">
      <c r="A539" t="s">
        <v>1206</v>
      </c>
      <c r="B539" t="s">
        <v>13</v>
      </c>
      <c r="C539" s="12">
        <v>46044</v>
      </c>
      <c r="D539" s="12">
        <v>46134</v>
      </c>
      <c r="E539" t="s">
        <v>793</v>
      </c>
      <c r="F539" t="s">
        <v>14</v>
      </c>
      <c r="G539">
        <v>37083933</v>
      </c>
      <c r="H539" t="s">
        <v>305</v>
      </c>
      <c r="I539">
        <v>43624414</v>
      </c>
      <c r="J539" t="s">
        <v>14</v>
      </c>
      <c r="K539" t="s">
        <v>18</v>
      </c>
      <c r="L539" s="1" t="e">
        <f>VLOOKUP(A539,#REF!,2,0)</f>
        <v>#REF!</v>
      </c>
      <c r="M539" s="1">
        <v>0</v>
      </c>
      <c r="N539" s="10">
        <v>6000000</v>
      </c>
      <c r="O539" s="10"/>
      <c r="P539" t="s">
        <v>704</v>
      </c>
      <c r="Q539" s="1" t="e">
        <f t="shared" si="19"/>
        <v>#REF!</v>
      </c>
      <c r="S539" s="11" t="s">
        <v>1036</v>
      </c>
    </row>
    <row r="540" spans="1:19" x14ac:dyDescent="0.25">
      <c r="A540" t="s">
        <v>1207</v>
      </c>
      <c r="B540" t="s">
        <v>13</v>
      </c>
      <c r="C540" s="12">
        <v>46044</v>
      </c>
      <c r="D540" s="12">
        <v>46195</v>
      </c>
      <c r="E540" t="s">
        <v>775</v>
      </c>
      <c r="F540" t="s">
        <v>14</v>
      </c>
      <c r="G540">
        <v>59310056</v>
      </c>
      <c r="H540" t="s">
        <v>105</v>
      </c>
      <c r="I540">
        <v>98333941</v>
      </c>
      <c r="J540" t="s">
        <v>14</v>
      </c>
      <c r="K540" t="s">
        <v>15</v>
      </c>
      <c r="L540" s="1" t="e">
        <f>VLOOKUP(A540,#REF!,2,0)</f>
        <v>#REF!</v>
      </c>
      <c r="M540" s="1">
        <v>0</v>
      </c>
      <c r="N540" s="10">
        <v>15750000</v>
      </c>
      <c r="O540" s="10"/>
      <c r="P540" t="s">
        <v>704</v>
      </c>
      <c r="Q540" s="1" t="e">
        <f t="shared" si="19"/>
        <v>#REF!</v>
      </c>
      <c r="S540" s="11" t="s">
        <v>1036</v>
      </c>
    </row>
    <row r="541" spans="1:19" x14ac:dyDescent="0.25">
      <c r="A541" t="s">
        <v>1208</v>
      </c>
      <c r="B541" t="s">
        <v>13</v>
      </c>
      <c r="C541" s="12">
        <v>46044</v>
      </c>
      <c r="D541" s="12">
        <v>46134</v>
      </c>
      <c r="E541" t="s">
        <v>775</v>
      </c>
      <c r="F541" t="s">
        <v>14</v>
      </c>
      <c r="G541">
        <v>1089975658</v>
      </c>
      <c r="H541" t="s">
        <v>620</v>
      </c>
      <c r="I541">
        <v>59836926</v>
      </c>
      <c r="J541" t="s">
        <v>14</v>
      </c>
      <c r="K541" t="s">
        <v>17</v>
      </c>
      <c r="L541" s="1" t="e">
        <f>VLOOKUP(A541,#REF!,2,0)</f>
        <v>#REF!</v>
      </c>
      <c r="M541" s="1">
        <v>3150000</v>
      </c>
      <c r="N541" s="10">
        <v>9450000</v>
      </c>
      <c r="O541" s="10"/>
      <c r="P541" t="s">
        <v>704</v>
      </c>
      <c r="Q541" s="1" t="e">
        <f t="shared" si="19"/>
        <v>#REF!</v>
      </c>
      <c r="S541" s="11" t="s">
        <v>1036</v>
      </c>
    </row>
    <row r="542" spans="1:19" x14ac:dyDescent="0.25">
      <c r="A542" t="s">
        <v>1209</v>
      </c>
      <c r="B542" t="s">
        <v>13</v>
      </c>
      <c r="C542" s="12">
        <v>46044</v>
      </c>
      <c r="D542" s="12">
        <v>46134</v>
      </c>
      <c r="E542" t="s">
        <v>793</v>
      </c>
      <c r="F542" t="s">
        <v>14</v>
      </c>
      <c r="G542">
        <v>1085327836</v>
      </c>
      <c r="H542" t="s">
        <v>77</v>
      </c>
      <c r="I542">
        <v>43624414</v>
      </c>
      <c r="J542" t="s">
        <v>14</v>
      </c>
      <c r="K542" t="s">
        <v>18</v>
      </c>
      <c r="L542" s="1" t="e">
        <f>VLOOKUP(A542,#REF!,2,0)</f>
        <v>#REF!</v>
      </c>
      <c r="M542" s="1">
        <v>2000000</v>
      </c>
      <c r="N542" s="10">
        <v>6000000</v>
      </c>
      <c r="O542" s="10"/>
      <c r="P542" t="s">
        <v>704</v>
      </c>
      <c r="Q542" s="1" t="e">
        <f t="shared" si="19"/>
        <v>#REF!</v>
      </c>
      <c r="S542" s="11" t="s">
        <v>1036</v>
      </c>
    </row>
    <row r="543" spans="1:19" x14ac:dyDescent="0.25">
      <c r="A543" t="s">
        <v>1210</v>
      </c>
      <c r="B543" t="s">
        <v>13</v>
      </c>
      <c r="C543" s="12">
        <v>46044</v>
      </c>
      <c r="D543" s="12">
        <v>46195</v>
      </c>
      <c r="E543" t="s">
        <v>775</v>
      </c>
      <c r="F543" t="s">
        <v>14</v>
      </c>
      <c r="G543">
        <v>1085323163</v>
      </c>
      <c r="H543" t="s">
        <v>598</v>
      </c>
      <c r="I543">
        <v>98390119</v>
      </c>
      <c r="J543" t="s">
        <v>14</v>
      </c>
      <c r="K543" t="s">
        <v>63</v>
      </c>
      <c r="L543" s="1" t="e">
        <f>VLOOKUP(A543,#REF!,2,0)</f>
        <v>#REF!</v>
      </c>
      <c r="M543" s="1">
        <v>0</v>
      </c>
      <c r="N543" s="10">
        <v>15750000</v>
      </c>
      <c r="O543" s="10"/>
      <c r="P543" t="s">
        <v>704</v>
      </c>
      <c r="Q543" s="1" t="e">
        <f t="shared" si="19"/>
        <v>#REF!</v>
      </c>
      <c r="S543" s="11" t="s">
        <v>1036</v>
      </c>
    </row>
    <row r="544" spans="1:19" x14ac:dyDescent="0.25">
      <c r="A544" t="s">
        <v>1211</v>
      </c>
      <c r="B544" t="s">
        <v>13</v>
      </c>
      <c r="C544" s="12">
        <v>46044</v>
      </c>
      <c r="D544" s="12">
        <v>46134</v>
      </c>
      <c r="E544" t="s">
        <v>793</v>
      </c>
      <c r="F544" t="s">
        <v>14</v>
      </c>
      <c r="G544">
        <v>59312779</v>
      </c>
      <c r="H544" t="s">
        <v>920</v>
      </c>
      <c r="I544">
        <v>98390119</v>
      </c>
      <c r="J544" t="s">
        <v>14</v>
      </c>
      <c r="K544" t="s">
        <v>63</v>
      </c>
      <c r="L544" s="1" t="e">
        <f>VLOOKUP(A544,#REF!,2,0)</f>
        <v>#REF!</v>
      </c>
      <c r="M544" s="1">
        <v>0</v>
      </c>
      <c r="N544" s="10">
        <v>6000000</v>
      </c>
      <c r="O544" s="10"/>
      <c r="P544" t="s">
        <v>704</v>
      </c>
      <c r="Q544" s="1" t="e">
        <f t="shared" si="19"/>
        <v>#REF!</v>
      </c>
      <c r="S544" s="11" t="s">
        <v>1036</v>
      </c>
    </row>
    <row r="545" spans="1:19" x14ac:dyDescent="0.25">
      <c r="A545" t="s">
        <v>1212</v>
      </c>
      <c r="B545" t="s">
        <v>13</v>
      </c>
      <c r="C545" s="12">
        <v>46044</v>
      </c>
      <c r="D545" s="12">
        <v>46134</v>
      </c>
      <c r="E545" t="s">
        <v>793</v>
      </c>
      <c r="F545" t="s">
        <v>14</v>
      </c>
      <c r="G545">
        <v>1085334752</v>
      </c>
      <c r="H545" t="s">
        <v>263</v>
      </c>
      <c r="I545">
        <v>98333941</v>
      </c>
      <c r="J545" t="s">
        <v>14</v>
      </c>
      <c r="K545" t="s">
        <v>15</v>
      </c>
      <c r="L545" s="1" t="e">
        <f>VLOOKUP(A545,#REF!,2,0)</f>
        <v>#REF!</v>
      </c>
      <c r="M545" s="1">
        <v>0</v>
      </c>
      <c r="N545" s="10">
        <v>6000000</v>
      </c>
      <c r="O545" s="10"/>
      <c r="P545" t="s">
        <v>704</v>
      </c>
      <c r="Q545" s="1" t="e">
        <f t="shared" si="19"/>
        <v>#REF!</v>
      </c>
      <c r="S545" s="11" t="s">
        <v>1036</v>
      </c>
    </row>
    <row r="546" spans="1:19" x14ac:dyDescent="0.25">
      <c r="A546" t="s">
        <v>1213</v>
      </c>
      <c r="B546" t="s">
        <v>13</v>
      </c>
      <c r="C546" s="12">
        <v>46044</v>
      </c>
      <c r="D546" s="12">
        <v>46134</v>
      </c>
      <c r="E546" t="s">
        <v>793</v>
      </c>
      <c r="F546" t="s">
        <v>14</v>
      </c>
      <c r="G546">
        <v>59313273</v>
      </c>
      <c r="H546" t="s">
        <v>616</v>
      </c>
      <c r="I546">
        <v>59836926</v>
      </c>
      <c r="J546" t="s">
        <v>14</v>
      </c>
      <c r="K546" t="s">
        <v>17</v>
      </c>
      <c r="L546" s="1" t="e">
        <f>VLOOKUP(A546,#REF!,2,0)</f>
        <v>#REF!</v>
      </c>
      <c r="M546" s="1">
        <v>0</v>
      </c>
      <c r="N546" s="10">
        <v>6000000</v>
      </c>
      <c r="O546" s="10"/>
      <c r="P546" t="s">
        <v>704</v>
      </c>
      <c r="Q546" s="1" t="e">
        <f t="shared" si="19"/>
        <v>#REF!</v>
      </c>
      <c r="S546" s="11" t="s">
        <v>1036</v>
      </c>
    </row>
    <row r="547" spans="1:19" x14ac:dyDescent="0.25">
      <c r="A547" t="s">
        <v>1214</v>
      </c>
      <c r="B547" t="s">
        <v>13</v>
      </c>
      <c r="C547" s="12">
        <v>46044</v>
      </c>
      <c r="D547" s="12">
        <v>46134</v>
      </c>
      <c r="E547" t="s">
        <v>744</v>
      </c>
      <c r="F547" t="s">
        <v>14</v>
      </c>
      <c r="G547">
        <v>1233192708</v>
      </c>
      <c r="H547" t="s">
        <v>516</v>
      </c>
      <c r="I547">
        <v>43624414</v>
      </c>
      <c r="J547" t="s">
        <v>14</v>
      </c>
      <c r="K547" t="s">
        <v>18</v>
      </c>
      <c r="L547" s="1" t="e">
        <f>VLOOKUP(A547,#REF!,2,0)</f>
        <v>#REF!</v>
      </c>
      <c r="M547" s="1">
        <v>0</v>
      </c>
      <c r="N547" s="10">
        <v>23400000</v>
      </c>
      <c r="O547" s="10"/>
      <c r="P547" t="s">
        <v>704</v>
      </c>
      <c r="Q547" s="1" t="e">
        <f t="shared" si="19"/>
        <v>#REF!</v>
      </c>
      <c r="S547" s="11" t="s">
        <v>1036</v>
      </c>
    </row>
    <row r="548" spans="1:19" x14ac:dyDescent="0.25">
      <c r="A548" t="s">
        <v>1215</v>
      </c>
      <c r="B548" t="s">
        <v>13</v>
      </c>
      <c r="C548" s="12">
        <v>46044</v>
      </c>
      <c r="D548" s="12">
        <v>46195</v>
      </c>
      <c r="E548" t="s">
        <v>744</v>
      </c>
      <c r="F548" t="s">
        <v>14</v>
      </c>
      <c r="G548">
        <v>37087120</v>
      </c>
      <c r="H548" t="s">
        <v>51</v>
      </c>
      <c r="I548">
        <v>98333941</v>
      </c>
      <c r="J548" t="s">
        <v>14</v>
      </c>
      <c r="K548" t="s">
        <v>15</v>
      </c>
      <c r="L548" s="1" t="e">
        <f>VLOOKUP(A548,#REF!,2,0)</f>
        <v>#REF!</v>
      </c>
      <c r="M548" s="1">
        <v>0</v>
      </c>
      <c r="N548" s="10">
        <v>39000000</v>
      </c>
      <c r="O548" s="10"/>
      <c r="P548" t="s">
        <v>704</v>
      </c>
      <c r="Q548" s="1" t="e">
        <f t="shared" si="19"/>
        <v>#REF!</v>
      </c>
      <c r="S548" s="11" t="s">
        <v>1036</v>
      </c>
    </row>
    <row r="549" spans="1:19" x14ac:dyDescent="0.25">
      <c r="A549" t="s">
        <v>1216</v>
      </c>
      <c r="B549" t="s">
        <v>13</v>
      </c>
      <c r="C549" s="12">
        <v>46044</v>
      </c>
      <c r="D549" s="12">
        <v>46134</v>
      </c>
      <c r="E549" t="s">
        <v>775</v>
      </c>
      <c r="F549" t="s">
        <v>14</v>
      </c>
      <c r="G549">
        <v>1193474724</v>
      </c>
      <c r="H549" t="s">
        <v>629</v>
      </c>
      <c r="I549">
        <v>98390119</v>
      </c>
      <c r="J549" t="s">
        <v>14</v>
      </c>
      <c r="K549" t="s">
        <v>63</v>
      </c>
      <c r="L549" s="1" t="e">
        <f>VLOOKUP(A549,#REF!,2,0)</f>
        <v>#REF!</v>
      </c>
      <c r="M549" s="1">
        <v>0</v>
      </c>
      <c r="N549" s="10">
        <v>18900000</v>
      </c>
      <c r="O549" s="10"/>
      <c r="P549" t="s">
        <v>704</v>
      </c>
      <c r="Q549" s="1" t="e">
        <f t="shared" si="19"/>
        <v>#REF!</v>
      </c>
      <c r="S549" s="11" t="s">
        <v>1036</v>
      </c>
    </row>
    <row r="550" spans="1:19" x14ac:dyDescent="0.25">
      <c r="A550" t="s">
        <v>1217</v>
      </c>
      <c r="B550" t="s">
        <v>13</v>
      </c>
      <c r="C550" s="12">
        <v>46044</v>
      </c>
      <c r="D550" s="12">
        <v>46134</v>
      </c>
      <c r="E550" t="s">
        <v>793</v>
      </c>
      <c r="F550" t="s">
        <v>14</v>
      </c>
      <c r="G550">
        <v>12990231</v>
      </c>
      <c r="H550" t="s">
        <v>502</v>
      </c>
      <c r="I550">
        <v>59836926</v>
      </c>
      <c r="J550" t="s">
        <v>14</v>
      </c>
      <c r="K550" t="s">
        <v>17</v>
      </c>
      <c r="L550" s="1" t="e">
        <f>VLOOKUP(A550,#REF!,2,0)</f>
        <v>#REF!</v>
      </c>
      <c r="M550" s="1">
        <v>2000000</v>
      </c>
      <c r="N550" s="10">
        <v>6000000</v>
      </c>
      <c r="O550" s="10"/>
      <c r="P550" t="s">
        <v>704</v>
      </c>
      <c r="Q550" s="1" t="e">
        <f t="shared" si="19"/>
        <v>#REF!</v>
      </c>
      <c r="S550" s="11" t="s">
        <v>1036</v>
      </c>
    </row>
    <row r="551" spans="1:19" x14ac:dyDescent="0.25">
      <c r="A551" t="s">
        <v>1218</v>
      </c>
      <c r="B551" t="s">
        <v>13</v>
      </c>
      <c r="C551" s="12">
        <v>46044</v>
      </c>
      <c r="D551" s="12">
        <v>46134</v>
      </c>
      <c r="E551" t="s">
        <v>793</v>
      </c>
      <c r="F551" t="s">
        <v>14</v>
      </c>
      <c r="G551">
        <v>36933095</v>
      </c>
      <c r="H551" t="s">
        <v>612</v>
      </c>
      <c r="I551">
        <v>98333941</v>
      </c>
      <c r="J551" t="s">
        <v>14</v>
      </c>
      <c r="K551" t="s">
        <v>15</v>
      </c>
      <c r="L551" s="1" t="e">
        <f>VLOOKUP(A551,#REF!,2,0)</f>
        <v>#REF!</v>
      </c>
      <c r="M551" s="1">
        <v>0</v>
      </c>
      <c r="N551" s="10">
        <v>6000000</v>
      </c>
      <c r="O551" s="10"/>
      <c r="P551" t="s">
        <v>704</v>
      </c>
      <c r="Q551" s="1" t="e">
        <f t="shared" si="19"/>
        <v>#REF!</v>
      </c>
      <c r="S551" s="11" t="s">
        <v>1036</v>
      </c>
    </row>
    <row r="552" spans="1:19" x14ac:dyDescent="0.25">
      <c r="A552" t="s">
        <v>1219</v>
      </c>
      <c r="B552" t="s">
        <v>13</v>
      </c>
      <c r="C552" s="12">
        <v>46044</v>
      </c>
      <c r="D552" s="12">
        <v>46195</v>
      </c>
      <c r="E552" t="s">
        <v>775</v>
      </c>
      <c r="F552" t="s">
        <v>14</v>
      </c>
      <c r="G552">
        <v>59833702</v>
      </c>
      <c r="H552" t="s">
        <v>933</v>
      </c>
      <c r="I552">
        <v>98390119</v>
      </c>
      <c r="J552" t="s">
        <v>14</v>
      </c>
      <c r="K552" t="s">
        <v>63</v>
      </c>
      <c r="L552" s="1" t="e">
        <f>VLOOKUP(A552,#REF!,2,0)</f>
        <v>#REF!</v>
      </c>
      <c r="M552" s="1">
        <v>0</v>
      </c>
      <c r="N552" s="10">
        <v>15750000</v>
      </c>
      <c r="O552" s="10"/>
      <c r="P552" t="s">
        <v>704</v>
      </c>
      <c r="Q552" s="1" t="e">
        <f t="shared" si="19"/>
        <v>#REF!</v>
      </c>
      <c r="S552" s="11" t="s">
        <v>1036</v>
      </c>
    </row>
    <row r="553" spans="1:19" x14ac:dyDescent="0.25">
      <c r="A553" t="s">
        <v>1220</v>
      </c>
      <c r="B553" t="s">
        <v>13</v>
      </c>
      <c r="C553" s="12">
        <v>46044</v>
      </c>
      <c r="D553" s="12">
        <v>46195</v>
      </c>
      <c r="E553" t="s">
        <v>775</v>
      </c>
      <c r="F553" t="s">
        <v>14</v>
      </c>
      <c r="G553">
        <v>59314458</v>
      </c>
      <c r="H553" t="s">
        <v>25</v>
      </c>
      <c r="I553">
        <v>98390119</v>
      </c>
      <c r="J553" t="s">
        <v>14</v>
      </c>
      <c r="K553" t="s">
        <v>63</v>
      </c>
      <c r="L553" s="1" t="e">
        <f>VLOOKUP(A553,#REF!,2,0)</f>
        <v>#REF!</v>
      </c>
      <c r="M553" s="1">
        <v>0</v>
      </c>
      <c r="N553" s="10">
        <v>31500000</v>
      </c>
      <c r="O553" s="10"/>
      <c r="P553" t="s">
        <v>704</v>
      </c>
      <c r="Q553" s="1" t="e">
        <f t="shared" si="19"/>
        <v>#REF!</v>
      </c>
      <c r="S553" s="11" t="s">
        <v>1036</v>
      </c>
    </row>
    <row r="554" spans="1:19" x14ac:dyDescent="0.25">
      <c r="A554" t="s">
        <v>1221</v>
      </c>
      <c r="B554" t="s">
        <v>13</v>
      </c>
      <c r="C554" s="12">
        <v>46044</v>
      </c>
      <c r="D554" s="12">
        <v>46195</v>
      </c>
      <c r="E554" t="s">
        <v>793</v>
      </c>
      <c r="F554" t="s">
        <v>14</v>
      </c>
      <c r="G554">
        <v>1085287296</v>
      </c>
      <c r="H554" t="s">
        <v>926</v>
      </c>
      <c r="I554">
        <v>59836926</v>
      </c>
      <c r="J554" t="s">
        <v>14</v>
      </c>
      <c r="K554" t="s">
        <v>17</v>
      </c>
      <c r="L554" s="1" t="e">
        <f>VLOOKUP(A554,#REF!,2,0)</f>
        <v>#REF!</v>
      </c>
      <c r="M554" s="1">
        <v>0</v>
      </c>
      <c r="N554" s="10">
        <v>10000000</v>
      </c>
      <c r="O554" s="10"/>
      <c r="P554" t="s">
        <v>704</v>
      </c>
      <c r="Q554" s="1" t="e">
        <f t="shared" si="19"/>
        <v>#REF!</v>
      </c>
      <c r="S554" s="11" t="s">
        <v>1036</v>
      </c>
    </row>
    <row r="555" spans="1:19" x14ac:dyDescent="0.25">
      <c r="A555" t="s">
        <v>1222</v>
      </c>
      <c r="B555" t="s">
        <v>13</v>
      </c>
      <c r="C555" s="12">
        <v>46044</v>
      </c>
      <c r="D555" s="12">
        <v>46075</v>
      </c>
      <c r="E555" t="s">
        <v>793</v>
      </c>
      <c r="F555" t="s">
        <v>14</v>
      </c>
      <c r="G555">
        <v>1085313195</v>
      </c>
      <c r="H555" t="s">
        <v>523</v>
      </c>
      <c r="I555">
        <v>43624414</v>
      </c>
      <c r="J555" t="s">
        <v>14</v>
      </c>
      <c r="K555" t="s">
        <v>18</v>
      </c>
      <c r="L555" s="1" t="e">
        <f>VLOOKUP(A555,#REF!,2,0)</f>
        <v>#REF!</v>
      </c>
      <c r="M555" s="1">
        <v>0</v>
      </c>
      <c r="N555" s="10">
        <v>2000000</v>
      </c>
      <c r="O555" s="10"/>
      <c r="P555" t="s">
        <v>704</v>
      </c>
      <c r="Q555" s="1" t="e">
        <f t="shared" si="19"/>
        <v>#REF!</v>
      </c>
      <c r="S555" s="11" t="s">
        <v>1036</v>
      </c>
    </row>
    <row r="556" spans="1:19" x14ac:dyDescent="0.25">
      <c r="A556" t="s">
        <v>1223</v>
      </c>
      <c r="B556" t="s">
        <v>13</v>
      </c>
      <c r="C556" s="12">
        <v>46044</v>
      </c>
      <c r="D556" s="12">
        <v>46075</v>
      </c>
      <c r="E556" t="s">
        <v>793</v>
      </c>
      <c r="F556" t="s">
        <v>14</v>
      </c>
      <c r="G556">
        <v>1085268450</v>
      </c>
      <c r="H556" t="s">
        <v>208</v>
      </c>
      <c r="I556">
        <v>43624414</v>
      </c>
      <c r="J556" t="s">
        <v>14</v>
      </c>
      <c r="K556" t="s">
        <v>18</v>
      </c>
      <c r="L556" s="1" t="e">
        <f>VLOOKUP(A556,#REF!,2,0)</f>
        <v>#REF!</v>
      </c>
      <c r="M556" s="1">
        <v>0</v>
      </c>
      <c r="N556" s="10">
        <v>2000000</v>
      </c>
      <c r="O556" s="10"/>
      <c r="P556" t="s">
        <v>704</v>
      </c>
      <c r="Q556" s="1" t="e">
        <f t="shared" si="19"/>
        <v>#REF!</v>
      </c>
      <c r="S556" s="11" t="s">
        <v>1036</v>
      </c>
    </row>
    <row r="557" spans="1:19" x14ac:dyDescent="0.25">
      <c r="A557" t="s">
        <v>1224</v>
      </c>
      <c r="B557" t="s">
        <v>13</v>
      </c>
      <c r="C557" s="12">
        <v>46044</v>
      </c>
      <c r="D557" s="12">
        <v>46134</v>
      </c>
      <c r="E557" t="s">
        <v>793</v>
      </c>
      <c r="F557" t="s">
        <v>14</v>
      </c>
      <c r="G557">
        <v>36757715</v>
      </c>
      <c r="H557" t="s">
        <v>130</v>
      </c>
      <c r="I557">
        <v>98390119</v>
      </c>
      <c r="J557" t="s">
        <v>14</v>
      </c>
      <c r="K557" t="s">
        <v>63</v>
      </c>
      <c r="L557" s="1" t="e">
        <f>VLOOKUP(A557,#REF!,2,0)</f>
        <v>#REF!</v>
      </c>
      <c r="M557" s="1">
        <v>0</v>
      </c>
      <c r="N557" s="10">
        <v>6000000</v>
      </c>
      <c r="O557" s="10"/>
      <c r="P557" t="s">
        <v>704</v>
      </c>
      <c r="Q557" s="1" t="e">
        <f t="shared" si="19"/>
        <v>#REF!</v>
      </c>
      <c r="S557" s="11" t="s">
        <v>1036</v>
      </c>
    </row>
    <row r="558" spans="1:19" x14ac:dyDescent="0.25">
      <c r="A558" t="s">
        <v>1225</v>
      </c>
      <c r="B558" t="s">
        <v>13</v>
      </c>
      <c r="C558" s="12">
        <v>46044</v>
      </c>
      <c r="D558" s="12">
        <v>46134</v>
      </c>
      <c r="E558" t="s">
        <v>793</v>
      </c>
      <c r="F558" t="s">
        <v>14</v>
      </c>
      <c r="G558">
        <v>1085334831</v>
      </c>
      <c r="H558" t="s">
        <v>626</v>
      </c>
      <c r="I558">
        <v>98390119</v>
      </c>
      <c r="J558" t="s">
        <v>14</v>
      </c>
      <c r="K558" t="s">
        <v>63</v>
      </c>
      <c r="L558" s="1" t="e">
        <f>VLOOKUP(A558,#REF!,2,0)</f>
        <v>#REF!</v>
      </c>
      <c r="M558" s="1">
        <v>0</v>
      </c>
      <c r="N558" s="10">
        <v>6000000</v>
      </c>
      <c r="O558" s="10"/>
      <c r="P558" t="s">
        <v>704</v>
      </c>
      <c r="Q558" s="1" t="e">
        <f t="shared" si="19"/>
        <v>#REF!</v>
      </c>
      <c r="S558" s="11" t="s">
        <v>1036</v>
      </c>
    </row>
    <row r="559" spans="1:19" x14ac:dyDescent="0.25">
      <c r="A559" t="s">
        <v>1226</v>
      </c>
      <c r="B559" t="s">
        <v>13</v>
      </c>
      <c r="C559" s="12">
        <v>46045</v>
      </c>
      <c r="D559" s="12">
        <v>46135</v>
      </c>
      <c r="E559" t="s">
        <v>793</v>
      </c>
      <c r="F559" t="s">
        <v>14</v>
      </c>
      <c r="G559">
        <v>1085310465</v>
      </c>
      <c r="H559" t="s">
        <v>112</v>
      </c>
      <c r="I559">
        <v>98390119</v>
      </c>
      <c r="J559" t="s">
        <v>14</v>
      </c>
      <c r="K559" t="s">
        <v>63</v>
      </c>
      <c r="L559" s="1" t="e">
        <f>VLOOKUP(A559,#REF!,2,0)</f>
        <v>#REF!</v>
      </c>
      <c r="M559" s="1">
        <v>0</v>
      </c>
      <c r="N559" s="10">
        <v>6000000</v>
      </c>
      <c r="O559" s="10"/>
      <c r="P559" t="s">
        <v>704</v>
      </c>
      <c r="Q559" s="1" t="e">
        <f t="shared" si="19"/>
        <v>#REF!</v>
      </c>
      <c r="S559" s="11" t="s">
        <v>1036</v>
      </c>
    </row>
    <row r="560" spans="1:19" x14ac:dyDescent="0.25">
      <c r="A560" t="s">
        <v>1227</v>
      </c>
      <c r="B560" t="s">
        <v>13</v>
      </c>
      <c r="C560" s="12">
        <v>46045</v>
      </c>
      <c r="D560" s="12">
        <v>46076</v>
      </c>
      <c r="E560" t="s">
        <v>744</v>
      </c>
      <c r="F560" t="s">
        <v>14</v>
      </c>
      <c r="G560">
        <v>1193424771</v>
      </c>
      <c r="H560" t="s">
        <v>95</v>
      </c>
      <c r="I560">
        <v>98333941</v>
      </c>
      <c r="J560" t="s">
        <v>14</v>
      </c>
      <c r="K560" t="s">
        <v>15</v>
      </c>
      <c r="L560" s="1" t="e">
        <f>VLOOKUP(A560,#REF!,2,0)</f>
        <v>#REF!</v>
      </c>
      <c r="M560" s="1">
        <v>0</v>
      </c>
      <c r="N560" s="10">
        <v>4730000</v>
      </c>
      <c r="O560" s="10"/>
      <c r="P560" t="s">
        <v>704</v>
      </c>
      <c r="Q560" s="1" t="e">
        <f t="shared" si="19"/>
        <v>#REF!</v>
      </c>
      <c r="S560" s="11" t="s">
        <v>1036</v>
      </c>
    </row>
    <row r="561" spans="1:19" x14ac:dyDescent="0.25">
      <c r="A561" t="s">
        <v>1228</v>
      </c>
      <c r="B561" t="s">
        <v>13</v>
      </c>
      <c r="C561" s="12">
        <v>46045</v>
      </c>
      <c r="D561" s="12">
        <v>46135</v>
      </c>
      <c r="E561" t="s">
        <v>744</v>
      </c>
      <c r="F561" t="s">
        <v>14</v>
      </c>
      <c r="G561">
        <v>1085244624</v>
      </c>
      <c r="H561" t="s">
        <v>868</v>
      </c>
      <c r="I561">
        <v>59836926</v>
      </c>
      <c r="J561" t="s">
        <v>14</v>
      </c>
      <c r="K561" t="s">
        <v>17</v>
      </c>
      <c r="L561" s="1" t="e">
        <f>VLOOKUP(A561,#REF!,2,0)</f>
        <v>#REF!</v>
      </c>
      <c r="M561" s="1">
        <v>0</v>
      </c>
      <c r="N561" s="10">
        <v>23400000</v>
      </c>
      <c r="O561" s="10"/>
      <c r="P561" t="s">
        <v>704</v>
      </c>
      <c r="Q561" s="1" t="e">
        <f t="shared" si="19"/>
        <v>#REF!</v>
      </c>
      <c r="S561" s="11" t="s">
        <v>1036</v>
      </c>
    </row>
    <row r="562" spans="1:19" x14ac:dyDescent="0.25">
      <c r="A562" t="s">
        <v>1229</v>
      </c>
      <c r="B562" t="s">
        <v>13</v>
      </c>
      <c r="C562" s="12">
        <v>46045</v>
      </c>
      <c r="D562" s="12">
        <v>46196</v>
      </c>
      <c r="E562" t="s">
        <v>744</v>
      </c>
      <c r="F562" t="s">
        <v>14</v>
      </c>
      <c r="G562">
        <v>98398376</v>
      </c>
      <c r="H562" t="s">
        <v>875</v>
      </c>
      <c r="I562">
        <v>98333941</v>
      </c>
      <c r="J562" t="s">
        <v>14</v>
      </c>
      <c r="K562" t="s">
        <v>15</v>
      </c>
      <c r="L562" s="1" t="e">
        <f>VLOOKUP(A562,#REF!,2,0)</f>
        <v>#REF!</v>
      </c>
      <c r="M562" s="1">
        <v>0</v>
      </c>
      <c r="N562" s="10">
        <v>39000000</v>
      </c>
      <c r="O562" s="10"/>
      <c r="P562" t="s">
        <v>704</v>
      </c>
      <c r="Q562" s="1" t="e">
        <f t="shared" si="19"/>
        <v>#REF!</v>
      </c>
      <c r="S562" s="11" t="s">
        <v>1036</v>
      </c>
    </row>
    <row r="563" spans="1:19" x14ac:dyDescent="0.25">
      <c r="A563" t="s">
        <v>1230</v>
      </c>
      <c r="B563" t="s">
        <v>13</v>
      </c>
      <c r="C563" s="12">
        <v>46045</v>
      </c>
      <c r="D563" s="12">
        <v>46135</v>
      </c>
      <c r="E563" t="s">
        <v>793</v>
      </c>
      <c r="F563" t="s">
        <v>14</v>
      </c>
      <c r="G563">
        <v>59815593</v>
      </c>
      <c r="H563" t="s">
        <v>183</v>
      </c>
      <c r="I563">
        <v>98333941</v>
      </c>
      <c r="J563" t="s">
        <v>14</v>
      </c>
      <c r="K563" t="s">
        <v>15</v>
      </c>
      <c r="L563" s="1" t="e">
        <f>VLOOKUP(A563,#REF!,2,0)</f>
        <v>#REF!</v>
      </c>
      <c r="M563" s="1">
        <v>0</v>
      </c>
      <c r="N563" s="10">
        <v>6000000</v>
      </c>
      <c r="O563" s="10"/>
      <c r="P563" t="s">
        <v>704</v>
      </c>
      <c r="Q563" s="1" t="e">
        <f t="shared" si="19"/>
        <v>#REF!</v>
      </c>
      <c r="S563" s="11" t="s">
        <v>1036</v>
      </c>
    </row>
    <row r="564" spans="1:19" x14ac:dyDescent="0.25">
      <c r="A564" t="s">
        <v>1231</v>
      </c>
      <c r="B564" t="s">
        <v>13</v>
      </c>
      <c r="C564" s="12">
        <v>46045</v>
      </c>
      <c r="D564" s="12">
        <v>46135</v>
      </c>
      <c r="E564" t="s">
        <v>793</v>
      </c>
      <c r="F564" t="s">
        <v>14</v>
      </c>
      <c r="G564">
        <v>1085317094</v>
      </c>
      <c r="H564" t="s">
        <v>578</v>
      </c>
      <c r="I564">
        <v>98390119</v>
      </c>
      <c r="J564" t="s">
        <v>14</v>
      </c>
      <c r="K564" t="s">
        <v>63</v>
      </c>
      <c r="L564" s="1" t="e">
        <f>VLOOKUP(A564,#REF!,2,0)</f>
        <v>#REF!</v>
      </c>
      <c r="M564" s="1">
        <v>0</v>
      </c>
      <c r="N564" s="10">
        <v>9450000</v>
      </c>
      <c r="O564" s="10"/>
      <c r="P564" t="s">
        <v>704</v>
      </c>
      <c r="Q564" s="1" t="e">
        <f t="shared" si="19"/>
        <v>#REF!</v>
      </c>
      <c r="S564" s="11" t="s">
        <v>1036</v>
      </c>
    </row>
    <row r="565" spans="1:19" x14ac:dyDescent="0.25">
      <c r="A565" t="s">
        <v>1232</v>
      </c>
      <c r="B565" t="s">
        <v>13</v>
      </c>
      <c r="C565" s="12">
        <v>46045</v>
      </c>
      <c r="D565" s="12">
        <v>46076</v>
      </c>
      <c r="E565" t="s">
        <v>793</v>
      </c>
      <c r="F565" t="s">
        <v>14</v>
      </c>
      <c r="G565">
        <v>1085312669</v>
      </c>
      <c r="H565" t="s">
        <v>321</v>
      </c>
      <c r="I565">
        <v>43624414</v>
      </c>
      <c r="J565" t="s">
        <v>14</v>
      </c>
      <c r="K565" t="s">
        <v>18</v>
      </c>
      <c r="L565" s="1" t="e">
        <f>VLOOKUP(A565,#REF!,2,0)</f>
        <v>#REF!</v>
      </c>
      <c r="M565" s="1">
        <v>0</v>
      </c>
      <c r="N565" s="10">
        <v>2000000</v>
      </c>
      <c r="O565" s="10"/>
      <c r="P565" t="s">
        <v>704</v>
      </c>
      <c r="Q565" s="1" t="e">
        <f t="shared" si="19"/>
        <v>#REF!</v>
      </c>
      <c r="S565" s="11" t="s">
        <v>1036</v>
      </c>
    </row>
    <row r="566" spans="1:19" x14ac:dyDescent="0.25">
      <c r="A566" t="s">
        <v>1233</v>
      </c>
      <c r="B566" t="s">
        <v>13</v>
      </c>
      <c r="C566" s="12">
        <v>46045</v>
      </c>
      <c r="D566" s="12">
        <v>46135</v>
      </c>
      <c r="E566" t="s">
        <v>775</v>
      </c>
      <c r="F566" t="s">
        <v>14</v>
      </c>
      <c r="G566">
        <v>87069979</v>
      </c>
      <c r="H566" t="s">
        <v>928</v>
      </c>
      <c r="I566">
        <v>98390119</v>
      </c>
      <c r="J566" t="s">
        <v>14</v>
      </c>
      <c r="K566" t="s">
        <v>63</v>
      </c>
      <c r="L566" s="1" t="e">
        <f>VLOOKUP(A566,#REF!,2,0)</f>
        <v>#REF!</v>
      </c>
      <c r="M566" s="1">
        <v>0</v>
      </c>
      <c r="N566" s="10">
        <v>9450000</v>
      </c>
      <c r="O566" s="10"/>
      <c r="P566" t="s">
        <v>704</v>
      </c>
      <c r="Q566" s="1" t="e">
        <f t="shared" si="19"/>
        <v>#REF!</v>
      </c>
      <c r="S566" s="11" t="s">
        <v>1036</v>
      </c>
    </row>
    <row r="567" spans="1:19" x14ac:dyDescent="0.25">
      <c r="A567" t="s">
        <v>1234</v>
      </c>
      <c r="B567" t="s">
        <v>13</v>
      </c>
      <c r="C567" s="12">
        <v>46048</v>
      </c>
      <c r="D567" s="12">
        <v>46138</v>
      </c>
      <c r="E567" t="s">
        <v>793</v>
      </c>
      <c r="F567" t="s">
        <v>14</v>
      </c>
      <c r="G567">
        <v>1085275445</v>
      </c>
      <c r="H567" t="s">
        <v>166</v>
      </c>
      <c r="I567">
        <v>98390119</v>
      </c>
      <c r="J567" t="s">
        <v>14</v>
      </c>
      <c r="K567" t="s">
        <v>63</v>
      </c>
      <c r="L567" s="1" t="e">
        <f>VLOOKUP(A567,#REF!,2,0)</f>
        <v>#REF!</v>
      </c>
      <c r="M567" s="1">
        <v>0</v>
      </c>
      <c r="N567" s="10">
        <v>6000000</v>
      </c>
      <c r="O567" s="10"/>
      <c r="P567" t="s">
        <v>704</v>
      </c>
      <c r="Q567" s="1" t="e">
        <f t="shared" si="19"/>
        <v>#REF!</v>
      </c>
      <c r="S567" s="11" t="s">
        <v>1036</v>
      </c>
    </row>
    <row r="568" spans="1:19" x14ac:dyDescent="0.25">
      <c r="A568" t="s">
        <v>1235</v>
      </c>
      <c r="B568" t="s">
        <v>13</v>
      </c>
      <c r="C568" s="12">
        <v>46048</v>
      </c>
      <c r="D568" s="12">
        <v>46138</v>
      </c>
      <c r="E568" t="s">
        <v>793</v>
      </c>
      <c r="F568" t="s">
        <v>14</v>
      </c>
      <c r="G568">
        <v>27082650</v>
      </c>
      <c r="H568" t="s">
        <v>237</v>
      </c>
      <c r="I568">
        <v>43624414</v>
      </c>
      <c r="J568" t="s">
        <v>14</v>
      </c>
      <c r="K568" t="s">
        <v>18</v>
      </c>
      <c r="L568" s="1" t="e">
        <f>VLOOKUP(A568,#REF!,2,0)</f>
        <v>#REF!</v>
      </c>
      <c r="M568" s="1">
        <v>2000000</v>
      </c>
      <c r="N568" s="10">
        <v>6000000</v>
      </c>
      <c r="O568" s="10"/>
      <c r="P568" t="s">
        <v>704</v>
      </c>
      <c r="Q568" s="1" t="e">
        <f t="shared" si="19"/>
        <v>#REF!</v>
      </c>
      <c r="S568" s="11" t="s">
        <v>1036</v>
      </c>
    </row>
    <row r="569" spans="1:19" x14ac:dyDescent="0.25">
      <c r="A569" t="s">
        <v>1236</v>
      </c>
      <c r="B569" t="s">
        <v>13</v>
      </c>
      <c r="C569" s="12">
        <v>46049</v>
      </c>
      <c r="D569" s="12">
        <v>46080</v>
      </c>
      <c r="E569" t="s">
        <v>775</v>
      </c>
      <c r="F569" t="s">
        <v>14</v>
      </c>
      <c r="G569">
        <v>1004343043</v>
      </c>
      <c r="H569" t="s">
        <v>189</v>
      </c>
      <c r="I569">
        <v>98390119</v>
      </c>
      <c r="J569" t="s">
        <v>14</v>
      </c>
      <c r="K569" t="s">
        <v>63</v>
      </c>
      <c r="L569" s="1" t="e">
        <f>VLOOKUP(A569,#REF!,2,0)</f>
        <v>#REF!</v>
      </c>
      <c r="M569" s="1">
        <v>0</v>
      </c>
      <c r="N569" s="10">
        <v>3150000</v>
      </c>
      <c r="O569" s="10"/>
      <c r="P569" t="s">
        <v>704</v>
      </c>
      <c r="Q569" s="1" t="e">
        <f t="shared" si="19"/>
        <v>#REF!</v>
      </c>
      <c r="S569" s="11" t="s">
        <v>1036</v>
      </c>
    </row>
    <row r="570" spans="1:19" x14ac:dyDescent="0.25">
      <c r="A570" t="s">
        <v>1237</v>
      </c>
      <c r="B570" t="s">
        <v>13</v>
      </c>
      <c r="C570" s="12">
        <v>46049</v>
      </c>
      <c r="D570" s="12">
        <v>46139</v>
      </c>
      <c r="E570" t="s">
        <v>793</v>
      </c>
      <c r="F570" t="s">
        <v>14</v>
      </c>
      <c r="G570">
        <v>1081274779</v>
      </c>
      <c r="H570" t="s">
        <v>540</v>
      </c>
      <c r="I570">
        <v>59836926</v>
      </c>
      <c r="J570" t="s">
        <v>14</v>
      </c>
      <c r="K570" t="s">
        <v>17</v>
      </c>
      <c r="L570" s="1" t="e">
        <f>VLOOKUP(A570,#REF!,2,0)</f>
        <v>#REF!</v>
      </c>
      <c r="M570" s="1">
        <v>0</v>
      </c>
      <c r="N570" s="10">
        <v>6000000</v>
      </c>
      <c r="O570" s="10"/>
      <c r="P570" t="s">
        <v>704</v>
      </c>
      <c r="Q570" s="1" t="e">
        <f t="shared" si="19"/>
        <v>#REF!</v>
      </c>
      <c r="S570" s="11" t="s">
        <v>1036</v>
      </c>
    </row>
    <row r="571" spans="1:19" x14ac:dyDescent="0.25">
      <c r="A571" t="s">
        <v>1238</v>
      </c>
      <c r="B571" t="s">
        <v>13</v>
      </c>
      <c r="C571" s="12">
        <v>46050</v>
      </c>
      <c r="D571" s="12">
        <v>46140</v>
      </c>
      <c r="E571" t="s">
        <v>793</v>
      </c>
      <c r="F571" t="s">
        <v>14</v>
      </c>
      <c r="G571">
        <v>1137089036</v>
      </c>
      <c r="H571" t="s">
        <v>350</v>
      </c>
      <c r="I571">
        <v>59836926</v>
      </c>
      <c r="J571" t="s">
        <v>14</v>
      </c>
      <c r="K571" t="s">
        <v>17</v>
      </c>
      <c r="L571" s="1" t="e">
        <f>VLOOKUP(A571,#REF!,2,0)</f>
        <v>#REF!</v>
      </c>
      <c r="M571" s="1">
        <v>0</v>
      </c>
      <c r="N571" s="10">
        <v>6000000</v>
      </c>
      <c r="O571" s="10"/>
      <c r="P571" t="s">
        <v>704</v>
      </c>
      <c r="Q571" s="1" t="e">
        <f t="shared" si="19"/>
        <v>#REF!</v>
      </c>
      <c r="S571" s="11" t="s">
        <v>1036</v>
      </c>
    </row>
    <row r="572" spans="1:19" x14ac:dyDescent="0.25">
      <c r="A572" t="s">
        <v>1239</v>
      </c>
      <c r="B572" t="s">
        <v>13</v>
      </c>
      <c r="C572" s="12">
        <v>46050</v>
      </c>
      <c r="D572" s="12">
        <v>46140</v>
      </c>
      <c r="E572" t="s">
        <v>793</v>
      </c>
      <c r="F572" t="s">
        <v>14</v>
      </c>
      <c r="G572">
        <v>12974849</v>
      </c>
      <c r="H572" t="s">
        <v>179</v>
      </c>
      <c r="I572">
        <v>43624414</v>
      </c>
      <c r="J572" t="s">
        <v>14</v>
      </c>
      <c r="K572" t="s">
        <v>18</v>
      </c>
      <c r="L572" s="1" t="e">
        <f>VLOOKUP(A572,#REF!,2,0)</f>
        <v>#REF!</v>
      </c>
      <c r="M572" s="1">
        <v>0</v>
      </c>
      <c r="N572" s="10">
        <v>6000000</v>
      </c>
      <c r="O572" s="10"/>
      <c r="P572" t="s">
        <v>704</v>
      </c>
      <c r="Q572" s="1" t="e">
        <f t="shared" si="19"/>
        <v>#REF!</v>
      </c>
      <c r="S572" s="11" t="s">
        <v>1036</v>
      </c>
    </row>
    <row r="573" spans="1:19" x14ac:dyDescent="0.25">
      <c r="A573" t="s">
        <v>1240</v>
      </c>
      <c r="B573" t="s">
        <v>13</v>
      </c>
      <c r="C573" s="12">
        <v>46050</v>
      </c>
      <c r="D573" s="12">
        <v>46140</v>
      </c>
      <c r="E573" t="s">
        <v>793</v>
      </c>
      <c r="F573" t="s">
        <v>14</v>
      </c>
      <c r="G573">
        <v>59314118</v>
      </c>
      <c r="H573" t="s">
        <v>259</v>
      </c>
      <c r="I573">
        <v>43624414</v>
      </c>
      <c r="J573" t="s">
        <v>14</v>
      </c>
      <c r="K573" t="s">
        <v>18</v>
      </c>
      <c r="L573" s="1" t="e">
        <f>VLOOKUP(A573,#REF!,2,0)</f>
        <v>#REF!</v>
      </c>
      <c r="M573" s="1">
        <v>0</v>
      </c>
      <c r="N573" s="10">
        <v>6000000</v>
      </c>
      <c r="O573" s="10"/>
      <c r="P573" t="s">
        <v>704</v>
      </c>
      <c r="Q573" s="1" t="e">
        <f t="shared" si="19"/>
        <v>#REF!</v>
      </c>
      <c r="S573" s="11" t="s">
        <v>1036</v>
      </c>
    </row>
    <row r="574" spans="1:19" x14ac:dyDescent="0.25">
      <c r="A574" t="s">
        <v>1241</v>
      </c>
      <c r="B574" t="s">
        <v>13</v>
      </c>
      <c r="C574" s="12">
        <v>46050</v>
      </c>
      <c r="D574" s="12">
        <v>46140</v>
      </c>
      <c r="E574" t="s">
        <v>793</v>
      </c>
      <c r="F574" t="s">
        <v>14</v>
      </c>
      <c r="G574">
        <v>1081052090</v>
      </c>
      <c r="H574" t="s">
        <v>529</v>
      </c>
      <c r="I574">
        <v>98333941</v>
      </c>
      <c r="J574" t="s">
        <v>14</v>
      </c>
      <c r="K574" t="s">
        <v>15</v>
      </c>
      <c r="L574" s="1" t="e">
        <f>VLOOKUP(A574,#REF!,2,0)</f>
        <v>#REF!</v>
      </c>
      <c r="M574" s="1">
        <v>0</v>
      </c>
      <c r="N574" s="10">
        <v>6000000</v>
      </c>
      <c r="O574" s="10"/>
      <c r="P574" t="s">
        <v>704</v>
      </c>
      <c r="Q574" s="1" t="e">
        <f t="shared" si="19"/>
        <v>#REF!</v>
      </c>
      <c r="S574" s="11" t="s">
        <v>1036</v>
      </c>
    </row>
    <row r="575" spans="1:19" x14ac:dyDescent="0.25">
      <c r="A575" t="s">
        <v>1242</v>
      </c>
      <c r="B575" t="s">
        <v>13</v>
      </c>
      <c r="C575" s="12">
        <v>46050</v>
      </c>
      <c r="D575" s="12">
        <v>46140</v>
      </c>
      <c r="E575" t="s">
        <v>793</v>
      </c>
      <c r="F575" t="s">
        <v>14</v>
      </c>
      <c r="G575">
        <v>1081282855</v>
      </c>
      <c r="H575" t="s">
        <v>242</v>
      </c>
      <c r="I575">
        <v>43624414</v>
      </c>
      <c r="J575" t="s">
        <v>14</v>
      </c>
      <c r="K575" t="s">
        <v>18</v>
      </c>
      <c r="L575" s="1" t="e">
        <f>VLOOKUP(A575,#REF!,2,0)</f>
        <v>#REF!</v>
      </c>
      <c r="M575" s="1">
        <v>0</v>
      </c>
      <c r="N575" s="10">
        <v>6000000</v>
      </c>
      <c r="O575" s="10"/>
      <c r="P575" t="s">
        <v>704</v>
      </c>
      <c r="Q575" s="1" t="e">
        <f t="shared" si="19"/>
        <v>#REF!</v>
      </c>
      <c r="S575" s="11" t="s">
        <v>1036</v>
      </c>
    </row>
    <row r="576" spans="1:19" x14ac:dyDescent="0.25">
      <c r="A576" t="s">
        <v>1243</v>
      </c>
      <c r="B576" t="s">
        <v>13</v>
      </c>
      <c r="C576" s="12">
        <v>46052</v>
      </c>
      <c r="D576" s="12">
        <v>46203</v>
      </c>
      <c r="E576" t="s">
        <v>744</v>
      </c>
      <c r="F576" t="s">
        <v>14</v>
      </c>
      <c r="G576">
        <v>1085344910</v>
      </c>
      <c r="H576" t="s">
        <v>841</v>
      </c>
      <c r="I576">
        <v>59836926</v>
      </c>
      <c r="J576" t="s">
        <v>14</v>
      </c>
      <c r="K576" t="s">
        <v>17</v>
      </c>
      <c r="L576" s="1" t="e">
        <f>VLOOKUP(A576,#REF!,2,0)</f>
        <v>#REF!</v>
      </c>
      <c r="M576" s="1">
        <v>0</v>
      </c>
      <c r="N576" s="10">
        <v>39000000</v>
      </c>
      <c r="O576" s="10"/>
      <c r="P576" t="s">
        <v>704</v>
      </c>
      <c r="Q576" s="1" t="e">
        <f t="shared" si="19"/>
        <v>#REF!</v>
      </c>
      <c r="S576" s="11" t="s">
        <v>1036</v>
      </c>
    </row>
    <row r="577" spans="1:19" x14ac:dyDescent="0.25">
      <c r="A577" t="s">
        <v>1244</v>
      </c>
      <c r="B577" t="s">
        <v>13</v>
      </c>
      <c r="C577" s="12">
        <v>46055</v>
      </c>
      <c r="D577" s="12">
        <v>46203</v>
      </c>
      <c r="E577" t="s">
        <v>775</v>
      </c>
      <c r="F577" t="s">
        <v>14</v>
      </c>
      <c r="G577">
        <v>1085313735</v>
      </c>
      <c r="H577" t="s">
        <v>885</v>
      </c>
      <c r="I577">
        <v>98333941</v>
      </c>
      <c r="J577" t="s">
        <v>14</v>
      </c>
      <c r="K577" t="s">
        <v>15</v>
      </c>
      <c r="L577" s="1" t="e">
        <f>VLOOKUP(A577,#REF!,2,0)</f>
        <v>#REF!</v>
      </c>
      <c r="M577" s="1">
        <v>0</v>
      </c>
      <c r="N577" s="10">
        <v>15750000</v>
      </c>
      <c r="O577" s="10"/>
      <c r="P577" t="s">
        <v>704</v>
      </c>
      <c r="Q577" s="1" t="e">
        <f t="shared" si="19"/>
        <v>#REF!</v>
      </c>
      <c r="S577" s="11" t="s">
        <v>1036</v>
      </c>
    </row>
    <row r="578" spans="1:19" x14ac:dyDescent="0.25">
      <c r="A578" t="s">
        <v>1245</v>
      </c>
      <c r="B578" t="s">
        <v>13</v>
      </c>
      <c r="C578" s="12">
        <v>46055</v>
      </c>
      <c r="D578" s="12">
        <v>46144</v>
      </c>
      <c r="E578" t="s">
        <v>793</v>
      </c>
      <c r="F578" t="s">
        <v>14</v>
      </c>
      <c r="G578">
        <v>37082781</v>
      </c>
      <c r="H578" t="s">
        <v>959</v>
      </c>
      <c r="I578">
        <v>59836926</v>
      </c>
      <c r="J578" t="s">
        <v>14</v>
      </c>
      <c r="K578" t="s">
        <v>17</v>
      </c>
      <c r="L578" s="1" t="e">
        <f>VLOOKUP(A578,#REF!,2,0)</f>
        <v>#REF!</v>
      </c>
      <c r="M578" s="1">
        <v>0</v>
      </c>
      <c r="N578" s="10">
        <v>6000000</v>
      </c>
      <c r="O578" s="10"/>
      <c r="P578" t="s">
        <v>704</v>
      </c>
      <c r="Q578" s="1" t="e">
        <f t="shared" si="19"/>
        <v>#REF!</v>
      </c>
      <c r="S578" s="11" t="s">
        <v>1036</v>
      </c>
    </row>
    <row r="579" spans="1:19" x14ac:dyDescent="0.25">
      <c r="A579" t="s">
        <v>1246</v>
      </c>
      <c r="B579" t="s">
        <v>13</v>
      </c>
      <c r="C579" s="12">
        <v>46055</v>
      </c>
      <c r="D579" s="12">
        <v>46203</v>
      </c>
      <c r="E579" t="s">
        <v>775</v>
      </c>
      <c r="F579" t="s">
        <v>14</v>
      </c>
      <c r="G579">
        <v>1004136704</v>
      </c>
      <c r="H579" t="s">
        <v>886</v>
      </c>
      <c r="I579">
        <v>98333941</v>
      </c>
      <c r="J579" t="s">
        <v>14</v>
      </c>
      <c r="K579" t="s">
        <v>15</v>
      </c>
      <c r="L579" s="1" t="e">
        <f>VLOOKUP(A579,#REF!,2,0)</f>
        <v>#REF!</v>
      </c>
      <c r="M579" s="1">
        <v>0</v>
      </c>
      <c r="N579" s="10">
        <v>15750000</v>
      </c>
      <c r="O579" s="10"/>
      <c r="P579" t="s">
        <v>704</v>
      </c>
      <c r="Q579" s="1" t="e">
        <f t="shared" si="19"/>
        <v>#REF!</v>
      </c>
      <c r="S579" s="11" t="s">
        <v>1036</v>
      </c>
    </row>
    <row r="580" spans="1:19" x14ac:dyDescent="0.25">
      <c r="A580" t="s">
        <v>1247</v>
      </c>
      <c r="B580" t="s">
        <v>13</v>
      </c>
      <c r="C580" s="12">
        <v>46055</v>
      </c>
      <c r="D580" s="12">
        <v>46203</v>
      </c>
      <c r="E580" t="s">
        <v>775</v>
      </c>
      <c r="F580" t="s">
        <v>14</v>
      </c>
      <c r="G580">
        <v>1085339060</v>
      </c>
      <c r="H580" t="s">
        <v>878</v>
      </c>
      <c r="I580">
        <v>98333941</v>
      </c>
      <c r="J580" t="s">
        <v>14</v>
      </c>
      <c r="K580" t="s">
        <v>15</v>
      </c>
      <c r="L580" s="1" t="e">
        <f>VLOOKUP(A580,#REF!,2,0)</f>
        <v>#REF!</v>
      </c>
      <c r="M580" s="1">
        <v>0</v>
      </c>
      <c r="N580" s="10">
        <v>15750000</v>
      </c>
      <c r="O580" s="10"/>
      <c r="P580" t="s">
        <v>704</v>
      </c>
      <c r="Q580" s="1" t="e">
        <f t="shared" si="19"/>
        <v>#REF!</v>
      </c>
      <c r="S580" s="11" t="s">
        <v>1036</v>
      </c>
    </row>
    <row r="581" spans="1:19" x14ac:dyDescent="0.25">
      <c r="A581" t="s">
        <v>1248</v>
      </c>
      <c r="B581" t="s">
        <v>13</v>
      </c>
      <c r="C581" s="12">
        <v>46055</v>
      </c>
      <c r="D581" s="12">
        <v>46203</v>
      </c>
      <c r="E581" t="s">
        <v>744</v>
      </c>
      <c r="F581" t="s">
        <v>14</v>
      </c>
      <c r="G581">
        <v>1010143140</v>
      </c>
      <c r="H581" t="s">
        <v>870</v>
      </c>
      <c r="I581">
        <v>98390119</v>
      </c>
      <c r="J581" t="s">
        <v>14</v>
      </c>
      <c r="K581" t="s">
        <v>63</v>
      </c>
      <c r="L581" s="1" t="e">
        <f>VLOOKUP(A581,#REF!,2,0)</f>
        <v>#REF!</v>
      </c>
      <c r="M581" s="1">
        <v>0</v>
      </c>
      <c r="N581" s="10">
        <v>39000000</v>
      </c>
      <c r="O581" s="10"/>
      <c r="P581" t="s">
        <v>704</v>
      </c>
      <c r="Q581" s="1" t="e">
        <f t="shared" si="19"/>
        <v>#REF!</v>
      </c>
      <c r="S581" s="11" t="s">
        <v>1036</v>
      </c>
    </row>
    <row r="582" spans="1:19" x14ac:dyDescent="0.25">
      <c r="A582" t="s">
        <v>1249</v>
      </c>
      <c r="B582" t="s">
        <v>13</v>
      </c>
      <c r="C582" s="12">
        <v>46055</v>
      </c>
      <c r="D582" s="12">
        <v>46203</v>
      </c>
      <c r="E582" t="s">
        <v>775</v>
      </c>
      <c r="F582" t="s">
        <v>14</v>
      </c>
      <c r="G582">
        <v>1087960681</v>
      </c>
      <c r="H582" t="s">
        <v>900</v>
      </c>
      <c r="I582">
        <v>98333941</v>
      </c>
      <c r="J582" t="s">
        <v>14</v>
      </c>
      <c r="K582" t="s">
        <v>15</v>
      </c>
      <c r="L582" s="1" t="e">
        <f>VLOOKUP(A582,#REF!,2,0)</f>
        <v>#REF!</v>
      </c>
      <c r="M582" s="1">
        <v>0</v>
      </c>
      <c r="N582" s="10">
        <v>15750000</v>
      </c>
      <c r="O582" s="10"/>
      <c r="P582" t="s">
        <v>704</v>
      </c>
      <c r="Q582" s="1" t="e">
        <f t="shared" si="19"/>
        <v>#REF!</v>
      </c>
      <c r="S582" s="11" t="s">
        <v>1036</v>
      </c>
    </row>
    <row r="583" spans="1:19" x14ac:dyDescent="0.25">
      <c r="A583" t="s">
        <v>1250</v>
      </c>
      <c r="B583" t="s">
        <v>13</v>
      </c>
      <c r="C583" s="12">
        <v>46055</v>
      </c>
      <c r="D583" s="12">
        <v>46203</v>
      </c>
      <c r="E583" t="s">
        <v>775</v>
      </c>
      <c r="F583" t="s">
        <v>14</v>
      </c>
      <c r="G583">
        <v>1080040910</v>
      </c>
      <c r="H583" t="s">
        <v>861</v>
      </c>
      <c r="I583">
        <v>98390119</v>
      </c>
      <c r="J583" t="s">
        <v>14</v>
      </c>
      <c r="K583" t="s">
        <v>63</v>
      </c>
      <c r="L583" s="1" t="e">
        <f>VLOOKUP(A583,#REF!,2,0)</f>
        <v>#REF!</v>
      </c>
      <c r="M583" s="1">
        <v>0</v>
      </c>
      <c r="N583" s="10">
        <v>15750000</v>
      </c>
      <c r="O583" s="10"/>
      <c r="P583" t="s">
        <v>704</v>
      </c>
      <c r="Q583" s="1" t="e">
        <f t="shared" si="19"/>
        <v>#REF!</v>
      </c>
      <c r="S583" s="11" t="s">
        <v>1036</v>
      </c>
    </row>
    <row r="584" spans="1:19" x14ac:dyDescent="0.25">
      <c r="A584" t="s">
        <v>1251</v>
      </c>
      <c r="B584" t="s">
        <v>13</v>
      </c>
      <c r="C584" s="12">
        <v>46055</v>
      </c>
      <c r="D584" s="12">
        <v>46203</v>
      </c>
      <c r="E584" t="s">
        <v>775</v>
      </c>
      <c r="F584" t="s">
        <v>14</v>
      </c>
      <c r="G584">
        <v>1004631427</v>
      </c>
      <c r="H584" t="s">
        <v>917</v>
      </c>
      <c r="I584">
        <v>98390119</v>
      </c>
      <c r="J584" t="s">
        <v>14</v>
      </c>
      <c r="K584" t="s">
        <v>63</v>
      </c>
      <c r="L584" s="1" t="e">
        <f>VLOOKUP(A584,#REF!,2,0)</f>
        <v>#REF!</v>
      </c>
      <c r="M584" s="1">
        <v>0</v>
      </c>
      <c r="N584" s="10">
        <v>31500000</v>
      </c>
      <c r="O584" s="10"/>
      <c r="P584" t="s">
        <v>704</v>
      </c>
      <c r="Q584" s="1" t="e">
        <f t="shared" si="19"/>
        <v>#REF!</v>
      </c>
      <c r="S584" s="11" t="s">
        <v>1036</v>
      </c>
    </row>
    <row r="585" spans="1:19" x14ac:dyDescent="0.25">
      <c r="A585" t="s">
        <v>1252</v>
      </c>
      <c r="B585" t="s">
        <v>13</v>
      </c>
      <c r="C585" s="12">
        <v>46055</v>
      </c>
      <c r="D585" s="12">
        <v>46142</v>
      </c>
      <c r="E585" t="s">
        <v>744</v>
      </c>
      <c r="F585" t="s">
        <v>14</v>
      </c>
      <c r="G585">
        <v>36950112</v>
      </c>
      <c r="H585" t="s">
        <v>838</v>
      </c>
      <c r="I585">
        <v>59836926</v>
      </c>
      <c r="J585" t="s">
        <v>14</v>
      </c>
      <c r="K585" t="s">
        <v>17</v>
      </c>
      <c r="L585" s="1" t="e">
        <f>VLOOKUP(A585,#REF!,2,0)</f>
        <v>#REF!</v>
      </c>
      <c r="M585" s="1">
        <v>0</v>
      </c>
      <c r="N585" s="10">
        <v>23400000</v>
      </c>
      <c r="O585" s="10"/>
      <c r="P585" t="s">
        <v>704</v>
      </c>
      <c r="Q585" s="1" t="e">
        <f t="shared" si="19"/>
        <v>#REF!</v>
      </c>
      <c r="S585" s="11" t="s">
        <v>1036</v>
      </c>
    </row>
    <row r="586" spans="1:19" x14ac:dyDescent="0.25">
      <c r="A586" t="s">
        <v>1253</v>
      </c>
      <c r="B586" t="s">
        <v>13</v>
      </c>
      <c r="C586" s="12">
        <v>46055</v>
      </c>
      <c r="D586" s="12">
        <v>46142</v>
      </c>
      <c r="E586" t="s">
        <v>744</v>
      </c>
      <c r="F586" t="s">
        <v>14</v>
      </c>
      <c r="G586">
        <v>37084101</v>
      </c>
      <c r="H586" t="s">
        <v>853</v>
      </c>
      <c r="I586">
        <v>59836926</v>
      </c>
      <c r="J586" t="s">
        <v>14</v>
      </c>
      <c r="K586" t="s">
        <v>17</v>
      </c>
      <c r="L586" s="1" t="e">
        <f>VLOOKUP(A586,#REF!,2,0)</f>
        <v>#REF!</v>
      </c>
      <c r="M586" s="1">
        <v>0</v>
      </c>
      <c r="N586" s="10">
        <v>23400000</v>
      </c>
      <c r="O586" s="10"/>
      <c r="P586" t="s">
        <v>704</v>
      </c>
      <c r="Q586" s="1" t="e">
        <f t="shared" si="19"/>
        <v>#REF!</v>
      </c>
      <c r="S586" s="11" t="s">
        <v>1036</v>
      </c>
    </row>
    <row r="587" spans="1:19" x14ac:dyDescent="0.25">
      <c r="A587" t="s">
        <v>1254</v>
      </c>
      <c r="B587" t="s">
        <v>13</v>
      </c>
      <c r="C587" s="12">
        <v>46055</v>
      </c>
      <c r="D587" s="12">
        <v>46142</v>
      </c>
      <c r="E587" t="s">
        <v>775</v>
      </c>
      <c r="F587" t="s">
        <v>14</v>
      </c>
      <c r="G587">
        <v>1010035235</v>
      </c>
      <c r="H587" t="s">
        <v>913</v>
      </c>
      <c r="I587">
        <v>59836926</v>
      </c>
      <c r="J587" t="s">
        <v>14</v>
      </c>
      <c r="K587" t="s">
        <v>17</v>
      </c>
      <c r="L587" s="1" t="e">
        <f>VLOOKUP(A587,#REF!,2,0)</f>
        <v>#REF!</v>
      </c>
      <c r="M587" s="1">
        <v>0</v>
      </c>
      <c r="N587" s="10">
        <v>9450000</v>
      </c>
      <c r="O587" s="10"/>
      <c r="P587" t="s">
        <v>704</v>
      </c>
      <c r="Q587" s="1" t="e">
        <f t="shared" si="19"/>
        <v>#REF!</v>
      </c>
      <c r="S587" s="11" t="s">
        <v>1036</v>
      </c>
    </row>
    <row r="588" spans="1:19" x14ac:dyDescent="0.25">
      <c r="A588" t="s">
        <v>1255</v>
      </c>
      <c r="B588" t="s">
        <v>13</v>
      </c>
      <c r="C588" s="12">
        <v>46055</v>
      </c>
      <c r="D588" s="12">
        <v>46142</v>
      </c>
      <c r="E588" t="s">
        <v>775</v>
      </c>
      <c r="F588" t="s">
        <v>14</v>
      </c>
      <c r="G588">
        <v>26453006</v>
      </c>
      <c r="H588" t="s">
        <v>851</v>
      </c>
      <c r="I588">
        <v>59836926</v>
      </c>
      <c r="J588" t="s">
        <v>14</v>
      </c>
      <c r="K588" t="s">
        <v>17</v>
      </c>
      <c r="L588" s="1" t="e">
        <f>VLOOKUP(A588,#REF!,2,0)</f>
        <v>#REF!</v>
      </c>
      <c r="M588" s="1">
        <v>0</v>
      </c>
      <c r="N588" s="10">
        <v>9450000</v>
      </c>
      <c r="O588" s="10"/>
      <c r="P588" t="s">
        <v>704</v>
      </c>
      <c r="Q588" s="1" t="e">
        <f t="shared" si="19"/>
        <v>#REF!</v>
      </c>
      <c r="S588" s="11" t="s">
        <v>1036</v>
      </c>
    </row>
    <row r="589" spans="1:19" x14ac:dyDescent="0.25">
      <c r="A589" t="s">
        <v>1256</v>
      </c>
      <c r="B589" t="s">
        <v>13</v>
      </c>
      <c r="C589" s="12">
        <v>46055</v>
      </c>
      <c r="D589" s="12">
        <v>46203</v>
      </c>
      <c r="E589" t="s">
        <v>775</v>
      </c>
      <c r="F589" t="s">
        <v>14</v>
      </c>
      <c r="G589">
        <v>1086363655</v>
      </c>
      <c r="H589" t="s">
        <v>911</v>
      </c>
      <c r="I589">
        <v>98390119</v>
      </c>
      <c r="J589" t="s">
        <v>14</v>
      </c>
      <c r="K589" t="s">
        <v>63</v>
      </c>
      <c r="L589" s="1" t="e">
        <f>VLOOKUP(A589,#REF!,2,0)</f>
        <v>#REF!</v>
      </c>
      <c r="M589" s="1">
        <v>0</v>
      </c>
      <c r="N589" s="10">
        <v>15750000</v>
      </c>
      <c r="O589" s="10"/>
      <c r="P589" t="s">
        <v>704</v>
      </c>
      <c r="Q589" s="1" t="e">
        <f t="shared" si="19"/>
        <v>#REF!</v>
      </c>
      <c r="S589" s="11" t="s">
        <v>1036</v>
      </c>
    </row>
    <row r="590" spans="1:19" x14ac:dyDescent="0.25">
      <c r="A590" t="s">
        <v>1257</v>
      </c>
      <c r="B590" t="s">
        <v>13</v>
      </c>
      <c r="C590" s="12">
        <v>46055</v>
      </c>
      <c r="D590" s="12">
        <v>46203</v>
      </c>
      <c r="E590" t="s">
        <v>775</v>
      </c>
      <c r="F590" t="s">
        <v>14</v>
      </c>
      <c r="G590">
        <v>98399200</v>
      </c>
      <c r="H590" t="s">
        <v>955</v>
      </c>
      <c r="I590">
        <v>43624414</v>
      </c>
      <c r="J590" t="s">
        <v>14</v>
      </c>
      <c r="K590" t="s">
        <v>18</v>
      </c>
      <c r="L590" s="1" t="e">
        <f>VLOOKUP(A590,#REF!,2,0)</f>
        <v>#REF!</v>
      </c>
      <c r="M590" s="1">
        <v>0</v>
      </c>
      <c r="N590" s="10">
        <v>18900000</v>
      </c>
      <c r="O590" s="10"/>
      <c r="P590" t="s">
        <v>704</v>
      </c>
      <c r="Q590" s="1" t="e">
        <f t="shared" si="19"/>
        <v>#REF!</v>
      </c>
      <c r="S590" s="11" t="s">
        <v>1036</v>
      </c>
    </row>
    <row r="591" spans="1:19" x14ac:dyDescent="0.25">
      <c r="A591" t="s">
        <v>1258</v>
      </c>
      <c r="B591" t="s">
        <v>13</v>
      </c>
      <c r="C591" s="12">
        <v>46055</v>
      </c>
      <c r="D591" s="12">
        <v>46203</v>
      </c>
      <c r="E591" t="s">
        <v>775</v>
      </c>
      <c r="F591" t="s">
        <v>14</v>
      </c>
      <c r="G591">
        <v>27487890</v>
      </c>
      <c r="H591" t="s">
        <v>942</v>
      </c>
      <c r="I591">
        <v>43624414</v>
      </c>
      <c r="J591" t="s">
        <v>14</v>
      </c>
      <c r="K591" t="s">
        <v>18</v>
      </c>
      <c r="L591" s="1" t="e">
        <f>VLOOKUP(A591,#REF!,2,0)</f>
        <v>#REF!</v>
      </c>
      <c r="M591" s="1">
        <v>0</v>
      </c>
      <c r="N591" s="10">
        <v>31500000</v>
      </c>
      <c r="O591" s="10"/>
      <c r="P591" t="s">
        <v>704</v>
      </c>
      <c r="Q591" s="1" t="e">
        <f t="shared" si="19"/>
        <v>#REF!</v>
      </c>
      <c r="S591" s="11" t="s">
        <v>1036</v>
      </c>
    </row>
    <row r="592" spans="1:19" x14ac:dyDescent="0.25">
      <c r="A592" t="s">
        <v>1259</v>
      </c>
      <c r="B592" t="s">
        <v>13</v>
      </c>
      <c r="C592" s="12">
        <v>46055</v>
      </c>
      <c r="D592" s="12">
        <v>46203</v>
      </c>
      <c r="E592" t="s">
        <v>775</v>
      </c>
      <c r="F592" t="s">
        <v>14</v>
      </c>
      <c r="G592">
        <v>59313585</v>
      </c>
      <c r="H592" t="s">
        <v>898</v>
      </c>
      <c r="I592">
        <v>98333941</v>
      </c>
      <c r="J592" t="s">
        <v>14</v>
      </c>
      <c r="K592" t="s">
        <v>15</v>
      </c>
      <c r="L592" s="1" t="e">
        <f>VLOOKUP(A592,#REF!,2,0)</f>
        <v>#REF!</v>
      </c>
      <c r="M592" s="1">
        <v>0</v>
      </c>
      <c r="N592" s="10">
        <v>15750000</v>
      </c>
      <c r="O592" s="10"/>
      <c r="P592" t="s">
        <v>704</v>
      </c>
      <c r="Q592" s="1" t="e">
        <f t="shared" si="19"/>
        <v>#REF!</v>
      </c>
      <c r="S592" s="11" t="s">
        <v>1036</v>
      </c>
    </row>
    <row r="593" spans="1:19" x14ac:dyDescent="0.25">
      <c r="A593" t="s">
        <v>1260</v>
      </c>
      <c r="B593" t="s">
        <v>13</v>
      </c>
      <c r="C593" s="12">
        <v>46055</v>
      </c>
      <c r="D593" s="12">
        <v>46203</v>
      </c>
      <c r="E593" t="s">
        <v>775</v>
      </c>
      <c r="F593" t="s">
        <v>14</v>
      </c>
      <c r="G593">
        <v>1080691508</v>
      </c>
      <c r="H593" t="s">
        <v>899</v>
      </c>
      <c r="I593">
        <v>98333941</v>
      </c>
      <c r="J593" t="s">
        <v>14</v>
      </c>
      <c r="K593" t="s">
        <v>15</v>
      </c>
      <c r="L593" s="1" t="e">
        <f>VLOOKUP(A593,#REF!,2,0)</f>
        <v>#REF!</v>
      </c>
      <c r="M593" s="1">
        <v>0</v>
      </c>
      <c r="N593" s="10">
        <v>15750000</v>
      </c>
      <c r="O593" s="10"/>
      <c r="P593" t="s">
        <v>704</v>
      </c>
      <c r="Q593" s="1" t="e">
        <f t="shared" si="19"/>
        <v>#REF!</v>
      </c>
      <c r="S593" s="11" t="s">
        <v>1036</v>
      </c>
    </row>
    <row r="594" spans="1:19" x14ac:dyDescent="0.25">
      <c r="A594" t="s">
        <v>1261</v>
      </c>
      <c r="B594" t="s">
        <v>13</v>
      </c>
      <c r="C594" s="12">
        <v>46055</v>
      </c>
      <c r="D594" s="12">
        <v>46203</v>
      </c>
      <c r="E594" t="s">
        <v>775</v>
      </c>
      <c r="F594" t="s">
        <v>14</v>
      </c>
      <c r="G594">
        <v>1004232029</v>
      </c>
      <c r="H594" t="s">
        <v>939</v>
      </c>
      <c r="I594">
        <v>43624414</v>
      </c>
      <c r="J594" t="s">
        <v>14</v>
      </c>
      <c r="K594" t="s">
        <v>18</v>
      </c>
      <c r="L594" s="1" t="e">
        <f>VLOOKUP(A594,#REF!,2,0)</f>
        <v>#REF!</v>
      </c>
      <c r="M594" s="1">
        <v>0</v>
      </c>
      <c r="N594" s="10">
        <v>31500000</v>
      </c>
      <c r="O594" s="10"/>
      <c r="P594" t="s">
        <v>704</v>
      </c>
      <c r="Q594" s="1" t="e">
        <f t="shared" ref="Q594:Q657" si="20">N594-L594</f>
        <v>#REF!</v>
      </c>
      <c r="S594" s="11" t="s">
        <v>1036</v>
      </c>
    </row>
    <row r="595" spans="1:19" x14ac:dyDescent="0.25">
      <c r="A595" t="s">
        <v>1262</v>
      </c>
      <c r="B595" t="s">
        <v>13</v>
      </c>
      <c r="C595" s="12">
        <v>46055</v>
      </c>
      <c r="D595" s="12">
        <v>46203</v>
      </c>
      <c r="E595" t="s">
        <v>775</v>
      </c>
      <c r="F595" t="s">
        <v>14</v>
      </c>
      <c r="G595">
        <v>1082630032</v>
      </c>
      <c r="H595" t="s">
        <v>912</v>
      </c>
      <c r="I595">
        <v>98390119</v>
      </c>
      <c r="J595" t="s">
        <v>14</v>
      </c>
      <c r="K595" t="s">
        <v>63</v>
      </c>
      <c r="L595" s="1" t="e">
        <f>VLOOKUP(A595,#REF!,2,0)</f>
        <v>#REF!</v>
      </c>
      <c r="M595" s="1">
        <v>0</v>
      </c>
      <c r="N595" s="10">
        <v>15750000</v>
      </c>
      <c r="O595" s="10"/>
      <c r="P595" t="s">
        <v>704</v>
      </c>
      <c r="Q595" s="1" t="e">
        <f t="shared" si="20"/>
        <v>#REF!</v>
      </c>
      <c r="S595" s="11" t="s">
        <v>1036</v>
      </c>
    </row>
    <row r="596" spans="1:19" x14ac:dyDescent="0.25">
      <c r="A596" t="s">
        <v>1263</v>
      </c>
      <c r="B596" t="s">
        <v>13</v>
      </c>
      <c r="C596" s="12">
        <v>46055</v>
      </c>
      <c r="D596" s="12">
        <v>46205</v>
      </c>
      <c r="E596" t="s">
        <v>775</v>
      </c>
      <c r="F596" t="s">
        <v>14</v>
      </c>
      <c r="G596">
        <v>1085281034</v>
      </c>
      <c r="H596" t="s">
        <v>884</v>
      </c>
      <c r="I596">
        <v>98333941</v>
      </c>
      <c r="J596" t="s">
        <v>14</v>
      </c>
      <c r="K596" t="s">
        <v>15</v>
      </c>
      <c r="L596" s="1" t="e">
        <f>VLOOKUP(A596,#REF!,2,0)</f>
        <v>#REF!</v>
      </c>
      <c r="M596" s="1">
        <v>0</v>
      </c>
      <c r="N596" s="10">
        <v>31500000</v>
      </c>
      <c r="O596" s="10"/>
      <c r="P596" t="s">
        <v>704</v>
      </c>
      <c r="Q596" s="1" t="e">
        <f t="shared" si="20"/>
        <v>#REF!</v>
      </c>
      <c r="S596" s="11" t="s">
        <v>1036</v>
      </c>
    </row>
    <row r="597" spans="1:19" x14ac:dyDescent="0.25">
      <c r="A597" t="s">
        <v>1264</v>
      </c>
      <c r="B597" t="s">
        <v>13</v>
      </c>
      <c r="C597" s="12">
        <v>46055</v>
      </c>
      <c r="D597" s="12">
        <v>46203</v>
      </c>
      <c r="E597" t="s">
        <v>775</v>
      </c>
      <c r="F597" t="s">
        <v>14</v>
      </c>
      <c r="G597">
        <v>1085313206</v>
      </c>
      <c r="H597" t="s">
        <v>867</v>
      </c>
      <c r="I597">
        <v>98333941</v>
      </c>
      <c r="J597" t="s">
        <v>14</v>
      </c>
      <c r="K597" t="s">
        <v>15</v>
      </c>
      <c r="L597" s="1" t="e">
        <f>VLOOKUP(A597,#REF!,2,0)</f>
        <v>#REF!</v>
      </c>
      <c r="M597" s="1">
        <v>0</v>
      </c>
      <c r="N597" s="10">
        <v>31500000</v>
      </c>
      <c r="O597" s="10"/>
      <c r="P597" t="s">
        <v>704</v>
      </c>
      <c r="Q597" s="1" t="e">
        <f t="shared" si="20"/>
        <v>#REF!</v>
      </c>
      <c r="S597" s="11" t="s">
        <v>1036</v>
      </c>
    </row>
    <row r="598" spans="1:19" x14ac:dyDescent="0.25">
      <c r="A598" t="s">
        <v>1265</v>
      </c>
      <c r="B598" t="s">
        <v>13</v>
      </c>
      <c r="C598" s="12">
        <v>46055</v>
      </c>
      <c r="D598" s="12">
        <v>46203</v>
      </c>
      <c r="E598" t="s">
        <v>775</v>
      </c>
      <c r="F598" t="s">
        <v>14</v>
      </c>
      <c r="G598">
        <v>1085288297</v>
      </c>
      <c r="H598" t="s">
        <v>940</v>
      </c>
      <c r="I598">
        <v>43624414</v>
      </c>
      <c r="J598" t="s">
        <v>14</v>
      </c>
      <c r="K598" t="s">
        <v>18</v>
      </c>
      <c r="L598" s="1" t="e">
        <f>VLOOKUP(A598,#REF!,2,0)</f>
        <v>#REF!</v>
      </c>
      <c r="M598" s="1">
        <v>0</v>
      </c>
      <c r="N598" s="10">
        <v>15750000</v>
      </c>
      <c r="O598" s="10"/>
      <c r="P598" t="s">
        <v>704</v>
      </c>
      <c r="Q598" s="1" t="e">
        <f t="shared" si="20"/>
        <v>#REF!</v>
      </c>
      <c r="S598" s="11" t="s">
        <v>1036</v>
      </c>
    </row>
    <row r="599" spans="1:19" x14ac:dyDescent="0.25">
      <c r="A599" t="s">
        <v>1266</v>
      </c>
      <c r="B599" t="s">
        <v>13</v>
      </c>
      <c r="C599" s="12">
        <v>46055</v>
      </c>
      <c r="D599" s="12">
        <v>46203</v>
      </c>
      <c r="E599" t="s">
        <v>775</v>
      </c>
      <c r="F599" t="s">
        <v>14</v>
      </c>
      <c r="G599">
        <v>1089458129</v>
      </c>
      <c r="H599" t="s">
        <v>862</v>
      </c>
      <c r="I599">
        <v>43624414</v>
      </c>
      <c r="J599" t="s">
        <v>14</v>
      </c>
      <c r="K599" t="s">
        <v>18</v>
      </c>
      <c r="L599" s="1" t="e">
        <f>VLOOKUP(A599,#REF!,2,0)</f>
        <v>#REF!</v>
      </c>
      <c r="M599" s="1">
        <v>0</v>
      </c>
      <c r="N599" s="10">
        <v>15750000</v>
      </c>
      <c r="O599" s="10"/>
      <c r="P599" t="s">
        <v>704</v>
      </c>
      <c r="Q599" s="1" t="e">
        <f t="shared" si="20"/>
        <v>#REF!</v>
      </c>
      <c r="S599" s="11" t="s">
        <v>1036</v>
      </c>
    </row>
    <row r="600" spans="1:19" x14ac:dyDescent="0.25">
      <c r="A600" t="s">
        <v>1267</v>
      </c>
      <c r="B600" t="s">
        <v>13</v>
      </c>
      <c r="C600" s="12">
        <v>46055</v>
      </c>
      <c r="D600" s="12">
        <v>46203</v>
      </c>
      <c r="E600" t="s">
        <v>775</v>
      </c>
      <c r="F600" t="s">
        <v>14</v>
      </c>
      <c r="G600">
        <v>1085283202</v>
      </c>
      <c r="H600" t="s">
        <v>958</v>
      </c>
      <c r="I600">
        <v>98390119</v>
      </c>
      <c r="J600" t="s">
        <v>14</v>
      </c>
      <c r="K600" t="s">
        <v>63</v>
      </c>
      <c r="L600" s="1" t="e">
        <f>VLOOKUP(A600,#REF!,2,0)</f>
        <v>#REF!</v>
      </c>
      <c r="M600" s="1">
        <v>0</v>
      </c>
      <c r="N600" s="10">
        <v>31500000</v>
      </c>
      <c r="O600" s="10"/>
      <c r="P600" t="s">
        <v>704</v>
      </c>
      <c r="Q600" s="1" t="e">
        <f t="shared" si="20"/>
        <v>#REF!</v>
      </c>
      <c r="S600" s="11" t="s">
        <v>1036</v>
      </c>
    </row>
    <row r="601" spans="1:19" x14ac:dyDescent="0.25">
      <c r="A601" t="s">
        <v>1268</v>
      </c>
      <c r="B601" t="s">
        <v>13</v>
      </c>
      <c r="C601" s="12">
        <v>46055</v>
      </c>
      <c r="D601" s="12">
        <v>46203</v>
      </c>
      <c r="E601" t="s">
        <v>775</v>
      </c>
      <c r="F601" t="s">
        <v>14</v>
      </c>
      <c r="G601">
        <v>27224982</v>
      </c>
      <c r="H601" t="s">
        <v>907</v>
      </c>
      <c r="I601">
        <v>98390119</v>
      </c>
      <c r="J601" t="s">
        <v>14</v>
      </c>
      <c r="K601" t="s">
        <v>63</v>
      </c>
      <c r="L601" s="1" t="e">
        <f>VLOOKUP(A601,#REF!,2,0)</f>
        <v>#REF!</v>
      </c>
      <c r="M601" s="1">
        <v>0</v>
      </c>
      <c r="N601" s="10">
        <v>31500000</v>
      </c>
      <c r="O601" s="10"/>
      <c r="P601" t="s">
        <v>704</v>
      </c>
      <c r="Q601" s="1" t="e">
        <f t="shared" si="20"/>
        <v>#REF!</v>
      </c>
      <c r="S601" s="11" t="s">
        <v>1036</v>
      </c>
    </row>
    <row r="602" spans="1:19" x14ac:dyDescent="0.25">
      <c r="A602" t="s">
        <v>1269</v>
      </c>
      <c r="B602" t="s">
        <v>13</v>
      </c>
      <c r="C602" s="12">
        <v>46055</v>
      </c>
      <c r="D602" s="12">
        <v>46203</v>
      </c>
      <c r="E602" t="s">
        <v>775</v>
      </c>
      <c r="F602" t="s">
        <v>14</v>
      </c>
      <c r="G602">
        <v>1004542606</v>
      </c>
      <c r="H602" t="s">
        <v>876</v>
      </c>
      <c r="I602">
        <v>98333941</v>
      </c>
      <c r="J602" t="s">
        <v>14</v>
      </c>
      <c r="K602" t="s">
        <v>15</v>
      </c>
      <c r="L602" s="1" t="e">
        <f>VLOOKUP(A602,#REF!,2,0)</f>
        <v>#REF!</v>
      </c>
      <c r="M602" s="1">
        <v>0</v>
      </c>
      <c r="N602" s="10">
        <v>15750000</v>
      </c>
      <c r="O602" s="10"/>
      <c r="P602" t="s">
        <v>704</v>
      </c>
      <c r="Q602" s="1" t="e">
        <f t="shared" si="20"/>
        <v>#REF!</v>
      </c>
      <c r="S602" s="11" t="s">
        <v>1036</v>
      </c>
    </row>
    <row r="603" spans="1:19" x14ac:dyDescent="0.25">
      <c r="A603" t="s">
        <v>1270</v>
      </c>
      <c r="B603" t="s">
        <v>13</v>
      </c>
      <c r="C603" s="12">
        <v>46055</v>
      </c>
      <c r="D603" s="12">
        <v>46203</v>
      </c>
      <c r="E603" t="s">
        <v>775</v>
      </c>
      <c r="F603" t="s">
        <v>14</v>
      </c>
      <c r="G603">
        <v>1085252484</v>
      </c>
      <c r="H603" t="s">
        <v>897</v>
      </c>
      <c r="I603">
        <v>98333941</v>
      </c>
      <c r="J603" t="s">
        <v>14</v>
      </c>
      <c r="K603" t="s">
        <v>15</v>
      </c>
      <c r="L603" s="1" t="e">
        <f>VLOOKUP(A603,#REF!,2,0)</f>
        <v>#REF!</v>
      </c>
      <c r="M603" s="1">
        <v>0</v>
      </c>
      <c r="N603" s="10">
        <v>31500000</v>
      </c>
      <c r="O603" s="10"/>
      <c r="P603" t="s">
        <v>704</v>
      </c>
      <c r="Q603" s="1" t="e">
        <f t="shared" si="20"/>
        <v>#REF!</v>
      </c>
      <c r="S603" s="11" t="s">
        <v>1036</v>
      </c>
    </row>
    <row r="604" spans="1:19" x14ac:dyDescent="0.25">
      <c r="A604" t="s">
        <v>1271</v>
      </c>
      <c r="B604" t="s">
        <v>13</v>
      </c>
      <c r="C604" s="12">
        <v>46055</v>
      </c>
      <c r="D604" s="12">
        <v>46112</v>
      </c>
      <c r="E604" t="s">
        <v>744</v>
      </c>
      <c r="F604" t="s">
        <v>14</v>
      </c>
      <c r="G604">
        <v>1085310394</v>
      </c>
      <c r="H604" t="s">
        <v>840</v>
      </c>
      <c r="I604">
        <v>98333941</v>
      </c>
      <c r="J604" t="s">
        <v>14</v>
      </c>
      <c r="K604" t="s">
        <v>15</v>
      </c>
      <c r="L604" s="1" t="e">
        <f>VLOOKUP(A604,#REF!,2,0)</f>
        <v>#REF!</v>
      </c>
      <c r="M604" s="1">
        <v>0</v>
      </c>
      <c r="N604" s="10">
        <v>23400000</v>
      </c>
      <c r="O604" s="10"/>
      <c r="P604" t="s">
        <v>704</v>
      </c>
      <c r="Q604" s="1" t="e">
        <f t="shared" si="20"/>
        <v>#REF!</v>
      </c>
      <c r="S604" s="11" t="s">
        <v>1036</v>
      </c>
    </row>
    <row r="605" spans="1:19" x14ac:dyDescent="0.25">
      <c r="A605" t="s">
        <v>1272</v>
      </c>
      <c r="B605" t="s">
        <v>13</v>
      </c>
      <c r="C605" s="12">
        <v>46055</v>
      </c>
      <c r="D605" s="12">
        <v>46203</v>
      </c>
      <c r="E605" t="s">
        <v>775</v>
      </c>
      <c r="F605" t="s">
        <v>14</v>
      </c>
      <c r="G605">
        <v>1086224323</v>
      </c>
      <c r="H605" t="s">
        <v>908</v>
      </c>
      <c r="I605">
        <v>98390119</v>
      </c>
      <c r="J605" t="s">
        <v>14</v>
      </c>
      <c r="K605" t="s">
        <v>63</v>
      </c>
      <c r="L605" s="1" t="e">
        <f>VLOOKUP(A605,#REF!,2,0)</f>
        <v>#REF!</v>
      </c>
      <c r="M605" s="1">
        <v>0</v>
      </c>
      <c r="N605" s="10">
        <v>15750000</v>
      </c>
      <c r="O605" s="10"/>
      <c r="P605" t="s">
        <v>704</v>
      </c>
      <c r="Q605" s="1" t="e">
        <f t="shared" si="20"/>
        <v>#REF!</v>
      </c>
      <c r="S605" s="11" t="s">
        <v>1036</v>
      </c>
    </row>
    <row r="606" spans="1:19" x14ac:dyDescent="0.25">
      <c r="A606" t="s">
        <v>1273</v>
      </c>
      <c r="B606" t="s">
        <v>13</v>
      </c>
      <c r="C606" s="12">
        <v>46055</v>
      </c>
      <c r="D606" s="12">
        <v>46203</v>
      </c>
      <c r="E606" t="s">
        <v>775</v>
      </c>
      <c r="F606" t="s">
        <v>14</v>
      </c>
      <c r="G606">
        <v>1086362994</v>
      </c>
      <c r="H606" t="s">
        <v>877</v>
      </c>
      <c r="I606">
        <v>98333941</v>
      </c>
      <c r="J606" t="s">
        <v>14</v>
      </c>
      <c r="K606" t="s">
        <v>15</v>
      </c>
      <c r="L606" s="1" t="e">
        <f>VLOOKUP(A606,#REF!,2,0)</f>
        <v>#REF!</v>
      </c>
      <c r="M606" s="1">
        <v>0</v>
      </c>
      <c r="N606" s="10">
        <v>15750000</v>
      </c>
      <c r="O606" s="10"/>
      <c r="P606" t="s">
        <v>704</v>
      </c>
      <c r="Q606" s="1" t="e">
        <f t="shared" si="20"/>
        <v>#REF!</v>
      </c>
      <c r="S606" s="11" t="s">
        <v>1036</v>
      </c>
    </row>
    <row r="607" spans="1:19" x14ac:dyDescent="0.25">
      <c r="A607" t="s">
        <v>1274</v>
      </c>
      <c r="B607" t="s">
        <v>13</v>
      </c>
      <c r="C607" s="12">
        <v>46056</v>
      </c>
      <c r="D607" s="12">
        <v>46203</v>
      </c>
      <c r="E607" t="s">
        <v>775</v>
      </c>
      <c r="F607" t="s">
        <v>14</v>
      </c>
      <c r="G607">
        <v>36951884</v>
      </c>
      <c r="H607" t="s">
        <v>880</v>
      </c>
      <c r="I607">
        <v>98390119</v>
      </c>
      <c r="J607" t="s">
        <v>14</v>
      </c>
      <c r="K607" t="s">
        <v>63</v>
      </c>
      <c r="L607" s="1" t="e">
        <f>VLOOKUP(A607,#REF!,2,0)</f>
        <v>#REF!</v>
      </c>
      <c r="M607" s="1">
        <v>0</v>
      </c>
      <c r="N607" s="10">
        <v>15750000</v>
      </c>
      <c r="O607" s="10"/>
      <c r="P607" t="s">
        <v>704</v>
      </c>
      <c r="Q607" s="1" t="e">
        <f t="shared" si="20"/>
        <v>#REF!</v>
      </c>
      <c r="S607" s="11" t="s">
        <v>1036</v>
      </c>
    </row>
    <row r="608" spans="1:19" x14ac:dyDescent="0.25">
      <c r="A608" t="s">
        <v>1275</v>
      </c>
      <c r="B608" t="s">
        <v>13</v>
      </c>
      <c r="C608" s="12">
        <v>46056</v>
      </c>
      <c r="D608" s="12">
        <v>46203</v>
      </c>
      <c r="E608" t="s">
        <v>775</v>
      </c>
      <c r="F608" t="s">
        <v>14</v>
      </c>
      <c r="G608">
        <v>1085311576</v>
      </c>
      <c r="H608" t="s">
        <v>909</v>
      </c>
      <c r="I608">
        <v>98390119</v>
      </c>
      <c r="J608" t="s">
        <v>14</v>
      </c>
      <c r="K608" t="s">
        <v>63</v>
      </c>
      <c r="L608" s="1" t="e">
        <f>VLOOKUP(A608,#REF!,2,0)</f>
        <v>#REF!</v>
      </c>
      <c r="M608" s="1">
        <v>0</v>
      </c>
      <c r="N608" s="10">
        <v>15750000</v>
      </c>
      <c r="O608" s="10"/>
      <c r="P608" t="s">
        <v>704</v>
      </c>
      <c r="Q608" s="1" t="e">
        <f t="shared" si="20"/>
        <v>#REF!</v>
      </c>
      <c r="S608" s="11" t="s">
        <v>1036</v>
      </c>
    </row>
    <row r="609" spans="1:19" x14ac:dyDescent="0.25">
      <c r="A609" t="s">
        <v>1276</v>
      </c>
      <c r="B609" t="s">
        <v>13</v>
      </c>
      <c r="C609" s="12">
        <v>46056</v>
      </c>
      <c r="D609" s="12">
        <v>46203</v>
      </c>
      <c r="E609" t="s">
        <v>775</v>
      </c>
      <c r="F609" t="s">
        <v>14</v>
      </c>
      <c r="G609">
        <v>27444591</v>
      </c>
      <c r="H609" t="s">
        <v>244</v>
      </c>
      <c r="I609">
        <v>43624414</v>
      </c>
      <c r="J609" t="s">
        <v>14</v>
      </c>
      <c r="K609" t="s">
        <v>18</v>
      </c>
      <c r="L609" s="1" t="e">
        <f>VLOOKUP(A609,#REF!,2,0)</f>
        <v>#REF!</v>
      </c>
      <c r="M609" s="1">
        <v>0</v>
      </c>
      <c r="N609" s="10">
        <v>15750000</v>
      </c>
      <c r="O609" s="10"/>
      <c r="P609" t="s">
        <v>704</v>
      </c>
      <c r="Q609" s="1" t="e">
        <f t="shared" si="20"/>
        <v>#REF!</v>
      </c>
      <c r="S609" s="11" t="s">
        <v>1036</v>
      </c>
    </row>
    <row r="610" spans="1:19" x14ac:dyDescent="0.25">
      <c r="A610" t="s">
        <v>1277</v>
      </c>
      <c r="B610" t="s">
        <v>13</v>
      </c>
      <c r="C610" s="12">
        <v>46056</v>
      </c>
      <c r="D610" s="12">
        <v>46203</v>
      </c>
      <c r="E610" t="s">
        <v>775</v>
      </c>
      <c r="F610" t="s">
        <v>14</v>
      </c>
      <c r="G610">
        <v>1081276122</v>
      </c>
      <c r="H610" t="s">
        <v>918</v>
      </c>
      <c r="I610">
        <v>98390119</v>
      </c>
      <c r="J610" t="s">
        <v>14</v>
      </c>
      <c r="K610" t="s">
        <v>63</v>
      </c>
      <c r="L610" s="1" t="e">
        <f>VLOOKUP(A610,#REF!,2,0)</f>
        <v>#REF!</v>
      </c>
      <c r="M610" s="1">
        <v>0</v>
      </c>
      <c r="N610" s="10">
        <v>15750000</v>
      </c>
      <c r="O610" s="10"/>
      <c r="P610" t="s">
        <v>704</v>
      </c>
      <c r="Q610" s="1" t="e">
        <f t="shared" si="20"/>
        <v>#REF!</v>
      </c>
      <c r="S610" s="11" t="s">
        <v>1036</v>
      </c>
    </row>
    <row r="611" spans="1:19" x14ac:dyDescent="0.25">
      <c r="A611" t="s">
        <v>1278</v>
      </c>
      <c r="B611" t="s">
        <v>13</v>
      </c>
      <c r="C611" s="12">
        <v>46056</v>
      </c>
      <c r="D611" s="12">
        <v>46081</v>
      </c>
      <c r="E611" t="s">
        <v>775</v>
      </c>
      <c r="F611" t="s">
        <v>14</v>
      </c>
      <c r="G611">
        <v>1084551863</v>
      </c>
      <c r="H611" t="s">
        <v>668</v>
      </c>
      <c r="I611">
        <v>98333941</v>
      </c>
      <c r="J611" t="s">
        <v>14</v>
      </c>
      <c r="K611" t="s">
        <v>15</v>
      </c>
      <c r="L611" s="1" t="e">
        <f>VLOOKUP(A611,#REF!,2,0)</f>
        <v>#REF!</v>
      </c>
      <c r="M611" s="1">
        <v>0</v>
      </c>
      <c r="N611" s="10">
        <v>6300000</v>
      </c>
      <c r="O611" s="10"/>
      <c r="P611" t="s">
        <v>704</v>
      </c>
      <c r="Q611" s="1" t="e">
        <f t="shared" si="20"/>
        <v>#REF!</v>
      </c>
      <c r="S611" s="11" t="s">
        <v>1036</v>
      </c>
    </row>
    <row r="612" spans="1:19" x14ac:dyDescent="0.25">
      <c r="A612" t="s">
        <v>1279</v>
      </c>
      <c r="B612" t="s">
        <v>13</v>
      </c>
      <c r="C612" s="12">
        <v>46056</v>
      </c>
      <c r="D612" s="12">
        <v>46203</v>
      </c>
      <c r="E612" t="s">
        <v>775</v>
      </c>
      <c r="F612" t="s">
        <v>14</v>
      </c>
      <c r="G612">
        <v>1004696654</v>
      </c>
      <c r="H612" t="s">
        <v>893</v>
      </c>
      <c r="I612">
        <v>98333941</v>
      </c>
      <c r="J612" t="s">
        <v>14</v>
      </c>
      <c r="K612" t="s">
        <v>15</v>
      </c>
      <c r="L612" s="1" t="e">
        <f>VLOOKUP(A612,#REF!,2,0)</f>
        <v>#REF!</v>
      </c>
      <c r="M612" s="1">
        <v>0</v>
      </c>
      <c r="N612" s="10">
        <v>31500000</v>
      </c>
      <c r="O612" s="10"/>
      <c r="P612" t="s">
        <v>704</v>
      </c>
      <c r="Q612" s="1" t="e">
        <f t="shared" si="20"/>
        <v>#REF!</v>
      </c>
      <c r="S612" s="11" t="s">
        <v>1036</v>
      </c>
    </row>
    <row r="613" spans="1:19" x14ac:dyDescent="0.25">
      <c r="A613" t="s">
        <v>1280</v>
      </c>
      <c r="B613" t="s">
        <v>13</v>
      </c>
      <c r="C613" s="12">
        <v>46057</v>
      </c>
      <c r="D613" s="12">
        <v>46142</v>
      </c>
      <c r="E613" t="s">
        <v>744</v>
      </c>
      <c r="F613" t="s">
        <v>14</v>
      </c>
      <c r="G613">
        <v>1085274738</v>
      </c>
      <c r="H613" t="s">
        <v>869</v>
      </c>
      <c r="I613">
        <v>59836926</v>
      </c>
      <c r="J613" t="s">
        <v>14</v>
      </c>
      <c r="K613" t="s">
        <v>17</v>
      </c>
      <c r="L613" s="1" t="e">
        <f>VLOOKUP(A613,#REF!,2,0)</f>
        <v>#REF!</v>
      </c>
      <c r="M613" s="1">
        <v>0</v>
      </c>
      <c r="N613" s="10">
        <v>14190000</v>
      </c>
      <c r="O613" s="10"/>
      <c r="P613" t="s">
        <v>704</v>
      </c>
      <c r="Q613" s="1" t="e">
        <f t="shared" si="20"/>
        <v>#REF!</v>
      </c>
      <c r="S613" s="11" t="s">
        <v>1036</v>
      </c>
    </row>
    <row r="614" spans="1:19" x14ac:dyDescent="0.25">
      <c r="A614" t="s">
        <v>1281</v>
      </c>
      <c r="B614" t="s">
        <v>13</v>
      </c>
      <c r="C614" s="12">
        <v>46058</v>
      </c>
      <c r="D614" s="12">
        <v>46203</v>
      </c>
      <c r="E614" t="s">
        <v>775</v>
      </c>
      <c r="F614" t="s">
        <v>14</v>
      </c>
      <c r="G614">
        <v>59123038</v>
      </c>
      <c r="H614" t="s">
        <v>919</v>
      </c>
      <c r="I614">
        <v>98390119</v>
      </c>
      <c r="J614" t="s">
        <v>14</v>
      </c>
      <c r="K614" t="s">
        <v>63</v>
      </c>
      <c r="L614" s="1" t="e">
        <f>VLOOKUP(A614,#REF!,2,0)</f>
        <v>#REF!</v>
      </c>
      <c r="M614" s="1">
        <v>0</v>
      </c>
      <c r="N614" s="10">
        <v>15750000</v>
      </c>
      <c r="O614" s="10"/>
      <c r="P614" t="s">
        <v>704</v>
      </c>
      <c r="Q614" s="1" t="e">
        <f t="shared" si="20"/>
        <v>#REF!</v>
      </c>
      <c r="S614" s="11" t="s">
        <v>1036</v>
      </c>
    </row>
    <row r="615" spans="1:19" x14ac:dyDescent="0.25">
      <c r="A615" t="s">
        <v>1282</v>
      </c>
      <c r="B615" t="s">
        <v>13</v>
      </c>
      <c r="C615" s="12">
        <v>46058</v>
      </c>
      <c r="D615" s="12">
        <v>46203</v>
      </c>
      <c r="E615" t="s">
        <v>775</v>
      </c>
      <c r="F615" t="s">
        <v>14</v>
      </c>
      <c r="G615">
        <v>1137089261</v>
      </c>
      <c r="H615" t="s">
        <v>945</v>
      </c>
      <c r="I615">
        <v>43624414</v>
      </c>
      <c r="J615" t="s">
        <v>14</v>
      </c>
      <c r="K615" t="s">
        <v>18</v>
      </c>
      <c r="L615" s="1" t="e">
        <f>VLOOKUP(A615,#REF!,2,0)</f>
        <v>#REF!</v>
      </c>
      <c r="M615" s="1">
        <v>0</v>
      </c>
      <c r="N615" s="10">
        <v>15750000</v>
      </c>
      <c r="O615" s="10"/>
      <c r="P615" t="s">
        <v>704</v>
      </c>
      <c r="Q615" s="1" t="e">
        <f t="shared" si="20"/>
        <v>#REF!</v>
      </c>
      <c r="S615" s="11" t="s">
        <v>1036</v>
      </c>
    </row>
    <row r="616" spans="1:19" x14ac:dyDescent="0.25">
      <c r="A616" t="s">
        <v>1283</v>
      </c>
      <c r="B616" t="s">
        <v>13</v>
      </c>
      <c r="C616" s="12">
        <v>46058</v>
      </c>
      <c r="D616" s="12">
        <v>46203</v>
      </c>
      <c r="E616" t="s">
        <v>775</v>
      </c>
      <c r="F616" t="s">
        <v>14</v>
      </c>
      <c r="G616">
        <v>1086222412</v>
      </c>
      <c r="H616" t="s">
        <v>921</v>
      </c>
      <c r="I616">
        <v>59836926</v>
      </c>
      <c r="J616" t="s">
        <v>14</v>
      </c>
      <c r="K616" t="s">
        <v>17</v>
      </c>
      <c r="L616" s="1" t="e">
        <f>VLOOKUP(A616,#REF!,2,0)</f>
        <v>#REF!</v>
      </c>
      <c r="M616" s="1">
        <v>0</v>
      </c>
      <c r="N616" s="10">
        <v>15750000</v>
      </c>
      <c r="O616" s="10"/>
      <c r="P616" t="s">
        <v>704</v>
      </c>
      <c r="Q616" s="1" t="e">
        <f t="shared" si="20"/>
        <v>#REF!</v>
      </c>
      <c r="S616" s="11" t="s">
        <v>1036</v>
      </c>
    </row>
    <row r="617" spans="1:19" x14ac:dyDescent="0.25">
      <c r="A617" t="s">
        <v>1284</v>
      </c>
      <c r="B617" t="s">
        <v>13</v>
      </c>
      <c r="C617" s="12">
        <v>46058</v>
      </c>
      <c r="D617" s="12">
        <v>46203</v>
      </c>
      <c r="E617" t="s">
        <v>775</v>
      </c>
      <c r="F617" t="s">
        <v>14</v>
      </c>
      <c r="G617">
        <v>1089197187</v>
      </c>
      <c r="H617" t="s">
        <v>950</v>
      </c>
      <c r="I617">
        <v>98333941</v>
      </c>
      <c r="J617" t="s">
        <v>14</v>
      </c>
      <c r="K617" t="s">
        <v>15</v>
      </c>
      <c r="L617" s="1" t="e">
        <f>VLOOKUP(A617,#REF!,2,0)</f>
        <v>#REF!</v>
      </c>
      <c r="M617" s="1">
        <v>0</v>
      </c>
      <c r="N617" s="10">
        <v>15750000</v>
      </c>
      <c r="O617" s="10"/>
      <c r="P617" t="s">
        <v>704</v>
      </c>
      <c r="Q617" s="1" t="e">
        <f t="shared" si="20"/>
        <v>#REF!</v>
      </c>
      <c r="S617" s="11" t="s">
        <v>1036</v>
      </c>
    </row>
    <row r="618" spans="1:19" x14ac:dyDescent="0.25">
      <c r="A618" t="s">
        <v>1285</v>
      </c>
      <c r="B618" t="s">
        <v>13</v>
      </c>
      <c r="C618" s="12">
        <v>46058</v>
      </c>
      <c r="D618" s="12">
        <v>46203</v>
      </c>
      <c r="E618" t="s">
        <v>775</v>
      </c>
      <c r="F618" t="s">
        <v>14</v>
      </c>
      <c r="G618">
        <v>1086223716</v>
      </c>
      <c r="H618" t="s">
        <v>946</v>
      </c>
      <c r="I618">
        <v>43624414</v>
      </c>
      <c r="J618" t="s">
        <v>14</v>
      </c>
      <c r="K618" t="s">
        <v>18</v>
      </c>
      <c r="L618" s="1" t="e">
        <f>VLOOKUP(A618,#REF!,2,0)</f>
        <v>#REF!</v>
      </c>
      <c r="M618" s="1">
        <v>0</v>
      </c>
      <c r="N618" s="10">
        <v>15750000</v>
      </c>
      <c r="O618" s="10"/>
      <c r="P618" t="s">
        <v>704</v>
      </c>
      <c r="Q618" s="1" t="e">
        <f t="shared" si="20"/>
        <v>#REF!</v>
      </c>
      <c r="S618" s="11" t="s">
        <v>1036</v>
      </c>
    </row>
    <row r="619" spans="1:19" x14ac:dyDescent="0.25">
      <c r="A619" t="s">
        <v>1286</v>
      </c>
      <c r="B619" t="s">
        <v>13</v>
      </c>
      <c r="C619" s="12">
        <v>46058</v>
      </c>
      <c r="D619" s="12">
        <v>46203</v>
      </c>
      <c r="E619" t="s">
        <v>775</v>
      </c>
      <c r="F619" t="s">
        <v>14</v>
      </c>
      <c r="G619">
        <v>1086225739</v>
      </c>
      <c r="H619" t="s">
        <v>943</v>
      </c>
      <c r="I619">
        <v>43624414</v>
      </c>
      <c r="J619" t="s">
        <v>14</v>
      </c>
      <c r="K619" t="s">
        <v>18</v>
      </c>
      <c r="L619" s="1" t="e">
        <f>VLOOKUP(A619,#REF!,2,0)</f>
        <v>#REF!</v>
      </c>
      <c r="M619" s="1">
        <v>0</v>
      </c>
      <c r="N619" s="10">
        <v>15750000</v>
      </c>
      <c r="O619" s="10"/>
      <c r="P619" t="s">
        <v>704</v>
      </c>
      <c r="Q619" s="1" t="e">
        <f t="shared" si="20"/>
        <v>#REF!</v>
      </c>
      <c r="S619" s="11" t="s">
        <v>1036</v>
      </c>
    </row>
    <row r="620" spans="1:19" x14ac:dyDescent="0.25">
      <c r="A620" t="s">
        <v>1287</v>
      </c>
      <c r="B620" t="s">
        <v>13</v>
      </c>
      <c r="C620" s="12">
        <v>46059</v>
      </c>
      <c r="D620" s="12">
        <v>46203</v>
      </c>
      <c r="E620" t="s">
        <v>775</v>
      </c>
      <c r="F620" t="s">
        <v>14</v>
      </c>
      <c r="G620">
        <v>1193265831</v>
      </c>
      <c r="H620" t="s">
        <v>896</v>
      </c>
      <c r="I620">
        <v>98390119</v>
      </c>
      <c r="J620" t="s">
        <v>14</v>
      </c>
      <c r="K620" t="s">
        <v>63</v>
      </c>
      <c r="L620" s="1" t="e">
        <f>VLOOKUP(A620,#REF!,2,0)</f>
        <v>#REF!</v>
      </c>
      <c r="M620" s="1">
        <v>0</v>
      </c>
      <c r="N620" s="10">
        <v>15750000</v>
      </c>
      <c r="O620" s="10"/>
      <c r="P620" t="s">
        <v>704</v>
      </c>
      <c r="Q620" s="1" t="e">
        <f t="shared" si="20"/>
        <v>#REF!</v>
      </c>
      <c r="S620" s="11" t="s">
        <v>1036</v>
      </c>
    </row>
    <row r="621" spans="1:19" x14ac:dyDescent="0.25">
      <c r="A621" t="s">
        <v>1288</v>
      </c>
      <c r="B621" t="s">
        <v>13</v>
      </c>
      <c r="C621" s="12">
        <v>46059</v>
      </c>
      <c r="D621" s="12">
        <v>46203</v>
      </c>
      <c r="E621" t="s">
        <v>775</v>
      </c>
      <c r="F621" t="s">
        <v>14</v>
      </c>
      <c r="G621">
        <v>1086223925</v>
      </c>
      <c r="H621" t="s">
        <v>947</v>
      </c>
      <c r="I621">
        <v>43624414</v>
      </c>
      <c r="J621" t="s">
        <v>14</v>
      </c>
      <c r="K621" t="s">
        <v>18</v>
      </c>
      <c r="L621" s="1" t="e">
        <f>VLOOKUP(A621,#REF!,2,0)</f>
        <v>#REF!</v>
      </c>
      <c r="M621" s="1">
        <v>0</v>
      </c>
      <c r="N621" s="10">
        <v>15750000</v>
      </c>
      <c r="O621" s="10"/>
      <c r="P621" t="s">
        <v>704</v>
      </c>
      <c r="Q621" s="1" t="e">
        <f t="shared" si="20"/>
        <v>#REF!</v>
      </c>
      <c r="S621" s="11" t="s">
        <v>1036</v>
      </c>
    </row>
    <row r="622" spans="1:19" x14ac:dyDescent="0.25">
      <c r="A622" t="s">
        <v>1289</v>
      </c>
      <c r="B622" t="s">
        <v>13</v>
      </c>
      <c r="C622" s="12">
        <v>46059</v>
      </c>
      <c r="D622" s="12">
        <v>46203</v>
      </c>
      <c r="E622" t="s">
        <v>775</v>
      </c>
      <c r="F622" t="s">
        <v>14</v>
      </c>
      <c r="G622">
        <v>1089844032</v>
      </c>
      <c r="H622" t="s">
        <v>883</v>
      </c>
      <c r="I622">
        <v>98333941</v>
      </c>
      <c r="J622" t="s">
        <v>14</v>
      </c>
      <c r="K622" t="s">
        <v>15</v>
      </c>
      <c r="L622" s="1" t="e">
        <f>VLOOKUP(A622,#REF!,2,0)</f>
        <v>#REF!</v>
      </c>
      <c r="M622" s="1">
        <v>0</v>
      </c>
      <c r="N622" s="10">
        <v>31500000</v>
      </c>
      <c r="O622" s="10"/>
      <c r="P622" t="s">
        <v>704</v>
      </c>
      <c r="Q622" s="1" t="e">
        <f t="shared" si="20"/>
        <v>#REF!</v>
      </c>
      <c r="S622" s="11" t="s">
        <v>1036</v>
      </c>
    </row>
    <row r="623" spans="1:19" x14ac:dyDescent="0.25">
      <c r="A623" t="s">
        <v>1290</v>
      </c>
      <c r="B623" t="s">
        <v>13</v>
      </c>
      <c r="C623" s="12">
        <v>46059</v>
      </c>
      <c r="D623" s="12">
        <v>46203</v>
      </c>
      <c r="E623" t="s">
        <v>775</v>
      </c>
      <c r="F623" t="s">
        <v>14</v>
      </c>
      <c r="G623">
        <v>1004595921</v>
      </c>
      <c r="H623" t="s">
        <v>882</v>
      </c>
      <c r="I623">
        <v>98390119</v>
      </c>
      <c r="J623" t="s">
        <v>14</v>
      </c>
      <c r="K623" t="s">
        <v>63</v>
      </c>
      <c r="L623" s="1" t="e">
        <f>VLOOKUP(A623,#REF!,2,0)</f>
        <v>#REF!</v>
      </c>
      <c r="M623" s="1">
        <v>0</v>
      </c>
      <c r="N623" s="10">
        <v>15750000</v>
      </c>
      <c r="O623" s="10"/>
      <c r="P623" t="s">
        <v>704</v>
      </c>
      <c r="Q623" s="1" t="e">
        <f t="shared" si="20"/>
        <v>#REF!</v>
      </c>
      <c r="S623" s="11" t="s">
        <v>1036</v>
      </c>
    </row>
    <row r="624" spans="1:19" x14ac:dyDescent="0.25">
      <c r="A624" t="s">
        <v>1291</v>
      </c>
      <c r="B624" t="s">
        <v>13</v>
      </c>
      <c r="C624" s="12">
        <v>46059</v>
      </c>
      <c r="D624" s="12">
        <v>46081</v>
      </c>
      <c r="E624" t="s">
        <v>744</v>
      </c>
      <c r="F624" t="s">
        <v>14</v>
      </c>
      <c r="G624">
        <v>1233192618</v>
      </c>
      <c r="H624" t="s">
        <v>924</v>
      </c>
      <c r="I624">
        <v>43624414</v>
      </c>
      <c r="J624" t="s">
        <v>14</v>
      </c>
      <c r="K624" t="s">
        <v>18</v>
      </c>
      <c r="L624" s="1" t="e">
        <f>VLOOKUP(A624,#REF!,2,0)</f>
        <v>#REF!</v>
      </c>
      <c r="M624" s="1">
        <v>0</v>
      </c>
      <c r="N624" s="10">
        <v>4730000</v>
      </c>
      <c r="O624" s="10"/>
      <c r="P624" t="s">
        <v>704</v>
      </c>
      <c r="Q624" s="1" t="e">
        <f t="shared" si="20"/>
        <v>#REF!</v>
      </c>
      <c r="S624" s="11" t="s">
        <v>1036</v>
      </c>
    </row>
    <row r="625" spans="1:19" x14ac:dyDescent="0.25">
      <c r="A625" t="s">
        <v>1292</v>
      </c>
      <c r="B625" t="s">
        <v>13</v>
      </c>
      <c r="C625" s="12">
        <v>46059</v>
      </c>
      <c r="D625" s="12">
        <v>46203</v>
      </c>
      <c r="E625" t="s">
        <v>775</v>
      </c>
      <c r="F625" t="s">
        <v>14</v>
      </c>
      <c r="G625">
        <v>1193458466</v>
      </c>
      <c r="H625" t="s">
        <v>889</v>
      </c>
      <c r="I625">
        <v>43624414</v>
      </c>
      <c r="J625" t="s">
        <v>14</v>
      </c>
      <c r="K625" t="s">
        <v>18</v>
      </c>
      <c r="L625" s="1" t="e">
        <f>VLOOKUP(A625,#REF!,2,0)</f>
        <v>#REF!</v>
      </c>
      <c r="M625" s="1">
        <v>0</v>
      </c>
      <c r="N625" s="10">
        <v>15750000</v>
      </c>
      <c r="O625" s="10"/>
      <c r="P625" t="s">
        <v>704</v>
      </c>
      <c r="Q625" s="1" t="e">
        <f t="shared" si="20"/>
        <v>#REF!</v>
      </c>
      <c r="S625" s="11" t="s">
        <v>1036</v>
      </c>
    </row>
    <row r="626" spans="1:19" x14ac:dyDescent="0.25">
      <c r="A626" t="s">
        <v>1293</v>
      </c>
      <c r="B626" t="s">
        <v>13</v>
      </c>
      <c r="C626" s="12">
        <v>46062</v>
      </c>
      <c r="D626" s="12">
        <v>46203</v>
      </c>
      <c r="E626" t="s">
        <v>775</v>
      </c>
      <c r="F626" t="s">
        <v>14</v>
      </c>
      <c r="G626">
        <v>27110237</v>
      </c>
      <c r="H626" t="s">
        <v>952</v>
      </c>
      <c r="I626">
        <v>98333941</v>
      </c>
      <c r="J626" t="s">
        <v>14</v>
      </c>
      <c r="K626" t="s">
        <v>15</v>
      </c>
      <c r="L626" s="1" t="e">
        <f>VLOOKUP(A626,#REF!,2,0)</f>
        <v>#REF!</v>
      </c>
      <c r="M626" s="1">
        <v>0</v>
      </c>
      <c r="N626" s="10">
        <v>15750000</v>
      </c>
      <c r="O626" s="10"/>
      <c r="P626" t="s">
        <v>704</v>
      </c>
      <c r="Q626" s="1" t="e">
        <f t="shared" si="20"/>
        <v>#REF!</v>
      </c>
      <c r="S626" s="11" t="s">
        <v>1036</v>
      </c>
    </row>
    <row r="627" spans="1:19" x14ac:dyDescent="0.25">
      <c r="A627" t="s">
        <v>1294</v>
      </c>
      <c r="B627" t="s">
        <v>13</v>
      </c>
      <c r="C627" s="12">
        <v>46062</v>
      </c>
      <c r="D627" s="12">
        <v>46142</v>
      </c>
      <c r="E627" t="s">
        <v>744</v>
      </c>
      <c r="F627" t="s">
        <v>14</v>
      </c>
      <c r="G627">
        <v>1004561553</v>
      </c>
      <c r="H627" t="s">
        <v>864</v>
      </c>
      <c r="I627">
        <v>98390119</v>
      </c>
      <c r="J627" t="s">
        <v>14</v>
      </c>
      <c r="K627" t="s">
        <v>63</v>
      </c>
      <c r="L627" s="1" t="e">
        <f>VLOOKUP(A627,#REF!,2,0)</f>
        <v>#REF!</v>
      </c>
      <c r="M627" s="1">
        <v>0</v>
      </c>
      <c r="N627" s="10">
        <v>23400000</v>
      </c>
      <c r="O627" s="10"/>
      <c r="P627" t="s">
        <v>704</v>
      </c>
      <c r="Q627" s="1" t="e">
        <f t="shared" si="20"/>
        <v>#REF!</v>
      </c>
      <c r="S627" s="11" t="s">
        <v>1036</v>
      </c>
    </row>
    <row r="628" spans="1:19" x14ac:dyDescent="0.25">
      <c r="A628" s="11" t="s">
        <v>1295</v>
      </c>
      <c r="B628" t="s">
        <v>13</v>
      </c>
      <c r="C628" s="12">
        <v>46062</v>
      </c>
      <c r="D628" s="12">
        <v>46142</v>
      </c>
      <c r="E628" t="s">
        <v>744</v>
      </c>
      <c r="F628" t="s">
        <v>14</v>
      </c>
      <c r="G628">
        <v>1087119615</v>
      </c>
      <c r="H628" t="s">
        <v>964</v>
      </c>
      <c r="I628">
        <v>59836926</v>
      </c>
      <c r="J628" t="s">
        <v>14</v>
      </c>
      <c r="K628" t="s">
        <v>17</v>
      </c>
      <c r="L628" s="1" t="e">
        <f>VLOOKUP(A628,#REF!,2,0)</f>
        <v>#REF!</v>
      </c>
      <c r="M628" s="1">
        <v>0</v>
      </c>
      <c r="N628" s="10">
        <v>4730000</v>
      </c>
      <c r="O628" s="10"/>
      <c r="P628" t="s">
        <v>704</v>
      </c>
      <c r="Q628" s="1" t="e">
        <f t="shared" si="20"/>
        <v>#REF!</v>
      </c>
      <c r="S628" s="11" t="s">
        <v>1036</v>
      </c>
    </row>
    <row r="629" spans="1:19" x14ac:dyDescent="0.25">
      <c r="A629" t="s">
        <v>1296</v>
      </c>
      <c r="B629" t="s">
        <v>13</v>
      </c>
      <c r="C629" s="12">
        <v>46063</v>
      </c>
      <c r="D629" s="12">
        <v>46203</v>
      </c>
      <c r="E629" t="s">
        <v>775</v>
      </c>
      <c r="F629" t="s">
        <v>14</v>
      </c>
      <c r="G629">
        <v>27090131</v>
      </c>
      <c r="H629" t="s">
        <v>951</v>
      </c>
      <c r="I629">
        <v>98390119</v>
      </c>
      <c r="J629" t="s">
        <v>14</v>
      </c>
      <c r="K629" t="s">
        <v>63</v>
      </c>
      <c r="L629" s="1" t="e">
        <f>VLOOKUP(A629,#REF!,2,0)</f>
        <v>#REF!</v>
      </c>
      <c r="M629" s="1">
        <v>0</v>
      </c>
      <c r="N629" s="10">
        <v>15750000</v>
      </c>
      <c r="O629" s="10"/>
      <c r="P629" t="s">
        <v>704</v>
      </c>
      <c r="Q629" s="1" t="e">
        <f t="shared" si="20"/>
        <v>#REF!</v>
      </c>
      <c r="S629" s="11" t="s">
        <v>1036</v>
      </c>
    </row>
    <row r="630" spans="1:19" x14ac:dyDescent="0.25">
      <c r="A630" t="s">
        <v>1297</v>
      </c>
      <c r="B630" t="s">
        <v>13</v>
      </c>
      <c r="C630" s="12">
        <v>46063</v>
      </c>
      <c r="D630" s="12">
        <v>46203</v>
      </c>
      <c r="E630" t="s">
        <v>775</v>
      </c>
      <c r="F630" t="s">
        <v>14</v>
      </c>
      <c r="G630">
        <v>1004216587</v>
      </c>
      <c r="H630" t="s">
        <v>956</v>
      </c>
      <c r="I630">
        <v>98390119</v>
      </c>
      <c r="J630" t="s">
        <v>14</v>
      </c>
      <c r="K630" t="s">
        <v>63</v>
      </c>
      <c r="L630" s="1" t="e">
        <f>VLOOKUP(A630,#REF!,2,0)</f>
        <v>#REF!</v>
      </c>
      <c r="M630" s="1">
        <v>0</v>
      </c>
      <c r="N630" s="10">
        <v>15750000</v>
      </c>
      <c r="O630" s="10"/>
      <c r="P630" t="s">
        <v>704</v>
      </c>
      <c r="Q630" s="1" t="e">
        <f t="shared" si="20"/>
        <v>#REF!</v>
      </c>
      <c r="S630" s="11" t="s">
        <v>1036</v>
      </c>
    </row>
    <row r="631" spans="1:19" x14ac:dyDescent="0.25">
      <c r="A631" t="s">
        <v>1298</v>
      </c>
      <c r="B631" t="s">
        <v>13</v>
      </c>
      <c r="C631" s="12">
        <v>46063</v>
      </c>
      <c r="D631" s="12">
        <v>46142</v>
      </c>
      <c r="E631" t="s">
        <v>793</v>
      </c>
      <c r="F631" t="s">
        <v>14</v>
      </c>
      <c r="G631">
        <v>1233190640</v>
      </c>
      <c r="H631" t="s">
        <v>536</v>
      </c>
      <c r="I631">
        <v>43624414</v>
      </c>
      <c r="J631" t="s">
        <v>14</v>
      </c>
      <c r="K631" t="s">
        <v>18</v>
      </c>
      <c r="L631" s="1" t="e">
        <f>VLOOKUP(A631,#REF!,2,0)</f>
        <v>#REF!</v>
      </c>
      <c r="M631" s="1">
        <v>0</v>
      </c>
      <c r="N631" s="10">
        <v>6000000</v>
      </c>
      <c r="O631" s="10"/>
      <c r="P631" t="s">
        <v>704</v>
      </c>
      <c r="Q631" s="1" t="e">
        <f t="shared" si="20"/>
        <v>#REF!</v>
      </c>
      <c r="S631" s="11" t="s">
        <v>1036</v>
      </c>
    </row>
    <row r="632" spans="1:19" x14ac:dyDescent="0.25">
      <c r="A632" t="s">
        <v>1299</v>
      </c>
      <c r="B632" t="s">
        <v>13</v>
      </c>
      <c r="C632" s="12">
        <v>46063</v>
      </c>
      <c r="D632" s="12">
        <v>46142</v>
      </c>
      <c r="E632" t="s">
        <v>744</v>
      </c>
      <c r="F632" t="s">
        <v>14</v>
      </c>
      <c r="G632">
        <v>1085329230</v>
      </c>
      <c r="H632" t="s">
        <v>892</v>
      </c>
      <c r="I632">
        <v>98390119</v>
      </c>
      <c r="J632" t="s">
        <v>14</v>
      </c>
      <c r="K632" t="s">
        <v>63</v>
      </c>
      <c r="L632" s="1" t="e">
        <f>VLOOKUP(A632,#REF!,2,0)</f>
        <v>#REF!</v>
      </c>
      <c r="M632" s="1">
        <v>0</v>
      </c>
      <c r="N632" s="10">
        <v>23400000</v>
      </c>
      <c r="O632" s="10"/>
      <c r="P632" t="s">
        <v>704</v>
      </c>
      <c r="Q632" s="1" t="e">
        <f t="shared" si="20"/>
        <v>#REF!</v>
      </c>
      <c r="S632" s="11" t="s">
        <v>1036</v>
      </c>
    </row>
    <row r="633" spans="1:19" x14ac:dyDescent="0.25">
      <c r="A633" t="s">
        <v>1300</v>
      </c>
      <c r="B633" t="s">
        <v>13</v>
      </c>
      <c r="C633" s="12">
        <v>46063</v>
      </c>
      <c r="D633" s="12">
        <v>46142</v>
      </c>
      <c r="E633" t="s">
        <v>775</v>
      </c>
      <c r="F633" t="s">
        <v>14</v>
      </c>
      <c r="G633">
        <v>1085344098</v>
      </c>
      <c r="H633" t="s">
        <v>910</v>
      </c>
      <c r="I633">
        <v>59836926</v>
      </c>
      <c r="J633" t="s">
        <v>14</v>
      </c>
      <c r="K633" t="s">
        <v>17</v>
      </c>
      <c r="L633" s="1" t="e">
        <f>VLOOKUP(A633,#REF!,2,0)</f>
        <v>#REF!</v>
      </c>
      <c r="M633" s="1">
        <v>0</v>
      </c>
      <c r="N633" s="10">
        <v>18900000</v>
      </c>
      <c r="O633" s="10"/>
      <c r="P633" t="s">
        <v>704</v>
      </c>
      <c r="Q633" s="1" t="e">
        <f t="shared" si="20"/>
        <v>#REF!</v>
      </c>
      <c r="S633" s="11" t="s">
        <v>1036</v>
      </c>
    </row>
    <row r="634" spans="1:19" x14ac:dyDescent="0.25">
      <c r="A634" t="s">
        <v>1301</v>
      </c>
      <c r="B634" t="s">
        <v>13</v>
      </c>
      <c r="C634" s="12">
        <v>46063</v>
      </c>
      <c r="D634" s="12">
        <v>46203</v>
      </c>
      <c r="E634" t="s">
        <v>775</v>
      </c>
      <c r="F634" t="s">
        <v>14</v>
      </c>
      <c r="G634">
        <v>59314800</v>
      </c>
      <c r="H634" t="s">
        <v>953</v>
      </c>
      <c r="I634">
        <v>98333941</v>
      </c>
      <c r="J634" t="s">
        <v>14</v>
      </c>
      <c r="K634" t="s">
        <v>15</v>
      </c>
      <c r="L634" s="1" t="e">
        <f>VLOOKUP(A634,#REF!,2,0)</f>
        <v>#REF!</v>
      </c>
      <c r="M634" s="1">
        <v>0</v>
      </c>
      <c r="N634" s="10">
        <v>15750000</v>
      </c>
      <c r="O634" s="10"/>
      <c r="P634" t="s">
        <v>704</v>
      </c>
      <c r="Q634" s="1" t="e">
        <f t="shared" si="20"/>
        <v>#REF!</v>
      </c>
      <c r="S634" s="11" t="s">
        <v>1036</v>
      </c>
    </row>
    <row r="635" spans="1:19" x14ac:dyDescent="0.25">
      <c r="A635" t="s">
        <v>1302</v>
      </c>
      <c r="B635" t="s">
        <v>13</v>
      </c>
      <c r="C635" s="12">
        <v>46063</v>
      </c>
      <c r="D635" s="12">
        <v>46089</v>
      </c>
      <c r="E635" t="s">
        <v>775</v>
      </c>
      <c r="F635" t="s">
        <v>14</v>
      </c>
      <c r="G635">
        <v>1087645520</v>
      </c>
      <c r="H635" t="s">
        <v>871</v>
      </c>
      <c r="I635">
        <v>98333941</v>
      </c>
      <c r="J635" t="s">
        <v>14</v>
      </c>
      <c r="K635" t="s">
        <v>15</v>
      </c>
      <c r="L635" s="1" t="e">
        <f>VLOOKUP(A635,#REF!,2,0)</f>
        <v>#REF!</v>
      </c>
      <c r="M635" s="1">
        <v>0</v>
      </c>
      <c r="N635" s="10">
        <v>6300000</v>
      </c>
      <c r="O635" s="10"/>
      <c r="P635" t="s">
        <v>704</v>
      </c>
      <c r="Q635" s="1" t="e">
        <f t="shared" si="20"/>
        <v>#REF!</v>
      </c>
      <c r="S635" s="11" t="s">
        <v>1036</v>
      </c>
    </row>
    <row r="636" spans="1:19" x14ac:dyDescent="0.25">
      <c r="A636" t="s">
        <v>1303</v>
      </c>
      <c r="B636" t="s">
        <v>13</v>
      </c>
      <c r="C636" s="12">
        <v>46063</v>
      </c>
      <c r="D636" s="12">
        <v>46146</v>
      </c>
      <c r="E636" t="s">
        <v>793</v>
      </c>
      <c r="F636" t="s">
        <v>14</v>
      </c>
      <c r="G636">
        <v>1233188221</v>
      </c>
      <c r="H636" t="s">
        <v>425</v>
      </c>
      <c r="I636">
        <v>98333941</v>
      </c>
      <c r="J636" t="s">
        <v>14</v>
      </c>
      <c r="K636" t="s">
        <v>15</v>
      </c>
      <c r="L636" s="1" t="e">
        <f>VLOOKUP(A636,#REF!,2,0)</f>
        <v>#REF!</v>
      </c>
      <c r="M636" s="1">
        <v>0</v>
      </c>
      <c r="N636" s="10">
        <v>6000000</v>
      </c>
      <c r="O636" s="10"/>
      <c r="P636" t="s">
        <v>704</v>
      </c>
      <c r="Q636" s="1" t="e">
        <f t="shared" si="20"/>
        <v>#REF!</v>
      </c>
      <c r="S636" s="11" t="s">
        <v>1036</v>
      </c>
    </row>
    <row r="637" spans="1:19" x14ac:dyDescent="0.25">
      <c r="A637" t="s">
        <v>1304</v>
      </c>
      <c r="B637" t="s">
        <v>13</v>
      </c>
      <c r="C637" s="12">
        <v>46063</v>
      </c>
      <c r="D637" s="12">
        <v>46203</v>
      </c>
      <c r="E637" t="s">
        <v>775</v>
      </c>
      <c r="F637" t="s">
        <v>14</v>
      </c>
      <c r="G637">
        <v>1085318696</v>
      </c>
      <c r="H637" t="s">
        <v>944</v>
      </c>
      <c r="I637">
        <v>43624414</v>
      </c>
      <c r="J637" t="s">
        <v>14</v>
      </c>
      <c r="K637" t="s">
        <v>18</v>
      </c>
      <c r="L637" s="1" t="e">
        <f>VLOOKUP(A637,#REF!,2,0)</f>
        <v>#REF!</v>
      </c>
      <c r="M637" s="1">
        <v>0</v>
      </c>
      <c r="N637" s="10">
        <v>31500000</v>
      </c>
      <c r="O637" s="10"/>
      <c r="P637" t="s">
        <v>704</v>
      </c>
      <c r="Q637" s="1" t="e">
        <f t="shared" si="20"/>
        <v>#REF!</v>
      </c>
      <c r="S637" s="11" t="s">
        <v>1036</v>
      </c>
    </row>
    <row r="638" spans="1:19" x14ac:dyDescent="0.25">
      <c r="A638" t="s">
        <v>1305</v>
      </c>
      <c r="B638" t="s">
        <v>13</v>
      </c>
      <c r="C638" s="12">
        <v>46063</v>
      </c>
      <c r="D638" s="12">
        <v>46146</v>
      </c>
      <c r="E638" t="s">
        <v>775</v>
      </c>
      <c r="F638" t="s">
        <v>14</v>
      </c>
      <c r="G638">
        <v>1085283127</v>
      </c>
      <c r="H638" t="s">
        <v>888</v>
      </c>
      <c r="I638">
        <v>43624414</v>
      </c>
      <c r="J638" t="s">
        <v>14</v>
      </c>
      <c r="K638" t="s">
        <v>18</v>
      </c>
      <c r="L638" s="1" t="e">
        <f>VLOOKUP(A638,#REF!,2,0)</f>
        <v>#REF!</v>
      </c>
      <c r="M638" s="1">
        <v>0</v>
      </c>
      <c r="N638" s="10">
        <v>9450000</v>
      </c>
      <c r="O638" s="10"/>
      <c r="P638" t="s">
        <v>704</v>
      </c>
      <c r="Q638" s="1" t="e">
        <f t="shared" si="20"/>
        <v>#REF!</v>
      </c>
      <c r="S638" s="11" t="s">
        <v>1036</v>
      </c>
    </row>
    <row r="639" spans="1:19" x14ac:dyDescent="0.25">
      <c r="A639" t="s">
        <v>1306</v>
      </c>
      <c r="B639" t="s">
        <v>13</v>
      </c>
      <c r="C639" s="12">
        <v>46063</v>
      </c>
      <c r="D639" s="12">
        <v>46089</v>
      </c>
      <c r="E639" t="s">
        <v>744</v>
      </c>
      <c r="F639" t="s">
        <v>14</v>
      </c>
      <c r="G639">
        <v>1123327071</v>
      </c>
      <c r="H639" t="s">
        <v>372</v>
      </c>
      <c r="I639">
        <v>59836926</v>
      </c>
      <c r="J639" t="s">
        <v>14</v>
      </c>
      <c r="K639" t="s">
        <v>17</v>
      </c>
      <c r="L639" s="1" t="e">
        <f>VLOOKUP(A639,#REF!,2,0)</f>
        <v>#REF!</v>
      </c>
      <c r="M639" s="1">
        <v>0</v>
      </c>
      <c r="N639" s="10">
        <v>7800000</v>
      </c>
      <c r="O639" s="10"/>
      <c r="P639" t="s">
        <v>704</v>
      </c>
      <c r="Q639" s="1" t="e">
        <f t="shared" si="20"/>
        <v>#REF!</v>
      </c>
      <c r="S639" s="11" t="s">
        <v>1036</v>
      </c>
    </row>
    <row r="640" spans="1:19" x14ac:dyDescent="0.25">
      <c r="A640" t="s">
        <v>1307</v>
      </c>
      <c r="B640" t="s">
        <v>13</v>
      </c>
      <c r="C640" s="12">
        <v>46063</v>
      </c>
      <c r="D640" s="12">
        <v>46146</v>
      </c>
      <c r="E640" t="s">
        <v>775</v>
      </c>
      <c r="F640" t="s">
        <v>14</v>
      </c>
      <c r="G640">
        <v>98394398</v>
      </c>
      <c r="H640" t="s">
        <v>954</v>
      </c>
      <c r="I640">
        <v>43624414</v>
      </c>
      <c r="J640" t="s">
        <v>14</v>
      </c>
      <c r="K640" t="s">
        <v>18</v>
      </c>
      <c r="L640" s="1" t="e">
        <f>VLOOKUP(A640,#REF!,2,0)</f>
        <v>#REF!</v>
      </c>
      <c r="M640" s="1">
        <v>0</v>
      </c>
      <c r="N640" s="10">
        <v>18900000</v>
      </c>
      <c r="O640" s="10"/>
      <c r="P640" t="s">
        <v>704</v>
      </c>
      <c r="Q640" s="1" t="e">
        <f t="shared" si="20"/>
        <v>#REF!</v>
      </c>
      <c r="S640" s="11" t="s">
        <v>1036</v>
      </c>
    </row>
    <row r="641" spans="1:19" x14ac:dyDescent="0.25">
      <c r="A641" t="s">
        <v>1308</v>
      </c>
      <c r="B641" t="s">
        <v>13</v>
      </c>
      <c r="C641" s="12">
        <v>46063</v>
      </c>
      <c r="D641" s="12">
        <v>46146</v>
      </c>
      <c r="E641" t="s">
        <v>793</v>
      </c>
      <c r="F641" t="s">
        <v>14</v>
      </c>
      <c r="G641">
        <v>66958357</v>
      </c>
      <c r="H641" t="s">
        <v>935</v>
      </c>
      <c r="I641">
        <v>98390119</v>
      </c>
      <c r="J641" t="s">
        <v>14</v>
      </c>
      <c r="K641" t="s">
        <v>63</v>
      </c>
      <c r="L641" s="1" t="e">
        <f>VLOOKUP(A641,#REF!,2,0)</f>
        <v>#REF!</v>
      </c>
      <c r="M641" s="1">
        <v>0</v>
      </c>
      <c r="N641" s="10">
        <v>6000000</v>
      </c>
      <c r="O641" s="10"/>
      <c r="P641" t="s">
        <v>704</v>
      </c>
      <c r="Q641" s="1" t="e">
        <f t="shared" si="20"/>
        <v>#REF!</v>
      </c>
      <c r="S641" s="11" t="s">
        <v>1036</v>
      </c>
    </row>
    <row r="642" spans="1:19" x14ac:dyDescent="0.25">
      <c r="A642" t="s">
        <v>1309</v>
      </c>
      <c r="B642" t="s">
        <v>13</v>
      </c>
      <c r="C642" s="12">
        <v>46063</v>
      </c>
      <c r="D642" s="12">
        <v>46146</v>
      </c>
      <c r="E642" t="s">
        <v>744</v>
      </c>
      <c r="F642" t="s">
        <v>14</v>
      </c>
      <c r="G642">
        <v>1085307978</v>
      </c>
      <c r="H642" t="s">
        <v>895</v>
      </c>
      <c r="I642">
        <v>98390119</v>
      </c>
      <c r="J642" t="s">
        <v>14</v>
      </c>
      <c r="K642" t="s">
        <v>63</v>
      </c>
      <c r="L642" s="1" t="e">
        <f>VLOOKUP(A642,#REF!,2,0)</f>
        <v>#REF!</v>
      </c>
      <c r="M642" s="1">
        <v>0</v>
      </c>
      <c r="N642" s="10">
        <v>14190000</v>
      </c>
      <c r="O642" s="10"/>
      <c r="P642" t="s">
        <v>704</v>
      </c>
      <c r="Q642" s="1" t="e">
        <f t="shared" si="20"/>
        <v>#REF!</v>
      </c>
      <c r="S642" s="11" t="s">
        <v>1036</v>
      </c>
    </row>
    <row r="643" spans="1:19" x14ac:dyDescent="0.25">
      <c r="A643" t="s">
        <v>1310</v>
      </c>
      <c r="B643" t="s">
        <v>13</v>
      </c>
      <c r="C643" s="12">
        <v>46063</v>
      </c>
      <c r="D643" s="12">
        <v>46203</v>
      </c>
      <c r="E643" t="s">
        <v>744</v>
      </c>
      <c r="F643" t="s">
        <v>14</v>
      </c>
      <c r="G643">
        <v>1085328217</v>
      </c>
      <c r="H643" t="s">
        <v>960</v>
      </c>
      <c r="I643">
        <v>43624414</v>
      </c>
      <c r="J643" t="s">
        <v>14</v>
      </c>
      <c r="K643" t="s">
        <v>18</v>
      </c>
      <c r="L643" s="1" t="e">
        <f>VLOOKUP(A643,#REF!,2,0)</f>
        <v>#REF!</v>
      </c>
      <c r="M643" s="1">
        <v>0</v>
      </c>
      <c r="N643" s="10">
        <v>39000000</v>
      </c>
      <c r="O643" s="10"/>
      <c r="P643" t="s">
        <v>704</v>
      </c>
      <c r="Q643" s="1" t="e">
        <f t="shared" si="20"/>
        <v>#REF!</v>
      </c>
      <c r="S643" s="11" t="s">
        <v>1036</v>
      </c>
    </row>
    <row r="644" spans="1:19" x14ac:dyDescent="0.25">
      <c r="A644" t="s">
        <v>1311</v>
      </c>
      <c r="B644" t="s">
        <v>13</v>
      </c>
      <c r="C644" s="12">
        <v>46063</v>
      </c>
      <c r="D644" s="12">
        <v>46203</v>
      </c>
      <c r="E644" t="s">
        <v>744</v>
      </c>
      <c r="F644" t="s">
        <v>14</v>
      </c>
      <c r="G644">
        <v>1088738533</v>
      </c>
      <c r="H644" t="s">
        <v>863</v>
      </c>
      <c r="I644">
        <v>43624414</v>
      </c>
      <c r="J644" t="s">
        <v>14</v>
      </c>
      <c r="K644" t="s">
        <v>18</v>
      </c>
      <c r="L644" s="1" t="e">
        <f>VLOOKUP(A644,#REF!,2,0)</f>
        <v>#REF!</v>
      </c>
      <c r="M644" s="1">
        <v>0</v>
      </c>
      <c r="N644" s="10">
        <v>23650000</v>
      </c>
      <c r="O644" s="10"/>
      <c r="P644" t="s">
        <v>704</v>
      </c>
      <c r="Q644" s="1" t="e">
        <f t="shared" si="20"/>
        <v>#REF!</v>
      </c>
      <c r="S644" s="11" t="s">
        <v>1036</v>
      </c>
    </row>
    <row r="645" spans="1:19" x14ac:dyDescent="0.25">
      <c r="A645" t="s">
        <v>1312</v>
      </c>
      <c r="B645" t="s">
        <v>13</v>
      </c>
      <c r="C645" s="12">
        <v>46063</v>
      </c>
      <c r="D645" s="12">
        <v>46089</v>
      </c>
      <c r="E645" t="s">
        <v>744</v>
      </c>
      <c r="F645" t="s">
        <v>14</v>
      </c>
      <c r="G645">
        <v>59313415</v>
      </c>
      <c r="H645" t="s">
        <v>614</v>
      </c>
      <c r="I645">
        <v>59836926</v>
      </c>
      <c r="J645" t="s">
        <v>14</v>
      </c>
      <c r="K645" t="s">
        <v>17</v>
      </c>
      <c r="L645" s="1" t="e">
        <f>VLOOKUP(A645,#REF!,2,0)</f>
        <v>#REF!</v>
      </c>
      <c r="M645" s="1">
        <v>0</v>
      </c>
      <c r="N645" s="10">
        <v>7800000</v>
      </c>
      <c r="O645" s="10"/>
      <c r="P645" t="s">
        <v>704</v>
      </c>
      <c r="Q645" s="1" t="e">
        <f t="shared" si="20"/>
        <v>#REF!</v>
      </c>
      <c r="S645" s="11" t="s">
        <v>1036</v>
      </c>
    </row>
    <row r="646" spans="1:19" x14ac:dyDescent="0.25">
      <c r="A646" t="s">
        <v>1313</v>
      </c>
      <c r="B646" t="s">
        <v>13</v>
      </c>
      <c r="C646" s="12">
        <v>46063</v>
      </c>
      <c r="D646" s="12">
        <v>46146</v>
      </c>
      <c r="E646" t="s">
        <v>744</v>
      </c>
      <c r="F646" t="s">
        <v>14</v>
      </c>
      <c r="G646">
        <v>1085343081</v>
      </c>
      <c r="H646" t="s">
        <v>903</v>
      </c>
      <c r="I646">
        <v>43624414</v>
      </c>
      <c r="J646" t="s">
        <v>14</v>
      </c>
      <c r="K646" t="s">
        <v>18</v>
      </c>
      <c r="L646" s="1" t="e">
        <f>VLOOKUP(A646,#REF!,2,0)</f>
        <v>#REF!</v>
      </c>
      <c r="M646" s="1">
        <v>0</v>
      </c>
      <c r="N646" s="10">
        <v>14190000</v>
      </c>
      <c r="O646" s="10"/>
      <c r="P646" t="s">
        <v>704</v>
      </c>
      <c r="Q646" s="1" t="e">
        <f t="shared" si="20"/>
        <v>#REF!</v>
      </c>
      <c r="S646" s="11" t="s">
        <v>1036</v>
      </c>
    </row>
    <row r="647" spans="1:19" x14ac:dyDescent="0.25">
      <c r="A647" t="s">
        <v>1314</v>
      </c>
      <c r="B647" t="s">
        <v>13</v>
      </c>
      <c r="C647" s="12">
        <v>46063</v>
      </c>
      <c r="D647" s="12">
        <v>46203</v>
      </c>
      <c r="E647" t="s">
        <v>775</v>
      </c>
      <c r="F647" t="s">
        <v>14</v>
      </c>
      <c r="G647">
        <v>1081273836</v>
      </c>
      <c r="H647" t="s">
        <v>941</v>
      </c>
      <c r="I647">
        <v>43624414</v>
      </c>
      <c r="J647" t="s">
        <v>14</v>
      </c>
      <c r="K647" t="s">
        <v>18</v>
      </c>
      <c r="L647" s="1" t="e">
        <f>VLOOKUP(A647,#REF!,2,0)</f>
        <v>#REF!</v>
      </c>
      <c r="M647" s="1">
        <v>0</v>
      </c>
      <c r="N647" s="10">
        <v>15750000</v>
      </c>
      <c r="O647" s="10"/>
      <c r="P647" t="s">
        <v>704</v>
      </c>
      <c r="Q647" s="1" t="e">
        <f t="shared" si="20"/>
        <v>#REF!</v>
      </c>
      <c r="S647" s="11" t="s">
        <v>1036</v>
      </c>
    </row>
    <row r="648" spans="1:19" x14ac:dyDescent="0.25">
      <c r="A648" t="s">
        <v>1315</v>
      </c>
      <c r="B648" t="s">
        <v>13</v>
      </c>
      <c r="C648" s="12">
        <v>46063</v>
      </c>
      <c r="D648" s="12">
        <v>46089</v>
      </c>
      <c r="E648" t="s">
        <v>775</v>
      </c>
      <c r="F648" t="s">
        <v>14</v>
      </c>
      <c r="G648">
        <v>30723627</v>
      </c>
      <c r="H648" t="s">
        <v>856</v>
      </c>
      <c r="I648">
        <v>59836926</v>
      </c>
      <c r="J648" t="s">
        <v>14</v>
      </c>
      <c r="K648" t="s">
        <v>17</v>
      </c>
      <c r="L648" s="1" t="e">
        <f>VLOOKUP(A648,#REF!,2,0)</f>
        <v>#REF!</v>
      </c>
      <c r="M648" s="1">
        <v>0</v>
      </c>
      <c r="N648" s="10">
        <v>6300000</v>
      </c>
      <c r="O648" s="10"/>
      <c r="P648" t="s">
        <v>704</v>
      </c>
      <c r="Q648" s="1" t="e">
        <f t="shared" si="20"/>
        <v>#REF!</v>
      </c>
      <c r="S648" s="11" t="s">
        <v>1036</v>
      </c>
    </row>
    <row r="649" spans="1:19" x14ac:dyDescent="0.25">
      <c r="A649" t="s">
        <v>1316</v>
      </c>
      <c r="B649" t="s">
        <v>13</v>
      </c>
      <c r="C649" s="12">
        <v>46069</v>
      </c>
      <c r="D649" s="12">
        <v>46142</v>
      </c>
      <c r="E649" t="s">
        <v>775</v>
      </c>
      <c r="F649" t="s">
        <v>14</v>
      </c>
      <c r="G649">
        <v>37084485</v>
      </c>
      <c r="H649" t="s">
        <v>852</v>
      </c>
      <c r="I649">
        <v>98390119</v>
      </c>
      <c r="J649" t="s">
        <v>14</v>
      </c>
      <c r="K649" t="s">
        <v>63</v>
      </c>
      <c r="L649" s="1" t="e">
        <f>VLOOKUP(A649,#REF!,2,0)</f>
        <v>#REF!</v>
      </c>
      <c r="M649" s="1">
        <v>0</v>
      </c>
      <c r="N649" s="10">
        <v>18900000</v>
      </c>
      <c r="O649" s="10"/>
      <c r="P649" t="s">
        <v>704</v>
      </c>
      <c r="Q649" s="1" t="e">
        <f t="shared" si="20"/>
        <v>#REF!</v>
      </c>
      <c r="S649" s="11" t="s">
        <v>1036</v>
      </c>
    </row>
    <row r="650" spans="1:19" x14ac:dyDescent="0.25">
      <c r="A650" t="s">
        <v>1317</v>
      </c>
      <c r="B650" t="s">
        <v>13</v>
      </c>
      <c r="C650" s="12">
        <v>46072</v>
      </c>
      <c r="D650" s="12">
        <v>46161</v>
      </c>
      <c r="E650" t="s">
        <v>793</v>
      </c>
      <c r="F650" t="s">
        <v>14</v>
      </c>
      <c r="G650">
        <v>1080040525</v>
      </c>
      <c r="H650" t="s">
        <v>143</v>
      </c>
      <c r="I650">
        <v>98333941</v>
      </c>
      <c r="J650" t="s">
        <v>14</v>
      </c>
      <c r="K650" t="s">
        <v>15</v>
      </c>
      <c r="L650" s="1" t="e">
        <f>VLOOKUP(A650,#REF!,2,0)</f>
        <v>#REF!</v>
      </c>
      <c r="M650" s="1">
        <v>0</v>
      </c>
      <c r="N650" s="10">
        <v>6000000</v>
      </c>
      <c r="O650" s="10"/>
      <c r="P650" t="s">
        <v>704</v>
      </c>
      <c r="Q650" s="1" t="e">
        <f t="shared" si="20"/>
        <v>#REF!</v>
      </c>
      <c r="S650" s="11" t="s">
        <v>1036</v>
      </c>
    </row>
    <row r="651" spans="1:19" x14ac:dyDescent="0.25">
      <c r="A651" t="s">
        <v>1318</v>
      </c>
      <c r="B651" t="s">
        <v>13</v>
      </c>
      <c r="C651" s="12">
        <v>46073</v>
      </c>
      <c r="D651" s="12">
        <v>46162</v>
      </c>
      <c r="E651" t="s">
        <v>775</v>
      </c>
      <c r="F651" t="s">
        <v>14</v>
      </c>
      <c r="G651">
        <v>1004697868</v>
      </c>
      <c r="H651" t="s">
        <v>915</v>
      </c>
      <c r="I651">
        <v>59836926</v>
      </c>
      <c r="J651" t="s">
        <v>14</v>
      </c>
      <c r="K651" t="s">
        <v>17</v>
      </c>
      <c r="L651" s="1" t="e">
        <f>VLOOKUP(A651,#REF!,2,0)</f>
        <v>#REF!</v>
      </c>
      <c r="M651" s="1">
        <v>0</v>
      </c>
      <c r="N651" s="10">
        <v>18900000</v>
      </c>
      <c r="O651" s="10"/>
      <c r="P651" t="s">
        <v>704</v>
      </c>
      <c r="Q651" s="1" t="e">
        <f t="shared" si="20"/>
        <v>#REF!</v>
      </c>
      <c r="S651" s="11" t="s">
        <v>1036</v>
      </c>
    </row>
    <row r="652" spans="1:19" x14ac:dyDescent="0.25">
      <c r="A652" t="s">
        <v>1319</v>
      </c>
      <c r="B652" t="s">
        <v>13</v>
      </c>
      <c r="C652" s="12">
        <v>46076</v>
      </c>
      <c r="D652" s="12">
        <v>46165</v>
      </c>
      <c r="E652" t="s">
        <v>744</v>
      </c>
      <c r="F652" t="s">
        <v>14</v>
      </c>
      <c r="G652">
        <v>87065491</v>
      </c>
      <c r="H652" t="s">
        <v>902</v>
      </c>
      <c r="I652">
        <v>59836926</v>
      </c>
      <c r="J652" t="s">
        <v>14</v>
      </c>
      <c r="K652" t="s">
        <v>17</v>
      </c>
      <c r="L652" s="1" t="e">
        <f>VLOOKUP(A652,#REF!,2,0)</f>
        <v>#REF!</v>
      </c>
      <c r="M652" s="1">
        <v>0</v>
      </c>
      <c r="N652" s="10">
        <v>14190000</v>
      </c>
      <c r="O652" s="10"/>
      <c r="P652" t="s">
        <v>704</v>
      </c>
      <c r="Q652" s="1" t="e">
        <f t="shared" si="20"/>
        <v>#REF!</v>
      </c>
      <c r="S652" s="11" t="s">
        <v>1036</v>
      </c>
    </row>
    <row r="653" spans="1:19" x14ac:dyDescent="0.25">
      <c r="A653" t="s">
        <v>1320</v>
      </c>
      <c r="B653" t="s">
        <v>13</v>
      </c>
      <c r="C653" s="12">
        <v>46076</v>
      </c>
      <c r="D653" s="12">
        <v>46104</v>
      </c>
      <c r="E653" t="s">
        <v>775</v>
      </c>
      <c r="F653" t="s">
        <v>14</v>
      </c>
      <c r="G653">
        <v>37087117</v>
      </c>
      <c r="H653" t="s">
        <v>197</v>
      </c>
      <c r="I653">
        <v>98333941</v>
      </c>
      <c r="J653" t="s">
        <v>14</v>
      </c>
      <c r="K653" t="s">
        <v>15</v>
      </c>
      <c r="L653" s="1" t="e">
        <f>VLOOKUP(A653,#REF!,2,0)</f>
        <v>#REF!</v>
      </c>
      <c r="M653" s="1">
        <v>0</v>
      </c>
      <c r="N653" s="10">
        <v>3150000</v>
      </c>
      <c r="O653" s="10"/>
      <c r="P653" t="s">
        <v>704</v>
      </c>
      <c r="Q653" s="1" t="e">
        <f t="shared" si="20"/>
        <v>#REF!</v>
      </c>
      <c r="S653" s="11" t="s">
        <v>1036</v>
      </c>
    </row>
    <row r="654" spans="1:19" x14ac:dyDescent="0.25">
      <c r="A654" t="s">
        <v>1321</v>
      </c>
      <c r="B654" t="s">
        <v>13</v>
      </c>
      <c r="C654" s="12">
        <v>46076</v>
      </c>
      <c r="D654" s="12">
        <v>46104</v>
      </c>
      <c r="E654" t="s">
        <v>744</v>
      </c>
      <c r="F654" t="s">
        <v>14</v>
      </c>
      <c r="G654">
        <v>1193406111</v>
      </c>
      <c r="H654" t="s">
        <v>858</v>
      </c>
      <c r="I654">
        <v>43624414</v>
      </c>
      <c r="J654" t="s">
        <v>14</v>
      </c>
      <c r="K654" t="s">
        <v>18</v>
      </c>
      <c r="L654" s="1" t="e">
        <f>VLOOKUP(A654,#REF!,2,0)</f>
        <v>#REF!</v>
      </c>
      <c r="M654" s="1">
        <v>0</v>
      </c>
      <c r="N654" s="10">
        <v>7800000</v>
      </c>
      <c r="O654" s="10"/>
      <c r="P654" t="s">
        <v>704</v>
      </c>
      <c r="Q654" s="1" t="e">
        <f t="shared" si="20"/>
        <v>#REF!</v>
      </c>
      <c r="S654" s="11" t="s">
        <v>1036</v>
      </c>
    </row>
    <row r="655" spans="1:19" x14ac:dyDescent="0.25">
      <c r="A655" t="s">
        <v>1322</v>
      </c>
      <c r="B655" t="s">
        <v>13</v>
      </c>
      <c r="C655" s="12">
        <v>46077</v>
      </c>
      <c r="D655" s="12">
        <v>46166</v>
      </c>
      <c r="E655" t="s">
        <v>775</v>
      </c>
      <c r="F655" t="s">
        <v>14</v>
      </c>
      <c r="G655">
        <v>1085271641</v>
      </c>
      <c r="H655" t="s">
        <v>30</v>
      </c>
      <c r="I655">
        <v>43624414</v>
      </c>
      <c r="J655" t="s">
        <v>14</v>
      </c>
      <c r="K655" t="s">
        <v>18</v>
      </c>
      <c r="L655" s="1" t="e">
        <f>VLOOKUP(A655,#REF!,2,0)</f>
        <v>#REF!</v>
      </c>
      <c r="M655" s="1">
        <v>0</v>
      </c>
      <c r="N655" s="10">
        <v>9450000</v>
      </c>
      <c r="O655" s="10"/>
      <c r="P655" t="s">
        <v>704</v>
      </c>
      <c r="Q655" s="1" t="e">
        <f t="shared" si="20"/>
        <v>#REF!</v>
      </c>
      <c r="S655" s="11" t="s">
        <v>1036</v>
      </c>
    </row>
    <row r="656" spans="1:19" x14ac:dyDescent="0.25">
      <c r="A656" t="s">
        <v>1323</v>
      </c>
      <c r="B656" t="s">
        <v>13</v>
      </c>
      <c r="C656" s="12">
        <v>46077</v>
      </c>
      <c r="D656" s="12">
        <v>46166</v>
      </c>
      <c r="E656" t="s">
        <v>775</v>
      </c>
      <c r="F656" t="s">
        <v>14</v>
      </c>
      <c r="G656">
        <v>1004543158</v>
      </c>
      <c r="H656" t="s">
        <v>937</v>
      </c>
      <c r="I656">
        <v>98333941</v>
      </c>
      <c r="J656" t="s">
        <v>14</v>
      </c>
      <c r="K656" t="s">
        <v>15</v>
      </c>
      <c r="L656" s="1" t="e">
        <f>VLOOKUP(A656,#REF!,2,0)</f>
        <v>#REF!</v>
      </c>
      <c r="M656" s="1">
        <v>0</v>
      </c>
      <c r="N656" s="10">
        <v>9450000</v>
      </c>
      <c r="O656" s="10"/>
      <c r="P656" t="s">
        <v>704</v>
      </c>
      <c r="Q656" s="1" t="e">
        <f t="shared" si="20"/>
        <v>#REF!</v>
      </c>
      <c r="S656" s="11" t="s">
        <v>1036</v>
      </c>
    </row>
    <row r="657" spans="1:19" x14ac:dyDescent="0.25">
      <c r="A657" t="s">
        <v>1324</v>
      </c>
      <c r="B657" t="s">
        <v>13</v>
      </c>
      <c r="C657" s="12">
        <v>46077</v>
      </c>
      <c r="D657" s="12">
        <v>46105</v>
      </c>
      <c r="E657" t="s">
        <v>744</v>
      </c>
      <c r="F657" t="s">
        <v>14</v>
      </c>
      <c r="G657">
        <v>1085262812</v>
      </c>
      <c r="H657" t="s">
        <v>923</v>
      </c>
      <c r="I657">
        <v>59836926</v>
      </c>
      <c r="J657" t="s">
        <v>14</v>
      </c>
      <c r="K657" t="s">
        <v>17</v>
      </c>
      <c r="L657" s="1" t="e">
        <f>VLOOKUP(A657,#REF!,2,0)</f>
        <v>#REF!</v>
      </c>
      <c r="M657" s="1">
        <v>0</v>
      </c>
      <c r="N657" s="10">
        <v>7800000</v>
      </c>
      <c r="O657" s="10"/>
      <c r="P657" t="s">
        <v>704</v>
      </c>
      <c r="Q657" s="1" t="e">
        <f t="shared" si="20"/>
        <v>#REF!</v>
      </c>
      <c r="S657" s="11" t="s">
        <v>1036</v>
      </c>
    </row>
    <row r="658" spans="1:19" x14ac:dyDescent="0.25">
      <c r="A658" t="s">
        <v>1325</v>
      </c>
      <c r="B658" t="s">
        <v>13</v>
      </c>
      <c r="C658" s="12">
        <v>46077</v>
      </c>
      <c r="D658" s="12">
        <v>46105</v>
      </c>
      <c r="E658" t="s">
        <v>744</v>
      </c>
      <c r="F658" t="s">
        <v>14</v>
      </c>
      <c r="G658">
        <v>1007736489</v>
      </c>
      <c r="H658" t="s">
        <v>961</v>
      </c>
      <c r="I658">
        <v>43624414</v>
      </c>
      <c r="J658" t="s">
        <v>14</v>
      </c>
      <c r="K658" t="s">
        <v>18</v>
      </c>
      <c r="L658" s="1" t="e">
        <f>VLOOKUP(A658,#REF!,2,0)</f>
        <v>#REF!</v>
      </c>
      <c r="M658" s="1">
        <v>0</v>
      </c>
      <c r="N658" s="10">
        <v>7800000</v>
      </c>
      <c r="O658" s="10"/>
      <c r="P658" t="s">
        <v>704</v>
      </c>
      <c r="Q658" s="1" t="e">
        <f t="shared" ref="Q658:Q698" si="21">N658-L658</f>
        <v>#REF!</v>
      </c>
      <c r="S658" s="11" t="s">
        <v>1036</v>
      </c>
    </row>
    <row r="659" spans="1:19" x14ac:dyDescent="0.25">
      <c r="A659" t="s">
        <v>1326</v>
      </c>
      <c r="B659" t="s">
        <v>13</v>
      </c>
      <c r="C659" s="12">
        <v>46077</v>
      </c>
      <c r="D659" s="12">
        <v>46166</v>
      </c>
      <c r="E659" t="s">
        <v>744</v>
      </c>
      <c r="F659" t="s">
        <v>14</v>
      </c>
      <c r="G659">
        <v>1085251979</v>
      </c>
      <c r="H659" t="s">
        <v>846</v>
      </c>
      <c r="I659">
        <v>43624414</v>
      </c>
      <c r="J659" t="s">
        <v>14</v>
      </c>
      <c r="K659" t="s">
        <v>18</v>
      </c>
      <c r="L659" s="1" t="e">
        <f>VLOOKUP(A659,#REF!,2,0)</f>
        <v>#REF!</v>
      </c>
      <c r="M659" s="1">
        <v>0</v>
      </c>
      <c r="N659" s="10">
        <v>14190000</v>
      </c>
      <c r="O659" s="10"/>
      <c r="P659" t="s">
        <v>704</v>
      </c>
      <c r="Q659" s="1" t="e">
        <f t="shared" si="21"/>
        <v>#REF!</v>
      </c>
      <c r="S659" s="11" t="s">
        <v>1036</v>
      </c>
    </row>
    <row r="660" spans="1:19" x14ac:dyDescent="0.25">
      <c r="A660" t="s">
        <v>1327</v>
      </c>
      <c r="B660" t="s">
        <v>13</v>
      </c>
      <c r="C660" s="12">
        <v>46079</v>
      </c>
      <c r="D660" s="12">
        <v>46107</v>
      </c>
      <c r="E660" t="s">
        <v>775</v>
      </c>
      <c r="F660" t="s">
        <v>14</v>
      </c>
      <c r="G660">
        <v>36757522</v>
      </c>
      <c r="H660" t="s">
        <v>849</v>
      </c>
      <c r="I660">
        <v>59836926</v>
      </c>
      <c r="J660" t="s">
        <v>14</v>
      </c>
      <c r="K660" t="s">
        <v>17</v>
      </c>
      <c r="L660" s="1" t="e">
        <f>VLOOKUP(A660,#REF!,2,0)</f>
        <v>#REF!</v>
      </c>
      <c r="M660" s="1">
        <v>0</v>
      </c>
      <c r="N660" s="10">
        <v>3150000</v>
      </c>
      <c r="O660" s="10"/>
      <c r="P660" t="s">
        <v>704</v>
      </c>
      <c r="Q660" s="1" t="e">
        <f t="shared" si="21"/>
        <v>#REF!</v>
      </c>
      <c r="S660" s="11" t="s">
        <v>1036</v>
      </c>
    </row>
    <row r="661" spans="1:19" x14ac:dyDescent="0.25">
      <c r="A661" t="s">
        <v>1328</v>
      </c>
      <c r="B661" t="s">
        <v>13</v>
      </c>
      <c r="C661" s="12">
        <v>46079</v>
      </c>
      <c r="D661" s="12">
        <v>46168</v>
      </c>
      <c r="E661" t="s">
        <v>775</v>
      </c>
      <c r="F661" t="s">
        <v>14</v>
      </c>
      <c r="G661">
        <v>1086224177</v>
      </c>
      <c r="H661" t="s">
        <v>925</v>
      </c>
      <c r="I661">
        <v>98390119</v>
      </c>
      <c r="J661" t="s">
        <v>14</v>
      </c>
      <c r="K661" t="s">
        <v>63</v>
      </c>
      <c r="L661" s="1" t="e">
        <f>VLOOKUP(A661,#REF!,2,0)</f>
        <v>#REF!</v>
      </c>
      <c r="M661" s="1">
        <v>0</v>
      </c>
      <c r="N661" s="10">
        <v>9450000</v>
      </c>
      <c r="O661" s="10"/>
      <c r="P661" t="s">
        <v>704</v>
      </c>
      <c r="Q661" s="1" t="e">
        <f t="shared" si="21"/>
        <v>#REF!</v>
      </c>
      <c r="S661" s="11" t="s">
        <v>1036</v>
      </c>
    </row>
    <row r="662" spans="1:19" x14ac:dyDescent="0.25">
      <c r="A662" t="s">
        <v>1329</v>
      </c>
      <c r="B662" t="s">
        <v>13</v>
      </c>
      <c r="C662" s="12">
        <v>46079</v>
      </c>
      <c r="D662" s="12">
        <v>46168</v>
      </c>
      <c r="E662" t="s">
        <v>775</v>
      </c>
      <c r="F662" t="s">
        <v>14</v>
      </c>
      <c r="G662">
        <v>1004189754</v>
      </c>
      <c r="H662" t="s">
        <v>938</v>
      </c>
      <c r="I662">
        <v>98333941</v>
      </c>
      <c r="J662" t="s">
        <v>14</v>
      </c>
      <c r="K662" t="s">
        <v>15</v>
      </c>
      <c r="L662" s="1" t="e">
        <f>VLOOKUP(A662,#REF!,2,0)</f>
        <v>#REF!</v>
      </c>
      <c r="M662" s="1">
        <v>0</v>
      </c>
      <c r="N662" s="10">
        <v>9450000</v>
      </c>
      <c r="O662" s="10"/>
      <c r="P662" t="s">
        <v>704</v>
      </c>
      <c r="Q662" s="1" t="e">
        <f t="shared" si="21"/>
        <v>#REF!</v>
      </c>
      <c r="S662" s="11" t="s">
        <v>1036</v>
      </c>
    </row>
    <row r="663" spans="1:19" x14ac:dyDescent="0.25">
      <c r="A663" t="s">
        <v>1330</v>
      </c>
      <c r="B663" t="s">
        <v>13</v>
      </c>
      <c r="C663" s="12">
        <v>46083</v>
      </c>
      <c r="D663" s="12">
        <v>46175</v>
      </c>
      <c r="E663" t="s">
        <v>775</v>
      </c>
      <c r="F663" t="s">
        <v>14</v>
      </c>
      <c r="G663">
        <v>1085291729</v>
      </c>
      <c r="H663" t="s">
        <v>949</v>
      </c>
      <c r="I663">
        <v>43624414</v>
      </c>
      <c r="J663" t="s">
        <v>14</v>
      </c>
      <c r="K663" t="s">
        <v>18</v>
      </c>
      <c r="L663" s="1" t="e">
        <f>VLOOKUP(A663,#REF!,2,0)</f>
        <v>#REF!</v>
      </c>
      <c r="M663" s="1">
        <v>0</v>
      </c>
      <c r="N663" s="10">
        <v>9450000</v>
      </c>
      <c r="O663" s="10"/>
      <c r="P663" t="s">
        <v>704</v>
      </c>
      <c r="Q663" s="1" t="e">
        <f t="shared" si="21"/>
        <v>#REF!</v>
      </c>
      <c r="S663" s="11" t="s">
        <v>1036</v>
      </c>
    </row>
    <row r="664" spans="1:19" x14ac:dyDescent="0.25">
      <c r="A664" t="s">
        <v>1331</v>
      </c>
      <c r="B664" t="s">
        <v>13</v>
      </c>
      <c r="C664" s="12">
        <v>46084</v>
      </c>
      <c r="D664" s="12">
        <v>46203</v>
      </c>
      <c r="E664" t="s">
        <v>744</v>
      </c>
      <c r="F664" t="s">
        <v>14</v>
      </c>
      <c r="G664">
        <v>1085347123</v>
      </c>
      <c r="H664" t="s">
        <v>963</v>
      </c>
      <c r="I664">
        <v>59836926</v>
      </c>
      <c r="J664" t="s">
        <v>14</v>
      </c>
      <c r="K664" t="s">
        <v>17</v>
      </c>
      <c r="L664" s="1" t="e">
        <f>VLOOKUP(A664,#REF!,2,0)</f>
        <v>#REF!</v>
      </c>
      <c r="M664" s="1">
        <v>0</v>
      </c>
      <c r="N664" s="10">
        <v>31200000</v>
      </c>
      <c r="O664" s="10"/>
      <c r="P664" t="s">
        <v>704</v>
      </c>
      <c r="Q664" s="1" t="e">
        <f t="shared" si="21"/>
        <v>#REF!</v>
      </c>
      <c r="S664" s="11" t="s">
        <v>1036</v>
      </c>
    </row>
    <row r="665" spans="1:19" x14ac:dyDescent="0.25">
      <c r="A665" t="s">
        <v>1332</v>
      </c>
      <c r="B665" t="s">
        <v>13</v>
      </c>
      <c r="C665" s="12">
        <v>46085</v>
      </c>
      <c r="D665" s="12">
        <v>46146</v>
      </c>
      <c r="E665" t="s">
        <v>775</v>
      </c>
      <c r="F665" t="s">
        <v>14</v>
      </c>
      <c r="G665">
        <v>1086360087</v>
      </c>
      <c r="H665" t="s">
        <v>397</v>
      </c>
      <c r="I665">
        <v>98390119</v>
      </c>
      <c r="J665" t="s">
        <v>14</v>
      </c>
      <c r="K665" t="s">
        <v>63</v>
      </c>
      <c r="L665" s="1" t="e">
        <f>VLOOKUP(A665,#REF!,2,0)</f>
        <v>#REF!</v>
      </c>
      <c r="M665" s="1">
        <v>0</v>
      </c>
      <c r="N665" s="10">
        <v>12600000</v>
      </c>
      <c r="O665" s="10"/>
      <c r="P665" t="s">
        <v>704</v>
      </c>
      <c r="Q665" s="1" t="e">
        <f t="shared" si="21"/>
        <v>#REF!</v>
      </c>
      <c r="S665" s="11" t="s">
        <v>1036</v>
      </c>
    </row>
    <row r="666" spans="1:19" x14ac:dyDescent="0.25">
      <c r="A666" t="s">
        <v>1333</v>
      </c>
      <c r="B666" t="s">
        <v>13</v>
      </c>
      <c r="C666" s="12">
        <v>46085</v>
      </c>
      <c r="D666" s="12">
        <v>46146</v>
      </c>
      <c r="E666" t="s">
        <v>775</v>
      </c>
      <c r="F666" t="s">
        <v>14</v>
      </c>
      <c r="G666">
        <v>27436186</v>
      </c>
      <c r="H666" t="s">
        <v>932</v>
      </c>
      <c r="I666">
        <v>43624414</v>
      </c>
      <c r="J666" t="s">
        <v>14</v>
      </c>
      <c r="K666" t="s">
        <v>18</v>
      </c>
      <c r="L666" s="1" t="e">
        <f>VLOOKUP(A666,#REF!,2,0)</f>
        <v>#REF!</v>
      </c>
      <c r="M666" s="1">
        <v>0</v>
      </c>
      <c r="N666" s="10">
        <v>6300000</v>
      </c>
      <c r="O666" s="10"/>
      <c r="P666" t="s">
        <v>704</v>
      </c>
      <c r="Q666" s="1" t="e">
        <f t="shared" si="21"/>
        <v>#REF!</v>
      </c>
      <c r="S666" s="11" t="s">
        <v>1036</v>
      </c>
    </row>
    <row r="667" spans="1:19" x14ac:dyDescent="0.25">
      <c r="A667" t="s">
        <v>1334</v>
      </c>
      <c r="B667" t="s">
        <v>13</v>
      </c>
      <c r="C667" s="12">
        <v>46085</v>
      </c>
      <c r="D667" s="12">
        <v>46177</v>
      </c>
      <c r="E667" t="s">
        <v>775</v>
      </c>
      <c r="F667" t="s">
        <v>14</v>
      </c>
      <c r="G667">
        <v>1085343154</v>
      </c>
      <c r="H667" t="s">
        <v>600</v>
      </c>
      <c r="I667">
        <v>98333941</v>
      </c>
      <c r="J667" t="s">
        <v>14</v>
      </c>
      <c r="K667" t="s">
        <v>15</v>
      </c>
      <c r="L667" s="1" t="e">
        <f>VLOOKUP(A667,#REF!,2,0)</f>
        <v>#REF!</v>
      </c>
      <c r="M667" s="1">
        <v>0</v>
      </c>
      <c r="N667" s="10">
        <v>9450000</v>
      </c>
      <c r="O667" s="10"/>
      <c r="P667" t="s">
        <v>704</v>
      </c>
      <c r="Q667" s="1" t="e">
        <f t="shared" si="21"/>
        <v>#REF!</v>
      </c>
      <c r="S667" s="11" t="s">
        <v>1036</v>
      </c>
    </row>
    <row r="668" spans="1:19" x14ac:dyDescent="0.25">
      <c r="A668" t="s">
        <v>1335</v>
      </c>
      <c r="B668" t="s">
        <v>13</v>
      </c>
      <c r="C668" s="12">
        <v>46086</v>
      </c>
      <c r="D668" s="12">
        <v>46178</v>
      </c>
      <c r="E668" t="s">
        <v>775</v>
      </c>
      <c r="F668" t="s">
        <v>14</v>
      </c>
      <c r="G668">
        <v>1085346528</v>
      </c>
      <c r="H668" t="s">
        <v>385</v>
      </c>
      <c r="I668">
        <v>43624414</v>
      </c>
      <c r="J668" t="s">
        <v>14</v>
      </c>
      <c r="K668" t="s">
        <v>18</v>
      </c>
      <c r="L668" s="1" t="e">
        <f>VLOOKUP(A668,#REF!,2,0)</f>
        <v>#REF!</v>
      </c>
      <c r="M668" s="1">
        <v>0</v>
      </c>
      <c r="N668" s="10">
        <v>9450000</v>
      </c>
      <c r="O668" s="10"/>
      <c r="P668" t="s">
        <v>704</v>
      </c>
      <c r="Q668" s="1" t="e">
        <f t="shared" si="21"/>
        <v>#REF!</v>
      </c>
      <c r="S668" s="11" t="s">
        <v>1036</v>
      </c>
    </row>
    <row r="669" spans="1:19" x14ac:dyDescent="0.25">
      <c r="A669" t="s">
        <v>1336</v>
      </c>
      <c r="B669" t="s">
        <v>13</v>
      </c>
      <c r="C669" s="12">
        <v>46087</v>
      </c>
      <c r="D669" s="12">
        <v>46179</v>
      </c>
      <c r="E669" t="s">
        <v>775</v>
      </c>
      <c r="F669" t="s">
        <v>14</v>
      </c>
      <c r="G669">
        <v>1086223270</v>
      </c>
      <c r="H669" t="s">
        <v>914</v>
      </c>
      <c r="I669">
        <v>59836926</v>
      </c>
      <c r="J669" t="s">
        <v>14</v>
      </c>
      <c r="K669" t="s">
        <v>17</v>
      </c>
      <c r="L669" s="1" t="e">
        <f>VLOOKUP(A669,#REF!,2,0)</f>
        <v>#REF!</v>
      </c>
      <c r="M669" s="1">
        <v>0</v>
      </c>
      <c r="N669" s="10">
        <v>9450000</v>
      </c>
      <c r="O669" s="10"/>
      <c r="P669" t="s">
        <v>704</v>
      </c>
      <c r="Q669" s="1" t="e">
        <f t="shared" si="21"/>
        <v>#REF!</v>
      </c>
      <c r="S669" s="11" t="s">
        <v>1036</v>
      </c>
    </row>
    <row r="670" spans="1:19" x14ac:dyDescent="0.25">
      <c r="A670" t="s">
        <v>1337</v>
      </c>
      <c r="B670" t="s">
        <v>13</v>
      </c>
      <c r="C670" s="12">
        <v>46087</v>
      </c>
      <c r="D670" s="12">
        <v>46179</v>
      </c>
      <c r="E670" t="s">
        <v>775</v>
      </c>
      <c r="F670" t="s">
        <v>14</v>
      </c>
      <c r="G670">
        <v>1084550836</v>
      </c>
      <c r="H670" t="s">
        <v>929</v>
      </c>
      <c r="I670">
        <v>98390119</v>
      </c>
      <c r="J670" t="s">
        <v>14</v>
      </c>
      <c r="K670" t="s">
        <v>63</v>
      </c>
      <c r="L670" s="1" t="e">
        <f>VLOOKUP(A670,#REF!,2,0)</f>
        <v>#REF!</v>
      </c>
      <c r="M670" s="1">
        <v>0</v>
      </c>
      <c r="N670" s="10">
        <v>9450000</v>
      </c>
      <c r="O670" s="10"/>
      <c r="P670" t="s">
        <v>704</v>
      </c>
      <c r="Q670" s="1" t="e">
        <f t="shared" si="21"/>
        <v>#REF!</v>
      </c>
      <c r="S670" s="11" t="s">
        <v>1036</v>
      </c>
    </row>
    <row r="671" spans="1:19" x14ac:dyDescent="0.25">
      <c r="A671" t="s">
        <v>1338</v>
      </c>
      <c r="B671" t="s">
        <v>13</v>
      </c>
      <c r="C671" s="12">
        <v>46087</v>
      </c>
      <c r="D671" s="12">
        <v>46179</v>
      </c>
      <c r="E671" t="s">
        <v>775</v>
      </c>
      <c r="F671" t="s">
        <v>14</v>
      </c>
      <c r="G671">
        <v>36757221</v>
      </c>
      <c r="H671" t="s">
        <v>482</v>
      </c>
      <c r="I671">
        <v>59836926</v>
      </c>
      <c r="J671" t="s">
        <v>14</v>
      </c>
      <c r="K671" t="s">
        <v>17</v>
      </c>
      <c r="L671" s="1" t="e">
        <f>VLOOKUP(A671,#REF!,2,0)</f>
        <v>#REF!</v>
      </c>
      <c r="M671" s="1">
        <v>0</v>
      </c>
      <c r="N671" s="10">
        <v>18900000</v>
      </c>
      <c r="O671" s="10"/>
      <c r="P671" t="s">
        <v>704</v>
      </c>
      <c r="Q671" s="1" t="e">
        <f t="shared" si="21"/>
        <v>#REF!</v>
      </c>
      <c r="S671" s="11" t="s">
        <v>1036</v>
      </c>
    </row>
    <row r="672" spans="1:19" x14ac:dyDescent="0.25">
      <c r="A672" t="s">
        <v>1339</v>
      </c>
      <c r="B672" t="s">
        <v>13</v>
      </c>
      <c r="C672" s="12">
        <v>46087</v>
      </c>
      <c r="D672" s="12">
        <v>46118</v>
      </c>
      <c r="E672" t="s">
        <v>775</v>
      </c>
      <c r="F672" t="s">
        <v>14</v>
      </c>
      <c r="G672">
        <v>59123136</v>
      </c>
      <c r="H672" t="s">
        <v>859</v>
      </c>
      <c r="I672">
        <v>43624414</v>
      </c>
      <c r="J672" t="s">
        <v>14</v>
      </c>
      <c r="K672" t="s">
        <v>18</v>
      </c>
      <c r="L672" s="1" t="e">
        <f>VLOOKUP(A672,#REF!,2,0)</f>
        <v>#REF!</v>
      </c>
      <c r="M672" s="1">
        <v>0</v>
      </c>
      <c r="N672" s="10">
        <v>6300000</v>
      </c>
      <c r="O672" s="10"/>
      <c r="P672" t="s">
        <v>704</v>
      </c>
      <c r="Q672" s="1" t="e">
        <f t="shared" si="21"/>
        <v>#REF!</v>
      </c>
      <c r="S672" s="11" t="s">
        <v>1036</v>
      </c>
    </row>
    <row r="673" spans="1:19" x14ac:dyDescent="0.25">
      <c r="A673" t="s">
        <v>1340</v>
      </c>
      <c r="B673" t="s">
        <v>13</v>
      </c>
      <c r="C673" s="12">
        <v>46087</v>
      </c>
      <c r="D673" s="12">
        <v>46148</v>
      </c>
      <c r="E673" t="s">
        <v>775</v>
      </c>
      <c r="F673" t="s">
        <v>14</v>
      </c>
      <c r="G673">
        <v>27456421</v>
      </c>
      <c r="H673" t="s">
        <v>608</v>
      </c>
      <c r="I673">
        <v>98390119</v>
      </c>
      <c r="J673" t="s">
        <v>14</v>
      </c>
      <c r="K673" t="s">
        <v>63</v>
      </c>
      <c r="L673" s="1" t="e">
        <f>VLOOKUP(A673,#REF!,2,0)</f>
        <v>#REF!</v>
      </c>
      <c r="M673" s="1">
        <v>0</v>
      </c>
      <c r="N673" s="10">
        <v>12600000</v>
      </c>
      <c r="O673" s="10"/>
      <c r="P673" t="s">
        <v>704</v>
      </c>
      <c r="Q673" s="1" t="e">
        <f t="shared" si="21"/>
        <v>#REF!</v>
      </c>
      <c r="S673" s="11" t="s">
        <v>1036</v>
      </c>
    </row>
    <row r="674" spans="1:19" x14ac:dyDescent="0.25">
      <c r="A674" t="s">
        <v>1341</v>
      </c>
      <c r="B674" t="s">
        <v>13</v>
      </c>
      <c r="C674" s="12">
        <v>46087</v>
      </c>
      <c r="D674" s="12">
        <v>46203</v>
      </c>
      <c r="E674" t="s">
        <v>775</v>
      </c>
      <c r="F674" t="s">
        <v>14</v>
      </c>
      <c r="G674">
        <v>1085246134</v>
      </c>
      <c r="H674" t="s">
        <v>691</v>
      </c>
      <c r="I674">
        <v>98333941</v>
      </c>
      <c r="J674" t="s">
        <v>14</v>
      </c>
      <c r="K674" t="s">
        <v>15</v>
      </c>
      <c r="L674" s="1" t="e">
        <f>VLOOKUP(A674,#REF!,2,0)</f>
        <v>#REF!</v>
      </c>
      <c r="M674" s="1">
        <v>0</v>
      </c>
      <c r="N674" s="10">
        <v>25200000</v>
      </c>
      <c r="O674" s="10"/>
      <c r="P674" t="s">
        <v>704</v>
      </c>
      <c r="Q674" s="1" t="e">
        <f t="shared" si="21"/>
        <v>#REF!</v>
      </c>
      <c r="S674" s="11" t="s">
        <v>1036</v>
      </c>
    </row>
    <row r="675" spans="1:19" x14ac:dyDescent="0.25">
      <c r="A675" t="s">
        <v>1342</v>
      </c>
      <c r="B675" t="s">
        <v>13</v>
      </c>
      <c r="C675" s="12">
        <v>46090</v>
      </c>
      <c r="D675" s="12">
        <v>46203</v>
      </c>
      <c r="E675" t="s">
        <v>744</v>
      </c>
      <c r="F675" t="s">
        <v>14</v>
      </c>
      <c r="G675">
        <v>59651018</v>
      </c>
      <c r="H675" t="s">
        <v>839</v>
      </c>
      <c r="I675">
        <v>98333941</v>
      </c>
      <c r="J675" t="s">
        <v>14</v>
      </c>
      <c r="K675" t="s">
        <v>15</v>
      </c>
      <c r="L675" s="1" t="e">
        <f>VLOOKUP(A675,#REF!,2,0)</f>
        <v>#REF!</v>
      </c>
      <c r="M675" s="1">
        <v>0</v>
      </c>
      <c r="N675" s="10">
        <v>18920000</v>
      </c>
      <c r="O675" s="10"/>
      <c r="P675" t="s">
        <v>704</v>
      </c>
      <c r="Q675" s="1" t="e">
        <f t="shared" si="21"/>
        <v>#REF!</v>
      </c>
      <c r="S675" s="11" t="s">
        <v>1036</v>
      </c>
    </row>
    <row r="676" spans="1:19" x14ac:dyDescent="0.25">
      <c r="A676" t="s">
        <v>1343</v>
      </c>
      <c r="B676" t="s">
        <v>13</v>
      </c>
      <c r="C676" s="12">
        <v>46090</v>
      </c>
      <c r="D676" s="12">
        <v>46151</v>
      </c>
      <c r="E676" t="s">
        <v>775</v>
      </c>
      <c r="F676" t="s">
        <v>14</v>
      </c>
      <c r="G676">
        <v>59830040</v>
      </c>
      <c r="H676" t="s">
        <v>76</v>
      </c>
      <c r="I676">
        <v>59836926</v>
      </c>
      <c r="J676" t="s">
        <v>14</v>
      </c>
      <c r="K676" t="s">
        <v>17</v>
      </c>
      <c r="L676" s="1" t="e">
        <f>VLOOKUP(A676,#REF!,2,0)</f>
        <v>#REF!</v>
      </c>
      <c r="M676" s="1">
        <v>0</v>
      </c>
      <c r="N676" s="10">
        <v>6300000</v>
      </c>
      <c r="O676" s="10"/>
      <c r="P676" t="s">
        <v>704</v>
      </c>
      <c r="Q676" s="1" t="e">
        <f t="shared" si="21"/>
        <v>#REF!</v>
      </c>
      <c r="S676" s="11" t="s">
        <v>1036</v>
      </c>
    </row>
    <row r="677" spans="1:19" x14ac:dyDescent="0.25">
      <c r="A677" t="s">
        <v>1344</v>
      </c>
      <c r="B677" t="s">
        <v>13</v>
      </c>
      <c r="C677" s="12">
        <v>46090</v>
      </c>
      <c r="D677" s="12">
        <v>46151</v>
      </c>
      <c r="E677" t="s">
        <v>775</v>
      </c>
      <c r="F677" t="s">
        <v>14</v>
      </c>
      <c r="G677">
        <v>1085254153</v>
      </c>
      <c r="H677" t="s">
        <v>308</v>
      </c>
      <c r="I677">
        <v>59836926</v>
      </c>
      <c r="J677" t="s">
        <v>14</v>
      </c>
      <c r="K677" t="s">
        <v>17</v>
      </c>
      <c r="L677" s="1" t="e">
        <f>VLOOKUP(A677,#REF!,2,0)</f>
        <v>#REF!</v>
      </c>
      <c r="M677" s="1">
        <v>0</v>
      </c>
      <c r="N677" s="10">
        <v>12600000</v>
      </c>
      <c r="O677" s="10"/>
      <c r="P677" t="s">
        <v>704</v>
      </c>
      <c r="Q677" s="1" t="e">
        <f t="shared" si="21"/>
        <v>#REF!</v>
      </c>
      <c r="S677" s="11" t="s">
        <v>1036</v>
      </c>
    </row>
    <row r="678" spans="1:19" x14ac:dyDescent="0.25">
      <c r="A678" t="s">
        <v>1345</v>
      </c>
      <c r="B678" t="s">
        <v>13</v>
      </c>
      <c r="C678" s="12">
        <v>46090</v>
      </c>
      <c r="D678" s="12">
        <v>46203</v>
      </c>
      <c r="E678" t="s">
        <v>775</v>
      </c>
      <c r="F678" t="s">
        <v>14</v>
      </c>
      <c r="G678">
        <v>1004339825</v>
      </c>
      <c r="H678" t="s">
        <v>957</v>
      </c>
      <c r="I678">
        <v>98390119</v>
      </c>
      <c r="J678" t="s">
        <v>14</v>
      </c>
      <c r="K678" t="s">
        <v>63</v>
      </c>
      <c r="L678" s="1" t="e">
        <f>VLOOKUP(A678,#REF!,2,0)</f>
        <v>#REF!</v>
      </c>
      <c r="M678" s="1">
        <v>0</v>
      </c>
      <c r="N678" s="10">
        <v>12600000</v>
      </c>
      <c r="O678" s="10"/>
      <c r="P678" t="s">
        <v>704</v>
      </c>
      <c r="Q678" s="1" t="e">
        <f t="shared" si="21"/>
        <v>#REF!</v>
      </c>
      <c r="S678" s="11" t="s">
        <v>1036</v>
      </c>
    </row>
    <row r="679" spans="1:19" x14ac:dyDescent="0.25">
      <c r="A679" t="s">
        <v>1346</v>
      </c>
      <c r="B679" t="s">
        <v>13</v>
      </c>
      <c r="C679" s="12">
        <v>46090</v>
      </c>
      <c r="D679" s="12">
        <v>46182</v>
      </c>
      <c r="E679" t="s">
        <v>744</v>
      </c>
      <c r="F679" t="s">
        <v>14</v>
      </c>
      <c r="G679">
        <v>1085333467</v>
      </c>
      <c r="H679" t="s">
        <v>595</v>
      </c>
      <c r="I679">
        <v>59836926</v>
      </c>
      <c r="J679" t="s">
        <v>14</v>
      </c>
      <c r="K679" t="s">
        <v>17</v>
      </c>
      <c r="L679" s="1" t="e">
        <f>VLOOKUP(A679,#REF!,2,0)</f>
        <v>#REF!</v>
      </c>
      <c r="M679" s="1">
        <v>0</v>
      </c>
      <c r="N679" s="10">
        <v>14190000</v>
      </c>
      <c r="O679" s="10"/>
      <c r="P679" t="s">
        <v>704</v>
      </c>
      <c r="Q679" s="1" t="e">
        <f t="shared" si="21"/>
        <v>#REF!</v>
      </c>
      <c r="S679" s="11" t="s">
        <v>1036</v>
      </c>
    </row>
    <row r="680" spans="1:19" x14ac:dyDescent="0.25">
      <c r="A680" t="s">
        <v>1347</v>
      </c>
      <c r="B680" t="s">
        <v>13</v>
      </c>
      <c r="C680" s="12">
        <v>46090</v>
      </c>
      <c r="D680" s="12">
        <v>46182</v>
      </c>
      <c r="E680" t="s">
        <v>775</v>
      </c>
      <c r="F680" t="s">
        <v>14</v>
      </c>
      <c r="G680">
        <v>59313528</v>
      </c>
      <c r="H680" t="s">
        <v>948</v>
      </c>
      <c r="I680">
        <v>59836926</v>
      </c>
      <c r="J680" t="s">
        <v>14</v>
      </c>
      <c r="K680" t="s">
        <v>17</v>
      </c>
      <c r="L680" s="1" t="e">
        <f>VLOOKUP(A680,#REF!,2,0)</f>
        <v>#REF!</v>
      </c>
      <c r="M680" s="1">
        <v>0</v>
      </c>
      <c r="N680" s="10">
        <v>18900000</v>
      </c>
      <c r="O680" s="10"/>
      <c r="P680" t="s">
        <v>704</v>
      </c>
      <c r="Q680" s="1" t="e">
        <f t="shared" si="21"/>
        <v>#REF!</v>
      </c>
      <c r="S680" s="11" t="s">
        <v>1036</v>
      </c>
    </row>
    <row r="681" spans="1:19" x14ac:dyDescent="0.25">
      <c r="A681" t="s">
        <v>1348</v>
      </c>
      <c r="B681" t="s">
        <v>13</v>
      </c>
      <c r="C681" s="12">
        <v>46090</v>
      </c>
      <c r="D681" s="12">
        <v>46203</v>
      </c>
      <c r="E681" t="s">
        <v>775</v>
      </c>
      <c r="F681" t="s">
        <v>14</v>
      </c>
      <c r="G681">
        <v>1004726621</v>
      </c>
      <c r="H681" t="s">
        <v>560</v>
      </c>
      <c r="I681">
        <v>98390119</v>
      </c>
      <c r="J681" t="s">
        <v>14</v>
      </c>
      <c r="K681" t="s">
        <v>63</v>
      </c>
      <c r="L681" s="1" t="e">
        <f>VLOOKUP(A681,#REF!,2,0)</f>
        <v>#REF!</v>
      </c>
      <c r="M681" s="1">
        <v>0</v>
      </c>
      <c r="N681" s="10">
        <v>12600000</v>
      </c>
      <c r="O681" s="10"/>
      <c r="P681" t="s">
        <v>704</v>
      </c>
      <c r="Q681" s="1" t="e">
        <f t="shared" si="21"/>
        <v>#REF!</v>
      </c>
      <c r="S681" s="11" t="s">
        <v>1036</v>
      </c>
    </row>
    <row r="682" spans="1:19" x14ac:dyDescent="0.25">
      <c r="A682" t="s">
        <v>1349</v>
      </c>
      <c r="B682" t="s">
        <v>13</v>
      </c>
      <c r="C682" s="12">
        <v>46090</v>
      </c>
      <c r="D682" s="12">
        <v>46203</v>
      </c>
      <c r="E682" t="s">
        <v>775</v>
      </c>
      <c r="F682" t="s">
        <v>14</v>
      </c>
      <c r="G682">
        <v>1085315209</v>
      </c>
      <c r="H682" t="s">
        <v>643</v>
      </c>
      <c r="I682">
        <v>43624414</v>
      </c>
      <c r="J682" t="s">
        <v>14</v>
      </c>
      <c r="K682" t="s">
        <v>18</v>
      </c>
      <c r="L682" s="1" t="e">
        <f>VLOOKUP(A682,#REF!,2,0)</f>
        <v>#REF!</v>
      </c>
      <c r="M682" s="1">
        <v>0</v>
      </c>
      <c r="N682" s="10">
        <v>12600000</v>
      </c>
      <c r="O682" s="10"/>
      <c r="P682" t="s">
        <v>704</v>
      </c>
      <c r="Q682" s="1" t="e">
        <f t="shared" si="21"/>
        <v>#REF!</v>
      </c>
      <c r="S682" s="11" t="s">
        <v>1036</v>
      </c>
    </row>
    <row r="683" spans="1:19" x14ac:dyDescent="0.25">
      <c r="A683" t="s">
        <v>1350</v>
      </c>
      <c r="B683" t="s">
        <v>13</v>
      </c>
      <c r="C683" s="12">
        <v>46090</v>
      </c>
      <c r="D683" s="12">
        <v>46203</v>
      </c>
      <c r="E683" t="s">
        <v>775</v>
      </c>
      <c r="F683" t="s">
        <v>14</v>
      </c>
      <c r="G683">
        <v>59813323</v>
      </c>
      <c r="H683" t="s">
        <v>74</v>
      </c>
      <c r="I683">
        <v>98333941</v>
      </c>
      <c r="J683" t="s">
        <v>14</v>
      </c>
      <c r="K683" t="s">
        <v>15</v>
      </c>
      <c r="L683" s="1" t="e">
        <f>VLOOKUP(A683,#REF!,2,0)</f>
        <v>#REF!</v>
      </c>
      <c r="M683" s="1">
        <v>0</v>
      </c>
      <c r="N683" s="10">
        <v>12600000</v>
      </c>
      <c r="O683" s="10"/>
      <c r="P683" t="s">
        <v>704</v>
      </c>
      <c r="Q683" s="1" t="e">
        <f t="shared" si="21"/>
        <v>#REF!</v>
      </c>
      <c r="S683" s="11" t="s">
        <v>1036</v>
      </c>
    </row>
    <row r="684" spans="1:19" x14ac:dyDescent="0.25">
      <c r="A684" t="s">
        <v>1351</v>
      </c>
      <c r="B684" t="s">
        <v>13</v>
      </c>
      <c r="C684" s="12">
        <v>46090</v>
      </c>
      <c r="D684" s="12">
        <v>46182</v>
      </c>
      <c r="E684" t="s">
        <v>775</v>
      </c>
      <c r="F684" t="s">
        <v>14</v>
      </c>
      <c r="G684">
        <v>1193035720</v>
      </c>
      <c r="H684" t="s">
        <v>904</v>
      </c>
      <c r="I684">
        <v>43624414</v>
      </c>
      <c r="J684" t="s">
        <v>14</v>
      </c>
      <c r="K684" t="s">
        <v>18</v>
      </c>
      <c r="L684" s="1" t="e">
        <f>VLOOKUP(A684,#REF!,2,0)</f>
        <v>#REF!</v>
      </c>
      <c r="M684" s="1">
        <v>0</v>
      </c>
      <c r="N684" s="10">
        <v>9450000</v>
      </c>
      <c r="O684" s="10"/>
      <c r="P684" t="s">
        <v>704</v>
      </c>
      <c r="Q684" s="1" t="e">
        <f t="shared" si="21"/>
        <v>#REF!</v>
      </c>
      <c r="S684" s="11" t="s">
        <v>1036</v>
      </c>
    </row>
    <row r="685" spans="1:19" x14ac:dyDescent="0.25">
      <c r="A685" t="s">
        <v>1352</v>
      </c>
      <c r="B685" t="s">
        <v>13</v>
      </c>
      <c r="C685" s="12">
        <v>46090</v>
      </c>
      <c r="D685" s="12">
        <v>46182</v>
      </c>
      <c r="E685" t="s">
        <v>775</v>
      </c>
      <c r="F685" t="s">
        <v>14</v>
      </c>
      <c r="G685">
        <v>1085277976</v>
      </c>
      <c r="H685" t="s">
        <v>681</v>
      </c>
      <c r="I685">
        <v>43624414</v>
      </c>
      <c r="J685" t="s">
        <v>14</v>
      </c>
      <c r="K685" t="s">
        <v>18</v>
      </c>
      <c r="L685" s="1" t="e">
        <f>VLOOKUP(A685,#REF!,2,0)</f>
        <v>#REF!</v>
      </c>
      <c r="M685" s="1">
        <v>0</v>
      </c>
      <c r="N685" s="10">
        <v>18900000</v>
      </c>
      <c r="O685" s="10"/>
      <c r="P685" t="s">
        <v>704</v>
      </c>
      <c r="Q685" s="1" t="e">
        <f t="shared" si="21"/>
        <v>#REF!</v>
      </c>
      <c r="S685" s="11" t="s">
        <v>1036</v>
      </c>
    </row>
    <row r="686" spans="1:19" x14ac:dyDescent="0.25">
      <c r="A686" t="s">
        <v>1353</v>
      </c>
      <c r="B686" t="s">
        <v>13</v>
      </c>
      <c r="C686" s="12">
        <v>46090</v>
      </c>
      <c r="D686" s="12">
        <v>46203</v>
      </c>
      <c r="E686" t="s">
        <v>775</v>
      </c>
      <c r="F686" t="s">
        <v>14</v>
      </c>
      <c r="G686">
        <v>1004437571</v>
      </c>
      <c r="H686" t="s">
        <v>381</v>
      </c>
      <c r="I686">
        <v>59836926</v>
      </c>
      <c r="J686" t="s">
        <v>14</v>
      </c>
      <c r="K686" t="s">
        <v>17</v>
      </c>
      <c r="L686" s="1" t="e">
        <f>VLOOKUP(A686,#REF!,2,0)</f>
        <v>#REF!</v>
      </c>
      <c r="M686" s="1">
        <v>0</v>
      </c>
      <c r="N686" s="10">
        <v>12600000</v>
      </c>
      <c r="O686" s="10"/>
      <c r="P686" t="s">
        <v>704</v>
      </c>
      <c r="Q686" s="1" t="e">
        <f t="shared" si="21"/>
        <v>#REF!</v>
      </c>
      <c r="S686" s="11" t="s">
        <v>1036</v>
      </c>
    </row>
    <row r="687" spans="1:19" x14ac:dyDescent="0.25">
      <c r="A687" t="s">
        <v>1354</v>
      </c>
      <c r="B687" t="s">
        <v>13</v>
      </c>
      <c r="C687" s="12">
        <v>46090</v>
      </c>
      <c r="D687" s="12">
        <v>46203</v>
      </c>
      <c r="E687" t="s">
        <v>775</v>
      </c>
      <c r="F687" t="s">
        <v>14</v>
      </c>
      <c r="G687">
        <v>59122805</v>
      </c>
      <c r="H687" t="s">
        <v>463</v>
      </c>
      <c r="I687">
        <v>98333941</v>
      </c>
      <c r="J687" t="s">
        <v>14</v>
      </c>
      <c r="K687" t="s">
        <v>15</v>
      </c>
      <c r="L687" s="1" t="e">
        <f>VLOOKUP(A687,#REF!,2,0)</f>
        <v>#REF!</v>
      </c>
      <c r="M687" s="1">
        <v>0</v>
      </c>
      <c r="N687" s="10">
        <v>12600000</v>
      </c>
      <c r="O687" s="10"/>
      <c r="P687" t="s">
        <v>704</v>
      </c>
      <c r="Q687" s="1" t="e">
        <f t="shared" si="21"/>
        <v>#REF!</v>
      </c>
      <c r="S687" s="11" t="s">
        <v>1036</v>
      </c>
    </row>
    <row r="688" spans="1:19" x14ac:dyDescent="0.25">
      <c r="A688" t="s">
        <v>1355</v>
      </c>
      <c r="B688" t="s">
        <v>13</v>
      </c>
      <c r="C688" s="12">
        <v>46090</v>
      </c>
      <c r="D688" s="12">
        <v>46182</v>
      </c>
      <c r="E688" t="s">
        <v>775</v>
      </c>
      <c r="F688" t="s">
        <v>14</v>
      </c>
      <c r="G688">
        <v>87030128</v>
      </c>
      <c r="H688" t="s">
        <v>101</v>
      </c>
      <c r="I688">
        <v>59836926</v>
      </c>
      <c r="J688" t="s">
        <v>14</v>
      </c>
      <c r="K688" t="s">
        <v>17</v>
      </c>
      <c r="L688" s="1" t="e">
        <f>VLOOKUP(A688,#REF!,2,0)</f>
        <v>#REF!</v>
      </c>
      <c r="M688" s="1">
        <v>0</v>
      </c>
      <c r="N688" s="10">
        <v>9450000</v>
      </c>
      <c r="O688" s="10"/>
      <c r="P688" t="s">
        <v>704</v>
      </c>
      <c r="Q688" s="1" t="e">
        <f t="shared" si="21"/>
        <v>#REF!</v>
      </c>
      <c r="S688" s="11" t="s">
        <v>1036</v>
      </c>
    </row>
    <row r="689" spans="1:19" x14ac:dyDescent="0.25">
      <c r="A689" t="s">
        <v>1356</v>
      </c>
      <c r="B689" t="s">
        <v>13</v>
      </c>
      <c r="C689" s="12">
        <v>46091</v>
      </c>
      <c r="D689" s="12">
        <v>46183</v>
      </c>
      <c r="E689" t="s">
        <v>775</v>
      </c>
      <c r="F689" t="s">
        <v>14</v>
      </c>
      <c r="G689">
        <v>1004134014</v>
      </c>
      <c r="H689" t="s">
        <v>633</v>
      </c>
      <c r="I689">
        <v>43624414</v>
      </c>
      <c r="J689" t="s">
        <v>14</v>
      </c>
      <c r="K689" t="s">
        <v>18</v>
      </c>
      <c r="L689" s="1" t="e">
        <f>VLOOKUP(A689,#REF!,2,0)</f>
        <v>#REF!</v>
      </c>
      <c r="M689" s="1">
        <v>0</v>
      </c>
      <c r="N689" s="10">
        <v>9450000</v>
      </c>
      <c r="O689" s="10"/>
      <c r="P689" t="s">
        <v>704</v>
      </c>
      <c r="Q689" s="1" t="e">
        <f t="shared" si="21"/>
        <v>#REF!</v>
      </c>
      <c r="S689" s="11" t="s">
        <v>1036</v>
      </c>
    </row>
    <row r="690" spans="1:19" x14ac:dyDescent="0.25">
      <c r="A690" t="s">
        <v>1357</v>
      </c>
      <c r="B690" t="s">
        <v>13</v>
      </c>
      <c r="C690" s="12">
        <v>46091</v>
      </c>
      <c r="D690" s="12">
        <v>46213</v>
      </c>
      <c r="E690" t="s">
        <v>775</v>
      </c>
      <c r="F690" t="s">
        <v>14</v>
      </c>
      <c r="G690">
        <v>1081572043</v>
      </c>
      <c r="H690" t="s">
        <v>54</v>
      </c>
      <c r="I690">
        <v>98333941</v>
      </c>
      <c r="J690" t="s">
        <v>14</v>
      </c>
      <c r="K690" t="s">
        <v>15</v>
      </c>
      <c r="L690" s="1" t="e">
        <f>VLOOKUP(A690,#REF!,2,0)</f>
        <v>#REF!</v>
      </c>
      <c r="M690" s="1">
        <v>0</v>
      </c>
      <c r="N690" s="10">
        <v>12600000</v>
      </c>
      <c r="O690" s="10"/>
      <c r="P690" t="s">
        <v>704</v>
      </c>
      <c r="Q690" s="1" t="e">
        <f t="shared" si="21"/>
        <v>#REF!</v>
      </c>
      <c r="S690" s="11" t="s">
        <v>1036</v>
      </c>
    </row>
    <row r="691" spans="1:19" x14ac:dyDescent="0.25">
      <c r="A691" t="s">
        <v>1358</v>
      </c>
      <c r="B691" t="s">
        <v>13</v>
      </c>
      <c r="C691" s="12">
        <v>46092</v>
      </c>
      <c r="D691" s="12">
        <v>46184</v>
      </c>
      <c r="E691" t="s">
        <v>775</v>
      </c>
      <c r="F691" t="s">
        <v>14</v>
      </c>
      <c r="G691">
        <v>36758868</v>
      </c>
      <c r="H691" t="s">
        <v>936</v>
      </c>
      <c r="I691">
        <v>43624414</v>
      </c>
      <c r="J691" t="s">
        <v>14</v>
      </c>
      <c r="K691" t="s">
        <v>18</v>
      </c>
      <c r="L691" s="1" t="e">
        <f>VLOOKUP(A691,#REF!,2,0)</f>
        <v>#REF!</v>
      </c>
      <c r="M691" s="1">
        <v>0</v>
      </c>
      <c r="N691" s="10">
        <v>9450000</v>
      </c>
      <c r="O691" s="10"/>
      <c r="P691" t="s">
        <v>704</v>
      </c>
      <c r="Q691" s="1" t="e">
        <f t="shared" si="21"/>
        <v>#REF!</v>
      </c>
      <c r="S691" s="11" t="s">
        <v>1036</v>
      </c>
    </row>
    <row r="692" spans="1:19" x14ac:dyDescent="0.25">
      <c r="A692" t="s">
        <v>1359</v>
      </c>
      <c r="B692" t="s">
        <v>13</v>
      </c>
      <c r="C692" s="12">
        <v>46093</v>
      </c>
      <c r="D692" s="12">
        <v>46185</v>
      </c>
      <c r="E692" t="s">
        <v>775</v>
      </c>
      <c r="F692" t="s">
        <v>14</v>
      </c>
      <c r="G692">
        <v>1053793750</v>
      </c>
      <c r="H692" t="s">
        <v>261</v>
      </c>
      <c r="I692">
        <v>98390119</v>
      </c>
      <c r="J692" t="s">
        <v>14</v>
      </c>
      <c r="K692" t="s">
        <v>63</v>
      </c>
      <c r="L692" s="1" t="e">
        <f>VLOOKUP(A692,#REF!,2,0)</f>
        <v>#REF!</v>
      </c>
      <c r="M692" s="1">
        <v>0</v>
      </c>
      <c r="N692" s="10">
        <v>18900000</v>
      </c>
      <c r="O692" s="10"/>
      <c r="P692" t="s">
        <v>704</v>
      </c>
      <c r="Q692" s="1" t="e">
        <f t="shared" si="21"/>
        <v>#REF!</v>
      </c>
      <c r="S692" s="11" t="s">
        <v>1036</v>
      </c>
    </row>
    <row r="693" spans="1:19" x14ac:dyDescent="0.25">
      <c r="A693" t="s">
        <v>1360</v>
      </c>
      <c r="B693" t="s">
        <v>13</v>
      </c>
      <c r="C693" s="12">
        <v>46093</v>
      </c>
      <c r="D693" s="12">
        <v>46185</v>
      </c>
      <c r="E693" t="s">
        <v>775</v>
      </c>
      <c r="F693" t="s">
        <v>14</v>
      </c>
      <c r="G693">
        <v>1086298268</v>
      </c>
      <c r="H693" t="s">
        <v>916</v>
      </c>
      <c r="I693">
        <v>98390119</v>
      </c>
      <c r="J693" t="s">
        <v>14</v>
      </c>
      <c r="K693" t="s">
        <v>63</v>
      </c>
      <c r="L693" s="1" t="e">
        <f>VLOOKUP(A693,#REF!,2,0)</f>
        <v>#REF!</v>
      </c>
      <c r="M693" s="1">
        <v>0</v>
      </c>
      <c r="N693" s="10">
        <v>9450000</v>
      </c>
      <c r="O693" s="10"/>
      <c r="P693" t="s">
        <v>704</v>
      </c>
      <c r="Q693" s="1" t="e">
        <f t="shared" si="21"/>
        <v>#REF!</v>
      </c>
      <c r="S693" s="11" t="s">
        <v>1036</v>
      </c>
    </row>
    <row r="694" spans="1:19" x14ac:dyDescent="0.25">
      <c r="A694" t="s">
        <v>1361</v>
      </c>
      <c r="B694" t="s">
        <v>13</v>
      </c>
      <c r="C694" s="12">
        <v>46093</v>
      </c>
      <c r="D694" s="12">
        <v>46185</v>
      </c>
      <c r="E694" t="s">
        <v>775</v>
      </c>
      <c r="F694" t="s">
        <v>14</v>
      </c>
      <c r="G694">
        <v>1004131976</v>
      </c>
      <c r="H694" t="s">
        <v>291</v>
      </c>
      <c r="I694">
        <v>98390119</v>
      </c>
      <c r="J694" t="s">
        <v>14</v>
      </c>
      <c r="K694" t="s">
        <v>63</v>
      </c>
      <c r="L694" s="1" t="e">
        <f>VLOOKUP(A694,#REF!,2,0)</f>
        <v>#REF!</v>
      </c>
      <c r="M694" s="1">
        <v>0</v>
      </c>
      <c r="N694" s="10">
        <v>9450000</v>
      </c>
      <c r="O694" s="10"/>
      <c r="P694" t="s">
        <v>704</v>
      </c>
      <c r="Q694" s="1" t="e">
        <f t="shared" si="21"/>
        <v>#REF!</v>
      </c>
      <c r="S694" s="11" t="s">
        <v>1036</v>
      </c>
    </row>
    <row r="695" spans="1:19" x14ac:dyDescent="0.25">
      <c r="A695" t="s">
        <v>1362</v>
      </c>
      <c r="B695" t="s">
        <v>13</v>
      </c>
      <c r="C695" s="12">
        <v>46094</v>
      </c>
      <c r="D695" s="12">
        <v>46155</v>
      </c>
      <c r="E695" t="s">
        <v>744</v>
      </c>
      <c r="F695" t="s">
        <v>14</v>
      </c>
      <c r="G695">
        <v>42144372</v>
      </c>
      <c r="H695" t="s">
        <v>855</v>
      </c>
      <c r="I695">
        <v>98390119</v>
      </c>
      <c r="J695" t="s">
        <v>14</v>
      </c>
      <c r="K695" t="s">
        <v>63</v>
      </c>
      <c r="L695" s="1" t="e">
        <f>VLOOKUP(A695,#REF!,2,0)</f>
        <v>#REF!</v>
      </c>
      <c r="M695" s="1">
        <v>0</v>
      </c>
      <c r="N695" s="10">
        <v>15600000</v>
      </c>
      <c r="O695" s="10"/>
      <c r="P695" t="s">
        <v>704</v>
      </c>
      <c r="Q695" s="1" t="e">
        <f t="shared" si="21"/>
        <v>#REF!</v>
      </c>
      <c r="S695" s="11" t="s">
        <v>1036</v>
      </c>
    </row>
    <row r="696" spans="1:19" x14ac:dyDescent="0.25">
      <c r="A696" t="s">
        <v>1363</v>
      </c>
      <c r="B696" t="s">
        <v>13</v>
      </c>
      <c r="C696" s="12">
        <v>46094</v>
      </c>
      <c r="D696" s="12">
        <v>46125</v>
      </c>
      <c r="E696" t="s">
        <v>793</v>
      </c>
      <c r="F696" t="s">
        <v>14</v>
      </c>
      <c r="G696">
        <v>87070742</v>
      </c>
      <c r="H696" t="s">
        <v>556</v>
      </c>
      <c r="I696">
        <v>98390119</v>
      </c>
      <c r="J696" t="s">
        <v>14</v>
      </c>
      <c r="K696" t="s">
        <v>63</v>
      </c>
      <c r="L696" s="1" t="e">
        <f>VLOOKUP(A696,#REF!,2,0)</f>
        <v>#REF!</v>
      </c>
      <c r="M696" s="1">
        <v>0</v>
      </c>
      <c r="N696" s="10">
        <v>2000000</v>
      </c>
      <c r="O696" s="10"/>
      <c r="P696" t="s">
        <v>704</v>
      </c>
      <c r="Q696" s="1" t="e">
        <f t="shared" si="21"/>
        <v>#REF!</v>
      </c>
      <c r="S696" s="11" t="s">
        <v>1036</v>
      </c>
    </row>
    <row r="697" spans="1:19" x14ac:dyDescent="0.25">
      <c r="A697" t="s">
        <v>1364</v>
      </c>
      <c r="B697" t="s">
        <v>13</v>
      </c>
      <c r="C697" s="12">
        <v>46097</v>
      </c>
      <c r="D697" s="12">
        <v>46158</v>
      </c>
      <c r="E697" t="s">
        <v>775</v>
      </c>
      <c r="F697" t="s">
        <v>14</v>
      </c>
      <c r="G697">
        <v>1233192104</v>
      </c>
      <c r="H697" t="s">
        <v>514</v>
      </c>
      <c r="I697">
        <v>59836926</v>
      </c>
      <c r="J697" t="s">
        <v>14</v>
      </c>
      <c r="K697" t="s">
        <v>17</v>
      </c>
      <c r="L697" s="1" t="e">
        <f>VLOOKUP(A697,#REF!,2,0)</f>
        <v>#REF!</v>
      </c>
      <c r="M697" s="1">
        <v>0</v>
      </c>
      <c r="N697" s="10">
        <v>6300000</v>
      </c>
      <c r="O697" s="10"/>
      <c r="P697" t="s">
        <v>704</v>
      </c>
      <c r="Q697" s="1" t="e">
        <f t="shared" si="21"/>
        <v>#REF!</v>
      </c>
      <c r="S697" s="11" t="s">
        <v>1036</v>
      </c>
    </row>
    <row r="698" spans="1:19" x14ac:dyDescent="0.25">
      <c r="A698" t="s">
        <v>1365</v>
      </c>
      <c r="B698" t="s">
        <v>13</v>
      </c>
      <c r="C698" s="12">
        <v>46098</v>
      </c>
      <c r="D698" s="12">
        <v>46203</v>
      </c>
      <c r="E698" t="s">
        <v>775</v>
      </c>
      <c r="F698" t="s">
        <v>14</v>
      </c>
      <c r="G698">
        <v>1085317652</v>
      </c>
      <c r="H698" t="s">
        <v>962</v>
      </c>
      <c r="I698">
        <v>43624414</v>
      </c>
      <c r="J698" t="s">
        <v>14</v>
      </c>
      <c r="K698" t="s">
        <v>18</v>
      </c>
      <c r="L698" s="1" t="e">
        <f>VLOOKUP(A698,#REF!,2,0)</f>
        <v>#REF!</v>
      </c>
      <c r="M698" s="1">
        <v>0</v>
      </c>
      <c r="N698" s="10">
        <v>11550000</v>
      </c>
      <c r="O698" s="10"/>
      <c r="P698" t="s">
        <v>704</v>
      </c>
      <c r="Q698" s="1" t="e">
        <f t="shared" si="21"/>
        <v>#REF!</v>
      </c>
      <c r="S698" s="11" t="s">
        <v>1036</v>
      </c>
    </row>
    <row r="699" spans="1:19" hidden="1" x14ac:dyDescent="0.25">
      <c r="A699" s="6" t="s">
        <v>373</v>
      </c>
      <c r="B699" s="6" t="s">
        <v>13</v>
      </c>
      <c r="C699" s="14">
        <v>45940</v>
      </c>
      <c r="D699" s="14">
        <v>46022</v>
      </c>
      <c r="E699" s="6" t="s">
        <v>744</v>
      </c>
      <c r="F699" s="6" t="s">
        <v>14</v>
      </c>
      <c r="G699" s="6">
        <v>98394849</v>
      </c>
      <c r="H699" s="6" t="s">
        <v>374</v>
      </c>
      <c r="I699" s="6">
        <v>43624414</v>
      </c>
      <c r="J699" s="6" t="s">
        <v>14</v>
      </c>
      <c r="K699" s="6" t="s">
        <v>18</v>
      </c>
      <c r="L699" s="1" t="e">
        <f>VLOOKUP(A699,#REF!,2,0)</f>
        <v>#REF!</v>
      </c>
      <c r="M699" s="1">
        <v>0</v>
      </c>
      <c r="N699" s="7">
        <v>14190000</v>
      </c>
      <c r="O699" s="7"/>
      <c r="P699" s="6" t="s">
        <v>704</v>
      </c>
      <c r="Q699" s="7" t="e">
        <f t="shared" ref="Q699:Q718" si="22">N699-L699</f>
        <v>#REF!</v>
      </c>
      <c r="R699" s="2" t="s">
        <v>827</v>
      </c>
      <c r="S699" t="s">
        <v>833</v>
      </c>
    </row>
    <row r="700" spans="1:19" x14ac:dyDescent="0.25">
      <c r="A700" s="3" t="s">
        <v>106</v>
      </c>
      <c r="B700" s="4" t="s">
        <v>13</v>
      </c>
      <c r="C700" s="15">
        <v>45940</v>
      </c>
      <c r="D700" s="15">
        <v>46022</v>
      </c>
      <c r="E700" s="4" t="s">
        <v>714</v>
      </c>
      <c r="F700" s="4" t="s">
        <v>83</v>
      </c>
      <c r="G700" s="4">
        <v>900752343</v>
      </c>
      <c r="H700" s="4" t="s">
        <v>107</v>
      </c>
      <c r="I700" s="4">
        <v>17658216</v>
      </c>
      <c r="J700" s="4" t="s">
        <v>14</v>
      </c>
      <c r="K700" s="4" t="s">
        <v>108</v>
      </c>
      <c r="L700" s="1" t="e">
        <f>VLOOKUP(A700,#REF!,2,0)</f>
        <v>#REF!</v>
      </c>
      <c r="M700" s="1">
        <v>352600000</v>
      </c>
      <c r="N700" s="5">
        <v>284000000</v>
      </c>
      <c r="O700" s="5"/>
      <c r="P700" s="4" t="s">
        <v>704</v>
      </c>
      <c r="Q700" s="5" t="e">
        <f t="shared" si="22"/>
        <v>#REF!</v>
      </c>
      <c r="R700" s="2" t="s">
        <v>827</v>
      </c>
      <c r="S700" t="s">
        <v>832</v>
      </c>
    </row>
    <row r="701" spans="1:19" x14ac:dyDescent="0.25">
      <c r="A701" s="4" t="s">
        <v>169</v>
      </c>
      <c r="B701" s="4" t="s">
        <v>13</v>
      </c>
      <c r="C701" s="15">
        <v>45940</v>
      </c>
      <c r="D701" s="15">
        <v>46022</v>
      </c>
      <c r="E701" s="4" t="s">
        <v>170</v>
      </c>
      <c r="F701" s="4" t="s">
        <v>83</v>
      </c>
      <c r="G701" s="4">
        <v>900752343</v>
      </c>
      <c r="H701" s="4" t="s">
        <v>107</v>
      </c>
      <c r="I701" s="4">
        <v>17658216</v>
      </c>
      <c r="J701" s="4" t="s">
        <v>14</v>
      </c>
      <c r="K701" s="4" t="s">
        <v>108</v>
      </c>
      <c r="L701" s="1" t="e">
        <f>VLOOKUP(A701,#REF!,2,0)</f>
        <v>#REF!</v>
      </c>
      <c r="M701" s="1">
        <v>350950000</v>
      </c>
      <c r="N701" s="5">
        <v>281000000</v>
      </c>
      <c r="O701" s="5"/>
      <c r="P701" s="4" t="s">
        <v>704</v>
      </c>
      <c r="Q701" s="5" t="e">
        <f t="shared" si="22"/>
        <v>#REF!</v>
      </c>
      <c r="R701" s="2" t="s">
        <v>827</v>
      </c>
      <c r="S701" t="s">
        <v>832</v>
      </c>
    </row>
    <row r="702" spans="1:19" x14ac:dyDescent="0.25">
      <c r="A702" s="8" t="s">
        <v>211</v>
      </c>
      <c r="B702" s="8" t="s">
        <v>13</v>
      </c>
      <c r="C702" s="13">
        <v>45945</v>
      </c>
      <c r="D702" s="13">
        <v>46022</v>
      </c>
      <c r="E702" s="8" t="s">
        <v>212</v>
      </c>
      <c r="F702" s="8" t="s">
        <v>83</v>
      </c>
      <c r="G702" s="8">
        <v>805021222</v>
      </c>
      <c r="H702" s="8" t="s">
        <v>81</v>
      </c>
      <c r="I702" s="8">
        <v>17658216</v>
      </c>
      <c r="J702" s="8" t="s">
        <v>14</v>
      </c>
      <c r="K702" s="8" t="s">
        <v>108</v>
      </c>
      <c r="L702" s="1" t="e">
        <f>VLOOKUP(A702,#REF!,2,0)</f>
        <v>#REF!</v>
      </c>
      <c r="M702" s="1">
        <v>280000000</v>
      </c>
      <c r="N702" s="9">
        <v>280000000</v>
      </c>
      <c r="O702" s="9"/>
      <c r="P702" s="8" t="s">
        <v>704</v>
      </c>
      <c r="Q702" s="9" t="e">
        <f t="shared" si="22"/>
        <v>#REF!</v>
      </c>
      <c r="R702" s="2" t="s">
        <v>828</v>
      </c>
    </row>
    <row r="703" spans="1:19" hidden="1" x14ac:dyDescent="0.25">
      <c r="A703" s="6" t="s">
        <v>249</v>
      </c>
      <c r="B703" s="6" t="s">
        <v>13</v>
      </c>
      <c r="C703" s="14">
        <v>45947</v>
      </c>
      <c r="D703" s="14">
        <v>46022</v>
      </c>
      <c r="E703" s="6" t="s">
        <v>250</v>
      </c>
      <c r="F703" s="6" t="s">
        <v>83</v>
      </c>
      <c r="G703" s="6">
        <v>900991717</v>
      </c>
      <c r="H703" s="6" t="s">
        <v>251</v>
      </c>
      <c r="I703" s="6">
        <v>87248313</v>
      </c>
      <c r="J703" s="6" t="s">
        <v>14</v>
      </c>
      <c r="K703" s="6" t="s">
        <v>252</v>
      </c>
      <c r="L703" s="1" t="e">
        <f>VLOOKUP(A703,#REF!,2,0)</f>
        <v>#REF!</v>
      </c>
      <c r="M703" s="1">
        <v>0</v>
      </c>
      <c r="N703" s="7">
        <v>5357200</v>
      </c>
      <c r="O703" s="7"/>
      <c r="P703" s="6" t="s">
        <v>704</v>
      </c>
      <c r="Q703" s="7" t="e">
        <f t="shared" si="22"/>
        <v>#REF!</v>
      </c>
      <c r="R703" s="2" t="s">
        <v>827</v>
      </c>
      <c r="S703" t="s">
        <v>833</v>
      </c>
    </row>
    <row r="704" spans="1:19" x14ac:dyDescent="0.25">
      <c r="A704" s="16" t="s">
        <v>317</v>
      </c>
      <c r="B704" s="4" t="s">
        <v>13</v>
      </c>
      <c r="C704" s="15">
        <v>45951</v>
      </c>
      <c r="D704" s="15">
        <v>45981</v>
      </c>
      <c r="E704" s="4" t="s">
        <v>757</v>
      </c>
      <c r="F704" s="4" t="s">
        <v>83</v>
      </c>
      <c r="G704" s="4">
        <v>901329717</v>
      </c>
      <c r="H704" s="4" t="s">
        <v>318</v>
      </c>
      <c r="I704" s="4">
        <v>36759470</v>
      </c>
      <c r="J704" s="4" t="s">
        <v>14</v>
      </c>
      <c r="K704" s="4" t="s">
        <v>319</v>
      </c>
      <c r="L704" s="1" t="e">
        <f>VLOOKUP(A704,#REF!,2,0)</f>
        <v>#REF!</v>
      </c>
      <c r="M704" s="1">
        <v>216656524.10000002</v>
      </c>
      <c r="N704" s="5">
        <v>144437683</v>
      </c>
      <c r="O704" s="5"/>
      <c r="P704" s="4" t="s">
        <v>704</v>
      </c>
      <c r="Q704" s="5" t="e">
        <f t="shared" si="22"/>
        <v>#REF!</v>
      </c>
      <c r="R704" s="2" t="s">
        <v>827</v>
      </c>
      <c r="S704" t="s">
        <v>832</v>
      </c>
    </row>
    <row r="705" spans="1:19" hidden="1" x14ac:dyDescent="0.25">
      <c r="A705" s="6" t="s">
        <v>213</v>
      </c>
      <c r="B705" s="6" t="s">
        <v>13</v>
      </c>
      <c r="C705" s="14">
        <v>45967</v>
      </c>
      <c r="D705" s="14">
        <v>46022</v>
      </c>
      <c r="E705" s="6" t="s">
        <v>741</v>
      </c>
      <c r="F705" s="6" t="s">
        <v>14</v>
      </c>
      <c r="G705" s="6">
        <v>1085927513</v>
      </c>
      <c r="H705" s="6" t="s">
        <v>214</v>
      </c>
      <c r="I705" s="6">
        <v>59836926</v>
      </c>
      <c r="J705" s="6" t="s">
        <v>14</v>
      </c>
      <c r="K705" s="6" t="s">
        <v>17</v>
      </c>
      <c r="L705" s="1" t="e">
        <f>VLOOKUP(A705,#REF!,2,0)</f>
        <v>#REF!</v>
      </c>
      <c r="M705" s="1">
        <v>0</v>
      </c>
      <c r="N705" s="7">
        <v>6300000</v>
      </c>
      <c r="O705" s="7"/>
      <c r="P705" s="6" t="s">
        <v>704</v>
      </c>
      <c r="Q705" s="7" t="e">
        <f t="shared" si="22"/>
        <v>#REF!</v>
      </c>
      <c r="R705" s="2" t="s">
        <v>827</v>
      </c>
      <c r="S705" t="s">
        <v>833</v>
      </c>
    </row>
    <row r="706" spans="1:19" hidden="1" x14ac:dyDescent="0.25">
      <c r="A706" s="6" t="s">
        <v>421</v>
      </c>
      <c r="B706" s="6" t="s">
        <v>13</v>
      </c>
      <c r="C706" s="14">
        <v>45971</v>
      </c>
      <c r="D706" s="14">
        <v>46022</v>
      </c>
      <c r="E706" s="6" t="s">
        <v>778</v>
      </c>
      <c r="F706" s="6" t="s">
        <v>14</v>
      </c>
      <c r="G706" s="6">
        <v>1085310626</v>
      </c>
      <c r="H706" s="6" t="s">
        <v>422</v>
      </c>
      <c r="I706" s="6">
        <v>98390119</v>
      </c>
      <c r="J706" s="6" t="s">
        <v>14</v>
      </c>
      <c r="K706" s="6" t="s">
        <v>63</v>
      </c>
      <c r="L706" s="1" t="e">
        <f>VLOOKUP(A706,#REF!,2,0)</f>
        <v>#REF!</v>
      </c>
      <c r="M706" s="1">
        <v>0</v>
      </c>
      <c r="N706" s="7">
        <v>6300000</v>
      </c>
      <c r="O706" s="7"/>
      <c r="P706" s="6" t="s">
        <v>704</v>
      </c>
      <c r="Q706" s="7" t="e">
        <f t="shared" si="22"/>
        <v>#REF!</v>
      </c>
      <c r="R706" s="2" t="s">
        <v>827</v>
      </c>
      <c r="S706" t="s">
        <v>833</v>
      </c>
    </row>
    <row r="707" spans="1:19" hidden="1" x14ac:dyDescent="0.25">
      <c r="A707" s="6" t="s">
        <v>288</v>
      </c>
      <c r="B707" s="6" t="s">
        <v>13</v>
      </c>
      <c r="C707" s="14">
        <v>45971</v>
      </c>
      <c r="D707" s="14">
        <v>46022</v>
      </c>
      <c r="E707" s="6" t="s">
        <v>715</v>
      </c>
      <c r="F707" s="6" t="s">
        <v>14</v>
      </c>
      <c r="G707" s="6">
        <v>36756798</v>
      </c>
      <c r="H707" s="6" t="s">
        <v>289</v>
      </c>
      <c r="I707" s="6">
        <v>98390119</v>
      </c>
      <c r="J707" s="6" t="s">
        <v>14</v>
      </c>
      <c r="K707" s="6" t="s">
        <v>63</v>
      </c>
      <c r="L707" s="1" t="e">
        <f>VLOOKUP(A707,#REF!,2,0)</f>
        <v>#REF!</v>
      </c>
      <c r="M707" s="1">
        <v>0</v>
      </c>
      <c r="N707" s="7">
        <v>4000000</v>
      </c>
      <c r="O707" s="7"/>
      <c r="P707" s="6" t="s">
        <v>704</v>
      </c>
      <c r="Q707" s="7" t="e">
        <f t="shared" si="22"/>
        <v>#REF!</v>
      </c>
      <c r="R707" s="2" t="s">
        <v>827</v>
      </c>
      <c r="S707" t="s">
        <v>833</v>
      </c>
    </row>
    <row r="708" spans="1:19" hidden="1" x14ac:dyDescent="0.25">
      <c r="A708" s="6" t="s">
        <v>530</v>
      </c>
      <c r="B708" s="6" t="s">
        <v>13</v>
      </c>
      <c r="C708" s="14">
        <v>45972</v>
      </c>
      <c r="D708" s="14">
        <v>46022</v>
      </c>
      <c r="E708" s="6" t="s">
        <v>793</v>
      </c>
      <c r="F708" s="6" t="s">
        <v>14</v>
      </c>
      <c r="G708" s="6">
        <v>1081274238</v>
      </c>
      <c r="H708" s="6" t="s">
        <v>531</v>
      </c>
      <c r="I708" s="6">
        <v>43624414</v>
      </c>
      <c r="J708" s="6" t="s">
        <v>14</v>
      </c>
      <c r="K708" s="6" t="s">
        <v>18</v>
      </c>
      <c r="L708" s="1" t="e">
        <f>VLOOKUP(A708,#REF!,2,0)</f>
        <v>#REF!</v>
      </c>
      <c r="M708" s="1">
        <v>0</v>
      </c>
      <c r="N708" s="7">
        <v>4000000</v>
      </c>
      <c r="O708" s="7"/>
      <c r="P708" s="6" t="s">
        <v>704</v>
      </c>
      <c r="Q708" s="7" t="e">
        <f t="shared" si="22"/>
        <v>#REF!</v>
      </c>
      <c r="R708" s="2" t="s">
        <v>827</v>
      </c>
      <c r="S708" t="s">
        <v>833</v>
      </c>
    </row>
    <row r="709" spans="1:19" hidden="1" x14ac:dyDescent="0.25">
      <c r="A709" s="6" t="s">
        <v>644</v>
      </c>
      <c r="B709" s="6" t="s">
        <v>13</v>
      </c>
      <c r="C709" s="14">
        <v>45975</v>
      </c>
      <c r="D709" s="14">
        <v>46022</v>
      </c>
      <c r="E709" s="6" t="s">
        <v>775</v>
      </c>
      <c r="F709" s="6" t="s">
        <v>14</v>
      </c>
      <c r="G709" s="6">
        <v>1085321460</v>
      </c>
      <c r="H709" s="6" t="s">
        <v>645</v>
      </c>
      <c r="I709" s="6">
        <v>43624414</v>
      </c>
      <c r="J709" s="6" t="s">
        <v>14</v>
      </c>
      <c r="K709" s="6" t="s">
        <v>18</v>
      </c>
      <c r="L709" s="1" t="e">
        <f>VLOOKUP(A709,#REF!,2,0)</f>
        <v>#REF!</v>
      </c>
      <c r="M709" s="1">
        <v>0</v>
      </c>
      <c r="N709" s="7">
        <v>4725000</v>
      </c>
      <c r="O709" s="7"/>
      <c r="P709" s="6" t="s">
        <v>704</v>
      </c>
      <c r="Q709" s="7" t="e">
        <f t="shared" si="22"/>
        <v>#REF!</v>
      </c>
      <c r="R709" s="2" t="s">
        <v>827</v>
      </c>
      <c r="S709" t="s">
        <v>833</v>
      </c>
    </row>
    <row r="710" spans="1:19" x14ac:dyDescent="0.25">
      <c r="A710" s="4" t="s">
        <v>688</v>
      </c>
      <c r="B710" s="4" t="s">
        <v>13</v>
      </c>
      <c r="C710" s="15">
        <v>45982</v>
      </c>
      <c r="D710" s="15">
        <v>46022</v>
      </c>
      <c r="E710" s="4" t="s">
        <v>813</v>
      </c>
      <c r="F710" s="4" t="s">
        <v>14</v>
      </c>
      <c r="G710" s="4">
        <v>1086755989</v>
      </c>
      <c r="H710" s="4" t="s">
        <v>689</v>
      </c>
      <c r="I710" s="4">
        <v>43624414</v>
      </c>
      <c r="J710" s="4" t="s">
        <v>14</v>
      </c>
      <c r="K710" s="4" t="s">
        <v>18</v>
      </c>
      <c r="L710" s="1" t="e">
        <f>VLOOKUP(A710,#REF!,2,0)</f>
        <v>#REF!</v>
      </c>
      <c r="M710" s="1">
        <v>9450000</v>
      </c>
      <c r="N710" s="5">
        <v>4200000</v>
      </c>
      <c r="O710" s="5"/>
      <c r="P710" s="4" t="s">
        <v>704</v>
      </c>
      <c r="Q710" s="5" t="e">
        <f t="shared" si="22"/>
        <v>#REF!</v>
      </c>
      <c r="R710" s="2" t="s">
        <v>827</v>
      </c>
      <c r="S710" t="s">
        <v>832</v>
      </c>
    </row>
    <row r="711" spans="1:19" x14ac:dyDescent="0.25">
      <c r="A711" s="8" t="s">
        <v>696</v>
      </c>
      <c r="B711" s="8" t="s">
        <v>13</v>
      </c>
      <c r="C711" s="13">
        <v>45897</v>
      </c>
      <c r="D711" s="13">
        <v>46019</v>
      </c>
      <c r="E711" s="8" t="s">
        <v>824</v>
      </c>
      <c r="F711" s="8" t="s">
        <v>83</v>
      </c>
      <c r="G711" s="8">
        <v>900994364</v>
      </c>
      <c r="H711" s="8" t="s">
        <v>697</v>
      </c>
      <c r="I711" s="8">
        <v>13016581</v>
      </c>
      <c r="J711" s="8" t="s">
        <v>14</v>
      </c>
      <c r="K711" s="8" t="s">
        <v>698</v>
      </c>
      <c r="L711" s="1" t="e">
        <f>VLOOKUP(A711,#REF!,2,0)</f>
        <v>#REF!</v>
      </c>
      <c r="M711" s="1">
        <v>605000000</v>
      </c>
      <c r="N711" s="9">
        <v>605000000</v>
      </c>
      <c r="O711" s="9"/>
      <c r="P711" s="8" t="s">
        <v>704</v>
      </c>
      <c r="Q711" s="9" t="e">
        <f t="shared" si="22"/>
        <v>#REF!</v>
      </c>
      <c r="R711" s="2" t="s">
        <v>828</v>
      </c>
    </row>
    <row r="712" spans="1:19" hidden="1" x14ac:dyDescent="0.25">
      <c r="A712" s="6" t="s">
        <v>247</v>
      </c>
      <c r="B712" s="6" t="s">
        <v>13</v>
      </c>
      <c r="C712" s="14">
        <v>45908</v>
      </c>
      <c r="D712" s="14">
        <v>46022</v>
      </c>
      <c r="E712" s="6" t="s">
        <v>706</v>
      </c>
      <c r="F712" s="6" t="s">
        <v>14</v>
      </c>
      <c r="G712" s="6">
        <v>1085745772</v>
      </c>
      <c r="H712" s="6" t="s">
        <v>248</v>
      </c>
      <c r="I712" s="6">
        <v>59836926</v>
      </c>
      <c r="J712" s="6" t="s">
        <v>14</v>
      </c>
      <c r="K712" s="6" t="s">
        <v>17</v>
      </c>
      <c r="L712" s="1" t="e">
        <f>VLOOKUP(A712,#REF!,2,0)</f>
        <v>#REF!</v>
      </c>
      <c r="M712" s="1">
        <v>0</v>
      </c>
      <c r="N712" s="7">
        <v>18920000</v>
      </c>
      <c r="O712" s="7"/>
      <c r="P712" s="6" t="s">
        <v>704</v>
      </c>
      <c r="Q712" s="7" t="e">
        <f t="shared" si="22"/>
        <v>#REF!</v>
      </c>
      <c r="R712" s="2" t="s">
        <v>827</v>
      </c>
      <c r="S712" t="s">
        <v>833</v>
      </c>
    </row>
    <row r="713" spans="1:19" x14ac:dyDescent="0.25">
      <c r="A713" s="6" t="s">
        <v>549</v>
      </c>
      <c r="B713" s="6" t="s">
        <v>13</v>
      </c>
      <c r="C713" s="14">
        <v>45908</v>
      </c>
      <c r="D713" s="14">
        <v>46022</v>
      </c>
      <c r="E713" s="6" t="s">
        <v>710</v>
      </c>
      <c r="F713" s="6" t="s">
        <v>14</v>
      </c>
      <c r="G713" s="6">
        <v>1086224562</v>
      </c>
      <c r="H713" s="6" t="s">
        <v>550</v>
      </c>
      <c r="I713" s="6">
        <v>98333941</v>
      </c>
      <c r="J713" s="6" t="s">
        <v>14</v>
      </c>
      <c r="K713" s="6" t="s">
        <v>15</v>
      </c>
      <c r="L713" s="1" t="e">
        <f>VLOOKUP(A713,#REF!,2,0)</f>
        <v>#REF!</v>
      </c>
      <c r="M713" s="1">
        <v>7800000</v>
      </c>
      <c r="N713" s="19"/>
      <c r="O713" s="7"/>
      <c r="P713" s="6" t="s">
        <v>704</v>
      </c>
      <c r="Q713" s="7" t="e">
        <f t="shared" si="22"/>
        <v>#REF!</v>
      </c>
      <c r="R713" s="2" t="s">
        <v>827</v>
      </c>
      <c r="S713" t="s">
        <v>832</v>
      </c>
    </row>
    <row r="714" spans="1:19" x14ac:dyDescent="0.25">
      <c r="A714" s="8" t="s">
        <v>701</v>
      </c>
      <c r="B714" s="8" t="s">
        <v>13</v>
      </c>
      <c r="C714" s="13">
        <v>45912</v>
      </c>
      <c r="D714" s="13">
        <v>46022</v>
      </c>
      <c r="E714" s="8" t="s">
        <v>826</v>
      </c>
      <c r="F714" s="8" t="s">
        <v>83</v>
      </c>
      <c r="G714" s="8">
        <v>805021222</v>
      </c>
      <c r="H714" s="8" t="s">
        <v>702</v>
      </c>
      <c r="I714" s="8">
        <v>17658216</v>
      </c>
      <c r="J714" s="8" t="s">
        <v>14</v>
      </c>
      <c r="K714" s="8" t="s">
        <v>82</v>
      </c>
      <c r="L714" s="1" t="e">
        <f>VLOOKUP(A714,#REF!,2,0)</f>
        <v>#REF!</v>
      </c>
      <c r="M714" s="1">
        <v>270000000</v>
      </c>
      <c r="N714" s="9">
        <v>270000000</v>
      </c>
      <c r="O714" s="9"/>
      <c r="P714" s="8" t="s">
        <v>704</v>
      </c>
      <c r="Q714" s="9" t="e">
        <f t="shared" si="22"/>
        <v>#REF!</v>
      </c>
      <c r="R714" s="2" t="s">
        <v>828</v>
      </c>
    </row>
    <row r="715" spans="1:19" hidden="1" x14ac:dyDescent="0.25">
      <c r="A715" s="6" t="s">
        <v>617</v>
      </c>
      <c r="B715" s="6" t="s">
        <v>13</v>
      </c>
      <c r="C715" s="14">
        <v>45923</v>
      </c>
      <c r="D715" s="14">
        <v>46022</v>
      </c>
      <c r="E715" s="6" t="s">
        <v>716</v>
      </c>
      <c r="F715" s="6" t="s">
        <v>14</v>
      </c>
      <c r="G715" s="6">
        <v>1004190710</v>
      </c>
      <c r="H715" s="6" t="s">
        <v>618</v>
      </c>
      <c r="I715" s="6">
        <v>98333941</v>
      </c>
      <c r="J715" s="6" t="s">
        <v>14</v>
      </c>
      <c r="K715" s="6" t="s">
        <v>15</v>
      </c>
      <c r="L715" s="1" t="e">
        <f>VLOOKUP(A715,#REF!,2,0)</f>
        <v>#REF!</v>
      </c>
      <c r="M715" s="1">
        <v>0</v>
      </c>
      <c r="N715" s="7">
        <v>11025000</v>
      </c>
      <c r="O715" s="7"/>
      <c r="P715" s="6" t="s">
        <v>704</v>
      </c>
      <c r="Q715" s="7" t="e">
        <f t="shared" si="22"/>
        <v>#REF!</v>
      </c>
      <c r="R715" s="2" t="s">
        <v>827</v>
      </c>
      <c r="S715" t="s">
        <v>833</v>
      </c>
    </row>
    <row r="716" spans="1:19" hidden="1" x14ac:dyDescent="0.25">
      <c r="A716" s="6" t="s">
        <v>127</v>
      </c>
      <c r="B716" s="6" t="s">
        <v>13</v>
      </c>
      <c r="C716" s="14">
        <v>45929</v>
      </c>
      <c r="D716" s="14">
        <v>46022</v>
      </c>
      <c r="E716" s="6" t="s">
        <v>720</v>
      </c>
      <c r="F716" s="6" t="s">
        <v>14</v>
      </c>
      <c r="G716" s="6">
        <v>1004666616</v>
      </c>
      <c r="H716" s="6" t="s">
        <v>128</v>
      </c>
      <c r="I716" s="6">
        <v>98390119</v>
      </c>
      <c r="J716" s="6" t="s">
        <v>14</v>
      </c>
      <c r="K716" s="6" t="s">
        <v>63</v>
      </c>
      <c r="L716" s="1" t="e">
        <f>VLOOKUP(A716,#REF!,2,0)</f>
        <v>#REF!</v>
      </c>
      <c r="M716" s="1">
        <v>0</v>
      </c>
      <c r="N716" s="7">
        <v>9450000</v>
      </c>
      <c r="O716" s="7"/>
      <c r="P716" s="6" t="s">
        <v>704</v>
      </c>
      <c r="Q716" s="7" t="e">
        <f t="shared" si="22"/>
        <v>#REF!</v>
      </c>
      <c r="R716" s="2" t="s">
        <v>827</v>
      </c>
      <c r="S716" t="s">
        <v>833</v>
      </c>
    </row>
    <row r="717" spans="1:19" hidden="1" x14ac:dyDescent="0.25">
      <c r="A717" s="6" t="s">
        <v>580</v>
      </c>
      <c r="B717" s="6" t="s">
        <v>13</v>
      </c>
      <c r="C717" s="14">
        <v>45930</v>
      </c>
      <c r="D717" s="14">
        <v>46022</v>
      </c>
      <c r="E717" s="6" t="s">
        <v>806</v>
      </c>
      <c r="F717" s="6" t="s">
        <v>14</v>
      </c>
      <c r="G717" s="6">
        <v>1085310606</v>
      </c>
      <c r="H717" s="6" t="s">
        <v>581</v>
      </c>
      <c r="I717" s="6">
        <v>98390119</v>
      </c>
      <c r="J717" s="6" t="s">
        <v>14</v>
      </c>
      <c r="K717" s="6" t="s">
        <v>63</v>
      </c>
      <c r="L717" s="1" t="e">
        <f>VLOOKUP(A717,#REF!,2,0)</f>
        <v>#REF!</v>
      </c>
      <c r="M717" s="1">
        <v>0</v>
      </c>
      <c r="N717" s="7">
        <v>9450000</v>
      </c>
      <c r="O717" s="7"/>
      <c r="P717" s="6" t="s">
        <v>704</v>
      </c>
      <c r="Q717" s="7" t="e">
        <f t="shared" si="22"/>
        <v>#REF!</v>
      </c>
      <c r="R717" s="2" t="s">
        <v>827</v>
      </c>
      <c r="S717" t="s">
        <v>833</v>
      </c>
    </row>
    <row r="718" spans="1:19" s="30" customFormat="1" hidden="1" x14ac:dyDescent="0.25">
      <c r="A718" s="30" t="s">
        <v>115</v>
      </c>
      <c r="B718" s="30" t="s">
        <v>13</v>
      </c>
      <c r="C718" s="31">
        <v>45931</v>
      </c>
      <c r="D718" s="31">
        <v>46022</v>
      </c>
      <c r="E718" s="30" t="s">
        <v>716</v>
      </c>
      <c r="F718" s="30" t="s">
        <v>14</v>
      </c>
      <c r="G718" s="30">
        <v>1004217101</v>
      </c>
      <c r="H718" s="30" t="s">
        <v>116</v>
      </c>
      <c r="I718" s="30">
        <v>98390119</v>
      </c>
      <c r="J718" s="30" t="s">
        <v>14</v>
      </c>
      <c r="K718" s="30" t="s">
        <v>63</v>
      </c>
      <c r="L718" s="32" t="e">
        <f>VLOOKUP(A718,#REF!,2,0)</f>
        <v>#REF!</v>
      </c>
      <c r="M718" s="32">
        <v>0</v>
      </c>
      <c r="N718" s="32">
        <v>9450000</v>
      </c>
      <c r="O718" s="32"/>
      <c r="P718" s="30" t="s">
        <v>704</v>
      </c>
      <c r="Q718" s="32" t="e">
        <f t="shared" si="22"/>
        <v>#REF!</v>
      </c>
      <c r="R718" s="33" t="s">
        <v>827</v>
      </c>
      <c r="S718" s="30" t="s">
        <v>833</v>
      </c>
    </row>
    <row r="719" spans="1:19" hidden="1" x14ac:dyDescent="0.25">
      <c r="A719" s="26" t="s">
        <v>982</v>
      </c>
      <c r="B719" t="s">
        <v>13</v>
      </c>
      <c r="E719" t="s">
        <v>1375</v>
      </c>
      <c r="F719" t="s">
        <v>83</v>
      </c>
      <c r="G719">
        <v>900752343</v>
      </c>
      <c r="H719" t="s">
        <v>107</v>
      </c>
      <c r="L719" s="1" t="e">
        <f>VLOOKUP(A719,#REF!,2,0)</f>
        <v>#REF!</v>
      </c>
      <c r="M719" s="1">
        <v>0</v>
      </c>
      <c r="S719" s="24" t="s">
        <v>1380</v>
      </c>
    </row>
    <row r="720" spans="1:19" hidden="1" x14ac:dyDescent="0.25">
      <c r="A720" s="26" t="s">
        <v>983</v>
      </c>
      <c r="B720" t="s">
        <v>13</v>
      </c>
      <c r="E720" t="s">
        <v>1375</v>
      </c>
      <c r="F720" t="s">
        <v>83</v>
      </c>
      <c r="G720">
        <v>900752343</v>
      </c>
      <c r="H720" t="s">
        <v>107</v>
      </c>
      <c r="L720" s="1" t="e">
        <f>VLOOKUP(A720,#REF!,2,0)</f>
        <v>#REF!</v>
      </c>
      <c r="M720" s="1">
        <v>0</v>
      </c>
      <c r="S720" s="24" t="s">
        <v>1380</v>
      </c>
    </row>
    <row r="721" spans="1:23" hidden="1" x14ac:dyDescent="0.25">
      <c r="A721" s="26" t="s">
        <v>984</v>
      </c>
      <c r="B721" t="s">
        <v>13</v>
      </c>
      <c r="E721" t="s">
        <v>1376</v>
      </c>
      <c r="F721" t="s">
        <v>83</v>
      </c>
      <c r="G721">
        <v>900994364</v>
      </c>
      <c r="H721" t="s">
        <v>697</v>
      </c>
      <c r="L721" s="1" t="e">
        <f>VLOOKUP(A721,#REF!,2,0)</f>
        <v>#REF!</v>
      </c>
      <c r="M721" s="1">
        <v>0</v>
      </c>
      <c r="S721" s="24" t="s">
        <v>1380</v>
      </c>
    </row>
    <row r="722" spans="1:23" hidden="1" x14ac:dyDescent="0.25">
      <c r="A722" s="26" t="s">
        <v>1373</v>
      </c>
      <c r="B722" t="s">
        <v>13</v>
      </c>
      <c r="E722" s="24" t="s">
        <v>1378</v>
      </c>
      <c r="F722" t="s">
        <v>14</v>
      </c>
      <c r="G722">
        <v>66958357</v>
      </c>
      <c r="H722" t="s">
        <v>935</v>
      </c>
      <c r="L722" s="1" t="e">
        <f>VLOOKUP(A722,#REF!,2,0)</f>
        <v>#REF!</v>
      </c>
      <c r="M722" s="1">
        <v>0</v>
      </c>
      <c r="S722" s="24" t="s">
        <v>1380</v>
      </c>
    </row>
    <row r="723" spans="1:23" hidden="1" x14ac:dyDescent="0.25">
      <c r="A723" s="25" t="s">
        <v>1374</v>
      </c>
      <c r="B723" t="s">
        <v>13</v>
      </c>
      <c r="E723" t="s">
        <v>1377</v>
      </c>
      <c r="F723" t="s">
        <v>14</v>
      </c>
      <c r="G723">
        <v>1086132023</v>
      </c>
      <c r="H723" t="s">
        <v>1379</v>
      </c>
      <c r="L723" s="1" t="e">
        <f>VLOOKUP(A723,#REF!,2,0)</f>
        <v>#REF!</v>
      </c>
      <c r="M723" s="1">
        <v>0</v>
      </c>
      <c r="S723" s="24" t="s">
        <v>1380</v>
      </c>
    </row>
    <row r="724" spans="1:23" s="27" customFormat="1" x14ac:dyDescent="0.25">
      <c r="C724" s="28"/>
      <c r="D724" s="28"/>
      <c r="L724" s="29"/>
      <c r="M724" s="29"/>
      <c r="N724" s="29"/>
      <c r="O724" s="29"/>
      <c r="Q724" s="29"/>
    </row>
    <row r="725" spans="1:23" s="27" customFormat="1" x14ac:dyDescent="0.25">
      <c r="C725" s="28"/>
      <c r="D725" s="28"/>
      <c r="L725" s="29"/>
      <c r="M725" s="29"/>
      <c r="N725" s="29"/>
      <c r="O725" s="29"/>
      <c r="Q725" s="29"/>
    </row>
    <row r="726" spans="1:23" s="27" customFormat="1" x14ac:dyDescent="0.25">
      <c r="C726" s="28"/>
      <c r="D726" s="28"/>
      <c r="L726" s="29"/>
      <c r="M726" s="29"/>
      <c r="N726" s="29"/>
      <c r="O726" s="29"/>
      <c r="Q726" s="29"/>
    </row>
    <row r="727" spans="1:23" s="27" customFormat="1" x14ac:dyDescent="0.25">
      <c r="C727" s="28"/>
      <c r="D727" s="28"/>
      <c r="L727" s="29"/>
      <c r="M727" s="29"/>
      <c r="N727" s="29"/>
      <c r="O727" s="29"/>
      <c r="Q727" s="29"/>
    </row>
    <row r="728" spans="1:23" x14ac:dyDescent="0.25">
      <c r="V728" s="17" t="s">
        <v>1366</v>
      </c>
      <c r="W728" s="10">
        <v>14902085000</v>
      </c>
    </row>
    <row r="729" spans="1:23" x14ac:dyDescent="0.25">
      <c r="V729" s="11" t="s">
        <v>1367</v>
      </c>
      <c r="W729" s="18">
        <v>7091298190.1000004</v>
      </c>
    </row>
    <row r="730" spans="1:23" x14ac:dyDescent="0.25">
      <c r="V730" s="11" t="s">
        <v>1369</v>
      </c>
      <c r="W730" s="10">
        <f>W728-W729</f>
        <v>7810786809.8999996</v>
      </c>
    </row>
  </sheetData>
  <autoFilter ref="A1:U723" xr:uid="{969CE6AA-B978-451E-9166-37046A388E6B}">
    <filterColumn colId="18">
      <filters blank="1">
        <filter val="Actualizar Contrato por la cifra pagada no hace falta acta"/>
        <filter val="insertar"/>
      </filters>
    </filterColumn>
  </autoFilter>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E6C42-9DBB-4B9D-8014-7CB2787615F7}">
  <sheetPr filterMode="1"/>
  <dimension ref="A1:Q338"/>
  <sheetViews>
    <sheetView topLeftCell="G1" workbookViewId="0">
      <selection activeCell="G2" sqref="G2:G312"/>
    </sheetView>
  </sheetViews>
  <sheetFormatPr baseColWidth="10" defaultRowHeight="15" x14ac:dyDescent="0.25"/>
  <cols>
    <col min="5" max="5" width="16.5703125" customWidth="1"/>
    <col min="7" max="7" width="21.7109375" bestFit="1" customWidth="1"/>
    <col min="8" max="8" width="42.5703125" bestFit="1" customWidth="1"/>
    <col min="9" max="9" width="19" bestFit="1" customWidth="1"/>
    <col min="11" max="11" width="33.7109375" bestFit="1" customWidth="1"/>
    <col min="12" max="13" width="16.28515625" style="1" bestFit="1" customWidth="1"/>
    <col min="14" max="14" width="15" customWidth="1"/>
    <col min="15" max="15" width="16.28515625" style="1" bestFit="1" customWidth="1"/>
    <col min="16" max="16" width="4.85546875" customWidth="1"/>
    <col min="17" max="17" width="51" bestFit="1" customWidth="1"/>
  </cols>
  <sheetData>
    <row r="1" spans="1:17" ht="14.25" customHeight="1" x14ac:dyDescent="0.25">
      <c r="A1" t="s">
        <v>0</v>
      </c>
      <c r="B1" t="s">
        <v>1</v>
      </c>
      <c r="C1" t="s">
        <v>2</v>
      </c>
      <c r="D1" t="s">
        <v>3</v>
      </c>
      <c r="E1" t="s">
        <v>4</v>
      </c>
      <c r="F1" t="s">
        <v>5</v>
      </c>
      <c r="G1" t="s">
        <v>6</v>
      </c>
      <c r="H1" t="s">
        <v>7</v>
      </c>
      <c r="I1" t="s">
        <v>8</v>
      </c>
      <c r="J1" t="s">
        <v>9</v>
      </c>
      <c r="K1" t="s">
        <v>10</v>
      </c>
      <c r="L1" s="1" t="s">
        <v>11</v>
      </c>
      <c r="M1" s="1" t="s">
        <v>12</v>
      </c>
      <c r="N1" t="s">
        <v>84</v>
      </c>
      <c r="O1" s="1" t="s">
        <v>703</v>
      </c>
      <c r="Q1" s="1" t="s">
        <v>829</v>
      </c>
    </row>
    <row r="2" spans="1:17" x14ac:dyDescent="0.25">
      <c r="A2" s="6" t="s">
        <v>530</v>
      </c>
      <c r="B2" s="6" t="s">
        <v>13</v>
      </c>
      <c r="C2" s="6">
        <v>45972</v>
      </c>
      <c r="D2" s="6">
        <v>46022</v>
      </c>
      <c r="E2" s="6" t="s">
        <v>793</v>
      </c>
      <c r="F2" s="6" t="s">
        <v>14</v>
      </c>
      <c r="G2" s="6">
        <v>1081274238</v>
      </c>
      <c r="H2" s="6" t="s">
        <v>531</v>
      </c>
      <c r="I2" s="6">
        <v>43624414</v>
      </c>
      <c r="J2" s="6" t="s">
        <v>14</v>
      </c>
      <c r="K2" s="6" t="s">
        <v>18</v>
      </c>
      <c r="L2" s="7">
        <v>0</v>
      </c>
      <c r="M2" s="7">
        <v>4000000</v>
      </c>
      <c r="N2" s="6" t="s">
        <v>704</v>
      </c>
      <c r="O2" s="7">
        <f t="shared" ref="O2:O65" si="0">M2-L2</f>
        <v>4000000</v>
      </c>
      <c r="P2" s="2" t="s">
        <v>827</v>
      </c>
      <c r="Q2" t="s">
        <v>833</v>
      </c>
    </row>
    <row r="3" spans="1:17" x14ac:dyDescent="0.25">
      <c r="A3" s="6" t="s">
        <v>288</v>
      </c>
      <c r="B3" s="6" t="s">
        <v>13</v>
      </c>
      <c r="C3" s="6">
        <v>45971</v>
      </c>
      <c r="D3" s="6">
        <v>46022</v>
      </c>
      <c r="E3" s="6" t="s">
        <v>715</v>
      </c>
      <c r="F3" s="6" t="s">
        <v>14</v>
      </c>
      <c r="G3" s="6">
        <v>36756798</v>
      </c>
      <c r="H3" s="6" t="s">
        <v>289</v>
      </c>
      <c r="I3" s="6">
        <v>98390119</v>
      </c>
      <c r="J3" s="6" t="s">
        <v>14</v>
      </c>
      <c r="K3" s="6" t="s">
        <v>63</v>
      </c>
      <c r="L3" s="7">
        <v>0</v>
      </c>
      <c r="M3" s="7">
        <v>4000000</v>
      </c>
      <c r="N3" s="6" t="s">
        <v>704</v>
      </c>
      <c r="O3" s="7">
        <f t="shared" si="0"/>
        <v>4000000</v>
      </c>
      <c r="P3" s="2" t="s">
        <v>827</v>
      </c>
      <c r="Q3" t="s">
        <v>833</v>
      </c>
    </row>
    <row r="4" spans="1:17" hidden="1" x14ac:dyDescent="0.25">
      <c r="A4" t="s">
        <v>495</v>
      </c>
      <c r="B4" t="s">
        <v>13</v>
      </c>
      <c r="C4">
        <v>45972</v>
      </c>
      <c r="D4">
        <v>46022</v>
      </c>
      <c r="E4" t="s">
        <v>793</v>
      </c>
      <c r="F4" t="s">
        <v>14</v>
      </c>
      <c r="G4">
        <v>1085287296</v>
      </c>
      <c r="H4" t="s">
        <v>496</v>
      </c>
      <c r="I4">
        <v>59836926</v>
      </c>
      <c r="J4" t="s">
        <v>14</v>
      </c>
      <c r="K4" t="s">
        <v>17</v>
      </c>
      <c r="L4" s="1">
        <v>4000000</v>
      </c>
      <c r="M4" s="1">
        <v>4000000</v>
      </c>
      <c r="N4" t="s">
        <v>704</v>
      </c>
      <c r="O4" s="1">
        <f t="shared" si="0"/>
        <v>0</v>
      </c>
    </row>
    <row r="5" spans="1:17" hidden="1" x14ac:dyDescent="0.25">
      <c r="A5" t="s">
        <v>351</v>
      </c>
      <c r="B5" t="s">
        <v>13</v>
      </c>
      <c r="C5">
        <v>45971</v>
      </c>
      <c r="D5">
        <v>46022</v>
      </c>
      <c r="E5" t="s">
        <v>323</v>
      </c>
      <c r="F5" t="s">
        <v>14</v>
      </c>
      <c r="G5">
        <v>1085253512</v>
      </c>
      <c r="H5" t="s">
        <v>352</v>
      </c>
      <c r="I5">
        <v>98390119</v>
      </c>
      <c r="J5" t="s">
        <v>14</v>
      </c>
      <c r="K5" t="s">
        <v>63</v>
      </c>
      <c r="L5" s="1">
        <v>4000000</v>
      </c>
      <c r="M5" s="1">
        <v>4000000</v>
      </c>
      <c r="N5" t="s">
        <v>704</v>
      </c>
      <c r="O5" s="1">
        <f t="shared" si="0"/>
        <v>0</v>
      </c>
    </row>
    <row r="6" spans="1:17" hidden="1" x14ac:dyDescent="0.25">
      <c r="A6" t="s">
        <v>148</v>
      </c>
      <c r="B6" t="s">
        <v>13</v>
      </c>
      <c r="C6">
        <v>45971</v>
      </c>
      <c r="D6">
        <v>46022</v>
      </c>
      <c r="E6" t="s">
        <v>726</v>
      </c>
      <c r="F6" t="s">
        <v>14</v>
      </c>
      <c r="G6">
        <v>59312779</v>
      </c>
      <c r="H6" t="s">
        <v>149</v>
      </c>
      <c r="I6">
        <v>98390119</v>
      </c>
      <c r="J6" t="s">
        <v>14</v>
      </c>
      <c r="K6" t="s">
        <v>63</v>
      </c>
      <c r="L6" s="1">
        <v>4000000</v>
      </c>
      <c r="M6" s="1">
        <v>4000000</v>
      </c>
      <c r="N6" t="s">
        <v>704</v>
      </c>
      <c r="O6" s="1">
        <f t="shared" si="0"/>
        <v>0</v>
      </c>
    </row>
    <row r="7" spans="1:17" hidden="1" x14ac:dyDescent="0.25">
      <c r="A7" t="s">
        <v>320</v>
      </c>
      <c r="B7" t="s">
        <v>13</v>
      </c>
      <c r="C7">
        <v>45971</v>
      </c>
      <c r="D7">
        <v>46022</v>
      </c>
      <c r="E7" t="s">
        <v>758</v>
      </c>
      <c r="F7" t="s">
        <v>14</v>
      </c>
      <c r="G7">
        <v>1085312669</v>
      </c>
      <c r="H7" t="s">
        <v>321</v>
      </c>
      <c r="I7">
        <v>43624414</v>
      </c>
      <c r="J7" t="s">
        <v>14</v>
      </c>
      <c r="K7" t="s">
        <v>18</v>
      </c>
      <c r="L7" s="1">
        <v>4000000</v>
      </c>
      <c r="M7" s="1">
        <v>4000000</v>
      </c>
      <c r="N7" t="s">
        <v>704</v>
      </c>
      <c r="O7" s="1">
        <f t="shared" si="0"/>
        <v>0</v>
      </c>
    </row>
    <row r="8" spans="1:17" hidden="1" x14ac:dyDescent="0.25">
      <c r="A8" t="s">
        <v>646</v>
      </c>
      <c r="B8" t="s">
        <v>13</v>
      </c>
      <c r="C8">
        <v>45967</v>
      </c>
      <c r="D8">
        <v>46022</v>
      </c>
      <c r="E8" t="s">
        <v>748</v>
      </c>
      <c r="F8" t="s">
        <v>14</v>
      </c>
      <c r="G8">
        <v>1085327836</v>
      </c>
      <c r="H8" t="s">
        <v>77</v>
      </c>
      <c r="I8">
        <v>43624414</v>
      </c>
      <c r="J8" t="s">
        <v>14</v>
      </c>
      <c r="K8" t="s">
        <v>18</v>
      </c>
      <c r="L8" s="1">
        <v>4000000</v>
      </c>
      <c r="M8" s="1">
        <v>4000000</v>
      </c>
      <c r="N8" t="s">
        <v>704</v>
      </c>
      <c r="O8" s="1">
        <f t="shared" si="0"/>
        <v>0</v>
      </c>
    </row>
    <row r="9" spans="1:17" hidden="1" x14ac:dyDescent="0.25">
      <c r="A9" t="s">
        <v>304</v>
      </c>
      <c r="B9" t="s">
        <v>13</v>
      </c>
      <c r="C9">
        <v>45966</v>
      </c>
      <c r="D9">
        <v>46022</v>
      </c>
      <c r="E9" t="s">
        <v>715</v>
      </c>
      <c r="F9" t="s">
        <v>14</v>
      </c>
      <c r="G9">
        <v>37083933</v>
      </c>
      <c r="H9" t="s">
        <v>305</v>
      </c>
      <c r="I9">
        <v>43624414</v>
      </c>
      <c r="J9" t="s">
        <v>14</v>
      </c>
      <c r="K9" t="s">
        <v>18</v>
      </c>
      <c r="L9" s="1">
        <v>4000000</v>
      </c>
      <c r="M9" s="1">
        <v>4000000</v>
      </c>
      <c r="N9" t="s">
        <v>704</v>
      </c>
      <c r="O9" s="1">
        <f t="shared" si="0"/>
        <v>0</v>
      </c>
    </row>
    <row r="10" spans="1:17" hidden="1" x14ac:dyDescent="0.25">
      <c r="A10" t="s">
        <v>520</v>
      </c>
      <c r="B10" t="s">
        <v>13</v>
      </c>
      <c r="C10">
        <v>45966</v>
      </c>
      <c r="D10">
        <v>46022</v>
      </c>
      <c r="E10" t="s">
        <v>795</v>
      </c>
      <c r="F10" t="s">
        <v>14</v>
      </c>
      <c r="G10">
        <v>1010113730</v>
      </c>
      <c r="H10" t="s">
        <v>521</v>
      </c>
      <c r="I10">
        <v>43624414</v>
      </c>
      <c r="J10" t="s">
        <v>14</v>
      </c>
      <c r="K10" t="s">
        <v>18</v>
      </c>
      <c r="L10" s="1">
        <v>4000000</v>
      </c>
      <c r="M10" s="1">
        <v>4000000</v>
      </c>
      <c r="N10" t="s">
        <v>704</v>
      </c>
      <c r="O10" s="1">
        <f t="shared" si="0"/>
        <v>0</v>
      </c>
    </row>
    <row r="11" spans="1:17" hidden="1" x14ac:dyDescent="0.25">
      <c r="A11" t="s">
        <v>359</v>
      </c>
      <c r="B11" t="s">
        <v>13</v>
      </c>
      <c r="C11">
        <v>45965</v>
      </c>
      <c r="D11">
        <v>46022</v>
      </c>
      <c r="E11" t="s">
        <v>715</v>
      </c>
      <c r="F11" t="s">
        <v>14</v>
      </c>
      <c r="G11">
        <v>1085281545</v>
      </c>
      <c r="H11" t="s">
        <v>360</v>
      </c>
      <c r="I11">
        <v>98333941</v>
      </c>
      <c r="J11" t="s">
        <v>14</v>
      </c>
      <c r="K11" t="s">
        <v>15</v>
      </c>
      <c r="L11" s="1">
        <v>4000000</v>
      </c>
      <c r="M11" s="1">
        <v>4000000</v>
      </c>
      <c r="N11" t="s">
        <v>704</v>
      </c>
      <c r="O11" s="1">
        <f t="shared" si="0"/>
        <v>0</v>
      </c>
    </row>
    <row r="12" spans="1:17" hidden="1" x14ac:dyDescent="0.25">
      <c r="A12" t="s">
        <v>539</v>
      </c>
      <c r="B12" t="s">
        <v>13</v>
      </c>
      <c r="C12">
        <v>45965</v>
      </c>
      <c r="D12">
        <v>46022</v>
      </c>
      <c r="E12" t="s">
        <v>798</v>
      </c>
      <c r="F12" t="s">
        <v>14</v>
      </c>
      <c r="G12">
        <v>1081274779</v>
      </c>
      <c r="H12" t="s">
        <v>540</v>
      </c>
      <c r="I12">
        <v>59836926</v>
      </c>
      <c r="J12" t="s">
        <v>14</v>
      </c>
      <c r="K12" t="s">
        <v>17</v>
      </c>
      <c r="L12" s="1">
        <v>4000000</v>
      </c>
      <c r="M12" s="1">
        <v>4000000</v>
      </c>
      <c r="N12" t="s">
        <v>704</v>
      </c>
      <c r="O12" s="1">
        <f t="shared" si="0"/>
        <v>0</v>
      </c>
    </row>
    <row r="13" spans="1:17" hidden="1" x14ac:dyDescent="0.25">
      <c r="A13" t="s">
        <v>165</v>
      </c>
      <c r="B13" t="s">
        <v>13</v>
      </c>
      <c r="C13">
        <v>45965</v>
      </c>
      <c r="D13">
        <v>46022</v>
      </c>
      <c r="E13" t="s">
        <v>715</v>
      </c>
      <c r="F13" t="s">
        <v>14</v>
      </c>
      <c r="G13">
        <v>1085275445</v>
      </c>
      <c r="H13" t="s">
        <v>166</v>
      </c>
      <c r="I13">
        <v>98390119</v>
      </c>
      <c r="J13" t="s">
        <v>14</v>
      </c>
      <c r="K13" t="s">
        <v>63</v>
      </c>
      <c r="L13" s="1">
        <v>4000000</v>
      </c>
      <c r="M13" s="1">
        <v>4000000</v>
      </c>
      <c r="N13" t="s">
        <v>704</v>
      </c>
      <c r="O13" s="1">
        <f t="shared" si="0"/>
        <v>0</v>
      </c>
    </row>
    <row r="14" spans="1:17" hidden="1" x14ac:dyDescent="0.25">
      <c r="A14" t="s">
        <v>207</v>
      </c>
      <c r="B14" t="s">
        <v>13</v>
      </c>
      <c r="C14">
        <v>45965</v>
      </c>
      <c r="D14">
        <v>46022</v>
      </c>
      <c r="E14" t="s">
        <v>715</v>
      </c>
      <c r="F14" t="s">
        <v>14</v>
      </c>
      <c r="G14">
        <v>1085268450</v>
      </c>
      <c r="H14" t="s">
        <v>208</v>
      </c>
      <c r="I14">
        <v>43624414</v>
      </c>
      <c r="J14" t="s">
        <v>14</v>
      </c>
      <c r="K14" t="s">
        <v>18</v>
      </c>
      <c r="L14" s="1">
        <v>4000000</v>
      </c>
      <c r="M14" s="1">
        <v>4000000</v>
      </c>
      <c r="N14" t="s">
        <v>704</v>
      </c>
      <c r="O14" s="1">
        <f t="shared" si="0"/>
        <v>0</v>
      </c>
    </row>
    <row r="15" spans="1:17" hidden="1" x14ac:dyDescent="0.25">
      <c r="A15" t="s">
        <v>182</v>
      </c>
      <c r="B15" t="s">
        <v>13</v>
      </c>
      <c r="C15">
        <v>45965</v>
      </c>
      <c r="D15">
        <v>46022</v>
      </c>
      <c r="E15" t="s">
        <v>733</v>
      </c>
      <c r="F15" t="s">
        <v>14</v>
      </c>
      <c r="G15">
        <v>59815593</v>
      </c>
      <c r="H15" t="s">
        <v>183</v>
      </c>
      <c r="I15">
        <v>98333941</v>
      </c>
      <c r="J15" t="s">
        <v>14</v>
      </c>
      <c r="K15" t="s">
        <v>15</v>
      </c>
      <c r="L15" s="1">
        <v>4000000</v>
      </c>
      <c r="M15" s="1">
        <v>4000000</v>
      </c>
      <c r="N15" t="s">
        <v>704</v>
      </c>
      <c r="O15" s="1">
        <f t="shared" si="0"/>
        <v>0</v>
      </c>
    </row>
    <row r="16" spans="1:17" hidden="1" x14ac:dyDescent="0.25">
      <c r="A16" t="s">
        <v>129</v>
      </c>
      <c r="B16" t="s">
        <v>13</v>
      </c>
      <c r="C16">
        <v>45965</v>
      </c>
      <c r="D16">
        <v>46022</v>
      </c>
      <c r="E16" t="s">
        <v>721</v>
      </c>
      <c r="F16" t="s">
        <v>14</v>
      </c>
      <c r="G16">
        <v>36757715</v>
      </c>
      <c r="H16" t="s">
        <v>130</v>
      </c>
      <c r="I16">
        <v>98390119</v>
      </c>
      <c r="J16" t="s">
        <v>14</v>
      </c>
      <c r="K16" t="s">
        <v>63</v>
      </c>
      <c r="L16" s="1">
        <v>4000000</v>
      </c>
      <c r="M16" s="1">
        <v>4000000</v>
      </c>
      <c r="N16" t="s">
        <v>704</v>
      </c>
      <c r="O16" s="1">
        <f t="shared" si="0"/>
        <v>0</v>
      </c>
    </row>
    <row r="17" spans="1:17" hidden="1" x14ac:dyDescent="0.25">
      <c r="A17" t="s">
        <v>694</v>
      </c>
      <c r="B17" t="s">
        <v>13</v>
      </c>
      <c r="C17">
        <v>45982</v>
      </c>
      <c r="D17">
        <v>46022</v>
      </c>
      <c r="E17" t="s">
        <v>323</v>
      </c>
      <c r="F17" t="s">
        <v>14</v>
      </c>
      <c r="G17">
        <v>27436186</v>
      </c>
      <c r="H17" t="s">
        <v>695</v>
      </c>
      <c r="I17">
        <v>43624414</v>
      </c>
      <c r="J17" t="s">
        <v>14</v>
      </c>
      <c r="K17" t="s">
        <v>18</v>
      </c>
      <c r="L17" s="1">
        <v>4200000</v>
      </c>
      <c r="M17" s="1">
        <v>4200000</v>
      </c>
      <c r="N17" t="s">
        <v>704</v>
      </c>
      <c r="O17" s="1">
        <f t="shared" si="0"/>
        <v>0</v>
      </c>
    </row>
    <row r="18" spans="1:17" hidden="1" x14ac:dyDescent="0.25">
      <c r="A18" t="s">
        <v>692</v>
      </c>
      <c r="B18" t="s">
        <v>13</v>
      </c>
      <c r="C18">
        <v>45982</v>
      </c>
      <c r="D18">
        <v>46022</v>
      </c>
      <c r="E18" t="s">
        <v>775</v>
      </c>
      <c r="F18" t="s">
        <v>14</v>
      </c>
      <c r="G18">
        <v>27549932</v>
      </c>
      <c r="H18" t="s">
        <v>693</v>
      </c>
      <c r="I18">
        <v>43624414</v>
      </c>
      <c r="J18" t="s">
        <v>14</v>
      </c>
      <c r="K18" t="s">
        <v>18</v>
      </c>
      <c r="L18" s="1">
        <v>4200000</v>
      </c>
      <c r="M18" s="1">
        <v>4200000</v>
      </c>
      <c r="N18" t="s">
        <v>704</v>
      </c>
      <c r="O18" s="1">
        <f t="shared" si="0"/>
        <v>0</v>
      </c>
    </row>
    <row r="19" spans="1:17" hidden="1" x14ac:dyDescent="0.25">
      <c r="A19" s="4" t="s">
        <v>688</v>
      </c>
      <c r="B19" s="4" t="s">
        <v>13</v>
      </c>
      <c r="C19" s="4">
        <v>45982</v>
      </c>
      <c r="D19" s="4">
        <v>46022</v>
      </c>
      <c r="E19" s="4" t="s">
        <v>813</v>
      </c>
      <c r="F19" s="4" t="s">
        <v>14</v>
      </c>
      <c r="G19" s="4">
        <v>1086755989</v>
      </c>
      <c r="H19" s="4" t="s">
        <v>689</v>
      </c>
      <c r="I19" s="4">
        <v>43624414</v>
      </c>
      <c r="J19" s="4" t="s">
        <v>14</v>
      </c>
      <c r="K19" s="4" t="s">
        <v>18</v>
      </c>
      <c r="L19" s="5">
        <v>9450000</v>
      </c>
      <c r="M19" s="5">
        <v>4200000</v>
      </c>
      <c r="N19" s="4" t="s">
        <v>704</v>
      </c>
      <c r="O19" s="5">
        <f t="shared" si="0"/>
        <v>-5250000</v>
      </c>
      <c r="P19" s="2" t="s">
        <v>827</v>
      </c>
      <c r="Q19" t="s">
        <v>832</v>
      </c>
    </row>
    <row r="20" spans="1:17" x14ac:dyDescent="0.25">
      <c r="A20" s="6" t="s">
        <v>644</v>
      </c>
      <c r="B20" s="6" t="s">
        <v>13</v>
      </c>
      <c r="C20" s="6">
        <v>45975</v>
      </c>
      <c r="D20" s="6">
        <v>46022</v>
      </c>
      <c r="E20" s="6" t="s">
        <v>775</v>
      </c>
      <c r="F20" s="6" t="s">
        <v>14</v>
      </c>
      <c r="G20" s="6">
        <v>1085321460</v>
      </c>
      <c r="H20" s="6" t="s">
        <v>645</v>
      </c>
      <c r="I20" s="6">
        <v>43624414</v>
      </c>
      <c r="J20" s="6" t="s">
        <v>14</v>
      </c>
      <c r="K20" s="6" t="s">
        <v>18</v>
      </c>
      <c r="L20" s="7">
        <v>0</v>
      </c>
      <c r="M20" s="7">
        <v>4725000</v>
      </c>
      <c r="N20" s="6" t="s">
        <v>704</v>
      </c>
      <c r="O20" s="7">
        <f t="shared" si="0"/>
        <v>4725000</v>
      </c>
      <c r="P20" s="2" t="s">
        <v>827</v>
      </c>
      <c r="Q20" t="s">
        <v>833</v>
      </c>
    </row>
    <row r="21" spans="1:17" hidden="1" x14ac:dyDescent="0.25">
      <c r="A21" t="s">
        <v>686</v>
      </c>
      <c r="B21" t="s">
        <v>13</v>
      </c>
      <c r="C21">
        <v>45979</v>
      </c>
      <c r="D21">
        <v>46022</v>
      </c>
      <c r="E21" t="s">
        <v>775</v>
      </c>
      <c r="F21" t="s">
        <v>14</v>
      </c>
      <c r="G21">
        <v>1089243630</v>
      </c>
      <c r="H21" t="s">
        <v>687</v>
      </c>
      <c r="I21">
        <v>43624414</v>
      </c>
      <c r="J21" t="s">
        <v>14</v>
      </c>
      <c r="K21" t="s">
        <v>18</v>
      </c>
      <c r="L21" s="1">
        <v>4725000</v>
      </c>
      <c r="M21" s="1">
        <v>4725000</v>
      </c>
      <c r="N21" t="s">
        <v>704</v>
      </c>
      <c r="O21" s="1">
        <f t="shared" si="0"/>
        <v>0</v>
      </c>
    </row>
    <row r="22" spans="1:17" hidden="1" x14ac:dyDescent="0.25">
      <c r="A22" t="s">
        <v>676</v>
      </c>
      <c r="B22" t="s">
        <v>13</v>
      </c>
      <c r="C22">
        <v>45979</v>
      </c>
      <c r="D22">
        <v>46022</v>
      </c>
      <c r="E22" t="s">
        <v>775</v>
      </c>
      <c r="F22" t="s">
        <v>14</v>
      </c>
      <c r="G22">
        <v>36751255</v>
      </c>
      <c r="H22" t="s">
        <v>677</v>
      </c>
      <c r="I22">
        <v>43624414</v>
      </c>
      <c r="J22" t="s">
        <v>14</v>
      </c>
      <c r="K22" t="s">
        <v>18</v>
      </c>
      <c r="L22" s="1">
        <v>4725000</v>
      </c>
      <c r="M22" s="1">
        <v>4725000</v>
      </c>
      <c r="N22" t="s">
        <v>704</v>
      </c>
      <c r="O22" s="1">
        <f t="shared" si="0"/>
        <v>0</v>
      </c>
    </row>
    <row r="23" spans="1:17" x14ac:dyDescent="0.25">
      <c r="A23" s="6" t="s">
        <v>249</v>
      </c>
      <c r="B23" s="6" t="s">
        <v>13</v>
      </c>
      <c r="C23" s="6">
        <v>45947</v>
      </c>
      <c r="D23" s="6">
        <v>46022</v>
      </c>
      <c r="E23" s="6" t="s">
        <v>250</v>
      </c>
      <c r="F23" s="6" t="s">
        <v>83</v>
      </c>
      <c r="G23" s="6">
        <v>900991717</v>
      </c>
      <c r="H23" s="6" t="s">
        <v>251</v>
      </c>
      <c r="I23" s="6">
        <v>87248313</v>
      </c>
      <c r="J23" s="6" t="s">
        <v>14</v>
      </c>
      <c r="K23" s="6" t="s">
        <v>252</v>
      </c>
      <c r="L23" s="7">
        <v>0</v>
      </c>
      <c r="M23" s="7">
        <v>5357200</v>
      </c>
      <c r="N23" s="6" t="s">
        <v>704</v>
      </c>
      <c r="O23" s="7">
        <f t="shared" si="0"/>
        <v>5357200</v>
      </c>
      <c r="P23" s="2" t="s">
        <v>827</v>
      </c>
      <c r="Q23" t="s">
        <v>833</v>
      </c>
    </row>
    <row r="24" spans="1:17" hidden="1" x14ac:dyDescent="0.25">
      <c r="A24" t="s">
        <v>528</v>
      </c>
      <c r="B24" t="s">
        <v>13</v>
      </c>
      <c r="C24">
        <v>45939</v>
      </c>
      <c r="D24">
        <v>46022</v>
      </c>
      <c r="E24" t="s">
        <v>715</v>
      </c>
      <c r="F24" t="s">
        <v>14</v>
      </c>
      <c r="G24">
        <v>1081052090</v>
      </c>
      <c r="H24" t="s">
        <v>529</v>
      </c>
      <c r="I24">
        <v>98333941</v>
      </c>
      <c r="J24" t="s">
        <v>14</v>
      </c>
      <c r="K24" t="s">
        <v>15</v>
      </c>
      <c r="L24" s="1">
        <v>6000000</v>
      </c>
      <c r="M24" s="1">
        <v>6000000</v>
      </c>
      <c r="N24" t="s">
        <v>704</v>
      </c>
      <c r="O24" s="1">
        <f t="shared" si="0"/>
        <v>0</v>
      </c>
    </row>
    <row r="25" spans="1:17" hidden="1" x14ac:dyDescent="0.25">
      <c r="A25" t="s">
        <v>142</v>
      </c>
      <c r="B25" t="s">
        <v>13</v>
      </c>
      <c r="C25">
        <v>45945</v>
      </c>
      <c r="D25">
        <v>46022</v>
      </c>
      <c r="E25" t="s">
        <v>723</v>
      </c>
      <c r="F25" t="s">
        <v>14</v>
      </c>
      <c r="G25">
        <v>1080040525</v>
      </c>
      <c r="H25" t="s">
        <v>143</v>
      </c>
      <c r="I25">
        <v>98333941</v>
      </c>
      <c r="J25" t="s">
        <v>14</v>
      </c>
      <c r="K25" t="s">
        <v>15</v>
      </c>
      <c r="L25" s="1">
        <v>6000000</v>
      </c>
      <c r="M25" s="1">
        <v>6000000</v>
      </c>
      <c r="N25" t="s">
        <v>704</v>
      </c>
      <c r="O25" s="1">
        <f t="shared" si="0"/>
        <v>0</v>
      </c>
    </row>
    <row r="26" spans="1:17" hidden="1" x14ac:dyDescent="0.25">
      <c r="A26" t="s">
        <v>615</v>
      </c>
      <c r="B26" t="s">
        <v>13</v>
      </c>
      <c r="C26">
        <v>45944</v>
      </c>
      <c r="D26">
        <v>46022</v>
      </c>
      <c r="E26" t="s">
        <v>810</v>
      </c>
      <c r="F26" t="s">
        <v>14</v>
      </c>
      <c r="G26">
        <v>59313273</v>
      </c>
      <c r="H26" t="s">
        <v>616</v>
      </c>
      <c r="I26">
        <v>59836926</v>
      </c>
      <c r="J26" t="s">
        <v>14</v>
      </c>
      <c r="K26" t="s">
        <v>17</v>
      </c>
      <c r="L26" s="1">
        <v>6000000</v>
      </c>
      <c r="M26" s="1">
        <v>6000000</v>
      </c>
      <c r="N26" t="s">
        <v>704</v>
      </c>
      <c r="O26" s="1">
        <f t="shared" si="0"/>
        <v>0</v>
      </c>
    </row>
    <row r="27" spans="1:17" hidden="1" x14ac:dyDescent="0.25">
      <c r="A27" t="s">
        <v>522</v>
      </c>
      <c r="B27" t="s">
        <v>13</v>
      </c>
      <c r="C27">
        <v>45944</v>
      </c>
      <c r="D27">
        <v>46022</v>
      </c>
      <c r="E27" t="s">
        <v>742</v>
      </c>
      <c r="F27" t="s">
        <v>14</v>
      </c>
      <c r="G27">
        <v>1085313195</v>
      </c>
      <c r="H27" t="s">
        <v>523</v>
      </c>
      <c r="I27">
        <v>43624414</v>
      </c>
      <c r="J27" t="s">
        <v>14</v>
      </c>
      <c r="K27" t="s">
        <v>18</v>
      </c>
      <c r="L27" s="1">
        <v>6000000</v>
      </c>
      <c r="M27" s="1">
        <v>6000000</v>
      </c>
      <c r="N27" t="s">
        <v>704</v>
      </c>
      <c r="O27" s="1">
        <f t="shared" si="0"/>
        <v>0</v>
      </c>
    </row>
    <row r="28" spans="1:17" hidden="1" x14ac:dyDescent="0.25">
      <c r="A28" t="s">
        <v>262</v>
      </c>
      <c r="B28" t="s">
        <v>13</v>
      </c>
      <c r="C28">
        <v>45944</v>
      </c>
      <c r="D28">
        <v>46022</v>
      </c>
      <c r="E28" t="s">
        <v>751</v>
      </c>
      <c r="F28" t="s">
        <v>14</v>
      </c>
      <c r="G28">
        <v>1085334752</v>
      </c>
      <c r="H28" t="s">
        <v>263</v>
      </c>
      <c r="I28">
        <v>98333941</v>
      </c>
      <c r="J28" t="s">
        <v>14</v>
      </c>
      <c r="K28" t="s">
        <v>15</v>
      </c>
      <c r="L28" s="1">
        <v>6000000</v>
      </c>
      <c r="M28" s="1">
        <v>6000000</v>
      </c>
      <c r="N28" t="s">
        <v>704</v>
      </c>
      <c r="O28" s="1">
        <f t="shared" si="0"/>
        <v>0</v>
      </c>
    </row>
    <row r="29" spans="1:17" hidden="1" x14ac:dyDescent="0.25">
      <c r="A29" t="s">
        <v>406</v>
      </c>
      <c r="B29" t="s">
        <v>13</v>
      </c>
      <c r="C29">
        <v>45944</v>
      </c>
      <c r="D29">
        <v>46022</v>
      </c>
      <c r="E29" t="s">
        <v>774</v>
      </c>
      <c r="F29" t="s">
        <v>14</v>
      </c>
      <c r="G29">
        <v>87060188</v>
      </c>
      <c r="H29" t="s">
        <v>407</v>
      </c>
      <c r="I29">
        <v>43624414</v>
      </c>
      <c r="J29" t="s">
        <v>14</v>
      </c>
      <c r="K29" t="s">
        <v>18</v>
      </c>
      <c r="L29" s="1">
        <v>6000000</v>
      </c>
      <c r="M29" s="1">
        <v>6000000</v>
      </c>
      <c r="N29" t="s">
        <v>704</v>
      </c>
      <c r="O29" s="1">
        <f t="shared" si="0"/>
        <v>0</v>
      </c>
    </row>
    <row r="30" spans="1:17" hidden="1" x14ac:dyDescent="0.25">
      <c r="A30" t="s">
        <v>349</v>
      </c>
      <c r="B30" t="s">
        <v>13</v>
      </c>
      <c r="C30">
        <v>45944</v>
      </c>
      <c r="D30">
        <v>46022</v>
      </c>
      <c r="E30" t="s">
        <v>748</v>
      </c>
      <c r="F30" t="s">
        <v>14</v>
      </c>
      <c r="G30">
        <v>1137089036</v>
      </c>
      <c r="H30" t="s">
        <v>350</v>
      </c>
      <c r="I30">
        <v>59836926</v>
      </c>
      <c r="J30" t="s">
        <v>14</v>
      </c>
      <c r="K30" t="s">
        <v>17</v>
      </c>
      <c r="L30" s="1">
        <v>6000000</v>
      </c>
      <c r="M30" s="1">
        <v>6000000</v>
      </c>
      <c r="N30" t="s">
        <v>704</v>
      </c>
      <c r="O30" s="1">
        <f t="shared" si="0"/>
        <v>0</v>
      </c>
    </row>
    <row r="31" spans="1:17" hidden="1" x14ac:dyDescent="0.25">
      <c r="A31" t="s">
        <v>424</v>
      </c>
      <c r="B31" t="s">
        <v>13</v>
      </c>
      <c r="C31">
        <v>45944</v>
      </c>
      <c r="D31">
        <v>46022</v>
      </c>
      <c r="E31" t="s">
        <v>715</v>
      </c>
      <c r="F31" t="s">
        <v>14</v>
      </c>
      <c r="G31">
        <v>1233188221</v>
      </c>
      <c r="H31" t="s">
        <v>425</v>
      </c>
      <c r="I31">
        <v>98333941</v>
      </c>
      <c r="J31" t="s">
        <v>14</v>
      </c>
      <c r="K31" t="s">
        <v>15</v>
      </c>
      <c r="L31" s="1">
        <v>6000000</v>
      </c>
      <c r="M31" s="1">
        <v>6000000</v>
      </c>
      <c r="N31" t="s">
        <v>704</v>
      </c>
      <c r="O31" s="1">
        <f t="shared" si="0"/>
        <v>0</v>
      </c>
    </row>
    <row r="32" spans="1:17" hidden="1" x14ac:dyDescent="0.25">
      <c r="A32" t="s">
        <v>236</v>
      </c>
      <c r="B32" t="s">
        <v>13</v>
      </c>
      <c r="C32">
        <v>45944</v>
      </c>
      <c r="D32">
        <v>46022</v>
      </c>
      <c r="E32" t="s">
        <v>748</v>
      </c>
      <c r="F32" t="s">
        <v>14</v>
      </c>
      <c r="G32">
        <v>27082650</v>
      </c>
      <c r="H32" t="s">
        <v>237</v>
      </c>
      <c r="I32">
        <v>43624414</v>
      </c>
      <c r="J32" t="s">
        <v>14</v>
      </c>
      <c r="K32" t="s">
        <v>18</v>
      </c>
      <c r="L32" s="1">
        <v>6000000</v>
      </c>
      <c r="M32" s="1">
        <v>6000000</v>
      </c>
      <c r="N32" t="s">
        <v>704</v>
      </c>
      <c r="O32" s="1">
        <f t="shared" si="0"/>
        <v>0</v>
      </c>
    </row>
    <row r="33" spans="1:17" hidden="1" x14ac:dyDescent="0.25">
      <c r="A33" t="s">
        <v>224</v>
      </c>
      <c r="B33" t="s">
        <v>13</v>
      </c>
      <c r="C33">
        <v>45944</v>
      </c>
      <c r="D33">
        <v>46022</v>
      </c>
      <c r="E33" t="s">
        <v>715</v>
      </c>
      <c r="F33" t="s">
        <v>14</v>
      </c>
      <c r="G33">
        <v>1085253462</v>
      </c>
      <c r="H33" t="s">
        <v>225</v>
      </c>
      <c r="I33">
        <v>59836926</v>
      </c>
      <c r="J33" t="s">
        <v>14</v>
      </c>
      <c r="K33" t="s">
        <v>17</v>
      </c>
      <c r="L33" s="1">
        <v>6000000</v>
      </c>
      <c r="M33" s="1">
        <v>6000000</v>
      </c>
      <c r="N33" t="s">
        <v>704</v>
      </c>
      <c r="O33" s="1">
        <f t="shared" si="0"/>
        <v>0</v>
      </c>
    </row>
    <row r="34" spans="1:17" hidden="1" x14ac:dyDescent="0.25">
      <c r="A34" t="s">
        <v>241</v>
      </c>
      <c r="B34" t="s">
        <v>13</v>
      </c>
      <c r="C34">
        <v>45940</v>
      </c>
      <c r="D34">
        <v>46022</v>
      </c>
      <c r="E34" t="s">
        <v>715</v>
      </c>
      <c r="F34" t="s">
        <v>14</v>
      </c>
      <c r="G34">
        <v>1081282855</v>
      </c>
      <c r="H34" t="s">
        <v>242</v>
      </c>
      <c r="I34">
        <v>43624414</v>
      </c>
      <c r="J34" t="s">
        <v>14</v>
      </c>
      <c r="K34" t="s">
        <v>18</v>
      </c>
      <c r="L34" s="1">
        <v>6000000</v>
      </c>
      <c r="M34" s="1">
        <v>6000000</v>
      </c>
      <c r="N34" t="s">
        <v>704</v>
      </c>
      <c r="O34" s="1">
        <f t="shared" si="0"/>
        <v>0</v>
      </c>
    </row>
    <row r="35" spans="1:17" hidden="1" x14ac:dyDescent="0.25">
      <c r="A35" t="s">
        <v>216</v>
      </c>
      <c r="B35" t="s">
        <v>13</v>
      </c>
      <c r="C35">
        <v>45940</v>
      </c>
      <c r="D35">
        <v>46022</v>
      </c>
      <c r="E35" t="s">
        <v>742</v>
      </c>
      <c r="F35" t="s">
        <v>14</v>
      </c>
      <c r="G35">
        <v>1004217048</v>
      </c>
      <c r="H35" t="s">
        <v>217</v>
      </c>
      <c r="I35">
        <v>98333941</v>
      </c>
      <c r="J35" t="s">
        <v>14</v>
      </c>
      <c r="K35" t="s">
        <v>15</v>
      </c>
      <c r="L35" s="1">
        <v>6000000</v>
      </c>
      <c r="M35" s="1">
        <v>6000000</v>
      </c>
      <c r="N35" t="s">
        <v>704</v>
      </c>
      <c r="O35" s="1">
        <f t="shared" si="0"/>
        <v>0</v>
      </c>
    </row>
    <row r="36" spans="1:17" hidden="1" x14ac:dyDescent="0.25">
      <c r="A36" t="s">
        <v>535</v>
      </c>
      <c r="B36" t="s">
        <v>13</v>
      </c>
      <c r="C36">
        <v>45940</v>
      </c>
      <c r="D36">
        <v>46022</v>
      </c>
      <c r="E36" t="s">
        <v>797</v>
      </c>
      <c r="F36" t="s">
        <v>14</v>
      </c>
      <c r="G36">
        <v>1233190640</v>
      </c>
      <c r="H36" t="s">
        <v>536</v>
      </c>
      <c r="I36">
        <v>43624414</v>
      </c>
      <c r="J36" t="s">
        <v>14</v>
      </c>
      <c r="K36" t="s">
        <v>18</v>
      </c>
      <c r="L36" s="1">
        <v>6000000</v>
      </c>
      <c r="M36" s="1">
        <v>6000000</v>
      </c>
      <c r="N36" t="s">
        <v>704</v>
      </c>
      <c r="O36" s="1">
        <f t="shared" si="0"/>
        <v>0</v>
      </c>
    </row>
    <row r="37" spans="1:17" hidden="1" x14ac:dyDescent="0.25">
      <c r="A37" t="s">
        <v>258</v>
      </c>
      <c r="B37" t="s">
        <v>13</v>
      </c>
      <c r="C37">
        <v>45940</v>
      </c>
      <c r="D37">
        <v>46022</v>
      </c>
      <c r="E37" t="s">
        <v>715</v>
      </c>
      <c r="F37" t="s">
        <v>14</v>
      </c>
      <c r="G37">
        <v>59314118</v>
      </c>
      <c r="H37" t="s">
        <v>259</v>
      </c>
      <c r="I37">
        <v>43624414</v>
      </c>
      <c r="J37" t="s">
        <v>14</v>
      </c>
      <c r="K37" t="s">
        <v>18</v>
      </c>
      <c r="L37" s="1">
        <v>6000000</v>
      </c>
      <c r="M37" s="1">
        <v>6000000</v>
      </c>
      <c r="N37" t="s">
        <v>704</v>
      </c>
      <c r="O37" s="1">
        <f t="shared" si="0"/>
        <v>0</v>
      </c>
    </row>
    <row r="38" spans="1:17" hidden="1" x14ac:dyDescent="0.25">
      <c r="A38" t="s">
        <v>111</v>
      </c>
      <c r="B38" t="s">
        <v>13</v>
      </c>
      <c r="C38">
        <v>45940</v>
      </c>
      <c r="D38">
        <v>46022</v>
      </c>
      <c r="E38" t="s">
        <v>715</v>
      </c>
      <c r="F38" t="s">
        <v>14</v>
      </c>
      <c r="G38">
        <v>1085310465</v>
      </c>
      <c r="H38" t="s">
        <v>112</v>
      </c>
      <c r="I38">
        <v>98390119</v>
      </c>
      <c r="J38" t="s">
        <v>14</v>
      </c>
      <c r="K38" t="s">
        <v>63</v>
      </c>
      <c r="L38" s="1">
        <v>6000000</v>
      </c>
      <c r="M38" s="1">
        <v>6000000</v>
      </c>
      <c r="N38" t="s">
        <v>704</v>
      </c>
      <c r="O38" s="1">
        <f t="shared" si="0"/>
        <v>0</v>
      </c>
    </row>
    <row r="39" spans="1:17" hidden="1" x14ac:dyDescent="0.25">
      <c r="A39" t="s">
        <v>228</v>
      </c>
      <c r="B39" t="s">
        <v>13</v>
      </c>
      <c r="C39">
        <v>45940</v>
      </c>
      <c r="D39">
        <v>46022</v>
      </c>
      <c r="E39" t="s">
        <v>746</v>
      </c>
      <c r="F39" t="s">
        <v>14</v>
      </c>
      <c r="G39">
        <v>59829440</v>
      </c>
      <c r="H39" t="s">
        <v>229</v>
      </c>
      <c r="I39">
        <v>98333941</v>
      </c>
      <c r="J39" t="s">
        <v>14</v>
      </c>
      <c r="K39" t="s">
        <v>15</v>
      </c>
      <c r="L39" s="1">
        <v>6000000</v>
      </c>
      <c r="M39" s="1">
        <v>6000000</v>
      </c>
      <c r="N39" t="s">
        <v>704</v>
      </c>
      <c r="O39" s="1">
        <f t="shared" si="0"/>
        <v>0</v>
      </c>
    </row>
    <row r="40" spans="1:17" hidden="1" x14ac:dyDescent="0.25">
      <c r="A40" t="s">
        <v>587</v>
      </c>
      <c r="B40" t="s">
        <v>13</v>
      </c>
      <c r="C40">
        <v>45940</v>
      </c>
      <c r="D40">
        <v>46022</v>
      </c>
      <c r="E40" t="s">
        <v>715</v>
      </c>
      <c r="F40" t="s">
        <v>14</v>
      </c>
      <c r="G40">
        <v>27086745</v>
      </c>
      <c r="H40" t="s">
        <v>588</v>
      </c>
      <c r="I40">
        <v>59836926</v>
      </c>
      <c r="J40" t="s">
        <v>14</v>
      </c>
      <c r="K40" t="s">
        <v>17</v>
      </c>
      <c r="L40" s="1">
        <v>6000000</v>
      </c>
      <c r="M40" s="1">
        <v>6000000</v>
      </c>
      <c r="N40" t="s">
        <v>704</v>
      </c>
      <c r="O40" s="1">
        <f t="shared" si="0"/>
        <v>0</v>
      </c>
    </row>
    <row r="41" spans="1:17" hidden="1" x14ac:dyDescent="0.25">
      <c r="A41" t="s">
        <v>625</v>
      </c>
      <c r="B41" t="s">
        <v>13</v>
      </c>
      <c r="C41">
        <v>45939</v>
      </c>
      <c r="D41">
        <v>46022</v>
      </c>
      <c r="E41" t="s">
        <v>812</v>
      </c>
      <c r="F41" t="s">
        <v>14</v>
      </c>
      <c r="G41">
        <v>1085334831</v>
      </c>
      <c r="H41" t="s">
        <v>626</v>
      </c>
      <c r="I41">
        <v>98390119</v>
      </c>
      <c r="J41" t="s">
        <v>14</v>
      </c>
      <c r="K41" t="s">
        <v>63</v>
      </c>
      <c r="L41" s="1">
        <v>6000000</v>
      </c>
      <c r="M41" s="1">
        <v>6000000</v>
      </c>
      <c r="N41" t="s">
        <v>704</v>
      </c>
      <c r="O41" s="1">
        <f t="shared" si="0"/>
        <v>0</v>
      </c>
    </row>
    <row r="42" spans="1:17" hidden="1" x14ac:dyDescent="0.25">
      <c r="A42" t="s">
        <v>611</v>
      </c>
      <c r="B42" t="s">
        <v>13</v>
      </c>
      <c r="C42">
        <v>45939</v>
      </c>
      <c r="D42">
        <v>46022</v>
      </c>
      <c r="E42" t="s">
        <v>721</v>
      </c>
      <c r="F42" t="s">
        <v>14</v>
      </c>
      <c r="G42">
        <v>36933095</v>
      </c>
      <c r="H42" t="s">
        <v>612</v>
      </c>
      <c r="I42">
        <v>98333941</v>
      </c>
      <c r="J42" t="s">
        <v>14</v>
      </c>
      <c r="K42" t="s">
        <v>15</v>
      </c>
      <c r="L42" s="1">
        <v>6000000</v>
      </c>
      <c r="M42" s="1">
        <v>6000000</v>
      </c>
      <c r="N42" t="s">
        <v>704</v>
      </c>
      <c r="O42" s="1">
        <f t="shared" si="0"/>
        <v>0</v>
      </c>
    </row>
    <row r="43" spans="1:17" hidden="1" x14ac:dyDescent="0.25">
      <c r="A43" t="s">
        <v>507</v>
      </c>
      <c r="B43" t="s">
        <v>13</v>
      </c>
      <c r="C43">
        <v>45939</v>
      </c>
      <c r="D43">
        <v>46022</v>
      </c>
      <c r="E43" t="s">
        <v>715</v>
      </c>
      <c r="F43" t="s">
        <v>14</v>
      </c>
      <c r="G43">
        <v>1085317085</v>
      </c>
      <c r="H43" t="s">
        <v>508</v>
      </c>
      <c r="I43">
        <v>59836926</v>
      </c>
      <c r="J43" t="s">
        <v>14</v>
      </c>
      <c r="K43" t="s">
        <v>17</v>
      </c>
      <c r="L43" s="1">
        <v>6000000</v>
      </c>
      <c r="M43" s="1">
        <v>6000000</v>
      </c>
      <c r="N43" t="s">
        <v>704</v>
      </c>
      <c r="O43" s="1">
        <f t="shared" si="0"/>
        <v>0</v>
      </c>
    </row>
    <row r="44" spans="1:17" hidden="1" x14ac:dyDescent="0.25">
      <c r="A44" t="s">
        <v>501</v>
      </c>
      <c r="B44" t="s">
        <v>13</v>
      </c>
      <c r="C44">
        <v>45939</v>
      </c>
      <c r="D44">
        <v>46022</v>
      </c>
      <c r="E44" t="s">
        <v>751</v>
      </c>
      <c r="F44" t="s">
        <v>14</v>
      </c>
      <c r="G44">
        <v>12990231</v>
      </c>
      <c r="H44" t="s">
        <v>502</v>
      </c>
      <c r="I44">
        <v>59836926</v>
      </c>
      <c r="J44" t="s">
        <v>14</v>
      </c>
      <c r="K44" t="s">
        <v>17</v>
      </c>
      <c r="L44" s="1">
        <v>6000000</v>
      </c>
      <c r="M44" s="1">
        <v>6000000</v>
      </c>
      <c r="N44" t="s">
        <v>704</v>
      </c>
      <c r="O44" s="1">
        <f t="shared" si="0"/>
        <v>0</v>
      </c>
    </row>
    <row r="45" spans="1:17" hidden="1" x14ac:dyDescent="0.25">
      <c r="A45" t="s">
        <v>178</v>
      </c>
      <c r="B45" t="s">
        <v>13</v>
      </c>
      <c r="C45">
        <v>45939</v>
      </c>
      <c r="D45">
        <v>46022</v>
      </c>
      <c r="E45" t="s">
        <v>732</v>
      </c>
      <c r="F45" t="s">
        <v>14</v>
      </c>
      <c r="G45">
        <v>12974849</v>
      </c>
      <c r="H45" t="s">
        <v>179</v>
      </c>
      <c r="I45">
        <v>43624414</v>
      </c>
      <c r="J45" t="s">
        <v>14</v>
      </c>
      <c r="K45" t="s">
        <v>18</v>
      </c>
      <c r="L45" s="1">
        <v>6000000</v>
      </c>
      <c r="M45" s="1">
        <v>6000000</v>
      </c>
      <c r="N45" t="s">
        <v>704</v>
      </c>
      <c r="O45" s="1">
        <f t="shared" si="0"/>
        <v>0</v>
      </c>
    </row>
    <row r="46" spans="1:17" hidden="1" x14ac:dyDescent="0.25">
      <c r="A46" t="s">
        <v>624</v>
      </c>
      <c r="B46" t="s">
        <v>13</v>
      </c>
      <c r="C46">
        <v>45972</v>
      </c>
      <c r="D46">
        <v>46022</v>
      </c>
      <c r="E46" t="s">
        <v>775</v>
      </c>
      <c r="F46" t="s">
        <v>14</v>
      </c>
      <c r="G46">
        <v>1085317833</v>
      </c>
      <c r="H46" t="s">
        <v>41</v>
      </c>
      <c r="I46">
        <v>59836926</v>
      </c>
      <c r="J46" t="s">
        <v>14</v>
      </c>
      <c r="K46" t="s">
        <v>17</v>
      </c>
      <c r="L46" s="1">
        <v>6300000</v>
      </c>
      <c r="M46" s="1">
        <v>6300000</v>
      </c>
      <c r="N46" t="s">
        <v>704</v>
      </c>
      <c r="O46" s="1">
        <f t="shared" si="0"/>
        <v>0</v>
      </c>
    </row>
    <row r="47" spans="1:17" hidden="1" x14ac:dyDescent="0.25">
      <c r="A47" t="s">
        <v>513</v>
      </c>
      <c r="B47" t="s">
        <v>13</v>
      </c>
      <c r="C47">
        <v>45972</v>
      </c>
      <c r="D47">
        <v>46022</v>
      </c>
      <c r="E47" t="s">
        <v>323</v>
      </c>
      <c r="F47" t="s">
        <v>14</v>
      </c>
      <c r="G47">
        <v>1233192104</v>
      </c>
      <c r="H47" t="s">
        <v>514</v>
      </c>
      <c r="I47">
        <v>59836926</v>
      </c>
      <c r="J47" t="s">
        <v>14</v>
      </c>
      <c r="K47" t="s">
        <v>17</v>
      </c>
      <c r="L47" s="1">
        <v>6300000</v>
      </c>
      <c r="M47" s="1">
        <v>6300000</v>
      </c>
      <c r="N47" t="s">
        <v>704</v>
      </c>
      <c r="O47" s="1">
        <f t="shared" si="0"/>
        <v>0</v>
      </c>
    </row>
    <row r="48" spans="1:17" x14ac:dyDescent="0.25">
      <c r="A48" s="6" t="s">
        <v>421</v>
      </c>
      <c r="B48" s="6" t="s">
        <v>13</v>
      </c>
      <c r="C48" s="6">
        <v>45971</v>
      </c>
      <c r="D48" s="6">
        <v>46022</v>
      </c>
      <c r="E48" s="6" t="s">
        <v>778</v>
      </c>
      <c r="F48" s="6" t="s">
        <v>14</v>
      </c>
      <c r="G48" s="6">
        <v>1085310626</v>
      </c>
      <c r="H48" s="6" t="s">
        <v>422</v>
      </c>
      <c r="I48" s="6">
        <v>98390119</v>
      </c>
      <c r="J48" s="6" t="s">
        <v>14</v>
      </c>
      <c r="K48" s="6" t="s">
        <v>63</v>
      </c>
      <c r="L48" s="7">
        <v>0</v>
      </c>
      <c r="M48" s="7">
        <v>6300000</v>
      </c>
      <c r="N48" s="6" t="s">
        <v>704</v>
      </c>
      <c r="O48" s="7">
        <f t="shared" si="0"/>
        <v>6300000</v>
      </c>
      <c r="P48" s="2" t="s">
        <v>827</v>
      </c>
      <c r="Q48" t="s">
        <v>833</v>
      </c>
    </row>
    <row r="49" spans="1:17" x14ac:dyDescent="0.25">
      <c r="A49" s="6" t="s">
        <v>213</v>
      </c>
      <c r="B49" s="6" t="s">
        <v>13</v>
      </c>
      <c r="C49" s="6">
        <v>45967</v>
      </c>
      <c r="D49" s="6">
        <v>46022</v>
      </c>
      <c r="E49" s="6" t="s">
        <v>741</v>
      </c>
      <c r="F49" s="6" t="s">
        <v>14</v>
      </c>
      <c r="G49" s="6">
        <v>1085927513</v>
      </c>
      <c r="H49" s="6" t="s">
        <v>214</v>
      </c>
      <c r="I49" s="6">
        <v>59836926</v>
      </c>
      <c r="J49" s="6" t="s">
        <v>14</v>
      </c>
      <c r="K49" s="6" t="s">
        <v>17</v>
      </c>
      <c r="L49" s="7">
        <v>0</v>
      </c>
      <c r="M49" s="7">
        <v>6300000</v>
      </c>
      <c r="N49" s="6" t="s">
        <v>704</v>
      </c>
      <c r="O49" s="7">
        <f t="shared" si="0"/>
        <v>6300000</v>
      </c>
      <c r="P49" s="2" t="s">
        <v>827</v>
      </c>
      <c r="Q49" t="s">
        <v>833</v>
      </c>
    </row>
    <row r="50" spans="1:17" hidden="1" x14ac:dyDescent="0.25">
      <c r="A50" t="s">
        <v>408</v>
      </c>
      <c r="B50" t="s">
        <v>13</v>
      </c>
      <c r="C50">
        <v>45971</v>
      </c>
      <c r="D50">
        <v>46022</v>
      </c>
      <c r="E50" t="s">
        <v>775</v>
      </c>
      <c r="F50" t="s">
        <v>14</v>
      </c>
      <c r="G50">
        <v>1086222689</v>
      </c>
      <c r="H50" t="s">
        <v>36</v>
      </c>
      <c r="I50">
        <v>59836926</v>
      </c>
      <c r="J50" t="s">
        <v>14</v>
      </c>
      <c r="K50" t="s">
        <v>17</v>
      </c>
      <c r="L50" s="1">
        <v>6300000</v>
      </c>
      <c r="M50" s="1">
        <v>6300000</v>
      </c>
      <c r="N50" t="s">
        <v>704</v>
      </c>
      <c r="O50" s="1">
        <f t="shared" si="0"/>
        <v>0</v>
      </c>
    </row>
    <row r="51" spans="1:17" hidden="1" x14ac:dyDescent="0.25">
      <c r="A51" t="s">
        <v>311</v>
      </c>
      <c r="B51" t="s">
        <v>13</v>
      </c>
      <c r="C51">
        <v>45971</v>
      </c>
      <c r="D51">
        <v>46022</v>
      </c>
      <c r="E51" t="s">
        <v>720</v>
      </c>
      <c r="F51" t="s">
        <v>14</v>
      </c>
      <c r="G51">
        <v>1085324685</v>
      </c>
      <c r="H51" t="s">
        <v>312</v>
      </c>
      <c r="I51">
        <v>43624414</v>
      </c>
      <c r="J51" t="s">
        <v>14</v>
      </c>
      <c r="K51" t="s">
        <v>18</v>
      </c>
      <c r="L51" s="1">
        <v>6300000</v>
      </c>
      <c r="M51" s="1">
        <v>6300000</v>
      </c>
      <c r="N51" t="s">
        <v>704</v>
      </c>
      <c r="O51" s="1">
        <f t="shared" si="0"/>
        <v>0</v>
      </c>
    </row>
    <row r="52" spans="1:17" hidden="1" x14ac:dyDescent="0.25">
      <c r="A52" t="s">
        <v>190</v>
      </c>
      <c r="B52" t="s">
        <v>13</v>
      </c>
      <c r="C52">
        <v>45971</v>
      </c>
      <c r="D52">
        <v>46022</v>
      </c>
      <c r="E52" t="s">
        <v>720</v>
      </c>
      <c r="F52" t="s">
        <v>14</v>
      </c>
      <c r="G52">
        <v>1085331508</v>
      </c>
      <c r="H52" t="s">
        <v>191</v>
      </c>
      <c r="I52">
        <v>59836926</v>
      </c>
      <c r="J52" t="s">
        <v>14</v>
      </c>
      <c r="K52" t="s">
        <v>17</v>
      </c>
      <c r="L52" s="1">
        <v>6300000</v>
      </c>
      <c r="M52" s="1">
        <v>6300000</v>
      </c>
      <c r="N52" t="s">
        <v>704</v>
      </c>
      <c r="O52" s="1">
        <f t="shared" si="0"/>
        <v>0</v>
      </c>
    </row>
    <row r="53" spans="1:17" hidden="1" x14ac:dyDescent="0.25">
      <c r="A53" t="s">
        <v>198</v>
      </c>
      <c r="B53" t="s">
        <v>13</v>
      </c>
      <c r="C53">
        <v>45968</v>
      </c>
      <c r="D53">
        <v>46022</v>
      </c>
      <c r="E53" t="s">
        <v>736</v>
      </c>
      <c r="F53" t="s">
        <v>14</v>
      </c>
      <c r="G53">
        <v>1085281002</v>
      </c>
      <c r="H53" t="s">
        <v>199</v>
      </c>
      <c r="I53">
        <v>59836926</v>
      </c>
      <c r="J53" t="s">
        <v>14</v>
      </c>
      <c r="K53" t="s">
        <v>17</v>
      </c>
      <c r="L53" s="1">
        <v>6300000</v>
      </c>
      <c r="M53" s="1">
        <v>6300000</v>
      </c>
      <c r="N53" t="s">
        <v>704</v>
      </c>
      <c r="O53" s="1">
        <f t="shared" si="0"/>
        <v>0</v>
      </c>
    </row>
    <row r="54" spans="1:17" hidden="1" x14ac:dyDescent="0.25">
      <c r="A54" t="s">
        <v>239</v>
      </c>
      <c r="B54" t="s">
        <v>13</v>
      </c>
      <c r="C54">
        <v>45967</v>
      </c>
      <c r="D54">
        <v>46022</v>
      </c>
      <c r="E54" t="s">
        <v>720</v>
      </c>
      <c r="F54" t="s">
        <v>14</v>
      </c>
      <c r="G54">
        <v>1085246674</v>
      </c>
      <c r="H54" t="s">
        <v>240</v>
      </c>
      <c r="I54">
        <v>43624414</v>
      </c>
      <c r="J54" t="s">
        <v>14</v>
      </c>
      <c r="K54" t="s">
        <v>18</v>
      </c>
      <c r="L54" s="1">
        <v>6300000</v>
      </c>
      <c r="M54" s="1">
        <v>6300000</v>
      </c>
      <c r="N54" t="s">
        <v>704</v>
      </c>
      <c r="O54" s="1">
        <f t="shared" si="0"/>
        <v>0</v>
      </c>
    </row>
    <row r="55" spans="1:17" hidden="1" x14ac:dyDescent="0.25">
      <c r="A55" t="s">
        <v>156</v>
      </c>
      <c r="B55" t="s">
        <v>13</v>
      </c>
      <c r="C55">
        <v>45967</v>
      </c>
      <c r="D55">
        <v>46022</v>
      </c>
      <c r="E55" t="s">
        <v>728</v>
      </c>
      <c r="F55" t="s">
        <v>14</v>
      </c>
      <c r="G55">
        <v>1088799080</v>
      </c>
      <c r="H55" t="s">
        <v>157</v>
      </c>
      <c r="I55">
        <v>43624414</v>
      </c>
      <c r="J55" t="s">
        <v>14</v>
      </c>
      <c r="K55" t="s">
        <v>18</v>
      </c>
      <c r="L55" s="1">
        <v>6300000</v>
      </c>
      <c r="M55" s="1">
        <v>6300000</v>
      </c>
      <c r="N55" t="s">
        <v>704</v>
      </c>
      <c r="O55" s="1">
        <f t="shared" si="0"/>
        <v>0</v>
      </c>
    </row>
    <row r="56" spans="1:17" hidden="1" x14ac:dyDescent="0.25">
      <c r="A56" t="s">
        <v>571</v>
      </c>
      <c r="B56" t="s">
        <v>13</v>
      </c>
      <c r="C56">
        <v>45967</v>
      </c>
      <c r="D56">
        <v>46022</v>
      </c>
      <c r="E56" t="s">
        <v>716</v>
      </c>
      <c r="F56" t="s">
        <v>14</v>
      </c>
      <c r="G56">
        <v>1233191133</v>
      </c>
      <c r="H56" t="s">
        <v>572</v>
      </c>
      <c r="I56">
        <v>59836926</v>
      </c>
      <c r="J56" t="s">
        <v>14</v>
      </c>
      <c r="K56" t="s">
        <v>17</v>
      </c>
      <c r="L56" s="1">
        <v>6300000</v>
      </c>
      <c r="M56" s="1">
        <v>6300000</v>
      </c>
      <c r="N56" t="s">
        <v>704</v>
      </c>
      <c r="O56" s="1">
        <f t="shared" si="0"/>
        <v>0</v>
      </c>
    </row>
    <row r="57" spans="1:17" hidden="1" x14ac:dyDescent="0.25">
      <c r="A57" t="s">
        <v>609</v>
      </c>
      <c r="B57" t="s">
        <v>13</v>
      </c>
      <c r="C57">
        <v>45966</v>
      </c>
      <c r="D57">
        <v>46022</v>
      </c>
      <c r="E57" t="s">
        <v>716</v>
      </c>
      <c r="F57" t="s">
        <v>14</v>
      </c>
      <c r="G57">
        <v>1085325325</v>
      </c>
      <c r="H57" t="s">
        <v>610</v>
      </c>
      <c r="I57">
        <v>43624414</v>
      </c>
      <c r="J57" t="s">
        <v>14</v>
      </c>
      <c r="K57" t="s">
        <v>18</v>
      </c>
      <c r="L57" s="1">
        <v>6300000</v>
      </c>
      <c r="M57" s="1">
        <v>6300000</v>
      </c>
      <c r="N57" t="s">
        <v>704</v>
      </c>
      <c r="O57" s="1">
        <f t="shared" si="0"/>
        <v>0</v>
      </c>
    </row>
    <row r="58" spans="1:17" hidden="1" x14ac:dyDescent="0.25">
      <c r="A58" t="s">
        <v>490</v>
      </c>
      <c r="B58" t="s">
        <v>13</v>
      </c>
      <c r="C58">
        <v>45966</v>
      </c>
      <c r="D58">
        <v>46022</v>
      </c>
      <c r="E58" t="s">
        <v>724</v>
      </c>
      <c r="F58" t="s">
        <v>14</v>
      </c>
      <c r="G58">
        <v>27091114</v>
      </c>
      <c r="H58" t="s">
        <v>80</v>
      </c>
      <c r="I58">
        <v>98390119</v>
      </c>
      <c r="J58" t="s">
        <v>14</v>
      </c>
      <c r="K58" t="s">
        <v>63</v>
      </c>
      <c r="L58" s="1">
        <v>6300000</v>
      </c>
      <c r="M58" s="1">
        <v>6300000</v>
      </c>
      <c r="N58" t="s">
        <v>704</v>
      </c>
      <c r="O58" s="1">
        <f t="shared" si="0"/>
        <v>0</v>
      </c>
    </row>
    <row r="59" spans="1:17" hidden="1" x14ac:dyDescent="0.25">
      <c r="A59" t="s">
        <v>232</v>
      </c>
      <c r="B59" t="s">
        <v>13</v>
      </c>
      <c r="C59">
        <v>45966</v>
      </c>
      <c r="D59">
        <v>46022</v>
      </c>
      <c r="E59" t="s">
        <v>747</v>
      </c>
      <c r="F59" t="s">
        <v>14</v>
      </c>
      <c r="G59">
        <v>1004190751</v>
      </c>
      <c r="H59" t="s">
        <v>233</v>
      </c>
      <c r="I59">
        <v>43624414</v>
      </c>
      <c r="J59" t="s">
        <v>14</v>
      </c>
      <c r="K59" t="s">
        <v>18</v>
      </c>
      <c r="L59" s="1">
        <v>6300000</v>
      </c>
      <c r="M59" s="1">
        <v>6300000</v>
      </c>
      <c r="N59" t="s">
        <v>704</v>
      </c>
      <c r="O59" s="1">
        <f t="shared" si="0"/>
        <v>0</v>
      </c>
    </row>
    <row r="60" spans="1:17" hidden="1" x14ac:dyDescent="0.25">
      <c r="A60" t="s">
        <v>322</v>
      </c>
      <c r="B60" t="s">
        <v>13</v>
      </c>
      <c r="C60">
        <v>45966</v>
      </c>
      <c r="D60">
        <v>46022</v>
      </c>
      <c r="E60" t="s">
        <v>323</v>
      </c>
      <c r="F60" t="s">
        <v>14</v>
      </c>
      <c r="G60">
        <v>1082748783</v>
      </c>
      <c r="H60" t="s">
        <v>67</v>
      </c>
      <c r="I60">
        <v>43624414</v>
      </c>
      <c r="J60" t="s">
        <v>14</v>
      </c>
      <c r="K60" t="s">
        <v>18</v>
      </c>
      <c r="L60" s="1">
        <v>6300000</v>
      </c>
      <c r="M60" s="1">
        <v>6300000</v>
      </c>
      <c r="N60" t="s">
        <v>704</v>
      </c>
      <c r="O60" s="1">
        <f t="shared" si="0"/>
        <v>0</v>
      </c>
    </row>
    <row r="61" spans="1:17" hidden="1" x14ac:dyDescent="0.25">
      <c r="A61" t="s">
        <v>648</v>
      </c>
      <c r="B61" t="s">
        <v>13</v>
      </c>
      <c r="C61">
        <v>45966</v>
      </c>
      <c r="D61">
        <v>46022</v>
      </c>
      <c r="E61" t="s">
        <v>716</v>
      </c>
      <c r="F61" t="s">
        <v>14</v>
      </c>
      <c r="G61">
        <v>59833899</v>
      </c>
      <c r="H61" t="s">
        <v>78</v>
      </c>
      <c r="I61">
        <v>43624414</v>
      </c>
      <c r="J61" t="s">
        <v>14</v>
      </c>
      <c r="K61" t="s">
        <v>18</v>
      </c>
      <c r="L61" s="1">
        <v>6300000</v>
      </c>
      <c r="M61" s="1">
        <v>6300000</v>
      </c>
      <c r="N61" t="s">
        <v>704</v>
      </c>
      <c r="O61" s="1">
        <f t="shared" si="0"/>
        <v>0</v>
      </c>
    </row>
    <row r="62" spans="1:17" hidden="1" x14ac:dyDescent="0.25">
      <c r="A62" t="s">
        <v>162</v>
      </c>
      <c r="B62" t="s">
        <v>13</v>
      </c>
      <c r="C62">
        <v>45966</v>
      </c>
      <c r="D62">
        <v>46022</v>
      </c>
      <c r="E62" t="s">
        <v>729</v>
      </c>
      <c r="F62" t="s">
        <v>14</v>
      </c>
      <c r="G62">
        <v>59828916</v>
      </c>
      <c r="H62" t="s">
        <v>73</v>
      </c>
      <c r="I62">
        <v>98390119</v>
      </c>
      <c r="J62" t="s">
        <v>14</v>
      </c>
      <c r="K62" t="s">
        <v>63</v>
      </c>
      <c r="L62" s="1">
        <v>6300000</v>
      </c>
      <c r="M62" s="1">
        <v>6300000</v>
      </c>
      <c r="N62" t="s">
        <v>704</v>
      </c>
      <c r="O62" s="1">
        <f t="shared" si="0"/>
        <v>0</v>
      </c>
    </row>
    <row r="63" spans="1:17" hidden="1" x14ac:dyDescent="0.25">
      <c r="A63" t="s">
        <v>634</v>
      </c>
      <c r="B63" t="s">
        <v>13</v>
      </c>
      <c r="C63">
        <v>45966</v>
      </c>
      <c r="D63">
        <v>46022</v>
      </c>
      <c r="E63" t="s">
        <v>815</v>
      </c>
      <c r="F63" t="s">
        <v>14</v>
      </c>
      <c r="G63">
        <v>1010099104</v>
      </c>
      <c r="H63" t="s">
        <v>635</v>
      </c>
      <c r="I63">
        <v>98390119</v>
      </c>
      <c r="J63" t="s">
        <v>14</v>
      </c>
      <c r="K63" t="s">
        <v>63</v>
      </c>
      <c r="L63" s="1">
        <v>6300000</v>
      </c>
      <c r="M63" s="1">
        <v>6300000</v>
      </c>
      <c r="N63" t="s">
        <v>704</v>
      </c>
      <c r="O63" s="1">
        <f t="shared" si="0"/>
        <v>0</v>
      </c>
    </row>
    <row r="64" spans="1:17" hidden="1" x14ac:dyDescent="0.25">
      <c r="A64" t="s">
        <v>332</v>
      </c>
      <c r="B64" t="s">
        <v>13</v>
      </c>
      <c r="C64">
        <v>45966</v>
      </c>
      <c r="D64">
        <v>46022</v>
      </c>
      <c r="E64" t="s">
        <v>762</v>
      </c>
      <c r="F64" t="s">
        <v>14</v>
      </c>
      <c r="G64">
        <v>1088216350</v>
      </c>
      <c r="H64" t="s">
        <v>333</v>
      </c>
      <c r="I64">
        <v>43624414</v>
      </c>
      <c r="J64" t="s">
        <v>14</v>
      </c>
      <c r="K64" t="s">
        <v>18</v>
      </c>
      <c r="L64" s="1">
        <v>6300000</v>
      </c>
      <c r="M64" s="1">
        <v>6300000</v>
      </c>
      <c r="N64" t="s">
        <v>704</v>
      </c>
      <c r="O64" s="1">
        <f t="shared" si="0"/>
        <v>0</v>
      </c>
    </row>
    <row r="65" spans="1:15" hidden="1" x14ac:dyDescent="0.25">
      <c r="A65" t="s">
        <v>659</v>
      </c>
      <c r="B65" t="s">
        <v>13</v>
      </c>
      <c r="C65">
        <v>45965</v>
      </c>
      <c r="D65">
        <v>46022</v>
      </c>
      <c r="E65" t="s">
        <v>720</v>
      </c>
      <c r="F65" t="s">
        <v>14</v>
      </c>
      <c r="G65">
        <v>59830040</v>
      </c>
      <c r="H65" t="s">
        <v>76</v>
      </c>
      <c r="I65">
        <v>43624414</v>
      </c>
      <c r="J65" t="s">
        <v>14</v>
      </c>
      <c r="K65" t="s">
        <v>18</v>
      </c>
      <c r="L65" s="1">
        <v>6300000</v>
      </c>
      <c r="M65" s="1">
        <v>6300000</v>
      </c>
      <c r="N65" t="s">
        <v>704</v>
      </c>
      <c r="O65" s="1">
        <f t="shared" si="0"/>
        <v>0</v>
      </c>
    </row>
    <row r="66" spans="1:15" hidden="1" x14ac:dyDescent="0.25">
      <c r="A66" t="s">
        <v>361</v>
      </c>
      <c r="B66" t="s">
        <v>13</v>
      </c>
      <c r="C66">
        <v>45965</v>
      </c>
      <c r="D66">
        <v>46022</v>
      </c>
      <c r="E66" t="s">
        <v>764</v>
      </c>
      <c r="F66" t="s">
        <v>14</v>
      </c>
      <c r="G66">
        <v>1085338921</v>
      </c>
      <c r="H66" t="s">
        <v>362</v>
      </c>
      <c r="I66">
        <v>98390119</v>
      </c>
      <c r="J66" t="s">
        <v>14</v>
      </c>
      <c r="K66" t="s">
        <v>63</v>
      </c>
      <c r="L66" s="1">
        <v>6300000</v>
      </c>
      <c r="M66" s="1">
        <v>6300000</v>
      </c>
      <c r="N66" t="s">
        <v>704</v>
      </c>
      <c r="O66" s="1">
        <f t="shared" ref="O66:O129" si="1">M66-L66</f>
        <v>0</v>
      </c>
    </row>
    <row r="67" spans="1:15" hidden="1" x14ac:dyDescent="0.25">
      <c r="A67" t="s">
        <v>88</v>
      </c>
      <c r="B67" t="s">
        <v>13</v>
      </c>
      <c r="C67">
        <v>45965</v>
      </c>
      <c r="D67">
        <v>46022</v>
      </c>
      <c r="E67" t="s">
        <v>705</v>
      </c>
      <c r="F67" t="s">
        <v>14</v>
      </c>
      <c r="G67">
        <v>1086328142</v>
      </c>
      <c r="H67" t="s">
        <v>85</v>
      </c>
      <c r="I67">
        <v>43624414</v>
      </c>
      <c r="J67" t="s">
        <v>14</v>
      </c>
      <c r="K67" t="s">
        <v>18</v>
      </c>
      <c r="L67" s="1">
        <v>6300000</v>
      </c>
      <c r="M67" s="1">
        <v>6300000</v>
      </c>
      <c r="N67" t="s">
        <v>704</v>
      </c>
      <c r="O67" s="1">
        <f t="shared" si="1"/>
        <v>0</v>
      </c>
    </row>
    <row r="68" spans="1:15" hidden="1" x14ac:dyDescent="0.25">
      <c r="A68" t="s">
        <v>117</v>
      </c>
      <c r="B68" t="s">
        <v>13</v>
      </c>
      <c r="C68">
        <v>45965</v>
      </c>
      <c r="D68">
        <v>46022</v>
      </c>
      <c r="E68" t="s">
        <v>711</v>
      </c>
      <c r="F68" t="s">
        <v>14</v>
      </c>
      <c r="G68">
        <v>1084224968</v>
      </c>
      <c r="H68" t="s">
        <v>118</v>
      </c>
      <c r="I68">
        <v>98390119</v>
      </c>
      <c r="J68" t="s">
        <v>14</v>
      </c>
      <c r="K68" t="s">
        <v>63</v>
      </c>
      <c r="L68" s="1">
        <v>6300000</v>
      </c>
      <c r="M68" s="1">
        <v>6300000</v>
      </c>
      <c r="N68" t="s">
        <v>704</v>
      </c>
      <c r="O68" s="1">
        <f t="shared" si="1"/>
        <v>0</v>
      </c>
    </row>
    <row r="69" spans="1:15" hidden="1" x14ac:dyDescent="0.25">
      <c r="A69" t="s">
        <v>517</v>
      </c>
      <c r="B69" t="s">
        <v>13</v>
      </c>
      <c r="C69">
        <v>45965</v>
      </c>
      <c r="D69">
        <v>46022</v>
      </c>
      <c r="E69" t="s">
        <v>720</v>
      </c>
      <c r="F69" t="s">
        <v>14</v>
      </c>
      <c r="G69">
        <v>1085344795</v>
      </c>
      <c r="H69" t="s">
        <v>79</v>
      </c>
      <c r="I69">
        <v>43624414</v>
      </c>
      <c r="J69" t="s">
        <v>14</v>
      </c>
      <c r="K69" t="s">
        <v>18</v>
      </c>
      <c r="L69" s="1">
        <v>6300000</v>
      </c>
      <c r="M69" s="1">
        <v>6300000</v>
      </c>
      <c r="N69" t="s">
        <v>704</v>
      </c>
      <c r="O69" s="1">
        <f t="shared" si="1"/>
        <v>0</v>
      </c>
    </row>
    <row r="70" spans="1:15" hidden="1" x14ac:dyDescent="0.25">
      <c r="A70" t="s">
        <v>272</v>
      </c>
      <c r="B70" t="s">
        <v>13</v>
      </c>
      <c r="C70">
        <v>45965</v>
      </c>
      <c r="D70">
        <v>46022</v>
      </c>
      <c r="E70" t="s">
        <v>728</v>
      </c>
      <c r="F70" t="s">
        <v>14</v>
      </c>
      <c r="G70">
        <v>1085266584</v>
      </c>
      <c r="H70" t="s">
        <v>71</v>
      </c>
      <c r="I70">
        <v>59836926</v>
      </c>
      <c r="J70" t="s">
        <v>14</v>
      </c>
      <c r="K70" t="s">
        <v>17</v>
      </c>
      <c r="L70" s="1">
        <v>6300000</v>
      </c>
      <c r="M70" s="1">
        <v>6300000</v>
      </c>
      <c r="N70" t="s">
        <v>704</v>
      </c>
      <c r="O70" s="1">
        <f t="shared" si="1"/>
        <v>0</v>
      </c>
    </row>
    <row r="71" spans="1:15" hidden="1" x14ac:dyDescent="0.25">
      <c r="A71" t="s">
        <v>452</v>
      </c>
      <c r="B71" t="s">
        <v>13</v>
      </c>
      <c r="C71">
        <v>45965</v>
      </c>
      <c r="D71">
        <v>46022</v>
      </c>
      <c r="E71" t="s">
        <v>787</v>
      </c>
      <c r="F71" t="s">
        <v>14</v>
      </c>
      <c r="G71">
        <v>98391531</v>
      </c>
      <c r="H71" t="s">
        <v>453</v>
      </c>
      <c r="I71">
        <v>43624414</v>
      </c>
      <c r="J71" t="s">
        <v>14</v>
      </c>
      <c r="K71" t="s">
        <v>18</v>
      </c>
      <c r="L71" s="1">
        <v>6300000</v>
      </c>
      <c r="M71" s="1">
        <v>6300000</v>
      </c>
      <c r="N71" t="s">
        <v>704</v>
      </c>
      <c r="O71" s="1">
        <f t="shared" si="1"/>
        <v>0</v>
      </c>
    </row>
    <row r="72" spans="1:15" hidden="1" x14ac:dyDescent="0.25">
      <c r="A72" t="s">
        <v>684</v>
      </c>
      <c r="B72" t="s">
        <v>13</v>
      </c>
      <c r="C72">
        <v>45965</v>
      </c>
      <c r="D72">
        <v>46022</v>
      </c>
      <c r="E72" t="s">
        <v>716</v>
      </c>
      <c r="F72" t="s">
        <v>14</v>
      </c>
      <c r="G72">
        <v>1081592769</v>
      </c>
      <c r="H72" t="s">
        <v>685</v>
      </c>
      <c r="I72">
        <v>98390119</v>
      </c>
      <c r="J72" t="s">
        <v>14</v>
      </c>
      <c r="K72" t="s">
        <v>63</v>
      </c>
      <c r="L72" s="1">
        <v>6300000</v>
      </c>
      <c r="M72" s="1">
        <v>6300000</v>
      </c>
      <c r="N72" t="s">
        <v>704</v>
      </c>
      <c r="O72" s="1">
        <f t="shared" si="1"/>
        <v>0</v>
      </c>
    </row>
    <row r="73" spans="1:15" hidden="1" x14ac:dyDescent="0.25">
      <c r="A73" t="s">
        <v>120</v>
      </c>
      <c r="B73" t="s">
        <v>13</v>
      </c>
      <c r="C73">
        <v>45965</v>
      </c>
      <c r="D73">
        <v>46022</v>
      </c>
      <c r="E73" t="s">
        <v>705</v>
      </c>
      <c r="F73" t="s">
        <v>14</v>
      </c>
      <c r="G73">
        <v>1085286742</v>
      </c>
      <c r="H73" t="s">
        <v>37</v>
      </c>
      <c r="I73">
        <v>98390119</v>
      </c>
      <c r="J73" t="s">
        <v>14</v>
      </c>
      <c r="K73" t="s">
        <v>63</v>
      </c>
      <c r="L73" s="1">
        <v>6300000</v>
      </c>
      <c r="M73" s="1">
        <v>6300000</v>
      </c>
      <c r="N73" t="s">
        <v>704</v>
      </c>
      <c r="O73" s="1">
        <f t="shared" si="1"/>
        <v>0</v>
      </c>
    </row>
    <row r="74" spans="1:15" hidden="1" x14ac:dyDescent="0.25">
      <c r="A74" t="s">
        <v>313</v>
      </c>
      <c r="B74" t="s">
        <v>13</v>
      </c>
      <c r="C74">
        <v>45960</v>
      </c>
      <c r="D74">
        <v>46022</v>
      </c>
      <c r="E74" t="s">
        <v>756</v>
      </c>
      <c r="F74" t="s">
        <v>14</v>
      </c>
      <c r="G74">
        <v>1085331558</v>
      </c>
      <c r="H74" t="s">
        <v>314</v>
      </c>
      <c r="I74">
        <v>98390119</v>
      </c>
      <c r="J74" t="s">
        <v>14</v>
      </c>
      <c r="K74" t="s">
        <v>63</v>
      </c>
      <c r="L74" s="1">
        <v>6300000</v>
      </c>
      <c r="M74" s="1">
        <v>6300000</v>
      </c>
      <c r="N74" t="s">
        <v>704</v>
      </c>
      <c r="O74" s="1">
        <f t="shared" si="1"/>
        <v>0</v>
      </c>
    </row>
    <row r="75" spans="1:15" hidden="1" x14ac:dyDescent="0.25">
      <c r="A75" t="s">
        <v>160</v>
      </c>
      <c r="B75" t="s">
        <v>13</v>
      </c>
      <c r="C75">
        <v>45960</v>
      </c>
      <c r="D75">
        <v>46022</v>
      </c>
      <c r="E75" t="s">
        <v>720</v>
      </c>
      <c r="F75" t="s">
        <v>14</v>
      </c>
      <c r="G75">
        <v>1086018841</v>
      </c>
      <c r="H75" t="s">
        <v>161</v>
      </c>
      <c r="I75">
        <v>43624414</v>
      </c>
      <c r="J75" t="s">
        <v>14</v>
      </c>
      <c r="K75" t="s">
        <v>18</v>
      </c>
      <c r="L75" s="1">
        <v>6300000</v>
      </c>
      <c r="M75" s="1">
        <v>6300000</v>
      </c>
      <c r="N75" t="s">
        <v>704</v>
      </c>
      <c r="O75" s="1">
        <f t="shared" si="1"/>
        <v>0</v>
      </c>
    </row>
    <row r="76" spans="1:15" hidden="1" x14ac:dyDescent="0.25">
      <c r="A76" t="s">
        <v>339</v>
      </c>
      <c r="B76" t="s">
        <v>13</v>
      </c>
      <c r="C76">
        <v>45960</v>
      </c>
      <c r="D76">
        <v>46022</v>
      </c>
      <c r="E76" t="s">
        <v>705</v>
      </c>
      <c r="F76" t="s">
        <v>14</v>
      </c>
      <c r="G76">
        <v>1085270448</v>
      </c>
      <c r="H76" t="s">
        <v>340</v>
      </c>
      <c r="I76">
        <v>98390119</v>
      </c>
      <c r="J76" t="s">
        <v>14</v>
      </c>
      <c r="K76" t="s">
        <v>63</v>
      </c>
      <c r="L76" s="1">
        <v>6300000</v>
      </c>
      <c r="M76" s="1">
        <v>6300000</v>
      </c>
      <c r="N76" t="s">
        <v>704</v>
      </c>
      <c r="O76" s="1">
        <f t="shared" si="1"/>
        <v>0</v>
      </c>
    </row>
    <row r="77" spans="1:15" hidden="1" x14ac:dyDescent="0.25">
      <c r="A77" t="s">
        <v>172</v>
      </c>
      <c r="B77" t="s">
        <v>13</v>
      </c>
      <c r="C77">
        <v>45947</v>
      </c>
      <c r="D77">
        <v>46022</v>
      </c>
      <c r="E77" t="s">
        <v>731</v>
      </c>
      <c r="F77" t="s">
        <v>14</v>
      </c>
      <c r="G77">
        <v>59834953</v>
      </c>
      <c r="H77" t="s">
        <v>35</v>
      </c>
      <c r="I77">
        <v>98390119</v>
      </c>
      <c r="J77" t="s">
        <v>14</v>
      </c>
      <c r="K77" t="s">
        <v>63</v>
      </c>
      <c r="L77" s="1">
        <v>7875000</v>
      </c>
      <c r="M77" s="1">
        <v>7875000</v>
      </c>
      <c r="N77" t="s">
        <v>704</v>
      </c>
      <c r="O77" s="1">
        <f t="shared" si="1"/>
        <v>0</v>
      </c>
    </row>
    <row r="78" spans="1:15" hidden="1" x14ac:dyDescent="0.25">
      <c r="A78" t="s">
        <v>469</v>
      </c>
      <c r="B78" t="s">
        <v>13</v>
      </c>
      <c r="C78">
        <v>45946</v>
      </c>
      <c r="D78">
        <v>46022</v>
      </c>
      <c r="E78" t="s">
        <v>720</v>
      </c>
      <c r="F78" t="s">
        <v>14</v>
      </c>
      <c r="G78">
        <v>59813323</v>
      </c>
      <c r="H78" t="s">
        <v>74</v>
      </c>
      <c r="I78">
        <v>59836926</v>
      </c>
      <c r="J78" t="s">
        <v>14</v>
      </c>
      <c r="K78" t="s">
        <v>17</v>
      </c>
      <c r="L78" s="1">
        <v>7875000</v>
      </c>
      <c r="M78" s="1">
        <v>7875000</v>
      </c>
      <c r="N78" t="s">
        <v>704</v>
      </c>
      <c r="O78" s="1">
        <f t="shared" si="1"/>
        <v>0</v>
      </c>
    </row>
    <row r="79" spans="1:15" hidden="1" x14ac:dyDescent="0.25">
      <c r="A79" t="s">
        <v>484</v>
      </c>
      <c r="B79" t="s">
        <v>13</v>
      </c>
      <c r="C79">
        <v>45946</v>
      </c>
      <c r="D79">
        <v>46022</v>
      </c>
      <c r="E79" t="s">
        <v>764</v>
      </c>
      <c r="F79" t="s">
        <v>14</v>
      </c>
      <c r="G79">
        <v>1193405962</v>
      </c>
      <c r="H79" t="s">
        <v>485</v>
      </c>
      <c r="I79">
        <v>59836926</v>
      </c>
      <c r="J79" t="s">
        <v>14</v>
      </c>
      <c r="K79" t="s">
        <v>17</v>
      </c>
      <c r="L79" s="1">
        <v>7875000</v>
      </c>
      <c r="M79" s="1">
        <v>7875000</v>
      </c>
      <c r="N79" t="s">
        <v>704</v>
      </c>
      <c r="O79" s="1">
        <f t="shared" si="1"/>
        <v>0</v>
      </c>
    </row>
    <row r="80" spans="1:15" hidden="1" x14ac:dyDescent="0.25">
      <c r="A80" t="s">
        <v>404</v>
      </c>
      <c r="B80" t="s">
        <v>13</v>
      </c>
      <c r="C80">
        <v>45946</v>
      </c>
      <c r="D80">
        <v>46022</v>
      </c>
      <c r="E80" t="s">
        <v>773</v>
      </c>
      <c r="F80" t="s">
        <v>14</v>
      </c>
      <c r="G80">
        <v>1085327677</v>
      </c>
      <c r="H80" t="s">
        <v>405</v>
      </c>
      <c r="I80">
        <v>43624414</v>
      </c>
      <c r="J80" t="s">
        <v>14</v>
      </c>
      <c r="K80" t="s">
        <v>18</v>
      </c>
      <c r="L80" s="1">
        <v>7875000</v>
      </c>
      <c r="M80" s="1">
        <v>7875000</v>
      </c>
      <c r="N80" t="s">
        <v>704</v>
      </c>
      <c r="O80" s="1">
        <f t="shared" si="1"/>
        <v>0</v>
      </c>
    </row>
    <row r="81" spans="1:17" hidden="1" x14ac:dyDescent="0.25">
      <c r="A81" t="s">
        <v>682</v>
      </c>
      <c r="B81" t="s">
        <v>13</v>
      </c>
      <c r="C81">
        <v>45946</v>
      </c>
      <c r="D81">
        <v>46022</v>
      </c>
      <c r="E81" t="s">
        <v>716</v>
      </c>
      <c r="F81" t="s">
        <v>14</v>
      </c>
      <c r="G81">
        <v>36950892</v>
      </c>
      <c r="H81" t="s">
        <v>683</v>
      </c>
      <c r="I81">
        <v>59836926</v>
      </c>
      <c r="J81" t="s">
        <v>14</v>
      </c>
      <c r="K81" t="s">
        <v>17</v>
      </c>
      <c r="L81" s="1">
        <v>7875000</v>
      </c>
      <c r="M81" s="1">
        <v>7875000</v>
      </c>
      <c r="N81" t="s">
        <v>704</v>
      </c>
      <c r="O81" s="1">
        <f t="shared" si="1"/>
        <v>0</v>
      </c>
    </row>
    <row r="82" spans="1:17" hidden="1" x14ac:dyDescent="0.25">
      <c r="A82" t="s">
        <v>551</v>
      </c>
      <c r="B82" t="s">
        <v>13</v>
      </c>
      <c r="C82">
        <v>45946</v>
      </c>
      <c r="D82">
        <v>46022</v>
      </c>
      <c r="E82" t="s">
        <v>801</v>
      </c>
      <c r="F82" t="s">
        <v>14</v>
      </c>
      <c r="G82">
        <v>1086329800</v>
      </c>
      <c r="H82" t="s">
        <v>552</v>
      </c>
      <c r="I82">
        <v>59836926</v>
      </c>
      <c r="J82" t="s">
        <v>14</v>
      </c>
      <c r="K82" t="s">
        <v>17</v>
      </c>
      <c r="L82" s="1">
        <v>7875000</v>
      </c>
      <c r="M82" s="1">
        <v>7875000</v>
      </c>
      <c r="N82" t="s">
        <v>704</v>
      </c>
      <c r="O82" s="1">
        <f t="shared" si="1"/>
        <v>0</v>
      </c>
    </row>
    <row r="83" spans="1:17" hidden="1" x14ac:dyDescent="0.25">
      <c r="A83" t="s">
        <v>467</v>
      </c>
      <c r="B83" t="s">
        <v>13</v>
      </c>
      <c r="C83">
        <v>45946</v>
      </c>
      <c r="D83">
        <v>46022</v>
      </c>
      <c r="E83" t="s">
        <v>716</v>
      </c>
      <c r="F83" t="s">
        <v>14</v>
      </c>
      <c r="G83">
        <v>27253636</v>
      </c>
      <c r="H83" t="s">
        <v>468</v>
      </c>
      <c r="I83">
        <v>98390119</v>
      </c>
      <c r="J83" t="s">
        <v>14</v>
      </c>
      <c r="K83" t="s">
        <v>63</v>
      </c>
      <c r="L83" s="1">
        <v>7875000</v>
      </c>
      <c r="M83" s="1">
        <v>7875000</v>
      </c>
      <c r="N83" t="s">
        <v>704</v>
      </c>
      <c r="O83" s="1">
        <f t="shared" si="1"/>
        <v>0</v>
      </c>
    </row>
    <row r="84" spans="1:17" hidden="1" x14ac:dyDescent="0.25">
      <c r="A84" t="s">
        <v>282</v>
      </c>
      <c r="B84" t="s">
        <v>13</v>
      </c>
      <c r="C84">
        <v>45946</v>
      </c>
      <c r="D84">
        <v>46022</v>
      </c>
      <c r="E84" t="s">
        <v>753</v>
      </c>
      <c r="F84" t="s">
        <v>14</v>
      </c>
      <c r="G84">
        <v>27285974</v>
      </c>
      <c r="H84" t="s">
        <v>283</v>
      </c>
      <c r="I84">
        <v>59836926</v>
      </c>
      <c r="J84" t="s">
        <v>14</v>
      </c>
      <c r="K84" t="s">
        <v>17</v>
      </c>
      <c r="L84" s="1">
        <v>7875000</v>
      </c>
      <c r="M84" s="1">
        <v>7875000</v>
      </c>
      <c r="N84" t="s">
        <v>704</v>
      </c>
      <c r="O84" s="1">
        <f t="shared" si="1"/>
        <v>0</v>
      </c>
    </row>
    <row r="85" spans="1:17" hidden="1" x14ac:dyDescent="0.25">
      <c r="A85" t="s">
        <v>619</v>
      </c>
      <c r="B85" t="s">
        <v>13</v>
      </c>
      <c r="C85">
        <v>45946</v>
      </c>
      <c r="D85">
        <v>46022</v>
      </c>
      <c r="E85" t="s">
        <v>811</v>
      </c>
      <c r="F85" t="s">
        <v>14</v>
      </c>
      <c r="G85">
        <v>1088975658</v>
      </c>
      <c r="H85" t="s">
        <v>620</v>
      </c>
      <c r="I85">
        <v>59836926</v>
      </c>
      <c r="J85" t="s">
        <v>14</v>
      </c>
      <c r="K85" t="s">
        <v>17</v>
      </c>
      <c r="L85" s="1">
        <v>7875000</v>
      </c>
      <c r="M85" s="1">
        <v>7875000</v>
      </c>
      <c r="N85" t="s">
        <v>704</v>
      </c>
      <c r="O85" s="1">
        <f t="shared" si="1"/>
        <v>0</v>
      </c>
    </row>
    <row r="86" spans="1:17" hidden="1" x14ac:dyDescent="0.25">
      <c r="A86" t="s">
        <v>138</v>
      </c>
      <c r="B86" t="s">
        <v>13</v>
      </c>
      <c r="C86">
        <v>45946</v>
      </c>
      <c r="D86">
        <v>46022</v>
      </c>
      <c r="E86" t="s">
        <v>720</v>
      </c>
      <c r="F86" t="s">
        <v>14</v>
      </c>
      <c r="G86">
        <v>1080693240</v>
      </c>
      <c r="H86" t="s">
        <v>139</v>
      </c>
      <c r="I86">
        <v>59836926</v>
      </c>
      <c r="J86" t="s">
        <v>14</v>
      </c>
      <c r="K86" t="s">
        <v>17</v>
      </c>
      <c r="L86" s="1">
        <v>7875000</v>
      </c>
      <c r="M86" s="1">
        <v>7875000</v>
      </c>
      <c r="N86" t="s">
        <v>704</v>
      </c>
      <c r="O86" s="1">
        <f t="shared" si="1"/>
        <v>0</v>
      </c>
    </row>
    <row r="87" spans="1:17" hidden="1" x14ac:dyDescent="0.25">
      <c r="A87" t="s">
        <v>622</v>
      </c>
      <c r="B87" t="s">
        <v>13</v>
      </c>
      <c r="C87">
        <v>45946</v>
      </c>
      <c r="D87">
        <v>46022</v>
      </c>
      <c r="E87" t="s">
        <v>705</v>
      </c>
      <c r="F87" t="s">
        <v>14</v>
      </c>
      <c r="G87">
        <v>1137089268</v>
      </c>
      <c r="H87" t="s">
        <v>623</v>
      </c>
      <c r="I87">
        <v>59836926</v>
      </c>
      <c r="J87" t="s">
        <v>14</v>
      </c>
      <c r="K87" t="s">
        <v>17</v>
      </c>
      <c r="L87" s="1">
        <v>7875000</v>
      </c>
      <c r="M87" s="1">
        <v>7875000</v>
      </c>
      <c r="N87" t="s">
        <v>704</v>
      </c>
      <c r="O87" s="1">
        <f t="shared" si="1"/>
        <v>0</v>
      </c>
    </row>
    <row r="88" spans="1:17" hidden="1" x14ac:dyDescent="0.25">
      <c r="A88" t="s">
        <v>188</v>
      </c>
      <c r="B88" t="s">
        <v>13</v>
      </c>
      <c r="C88">
        <v>45945</v>
      </c>
      <c r="D88">
        <v>46022</v>
      </c>
      <c r="E88" t="s">
        <v>720</v>
      </c>
      <c r="F88" t="s">
        <v>14</v>
      </c>
      <c r="G88">
        <v>1004343043</v>
      </c>
      <c r="H88" t="s">
        <v>189</v>
      </c>
      <c r="I88">
        <v>98390119</v>
      </c>
      <c r="J88" t="s">
        <v>14</v>
      </c>
      <c r="K88" t="s">
        <v>63</v>
      </c>
      <c r="L88" s="1">
        <v>7875000</v>
      </c>
      <c r="M88" s="1">
        <v>7875000</v>
      </c>
      <c r="N88" t="s">
        <v>704</v>
      </c>
      <c r="O88" s="1">
        <f t="shared" si="1"/>
        <v>0</v>
      </c>
    </row>
    <row r="89" spans="1:17" hidden="1" x14ac:dyDescent="0.25">
      <c r="A89" t="s">
        <v>100</v>
      </c>
      <c r="B89" t="s">
        <v>13</v>
      </c>
      <c r="C89">
        <v>45945</v>
      </c>
      <c r="D89">
        <v>46022</v>
      </c>
      <c r="E89" t="s">
        <v>712</v>
      </c>
      <c r="F89" t="s">
        <v>14</v>
      </c>
      <c r="G89">
        <v>87030128</v>
      </c>
      <c r="H89" t="s">
        <v>101</v>
      </c>
      <c r="I89">
        <v>98390119</v>
      </c>
      <c r="J89" t="s">
        <v>14</v>
      </c>
      <c r="K89" t="s">
        <v>63</v>
      </c>
      <c r="L89" s="1">
        <v>7875000</v>
      </c>
      <c r="M89" s="1">
        <v>7875000</v>
      </c>
      <c r="N89" t="s">
        <v>704</v>
      </c>
      <c r="O89" s="1">
        <f t="shared" si="1"/>
        <v>0</v>
      </c>
    </row>
    <row r="90" spans="1:17" hidden="1" x14ac:dyDescent="0.25">
      <c r="A90" t="s">
        <v>184</v>
      </c>
      <c r="B90" t="s">
        <v>13</v>
      </c>
      <c r="C90">
        <v>45945</v>
      </c>
      <c r="D90">
        <v>46022</v>
      </c>
      <c r="E90" t="s">
        <v>734</v>
      </c>
      <c r="F90" t="s">
        <v>14</v>
      </c>
      <c r="G90">
        <v>27388522</v>
      </c>
      <c r="H90" t="s">
        <v>38</v>
      </c>
      <c r="I90">
        <v>98390119</v>
      </c>
      <c r="J90" t="s">
        <v>14</v>
      </c>
      <c r="K90" t="s">
        <v>63</v>
      </c>
      <c r="L90" s="1">
        <v>7875000</v>
      </c>
      <c r="M90" s="1">
        <v>7875000</v>
      </c>
      <c r="N90" t="s">
        <v>704</v>
      </c>
      <c r="O90" s="1">
        <f t="shared" si="1"/>
        <v>0</v>
      </c>
    </row>
    <row r="91" spans="1:17" hidden="1" x14ac:dyDescent="0.25">
      <c r="A91" t="s">
        <v>655</v>
      </c>
      <c r="B91" t="s">
        <v>13</v>
      </c>
      <c r="C91">
        <v>45938</v>
      </c>
      <c r="D91">
        <v>46022</v>
      </c>
      <c r="E91" t="s">
        <v>720</v>
      </c>
      <c r="F91" t="s">
        <v>14</v>
      </c>
      <c r="G91">
        <v>1081592742</v>
      </c>
      <c r="H91" t="s">
        <v>656</v>
      </c>
      <c r="I91">
        <v>98333941</v>
      </c>
      <c r="J91" t="s">
        <v>14</v>
      </c>
      <c r="K91" t="s">
        <v>15</v>
      </c>
      <c r="L91" s="1">
        <v>9450000</v>
      </c>
      <c r="M91" s="1">
        <v>9450000</v>
      </c>
      <c r="N91" t="s">
        <v>704</v>
      </c>
      <c r="O91" s="1">
        <f t="shared" si="1"/>
        <v>0</v>
      </c>
    </row>
    <row r="92" spans="1:17" hidden="1" x14ac:dyDescent="0.25">
      <c r="A92" t="s">
        <v>392</v>
      </c>
      <c r="B92" t="s">
        <v>13</v>
      </c>
      <c r="C92">
        <v>45937</v>
      </c>
      <c r="D92">
        <v>46022</v>
      </c>
      <c r="E92" t="s">
        <v>770</v>
      </c>
      <c r="F92" t="s">
        <v>14</v>
      </c>
      <c r="G92">
        <v>1081272318</v>
      </c>
      <c r="H92" t="s">
        <v>393</v>
      </c>
      <c r="I92">
        <v>43624414</v>
      </c>
      <c r="J92" t="s">
        <v>14</v>
      </c>
      <c r="K92" t="s">
        <v>18</v>
      </c>
      <c r="L92" s="1">
        <v>9450000</v>
      </c>
      <c r="M92" s="1">
        <v>9450000</v>
      </c>
      <c r="N92" t="s">
        <v>704</v>
      </c>
      <c r="O92" s="1">
        <f t="shared" si="1"/>
        <v>0</v>
      </c>
    </row>
    <row r="93" spans="1:17" hidden="1" x14ac:dyDescent="0.25">
      <c r="A93" t="s">
        <v>669</v>
      </c>
      <c r="B93" t="s">
        <v>13</v>
      </c>
      <c r="C93">
        <v>45937</v>
      </c>
      <c r="D93">
        <v>46022</v>
      </c>
      <c r="E93" t="s">
        <v>724</v>
      </c>
      <c r="F93" t="s">
        <v>14</v>
      </c>
      <c r="G93">
        <v>27222016</v>
      </c>
      <c r="H93" t="s">
        <v>670</v>
      </c>
      <c r="I93">
        <v>59836926</v>
      </c>
      <c r="J93" t="s">
        <v>14</v>
      </c>
      <c r="K93" t="s">
        <v>17</v>
      </c>
      <c r="L93" s="1">
        <v>9450000</v>
      </c>
      <c r="M93" s="1">
        <v>9450000</v>
      </c>
      <c r="N93" t="s">
        <v>704</v>
      </c>
      <c r="O93" s="1">
        <f t="shared" si="1"/>
        <v>0</v>
      </c>
    </row>
    <row r="94" spans="1:17" hidden="1" x14ac:dyDescent="0.25">
      <c r="A94" t="s">
        <v>577</v>
      </c>
      <c r="B94" t="s">
        <v>13</v>
      </c>
      <c r="C94">
        <v>45937</v>
      </c>
      <c r="D94">
        <v>46022</v>
      </c>
      <c r="E94" t="s">
        <v>805</v>
      </c>
      <c r="F94" t="s">
        <v>14</v>
      </c>
      <c r="G94">
        <v>1085317094</v>
      </c>
      <c r="H94" t="s">
        <v>578</v>
      </c>
      <c r="I94">
        <v>59836926</v>
      </c>
      <c r="J94" t="s">
        <v>14</v>
      </c>
      <c r="K94" t="s">
        <v>17</v>
      </c>
      <c r="L94" s="1">
        <v>9450000</v>
      </c>
      <c r="M94" s="1">
        <v>9450000</v>
      </c>
      <c r="N94" t="s">
        <v>704</v>
      </c>
      <c r="O94" s="1">
        <f t="shared" si="1"/>
        <v>0</v>
      </c>
    </row>
    <row r="95" spans="1:17" hidden="1" x14ac:dyDescent="0.25">
      <c r="A95" t="s">
        <v>442</v>
      </c>
      <c r="B95" t="s">
        <v>13</v>
      </c>
      <c r="C95">
        <v>45936</v>
      </c>
      <c r="D95">
        <v>46022</v>
      </c>
      <c r="E95" t="s">
        <v>783</v>
      </c>
      <c r="F95" t="s">
        <v>14</v>
      </c>
      <c r="G95">
        <v>1085261053</v>
      </c>
      <c r="H95" t="s">
        <v>443</v>
      </c>
      <c r="I95">
        <v>98333941</v>
      </c>
      <c r="J95" t="s">
        <v>14</v>
      </c>
      <c r="K95" t="s">
        <v>15</v>
      </c>
      <c r="L95" s="1">
        <v>9450000</v>
      </c>
      <c r="M95" s="1">
        <v>9450000</v>
      </c>
      <c r="N95" t="s">
        <v>704</v>
      </c>
      <c r="O95" s="1">
        <f t="shared" si="1"/>
        <v>0</v>
      </c>
    </row>
    <row r="96" spans="1:17" x14ac:dyDescent="0.25">
      <c r="A96" s="6" t="s">
        <v>115</v>
      </c>
      <c r="B96" s="6" t="s">
        <v>13</v>
      </c>
      <c r="C96" s="6">
        <v>45931</v>
      </c>
      <c r="D96" s="6">
        <v>46022</v>
      </c>
      <c r="E96" s="6" t="s">
        <v>716</v>
      </c>
      <c r="F96" s="6" t="s">
        <v>14</v>
      </c>
      <c r="G96" s="6">
        <v>1004217101</v>
      </c>
      <c r="H96" s="6" t="s">
        <v>116</v>
      </c>
      <c r="I96" s="6">
        <v>98390119</v>
      </c>
      <c r="J96" s="6" t="s">
        <v>14</v>
      </c>
      <c r="K96" s="6" t="s">
        <v>63</v>
      </c>
      <c r="L96" s="7">
        <v>0</v>
      </c>
      <c r="M96" s="7">
        <v>9450000</v>
      </c>
      <c r="N96" s="6" t="s">
        <v>704</v>
      </c>
      <c r="O96" s="7">
        <f t="shared" si="1"/>
        <v>9450000</v>
      </c>
      <c r="P96" s="2" t="s">
        <v>827</v>
      </c>
      <c r="Q96" t="s">
        <v>833</v>
      </c>
    </row>
    <row r="97" spans="1:17" x14ac:dyDescent="0.25">
      <c r="A97" s="6" t="s">
        <v>580</v>
      </c>
      <c r="B97" s="6" t="s">
        <v>13</v>
      </c>
      <c r="C97" s="6">
        <v>45930</v>
      </c>
      <c r="D97" s="6">
        <v>46022</v>
      </c>
      <c r="E97" s="6" t="s">
        <v>806</v>
      </c>
      <c r="F97" s="6" t="s">
        <v>14</v>
      </c>
      <c r="G97" s="6">
        <v>1085310606</v>
      </c>
      <c r="H97" s="6" t="s">
        <v>581</v>
      </c>
      <c r="I97" s="6">
        <v>98390119</v>
      </c>
      <c r="J97" s="6" t="s">
        <v>14</v>
      </c>
      <c r="K97" s="6" t="s">
        <v>63</v>
      </c>
      <c r="L97" s="7">
        <v>0</v>
      </c>
      <c r="M97" s="7">
        <v>9450000</v>
      </c>
      <c r="N97" s="6" t="s">
        <v>704</v>
      </c>
      <c r="O97" s="7">
        <f t="shared" si="1"/>
        <v>9450000</v>
      </c>
      <c r="P97" s="2" t="s">
        <v>827</v>
      </c>
      <c r="Q97" t="s">
        <v>833</v>
      </c>
    </row>
    <row r="98" spans="1:17" x14ac:dyDescent="0.25">
      <c r="A98" s="6" t="s">
        <v>127</v>
      </c>
      <c r="B98" s="6" t="s">
        <v>13</v>
      </c>
      <c r="C98" s="6">
        <v>45929</v>
      </c>
      <c r="D98" s="6">
        <v>46022</v>
      </c>
      <c r="E98" s="6" t="s">
        <v>720</v>
      </c>
      <c r="F98" s="6" t="s">
        <v>14</v>
      </c>
      <c r="G98" s="6">
        <v>1004666616</v>
      </c>
      <c r="H98" s="6" t="s">
        <v>128</v>
      </c>
      <c r="I98" s="6">
        <v>98390119</v>
      </c>
      <c r="J98" s="6" t="s">
        <v>14</v>
      </c>
      <c r="K98" s="6" t="s">
        <v>63</v>
      </c>
      <c r="L98" s="7">
        <v>0</v>
      </c>
      <c r="M98" s="7">
        <v>9450000</v>
      </c>
      <c r="N98" s="6" t="s">
        <v>704</v>
      </c>
      <c r="O98" s="7">
        <f t="shared" si="1"/>
        <v>9450000</v>
      </c>
      <c r="P98" s="2" t="s">
        <v>827</v>
      </c>
      <c r="Q98" t="s">
        <v>833</v>
      </c>
    </row>
    <row r="99" spans="1:17" hidden="1" x14ac:dyDescent="0.25">
      <c r="A99" t="s">
        <v>477</v>
      </c>
      <c r="B99" t="s">
        <v>13</v>
      </c>
      <c r="C99">
        <v>45936</v>
      </c>
      <c r="D99">
        <v>46022</v>
      </c>
      <c r="E99" t="s">
        <v>731</v>
      </c>
      <c r="F99" t="s">
        <v>14</v>
      </c>
      <c r="G99">
        <v>1004190984</v>
      </c>
      <c r="H99" t="s">
        <v>478</v>
      </c>
      <c r="I99">
        <v>98333941</v>
      </c>
      <c r="J99" t="s">
        <v>14</v>
      </c>
      <c r="K99" t="s">
        <v>15</v>
      </c>
      <c r="L99" s="1">
        <v>9450000</v>
      </c>
      <c r="M99" s="1">
        <v>9450000</v>
      </c>
      <c r="N99" t="s">
        <v>704</v>
      </c>
      <c r="O99" s="1">
        <f t="shared" si="1"/>
        <v>0</v>
      </c>
    </row>
    <row r="100" spans="1:17" hidden="1" x14ac:dyDescent="0.25">
      <c r="A100" t="s">
        <v>661</v>
      </c>
      <c r="B100" t="s">
        <v>13</v>
      </c>
      <c r="C100">
        <v>45932</v>
      </c>
      <c r="D100">
        <v>46022</v>
      </c>
      <c r="E100" t="s">
        <v>747</v>
      </c>
      <c r="F100" t="s">
        <v>14</v>
      </c>
      <c r="G100">
        <v>1081052779</v>
      </c>
      <c r="H100" t="s">
        <v>662</v>
      </c>
      <c r="I100">
        <v>98390119</v>
      </c>
      <c r="J100" t="s">
        <v>14</v>
      </c>
      <c r="K100" t="s">
        <v>63</v>
      </c>
      <c r="L100" s="1">
        <v>9450000</v>
      </c>
      <c r="M100" s="1">
        <v>9450000</v>
      </c>
      <c r="N100" t="s">
        <v>704</v>
      </c>
      <c r="O100" s="1">
        <f t="shared" si="1"/>
        <v>0</v>
      </c>
    </row>
    <row r="101" spans="1:17" hidden="1" x14ac:dyDescent="0.25">
      <c r="A101" t="s">
        <v>448</v>
      </c>
      <c r="B101" t="s">
        <v>13</v>
      </c>
      <c r="C101">
        <v>45931</v>
      </c>
      <c r="D101">
        <v>46022</v>
      </c>
      <c r="E101" t="s">
        <v>785</v>
      </c>
      <c r="F101" t="s">
        <v>14</v>
      </c>
      <c r="G101">
        <v>1004592366</v>
      </c>
      <c r="H101" t="s">
        <v>449</v>
      </c>
      <c r="I101">
        <v>98390119</v>
      </c>
      <c r="J101" t="s">
        <v>14</v>
      </c>
      <c r="K101" t="s">
        <v>63</v>
      </c>
      <c r="L101" s="1">
        <v>9450000</v>
      </c>
      <c r="M101" s="1">
        <v>9450000</v>
      </c>
      <c r="N101" t="s">
        <v>704</v>
      </c>
      <c r="O101" s="1">
        <f t="shared" si="1"/>
        <v>0</v>
      </c>
    </row>
    <row r="102" spans="1:17" hidden="1" x14ac:dyDescent="0.25">
      <c r="A102" t="s">
        <v>675</v>
      </c>
      <c r="B102" t="s">
        <v>13</v>
      </c>
      <c r="C102">
        <v>45931</v>
      </c>
      <c r="D102">
        <v>46022</v>
      </c>
      <c r="E102" t="s">
        <v>815</v>
      </c>
      <c r="F102" t="s">
        <v>14</v>
      </c>
      <c r="G102">
        <v>1085304308</v>
      </c>
      <c r="H102" t="s">
        <v>68</v>
      </c>
      <c r="I102">
        <v>98333941</v>
      </c>
      <c r="J102" t="s">
        <v>14</v>
      </c>
      <c r="K102" t="s">
        <v>15</v>
      </c>
      <c r="L102" s="1">
        <v>9450000</v>
      </c>
      <c r="M102" s="1">
        <v>9450000</v>
      </c>
      <c r="N102" t="s">
        <v>704</v>
      </c>
      <c r="O102" s="1">
        <f t="shared" si="1"/>
        <v>0</v>
      </c>
    </row>
    <row r="103" spans="1:17" hidden="1" x14ac:dyDescent="0.25">
      <c r="A103" t="s">
        <v>144</v>
      </c>
      <c r="B103" t="s">
        <v>13</v>
      </c>
      <c r="C103">
        <v>45931</v>
      </c>
      <c r="D103">
        <v>46022</v>
      </c>
      <c r="E103" t="s">
        <v>724</v>
      </c>
      <c r="F103" t="s">
        <v>14</v>
      </c>
      <c r="G103">
        <v>1085275400</v>
      </c>
      <c r="H103" t="s">
        <v>145</v>
      </c>
      <c r="I103">
        <v>43624414</v>
      </c>
      <c r="J103" t="s">
        <v>14</v>
      </c>
      <c r="K103" t="s">
        <v>18</v>
      </c>
      <c r="L103" s="1">
        <v>9450000</v>
      </c>
      <c r="M103" s="1">
        <v>9450000</v>
      </c>
      <c r="N103" t="s">
        <v>704</v>
      </c>
      <c r="O103" s="1">
        <f t="shared" si="1"/>
        <v>0</v>
      </c>
    </row>
    <row r="104" spans="1:17" hidden="1" x14ac:dyDescent="0.25">
      <c r="A104" t="s">
        <v>255</v>
      </c>
      <c r="B104" t="s">
        <v>13</v>
      </c>
      <c r="C104">
        <v>45931</v>
      </c>
      <c r="D104">
        <v>46022</v>
      </c>
      <c r="E104" t="s">
        <v>747</v>
      </c>
      <c r="F104" t="s">
        <v>14</v>
      </c>
      <c r="G104">
        <v>36861874</v>
      </c>
      <c r="H104" t="s">
        <v>50</v>
      </c>
      <c r="I104">
        <v>98390119</v>
      </c>
      <c r="J104" t="s">
        <v>14</v>
      </c>
      <c r="K104" t="s">
        <v>63</v>
      </c>
      <c r="L104" s="1">
        <v>9450000</v>
      </c>
      <c r="M104" s="1">
        <v>9450000</v>
      </c>
      <c r="N104" t="s">
        <v>704</v>
      </c>
      <c r="O104" s="1">
        <f t="shared" si="1"/>
        <v>0</v>
      </c>
    </row>
    <row r="105" spans="1:17" hidden="1" x14ac:dyDescent="0.25">
      <c r="A105" t="s">
        <v>266</v>
      </c>
      <c r="B105" t="s">
        <v>13</v>
      </c>
      <c r="C105">
        <v>45929</v>
      </c>
      <c r="D105">
        <v>46022</v>
      </c>
      <c r="E105" t="s">
        <v>720</v>
      </c>
      <c r="F105" t="s">
        <v>14</v>
      </c>
      <c r="G105">
        <v>1086361622</v>
      </c>
      <c r="H105" t="s">
        <v>267</v>
      </c>
      <c r="I105">
        <v>98390119</v>
      </c>
      <c r="J105" t="s">
        <v>14</v>
      </c>
      <c r="K105" t="s">
        <v>63</v>
      </c>
      <c r="L105" s="1">
        <v>9450000</v>
      </c>
      <c r="M105" s="1">
        <v>9450000</v>
      </c>
      <c r="N105" t="s">
        <v>704</v>
      </c>
      <c r="O105" s="1">
        <f t="shared" si="1"/>
        <v>0</v>
      </c>
    </row>
    <row r="106" spans="1:17" hidden="1" x14ac:dyDescent="0.25">
      <c r="A106" t="s">
        <v>640</v>
      </c>
      <c r="B106" t="s">
        <v>13</v>
      </c>
      <c r="C106">
        <v>45929</v>
      </c>
      <c r="D106">
        <v>46022</v>
      </c>
      <c r="E106" t="s">
        <v>818</v>
      </c>
      <c r="F106" t="s">
        <v>14</v>
      </c>
      <c r="G106">
        <v>1081572042</v>
      </c>
      <c r="H106" t="s">
        <v>641</v>
      </c>
      <c r="I106">
        <v>98390119</v>
      </c>
      <c r="J106" t="s">
        <v>14</v>
      </c>
      <c r="K106" t="s">
        <v>63</v>
      </c>
      <c r="L106" s="1">
        <v>9450000</v>
      </c>
      <c r="M106" s="1">
        <v>9450000</v>
      </c>
      <c r="N106" t="s">
        <v>704</v>
      </c>
      <c r="O106" s="1">
        <f t="shared" si="1"/>
        <v>0</v>
      </c>
    </row>
    <row r="107" spans="1:17" hidden="1" x14ac:dyDescent="0.25">
      <c r="A107" t="s">
        <v>547</v>
      </c>
      <c r="B107" t="s">
        <v>13</v>
      </c>
      <c r="C107">
        <v>45929</v>
      </c>
      <c r="D107">
        <v>46022</v>
      </c>
      <c r="E107" t="s">
        <v>800</v>
      </c>
      <c r="F107" t="s">
        <v>14</v>
      </c>
      <c r="G107">
        <v>1082748032</v>
      </c>
      <c r="H107" t="s">
        <v>548</v>
      </c>
      <c r="I107">
        <v>98333941</v>
      </c>
      <c r="J107" t="s">
        <v>14</v>
      </c>
      <c r="K107" t="s">
        <v>15</v>
      </c>
      <c r="L107" s="1">
        <v>9450000</v>
      </c>
      <c r="M107" s="1">
        <v>9450000</v>
      </c>
      <c r="N107" t="s">
        <v>704</v>
      </c>
      <c r="O107" s="1">
        <f t="shared" si="1"/>
        <v>0</v>
      </c>
    </row>
    <row r="108" spans="1:17" hidden="1" x14ac:dyDescent="0.25">
      <c r="A108" t="s">
        <v>384</v>
      </c>
      <c r="B108" t="s">
        <v>13</v>
      </c>
      <c r="C108">
        <v>45929</v>
      </c>
      <c r="D108">
        <v>46022</v>
      </c>
      <c r="E108" t="s">
        <v>724</v>
      </c>
      <c r="F108" t="s">
        <v>14</v>
      </c>
      <c r="G108">
        <v>1085346528</v>
      </c>
      <c r="H108" t="s">
        <v>385</v>
      </c>
      <c r="I108">
        <v>43624414</v>
      </c>
      <c r="J108" t="s">
        <v>14</v>
      </c>
      <c r="K108" t="s">
        <v>18</v>
      </c>
      <c r="L108" s="1">
        <v>9450000</v>
      </c>
      <c r="M108" s="1">
        <v>9450000</v>
      </c>
      <c r="N108" t="s">
        <v>704</v>
      </c>
      <c r="O108" s="1">
        <f t="shared" si="1"/>
        <v>0</v>
      </c>
    </row>
    <row r="109" spans="1:17" hidden="1" x14ac:dyDescent="0.25">
      <c r="A109" t="s">
        <v>690</v>
      </c>
      <c r="B109" t="s">
        <v>13</v>
      </c>
      <c r="C109">
        <v>45981</v>
      </c>
      <c r="D109">
        <v>46022</v>
      </c>
      <c r="E109" t="s">
        <v>323</v>
      </c>
      <c r="F109" t="s">
        <v>14</v>
      </c>
      <c r="G109">
        <v>1085246134</v>
      </c>
      <c r="H109" t="s">
        <v>691</v>
      </c>
      <c r="I109">
        <v>98390119</v>
      </c>
      <c r="J109" t="s">
        <v>14</v>
      </c>
      <c r="K109" t="s">
        <v>63</v>
      </c>
      <c r="L109" s="1">
        <v>9450000</v>
      </c>
      <c r="M109" s="1">
        <v>9450000</v>
      </c>
      <c r="N109" t="s">
        <v>704</v>
      </c>
      <c r="O109" s="1">
        <f t="shared" si="1"/>
        <v>0</v>
      </c>
    </row>
    <row r="110" spans="1:17" hidden="1" x14ac:dyDescent="0.25">
      <c r="A110" t="s">
        <v>628</v>
      </c>
      <c r="B110" t="s">
        <v>13</v>
      </c>
      <c r="C110">
        <v>45975</v>
      </c>
      <c r="D110">
        <v>46022</v>
      </c>
      <c r="E110" t="s">
        <v>813</v>
      </c>
      <c r="F110" t="s">
        <v>14</v>
      </c>
      <c r="G110">
        <v>1193474724</v>
      </c>
      <c r="H110" t="s">
        <v>629</v>
      </c>
      <c r="I110">
        <v>98390119</v>
      </c>
      <c r="J110" t="s">
        <v>14</v>
      </c>
      <c r="K110" t="s">
        <v>63</v>
      </c>
      <c r="L110" s="1">
        <v>9450000</v>
      </c>
      <c r="M110" s="1">
        <v>9450000</v>
      </c>
      <c r="N110" t="s">
        <v>704</v>
      </c>
      <c r="O110" s="1">
        <f t="shared" si="1"/>
        <v>0</v>
      </c>
    </row>
    <row r="111" spans="1:17" hidden="1" x14ac:dyDescent="0.25">
      <c r="A111" t="s">
        <v>200</v>
      </c>
      <c r="B111" t="s">
        <v>13</v>
      </c>
      <c r="C111">
        <v>45944</v>
      </c>
      <c r="D111">
        <v>46022</v>
      </c>
      <c r="E111" t="s">
        <v>737</v>
      </c>
      <c r="F111" t="s">
        <v>14</v>
      </c>
      <c r="G111">
        <v>1233191675</v>
      </c>
      <c r="H111" t="s">
        <v>28</v>
      </c>
      <c r="I111">
        <v>98390119</v>
      </c>
      <c r="J111" t="s">
        <v>14</v>
      </c>
      <c r="K111" t="s">
        <v>63</v>
      </c>
      <c r="L111" s="1">
        <v>9450000</v>
      </c>
      <c r="M111" s="1">
        <v>9450000</v>
      </c>
      <c r="N111" t="s">
        <v>704</v>
      </c>
      <c r="O111" s="1">
        <f t="shared" si="1"/>
        <v>0</v>
      </c>
    </row>
    <row r="112" spans="1:17" hidden="1" x14ac:dyDescent="0.25">
      <c r="A112" t="s">
        <v>505</v>
      </c>
      <c r="B112" t="s">
        <v>13</v>
      </c>
      <c r="C112">
        <v>45966</v>
      </c>
      <c r="D112">
        <v>46022</v>
      </c>
      <c r="E112" t="s">
        <v>744</v>
      </c>
      <c r="F112" t="s">
        <v>14</v>
      </c>
      <c r="G112">
        <v>13070247</v>
      </c>
      <c r="H112" t="s">
        <v>506</v>
      </c>
      <c r="I112">
        <v>98390119</v>
      </c>
      <c r="J112" t="s">
        <v>14</v>
      </c>
      <c r="K112" t="s">
        <v>63</v>
      </c>
      <c r="L112" s="1">
        <v>9460000</v>
      </c>
      <c r="M112" s="1">
        <v>9460000</v>
      </c>
      <c r="N112" t="s">
        <v>704</v>
      </c>
      <c r="O112" s="1">
        <f t="shared" si="1"/>
        <v>0</v>
      </c>
    </row>
    <row r="113" spans="1:17" hidden="1" x14ac:dyDescent="0.25">
      <c r="A113" t="s">
        <v>132</v>
      </c>
      <c r="B113" t="s">
        <v>13</v>
      </c>
      <c r="C113">
        <v>45925</v>
      </c>
      <c r="D113">
        <v>46022</v>
      </c>
      <c r="E113" t="s">
        <v>716</v>
      </c>
      <c r="F113" t="s">
        <v>14</v>
      </c>
      <c r="G113">
        <v>1005977438</v>
      </c>
      <c r="H113" t="s">
        <v>133</v>
      </c>
      <c r="I113">
        <v>98390119</v>
      </c>
      <c r="J113" t="s">
        <v>14</v>
      </c>
      <c r="K113" t="s">
        <v>63</v>
      </c>
      <c r="L113" s="1">
        <v>11025000</v>
      </c>
      <c r="M113" s="1">
        <v>11025000</v>
      </c>
      <c r="N113" t="s">
        <v>704</v>
      </c>
      <c r="O113" s="1">
        <f t="shared" si="1"/>
        <v>0</v>
      </c>
    </row>
    <row r="114" spans="1:17" hidden="1" x14ac:dyDescent="0.25">
      <c r="A114" t="s">
        <v>353</v>
      </c>
      <c r="B114" t="s">
        <v>13</v>
      </c>
      <c r="C114">
        <v>45925</v>
      </c>
      <c r="D114">
        <v>46022</v>
      </c>
      <c r="E114" t="s">
        <v>720</v>
      </c>
      <c r="F114" t="s">
        <v>14</v>
      </c>
      <c r="G114">
        <v>37083086</v>
      </c>
      <c r="H114" t="s">
        <v>354</v>
      </c>
      <c r="I114">
        <v>98333941</v>
      </c>
      <c r="J114" t="s">
        <v>14</v>
      </c>
      <c r="K114" t="s">
        <v>15</v>
      </c>
      <c r="L114" s="1">
        <v>11025000</v>
      </c>
      <c r="M114" s="1">
        <v>11025000</v>
      </c>
      <c r="N114" t="s">
        <v>704</v>
      </c>
      <c r="O114" s="1">
        <f t="shared" si="1"/>
        <v>0</v>
      </c>
    </row>
    <row r="115" spans="1:17" hidden="1" x14ac:dyDescent="0.25">
      <c r="A115" t="s">
        <v>347</v>
      </c>
      <c r="B115" t="s">
        <v>13</v>
      </c>
      <c r="C115">
        <v>45924</v>
      </c>
      <c r="D115">
        <v>46022</v>
      </c>
      <c r="E115" t="s">
        <v>763</v>
      </c>
      <c r="F115" t="s">
        <v>14</v>
      </c>
      <c r="G115">
        <v>1086330124</v>
      </c>
      <c r="H115" t="s">
        <v>348</v>
      </c>
      <c r="I115">
        <v>98333941</v>
      </c>
      <c r="J115" t="s">
        <v>14</v>
      </c>
      <c r="K115" t="s">
        <v>15</v>
      </c>
      <c r="L115" s="1">
        <v>11025000</v>
      </c>
      <c r="M115" s="1">
        <v>11025000</v>
      </c>
      <c r="N115" t="s">
        <v>704</v>
      </c>
      <c r="O115" s="1">
        <f t="shared" si="1"/>
        <v>0</v>
      </c>
    </row>
    <row r="116" spans="1:17" hidden="1" x14ac:dyDescent="0.25">
      <c r="A116" t="s">
        <v>380</v>
      </c>
      <c r="B116" t="s">
        <v>13</v>
      </c>
      <c r="C116">
        <v>45924</v>
      </c>
      <c r="D116">
        <v>46022</v>
      </c>
      <c r="E116" t="s">
        <v>720</v>
      </c>
      <c r="F116" t="s">
        <v>14</v>
      </c>
      <c r="G116">
        <v>1004437571</v>
      </c>
      <c r="H116" t="s">
        <v>381</v>
      </c>
      <c r="I116">
        <v>98390119</v>
      </c>
      <c r="J116" t="s">
        <v>14</v>
      </c>
      <c r="K116" t="s">
        <v>63</v>
      </c>
      <c r="L116" s="1">
        <v>11025000</v>
      </c>
      <c r="M116" s="1">
        <v>11025000</v>
      </c>
      <c r="N116" t="s">
        <v>704</v>
      </c>
      <c r="O116" s="1">
        <f t="shared" si="1"/>
        <v>0</v>
      </c>
    </row>
    <row r="117" spans="1:17" hidden="1" x14ac:dyDescent="0.25">
      <c r="A117" t="s">
        <v>632</v>
      </c>
      <c r="B117" t="s">
        <v>13</v>
      </c>
      <c r="C117">
        <v>45923</v>
      </c>
      <c r="D117">
        <v>46022</v>
      </c>
      <c r="E117" t="s">
        <v>814</v>
      </c>
      <c r="F117" t="s">
        <v>14</v>
      </c>
      <c r="G117">
        <v>1004134014</v>
      </c>
      <c r="H117" t="s">
        <v>633</v>
      </c>
      <c r="I117">
        <v>43624414</v>
      </c>
      <c r="J117" t="s">
        <v>14</v>
      </c>
      <c r="K117" t="s">
        <v>18</v>
      </c>
      <c r="L117" s="1">
        <v>11025000</v>
      </c>
      <c r="M117" s="1">
        <v>11025000</v>
      </c>
      <c r="N117" t="s">
        <v>704</v>
      </c>
      <c r="O117" s="1">
        <f t="shared" si="1"/>
        <v>0</v>
      </c>
    </row>
    <row r="118" spans="1:17" hidden="1" x14ac:dyDescent="0.25">
      <c r="A118" t="s">
        <v>559</v>
      </c>
      <c r="B118" t="s">
        <v>13</v>
      </c>
      <c r="C118">
        <v>45923</v>
      </c>
      <c r="D118">
        <v>46022</v>
      </c>
      <c r="E118" t="s">
        <v>716</v>
      </c>
      <c r="F118" t="s">
        <v>14</v>
      </c>
      <c r="G118">
        <v>1004726621</v>
      </c>
      <c r="H118" t="s">
        <v>560</v>
      </c>
      <c r="I118">
        <v>98390119</v>
      </c>
      <c r="J118" t="s">
        <v>14</v>
      </c>
      <c r="K118" t="s">
        <v>63</v>
      </c>
      <c r="L118" s="1">
        <v>11025000</v>
      </c>
      <c r="M118" s="1">
        <v>11025000</v>
      </c>
      <c r="N118" t="s">
        <v>704</v>
      </c>
      <c r="O118" s="1">
        <f t="shared" si="1"/>
        <v>0</v>
      </c>
    </row>
    <row r="119" spans="1:17" hidden="1" x14ac:dyDescent="0.25">
      <c r="A119" t="s">
        <v>460</v>
      </c>
      <c r="B119" t="s">
        <v>13</v>
      </c>
      <c r="C119">
        <v>45923</v>
      </c>
      <c r="D119">
        <v>46022</v>
      </c>
      <c r="E119" t="s">
        <v>736</v>
      </c>
      <c r="F119" t="s">
        <v>14</v>
      </c>
      <c r="G119">
        <v>37082272</v>
      </c>
      <c r="H119" t="s">
        <v>461</v>
      </c>
      <c r="I119">
        <v>98390119</v>
      </c>
      <c r="J119" t="s">
        <v>14</v>
      </c>
      <c r="K119" t="s">
        <v>63</v>
      </c>
      <c r="L119" s="1">
        <v>11025000</v>
      </c>
      <c r="M119" s="1">
        <v>11025000</v>
      </c>
      <c r="N119" t="s">
        <v>704</v>
      </c>
      <c r="O119" s="1">
        <f t="shared" si="1"/>
        <v>0</v>
      </c>
    </row>
    <row r="120" spans="1:17" hidden="1" x14ac:dyDescent="0.25">
      <c r="A120" t="s">
        <v>597</v>
      </c>
      <c r="B120" t="s">
        <v>13</v>
      </c>
      <c r="C120">
        <v>45922</v>
      </c>
      <c r="D120">
        <v>46022</v>
      </c>
      <c r="E120" t="s">
        <v>720</v>
      </c>
      <c r="F120" t="s">
        <v>14</v>
      </c>
      <c r="G120">
        <v>1085323163</v>
      </c>
      <c r="H120" t="s">
        <v>598</v>
      </c>
      <c r="I120">
        <v>98390119</v>
      </c>
      <c r="J120" t="s">
        <v>14</v>
      </c>
      <c r="K120" t="s">
        <v>63</v>
      </c>
      <c r="L120" s="1">
        <v>11025000</v>
      </c>
      <c r="M120" s="1">
        <v>11025000</v>
      </c>
      <c r="N120" t="s">
        <v>704</v>
      </c>
      <c r="O120" s="1">
        <f t="shared" si="1"/>
        <v>0</v>
      </c>
    </row>
    <row r="121" spans="1:17" hidden="1" x14ac:dyDescent="0.25">
      <c r="A121" t="s">
        <v>235</v>
      </c>
      <c r="B121" t="s">
        <v>13</v>
      </c>
      <c r="C121">
        <v>45922</v>
      </c>
      <c r="D121">
        <v>46022</v>
      </c>
      <c r="E121" t="s">
        <v>716</v>
      </c>
      <c r="F121" t="s">
        <v>14</v>
      </c>
      <c r="G121">
        <v>1081592303</v>
      </c>
      <c r="H121" t="s">
        <v>32</v>
      </c>
      <c r="I121">
        <v>43624414</v>
      </c>
      <c r="J121" t="s">
        <v>14</v>
      </c>
      <c r="K121" t="s">
        <v>18</v>
      </c>
      <c r="L121" s="1">
        <v>11025000</v>
      </c>
      <c r="M121" s="1">
        <v>11025000</v>
      </c>
      <c r="N121" t="s">
        <v>704</v>
      </c>
      <c r="O121" s="1">
        <f t="shared" si="1"/>
        <v>0</v>
      </c>
    </row>
    <row r="122" spans="1:17" hidden="1" x14ac:dyDescent="0.25">
      <c r="A122" t="s">
        <v>621</v>
      </c>
      <c r="B122" t="s">
        <v>13</v>
      </c>
      <c r="C122">
        <v>45919</v>
      </c>
      <c r="D122">
        <v>46022</v>
      </c>
      <c r="E122" t="s">
        <v>711</v>
      </c>
      <c r="F122" t="s">
        <v>14</v>
      </c>
      <c r="G122">
        <v>1081594639</v>
      </c>
      <c r="H122" t="s">
        <v>39</v>
      </c>
      <c r="I122">
        <v>43624414</v>
      </c>
      <c r="J122" t="s">
        <v>14</v>
      </c>
      <c r="K122" t="s">
        <v>18</v>
      </c>
      <c r="L122" s="1">
        <v>11025000</v>
      </c>
      <c r="M122" s="1">
        <v>11025000</v>
      </c>
      <c r="N122" t="s">
        <v>704</v>
      </c>
      <c r="O122" s="1">
        <f t="shared" si="1"/>
        <v>0</v>
      </c>
    </row>
    <row r="123" spans="1:17" x14ac:dyDescent="0.25">
      <c r="A123" s="6" t="s">
        <v>617</v>
      </c>
      <c r="B123" s="6" t="s">
        <v>13</v>
      </c>
      <c r="C123" s="6">
        <v>45923</v>
      </c>
      <c r="D123" s="6">
        <v>46022</v>
      </c>
      <c r="E123" s="6" t="s">
        <v>716</v>
      </c>
      <c r="F123" s="6" t="s">
        <v>14</v>
      </c>
      <c r="G123" s="6">
        <v>1004190710</v>
      </c>
      <c r="H123" s="6" t="s">
        <v>618</v>
      </c>
      <c r="I123" s="6">
        <v>98333941</v>
      </c>
      <c r="J123" s="6" t="s">
        <v>14</v>
      </c>
      <c r="K123" s="6" t="s">
        <v>15</v>
      </c>
      <c r="L123" s="7">
        <v>0</v>
      </c>
      <c r="M123" s="7">
        <v>11025000</v>
      </c>
      <c r="N123" s="6" t="s">
        <v>704</v>
      </c>
      <c r="O123" s="7">
        <f t="shared" si="1"/>
        <v>11025000</v>
      </c>
      <c r="P123" s="2" t="s">
        <v>827</v>
      </c>
      <c r="Q123" t="s">
        <v>833</v>
      </c>
    </row>
    <row r="124" spans="1:17" hidden="1" x14ac:dyDescent="0.25">
      <c r="A124" t="s">
        <v>642</v>
      </c>
      <c r="B124" t="s">
        <v>13</v>
      </c>
      <c r="C124">
        <v>45919</v>
      </c>
      <c r="D124">
        <v>46022</v>
      </c>
      <c r="E124" t="s">
        <v>716</v>
      </c>
      <c r="F124" t="s">
        <v>14</v>
      </c>
      <c r="G124">
        <v>1085315209</v>
      </c>
      <c r="H124" t="s">
        <v>643</v>
      </c>
      <c r="I124">
        <v>43624414</v>
      </c>
      <c r="J124" t="s">
        <v>14</v>
      </c>
      <c r="K124" t="s">
        <v>18</v>
      </c>
      <c r="L124" s="1">
        <v>11025000</v>
      </c>
      <c r="M124" s="1">
        <v>11025000</v>
      </c>
      <c r="N124" t="s">
        <v>704</v>
      </c>
      <c r="O124" s="1">
        <f t="shared" si="1"/>
        <v>0</v>
      </c>
    </row>
    <row r="125" spans="1:17" hidden="1" x14ac:dyDescent="0.25">
      <c r="A125" t="s">
        <v>678</v>
      </c>
      <c r="B125" t="s">
        <v>13</v>
      </c>
      <c r="C125">
        <v>45919</v>
      </c>
      <c r="D125">
        <v>46022</v>
      </c>
      <c r="E125" t="s">
        <v>716</v>
      </c>
      <c r="F125" t="s">
        <v>14</v>
      </c>
      <c r="G125">
        <v>1085295583</v>
      </c>
      <c r="H125" t="s">
        <v>679</v>
      </c>
      <c r="I125">
        <v>98390119</v>
      </c>
      <c r="J125" t="s">
        <v>14</v>
      </c>
      <c r="K125" t="s">
        <v>63</v>
      </c>
      <c r="L125" s="1">
        <v>11025000</v>
      </c>
      <c r="M125" s="1">
        <v>11025000</v>
      </c>
      <c r="N125" t="s">
        <v>704</v>
      </c>
      <c r="O125" s="1">
        <f t="shared" si="1"/>
        <v>0</v>
      </c>
    </row>
    <row r="126" spans="1:17" hidden="1" x14ac:dyDescent="0.25">
      <c r="A126" t="s">
        <v>243</v>
      </c>
      <c r="B126" t="s">
        <v>13</v>
      </c>
      <c r="C126">
        <v>45919</v>
      </c>
      <c r="D126">
        <v>46022</v>
      </c>
      <c r="E126" t="s">
        <v>716</v>
      </c>
      <c r="F126" t="s">
        <v>14</v>
      </c>
      <c r="G126">
        <v>27444591</v>
      </c>
      <c r="H126" t="s">
        <v>244</v>
      </c>
      <c r="I126">
        <v>98390119</v>
      </c>
      <c r="J126" t="s">
        <v>14</v>
      </c>
      <c r="K126" t="s">
        <v>63</v>
      </c>
      <c r="L126" s="1">
        <v>11025000</v>
      </c>
      <c r="M126" s="1">
        <v>11025000</v>
      </c>
      <c r="N126" t="s">
        <v>704</v>
      </c>
      <c r="O126" s="1">
        <f t="shared" si="1"/>
        <v>0</v>
      </c>
    </row>
    <row r="127" spans="1:17" hidden="1" x14ac:dyDescent="0.25">
      <c r="A127" t="s">
        <v>450</v>
      </c>
      <c r="B127" t="s">
        <v>13</v>
      </c>
      <c r="C127">
        <v>45918</v>
      </c>
      <c r="D127">
        <v>46022</v>
      </c>
      <c r="E127" t="s">
        <v>786</v>
      </c>
      <c r="F127" t="s">
        <v>14</v>
      </c>
      <c r="G127">
        <v>1086224204</v>
      </c>
      <c r="H127" t="s">
        <v>451</v>
      </c>
      <c r="I127">
        <v>98333941</v>
      </c>
      <c r="J127" t="s">
        <v>14</v>
      </c>
      <c r="K127" t="s">
        <v>15</v>
      </c>
      <c r="L127" s="1">
        <v>11025000</v>
      </c>
      <c r="M127" s="1">
        <v>11025000</v>
      </c>
      <c r="N127" t="s">
        <v>704</v>
      </c>
      <c r="O127" s="1">
        <f t="shared" si="1"/>
        <v>0</v>
      </c>
    </row>
    <row r="128" spans="1:17" hidden="1" x14ac:dyDescent="0.25">
      <c r="A128" t="s">
        <v>627</v>
      </c>
      <c r="B128" t="s">
        <v>13</v>
      </c>
      <c r="C128">
        <v>45918</v>
      </c>
      <c r="D128">
        <v>46022</v>
      </c>
      <c r="E128" t="s">
        <v>716</v>
      </c>
      <c r="F128" t="s">
        <v>14</v>
      </c>
      <c r="G128">
        <v>1084552048</v>
      </c>
      <c r="H128" t="s">
        <v>66</v>
      </c>
      <c r="I128">
        <v>98333941</v>
      </c>
      <c r="J128" t="s">
        <v>14</v>
      </c>
      <c r="K128" t="s">
        <v>15</v>
      </c>
      <c r="L128" s="1">
        <v>11025000</v>
      </c>
      <c r="M128" s="1">
        <v>11025000</v>
      </c>
      <c r="N128" t="s">
        <v>704</v>
      </c>
      <c r="O128" s="1">
        <f t="shared" si="1"/>
        <v>0</v>
      </c>
    </row>
    <row r="129" spans="1:15" hidden="1" x14ac:dyDescent="0.25">
      <c r="A129" t="s">
        <v>369</v>
      </c>
      <c r="B129" t="s">
        <v>13</v>
      </c>
      <c r="C129">
        <v>45917</v>
      </c>
      <c r="D129">
        <v>46022</v>
      </c>
      <c r="E129" t="s">
        <v>716</v>
      </c>
      <c r="F129" t="s">
        <v>14</v>
      </c>
      <c r="G129">
        <v>5930737</v>
      </c>
      <c r="H129" t="s">
        <v>370</v>
      </c>
      <c r="I129">
        <v>98390119</v>
      </c>
      <c r="J129" t="s">
        <v>14</v>
      </c>
      <c r="K129" t="s">
        <v>63</v>
      </c>
      <c r="L129" s="1">
        <v>11025000</v>
      </c>
      <c r="M129" s="1">
        <v>11025000</v>
      </c>
      <c r="N129" t="s">
        <v>704</v>
      </c>
      <c r="O129" s="1">
        <f t="shared" si="1"/>
        <v>0</v>
      </c>
    </row>
    <row r="130" spans="1:15" hidden="1" x14ac:dyDescent="0.25">
      <c r="A130" t="s">
        <v>270</v>
      </c>
      <c r="B130" t="s">
        <v>13</v>
      </c>
      <c r="C130">
        <v>45917</v>
      </c>
      <c r="D130">
        <v>46022</v>
      </c>
      <c r="E130" t="s">
        <v>711</v>
      </c>
      <c r="F130" t="s">
        <v>14</v>
      </c>
      <c r="G130">
        <v>1085317226</v>
      </c>
      <c r="H130" t="s">
        <v>271</v>
      </c>
      <c r="I130">
        <v>98333941</v>
      </c>
      <c r="J130" t="s">
        <v>14</v>
      </c>
      <c r="K130" t="s">
        <v>15</v>
      </c>
      <c r="L130" s="1">
        <v>11025000</v>
      </c>
      <c r="M130" s="1">
        <v>11025000</v>
      </c>
      <c r="N130" t="s">
        <v>704</v>
      </c>
      <c r="O130" s="1">
        <f t="shared" ref="O130:O193" si="2">M130-L130</f>
        <v>0</v>
      </c>
    </row>
    <row r="131" spans="1:15" hidden="1" x14ac:dyDescent="0.25">
      <c r="A131" t="s">
        <v>537</v>
      </c>
      <c r="B131" t="s">
        <v>13</v>
      </c>
      <c r="C131">
        <v>45917</v>
      </c>
      <c r="D131">
        <v>46022</v>
      </c>
      <c r="E131" t="s">
        <v>711</v>
      </c>
      <c r="F131" t="s">
        <v>14</v>
      </c>
      <c r="G131">
        <v>1082749295</v>
      </c>
      <c r="H131" t="s">
        <v>538</v>
      </c>
      <c r="I131">
        <v>98333941</v>
      </c>
      <c r="J131" t="s">
        <v>14</v>
      </c>
      <c r="K131" t="s">
        <v>15</v>
      </c>
      <c r="L131" s="1">
        <v>11025000</v>
      </c>
      <c r="M131" s="1">
        <v>11025000</v>
      </c>
      <c r="N131" t="s">
        <v>704</v>
      </c>
      <c r="O131" s="1">
        <f t="shared" si="2"/>
        <v>0</v>
      </c>
    </row>
    <row r="132" spans="1:15" hidden="1" x14ac:dyDescent="0.25">
      <c r="A132" t="s">
        <v>264</v>
      </c>
      <c r="B132" t="s">
        <v>13</v>
      </c>
      <c r="C132">
        <v>45917</v>
      </c>
      <c r="D132">
        <v>46022</v>
      </c>
      <c r="E132" t="s">
        <v>711</v>
      </c>
      <c r="F132" t="s">
        <v>14</v>
      </c>
      <c r="G132">
        <v>1086328063</v>
      </c>
      <c r="H132" t="s">
        <v>265</v>
      </c>
      <c r="I132">
        <v>98390119</v>
      </c>
      <c r="J132" t="s">
        <v>14</v>
      </c>
      <c r="K132" t="s">
        <v>63</v>
      </c>
      <c r="L132" s="1">
        <v>11025000</v>
      </c>
      <c r="M132" s="1">
        <v>11025000</v>
      </c>
      <c r="N132" t="s">
        <v>704</v>
      </c>
      <c r="O132" s="1">
        <f t="shared" si="2"/>
        <v>0</v>
      </c>
    </row>
    <row r="133" spans="1:15" hidden="1" x14ac:dyDescent="0.25">
      <c r="A133" t="s">
        <v>591</v>
      </c>
      <c r="B133" t="s">
        <v>13</v>
      </c>
      <c r="C133">
        <v>45946</v>
      </c>
      <c r="D133">
        <v>46022</v>
      </c>
      <c r="E133" t="s">
        <v>784</v>
      </c>
      <c r="F133" t="s">
        <v>14</v>
      </c>
      <c r="G133">
        <v>1085335069</v>
      </c>
      <c r="H133" t="s">
        <v>592</v>
      </c>
      <c r="I133">
        <v>98390119</v>
      </c>
      <c r="J133" t="s">
        <v>14</v>
      </c>
      <c r="K133" t="s">
        <v>63</v>
      </c>
      <c r="L133" s="1">
        <v>11825000</v>
      </c>
      <c r="M133" s="1">
        <v>11825000</v>
      </c>
      <c r="N133" t="s">
        <v>704</v>
      </c>
      <c r="O133" s="1">
        <f t="shared" si="2"/>
        <v>0</v>
      </c>
    </row>
    <row r="134" spans="1:15" hidden="1" x14ac:dyDescent="0.25">
      <c r="A134" t="s">
        <v>109</v>
      </c>
      <c r="B134" t="s">
        <v>13</v>
      </c>
      <c r="C134">
        <v>45917</v>
      </c>
      <c r="D134">
        <v>46022</v>
      </c>
      <c r="E134" t="s">
        <v>711</v>
      </c>
      <c r="F134" t="s">
        <v>14</v>
      </c>
      <c r="G134">
        <v>1004547484</v>
      </c>
      <c r="H134" t="s">
        <v>110</v>
      </c>
      <c r="I134">
        <v>98333941</v>
      </c>
      <c r="J134" t="s">
        <v>14</v>
      </c>
      <c r="K134" t="s">
        <v>15</v>
      </c>
      <c r="L134" s="1">
        <v>12600000</v>
      </c>
      <c r="M134" s="1">
        <v>12600000</v>
      </c>
      <c r="N134" t="s">
        <v>704</v>
      </c>
      <c r="O134" s="1">
        <f t="shared" si="2"/>
        <v>0</v>
      </c>
    </row>
    <row r="135" spans="1:15" hidden="1" x14ac:dyDescent="0.25">
      <c r="A135" t="s">
        <v>277</v>
      </c>
      <c r="B135" t="s">
        <v>13</v>
      </c>
      <c r="C135">
        <v>45915</v>
      </c>
      <c r="D135">
        <v>46022</v>
      </c>
      <c r="E135" t="s">
        <v>711</v>
      </c>
      <c r="F135" t="s">
        <v>14</v>
      </c>
      <c r="G135">
        <v>1085265947</v>
      </c>
      <c r="H135" t="s">
        <v>278</v>
      </c>
      <c r="I135">
        <v>43624414</v>
      </c>
      <c r="J135" t="s">
        <v>14</v>
      </c>
      <c r="K135" t="s">
        <v>18</v>
      </c>
      <c r="L135" s="1">
        <v>12600000</v>
      </c>
      <c r="M135" s="1">
        <v>12600000</v>
      </c>
      <c r="N135" t="s">
        <v>704</v>
      </c>
      <c r="O135" s="1">
        <f t="shared" si="2"/>
        <v>0</v>
      </c>
    </row>
    <row r="136" spans="1:15" hidden="1" x14ac:dyDescent="0.25">
      <c r="A136" t="s">
        <v>605</v>
      </c>
      <c r="B136" t="s">
        <v>13</v>
      </c>
      <c r="C136">
        <v>45915</v>
      </c>
      <c r="D136">
        <v>46022</v>
      </c>
      <c r="E136" t="s">
        <v>711</v>
      </c>
      <c r="F136" t="s">
        <v>14</v>
      </c>
      <c r="G136">
        <v>59311295</v>
      </c>
      <c r="H136" t="s">
        <v>606</v>
      </c>
      <c r="I136">
        <v>43624414</v>
      </c>
      <c r="J136" t="s">
        <v>14</v>
      </c>
      <c r="K136" t="s">
        <v>18</v>
      </c>
      <c r="L136" s="1">
        <v>12600000</v>
      </c>
      <c r="M136" s="1">
        <v>12600000</v>
      </c>
      <c r="N136" t="s">
        <v>704</v>
      </c>
      <c r="O136" s="1">
        <f t="shared" si="2"/>
        <v>0</v>
      </c>
    </row>
    <row r="137" spans="1:15" hidden="1" x14ac:dyDescent="0.25">
      <c r="A137" t="s">
        <v>497</v>
      </c>
      <c r="B137" t="s">
        <v>13</v>
      </c>
      <c r="C137">
        <v>45912</v>
      </c>
      <c r="D137">
        <v>46022</v>
      </c>
      <c r="E137" t="s">
        <v>711</v>
      </c>
      <c r="F137" t="s">
        <v>14</v>
      </c>
      <c r="G137">
        <v>1085247449</v>
      </c>
      <c r="H137" t="s">
        <v>498</v>
      </c>
      <c r="I137">
        <v>98333941</v>
      </c>
      <c r="J137" t="s">
        <v>14</v>
      </c>
      <c r="K137" t="s">
        <v>15</v>
      </c>
      <c r="L137" s="1">
        <v>12600000</v>
      </c>
      <c r="M137" s="1">
        <v>12600000</v>
      </c>
      <c r="N137" t="s">
        <v>704</v>
      </c>
      <c r="O137" s="1">
        <f t="shared" si="2"/>
        <v>0</v>
      </c>
    </row>
    <row r="138" spans="1:15" hidden="1" x14ac:dyDescent="0.25">
      <c r="A138" t="s">
        <v>462</v>
      </c>
      <c r="B138" t="s">
        <v>13</v>
      </c>
      <c r="C138">
        <v>45912</v>
      </c>
      <c r="D138">
        <v>46022</v>
      </c>
      <c r="E138" t="s">
        <v>711</v>
      </c>
      <c r="F138" t="s">
        <v>14</v>
      </c>
      <c r="G138">
        <v>59122805</v>
      </c>
      <c r="H138" t="s">
        <v>463</v>
      </c>
      <c r="I138">
        <v>98333941</v>
      </c>
      <c r="J138" t="s">
        <v>14</v>
      </c>
      <c r="K138" t="s">
        <v>15</v>
      </c>
      <c r="L138" s="1">
        <v>12600000</v>
      </c>
      <c r="M138" s="1">
        <v>12600000</v>
      </c>
      <c r="N138" t="s">
        <v>704</v>
      </c>
      <c r="O138" s="1">
        <f t="shared" si="2"/>
        <v>0</v>
      </c>
    </row>
    <row r="139" spans="1:15" hidden="1" x14ac:dyDescent="0.25">
      <c r="A139" t="s">
        <v>543</v>
      </c>
      <c r="B139" t="s">
        <v>13</v>
      </c>
      <c r="C139">
        <v>45912</v>
      </c>
      <c r="D139">
        <v>46022</v>
      </c>
      <c r="E139" t="s">
        <v>711</v>
      </c>
      <c r="F139" t="s">
        <v>14</v>
      </c>
      <c r="G139">
        <v>1085252263</v>
      </c>
      <c r="H139" t="s">
        <v>544</v>
      </c>
      <c r="I139">
        <v>43624414</v>
      </c>
      <c r="J139" t="s">
        <v>14</v>
      </c>
      <c r="K139" t="s">
        <v>18</v>
      </c>
      <c r="L139" s="1">
        <v>12600000</v>
      </c>
      <c r="M139" s="1">
        <v>12600000</v>
      </c>
      <c r="N139" t="s">
        <v>704</v>
      </c>
      <c r="O139" s="1">
        <f t="shared" si="2"/>
        <v>0</v>
      </c>
    </row>
    <row r="140" spans="1:15" hidden="1" x14ac:dyDescent="0.25">
      <c r="A140" t="s">
        <v>417</v>
      </c>
      <c r="B140" t="s">
        <v>13</v>
      </c>
      <c r="C140">
        <v>45911</v>
      </c>
      <c r="D140">
        <v>46022</v>
      </c>
      <c r="E140" t="s">
        <v>711</v>
      </c>
      <c r="F140" t="s">
        <v>14</v>
      </c>
      <c r="G140">
        <v>1085267332</v>
      </c>
      <c r="H140" t="s">
        <v>418</v>
      </c>
      <c r="I140">
        <v>98333941</v>
      </c>
      <c r="J140" t="s">
        <v>14</v>
      </c>
      <c r="K140" t="s">
        <v>15</v>
      </c>
      <c r="L140" s="1">
        <v>12600000</v>
      </c>
      <c r="M140" s="1">
        <v>12600000</v>
      </c>
      <c r="N140" t="s">
        <v>704</v>
      </c>
      <c r="O140" s="1">
        <f t="shared" si="2"/>
        <v>0</v>
      </c>
    </row>
    <row r="141" spans="1:15" hidden="1" x14ac:dyDescent="0.25">
      <c r="A141" t="s">
        <v>268</v>
      </c>
      <c r="B141" t="s">
        <v>13</v>
      </c>
      <c r="C141">
        <v>45911</v>
      </c>
      <c r="D141">
        <v>46022</v>
      </c>
      <c r="E141" t="s">
        <v>711</v>
      </c>
      <c r="F141" t="s">
        <v>14</v>
      </c>
      <c r="G141">
        <v>1089458776</v>
      </c>
      <c r="H141" t="s">
        <v>269</v>
      </c>
      <c r="I141">
        <v>98333941</v>
      </c>
      <c r="J141" t="s">
        <v>14</v>
      </c>
      <c r="K141" t="s">
        <v>15</v>
      </c>
      <c r="L141" s="1">
        <v>12600000</v>
      </c>
      <c r="M141" s="1">
        <v>12600000</v>
      </c>
      <c r="N141" t="s">
        <v>704</v>
      </c>
      <c r="O141" s="1">
        <f t="shared" si="2"/>
        <v>0</v>
      </c>
    </row>
    <row r="142" spans="1:15" hidden="1" x14ac:dyDescent="0.25">
      <c r="A142" t="s">
        <v>375</v>
      </c>
      <c r="B142" t="s">
        <v>13</v>
      </c>
      <c r="C142">
        <v>45911</v>
      </c>
      <c r="D142">
        <v>46022</v>
      </c>
      <c r="E142" t="s">
        <v>711</v>
      </c>
      <c r="F142" t="s">
        <v>14</v>
      </c>
      <c r="G142">
        <v>1081052746</v>
      </c>
      <c r="H142" t="s">
        <v>376</v>
      </c>
      <c r="I142">
        <v>98333941</v>
      </c>
      <c r="J142" t="s">
        <v>14</v>
      </c>
      <c r="K142" t="s">
        <v>15</v>
      </c>
      <c r="L142" s="1">
        <v>12600000</v>
      </c>
      <c r="M142" s="1">
        <v>12600000</v>
      </c>
      <c r="N142" t="s">
        <v>704</v>
      </c>
      <c r="O142" s="1">
        <f t="shared" si="2"/>
        <v>0</v>
      </c>
    </row>
    <row r="143" spans="1:15" hidden="1" x14ac:dyDescent="0.25">
      <c r="A143" t="s">
        <v>175</v>
      </c>
      <c r="B143" t="s">
        <v>13</v>
      </c>
      <c r="C143">
        <v>45911</v>
      </c>
      <c r="D143">
        <v>46022</v>
      </c>
      <c r="E143" t="s">
        <v>711</v>
      </c>
      <c r="F143" t="s">
        <v>14</v>
      </c>
      <c r="G143">
        <v>1082747438</v>
      </c>
      <c r="H143" t="s">
        <v>61</v>
      </c>
      <c r="I143">
        <v>98333941</v>
      </c>
      <c r="J143" t="s">
        <v>14</v>
      </c>
      <c r="K143" t="s">
        <v>15</v>
      </c>
      <c r="L143" s="1">
        <v>12600000</v>
      </c>
      <c r="M143" s="1">
        <v>12600000</v>
      </c>
      <c r="N143" t="s">
        <v>704</v>
      </c>
      <c r="O143" s="1">
        <f t="shared" si="2"/>
        <v>0</v>
      </c>
    </row>
    <row r="144" spans="1:15" hidden="1" x14ac:dyDescent="0.25">
      <c r="A144" t="s">
        <v>98</v>
      </c>
      <c r="B144" t="s">
        <v>13</v>
      </c>
      <c r="C144">
        <v>45910</v>
      </c>
      <c r="D144">
        <v>46022</v>
      </c>
      <c r="E144" t="s">
        <v>711</v>
      </c>
      <c r="F144" t="s">
        <v>14</v>
      </c>
      <c r="G144">
        <v>1004543161</v>
      </c>
      <c r="H144" t="s">
        <v>99</v>
      </c>
      <c r="I144">
        <v>98333941</v>
      </c>
      <c r="J144" t="s">
        <v>14</v>
      </c>
      <c r="K144" t="s">
        <v>15</v>
      </c>
      <c r="L144" s="1">
        <v>12600000</v>
      </c>
      <c r="M144" s="1">
        <v>12600000</v>
      </c>
      <c r="N144" t="s">
        <v>704</v>
      </c>
      <c r="O144" s="1">
        <f t="shared" si="2"/>
        <v>0</v>
      </c>
    </row>
    <row r="145" spans="1:15" hidden="1" x14ac:dyDescent="0.25">
      <c r="A145" t="s">
        <v>123</v>
      </c>
      <c r="B145" t="s">
        <v>13</v>
      </c>
      <c r="C145">
        <v>45910</v>
      </c>
      <c r="D145">
        <v>46022</v>
      </c>
      <c r="E145" t="s">
        <v>711</v>
      </c>
      <c r="F145" t="s">
        <v>14</v>
      </c>
      <c r="G145">
        <v>1081572043</v>
      </c>
      <c r="H145" t="s">
        <v>54</v>
      </c>
      <c r="I145">
        <v>59836926</v>
      </c>
      <c r="J145" t="s">
        <v>14</v>
      </c>
      <c r="K145" t="s">
        <v>17</v>
      </c>
      <c r="L145" s="1">
        <v>12600000</v>
      </c>
      <c r="M145" s="1">
        <v>12600000</v>
      </c>
      <c r="N145" t="s">
        <v>704</v>
      </c>
      <c r="O145" s="1">
        <f t="shared" si="2"/>
        <v>0</v>
      </c>
    </row>
    <row r="146" spans="1:15" hidden="1" x14ac:dyDescent="0.25">
      <c r="A146" t="s">
        <v>284</v>
      </c>
      <c r="B146" t="s">
        <v>13</v>
      </c>
      <c r="C146">
        <v>45910</v>
      </c>
      <c r="D146">
        <v>46022</v>
      </c>
      <c r="E146" t="s">
        <v>711</v>
      </c>
      <c r="F146" t="s">
        <v>14</v>
      </c>
      <c r="G146">
        <v>1080690337</v>
      </c>
      <c r="H146" t="s">
        <v>285</v>
      </c>
      <c r="I146">
        <v>59836926</v>
      </c>
      <c r="J146" t="s">
        <v>14</v>
      </c>
      <c r="K146" t="s">
        <v>17</v>
      </c>
      <c r="L146" s="1">
        <v>12600000</v>
      </c>
      <c r="M146" s="1">
        <v>12600000</v>
      </c>
      <c r="N146" t="s">
        <v>704</v>
      </c>
      <c r="O146" s="1">
        <f t="shared" si="2"/>
        <v>0</v>
      </c>
    </row>
    <row r="147" spans="1:15" hidden="1" x14ac:dyDescent="0.25">
      <c r="A147" t="s">
        <v>194</v>
      </c>
      <c r="B147" t="s">
        <v>13</v>
      </c>
      <c r="C147">
        <v>45910</v>
      </c>
      <c r="D147">
        <v>46022</v>
      </c>
      <c r="E147" t="s">
        <v>711</v>
      </c>
      <c r="F147" t="s">
        <v>14</v>
      </c>
      <c r="G147">
        <v>1233193191</v>
      </c>
      <c r="H147" t="s">
        <v>195</v>
      </c>
      <c r="I147">
        <v>98333941</v>
      </c>
      <c r="J147" t="s">
        <v>14</v>
      </c>
      <c r="K147" t="s">
        <v>15</v>
      </c>
      <c r="L147" s="1">
        <v>12600000</v>
      </c>
      <c r="M147" s="1">
        <v>12600000</v>
      </c>
      <c r="N147" t="s">
        <v>704</v>
      </c>
      <c r="O147" s="1">
        <f t="shared" si="2"/>
        <v>0</v>
      </c>
    </row>
    <row r="148" spans="1:15" hidden="1" x14ac:dyDescent="0.25">
      <c r="A148" t="s">
        <v>230</v>
      </c>
      <c r="B148" t="s">
        <v>13</v>
      </c>
      <c r="C148">
        <v>45910</v>
      </c>
      <c r="D148">
        <v>46022</v>
      </c>
      <c r="E148" t="s">
        <v>711</v>
      </c>
      <c r="F148" t="s">
        <v>14</v>
      </c>
      <c r="G148">
        <v>59313711</v>
      </c>
      <c r="H148" t="s">
        <v>231</v>
      </c>
      <c r="I148">
        <v>98333941</v>
      </c>
      <c r="J148" t="s">
        <v>14</v>
      </c>
      <c r="K148" t="s">
        <v>15</v>
      </c>
      <c r="L148" s="1">
        <v>12600000</v>
      </c>
      <c r="M148" s="1">
        <v>12600000</v>
      </c>
      <c r="N148" t="s">
        <v>704</v>
      </c>
      <c r="O148" s="1">
        <f t="shared" si="2"/>
        <v>0</v>
      </c>
    </row>
    <row r="149" spans="1:15" hidden="1" x14ac:dyDescent="0.25">
      <c r="A149" t="s">
        <v>256</v>
      </c>
      <c r="B149" t="s">
        <v>13</v>
      </c>
      <c r="C149">
        <v>45910</v>
      </c>
      <c r="D149">
        <v>46022</v>
      </c>
      <c r="E149" t="s">
        <v>711</v>
      </c>
      <c r="F149" t="s">
        <v>14</v>
      </c>
      <c r="G149">
        <v>1085302942</v>
      </c>
      <c r="H149" t="s">
        <v>257</v>
      </c>
      <c r="I149">
        <v>98333941</v>
      </c>
      <c r="J149" t="s">
        <v>14</v>
      </c>
      <c r="K149" t="s">
        <v>15</v>
      </c>
      <c r="L149" s="1">
        <v>12600000</v>
      </c>
      <c r="M149" s="1">
        <v>12600000</v>
      </c>
      <c r="N149" t="s">
        <v>704</v>
      </c>
      <c r="O149" s="1">
        <f t="shared" si="2"/>
        <v>0</v>
      </c>
    </row>
    <row r="150" spans="1:15" hidden="1" x14ac:dyDescent="0.25">
      <c r="A150" t="s">
        <v>341</v>
      </c>
      <c r="B150" t="s">
        <v>13</v>
      </c>
      <c r="C150">
        <v>45910</v>
      </c>
      <c r="D150">
        <v>46022</v>
      </c>
      <c r="E150" t="s">
        <v>711</v>
      </c>
      <c r="F150" t="s">
        <v>14</v>
      </c>
      <c r="G150">
        <v>1085275473</v>
      </c>
      <c r="H150" t="s">
        <v>342</v>
      </c>
      <c r="I150">
        <v>98390119</v>
      </c>
      <c r="J150" t="s">
        <v>14</v>
      </c>
      <c r="K150" t="s">
        <v>63</v>
      </c>
      <c r="L150" s="1">
        <v>12600000</v>
      </c>
      <c r="M150" s="1">
        <v>12600000</v>
      </c>
      <c r="N150" t="s">
        <v>704</v>
      </c>
      <c r="O150" s="1">
        <f t="shared" si="2"/>
        <v>0</v>
      </c>
    </row>
    <row r="151" spans="1:15" hidden="1" x14ac:dyDescent="0.25">
      <c r="A151" t="s">
        <v>298</v>
      </c>
      <c r="B151" t="s">
        <v>13</v>
      </c>
      <c r="C151">
        <v>45909</v>
      </c>
      <c r="D151">
        <v>46022</v>
      </c>
      <c r="E151" t="s">
        <v>711</v>
      </c>
      <c r="F151" t="s">
        <v>14</v>
      </c>
      <c r="G151">
        <v>59310853</v>
      </c>
      <c r="H151" t="s">
        <v>57</v>
      </c>
      <c r="I151">
        <v>43624414</v>
      </c>
      <c r="J151" t="s">
        <v>14</v>
      </c>
      <c r="K151" t="s">
        <v>18</v>
      </c>
      <c r="L151" s="1">
        <v>12600000</v>
      </c>
      <c r="M151" s="1">
        <v>12600000</v>
      </c>
      <c r="N151" t="s">
        <v>704</v>
      </c>
      <c r="O151" s="1">
        <f t="shared" si="2"/>
        <v>0</v>
      </c>
    </row>
    <row r="152" spans="1:15" hidden="1" x14ac:dyDescent="0.25">
      <c r="A152" t="s">
        <v>196</v>
      </c>
      <c r="B152" t="s">
        <v>13</v>
      </c>
      <c r="C152">
        <v>45909</v>
      </c>
      <c r="D152">
        <v>46022</v>
      </c>
      <c r="E152" t="s">
        <v>711</v>
      </c>
      <c r="F152" t="s">
        <v>14</v>
      </c>
      <c r="G152">
        <v>37087117</v>
      </c>
      <c r="H152" t="s">
        <v>197</v>
      </c>
      <c r="I152">
        <v>98333941</v>
      </c>
      <c r="J152" t="s">
        <v>14</v>
      </c>
      <c r="K152" t="s">
        <v>15</v>
      </c>
      <c r="L152" s="1">
        <v>12600000</v>
      </c>
      <c r="M152" s="1">
        <v>12600000</v>
      </c>
      <c r="N152" t="s">
        <v>704</v>
      </c>
      <c r="O152" s="1">
        <f t="shared" si="2"/>
        <v>0</v>
      </c>
    </row>
    <row r="153" spans="1:15" hidden="1" x14ac:dyDescent="0.25">
      <c r="A153" t="s">
        <v>649</v>
      </c>
      <c r="B153" t="s">
        <v>13</v>
      </c>
      <c r="C153">
        <v>45909</v>
      </c>
      <c r="D153">
        <v>46022</v>
      </c>
      <c r="E153" t="s">
        <v>711</v>
      </c>
      <c r="F153" t="s">
        <v>14</v>
      </c>
      <c r="G153">
        <v>1085335033</v>
      </c>
      <c r="H153" t="s">
        <v>650</v>
      </c>
      <c r="I153">
        <v>98333941</v>
      </c>
      <c r="J153" t="s">
        <v>14</v>
      </c>
      <c r="K153" t="s">
        <v>15</v>
      </c>
      <c r="L153" s="1">
        <v>12600000</v>
      </c>
      <c r="M153" s="1">
        <v>12600000</v>
      </c>
      <c r="N153" t="s">
        <v>704</v>
      </c>
      <c r="O153" s="1">
        <f t="shared" si="2"/>
        <v>0</v>
      </c>
    </row>
    <row r="154" spans="1:15" hidden="1" x14ac:dyDescent="0.25">
      <c r="A154" t="s">
        <v>301</v>
      </c>
      <c r="B154" t="s">
        <v>13</v>
      </c>
      <c r="C154">
        <v>45909</v>
      </c>
      <c r="D154">
        <v>46022</v>
      </c>
      <c r="E154" t="s">
        <v>711</v>
      </c>
      <c r="F154" t="s">
        <v>14</v>
      </c>
      <c r="G154">
        <v>1086329609</v>
      </c>
      <c r="H154" t="s">
        <v>64</v>
      </c>
      <c r="I154">
        <v>98333941</v>
      </c>
      <c r="J154" t="s">
        <v>14</v>
      </c>
      <c r="K154" t="s">
        <v>15</v>
      </c>
      <c r="L154" s="1">
        <v>12600000</v>
      </c>
      <c r="M154" s="1">
        <v>12600000</v>
      </c>
      <c r="N154" t="s">
        <v>704</v>
      </c>
      <c r="O154" s="1">
        <f t="shared" si="2"/>
        <v>0</v>
      </c>
    </row>
    <row r="155" spans="1:15" hidden="1" x14ac:dyDescent="0.25">
      <c r="A155" t="s">
        <v>104</v>
      </c>
      <c r="B155" t="s">
        <v>13</v>
      </c>
      <c r="C155">
        <v>45909</v>
      </c>
      <c r="D155">
        <v>46022</v>
      </c>
      <c r="E155" t="s">
        <v>711</v>
      </c>
      <c r="F155" t="s">
        <v>14</v>
      </c>
      <c r="G155">
        <v>59310056</v>
      </c>
      <c r="H155" t="s">
        <v>105</v>
      </c>
      <c r="I155">
        <v>98333941</v>
      </c>
      <c r="J155" t="s">
        <v>14</v>
      </c>
      <c r="K155" t="s">
        <v>15</v>
      </c>
      <c r="L155" s="1">
        <v>12600000</v>
      </c>
      <c r="M155" s="1">
        <v>12600000</v>
      </c>
      <c r="N155" t="s">
        <v>704</v>
      </c>
      <c r="O155" s="1">
        <f t="shared" si="2"/>
        <v>0</v>
      </c>
    </row>
    <row r="156" spans="1:15" hidden="1" x14ac:dyDescent="0.25">
      <c r="A156" t="s">
        <v>171</v>
      </c>
      <c r="B156" t="s">
        <v>13</v>
      </c>
      <c r="C156">
        <v>45909</v>
      </c>
      <c r="D156">
        <v>46022</v>
      </c>
      <c r="E156" t="s">
        <v>711</v>
      </c>
      <c r="F156" t="s">
        <v>14</v>
      </c>
      <c r="G156">
        <v>27088197</v>
      </c>
      <c r="H156" t="s">
        <v>62</v>
      </c>
      <c r="I156">
        <v>59836926</v>
      </c>
      <c r="J156" t="s">
        <v>14</v>
      </c>
      <c r="K156" t="s">
        <v>17</v>
      </c>
      <c r="L156" s="1">
        <v>12600000</v>
      </c>
      <c r="M156" s="1">
        <v>12600000</v>
      </c>
      <c r="N156" t="s">
        <v>704</v>
      </c>
      <c r="O156" s="1">
        <f t="shared" si="2"/>
        <v>0</v>
      </c>
    </row>
    <row r="157" spans="1:15" hidden="1" x14ac:dyDescent="0.25">
      <c r="A157" t="s">
        <v>532</v>
      </c>
      <c r="B157" t="s">
        <v>13</v>
      </c>
      <c r="C157">
        <v>45909</v>
      </c>
      <c r="D157">
        <v>46022</v>
      </c>
      <c r="E157" t="s">
        <v>711</v>
      </c>
      <c r="F157" t="s">
        <v>14</v>
      </c>
      <c r="G157">
        <v>1085286725</v>
      </c>
      <c r="H157" t="s">
        <v>40</v>
      </c>
      <c r="I157">
        <v>98333941</v>
      </c>
      <c r="J157" t="s">
        <v>14</v>
      </c>
      <c r="K157" t="s">
        <v>15</v>
      </c>
      <c r="L157" s="1">
        <v>12600000</v>
      </c>
      <c r="M157" s="1">
        <v>12600000</v>
      </c>
      <c r="N157" t="s">
        <v>704</v>
      </c>
      <c r="O157" s="1">
        <f t="shared" si="2"/>
        <v>0</v>
      </c>
    </row>
    <row r="158" spans="1:15" hidden="1" x14ac:dyDescent="0.25">
      <c r="A158" t="s">
        <v>238</v>
      </c>
      <c r="B158" t="s">
        <v>13</v>
      </c>
      <c r="C158">
        <v>45909</v>
      </c>
      <c r="D158">
        <v>46022</v>
      </c>
      <c r="E158" t="s">
        <v>711</v>
      </c>
      <c r="F158" t="s">
        <v>14</v>
      </c>
      <c r="G158">
        <v>59310524</v>
      </c>
      <c r="H158" t="s">
        <v>22</v>
      </c>
      <c r="I158">
        <v>98390119</v>
      </c>
      <c r="J158" t="s">
        <v>14</v>
      </c>
      <c r="K158" t="s">
        <v>63</v>
      </c>
      <c r="L158" s="1">
        <v>12600000</v>
      </c>
      <c r="M158" s="1">
        <v>12600000</v>
      </c>
      <c r="N158" t="s">
        <v>704</v>
      </c>
      <c r="O158" s="1">
        <f t="shared" si="2"/>
        <v>0</v>
      </c>
    </row>
    <row r="159" spans="1:15" hidden="1" x14ac:dyDescent="0.25">
      <c r="A159" t="s">
        <v>173</v>
      </c>
      <c r="B159" t="s">
        <v>13</v>
      </c>
      <c r="C159">
        <v>45909</v>
      </c>
      <c r="D159">
        <v>46022</v>
      </c>
      <c r="E159" t="s">
        <v>711</v>
      </c>
      <c r="F159" t="s">
        <v>14</v>
      </c>
      <c r="G159">
        <v>27082649</v>
      </c>
      <c r="H159" t="s">
        <v>174</v>
      </c>
      <c r="I159">
        <v>43624414</v>
      </c>
      <c r="J159" t="s">
        <v>14</v>
      </c>
      <c r="K159" t="s">
        <v>18</v>
      </c>
      <c r="L159" s="1">
        <v>12600000</v>
      </c>
      <c r="M159" s="1">
        <v>12600000</v>
      </c>
      <c r="N159" t="s">
        <v>704</v>
      </c>
      <c r="O159" s="1">
        <f t="shared" si="2"/>
        <v>0</v>
      </c>
    </row>
    <row r="160" spans="1:15" hidden="1" x14ac:dyDescent="0.25">
      <c r="A160" t="s">
        <v>185</v>
      </c>
      <c r="B160" t="s">
        <v>13</v>
      </c>
      <c r="C160">
        <v>45909</v>
      </c>
      <c r="D160">
        <v>46022</v>
      </c>
      <c r="E160" t="s">
        <v>711</v>
      </c>
      <c r="F160" t="s">
        <v>14</v>
      </c>
      <c r="G160">
        <v>1087960258</v>
      </c>
      <c r="H160" t="s">
        <v>186</v>
      </c>
      <c r="I160">
        <v>98333941</v>
      </c>
      <c r="J160" t="s">
        <v>14</v>
      </c>
      <c r="K160" t="s">
        <v>15</v>
      </c>
      <c r="L160" s="1">
        <v>12600000</v>
      </c>
      <c r="M160" s="1">
        <v>12600000</v>
      </c>
      <c r="N160" t="s">
        <v>704</v>
      </c>
      <c r="O160" s="1">
        <f t="shared" si="2"/>
        <v>0</v>
      </c>
    </row>
    <row r="161" spans="1:15" hidden="1" x14ac:dyDescent="0.25">
      <c r="A161" t="s">
        <v>345</v>
      </c>
      <c r="B161" t="s">
        <v>13</v>
      </c>
      <c r="C161">
        <v>45908</v>
      </c>
      <c r="D161">
        <v>46022</v>
      </c>
      <c r="E161" t="s">
        <v>711</v>
      </c>
      <c r="F161" t="s">
        <v>14</v>
      </c>
      <c r="G161">
        <v>1085339190</v>
      </c>
      <c r="H161" t="s">
        <v>346</v>
      </c>
      <c r="I161">
        <v>98390119</v>
      </c>
      <c r="J161" t="s">
        <v>14</v>
      </c>
      <c r="K161" t="s">
        <v>63</v>
      </c>
      <c r="L161" s="1">
        <v>12600000</v>
      </c>
      <c r="M161" s="1">
        <v>12600000</v>
      </c>
      <c r="N161" t="s">
        <v>704</v>
      </c>
      <c r="O161" s="1">
        <f t="shared" si="2"/>
        <v>0</v>
      </c>
    </row>
    <row r="162" spans="1:15" hidden="1" x14ac:dyDescent="0.25">
      <c r="A162" t="s">
        <v>290</v>
      </c>
      <c r="B162" t="s">
        <v>13</v>
      </c>
      <c r="C162">
        <v>45908</v>
      </c>
      <c r="D162">
        <v>46022</v>
      </c>
      <c r="E162" t="s">
        <v>711</v>
      </c>
      <c r="F162" t="s">
        <v>14</v>
      </c>
      <c r="G162">
        <v>1004131976</v>
      </c>
      <c r="H162" t="s">
        <v>291</v>
      </c>
      <c r="I162">
        <v>98390119</v>
      </c>
      <c r="J162" t="s">
        <v>14</v>
      </c>
      <c r="K162" t="s">
        <v>63</v>
      </c>
      <c r="L162" s="1">
        <v>12600000</v>
      </c>
      <c r="M162" s="1">
        <v>12600000</v>
      </c>
      <c r="N162" t="s">
        <v>704</v>
      </c>
      <c r="O162" s="1">
        <f t="shared" si="2"/>
        <v>0</v>
      </c>
    </row>
    <row r="163" spans="1:15" hidden="1" x14ac:dyDescent="0.25">
      <c r="A163" t="s">
        <v>491</v>
      </c>
      <c r="B163" t="s">
        <v>13</v>
      </c>
      <c r="C163">
        <v>45908</v>
      </c>
      <c r="D163">
        <v>46022</v>
      </c>
      <c r="E163" t="s">
        <v>711</v>
      </c>
      <c r="F163" t="s">
        <v>14</v>
      </c>
      <c r="G163">
        <v>1089458048</v>
      </c>
      <c r="H163" t="s">
        <v>492</v>
      </c>
      <c r="I163">
        <v>98333941</v>
      </c>
      <c r="J163" t="s">
        <v>14</v>
      </c>
      <c r="K163" t="s">
        <v>15</v>
      </c>
      <c r="L163" s="1">
        <v>12600000</v>
      </c>
      <c r="M163" s="1">
        <v>12600000</v>
      </c>
      <c r="N163" t="s">
        <v>704</v>
      </c>
      <c r="O163" s="1">
        <f t="shared" si="2"/>
        <v>0</v>
      </c>
    </row>
    <row r="164" spans="1:15" hidden="1" x14ac:dyDescent="0.25">
      <c r="A164" t="s">
        <v>579</v>
      </c>
      <c r="B164" t="s">
        <v>13</v>
      </c>
      <c r="C164">
        <v>45908</v>
      </c>
      <c r="D164">
        <v>46022</v>
      </c>
      <c r="E164" t="s">
        <v>711</v>
      </c>
      <c r="F164" t="s">
        <v>14</v>
      </c>
      <c r="G164">
        <v>1192717330</v>
      </c>
      <c r="H164" t="s">
        <v>58</v>
      </c>
      <c r="I164">
        <v>43624414</v>
      </c>
      <c r="J164" t="s">
        <v>14</v>
      </c>
      <c r="K164" t="s">
        <v>18</v>
      </c>
      <c r="L164" s="1">
        <v>12600000</v>
      </c>
      <c r="M164" s="1">
        <v>12600000</v>
      </c>
      <c r="N164" t="s">
        <v>704</v>
      </c>
      <c r="O164" s="1">
        <f t="shared" si="2"/>
        <v>0</v>
      </c>
    </row>
    <row r="165" spans="1:15" hidden="1" x14ac:dyDescent="0.25">
      <c r="A165" t="s">
        <v>124</v>
      </c>
      <c r="B165" t="s">
        <v>13</v>
      </c>
      <c r="C165">
        <v>45908</v>
      </c>
      <c r="D165">
        <v>46022</v>
      </c>
      <c r="E165" t="s">
        <v>711</v>
      </c>
      <c r="F165" t="s">
        <v>14</v>
      </c>
      <c r="G165">
        <v>1004235479</v>
      </c>
      <c r="H165" t="s">
        <v>56</v>
      </c>
      <c r="I165">
        <v>98333941</v>
      </c>
      <c r="J165" t="s">
        <v>14</v>
      </c>
      <c r="K165" t="s">
        <v>15</v>
      </c>
      <c r="L165" s="1">
        <v>12600000</v>
      </c>
      <c r="M165" s="1">
        <v>12600000</v>
      </c>
      <c r="N165" t="s">
        <v>704</v>
      </c>
      <c r="O165" s="1">
        <f t="shared" si="2"/>
        <v>0</v>
      </c>
    </row>
    <row r="166" spans="1:15" hidden="1" x14ac:dyDescent="0.25">
      <c r="A166" t="s">
        <v>377</v>
      </c>
      <c r="B166" t="s">
        <v>13</v>
      </c>
      <c r="C166">
        <v>45908</v>
      </c>
      <c r="D166">
        <v>46022</v>
      </c>
      <c r="E166" t="s">
        <v>711</v>
      </c>
      <c r="F166" t="s">
        <v>14</v>
      </c>
      <c r="G166">
        <v>37084285</v>
      </c>
      <c r="H166" t="s">
        <v>29</v>
      </c>
      <c r="I166">
        <v>98333941</v>
      </c>
      <c r="J166" t="s">
        <v>14</v>
      </c>
      <c r="K166" t="s">
        <v>15</v>
      </c>
      <c r="L166" s="1">
        <v>12600000</v>
      </c>
      <c r="M166" s="1">
        <v>12600000</v>
      </c>
      <c r="N166" t="s">
        <v>704</v>
      </c>
      <c r="O166" s="1">
        <f t="shared" si="2"/>
        <v>0</v>
      </c>
    </row>
    <row r="167" spans="1:15" hidden="1" x14ac:dyDescent="0.25">
      <c r="A167" t="s">
        <v>201</v>
      </c>
      <c r="B167" t="s">
        <v>13</v>
      </c>
      <c r="C167">
        <v>45908</v>
      </c>
      <c r="D167">
        <v>46022</v>
      </c>
      <c r="E167" t="s">
        <v>711</v>
      </c>
      <c r="F167" t="s">
        <v>14</v>
      </c>
      <c r="G167">
        <v>1004236159</v>
      </c>
      <c r="H167" t="s">
        <v>202</v>
      </c>
      <c r="I167">
        <v>98333941</v>
      </c>
      <c r="J167" t="s">
        <v>14</v>
      </c>
      <c r="K167" t="s">
        <v>15</v>
      </c>
      <c r="L167" s="1">
        <v>12600000</v>
      </c>
      <c r="M167" s="1">
        <v>12600000</v>
      </c>
      <c r="N167" t="s">
        <v>704</v>
      </c>
      <c r="O167" s="1">
        <f t="shared" si="2"/>
        <v>0</v>
      </c>
    </row>
    <row r="168" spans="1:15" hidden="1" x14ac:dyDescent="0.25">
      <c r="A168" t="s">
        <v>286</v>
      </c>
      <c r="B168" t="s">
        <v>13</v>
      </c>
      <c r="C168">
        <v>45908</v>
      </c>
      <c r="D168">
        <v>46022</v>
      </c>
      <c r="E168" t="s">
        <v>719</v>
      </c>
      <c r="F168" t="s">
        <v>14</v>
      </c>
      <c r="G168">
        <v>1081053045</v>
      </c>
      <c r="H168" t="s">
        <v>287</v>
      </c>
      <c r="I168">
        <v>98333941</v>
      </c>
      <c r="J168" t="s">
        <v>14</v>
      </c>
      <c r="K168" t="s">
        <v>15</v>
      </c>
      <c r="L168" s="1">
        <v>12600000</v>
      </c>
      <c r="M168" s="1">
        <v>12600000</v>
      </c>
      <c r="N168" t="s">
        <v>704</v>
      </c>
      <c r="O168" s="1">
        <f t="shared" si="2"/>
        <v>0</v>
      </c>
    </row>
    <row r="169" spans="1:15" hidden="1" x14ac:dyDescent="0.25">
      <c r="A169" t="s">
        <v>663</v>
      </c>
      <c r="B169" t="s">
        <v>13</v>
      </c>
      <c r="C169">
        <v>45908</v>
      </c>
      <c r="D169">
        <v>46022</v>
      </c>
      <c r="E169" t="s">
        <v>711</v>
      </c>
      <c r="F169" t="s">
        <v>14</v>
      </c>
      <c r="G169">
        <v>1081272656</v>
      </c>
      <c r="H169" t="s">
        <v>664</v>
      </c>
      <c r="I169">
        <v>59836926</v>
      </c>
      <c r="J169" t="s">
        <v>14</v>
      </c>
      <c r="K169" t="s">
        <v>17</v>
      </c>
      <c r="L169" s="1">
        <v>12600000</v>
      </c>
      <c r="M169" s="1">
        <v>12600000</v>
      </c>
      <c r="N169" t="s">
        <v>704</v>
      </c>
      <c r="O169" s="1">
        <f t="shared" si="2"/>
        <v>0</v>
      </c>
    </row>
    <row r="170" spans="1:15" hidden="1" x14ac:dyDescent="0.25">
      <c r="A170" t="s">
        <v>511</v>
      </c>
      <c r="B170" t="s">
        <v>13</v>
      </c>
      <c r="C170">
        <v>45908</v>
      </c>
      <c r="D170">
        <v>46022</v>
      </c>
      <c r="E170" t="s">
        <v>711</v>
      </c>
      <c r="F170" t="s">
        <v>14</v>
      </c>
      <c r="G170">
        <v>1086358836</v>
      </c>
      <c r="H170" t="s">
        <v>512</v>
      </c>
      <c r="I170">
        <v>98333941</v>
      </c>
      <c r="J170" t="s">
        <v>14</v>
      </c>
      <c r="K170" t="s">
        <v>15</v>
      </c>
      <c r="L170" s="1">
        <v>12600000</v>
      </c>
      <c r="M170" s="1">
        <v>12600000</v>
      </c>
      <c r="N170" t="s">
        <v>704</v>
      </c>
      <c r="O170" s="1">
        <f t="shared" si="2"/>
        <v>0</v>
      </c>
    </row>
    <row r="171" spans="1:15" hidden="1" x14ac:dyDescent="0.25">
      <c r="A171" t="s">
        <v>306</v>
      </c>
      <c r="B171" t="s">
        <v>13</v>
      </c>
      <c r="C171">
        <v>45908</v>
      </c>
      <c r="D171">
        <v>46022</v>
      </c>
      <c r="E171" t="s">
        <v>711</v>
      </c>
      <c r="F171" t="s">
        <v>14</v>
      </c>
      <c r="G171">
        <v>1085271641</v>
      </c>
      <c r="H171" t="s">
        <v>30</v>
      </c>
      <c r="I171">
        <v>43624414</v>
      </c>
      <c r="J171" t="s">
        <v>14</v>
      </c>
      <c r="K171" t="s">
        <v>18</v>
      </c>
      <c r="L171" s="1">
        <v>12600000</v>
      </c>
      <c r="M171" s="1">
        <v>12600000</v>
      </c>
      <c r="N171" t="s">
        <v>704</v>
      </c>
      <c r="O171" s="1">
        <f t="shared" si="2"/>
        <v>0</v>
      </c>
    </row>
    <row r="172" spans="1:15" hidden="1" x14ac:dyDescent="0.25">
      <c r="A172" t="s">
        <v>599</v>
      </c>
      <c r="B172" t="s">
        <v>13</v>
      </c>
      <c r="C172">
        <v>45908</v>
      </c>
      <c r="D172">
        <v>46022</v>
      </c>
      <c r="E172" t="s">
        <v>711</v>
      </c>
      <c r="F172" t="s">
        <v>14</v>
      </c>
      <c r="G172">
        <v>1085343154</v>
      </c>
      <c r="H172" t="s">
        <v>600</v>
      </c>
      <c r="I172">
        <v>59836926</v>
      </c>
      <c r="J172" t="s">
        <v>14</v>
      </c>
      <c r="K172" t="s">
        <v>17</v>
      </c>
      <c r="L172" s="1">
        <v>12600000</v>
      </c>
      <c r="M172" s="1">
        <v>12600000</v>
      </c>
      <c r="N172" t="s">
        <v>704</v>
      </c>
      <c r="O172" s="1">
        <f t="shared" si="2"/>
        <v>0</v>
      </c>
    </row>
    <row r="173" spans="1:15" hidden="1" x14ac:dyDescent="0.25">
      <c r="A173" t="s">
        <v>299</v>
      </c>
      <c r="B173" t="s">
        <v>13</v>
      </c>
      <c r="C173">
        <v>45908</v>
      </c>
      <c r="D173">
        <v>46022</v>
      </c>
      <c r="E173" t="s">
        <v>711</v>
      </c>
      <c r="F173" t="s">
        <v>14</v>
      </c>
      <c r="G173">
        <v>36758143</v>
      </c>
      <c r="H173" t="s">
        <v>300</v>
      </c>
      <c r="I173">
        <v>43624414</v>
      </c>
      <c r="J173" t="s">
        <v>14</v>
      </c>
      <c r="K173" t="s">
        <v>18</v>
      </c>
      <c r="L173" s="1">
        <v>12600000</v>
      </c>
      <c r="M173" s="1">
        <v>12600000</v>
      </c>
      <c r="N173" t="s">
        <v>704</v>
      </c>
      <c r="O173" s="1">
        <f t="shared" si="2"/>
        <v>0</v>
      </c>
    </row>
    <row r="174" spans="1:15" hidden="1" x14ac:dyDescent="0.25">
      <c r="A174" t="s">
        <v>674</v>
      </c>
      <c r="B174" t="s">
        <v>13</v>
      </c>
      <c r="C174">
        <v>45908</v>
      </c>
      <c r="D174">
        <v>46022</v>
      </c>
      <c r="E174" t="s">
        <v>711</v>
      </c>
      <c r="F174" t="s">
        <v>14</v>
      </c>
      <c r="G174">
        <v>1085300095</v>
      </c>
      <c r="H174" t="s">
        <v>27</v>
      </c>
      <c r="I174">
        <v>59836926</v>
      </c>
      <c r="J174" t="s">
        <v>14</v>
      </c>
      <c r="K174" t="s">
        <v>17</v>
      </c>
      <c r="L174" s="1">
        <v>12600000</v>
      </c>
      <c r="M174" s="1">
        <v>12600000</v>
      </c>
      <c r="N174" t="s">
        <v>704</v>
      </c>
      <c r="O174" s="1">
        <f t="shared" si="2"/>
        <v>0</v>
      </c>
    </row>
    <row r="175" spans="1:15" hidden="1" x14ac:dyDescent="0.25">
      <c r="A175" t="s">
        <v>355</v>
      </c>
      <c r="B175" t="s">
        <v>13</v>
      </c>
      <c r="C175">
        <v>45908</v>
      </c>
      <c r="D175">
        <v>46022</v>
      </c>
      <c r="E175" t="s">
        <v>711</v>
      </c>
      <c r="F175" t="s">
        <v>14</v>
      </c>
      <c r="G175">
        <v>1137624011</v>
      </c>
      <c r="H175" t="s">
        <v>356</v>
      </c>
      <c r="I175">
        <v>98390119</v>
      </c>
      <c r="J175" t="s">
        <v>14</v>
      </c>
      <c r="K175" t="s">
        <v>63</v>
      </c>
      <c r="L175" s="1">
        <v>12600000</v>
      </c>
      <c r="M175" s="1">
        <v>12600000</v>
      </c>
      <c r="N175" t="s">
        <v>704</v>
      </c>
      <c r="O175" s="1">
        <f t="shared" si="2"/>
        <v>0</v>
      </c>
    </row>
    <row r="176" spans="1:15" hidden="1" x14ac:dyDescent="0.25">
      <c r="A176" t="s">
        <v>518</v>
      </c>
      <c r="B176" t="s">
        <v>13</v>
      </c>
      <c r="C176">
        <v>45908</v>
      </c>
      <c r="D176">
        <v>46022</v>
      </c>
      <c r="E176" t="s">
        <v>716</v>
      </c>
      <c r="F176" t="s">
        <v>14</v>
      </c>
      <c r="G176">
        <v>1085288636</v>
      </c>
      <c r="H176" t="s">
        <v>519</v>
      </c>
      <c r="I176">
        <v>98390119</v>
      </c>
      <c r="J176" t="s">
        <v>14</v>
      </c>
      <c r="K176" t="s">
        <v>63</v>
      </c>
      <c r="L176" s="1">
        <v>12600000</v>
      </c>
      <c r="M176" s="1">
        <v>12600000</v>
      </c>
      <c r="N176" t="s">
        <v>704</v>
      </c>
      <c r="O176" s="1">
        <f t="shared" si="2"/>
        <v>0</v>
      </c>
    </row>
    <row r="177" spans="1:15" hidden="1" x14ac:dyDescent="0.25">
      <c r="A177" t="s">
        <v>428</v>
      </c>
      <c r="B177" t="s">
        <v>13</v>
      </c>
      <c r="C177">
        <v>45908</v>
      </c>
      <c r="D177">
        <v>46022</v>
      </c>
      <c r="E177" t="s">
        <v>724</v>
      </c>
      <c r="F177" t="s">
        <v>14</v>
      </c>
      <c r="G177">
        <v>1089291166</v>
      </c>
      <c r="H177" t="s">
        <v>429</v>
      </c>
      <c r="I177">
        <v>98333941</v>
      </c>
      <c r="J177" t="s">
        <v>14</v>
      </c>
      <c r="K177" t="s">
        <v>15</v>
      </c>
      <c r="L177" s="1">
        <v>12600000</v>
      </c>
      <c r="M177" s="1">
        <v>12600000</v>
      </c>
      <c r="N177" t="s">
        <v>704</v>
      </c>
      <c r="O177" s="1">
        <f t="shared" si="2"/>
        <v>0</v>
      </c>
    </row>
    <row r="178" spans="1:15" hidden="1" x14ac:dyDescent="0.25">
      <c r="A178" t="s">
        <v>435</v>
      </c>
      <c r="B178" t="s">
        <v>13</v>
      </c>
      <c r="C178">
        <v>45908</v>
      </c>
      <c r="D178">
        <v>46022</v>
      </c>
      <c r="E178" t="s">
        <v>780</v>
      </c>
      <c r="F178" t="s">
        <v>14</v>
      </c>
      <c r="G178">
        <v>30743783</v>
      </c>
      <c r="H178" t="s">
        <v>436</v>
      </c>
      <c r="I178">
        <v>59836926</v>
      </c>
      <c r="J178" t="s">
        <v>14</v>
      </c>
      <c r="K178" t="s">
        <v>17</v>
      </c>
      <c r="L178" s="1">
        <v>12600000</v>
      </c>
      <c r="M178" s="1">
        <v>12600000</v>
      </c>
      <c r="N178" t="s">
        <v>704</v>
      </c>
      <c r="O178" s="1">
        <f t="shared" si="2"/>
        <v>0</v>
      </c>
    </row>
    <row r="179" spans="1:15" hidden="1" x14ac:dyDescent="0.25">
      <c r="A179" t="s">
        <v>636</v>
      </c>
      <c r="B179" t="s">
        <v>13</v>
      </c>
      <c r="C179">
        <v>45908</v>
      </c>
      <c r="D179">
        <v>46022</v>
      </c>
      <c r="E179" t="s">
        <v>816</v>
      </c>
      <c r="F179" t="s">
        <v>14</v>
      </c>
      <c r="G179">
        <v>1081272025</v>
      </c>
      <c r="H179" t="s">
        <v>637</v>
      </c>
      <c r="I179">
        <v>59836926</v>
      </c>
      <c r="J179" t="s">
        <v>14</v>
      </c>
      <c r="K179" t="s">
        <v>17</v>
      </c>
      <c r="L179" s="1">
        <v>12600000</v>
      </c>
      <c r="M179" s="1">
        <v>12600000</v>
      </c>
      <c r="N179" t="s">
        <v>704</v>
      </c>
      <c r="O179" s="1">
        <f t="shared" si="2"/>
        <v>0</v>
      </c>
    </row>
    <row r="180" spans="1:15" hidden="1" x14ac:dyDescent="0.25">
      <c r="A180" t="s">
        <v>483</v>
      </c>
      <c r="B180" t="s">
        <v>13</v>
      </c>
      <c r="C180">
        <v>45908</v>
      </c>
      <c r="D180">
        <v>46022</v>
      </c>
      <c r="E180" t="s">
        <v>716</v>
      </c>
      <c r="F180" t="s">
        <v>14</v>
      </c>
      <c r="G180">
        <v>1193224810</v>
      </c>
      <c r="H180" t="s">
        <v>31</v>
      </c>
      <c r="I180">
        <v>98333941</v>
      </c>
      <c r="J180" t="s">
        <v>14</v>
      </c>
      <c r="K180" t="s">
        <v>15</v>
      </c>
      <c r="L180" s="1">
        <v>12600000</v>
      </c>
      <c r="M180" s="1">
        <v>12600000</v>
      </c>
      <c r="N180" t="s">
        <v>704</v>
      </c>
      <c r="O180" s="1">
        <f t="shared" si="2"/>
        <v>0</v>
      </c>
    </row>
    <row r="181" spans="1:15" hidden="1" x14ac:dyDescent="0.25">
      <c r="A181" t="s">
        <v>509</v>
      </c>
      <c r="B181" t="s">
        <v>13</v>
      </c>
      <c r="C181">
        <v>45908</v>
      </c>
      <c r="D181">
        <v>46022</v>
      </c>
      <c r="E181" t="s">
        <v>794</v>
      </c>
      <c r="F181" t="s">
        <v>14</v>
      </c>
      <c r="G181">
        <v>1087644986</v>
      </c>
      <c r="H181" t="s">
        <v>510</v>
      </c>
      <c r="I181">
        <v>98333941</v>
      </c>
      <c r="J181" t="s">
        <v>14</v>
      </c>
      <c r="K181" t="s">
        <v>15</v>
      </c>
      <c r="L181" s="1">
        <v>12600000</v>
      </c>
      <c r="M181" s="1">
        <v>12600000</v>
      </c>
      <c r="N181" t="s">
        <v>704</v>
      </c>
      <c r="O181" s="1">
        <f t="shared" si="2"/>
        <v>0</v>
      </c>
    </row>
    <row r="182" spans="1:15" hidden="1" x14ac:dyDescent="0.25">
      <c r="A182" t="s">
        <v>281</v>
      </c>
      <c r="B182" t="s">
        <v>13</v>
      </c>
      <c r="C182">
        <v>45905</v>
      </c>
      <c r="D182">
        <v>46022</v>
      </c>
      <c r="E182" t="s">
        <v>720</v>
      </c>
      <c r="F182" t="s">
        <v>14</v>
      </c>
      <c r="G182">
        <v>69028150</v>
      </c>
      <c r="H182" t="s">
        <v>21</v>
      </c>
      <c r="I182">
        <v>59836926</v>
      </c>
      <c r="J182" t="s">
        <v>14</v>
      </c>
      <c r="K182" t="s">
        <v>17</v>
      </c>
      <c r="L182" s="1">
        <v>12600000</v>
      </c>
      <c r="M182" s="1">
        <v>12600000</v>
      </c>
      <c r="N182" t="s">
        <v>704</v>
      </c>
      <c r="O182" s="1">
        <f t="shared" si="2"/>
        <v>0</v>
      </c>
    </row>
    <row r="183" spans="1:15" hidden="1" x14ac:dyDescent="0.25">
      <c r="A183" t="s">
        <v>660</v>
      </c>
      <c r="B183" t="s">
        <v>13</v>
      </c>
      <c r="C183">
        <v>45905</v>
      </c>
      <c r="D183">
        <v>46022</v>
      </c>
      <c r="E183" t="s">
        <v>716</v>
      </c>
      <c r="F183" t="s">
        <v>14</v>
      </c>
      <c r="G183">
        <v>1085315013</v>
      </c>
      <c r="H183" t="s">
        <v>60</v>
      </c>
      <c r="I183">
        <v>98390119</v>
      </c>
      <c r="J183" t="s">
        <v>14</v>
      </c>
      <c r="K183" t="s">
        <v>63</v>
      </c>
      <c r="L183" s="1">
        <v>12600000</v>
      </c>
      <c r="M183" s="1">
        <v>12600000</v>
      </c>
      <c r="N183" t="s">
        <v>704</v>
      </c>
      <c r="O183" s="1">
        <f t="shared" si="2"/>
        <v>0</v>
      </c>
    </row>
    <row r="184" spans="1:15" hidden="1" x14ac:dyDescent="0.25">
      <c r="A184" t="s">
        <v>475</v>
      </c>
      <c r="B184" t="s">
        <v>13</v>
      </c>
      <c r="C184">
        <v>45904</v>
      </c>
      <c r="D184">
        <v>46022</v>
      </c>
      <c r="E184" t="s">
        <v>708</v>
      </c>
      <c r="F184" t="s">
        <v>14</v>
      </c>
      <c r="G184">
        <v>1085269090</v>
      </c>
      <c r="H184" t="s">
        <v>52</v>
      </c>
      <c r="I184">
        <v>98333941</v>
      </c>
      <c r="J184" t="s">
        <v>14</v>
      </c>
      <c r="K184" t="s">
        <v>15</v>
      </c>
      <c r="L184" s="1">
        <v>12600000</v>
      </c>
      <c r="M184" s="1">
        <v>12600000</v>
      </c>
      <c r="N184" t="s">
        <v>704</v>
      </c>
      <c r="O184" s="1">
        <f t="shared" si="2"/>
        <v>0</v>
      </c>
    </row>
    <row r="185" spans="1:15" hidden="1" x14ac:dyDescent="0.25">
      <c r="A185" t="s">
        <v>398</v>
      </c>
      <c r="B185" t="s">
        <v>13</v>
      </c>
      <c r="C185">
        <v>45904</v>
      </c>
      <c r="D185">
        <v>46022</v>
      </c>
      <c r="E185" t="s">
        <v>708</v>
      </c>
      <c r="F185" t="s">
        <v>14</v>
      </c>
      <c r="G185">
        <v>1085255829</v>
      </c>
      <c r="H185" t="s">
        <v>23</v>
      </c>
      <c r="I185">
        <v>98390119</v>
      </c>
      <c r="J185" t="s">
        <v>14</v>
      </c>
      <c r="K185" t="s">
        <v>63</v>
      </c>
      <c r="L185" s="1">
        <v>12600000</v>
      </c>
      <c r="M185" s="1">
        <v>12600000</v>
      </c>
      <c r="N185" t="s">
        <v>704</v>
      </c>
      <c r="O185" s="1">
        <f t="shared" si="2"/>
        <v>0</v>
      </c>
    </row>
    <row r="186" spans="1:15" hidden="1" x14ac:dyDescent="0.25">
      <c r="A186" t="s">
        <v>93</v>
      </c>
      <c r="B186" t="s">
        <v>13</v>
      </c>
      <c r="C186">
        <v>45904</v>
      </c>
      <c r="D186">
        <v>46022</v>
      </c>
      <c r="E186" t="s">
        <v>708</v>
      </c>
      <c r="F186" t="s">
        <v>14</v>
      </c>
      <c r="G186">
        <v>1233189234</v>
      </c>
      <c r="H186" t="s">
        <v>53</v>
      </c>
      <c r="I186">
        <v>59836926</v>
      </c>
      <c r="J186" t="s">
        <v>14</v>
      </c>
      <c r="K186" t="s">
        <v>17</v>
      </c>
      <c r="L186" s="1">
        <v>12600000</v>
      </c>
      <c r="M186" s="1">
        <v>12600000</v>
      </c>
      <c r="N186" t="s">
        <v>704</v>
      </c>
      <c r="O186" s="1">
        <f t="shared" si="2"/>
        <v>0</v>
      </c>
    </row>
    <row r="187" spans="1:15" hidden="1" x14ac:dyDescent="0.25">
      <c r="A187" t="s">
        <v>434</v>
      </c>
      <c r="B187" t="s">
        <v>13</v>
      </c>
      <c r="C187">
        <v>45903</v>
      </c>
      <c r="D187">
        <v>46022</v>
      </c>
      <c r="E187" t="s">
        <v>708</v>
      </c>
      <c r="F187" t="s">
        <v>14</v>
      </c>
      <c r="G187">
        <v>1010082397</v>
      </c>
      <c r="H187" t="s">
        <v>44</v>
      </c>
      <c r="I187">
        <v>98390119</v>
      </c>
      <c r="J187" t="s">
        <v>14</v>
      </c>
      <c r="K187" t="s">
        <v>63</v>
      </c>
      <c r="L187" s="1">
        <v>12600000</v>
      </c>
      <c r="M187" s="1">
        <v>12600000</v>
      </c>
      <c r="N187" t="s">
        <v>704</v>
      </c>
      <c r="O187" s="1">
        <f t="shared" si="2"/>
        <v>0</v>
      </c>
    </row>
    <row r="188" spans="1:15" hidden="1" x14ac:dyDescent="0.25">
      <c r="A188" t="s">
        <v>215</v>
      </c>
      <c r="B188" t="s">
        <v>13</v>
      </c>
      <c r="C188">
        <v>45903</v>
      </c>
      <c r="D188">
        <v>46022</v>
      </c>
      <c r="E188" t="s">
        <v>708</v>
      </c>
      <c r="F188" t="s">
        <v>14</v>
      </c>
      <c r="G188">
        <v>1087006717</v>
      </c>
      <c r="H188" t="s">
        <v>42</v>
      </c>
      <c r="I188">
        <v>59836926</v>
      </c>
      <c r="J188" t="s">
        <v>14</v>
      </c>
      <c r="K188" t="s">
        <v>17</v>
      </c>
      <c r="L188" s="1">
        <v>12600000</v>
      </c>
      <c r="M188" s="1">
        <v>12600000</v>
      </c>
      <c r="N188" t="s">
        <v>704</v>
      </c>
      <c r="O188" s="1">
        <f t="shared" si="2"/>
        <v>0</v>
      </c>
    </row>
    <row r="189" spans="1:15" hidden="1" x14ac:dyDescent="0.25">
      <c r="A189" t="s">
        <v>167</v>
      </c>
      <c r="B189" t="s">
        <v>13</v>
      </c>
      <c r="C189">
        <v>45902</v>
      </c>
      <c r="D189">
        <v>46022</v>
      </c>
      <c r="E189" t="s">
        <v>730</v>
      </c>
      <c r="F189" t="s">
        <v>14</v>
      </c>
      <c r="G189">
        <v>36752202</v>
      </c>
      <c r="H189" t="s">
        <v>168</v>
      </c>
      <c r="I189">
        <v>59836926</v>
      </c>
      <c r="J189" t="s">
        <v>14</v>
      </c>
      <c r="K189" t="s">
        <v>17</v>
      </c>
      <c r="L189" s="1">
        <v>12600000</v>
      </c>
      <c r="M189" s="1">
        <v>12600000</v>
      </c>
      <c r="N189" t="s">
        <v>704</v>
      </c>
      <c r="O189" s="1">
        <f t="shared" si="2"/>
        <v>0</v>
      </c>
    </row>
    <row r="190" spans="1:15" hidden="1" x14ac:dyDescent="0.25">
      <c r="A190" t="s">
        <v>464</v>
      </c>
      <c r="B190" t="s">
        <v>13</v>
      </c>
      <c r="C190">
        <v>45971</v>
      </c>
      <c r="D190">
        <v>46022</v>
      </c>
      <c r="E190" t="s">
        <v>323</v>
      </c>
      <c r="F190" t="s">
        <v>14</v>
      </c>
      <c r="G190">
        <v>1193223736</v>
      </c>
      <c r="H190" t="s">
        <v>75</v>
      </c>
      <c r="I190">
        <v>59836926</v>
      </c>
      <c r="J190" t="s">
        <v>14</v>
      </c>
      <c r="K190" t="s">
        <v>17</v>
      </c>
      <c r="L190" s="1">
        <v>12600000</v>
      </c>
      <c r="M190" s="1">
        <v>12600000</v>
      </c>
      <c r="N190" t="s">
        <v>704</v>
      </c>
      <c r="O190" s="1">
        <f t="shared" si="2"/>
        <v>0</v>
      </c>
    </row>
    <row r="191" spans="1:15" hidden="1" x14ac:dyDescent="0.25">
      <c r="A191" t="s">
        <v>307</v>
      </c>
      <c r="B191" t="s">
        <v>13</v>
      </c>
      <c r="C191">
        <v>45966</v>
      </c>
      <c r="D191">
        <v>46022</v>
      </c>
      <c r="E191" t="s">
        <v>754</v>
      </c>
      <c r="F191" t="s">
        <v>14</v>
      </c>
      <c r="G191">
        <v>1085254153</v>
      </c>
      <c r="H191" t="s">
        <v>308</v>
      </c>
      <c r="I191">
        <v>59836926</v>
      </c>
      <c r="J191" t="s">
        <v>14</v>
      </c>
      <c r="K191" t="s">
        <v>17</v>
      </c>
      <c r="L191" s="1">
        <v>12600000</v>
      </c>
      <c r="M191" s="1">
        <v>12600000</v>
      </c>
      <c r="N191" t="s">
        <v>704</v>
      </c>
      <c r="O191" s="1">
        <f t="shared" si="2"/>
        <v>0</v>
      </c>
    </row>
    <row r="192" spans="1:15" hidden="1" x14ac:dyDescent="0.25">
      <c r="A192" t="s">
        <v>309</v>
      </c>
      <c r="B192" t="s">
        <v>13</v>
      </c>
      <c r="C192">
        <v>45937</v>
      </c>
      <c r="D192">
        <v>46022</v>
      </c>
      <c r="E192" t="s">
        <v>755</v>
      </c>
      <c r="F192" t="s">
        <v>14</v>
      </c>
      <c r="G192">
        <v>1233190311</v>
      </c>
      <c r="H192" t="s">
        <v>310</v>
      </c>
      <c r="I192">
        <v>98390119</v>
      </c>
      <c r="J192" t="s">
        <v>14</v>
      </c>
      <c r="K192" t="s">
        <v>63</v>
      </c>
      <c r="L192" s="1">
        <v>14190000</v>
      </c>
      <c r="M192" s="1">
        <v>14190000</v>
      </c>
      <c r="N192" t="s">
        <v>704</v>
      </c>
      <c r="O192" s="1">
        <f t="shared" si="2"/>
        <v>0</v>
      </c>
    </row>
    <row r="193" spans="1:15" hidden="1" x14ac:dyDescent="0.25">
      <c r="A193" t="s">
        <v>419</v>
      </c>
      <c r="B193" t="s">
        <v>13</v>
      </c>
      <c r="C193">
        <v>45932</v>
      </c>
      <c r="D193">
        <v>46022</v>
      </c>
      <c r="E193" t="s">
        <v>755</v>
      </c>
      <c r="F193" t="s">
        <v>14</v>
      </c>
      <c r="G193">
        <v>1085293619</v>
      </c>
      <c r="H193" t="s">
        <v>420</v>
      </c>
      <c r="I193">
        <v>43624414</v>
      </c>
      <c r="J193" t="s">
        <v>14</v>
      </c>
      <c r="K193" t="s">
        <v>18</v>
      </c>
      <c r="L193" s="1">
        <v>14190000</v>
      </c>
      <c r="M193" s="1">
        <v>14190000</v>
      </c>
      <c r="N193" t="s">
        <v>704</v>
      </c>
      <c r="O193" s="1">
        <f t="shared" si="2"/>
        <v>0</v>
      </c>
    </row>
    <row r="194" spans="1:15" hidden="1" x14ac:dyDescent="0.25">
      <c r="A194" t="s">
        <v>437</v>
      </c>
      <c r="B194" t="s">
        <v>13</v>
      </c>
      <c r="C194">
        <v>45932</v>
      </c>
      <c r="D194">
        <v>46022</v>
      </c>
      <c r="E194" t="s">
        <v>781</v>
      </c>
      <c r="F194" t="s">
        <v>14</v>
      </c>
      <c r="G194">
        <v>37084258</v>
      </c>
      <c r="H194" t="s">
        <v>438</v>
      </c>
      <c r="I194">
        <v>43624414</v>
      </c>
      <c r="J194" t="s">
        <v>14</v>
      </c>
      <c r="K194" t="s">
        <v>18</v>
      </c>
      <c r="L194" s="1">
        <v>14190000</v>
      </c>
      <c r="M194" s="1">
        <v>14190000</v>
      </c>
      <c r="N194" t="s">
        <v>704</v>
      </c>
      <c r="O194" s="1">
        <f t="shared" ref="O194:O257" si="3">M194-L194</f>
        <v>0</v>
      </c>
    </row>
    <row r="195" spans="1:15" hidden="1" x14ac:dyDescent="0.25">
      <c r="A195" t="s">
        <v>672</v>
      </c>
      <c r="B195" t="s">
        <v>13</v>
      </c>
      <c r="C195">
        <v>45932</v>
      </c>
      <c r="D195">
        <v>46022</v>
      </c>
      <c r="E195" t="s">
        <v>744</v>
      </c>
      <c r="F195" t="s">
        <v>14</v>
      </c>
      <c r="G195">
        <v>1085331301</v>
      </c>
      <c r="H195" t="s">
        <v>673</v>
      </c>
      <c r="I195">
        <v>43624414</v>
      </c>
      <c r="J195" t="s">
        <v>14</v>
      </c>
      <c r="K195" t="s">
        <v>18</v>
      </c>
      <c r="L195" s="1">
        <v>14190000</v>
      </c>
      <c r="M195" s="1">
        <v>14190000</v>
      </c>
      <c r="N195" t="s">
        <v>704</v>
      </c>
      <c r="O195" s="1">
        <f t="shared" si="3"/>
        <v>0</v>
      </c>
    </row>
    <row r="196" spans="1:15" hidden="1" x14ac:dyDescent="0.25">
      <c r="A196" t="s">
        <v>394</v>
      </c>
      <c r="B196" t="s">
        <v>13</v>
      </c>
      <c r="C196">
        <v>45931</v>
      </c>
      <c r="D196">
        <v>46022</v>
      </c>
      <c r="E196" t="s">
        <v>771</v>
      </c>
      <c r="F196" t="s">
        <v>14</v>
      </c>
      <c r="G196">
        <v>1233188033</v>
      </c>
      <c r="H196" t="s">
        <v>395</v>
      </c>
      <c r="I196">
        <v>98390119</v>
      </c>
      <c r="J196" t="s">
        <v>14</v>
      </c>
      <c r="K196" t="s">
        <v>63</v>
      </c>
      <c r="L196" s="1">
        <v>14190000</v>
      </c>
      <c r="M196" s="1">
        <v>14190000</v>
      </c>
      <c r="N196" t="s">
        <v>704</v>
      </c>
      <c r="O196" s="1">
        <f t="shared" si="3"/>
        <v>0</v>
      </c>
    </row>
    <row r="197" spans="1:15" hidden="1" x14ac:dyDescent="0.25">
      <c r="A197" t="s">
        <v>220</v>
      </c>
      <c r="B197" t="s">
        <v>13</v>
      </c>
      <c r="C197">
        <v>45930</v>
      </c>
      <c r="D197">
        <v>46022</v>
      </c>
      <c r="E197" t="s">
        <v>744</v>
      </c>
      <c r="F197" t="s">
        <v>14</v>
      </c>
      <c r="G197">
        <v>27105277</v>
      </c>
      <c r="H197" t="s">
        <v>221</v>
      </c>
      <c r="I197">
        <v>59836926</v>
      </c>
      <c r="J197" t="s">
        <v>14</v>
      </c>
      <c r="K197" t="s">
        <v>17</v>
      </c>
      <c r="L197" s="1">
        <v>14190000</v>
      </c>
      <c r="M197" s="1">
        <v>14190000</v>
      </c>
      <c r="N197" t="s">
        <v>704</v>
      </c>
      <c r="O197" s="1">
        <f t="shared" si="3"/>
        <v>0</v>
      </c>
    </row>
    <row r="198" spans="1:15" hidden="1" x14ac:dyDescent="0.25">
      <c r="A198" t="s">
        <v>582</v>
      </c>
      <c r="B198" t="s">
        <v>13</v>
      </c>
      <c r="C198">
        <v>45930</v>
      </c>
      <c r="D198">
        <v>46022</v>
      </c>
      <c r="E198" t="s">
        <v>744</v>
      </c>
      <c r="F198" t="s">
        <v>14</v>
      </c>
      <c r="G198">
        <v>1085313870</v>
      </c>
      <c r="H198" t="s">
        <v>87</v>
      </c>
      <c r="I198">
        <v>43624414</v>
      </c>
      <c r="J198" t="s">
        <v>14</v>
      </c>
      <c r="K198" t="s">
        <v>18</v>
      </c>
      <c r="L198" s="1">
        <v>14190000</v>
      </c>
      <c r="M198" s="1">
        <v>14190000</v>
      </c>
      <c r="N198" t="s">
        <v>704</v>
      </c>
      <c r="O198" s="1">
        <f t="shared" si="3"/>
        <v>0</v>
      </c>
    </row>
    <row r="199" spans="1:15" hidden="1" x14ac:dyDescent="0.25">
      <c r="A199" t="s">
        <v>446</v>
      </c>
      <c r="B199" t="s">
        <v>13</v>
      </c>
      <c r="C199">
        <v>45930</v>
      </c>
      <c r="D199">
        <v>46022</v>
      </c>
      <c r="E199" t="s">
        <v>784</v>
      </c>
      <c r="F199" t="s">
        <v>14</v>
      </c>
      <c r="G199">
        <v>59816986</v>
      </c>
      <c r="H199" t="s">
        <v>447</v>
      </c>
      <c r="I199">
        <v>98390119</v>
      </c>
      <c r="J199" t="s">
        <v>14</v>
      </c>
      <c r="K199" t="s">
        <v>63</v>
      </c>
      <c r="L199" s="1">
        <v>14190000</v>
      </c>
      <c r="M199" s="1">
        <v>14190000</v>
      </c>
      <c r="N199" t="s">
        <v>704</v>
      </c>
      <c r="O199" s="1">
        <f t="shared" si="3"/>
        <v>0</v>
      </c>
    </row>
    <row r="200" spans="1:15" hidden="1" x14ac:dyDescent="0.25">
      <c r="A200" t="s">
        <v>382</v>
      </c>
      <c r="B200" t="s">
        <v>13</v>
      </c>
      <c r="C200">
        <v>45929</v>
      </c>
      <c r="D200">
        <v>46022</v>
      </c>
      <c r="E200" t="s">
        <v>767</v>
      </c>
      <c r="F200" t="s">
        <v>14</v>
      </c>
      <c r="G200">
        <v>1085323338</v>
      </c>
      <c r="H200" t="s">
        <v>383</v>
      </c>
      <c r="I200">
        <v>98390119</v>
      </c>
      <c r="J200" t="s">
        <v>14</v>
      </c>
      <c r="K200" t="s">
        <v>63</v>
      </c>
      <c r="L200" s="1">
        <v>14190000</v>
      </c>
      <c r="M200" s="1">
        <v>14190000</v>
      </c>
      <c r="N200" t="s">
        <v>704</v>
      </c>
      <c r="O200" s="1">
        <f t="shared" si="3"/>
        <v>0</v>
      </c>
    </row>
    <row r="201" spans="1:15" hidden="1" x14ac:dyDescent="0.25">
      <c r="A201" t="s">
        <v>146</v>
      </c>
      <c r="B201" t="s">
        <v>13</v>
      </c>
      <c r="C201">
        <v>45929</v>
      </c>
      <c r="D201">
        <v>46022</v>
      </c>
      <c r="E201" t="s">
        <v>725</v>
      </c>
      <c r="F201" t="s">
        <v>14</v>
      </c>
      <c r="G201">
        <v>52381227</v>
      </c>
      <c r="H201" t="s">
        <v>147</v>
      </c>
      <c r="I201">
        <v>98390119</v>
      </c>
      <c r="J201" t="s">
        <v>14</v>
      </c>
      <c r="K201" t="s">
        <v>63</v>
      </c>
      <c r="L201" s="1">
        <v>14190000</v>
      </c>
      <c r="M201" s="1">
        <v>14190000</v>
      </c>
      <c r="N201" t="s">
        <v>704</v>
      </c>
      <c r="O201" s="1">
        <f t="shared" si="3"/>
        <v>0</v>
      </c>
    </row>
    <row r="202" spans="1:15" hidden="1" x14ac:dyDescent="0.25">
      <c r="A202" t="s">
        <v>440</v>
      </c>
      <c r="B202" t="s">
        <v>13</v>
      </c>
      <c r="C202">
        <v>45971</v>
      </c>
      <c r="D202">
        <v>46022</v>
      </c>
      <c r="E202" t="s">
        <v>749</v>
      </c>
      <c r="F202" t="s">
        <v>14</v>
      </c>
      <c r="G202">
        <v>1086018206</v>
      </c>
      <c r="H202" t="s">
        <v>441</v>
      </c>
      <c r="I202">
        <v>98390119</v>
      </c>
      <c r="J202" t="s">
        <v>14</v>
      </c>
      <c r="K202" t="s">
        <v>63</v>
      </c>
      <c r="L202" s="1">
        <v>15600000</v>
      </c>
      <c r="M202" s="1">
        <v>15600000</v>
      </c>
      <c r="N202" t="s">
        <v>704</v>
      </c>
      <c r="O202" s="1">
        <f t="shared" si="3"/>
        <v>0</v>
      </c>
    </row>
    <row r="203" spans="1:15" hidden="1" x14ac:dyDescent="0.25">
      <c r="A203" t="s">
        <v>573</v>
      </c>
      <c r="B203" t="s">
        <v>13</v>
      </c>
      <c r="C203">
        <v>45971</v>
      </c>
      <c r="D203">
        <v>46022</v>
      </c>
      <c r="E203" t="s">
        <v>722</v>
      </c>
      <c r="F203" t="s">
        <v>14</v>
      </c>
      <c r="G203">
        <v>1010141840</v>
      </c>
      <c r="H203" t="s">
        <v>574</v>
      </c>
      <c r="I203">
        <v>43624414</v>
      </c>
      <c r="J203" t="s">
        <v>14</v>
      </c>
      <c r="K203" t="s">
        <v>18</v>
      </c>
      <c r="L203" s="1">
        <v>15600000</v>
      </c>
      <c r="M203" s="1">
        <v>15600000</v>
      </c>
      <c r="N203" t="s">
        <v>704</v>
      </c>
      <c r="O203" s="1">
        <f t="shared" si="3"/>
        <v>0</v>
      </c>
    </row>
    <row r="204" spans="1:15" hidden="1" x14ac:dyDescent="0.25">
      <c r="A204" t="s">
        <v>154</v>
      </c>
      <c r="B204" t="s">
        <v>13</v>
      </c>
      <c r="C204">
        <v>45971</v>
      </c>
      <c r="D204">
        <v>46022</v>
      </c>
      <c r="E204" t="s">
        <v>727</v>
      </c>
      <c r="F204" t="s">
        <v>14</v>
      </c>
      <c r="G204">
        <v>1086331521</v>
      </c>
      <c r="H204" t="s">
        <v>155</v>
      </c>
      <c r="I204">
        <v>98333941</v>
      </c>
      <c r="J204" t="s">
        <v>14</v>
      </c>
      <c r="K204" t="s">
        <v>15</v>
      </c>
      <c r="L204" s="1">
        <v>15600000</v>
      </c>
      <c r="M204" s="1">
        <v>15600000</v>
      </c>
      <c r="N204" t="s">
        <v>704</v>
      </c>
      <c r="O204" s="1">
        <f t="shared" si="3"/>
        <v>0</v>
      </c>
    </row>
    <row r="205" spans="1:15" hidden="1" x14ac:dyDescent="0.25">
      <c r="A205" t="s">
        <v>569</v>
      </c>
      <c r="B205" t="s">
        <v>13</v>
      </c>
      <c r="C205">
        <v>45967</v>
      </c>
      <c r="D205">
        <v>46022</v>
      </c>
      <c r="E205" t="s">
        <v>804</v>
      </c>
      <c r="F205" t="s">
        <v>14</v>
      </c>
      <c r="G205">
        <v>1085307962</v>
      </c>
      <c r="H205" t="s">
        <v>570</v>
      </c>
      <c r="I205">
        <v>59836926</v>
      </c>
      <c r="J205" t="s">
        <v>14</v>
      </c>
      <c r="K205" t="s">
        <v>17</v>
      </c>
      <c r="L205" s="1">
        <v>15600000</v>
      </c>
      <c r="M205" s="1">
        <v>15600000</v>
      </c>
      <c r="N205" t="s">
        <v>704</v>
      </c>
      <c r="O205" s="1">
        <f t="shared" si="3"/>
        <v>0</v>
      </c>
    </row>
    <row r="206" spans="1:15" hidden="1" x14ac:dyDescent="0.25">
      <c r="A206" t="s">
        <v>400</v>
      </c>
      <c r="B206" t="s">
        <v>13</v>
      </c>
      <c r="C206">
        <v>45966</v>
      </c>
      <c r="D206">
        <v>46022</v>
      </c>
      <c r="E206" t="s">
        <v>749</v>
      </c>
      <c r="F206" t="s">
        <v>14</v>
      </c>
      <c r="G206">
        <v>12969231</v>
      </c>
      <c r="H206" t="s">
        <v>401</v>
      </c>
      <c r="I206">
        <v>43624414</v>
      </c>
      <c r="J206" t="s">
        <v>14</v>
      </c>
      <c r="K206" t="s">
        <v>18</v>
      </c>
      <c r="L206" s="1">
        <v>15600000</v>
      </c>
      <c r="M206" s="1">
        <v>15600000</v>
      </c>
      <c r="N206" t="s">
        <v>704</v>
      </c>
      <c r="O206" s="1">
        <f t="shared" si="3"/>
        <v>0</v>
      </c>
    </row>
    <row r="207" spans="1:15" hidden="1" x14ac:dyDescent="0.25">
      <c r="A207" t="s">
        <v>454</v>
      </c>
      <c r="B207" t="s">
        <v>13</v>
      </c>
      <c r="C207">
        <v>45966</v>
      </c>
      <c r="D207">
        <v>46022</v>
      </c>
      <c r="E207" t="s">
        <v>749</v>
      </c>
      <c r="F207" t="s">
        <v>14</v>
      </c>
      <c r="G207">
        <v>1233193848</v>
      </c>
      <c r="H207" t="s">
        <v>455</v>
      </c>
      <c r="I207">
        <v>43624414</v>
      </c>
      <c r="J207" t="s">
        <v>14</v>
      </c>
      <c r="K207" t="s">
        <v>18</v>
      </c>
      <c r="L207" s="1">
        <v>15600000</v>
      </c>
      <c r="M207" s="1">
        <v>15600000</v>
      </c>
      <c r="N207" t="s">
        <v>704</v>
      </c>
      <c r="O207" s="1">
        <f t="shared" si="3"/>
        <v>0</v>
      </c>
    </row>
    <row r="208" spans="1:15" hidden="1" x14ac:dyDescent="0.25">
      <c r="A208" t="s">
        <v>209</v>
      </c>
      <c r="B208" t="s">
        <v>13</v>
      </c>
      <c r="C208">
        <v>45946</v>
      </c>
      <c r="D208">
        <v>46022</v>
      </c>
      <c r="E208" t="s">
        <v>740</v>
      </c>
      <c r="F208" t="s">
        <v>14</v>
      </c>
      <c r="G208">
        <v>27252200</v>
      </c>
      <c r="H208" t="s">
        <v>210</v>
      </c>
      <c r="I208">
        <v>59836926</v>
      </c>
      <c r="J208" t="s">
        <v>14</v>
      </c>
      <c r="K208" t="s">
        <v>17</v>
      </c>
      <c r="L208" s="1">
        <v>15750000</v>
      </c>
      <c r="M208" s="1">
        <v>15750000</v>
      </c>
      <c r="N208" t="s">
        <v>704</v>
      </c>
      <c r="O208" s="1">
        <f t="shared" si="3"/>
        <v>0</v>
      </c>
    </row>
    <row r="209" spans="1:17" x14ac:dyDescent="0.25">
      <c r="A209" s="6" t="s">
        <v>373</v>
      </c>
      <c r="B209" s="6" t="s">
        <v>13</v>
      </c>
      <c r="C209" s="6">
        <v>45940</v>
      </c>
      <c r="D209" s="6">
        <v>46022</v>
      </c>
      <c r="E209" s="6" t="s">
        <v>744</v>
      </c>
      <c r="F209" s="6" t="s">
        <v>14</v>
      </c>
      <c r="G209" s="6">
        <v>98394849</v>
      </c>
      <c r="H209" s="6" t="s">
        <v>374</v>
      </c>
      <c r="I209" s="6">
        <v>43624414</v>
      </c>
      <c r="J209" s="6" t="s">
        <v>14</v>
      </c>
      <c r="K209" s="6" t="s">
        <v>18</v>
      </c>
      <c r="L209" s="7">
        <v>0</v>
      </c>
      <c r="M209" s="7">
        <v>14190000</v>
      </c>
      <c r="N209" s="6" t="s">
        <v>704</v>
      </c>
      <c r="O209" s="7">
        <f t="shared" si="3"/>
        <v>14190000</v>
      </c>
      <c r="P209" s="2" t="s">
        <v>827</v>
      </c>
      <c r="Q209" t="s">
        <v>833</v>
      </c>
    </row>
    <row r="210" spans="1:17" hidden="1" x14ac:dyDescent="0.25">
      <c r="A210" t="s">
        <v>222</v>
      </c>
      <c r="B210" t="s">
        <v>13</v>
      </c>
      <c r="C210">
        <v>45946</v>
      </c>
      <c r="D210">
        <v>46022</v>
      </c>
      <c r="E210" t="s">
        <v>745</v>
      </c>
      <c r="F210" t="s">
        <v>14</v>
      </c>
      <c r="G210">
        <v>1085278004</v>
      </c>
      <c r="H210" t="s">
        <v>223</v>
      </c>
      <c r="I210">
        <v>59836926</v>
      </c>
      <c r="J210" t="s">
        <v>14</v>
      </c>
      <c r="K210" t="s">
        <v>17</v>
      </c>
      <c r="L210" s="1">
        <v>15750000</v>
      </c>
      <c r="M210" s="1">
        <v>15750000</v>
      </c>
      <c r="N210" t="s">
        <v>704</v>
      </c>
      <c r="O210" s="1">
        <f t="shared" si="3"/>
        <v>0</v>
      </c>
    </row>
    <row r="211" spans="1:17" hidden="1" x14ac:dyDescent="0.25">
      <c r="A211" t="s">
        <v>423</v>
      </c>
      <c r="B211" t="s">
        <v>13</v>
      </c>
      <c r="C211">
        <v>45938</v>
      </c>
      <c r="D211">
        <v>46022</v>
      </c>
      <c r="E211" t="s">
        <v>777</v>
      </c>
      <c r="F211" t="s">
        <v>14</v>
      </c>
      <c r="G211">
        <v>1004213964</v>
      </c>
      <c r="H211" t="s">
        <v>72</v>
      </c>
      <c r="I211">
        <v>59836926</v>
      </c>
      <c r="J211" t="s">
        <v>14</v>
      </c>
      <c r="K211" t="s">
        <v>17</v>
      </c>
      <c r="L211" s="1">
        <v>18900000</v>
      </c>
      <c r="M211" s="1">
        <v>18900000</v>
      </c>
      <c r="N211" t="s">
        <v>704</v>
      </c>
      <c r="O211" s="1">
        <f t="shared" si="3"/>
        <v>0</v>
      </c>
    </row>
    <row r="212" spans="1:17" hidden="1" x14ac:dyDescent="0.25">
      <c r="A212" t="s">
        <v>653</v>
      </c>
      <c r="B212" t="s">
        <v>13</v>
      </c>
      <c r="C212">
        <v>45930</v>
      </c>
      <c r="D212">
        <v>46022</v>
      </c>
      <c r="E212" t="s">
        <v>821</v>
      </c>
      <c r="F212" t="s">
        <v>14</v>
      </c>
      <c r="G212">
        <v>37085864</v>
      </c>
      <c r="H212" t="s">
        <v>654</v>
      </c>
      <c r="I212">
        <v>59836926</v>
      </c>
      <c r="J212" t="s">
        <v>14</v>
      </c>
      <c r="K212" t="s">
        <v>17</v>
      </c>
      <c r="L212" s="1">
        <v>18900000</v>
      </c>
      <c r="M212" s="1">
        <v>18900000</v>
      </c>
      <c r="N212" t="s">
        <v>704</v>
      </c>
      <c r="O212" s="1">
        <f t="shared" si="3"/>
        <v>0</v>
      </c>
    </row>
    <row r="213" spans="1:17" hidden="1" x14ac:dyDescent="0.25">
      <c r="A213" t="s">
        <v>315</v>
      </c>
      <c r="B213" t="s">
        <v>13</v>
      </c>
      <c r="C213">
        <v>45930</v>
      </c>
      <c r="D213">
        <v>46022</v>
      </c>
      <c r="E213" t="s">
        <v>754</v>
      </c>
      <c r="F213" t="s">
        <v>14</v>
      </c>
      <c r="G213">
        <v>1085253062</v>
      </c>
      <c r="H213" t="s">
        <v>316</v>
      </c>
      <c r="I213">
        <v>98390119</v>
      </c>
      <c r="J213" t="s">
        <v>14</v>
      </c>
      <c r="K213" t="s">
        <v>63</v>
      </c>
      <c r="L213" s="1">
        <v>18900000</v>
      </c>
      <c r="M213" s="1">
        <v>18900000</v>
      </c>
      <c r="N213" t="s">
        <v>704</v>
      </c>
      <c r="O213" s="1">
        <f t="shared" si="3"/>
        <v>0</v>
      </c>
    </row>
    <row r="214" spans="1:17" hidden="1" x14ac:dyDescent="0.25">
      <c r="A214" t="s">
        <v>203</v>
      </c>
      <c r="B214" t="s">
        <v>13</v>
      </c>
      <c r="C214">
        <v>45930</v>
      </c>
      <c r="D214">
        <v>46022</v>
      </c>
      <c r="E214" t="s">
        <v>738</v>
      </c>
      <c r="F214" t="s">
        <v>14</v>
      </c>
      <c r="G214">
        <v>1193271485</v>
      </c>
      <c r="H214" t="s">
        <v>204</v>
      </c>
      <c r="I214">
        <v>98390119</v>
      </c>
      <c r="J214" t="s">
        <v>14</v>
      </c>
      <c r="K214" t="s">
        <v>63</v>
      </c>
      <c r="L214" s="1">
        <v>18900000</v>
      </c>
      <c r="M214" s="1">
        <v>18900000</v>
      </c>
      <c r="N214" t="s">
        <v>704</v>
      </c>
      <c r="O214" s="1">
        <f t="shared" si="3"/>
        <v>0</v>
      </c>
    </row>
    <row r="215" spans="1:17" hidden="1" x14ac:dyDescent="0.25">
      <c r="A215" t="s">
        <v>396</v>
      </c>
      <c r="B215" t="s">
        <v>13</v>
      </c>
      <c r="C215">
        <v>45929</v>
      </c>
      <c r="D215">
        <v>46022</v>
      </c>
      <c r="E215" t="s">
        <v>772</v>
      </c>
      <c r="F215" t="s">
        <v>14</v>
      </c>
      <c r="G215">
        <v>1086360087</v>
      </c>
      <c r="H215" t="s">
        <v>397</v>
      </c>
      <c r="I215">
        <v>98390119</v>
      </c>
      <c r="J215" t="s">
        <v>14</v>
      </c>
      <c r="K215" t="s">
        <v>63</v>
      </c>
      <c r="L215" s="1">
        <v>18900000</v>
      </c>
      <c r="M215" s="1">
        <v>18900000</v>
      </c>
      <c r="N215" t="s">
        <v>704</v>
      </c>
      <c r="O215" s="1">
        <f t="shared" si="3"/>
        <v>0</v>
      </c>
    </row>
    <row r="216" spans="1:17" hidden="1" x14ac:dyDescent="0.25">
      <c r="A216" t="s">
        <v>585</v>
      </c>
      <c r="B216" t="s">
        <v>13</v>
      </c>
      <c r="C216">
        <v>45940</v>
      </c>
      <c r="D216">
        <v>46022</v>
      </c>
      <c r="E216" t="s">
        <v>807</v>
      </c>
      <c r="F216" t="s">
        <v>14</v>
      </c>
      <c r="G216">
        <v>1085248939</v>
      </c>
      <c r="H216" t="s">
        <v>586</v>
      </c>
      <c r="I216">
        <v>98333941</v>
      </c>
      <c r="J216" t="s">
        <v>14</v>
      </c>
      <c r="K216" t="s">
        <v>15</v>
      </c>
      <c r="L216" s="1">
        <v>18900000</v>
      </c>
      <c r="M216" s="1">
        <v>18900000</v>
      </c>
      <c r="N216" t="s">
        <v>704</v>
      </c>
      <c r="O216" s="1">
        <f t="shared" si="3"/>
        <v>0</v>
      </c>
    </row>
    <row r="217" spans="1:17" hidden="1" x14ac:dyDescent="0.25">
      <c r="A217" t="s">
        <v>486</v>
      </c>
      <c r="B217" t="s">
        <v>13</v>
      </c>
      <c r="C217">
        <v>45911</v>
      </c>
      <c r="D217">
        <v>46022</v>
      </c>
      <c r="E217" t="s">
        <v>706</v>
      </c>
      <c r="F217" t="s">
        <v>14</v>
      </c>
      <c r="G217">
        <v>1005829176</v>
      </c>
      <c r="H217" t="s">
        <v>487</v>
      </c>
      <c r="I217">
        <v>59836926</v>
      </c>
      <c r="J217" t="s">
        <v>14</v>
      </c>
      <c r="K217" t="s">
        <v>17</v>
      </c>
      <c r="L217" s="1">
        <v>18920000</v>
      </c>
      <c r="M217" s="1">
        <v>18920000</v>
      </c>
      <c r="N217" t="s">
        <v>704</v>
      </c>
      <c r="O217" s="1">
        <f t="shared" si="3"/>
        <v>0</v>
      </c>
    </row>
    <row r="218" spans="1:17" hidden="1" x14ac:dyDescent="0.25">
      <c r="A218" t="s">
        <v>657</v>
      </c>
      <c r="B218" t="s">
        <v>13</v>
      </c>
      <c r="C218">
        <v>45911</v>
      </c>
      <c r="D218">
        <v>46022</v>
      </c>
      <c r="E218" t="s">
        <v>706</v>
      </c>
      <c r="F218" t="s">
        <v>14</v>
      </c>
      <c r="G218">
        <v>1086137686</v>
      </c>
      <c r="H218" t="s">
        <v>658</v>
      </c>
      <c r="I218">
        <v>98333941</v>
      </c>
      <c r="J218" t="s">
        <v>14</v>
      </c>
      <c r="K218" t="s">
        <v>15</v>
      </c>
      <c r="L218" s="1">
        <v>18920000</v>
      </c>
      <c r="M218" s="1">
        <v>18920000</v>
      </c>
      <c r="N218" t="s">
        <v>704</v>
      </c>
      <c r="O218" s="1">
        <f t="shared" si="3"/>
        <v>0</v>
      </c>
    </row>
    <row r="219" spans="1:17" hidden="1" x14ac:dyDescent="0.25">
      <c r="A219" t="s">
        <v>89</v>
      </c>
      <c r="B219" t="s">
        <v>13</v>
      </c>
      <c r="C219">
        <v>45910</v>
      </c>
      <c r="D219">
        <v>46022</v>
      </c>
      <c r="E219" t="s">
        <v>706</v>
      </c>
      <c r="F219" t="s">
        <v>14</v>
      </c>
      <c r="G219">
        <v>1086360022</v>
      </c>
      <c r="H219" t="s">
        <v>90</v>
      </c>
      <c r="I219">
        <v>98333941</v>
      </c>
      <c r="J219" t="s">
        <v>14</v>
      </c>
      <c r="K219" t="s">
        <v>15</v>
      </c>
      <c r="L219" s="1">
        <v>18920000</v>
      </c>
      <c r="M219" s="1">
        <v>18920000</v>
      </c>
      <c r="N219" t="s">
        <v>704</v>
      </c>
      <c r="O219" s="1">
        <f t="shared" si="3"/>
        <v>0</v>
      </c>
    </row>
    <row r="220" spans="1:17" hidden="1" x14ac:dyDescent="0.25">
      <c r="A220" t="s">
        <v>575</v>
      </c>
      <c r="B220" t="s">
        <v>13</v>
      </c>
      <c r="C220">
        <v>45910</v>
      </c>
      <c r="D220">
        <v>46022</v>
      </c>
      <c r="E220" t="s">
        <v>706</v>
      </c>
      <c r="F220" t="s">
        <v>14</v>
      </c>
      <c r="G220">
        <v>1087960287</v>
      </c>
      <c r="H220" t="s">
        <v>576</v>
      </c>
      <c r="I220">
        <v>59836926</v>
      </c>
      <c r="J220" t="s">
        <v>14</v>
      </c>
      <c r="K220" t="s">
        <v>17</v>
      </c>
      <c r="L220" s="1">
        <v>18920000</v>
      </c>
      <c r="M220" s="1">
        <v>18920000</v>
      </c>
      <c r="N220" t="s">
        <v>704</v>
      </c>
      <c r="O220" s="1">
        <f t="shared" si="3"/>
        <v>0</v>
      </c>
    </row>
    <row r="221" spans="1:17" hidden="1" x14ac:dyDescent="0.25">
      <c r="A221" t="s">
        <v>158</v>
      </c>
      <c r="B221" t="s">
        <v>13</v>
      </c>
      <c r="C221">
        <v>45908</v>
      </c>
      <c r="D221">
        <v>46022</v>
      </c>
      <c r="E221" t="s">
        <v>706</v>
      </c>
      <c r="F221" t="s">
        <v>14</v>
      </c>
      <c r="G221">
        <v>36756149</v>
      </c>
      <c r="H221" t="s">
        <v>159</v>
      </c>
      <c r="I221">
        <v>98333941</v>
      </c>
      <c r="J221" t="s">
        <v>14</v>
      </c>
      <c r="K221" t="s">
        <v>15</v>
      </c>
      <c r="L221" s="1">
        <v>18920000</v>
      </c>
      <c r="M221" s="1">
        <v>18920000</v>
      </c>
      <c r="N221" t="s">
        <v>704</v>
      </c>
      <c r="O221" s="1">
        <f t="shared" si="3"/>
        <v>0</v>
      </c>
    </row>
    <row r="222" spans="1:17" hidden="1" x14ac:dyDescent="0.25">
      <c r="A222" t="s">
        <v>444</v>
      </c>
      <c r="B222" t="s">
        <v>13</v>
      </c>
      <c r="C222">
        <v>45908</v>
      </c>
      <c r="D222">
        <v>46022</v>
      </c>
      <c r="E222" t="s">
        <v>706</v>
      </c>
      <c r="F222" t="s">
        <v>14</v>
      </c>
      <c r="G222">
        <v>36950073</v>
      </c>
      <c r="H222" t="s">
        <v>445</v>
      </c>
      <c r="I222">
        <v>98333941</v>
      </c>
      <c r="J222" t="s">
        <v>14</v>
      </c>
      <c r="K222" t="s">
        <v>15</v>
      </c>
      <c r="L222" s="1">
        <v>18920000</v>
      </c>
      <c r="M222" s="1">
        <v>18920000</v>
      </c>
      <c r="N222" t="s">
        <v>704</v>
      </c>
      <c r="O222" s="1">
        <f t="shared" si="3"/>
        <v>0</v>
      </c>
    </row>
    <row r="223" spans="1:17" hidden="1" x14ac:dyDescent="0.25">
      <c r="A223" t="s">
        <v>568</v>
      </c>
      <c r="B223" t="s">
        <v>13</v>
      </c>
      <c r="C223">
        <v>45908</v>
      </c>
      <c r="D223">
        <v>46022</v>
      </c>
      <c r="E223" t="s">
        <v>803</v>
      </c>
      <c r="F223" t="s">
        <v>14</v>
      </c>
      <c r="G223">
        <v>1085343783</v>
      </c>
      <c r="H223" t="s">
        <v>19</v>
      </c>
      <c r="I223">
        <v>59836926</v>
      </c>
      <c r="J223" t="s">
        <v>14</v>
      </c>
      <c r="K223" t="s">
        <v>17</v>
      </c>
      <c r="L223" s="1">
        <v>18920000</v>
      </c>
      <c r="M223" s="1">
        <v>18920000</v>
      </c>
      <c r="N223" t="s">
        <v>704</v>
      </c>
      <c r="O223" s="1">
        <f t="shared" si="3"/>
        <v>0</v>
      </c>
    </row>
    <row r="224" spans="1:17" hidden="1" x14ac:dyDescent="0.25">
      <c r="A224" t="s">
        <v>430</v>
      </c>
      <c r="B224" t="s">
        <v>13</v>
      </c>
      <c r="C224">
        <v>45905</v>
      </c>
      <c r="D224">
        <v>46022</v>
      </c>
      <c r="E224" t="s">
        <v>744</v>
      </c>
      <c r="F224" t="s">
        <v>14</v>
      </c>
      <c r="G224">
        <v>1085318201</v>
      </c>
      <c r="H224" t="s">
        <v>431</v>
      </c>
      <c r="I224">
        <v>98333941</v>
      </c>
      <c r="J224" t="s">
        <v>14</v>
      </c>
      <c r="K224" t="s">
        <v>15</v>
      </c>
      <c r="L224" s="1">
        <v>18920000</v>
      </c>
      <c r="M224" s="1">
        <v>18920000</v>
      </c>
      <c r="N224" t="s">
        <v>704</v>
      </c>
      <c r="O224" s="1">
        <f t="shared" si="3"/>
        <v>0</v>
      </c>
    </row>
    <row r="225" spans="1:17" hidden="1" x14ac:dyDescent="0.25">
      <c r="A225" t="s">
        <v>426</v>
      </c>
      <c r="B225" t="s">
        <v>13</v>
      </c>
      <c r="C225">
        <v>45905</v>
      </c>
      <c r="D225">
        <v>46022</v>
      </c>
      <c r="E225" t="s">
        <v>744</v>
      </c>
      <c r="F225" t="s">
        <v>14</v>
      </c>
      <c r="G225">
        <v>1085318684</v>
      </c>
      <c r="H225" t="s">
        <v>427</v>
      </c>
      <c r="I225">
        <v>98333941</v>
      </c>
      <c r="J225" t="s">
        <v>14</v>
      </c>
      <c r="K225" t="s">
        <v>15</v>
      </c>
      <c r="L225" s="1">
        <v>18920000</v>
      </c>
      <c r="M225" s="1">
        <v>18920000</v>
      </c>
      <c r="N225" t="s">
        <v>704</v>
      </c>
      <c r="O225" s="1">
        <f t="shared" si="3"/>
        <v>0</v>
      </c>
    </row>
    <row r="226" spans="1:17" hidden="1" x14ac:dyDescent="0.25">
      <c r="A226" t="s">
        <v>439</v>
      </c>
      <c r="B226" t="s">
        <v>13</v>
      </c>
      <c r="C226">
        <v>45905</v>
      </c>
      <c r="D226">
        <v>46022</v>
      </c>
      <c r="E226" t="s">
        <v>782</v>
      </c>
      <c r="F226" t="s">
        <v>14</v>
      </c>
      <c r="G226">
        <v>27087475</v>
      </c>
      <c r="H226" t="s">
        <v>48</v>
      </c>
      <c r="I226">
        <v>43624414</v>
      </c>
      <c r="J226" t="s">
        <v>14</v>
      </c>
      <c r="K226" t="s">
        <v>18</v>
      </c>
      <c r="L226" s="1">
        <v>18920000</v>
      </c>
      <c r="M226" s="1">
        <v>18920000</v>
      </c>
      <c r="N226" t="s">
        <v>704</v>
      </c>
      <c r="O226" s="1">
        <f t="shared" si="3"/>
        <v>0</v>
      </c>
    </row>
    <row r="227" spans="1:17" hidden="1" x14ac:dyDescent="0.25">
      <c r="A227" t="s">
        <v>561</v>
      </c>
      <c r="B227" t="s">
        <v>13</v>
      </c>
      <c r="C227">
        <v>45905</v>
      </c>
      <c r="D227">
        <v>46022</v>
      </c>
      <c r="E227" t="s">
        <v>755</v>
      </c>
      <c r="F227" t="s">
        <v>14</v>
      </c>
      <c r="G227">
        <v>1085264667</v>
      </c>
      <c r="H227" t="s">
        <v>562</v>
      </c>
      <c r="I227">
        <v>98333941</v>
      </c>
      <c r="J227" t="s">
        <v>14</v>
      </c>
      <c r="K227" t="s">
        <v>15</v>
      </c>
      <c r="L227" s="1">
        <v>18920000</v>
      </c>
      <c r="M227" s="1">
        <v>18920000</v>
      </c>
      <c r="N227" t="s">
        <v>704</v>
      </c>
      <c r="O227" s="1">
        <f t="shared" si="3"/>
        <v>0</v>
      </c>
    </row>
    <row r="228" spans="1:17" hidden="1" x14ac:dyDescent="0.25">
      <c r="A228" t="s">
        <v>94</v>
      </c>
      <c r="B228" t="s">
        <v>13</v>
      </c>
      <c r="C228">
        <v>45905</v>
      </c>
      <c r="D228">
        <v>46022</v>
      </c>
      <c r="E228" t="s">
        <v>709</v>
      </c>
      <c r="F228" t="s">
        <v>14</v>
      </c>
      <c r="G228">
        <v>1193424771</v>
      </c>
      <c r="H228" t="s">
        <v>95</v>
      </c>
      <c r="I228">
        <v>98333941</v>
      </c>
      <c r="J228" t="s">
        <v>14</v>
      </c>
      <c r="K228" t="s">
        <v>15</v>
      </c>
      <c r="L228" s="1">
        <v>18920000</v>
      </c>
      <c r="M228" s="1">
        <v>18920000</v>
      </c>
      <c r="N228" t="s">
        <v>704</v>
      </c>
      <c r="O228" s="1">
        <f t="shared" si="3"/>
        <v>0</v>
      </c>
    </row>
    <row r="229" spans="1:17" hidden="1" x14ac:dyDescent="0.25">
      <c r="A229" t="s">
        <v>524</v>
      </c>
      <c r="B229" t="s">
        <v>13</v>
      </c>
      <c r="C229">
        <v>45905</v>
      </c>
      <c r="D229">
        <v>46022</v>
      </c>
      <c r="E229" t="s">
        <v>725</v>
      </c>
      <c r="F229" t="s">
        <v>14</v>
      </c>
      <c r="G229">
        <v>59651018</v>
      </c>
      <c r="H229" t="s">
        <v>525</v>
      </c>
      <c r="I229">
        <v>43624414</v>
      </c>
      <c r="J229" t="s">
        <v>14</v>
      </c>
      <c r="K229" t="s">
        <v>18</v>
      </c>
      <c r="L229" s="1">
        <v>18920000</v>
      </c>
      <c r="M229" s="1">
        <v>18920000</v>
      </c>
      <c r="N229" t="s">
        <v>704</v>
      </c>
      <c r="O229" s="1">
        <f t="shared" si="3"/>
        <v>0</v>
      </c>
    </row>
    <row r="230" spans="1:17" hidden="1" x14ac:dyDescent="0.25">
      <c r="A230" t="s">
        <v>91</v>
      </c>
      <c r="B230" t="s">
        <v>13</v>
      </c>
      <c r="C230">
        <v>45904</v>
      </c>
      <c r="D230">
        <v>46022</v>
      </c>
      <c r="E230" t="s">
        <v>707</v>
      </c>
      <c r="F230" t="s">
        <v>14</v>
      </c>
      <c r="G230">
        <v>1087414586</v>
      </c>
      <c r="H230" t="s">
        <v>92</v>
      </c>
      <c r="I230">
        <v>43624414</v>
      </c>
      <c r="J230" t="s">
        <v>14</v>
      </c>
      <c r="K230" t="s">
        <v>18</v>
      </c>
      <c r="L230" s="1">
        <v>18920000</v>
      </c>
      <c r="M230" s="1">
        <v>18920000</v>
      </c>
      <c r="N230" t="s">
        <v>704</v>
      </c>
      <c r="O230" s="1">
        <f t="shared" si="3"/>
        <v>0</v>
      </c>
    </row>
    <row r="231" spans="1:17" hidden="1" x14ac:dyDescent="0.25">
      <c r="A231" t="s">
        <v>294</v>
      </c>
      <c r="B231" t="s">
        <v>13</v>
      </c>
      <c r="C231">
        <v>45904</v>
      </c>
      <c r="D231">
        <v>46022</v>
      </c>
      <c r="E231" t="s">
        <v>707</v>
      </c>
      <c r="F231" t="s">
        <v>14</v>
      </c>
      <c r="G231">
        <v>1085263018</v>
      </c>
      <c r="H231" t="s">
        <v>295</v>
      </c>
      <c r="I231">
        <v>98333941</v>
      </c>
      <c r="J231" t="s">
        <v>14</v>
      </c>
      <c r="K231" t="s">
        <v>15</v>
      </c>
      <c r="L231" s="1">
        <v>18920000</v>
      </c>
      <c r="M231" s="1">
        <v>18920000</v>
      </c>
      <c r="N231" t="s">
        <v>704</v>
      </c>
      <c r="O231" s="1">
        <f t="shared" si="3"/>
        <v>0</v>
      </c>
    </row>
    <row r="232" spans="1:17" hidden="1" x14ac:dyDescent="0.25">
      <c r="A232" t="s">
        <v>163</v>
      </c>
      <c r="B232" t="s">
        <v>13</v>
      </c>
      <c r="C232">
        <v>45904</v>
      </c>
      <c r="D232">
        <v>46022</v>
      </c>
      <c r="E232" t="s">
        <v>707</v>
      </c>
      <c r="F232" t="s">
        <v>14</v>
      </c>
      <c r="G232">
        <v>36757491</v>
      </c>
      <c r="H232" t="s">
        <v>164</v>
      </c>
      <c r="I232">
        <v>98333941</v>
      </c>
      <c r="J232" t="s">
        <v>14</v>
      </c>
      <c r="K232" t="s">
        <v>15</v>
      </c>
      <c r="L232" s="1">
        <v>18920000</v>
      </c>
      <c r="M232" s="1">
        <v>18920000</v>
      </c>
      <c r="N232" t="s">
        <v>704</v>
      </c>
      <c r="O232" s="1">
        <f t="shared" si="3"/>
        <v>0</v>
      </c>
    </row>
    <row r="233" spans="1:17" hidden="1" x14ac:dyDescent="0.25">
      <c r="A233" t="s">
        <v>388</v>
      </c>
      <c r="B233" t="s">
        <v>13</v>
      </c>
      <c r="C233">
        <v>45904</v>
      </c>
      <c r="D233">
        <v>46022</v>
      </c>
      <c r="E233" t="s">
        <v>707</v>
      </c>
      <c r="F233" t="s">
        <v>14</v>
      </c>
      <c r="G233">
        <v>1085260497</v>
      </c>
      <c r="H233" t="s">
        <v>389</v>
      </c>
      <c r="I233">
        <v>98333941</v>
      </c>
      <c r="J233" t="s">
        <v>14</v>
      </c>
      <c r="K233" t="s">
        <v>15</v>
      </c>
      <c r="L233" s="1">
        <v>18920000</v>
      </c>
      <c r="M233" s="1">
        <v>18920000</v>
      </c>
      <c r="N233" t="s">
        <v>704</v>
      </c>
      <c r="O233" s="1">
        <f t="shared" si="3"/>
        <v>0</v>
      </c>
    </row>
    <row r="234" spans="1:17" hidden="1" x14ac:dyDescent="0.25">
      <c r="A234" t="s">
        <v>458</v>
      </c>
      <c r="B234" t="s">
        <v>13</v>
      </c>
      <c r="C234">
        <v>45904</v>
      </c>
      <c r="D234">
        <v>46022</v>
      </c>
      <c r="E234" t="s">
        <v>707</v>
      </c>
      <c r="F234" t="s">
        <v>14</v>
      </c>
      <c r="G234">
        <v>1082749648</v>
      </c>
      <c r="H234" t="s">
        <v>459</v>
      </c>
      <c r="I234">
        <v>98333941</v>
      </c>
      <c r="J234" t="s">
        <v>14</v>
      </c>
      <c r="K234" t="s">
        <v>15</v>
      </c>
      <c r="L234" s="1">
        <v>18920000</v>
      </c>
      <c r="M234" s="1">
        <v>18920000</v>
      </c>
      <c r="N234" t="s">
        <v>704</v>
      </c>
      <c r="O234" s="1">
        <f t="shared" si="3"/>
        <v>0</v>
      </c>
    </row>
    <row r="235" spans="1:17" hidden="1" x14ac:dyDescent="0.25">
      <c r="A235" t="s">
        <v>336</v>
      </c>
      <c r="B235" t="s">
        <v>13</v>
      </c>
      <c r="C235">
        <v>45903</v>
      </c>
      <c r="D235">
        <v>46022</v>
      </c>
      <c r="E235" t="s">
        <v>707</v>
      </c>
      <c r="F235" t="s">
        <v>14</v>
      </c>
      <c r="G235">
        <v>36759759</v>
      </c>
      <c r="H235" t="s">
        <v>26</v>
      </c>
      <c r="I235">
        <v>98390119</v>
      </c>
      <c r="J235" t="s">
        <v>14</v>
      </c>
      <c r="K235" t="s">
        <v>63</v>
      </c>
      <c r="L235" s="1">
        <v>18920000</v>
      </c>
      <c r="M235" s="1">
        <v>18920000</v>
      </c>
      <c r="N235" t="s">
        <v>704</v>
      </c>
      <c r="O235" s="1">
        <f t="shared" si="3"/>
        <v>0</v>
      </c>
    </row>
    <row r="236" spans="1:17" hidden="1" x14ac:dyDescent="0.25">
      <c r="A236" t="s">
        <v>699</v>
      </c>
      <c r="B236" t="s">
        <v>13</v>
      </c>
      <c r="C236">
        <v>45903</v>
      </c>
      <c r="D236">
        <v>46022</v>
      </c>
      <c r="E236" t="s">
        <v>825</v>
      </c>
      <c r="F236" t="s">
        <v>14</v>
      </c>
      <c r="G236">
        <v>1084227101</v>
      </c>
      <c r="H236" t="s">
        <v>700</v>
      </c>
      <c r="I236">
        <v>98333941</v>
      </c>
      <c r="J236" t="s">
        <v>14</v>
      </c>
      <c r="K236" t="s">
        <v>15</v>
      </c>
      <c r="L236" s="1">
        <v>18920000</v>
      </c>
      <c r="M236" s="1">
        <v>18920000</v>
      </c>
      <c r="N236" t="s">
        <v>704</v>
      </c>
      <c r="O236" s="1">
        <f t="shared" si="3"/>
        <v>0</v>
      </c>
    </row>
    <row r="237" spans="1:17" hidden="1" x14ac:dyDescent="0.25">
      <c r="A237" t="s">
        <v>479</v>
      </c>
      <c r="B237" t="s">
        <v>13</v>
      </c>
      <c r="C237">
        <v>45903</v>
      </c>
      <c r="D237">
        <v>46022</v>
      </c>
      <c r="E237" t="s">
        <v>790</v>
      </c>
      <c r="F237" t="s">
        <v>14</v>
      </c>
      <c r="G237">
        <v>59824313</v>
      </c>
      <c r="H237" t="s">
        <v>480</v>
      </c>
      <c r="I237">
        <v>98390119</v>
      </c>
      <c r="J237" t="s">
        <v>14</v>
      </c>
      <c r="K237" t="s">
        <v>63</v>
      </c>
      <c r="L237" s="1">
        <v>18920000</v>
      </c>
      <c r="M237" s="1">
        <v>18920000</v>
      </c>
      <c r="N237" t="s">
        <v>704</v>
      </c>
      <c r="O237" s="1">
        <f t="shared" si="3"/>
        <v>0</v>
      </c>
    </row>
    <row r="238" spans="1:17" x14ac:dyDescent="0.25">
      <c r="A238" s="6" t="s">
        <v>247</v>
      </c>
      <c r="B238" s="6" t="s">
        <v>13</v>
      </c>
      <c r="C238" s="6">
        <v>45908</v>
      </c>
      <c r="D238" s="6">
        <v>46022</v>
      </c>
      <c r="E238" s="6" t="s">
        <v>706</v>
      </c>
      <c r="F238" s="6" t="s">
        <v>14</v>
      </c>
      <c r="G238" s="6">
        <v>1085745772</v>
      </c>
      <c r="H238" s="6" t="s">
        <v>248</v>
      </c>
      <c r="I238" s="6">
        <v>59836926</v>
      </c>
      <c r="J238" s="6" t="s">
        <v>14</v>
      </c>
      <c r="K238" s="6" t="s">
        <v>17</v>
      </c>
      <c r="L238" s="7">
        <v>0</v>
      </c>
      <c r="M238" s="7">
        <v>18920000</v>
      </c>
      <c r="N238" s="6" t="s">
        <v>704</v>
      </c>
      <c r="O238" s="7">
        <f t="shared" si="3"/>
        <v>18920000</v>
      </c>
      <c r="P238" s="2" t="s">
        <v>827</v>
      </c>
      <c r="Q238" t="s">
        <v>833</v>
      </c>
    </row>
    <row r="239" spans="1:17" hidden="1" x14ac:dyDescent="0.25">
      <c r="A239" t="s">
        <v>328</v>
      </c>
      <c r="B239" t="s">
        <v>13</v>
      </c>
      <c r="C239">
        <v>45902</v>
      </c>
      <c r="D239">
        <v>46022</v>
      </c>
      <c r="E239" t="s">
        <v>759</v>
      </c>
      <c r="F239" t="s">
        <v>14</v>
      </c>
      <c r="G239">
        <v>1085330309</v>
      </c>
      <c r="H239" t="s">
        <v>16</v>
      </c>
      <c r="I239">
        <v>43624414</v>
      </c>
      <c r="J239" t="s">
        <v>14</v>
      </c>
      <c r="K239" t="s">
        <v>18</v>
      </c>
      <c r="L239" s="1">
        <v>18920000</v>
      </c>
      <c r="M239" s="1">
        <v>18920000</v>
      </c>
      <c r="N239" t="s">
        <v>704</v>
      </c>
      <c r="O239" s="1">
        <f t="shared" si="3"/>
        <v>0</v>
      </c>
    </row>
    <row r="240" spans="1:17" hidden="1" x14ac:dyDescent="0.25">
      <c r="A240" t="s">
        <v>218</v>
      </c>
      <c r="B240" t="s">
        <v>13</v>
      </c>
      <c r="C240">
        <v>45902</v>
      </c>
      <c r="D240">
        <v>46022</v>
      </c>
      <c r="E240" t="s">
        <v>743</v>
      </c>
      <c r="F240" t="s">
        <v>14</v>
      </c>
      <c r="G240">
        <v>1087413951</v>
      </c>
      <c r="H240" t="s">
        <v>219</v>
      </c>
      <c r="I240">
        <v>98333941</v>
      </c>
      <c r="J240" t="s">
        <v>14</v>
      </c>
      <c r="K240" t="s">
        <v>15</v>
      </c>
      <c r="L240" s="1">
        <v>18920000</v>
      </c>
      <c r="M240" s="1">
        <v>18920000</v>
      </c>
      <c r="N240" t="s">
        <v>704</v>
      </c>
      <c r="O240" s="1">
        <f t="shared" si="3"/>
        <v>0</v>
      </c>
    </row>
    <row r="241" spans="1:15" hidden="1" x14ac:dyDescent="0.25">
      <c r="A241" t="s">
        <v>432</v>
      </c>
      <c r="B241" t="s">
        <v>13</v>
      </c>
      <c r="C241">
        <v>45902</v>
      </c>
      <c r="D241">
        <v>46022</v>
      </c>
      <c r="E241" t="s">
        <v>779</v>
      </c>
      <c r="F241" t="s">
        <v>14</v>
      </c>
      <c r="G241">
        <v>1085340885</v>
      </c>
      <c r="H241" t="s">
        <v>433</v>
      </c>
      <c r="I241">
        <v>98333941</v>
      </c>
      <c r="J241" t="s">
        <v>14</v>
      </c>
      <c r="K241" t="s">
        <v>15</v>
      </c>
      <c r="L241" s="1">
        <v>18920000</v>
      </c>
      <c r="M241" s="1">
        <v>18920000</v>
      </c>
      <c r="N241" t="s">
        <v>704</v>
      </c>
      <c r="O241" s="1">
        <f t="shared" si="3"/>
        <v>0</v>
      </c>
    </row>
    <row r="242" spans="1:15" hidden="1" x14ac:dyDescent="0.25">
      <c r="A242" t="s">
        <v>273</v>
      </c>
      <c r="B242" t="s">
        <v>13</v>
      </c>
      <c r="C242">
        <v>45901</v>
      </c>
      <c r="D242">
        <v>46022</v>
      </c>
      <c r="E242" t="s">
        <v>752</v>
      </c>
      <c r="F242" t="s">
        <v>14</v>
      </c>
      <c r="G242">
        <v>1193383306</v>
      </c>
      <c r="H242" t="s">
        <v>274</v>
      </c>
      <c r="I242">
        <v>59836926</v>
      </c>
      <c r="J242" t="s">
        <v>14</v>
      </c>
      <c r="K242" t="s">
        <v>17</v>
      </c>
      <c r="L242" s="1">
        <v>18920000</v>
      </c>
      <c r="M242" s="1">
        <v>18920000</v>
      </c>
      <c r="N242" t="s">
        <v>704</v>
      </c>
      <c r="O242" s="1">
        <f t="shared" si="3"/>
        <v>0</v>
      </c>
    </row>
    <row r="243" spans="1:15" hidden="1" x14ac:dyDescent="0.25">
      <c r="A243" t="s">
        <v>176</v>
      </c>
      <c r="B243" t="s">
        <v>13</v>
      </c>
      <c r="C243">
        <v>45946</v>
      </c>
      <c r="D243">
        <v>46022</v>
      </c>
      <c r="E243" t="s">
        <v>717</v>
      </c>
      <c r="F243" t="s">
        <v>14</v>
      </c>
      <c r="G243">
        <v>1061794455</v>
      </c>
      <c r="H243" t="s">
        <v>177</v>
      </c>
      <c r="I243">
        <v>59836926</v>
      </c>
      <c r="J243" t="s">
        <v>14</v>
      </c>
      <c r="K243" t="s">
        <v>17</v>
      </c>
      <c r="L243" s="1">
        <v>19500000</v>
      </c>
      <c r="M243" s="1">
        <v>19500000</v>
      </c>
      <c r="N243" t="s">
        <v>704</v>
      </c>
      <c r="O243" s="1">
        <f t="shared" si="3"/>
        <v>0</v>
      </c>
    </row>
    <row r="244" spans="1:15" hidden="1" x14ac:dyDescent="0.25">
      <c r="A244" t="s">
        <v>390</v>
      </c>
      <c r="B244" t="s">
        <v>13</v>
      </c>
      <c r="C244">
        <v>45946</v>
      </c>
      <c r="D244">
        <v>46022</v>
      </c>
      <c r="E244" t="s">
        <v>769</v>
      </c>
      <c r="F244" t="s">
        <v>14</v>
      </c>
      <c r="G244">
        <v>98398376</v>
      </c>
      <c r="H244" t="s">
        <v>391</v>
      </c>
      <c r="I244">
        <v>59836926</v>
      </c>
      <c r="J244" t="s">
        <v>14</v>
      </c>
      <c r="K244" t="s">
        <v>17</v>
      </c>
      <c r="L244" s="1">
        <v>19500000</v>
      </c>
      <c r="M244" s="1">
        <v>19500000</v>
      </c>
      <c r="N244" t="s">
        <v>704</v>
      </c>
      <c r="O244" s="1">
        <f t="shared" si="3"/>
        <v>0</v>
      </c>
    </row>
    <row r="245" spans="1:15" hidden="1" x14ac:dyDescent="0.25">
      <c r="A245" t="s">
        <v>409</v>
      </c>
      <c r="B245" t="s">
        <v>13</v>
      </c>
      <c r="C245">
        <v>45945</v>
      </c>
      <c r="D245">
        <v>46022</v>
      </c>
      <c r="E245" t="s">
        <v>776</v>
      </c>
      <c r="F245" t="s">
        <v>14</v>
      </c>
      <c r="G245">
        <v>87065647</v>
      </c>
      <c r="H245" t="s">
        <v>410</v>
      </c>
      <c r="I245">
        <v>59836926</v>
      </c>
      <c r="J245" t="s">
        <v>14</v>
      </c>
      <c r="K245" t="s">
        <v>17</v>
      </c>
      <c r="L245" s="1">
        <v>19500000</v>
      </c>
      <c r="M245" s="1">
        <v>19500000</v>
      </c>
      <c r="N245" t="s">
        <v>704</v>
      </c>
      <c r="O245" s="1">
        <f t="shared" si="3"/>
        <v>0</v>
      </c>
    </row>
    <row r="246" spans="1:15" hidden="1" x14ac:dyDescent="0.25">
      <c r="A246" t="s">
        <v>607</v>
      </c>
      <c r="B246" t="s">
        <v>13</v>
      </c>
      <c r="C246">
        <v>45923</v>
      </c>
      <c r="D246">
        <v>46022</v>
      </c>
      <c r="E246" t="s">
        <v>745</v>
      </c>
      <c r="F246" t="s">
        <v>14</v>
      </c>
      <c r="G246">
        <v>27456421</v>
      </c>
      <c r="H246" t="s">
        <v>608</v>
      </c>
      <c r="I246">
        <v>98390119</v>
      </c>
      <c r="J246" t="s">
        <v>14</v>
      </c>
      <c r="K246" t="s">
        <v>63</v>
      </c>
      <c r="L246" s="1">
        <v>22050000</v>
      </c>
      <c r="M246" s="1">
        <v>22050000</v>
      </c>
      <c r="N246" t="s">
        <v>704</v>
      </c>
      <c r="O246" s="1">
        <f t="shared" si="3"/>
        <v>0</v>
      </c>
    </row>
    <row r="247" spans="1:15" hidden="1" x14ac:dyDescent="0.25">
      <c r="A247" t="s">
        <v>329</v>
      </c>
      <c r="B247" t="s">
        <v>13</v>
      </c>
      <c r="C247">
        <v>45922</v>
      </c>
      <c r="D247">
        <v>46022</v>
      </c>
      <c r="E247" t="s">
        <v>760</v>
      </c>
      <c r="F247" t="s">
        <v>14</v>
      </c>
      <c r="G247">
        <v>59314458</v>
      </c>
      <c r="H247" t="s">
        <v>25</v>
      </c>
      <c r="I247">
        <v>98390119</v>
      </c>
      <c r="J247" t="s">
        <v>14</v>
      </c>
      <c r="K247" t="s">
        <v>63</v>
      </c>
      <c r="L247" s="1">
        <v>22050000</v>
      </c>
      <c r="M247" s="1">
        <v>22050000</v>
      </c>
      <c r="N247" t="s">
        <v>704</v>
      </c>
      <c r="O247" s="1">
        <f t="shared" si="3"/>
        <v>0</v>
      </c>
    </row>
    <row r="248" spans="1:15" hidden="1" x14ac:dyDescent="0.25">
      <c r="A248" t="s">
        <v>121</v>
      </c>
      <c r="B248" t="s">
        <v>13</v>
      </c>
      <c r="C248">
        <v>45922</v>
      </c>
      <c r="D248">
        <v>46022</v>
      </c>
      <c r="E248" t="s">
        <v>718</v>
      </c>
      <c r="F248" t="s">
        <v>14</v>
      </c>
      <c r="G248">
        <v>1193383314</v>
      </c>
      <c r="H248" t="s">
        <v>122</v>
      </c>
      <c r="I248">
        <v>98390119</v>
      </c>
      <c r="J248" t="s">
        <v>14</v>
      </c>
      <c r="K248" t="s">
        <v>63</v>
      </c>
      <c r="L248" s="1">
        <v>22050000</v>
      </c>
      <c r="M248" s="1">
        <v>22050000</v>
      </c>
      <c r="N248" t="s">
        <v>704</v>
      </c>
      <c r="O248" s="1">
        <f t="shared" si="3"/>
        <v>0</v>
      </c>
    </row>
    <row r="249" spans="1:15" hidden="1" x14ac:dyDescent="0.25">
      <c r="A249" t="s">
        <v>671</v>
      </c>
      <c r="B249" t="s">
        <v>13</v>
      </c>
      <c r="C249">
        <v>45919</v>
      </c>
      <c r="D249">
        <v>46022</v>
      </c>
      <c r="E249" t="s">
        <v>822</v>
      </c>
      <c r="F249" t="s">
        <v>14</v>
      </c>
      <c r="G249">
        <v>59837608</v>
      </c>
      <c r="H249" t="s">
        <v>47</v>
      </c>
      <c r="I249">
        <v>98333941</v>
      </c>
      <c r="J249" t="s">
        <v>14</v>
      </c>
      <c r="K249" t="s">
        <v>15</v>
      </c>
      <c r="L249" s="1">
        <v>22050000</v>
      </c>
      <c r="M249" s="1">
        <v>22050000</v>
      </c>
      <c r="N249" t="s">
        <v>704</v>
      </c>
      <c r="O249" s="1">
        <f t="shared" si="3"/>
        <v>0</v>
      </c>
    </row>
    <row r="250" spans="1:15" hidden="1" x14ac:dyDescent="0.25">
      <c r="A250" t="s">
        <v>638</v>
      </c>
      <c r="B250" t="s">
        <v>13</v>
      </c>
      <c r="C250">
        <v>45919</v>
      </c>
      <c r="D250">
        <v>46022</v>
      </c>
      <c r="E250" t="s">
        <v>817</v>
      </c>
      <c r="F250" t="s">
        <v>14</v>
      </c>
      <c r="G250">
        <v>1004564013</v>
      </c>
      <c r="H250" t="s">
        <v>639</v>
      </c>
      <c r="I250">
        <v>43624414</v>
      </c>
      <c r="J250" t="s">
        <v>14</v>
      </c>
      <c r="K250" t="s">
        <v>18</v>
      </c>
      <c r="L250" s="1">
        <v>22050000</v>
      </c>
      <c r="M250" s="1">
        <v>22050000</v>
      </c>
      <c r="N250" t="s">
        <v>704</v>
      </c>
      <c r="O250" s="1">
        <f t="shared" si="3"/>
        <v>0</v>
      </c>
    </row>
    <row r="251" spans="1:15" hidden="1" x14ac:dyDescent="0.25">
      <c r="A251" t="s">
        <v>563</v>
      </c>
      <c r="B251" t="s">
        <v>13</v>
      </c>
      <c r="C251">
        <v>45917</v>
      </c>
      <c r="D251">
        <v>46022</v>
      </c>
      <c r="E251" t="s">
        <v>802</v>
      </c>
      <c r="F251" t="s">
        <v>14</v>
      </c>
      <c r="G251">
        <v>1085275879</v>
      </c>
      <c r="H251" t="s">
        <v>59</v>
      </c>
      <c r="I251">
        <v>98390119</v>
      </c>
      <c r="J251" t="s">
        <v>14</v>
      </c>
      <c r="K251" t="s">
        <v>63</v>
      </c>
      <c r="L251" s="1">
        <v>22050000</v>
      </c>
      <c r="M251" s="1">
        <v>22050000</v>
      </c>
      <c r="N251" t="s">
        <v>704</v>
      </c>
      <c r="O251" s="1">
        <f t="shared" si="3"/>
        <v>0</v>
      </c>
    </row>
    <row r="252" spans="1:15" hidden="1" x14ac:dyDescent="0.25">
      <c r="A252" t="s">
        <v>371</v>
      </c>
      <c r="B252" t="s">
        <v>13</v>
      </c>
      <c r="C252">
        <v>45938</v>
      </c>
      <c r="D252">
        <v>46022</v>
      </c>
      <c r="E252" t="s">
        <v>722</v>
      </c>
      <c r="F252" t="s">
        <v>14</v>
      </c>
      <c r="G252">
        <v>1123327071</v>
      </c>
      <c r="H252" t="s">
        <v>372</v>
      </c>
      <c r="I252">
        <v>43624414</v>
      </c>
      <c r="J252" t="s">
        <v>14</v>
      </c>
      <c r="K252" t="s">
        <v>18</v>
      </c>
      <c r="L252" s="1">
        <v>23400000</v>
      </c>
      <c r="M252" s="1">
        <v>23400000</v>
      </c>
      <c r="N252" t="s">
        <v>704</v>
      </c>
      <c r="O252" s="1">
        <f t="shared" si="3"/>
        <v>0</v>
      </c>
    </row>
    <row r="253" spans="1:15" hidden="1" x14ac:dyDescent="0.25">
      <c r="A253" t="s">
        <v>472</v>
      </c>
      <c r="B253" t="s">
        <v>13</v>
      </c>
      <c r="C253">
        <v>45930</v>
      </c>
      <c r="D253">
        <v>46022</v>
      </c>
      <c r="E253" t="s">
        <v>789</v>
      </c>
      <c r="F253" t="s">
        <v>14</v>
      </c>
      <c r="G253">
        <v>12961407</v>
      </c>
      <c r="H253" t="s">
        <v>473</v>
      </c>
      <c r="I253">
        <v>59836926</v>
      </c>
      <c r="J253" t="s">
        <v>14</v>
      </c>
      <c r="K253" t="s">
        <v>17</v>
      </c>
      <c r="L253" s="1">
        <v>23400000</v>
      </c>
      <c r="M253" s="1">
        <v>23400000</v>
      </c>
      <c r="N253" t="s">
        <v>704</v>
      </c>
      <c r="O253" s="1">
        <f t="shared" si="3"/>
        <v>0</v>
      </c>
    </row>
    <row r="254" spans="1:15" hidden="1" x14ac:dyDescent="0.25">
      <c r="A254" t="s">
        <v>613</v>
      </c>
      <c r="B254" t="s">
        <v>13</v>
      </c>
      <c r="C254">
        <v>45940</v>
      </c>
      <c r="D254">
        <v>46022</v>
      </c>
      <c r="E254" t="s">
        <v>809</v>
      </c>
      <c r="F254" t="s">
        <v>14</v>
      </c>
      <c r="G254">
        <v>59313415</v>
      </c>
      <c r="H254" t="s">
        <v>614</v>
      </c>
      <c r="I254">
        <v>98390119</v>
      </c>
      <c r="J254" t="s">
        <v>14</v>
      </c>
      <c r="K254" t="s">
        <v>63</v>
      </c>
      <c r="L254" s="1">
        <v>23400000</v>
      </c>
      <c r="M254" s="1">
        <v>23400000</v>
      </c>
      <c r="N254" t="s">
        <v>704</v>
      </c>
      <c r="O254" s="1">
        <f t="shared" si="3"/>
        <v>0</v>
      </c>
    </row>
    <row r="255" spans="1:15" hidden="1" x14ac:dyDescent="0.25">
      <c r="A255" t="s">
        <v>596</v>
      </c>
      <c r="B255" t="s">
        <v>13</v>
      </c>
      <c r="C255">
        <v>45911</v>
      </c>
      <c r="D255">
        <v>46022</v>
      </c>
      <c r="E255" t="s">
        <v>719</v>
      </c>
      <c r="F255" t="s">
        <v>14</v>
      </c>
      <c r="G255">
        <v>59825948</v>
      </c>
      <c r="H255" t="s">
        <v>34</v>
      </c>
      <c r="I255">
        <v>43624414</v>
      </c>
      <c r="J255" t="s">
        <v>14</v>
      </c>
      <c r="K255" t="s">
        <v>18</v>
      </c>
      <c r="L255" s="1">
        <v>25200000</v>
      </c>
      <c r="M255" s="1">
        <v>25200000</v>
      </c>
      <c r="N255" t="s">
        <v>704</v>
      </c>
      <c r="O255" s="1">
        <f t="shared" si="3"/>
        <v>0</v>
      </c>
    </row>
    <row r="256" spans="1:15" hidden="1" x14ac:dyDescent="0.25">
      <c r="A256" t="s">
        <v>125</v>
      </c>
      <c r="B256" t="s">
        <v>13</v>
      </c>
      <c r="C256">
        <v>45911</v>
      </c>
      <c r="D256">
        <v>46022</v>
      </c>
      <c r="E256" t="s">
        <v>719</v>
      </c>
      <c r="F256" t="s">
        <v>14</v>
      </c>
      <c r="G256">
        <v>1085347312</v>
      </c>
      <c r="H256" t="s">
        <v>126</v>
      </c>
      <c r="I256">
        <v>98333941</v>
      </c>
      <c r="J256" t="s">
        <v>14</v>
      </c>
      <c r="K256" t="s">
        <v>15</v>
      </c>
      <c r="L256" s="1">
        <v>25200000</v>
      </c>
      <c r="M256" s="1">
        <v>25200000</v>
      </c>
      <c r="N256" t="s">
        <v>704</v>
      </c>
      <c r="O256" s="1">
        <f t="shared" si="3"/>
        <v>0</v>
      </c>
    </row>
    <row r="257" spans="1:15" hidden="1" x14ac:dyDescent="0.25">
      <c r="A257" t="s">
        <v>667</v>
      </c>
      <c r="B257" t="s">
        <v>13</v>
      </c>
      <c r="C257">
        <v>45911</v>
      </c>
      <c r="D257">
        <v>46022</v>
      </c>
      <c r="E257" t="s">
        <v>719</v>
      </c>
      <c r="F257" t="s">
        <v>14</v>
      </c>
      <c r="G257">
        <v>1084551863</v>
      </c>
      <c r="H257" t="s">
        <v>668</v>
      </c>
      <c r="I257">
        <v>98333941</v>
      </c>
      <c r="J257" t="s">
        <v>14</v>
      </c>
      <c r="K257" t="s">
        <v>15</v>
      </c>
      <c r="L257" s="1">
        <v>25200000</v>
      </c>
      <c r="M257" s="1">
        <v>25200000</v>
      </c>
      <c r="N257" t="s">
        <v>704</v>
      </c>
      <c r="O257" s="1">
        <f t="shared" si="3"/>
        <v>0</v>
      </c>
    </row>
    <row r="258" spans="1:15" hidden="1" x14ac:dyDescent="0.25">
      <c r="A258" t="s">
        <v>476</v>
      </c>
      <c r="B258" t="s">
        <v>13</v>
      </c>
      <c r="C258">
        <v>45910</v>
      </c>
      <c r="D258">
        <v>46022</v>
      </c>
      <c r="E258" t="s">
        <v>719</v>
      </c>
      <c r="F258" t="s">
        <v>14</v>
      </c>
      <c r="G258">
        <v>97470681</v>
      </c>
      <c r="H258" t="s">
        <v>55</v>
      </c>
      <c r="I258">
        <v>98333941</v>
      </c>
      <c r="J258" t="s">
        <v>14</v>
      </c>
      <c r="K258" t="s">
        <v>15</v>
      </c>
      <c r="L258" s="1">
        <v>25200000</v>
      </c>
      <c r="M258" s="1">
        <v>25200000</v>
      </c>
      <c r="N258" t="s">
        <v>704</v>
      </c>
      <c r="O258" s="1">
        <f t="shared" ref="O258:O321" si="4">M258-L258</f>
        <v>0</v>
      </c>
    </row>
    <row r="259" spans="1:15" hidden="1" x14ac:dyDescent="0.25">
      <c r="A259" t="s">
        <v>205</v>
      </c>
      <c r="B259" t="s">
        <v>13</v>
      </c>
      <c r="C259">
        <v>45910</v>
      </c>
      <c r="D259">
        <v>46022</v>
      </c>
      <c r="E259" t="s">
        <v>719</v>
      </c>
      <c r="F259" t="s">
        <v>14</v>
      </c>
      <c r="G259">
        <v>1082748420</v>
      </c>
      <c r="H259" t="s">
        <v>65</v>
      </c>
      <c r="I259">
        <v>98333941</v>
      </c>
      <c r="J259" t="s">
        <v>14</v>
      </c>
      <c r="K259" t="s">
        <v>15</v>
      </c>
      <c r="L259" s="1">
        <v>25200000</v>
      </c>
      <c r="M259" s="1">
        <v>25200000</v>
      </c>
      <c r="N259" t="s">
        <v>704</v>
      </c>
      <c r="O259" s="1">
        <f t="shared" si="4"/>
        <v>0</v>
      </c>
    </row>
    <row r="260" spans="1:15" hidden="1" x14ac:dyDescent="0.25">
      <c r="A260" t="s">
        <v>134</v>
      </c>
      <c r="B260" t="s">
        <v>13</v>
      </c>
      <c r="C260">
        <v>45909</v>
      </c>
      <c r="D260">
        <v>46022</v>
      </c>
      <c r="E260" t="s">
        <v>719</v>
      </c>
      <c r="F260" t="s">
        <v>14</v>
      </c>
      <c r="G260">
        <v>59310291</v>
      </c>
      <c r="H260" t="s">
        <v>135</v>
      </c>
      <c r="I260">
        <v>98333941</v>
      </c>
      <c r="J260" t="s">
        <v>14</v>
      </c>
      <c r="K260" t="s">
        <v>15</v>
      </c>
      <c r="L260" s="1">
        <v>25200000</v>
      </c>
      <c r="M260" s="1">
        <v>25200000</v>
      </c>
      <c r="N260" t="s">
        <v>704</v>
      </c>
      <c r="O260" s="1">
        <f t="shared" si="4"/>
        <v>0</v>
      </c>
    </row>
    <row r="261" spans="1:15" hidden="1" x14ac:dyDescent="0.25">
      <c r="A261" t="s">
        <v>411</v>
      </c>
      <c r="B261" t="s">
        <v>13</v>
      </c>
      <c r="C261">
        <v>45909</v>
      </c>
      <c r="D261">
        <v>46022</v>
      </c>
      <c r="E261" t="s">
        <v>719</v>
      </c>
      <c r="F261" t="s">
        <v>14</v>
      </c>
      <c r="G261">
        <v>1085272491</v>
      </c>
      <c r="H261" t="s">
        <v>412</v>
      </c>
      <c r="I261">
        <v>98390119</v>
      </c>
      <c r="J261" t="s">
        <v>14</v>
      </c>
      <c r="K261" t="s">
        <v>63</v>
      </c>
      <c r="L261" s="1">
        <v>25200000</v>
      </c>
      <c r="M261" s="1">
        <v>25200000</v>
      </c>
      <c r="N261" t="s">
        <v>704</v>
      </c>
      <c r="O261" s="1">
        <f t="shared" si="4"/>
        <v>0</v>
      </c>
    </row>
    <row r="262" spans="1:15" hidden="1" x14ac:dyDescent="0.25">
      <c r="A262" t="s">
        <v>260</v>
      </c>
      <c r="B262" t="s">
        <v>13</v>
      </c>
      <c r="C262">
        <v>45908</v>
      </c>
      <c r="D262">
        <v>46022</v>
      </c>
      <c r="E262" t="s">
        <v>719</v>
      </c>
      <c r="F262" t="s">
        <v>14</v>
      </c>
      <c r="G262">
        <v>1053793750</v>
      </c>
      <c r="H262" t="s">
        <v>261</v>
      </c>
      <c r="I262">
        <v>98333941</v>
      </c>
      <c r="J262" t="s">
        <v>14</v>
      </c>
      <c r="K262" t="s">
        <v>15</v>
      </c>
      <c r="L262" s="1">
        <v>25200000</v>
      </c>
      <c r="M262" s="1">
        <v>25200000</v>
      </c>
      <c r="N262" t="s">
        <v>704</v>
      </c>
      <c r="O262" s="1">
        <f t="shared" si="4"/>
        <v>0</v>
      </c>
    </row>
    <row r="263" spans="1:15" hidden="1" x14ac:dyDescent="0.25">
      <c r="A263" t="s">
        <v>192</v>
      </c>
      <c r="B263" t="s">
        <v>13</v>
      </c>
      <c r="C263">
        <v>45908</v>
      </c>
      <c r="D263">
        <v>46022</v>
      </c>
      <c r="E263" t="s">
        <v>719</v>
      </c>
      <c r="F263" t="s">
        <v>14</v>
      </c>
      <c r="G263">
        <v>27146489</v>
      </c>
      <c r="H263" t="s">
        <v>193</v>
      </c>
      <c r="I263">
        <v>98390119</v>
      </c>
      <c r="J263" t="s">
        <v>14</v>
      </c>
      <c r="K263" t="s">
        <v>63</v>
      </c>
      <c r="L263" s="1">
        <v>25200000</v>
      </c>
      <c r="M263" s="1">
        <v>25200000</v>
      </c>
      <c r="N263" t="s">
        <v>704</v>
      </c>
      <c r="O263" s="1">
        <f t="shared" si="4"/>
        <v>0</v>
      </c>
    </row>
    <row r="264" spans="1:15" hidden="1" x14ac:dyDescent="0.25">
      <c r="A264" t="s">
        <v>180</v>
      </c>
      <c r="B264" t="s">
        <v>13</v>
      </c>
      <c r="C264">
        <v>45908</v>
      </c>
      <c r="D264">
        <v>46022</v>
      </c>
      <c r="E264" t="s">
        <v>719</v>
      </c>
      <c r="F264" t="s">
        <v>14</v>
      </c>
      <c r="G264">
        <v>59836480</v>
      </c>
      <c r="H264" t="s">
        <v>181</v>
      </c>
      <c r="I264">
        <v>43624414</v>
      </c>
      <c r="J264" t="s">
        <v>14</v>
      </c>
      <c r="K264" t="s">
        <v>18</v>
      </c>
      <c r="L264" s="1">
        <v>25200000</v>
      </c>
      <c r="M264" s="1">
        <v>25200000</v>
      </c>
      <c r="N264" t="s">
        <v>704</v>
      </c>
      <c r="O264" s="1">
        <f t="shared" si="4"/>
        <v>0</v>
      </c>
    </row>
    <row r="265" spans="1:15" hidden="1" x14ac:dyDescent="0.25">
      <c r="A265" t="s">
        <v>378</v>
      </c>
      <c r="B265" t="s">
        <v>13</v>
      </c>
      <c r="C265">
        <v>45908</v>
      </c>
      <c r="D265">
        <v>46022</v>
      </c>
      <c r="E265" t="s">
        <v>766</v>
      </c>
      <c r="F265" t="s">
        <v>14</v>
      </c>
      <c r="G265">
        <v>1010010954</v>
      </c>
      <c r="H265" t="s">
        <v>379</v>
      </c>
      <c r="I265">
        <v>43624414</v>
      </c>
      <c r="J265" t="s">
        <v>14</v>
      </c>
      <c r="K265" t="s">
        <v>18</v>
      </c>
      <c r="L265" s="1">
        <v>25200000</v>
      </c>
      <c r="M265" s="1">
        <v>25200000</v>
      </c>
      <c r="N265" t="s">
        <v>704</v>
      </c>
      <c r="O265" s="1">
        <f t="shared" si="4"/>
        <v>0</v>
      </c>
    </row>
    <row r="266" spans="1:15" hidden="1" x14ac:dyDescent="0.25">
      <c r="A266" t="s">
        <v>526</v>
      </c>
      <c r="B266" t="s">
        <v>13</v>
      </c>
      <c r="C266">
        <v>45905</v>
      </c>
      <c r="D266">
        <v>46022</v>
      </c>
      <c r="E266" t="s">
        <v>754</v>
      </c>
      <c r="F266" t="s">
        <v>14</v>
      </c>
      <c r="G266">
        <v>1085299577</v>
      </c>
      <c r="H266" t="s">
        <v>527</v>
      </c>
      <c r="I266">
        <v>98390119</v>
      </c>
      <c r="J266" t="s">
        <v>14</v>
      </c>
      <c r="K266" t="s">
        <v>63</v>
      </c>
      <c r="L266" s="1">
        <v>25200000</v>
      </c>
      <c r="M266" s="1">
        <v>25200000</v>
      </c>
      <c r="N266" t="s">
        <v>704</v>
      </c>
      <c r="O266" s="1">
        <f t="shared" si="4"/>
        <v>0</v>
      </c>
    </row>
    <row r="267" spans="1:15" hidden="1" x14ac:dyDescent="0.25">
      <c r="A267" t="s">
        <v>402</v>
      </c>
      <c r="B267" t="s">
        <v>13</v>
      </c>
      <c r="C267">
        <v>45905</v>
      </c>
      <c r="D267">
        <v>46022</v>
      </c>
      <c r="E267" t="s">
        <v>754</v>
      </c>
      <c r="F267" t="s">
        <v>14</v>
      </c>
      <c r="G267">
        <v>1084228089</v>
      </c>
      <c r="H267" t="s">
        <v>403</v>
      </c>
      <c r="I267">
        <v>98333941</v>
      </c>
      <c r="J267" t="s">
        <v>14</v>
      </c>
      <c r="K267" t="s">
        <v>15</v>
      </c>
      <c r="L267" s="1">
        <v>25200000</v>
      </c>
      <c r="M267" s="1">
        <v>25200000</v>
      </c>
      <c r="N267" t="s">
        <v>704</v>
      </c>
      <c r="O267" s="1">
        <f t="shared" si="4"/>
        <v>0</v>
      </c>
    </row>
    <row r="268" spans="1:15" hidden="1" x14ac:dyDescent="0.25">
      <c r="A268" t="s">
        <v>499</v>
      </c>
      <c r="B268" t="s">
        <v>13</v>
      </c>
      <c r="C268">
        <v>45905</v>
      </c>
      <c r="D268">
        <v>46022</v>
      </c>
      <c r="E268" t="s">
        <v>745</v>
      </c>
      <c r="F268" t="s">
        <v>14</v>
      </c>
      <c r="G268">
        <v>1085286476</v>
      </c>
      <c r="H268" t="s">
        <v>500</v>
      </c>
      <c r="I268">
        <v>59836926</v>
      </c>
      <c r="J268" t="s">
        <v>14</v>
      </c>
      <c r="K268" t="s">
        <v>17</v>
      </c>
      <c r="L268" s="1">
        <v>25200000</v>
      </c>
      <c r="M268" s="1">
        <v>25200000</v>
      </c>
      <c r="N268" t="s">
        <v>704</v>
      </c>
      <c r="O268" s="1">
        <f t="shared" si="4"/>
        <v>0</v>
      </c>
    </row>
    <row r="269" spans="1:15" hidden="1" x14ac:dyDescent="0.25">
      <c r="A269" t="s">
        <v>680</v>
      </c>
      <c r="B269" t="s">
        <v>13</v>
      </c>
      <c r="C269">
        <v>45904</v>
      </c>
      <c r="D269">
        <v>46022</v>
      </c>
      <c r="E269" t="s">
        <v>823</v>
      </c>
      <c r="F269" t="s">
        <v>14</v>
      </c>
      <c r="G269">
        <v>1085277976</v>
      </c>
      <c r="H269" t="s">
        <v>681</v>
      </c>
      <c r="I269">
        <v>43624414</v>
      </c>
      <c r="J269" t="s">
        <v>14</v>
      </c>
      <c r="K269" t="s">
        <v>18</v>
      </c>
      <c r="L269" s="1">
        <v>25200000</v>
      </c>
      <c r="M269" s="1">
        <v>25200000</v>
      </c>
      <c r="N269" t="s">
        <v>704</v>
      </c>
      <c r="O269" s="1">
        <f t="shared" si="4"/>
        <v>0</v>
      </c>
    </row>
    <row r="270" spans="1:15" hidden="1" x14ac:dyDescent="0.25">
      <c r="A270" t="s">
        <v>413</v>
      </c>
      <c r="B270" t="s">
        <v>13</v>
      </c>
      <c r="C270">
        <v>45904</v>
      </c>
      <c r="D270">
        <v>46022</v>
      </c>
      <c r="E270" t="s">
        <v>777</v>
      </c>
      <c r="F270" t="s">
        <v>14</v>
      </c>
      <c r="G270">
        <v>1085283868</v>
      </c>
      <c r="H270" t="s">
        <v>414</v>
      </c>
      <c r="I270">
        <v>43624414</v>
      </c>
      <c r="J270" t="s">
        <v>14</v>
      </c>
      <c r="K270" t="s">
        <v>18</v>
      </c>
      <c r="L270" s="1">
        <v>25200000</v>
      </c>
      <c r="M270" s="1">
        <v>25200000</v>
      </c>
      <c r="N270" t="s">
        <v>704</v>
      </c>
      <c r="O270" s="1">
        <f t="shared" si="4"/>
        <v>0</v>
      </c>
    </row>
    <row r="271" spans="1:15" hidden="1" x14ac:dyDescent="0.25">
      <c r="A271" t="s">
        <v>553</v>
      </c>
      <c r="B271" t="s">
        <v>13</v>
      </c>
      <c r="C271">
        <v>45904</v>
      </c>
      <c r="D271">
        <v>46022</v>
      </c>
      <c r="E271" t="s">
        <v>777</v>
      </c>
      <c r="F271" t="s">
        <v>14</v>
      </c>
      <c r="G271">
        <v>1085296068</v>
      </c>
      <c r="H271" t="s">
        <v>554</v>
      </c>
      <c r="I271">
        <v>98333941</v>
      </c>
      <c r="J271" t="s">
        <v>14</v>
      </c>
      <c r="K271" t="s">
        <v>15</v>
      </c>
      <c r="L271" s="1">
        <v>25200000</v>
      </c>
      <c r="M271" s="1">
        <v>25200000</v>
      </c>
      <c r="N271" t="s">
        <v>704</v>
      </c>
      <c r="O271" s="1">
        <f t="shared" si="4"/>
        <v>0</v>
      </c>
    </row>
    <row r="272" spans="1:15" hidden="1" x14ac:dyDescent="0.25">
      <c r="A272" t="s">
        <v>583</v>
      </c>
      <c r="B272" t="s">
        <v>13</v>
      </c>
      <c r="C272">
        <v>45903</v>
      </c>
      <c r="D272">
        <v>46022</v>
      </c>
      <c r="E272" t="s">
        <v>777</v>
      </c>
      <c r="F272" t="s">
        <v>14</v>
      </c>
      <c r="G272">
        <v>59820414</v>
      </c>
      <c r="H272" t="s">
        <v>584</v>
      </c>
      <c r="I272">
        <v>43624414</v>
      </c>
      <c r="J272" t="s">
        <v>14</v>
      </c>
      <c r="K272" t="s">
        <v>18</v>
      </c>
      <c r="L272" s="1">
        <v>25200000</v>
      </c>
      <c r="M272" s="1">
        <v>25200000</v>
      </c>
      <c r="N272" t="s">
        <v>704</v>
      </c>
      <c r="O272" s="1">
        <f t="shared" si="4"/>
        <v>0</v>
      </c>
    </row>
    <row r="273" spans="1:15" hidden="1" x14ac:dyDescent="0.25">
      <c r="A273" t="s">
        <v>357</v>
      </c>
      <c r="B273" t="s">
        <v>13</v>
      </c>
      <c r="C273">
        <v>45925</v>
      </c>
      <c r="D273">
        <v>46022</v>
      </c>
      <c r="E273" t="s">
        <v>722</v>
      </c>
      <c r="F273" t="s">
        <v>14</v>
      </c>
      <c r="G273">
        <v>1233188295</v>
      </c>
      <c r="H273" t="s">
        <v>358</v>
      </c>
      <c r="I273">
        <v>98390119</v>
      </c>
      <c r="J273" t="s">
        <v>14</v>
      </c>
      <c r="K273" t="s">
        <v>63</v>
      </c>
      <c r="L273" s="1">
        <v>27300000</v>
      </c>
      <c r="M273" s="1">
        <v>27300000</v>
      </c>
      <c r="N273" t="s">
        <v>704</v>
      </c>
      <c r="O273" s="1">
        <f t="shared" si="4"/>
        <v>0</v>
      </c>
    </row>
    <row r="274" spans="1:15" hidden="1" x14ac:dyDescent="0.25">
      <c r="A274" t="s">
        <v>279</v>
      </c>
      <c r="B274" t="s">
        <v>13</v>
      </c>
      <c r="C274">
        <v>45925</v>
      </c>
      <c r="D274">
        <v>46022</v>
      </c>
      <c r="E274" t="s">
        <v>722</v>
      </c>
      <c r="F274" t="s">
        <v>14</v>
      </c>
      <c r="G274">
        <v>1144172704</v>
      </c>
      <c r="H274" t="s">
        <v>280</v>
      </c>
      <c r="I274">
        <v>43624414</v>
      </c>
      <c r="J274" t="s">
        <v>14</v>
      </c>
      <c r="K274" t="s">
        <v>18</v>
      </c>
      <c r="L274" s="1">
        <v>27300000</v>
      </c>
      <c r="M274" s="1">
        <v>27300000</v>
      </c>
      <c r="N274" t="s">
        <v>704</v>
      </c>
      <c r="O274" s="1">
        <f t="shared" si="4"/>
        <v>0</v>
      </c>
    </row>
    <row r="275" spans="1:15" hidden="1" x14ac:dyDescent="0.25">
      <c r="A275" t="s">
        <v>102</v>
      </c>
      <c r="B275" t="s">
        <v>13</v>
      </c>
      <c r="C275">
        <v>45923</v>
      </c>
      <c r="D275">
        <v>46022</v>
      </c>
      <c r="E275" t="s">
        <v>713</v>
      </c>
      <c r="F275" t="s">
        <v>14</v>
      </c>
      <c r="G275">
        <v>1089846684</v>
      </c>
      <c r="H275" t="s">
        <v>103</v>
      </c>
      <c r="I275">
        <v>98390119</v>
      </c>
      <c r="J275" t="s">
        <v>14</v>
      </c>
      <c r="K275" t="s">
        <v>63</v>
      </c>
      <c r="L275" s="1">
        <v>27300000</v>
      </c>
      <c r="M275" s="1">
        <v>27300000</v>
      </c>
      <c r="N275" t="s">
        <v>704</v>
      </c>
      <c r="O275" s="1">
        <f t="shared" si="4"/>
        <v>0</v>
      </c>
    </row>
    <row r="276" spans="1:15" hidden="1" x14ac:dyDescent="0.25">
      <c r="A276" t="s">
        <v>363</v>
      </c>
      <c r="B276" t="s">
        <v>13</v>
      </c>
      <c r="C276">
        <v>45922</v>
      </c>
      <c r="D276">
        <v>46022</v>
      </c>
      <c r="E276" t="s">
        <v>749</v>
      </c>
      <c r="F276" t="s">
        <v>14</v>
      </c>
      <c r="G276">
        <v>1085274300</v>
      </c>
      <c r="H276" t="s">
        <v>364</v>
      </c>
      <c r="I276">
        <v>98390119</v>
      </c>
      <c r="J276" t="s">
        <v>14</v>
      </c>
      <c r="K276" t="s">
        <v>63</v>
      </c>
      <c r="L276" s="1">
        <v>27300000</v>
      </c>
      <c r="M276" s="1">
        <v>27300000</v>
      </c>
      <c r="N276" t="s">
        <v>704</v>
      </c>
      <c r="O276" s="1">
        <f t="shared" si="4"/>
        <v>0</v>
      </c>
    </row>
    <row r="277" spans="1:15" hidden="1" x14ac:dyDescent="0.25">
      <c r="A277" t="s">
        <v>152</v>
      </c>
      <c r="B277" t="s">
        <v>13</v>
      </c>
      <c r="C277">
        <v>45919</v>
      </c>
      <c r="D277">
        <v>46022</v>
      </c>
      <c r="E277" t="s">
        <v>722</v>
      </c>
      <c r="F277" t="s">
        <v>14</v>
      </c>
      <c r="G277">
        <v>1087645723</v>
      </c>
      <c r="H277" t="s">
        <v>153</v>
      </c>
      <c r="I277">
        <v>98390119</v>
      </c>
      <c r="J277" t="s">
        <v>14</v>
      </c>
      <c r="K277" t="s">
        <v>63</v>
      </c>
      <c r="L277" s="1">
        <v>27300000</v>
      </c>
      <c r="M277" s="1">
        <v>27300000</v>
      </c>
      <c r="N277" t="s">
        <v>704</v>
      </c>
      <c r="O277" s="1">
        <f t="shared" si="4"/>
        <v>0</v>
      </c>
    </row>
    <row r="278" spans="1:15" hidden="1" x14ac:dyDescent="0.25">
      <c r="A278" t="s">
        <v>245</v>
      </c>
      <c r="B278" t="s">
        <v>13</v>
      </c>
      <c r="C278">
        <v>45919</v>
      </c>
      <c r="D278">
        <v>46022</v>
      </c>
      <c r="E278" t="s">
        <v>749</v>
      </c>
      <c r="F278" t="s">
        <v>14</v>
      </c>
      <c r="G278">
        <v>1110594073</v>
      </c>
      <c r="H278" t="s">
        <v>246</v>
      </c>
      <c r="I278">
        <v>98390119</v>
      </c>
      <c r="J278" t="s">
        <v>14</v>
      </c>
      <c r="K278" t="s">
        <v>63</v>
      </c>
      <c r="L278" s="1">
        <v>27300000</v>
      </c>
      <c r="M278" s="1">
        <v>27300000</v>
      </c>
      <c r="N278" t="s">
        <v>704</v>
      </c>
      <c r="O278" s="1">
        <f t="shared" si="4"/>
        <v>0</v>
      </c>
    </row>
    <row r="279" spans="1:15" hidden="1" x14ac:dyDescent="0.25">
      <c r="A279" t="s">
        <v>337</v>
      </c>
      <c r="B279" t="s">
        <v>13</v>
      </c>
      <c r="C279">
        <v>45917</v>
      </c>
      <c r="D279">
        <v>46022</v>
      </c>
      <c r="E279" t="s">
        <v>749</v>
      </c>
      <c r="F279" t="s">
        <v>14</v>
      </c>
      <c r="G279">
        <v>1233193769</v>
      </c>
      <c r="H279" t="s">
        <v>338</v>
      </c>
      <c r="I279">
        <v>98390119</v>
      </c>
      <c r="J279" t="s">
        <v>14</v>
      </c>
      <c r="K279" t="s">
        <v>63</v>
      </c>
      <c r="L279" s="1">
        <v>27300000</v>
      </c>
      <c r="M279" s="1">
        <v>27300000</v>
      </c>
      <c r="N279" t="s">
        <v>704</v>
      </c>
      <c r="O279" s="1">
        <f t="shared" si="4"/>
        <v>0</v>
      </c>
    </row>
    <row r="280" spans="1:15" hidden="1" x14ac:dyDescent="0.25">
      <c r="A280" t="s">
        <v>113</v>
      </c>
      <c r="B280" t="s">
        <v>13</v>
      </c>
      <c r="C280">
        <v>45915</v>
      </c>
      <c r="D280">
        <v>46022</v>
      </c>
      <c r="E280" t="s">
        <v>710</v>
      </c>
      <c r="F280" t="s">
        <v>14</v>
      </c>
      <c r="G280">
        <v>1086361969</v>
      </c>
      <c r="H280" t="s">
        <v>114</v>
      </c>
      <c r="I280">
        <v>98333941</v>
      </c>
      <c r="J280" t="s">
        <v>14</v>
      </c>
      <c r="K280" t="s">
        <v>15</v>
      </c>
      <c r="L280" s="1">
        <v>31200000</v>
      </c>
      <c r="M280" s="1">
        <v>31200000</v>
      </c>
      <c r="N280" t="s">
        <v>704</v>
      </c>
      <c r="O280" s="1">
        <f t="shared" si="4"/>
        <v>0</v>
      </c>
    </row>
    <row r="281" spans="1:15" hidden="1" x14ac:dyDescent="0.25">
      <c r="A281" t="s">
        <v>324</v>
      </c>
      <c r="B281" t="s">
        <v>13</v>
      </c>
      <c r="C281">
        <v>45912</v>
      </c>
      <c r="D281">
        <v>46022</v>
      </c>
      <c r="E281" t="s">
        <v>710</v>
      </c>
      <c r="F281" t="s">
        <v>14</v>
      </c>
      <c r="G281">
        <v>1089483067</v>
      </c>
      <c r="H281" t="s">
        <v>325</v>
      </c>
      <c r="I281">
        <v>43624414</v>
      </c>
      <c r="J281" t="s">
        <v>14</v>
      </c>
      <c r="K281" t="s">
        <v>18</v>
      </c>
      <c r="L281" s="1">
        <v>31200000</v>
      </c>
      <c r="M281" s="1">
        <v>31200000</v>
      </c>
      <c r="N281" t="s">
        <v>704</v>
      </c>
      <c r="O281" s="1">
        <f t="shared" si="4"/>
        <v>0</v>
      </c>
    </row>
    <row r="282" spans="1:15" hidden="1" x14ac:dyDescent="0.25">
      <c r="A282" t="s">
        <v>465</v>
      </c>
      <c r="B282" t="s">
        <v>13</v>
      </c>
      <c r="C282">
        <v>45909</v>
      </c>
      <c r="D282">
        <v>46022</v>
      </c>
      <c r="E282" t="s">
        <v>710</v>
      </c>
      <c r="F282" t="s">
        <v>14</v>
      </c>
      <c r="G282">
        <v>1233189066</v>
      </c>
      <c r="H282" t="s">
        <v>466</v>
      </c>
      <c r="I282">
        <v>98390119</v>
      </c>
      <c r="J282" t="s">
        <v>14</v>
      </c>
      <c r="K282" t="s">
        <v>63</v>
      </c>
      <c r="L282" s="1">
        <v>31200000</v>
      </c>
      <c r="M282" s="1">
        <v>31200000</v>
      </c>
      <c r="N282" t="s">
        <v>704</v>
      </c>
      <c r="O282" s="1">
        <f t="shared" si="4"/>
        <v>0</v>
      </c>
    </row>
    <row r="283" spans="1:15" hidden="1" x14ac:dyDescent="0.25">
      <c r="A283" t="s">
        <v>326</v>
      </c>
      <c r="B283" t="s">
        <v>13</v>
      </c>
      <c r="C283">
        <v>45909</v>
      </c>
      <c r="D283">
        <v>46022</v>
      </c>
      <c r="E283" t="s">
        <v>710</v>
      </c>
      <c r="F283" t="s">
        <v>14</v>
      </c>
      <c r="G283">
        <v>1084552063</v>
      </c>
      <c r="H283" t="s">
        <v>327</v>
      </c>
      <c r="I283">
        <v>98333941</v>
      </c>
      <c r="J283" t="s">
        <v>14</v>
      </c>
      <c r="K283" t="s">
        <v>15</v>
      </c>
      <c r="L283" s="1">
        <v>31200000</v>
      </c>
      <c r="M283" s="1">
        <v>31200000</v>
      </c>
      <c r="N283" t="s">
        <v>704</v>
      </c>
      <c r="O283" s="1">
        <f t="shared" si="4"/>
        <v>0</v>
      </c>
    </row>
    <row r="284" spans="1:15" hidden="1" x14ac:dyDescent="0.25">
      <c r="A284" t="s">
        <v>399</v>
      </c>
      <c r="B284" t="s">
        <v>13</v>
      </c>
      <c r="C284">
        <v>45909</v>
      </c>
      <c r="D284">
        <v>46022</v>
      </c>
      <c r="E284" t="s">
        <v>710</v>
      </c>
      <c r="F284" t="s">
        <v>14</v>
      </c>
      <c r="G284">
        <v>37087120</v>
      </c>
      <c r="H284" t="s">
        <v>51</v>
      </c>
      <c r="I284">
        <v>98333941</v>
      </c>
      <c r="J284" t="s">
        <v>14</v>
      </c>
      <c r="K284" t="s">
        <v>15</v>
      </c>
      <c r="L284" s="1">
        <v>31200000</v>
      </c>
      <c r="M284" s="1">
        <v>31200000</v>
      </c>
      <c r="N284" t="s">
        <v>704</v>
      </c>
      <c r="O284" s="1">
        <f t="shared" si="4"/>
        <v>0</v>
      </c>
    </row>
    <row r="285" spans="1:15" hidden="1" x14ac:dyDescent="0.25">
      <c r="A285" t="s">
        <v>515</v>
      </c>
      <c r="B285" t="s">
        <v>13</v>
      </c>
      <c r="C285">
        <v>45908</v>
      </c>
      <c r="D285">
        <v>46022</v>
      </c>
      <c r="E285" t="s">
        <v>710</v>
      </c>
      <c r="F285" t="s">
        <v>14</v>
      </c>
      <c r="G285">
        <v>1233192708</v>
      </c>
      <c r="H285" t="s">
        <v>516</v>
      </c>
      <c r="I285">
        <v>43624414</v>
      </c>
      <c r="J285" t="s">
        <v>14</v>
      </c>
      <c r="K285" t="s">
        <v>18</v>
      </c>
      <c r="L285" s="1">
        <v>31200000</v>
      </c>
      <c r="M285" s="1">
        <v>31200000</v>
      </c>
      <c r="N285" t="s">
        <v>704</v>
      </c>
      <c r="O285" s="1">
        <f t="shared" si="4"/>
        <v>0</v>
      </c>
    </row>
    <row r="286" spans="1:15" hidden="1" x14ac:dyDescent="0.25">
      <c r="A286" t="s">
        <v>474</v>
      </c>
      <c r="B286" t="s">
        <v>13</v>
      </c>
      <c r="C286">
        <v>45908</v>
      </c>
      <c r="D286">
        <v>46022</v>
      </c>
      <c r="E286" t="s">
        <v>710</v>
      </c>
      <c r="F286" t="s">
        <v>14</v>
      </c>
      <c r="G286">
        <v>80765093</v>
      </c>
      <c r="H286" t="s">
        <v>20</v>
      </c>
      <c r="I286">
        <v>59836926</v>
      </c>
      <c r="J286" t="s">
        <v>14</v>
      </c>
      <c r="K286" t="s">
        <v>17</v>
      </c>
      <c r="L286" s="1">
        <v>31200000</v>
      </c>
      <c r="M286" s="1">
        <v>31200000</v>
      </c>
      <c r="N286" t="s">
        <v>704</v>
      </c>
      <c r="O286" s="1">
        <f t="shared" si="4"/>
        <v>0</v>
      </c>
    </row>
    <row r="287" spans="1:15" hidden="1" x14ac:dyDescent="0.25">
      <c r="A287" t="s">
        <v>589</v>
      </c>
      <c r="B287" t="s">
        <v>13</v>
      </c>
      <c r="C287">
        <v>45908</v>
      </c>
      <c r="D287">
        <v>46022</v>
      </c>
      <c r="E287" t="s">
        <v>710</v>
      </c>
      <c r="F287" t="s">
        <v>14</v>
      </c>
      <c r="G287">
        <v>1083814276</v>
      </c>
      <c r="H287" t="s">
        <v>590</v>
      </c>
      <c r="I287">
        <v>98333941</v>
      </c>
      <c r="J287" t="s">
        <v>14</v>
      </c>
      <c r="K287" t="s">
        <v>15</v>
      </c>
      <c r="L287" s="1">
        <v>31200000</v>
      </c>
      <c r="M287" s="1">
        <v>31200000</v>
      </c>
      <c r="N287" t="s">
        <v>704</v>
      </c>
      <c r="O287" s="1">
        <f t="shared" si="4"/>
        <v>0</v>
      </c>
    </row>
    <row r="288" spans="1:15" hidden="1" x14ac:dyDescent="0.25">
      <c r="A288" t="s">
        <v>365</v>
      </c>
      <c r="B288" t="s">
        <v>13</v>
      </c>
      <c r="C288">
        <v>45905</v>
      </c>
      <c r="D288">
        <v>46022</v>
      </c>
      <c r="E288" t="s">
        <v>722</v>
      </c>
      <c r="F288" t="s">
        <v>14</v>
      </c>
      <c r="G288">
        <v>1022426162</v>
      </c>
      <c r="H288" t="s">
        <v>366</v>
      </c>
      <c r="I288">
        <v>98333941</v>
      </c>
      <c r="J288" t="s">
        <v>14</v>
      </c>
      <c r="K288" t="s">
        <v>15</v>
      </c>
      <c r="L288" s="1">
        <v>31200000</v>
      </c>
      <c r="M288" s="1">
        <v>31200000</v>
      </c>
      <c r="N288" t="s">
        <v>704</v>
      </c>
      <c r="O288" s="1">
        <f t="shared" si="4"/>
        <v>0</v>
      </c>
    </row>
    <row r="289" spans="1:16" hidden="1" x14ac:dyDescent="0.25">
      <c r="A289" t="s">
        <v>564</v>
      </c>
      <c r="B289" t="s">
        <v>13</v>
      </c>
      <c r="C289">
        <v>45905</v>
      </c>
      <c r="D289">
        <v>46022</v>
      </c>
      <c r="E289" t="s">
        <v>749</v>
      </c>
      <c r="F289" t="s">
        <v>14</v>
      </c>
      <c r="G289">
        <v>1088734182</v>
      </c>
      <c r="H289" t="s">
        <v>565</v>
      </c>
      <c r="I289">
        <v>98333941</v>
      </c>
      <c r="J289" t="s">
        <v>14</v>
      </c>
      <c r="K289" t="s">
        <v>15</v>
      </c>
      <c r="L289" s="1">
        <v>31200000</v>
      </c>
      <c r="M289" s="1">
        <v>31200000</v>
      </c>
      <c r="N289" t="s">
        <v>704</v>
      </c>
      <c r="O289" s="1">
        <f t="shared" si="4"/>
        <v>0</v>
      </c>
    </row>
    <row r="290" spans="1:16" hidden="1" x14ac:dyDescent="0.25">
      <c r="A290" t="s">
        <v>630</v>
      </c>
      <c r="B290" t="s">
        <v>13</v>
      </c>
      <c r="C290">
        <v>45905</v>
      </c>
      <c r="D290">
        <v>46022</v>
      </c>
      <c r="E290" t="s">
        <v>722</v>
      </c>
      <c r="F290" t="s">
        <v>14</v>
      </c>
      <c r="G290">
        <v>1193292339</v>
      </c>
      <c r="H290" t="s">
        <v>631</v>
      </c>
      <c r="I290">
        <v>98333941</v>
      </c>
      <c r="J290" t="s">
        <v>14</v>
      </c>
      <c r="K290" t="s">
        <v>15</v>
      </c>
      <c r="L290" s="1">
        <v>31200000</v>
      </c>
      <c r="M290" s="1">
        <v>31200000</v>
      </c>
      <c r="N290" t="s">
        <v>704</v>
      </c>
      <c r="O290" s="1">
        <f t="shared" si="4"/>
        <v>0</v>
      </c>
    </row>
    <row r="291" spans="1:16" hidden="1" x14ac:dyDescent="0.25">
      <c r="A291" t="s">
        <v>593</v>
      </c>
      <c r="B291" t="s">
        <v>13</v>
      </c>
      <c r="C291">
        <v>45905</v>
      </c>
      <c r="D291">
        <v>46022</v>
      </c>
      <c r="E291" t="s">
        <v>722</v>
      </c>
      <c r="F291" t="s">
        <v>14</v>
      </c>
      <c r="G291">
        <v>1085293105</v>
      </c>
      <c r="H291" t="s">
        <v>33</v>
      </c>
      <c r="I291">
        <v>43624414</v>
      </c>
      <c r="J291" t="s">
        <v>14</v>
      </c>
      <c r="K291" t="s">
        <v>18</v>
      </c>
      <c r="L291" s="1">
        <v>31200000</v>
      </c>
      <c r="M291" s="1">
        <v>31200000</v>
      </c>
      <c r="N291" t="s">
        <v>704</v>
      </c>
      <c r="O291" s="1">
        <f t="shared" si="4"/>
        <v>0</v>
      </c>
    </row>
    <row r="292" spans="1:16" hidden="1" x14ac:dyDescent="0.25">
      <c r="A292" t="s">
        <v>275</v>
      </c>
      <c r="B292" t="s">
        <v>13</v>
      </c>
      <c r="C292">
        <v>45904</v>
      </c>
      <c r="D292">
        <v>46022</v>
      </c>
      <c r="E292" t="s">
        <v>722</v>
      </c>
      <c r="F292" t="s">
        <v>14</v>
      </c>
      <c r="G292">
        <v>1085329980</v>
      </c>
      <c r="H292" t="s">
        <v>276</v>
      </c>
      <c r="I292">
        <v>98333941</v>
      </c>
      <c r="J292" t="s">
        <v>14</v>
      </c>
      <c r="K292" t="s">
        <v>15</v>
      </c>
      <c r="L292" s="1">
        <v>31200000</v>
      </c>
      <c r="M292" s="1">
        <v>31200000</v>
      </c>
      <c r="N292" t="s">
        <v>704</v>
      </c>
      <c r="O292" s="1">
        <f t="shared" si="4"/>
        <v>0</v>
      </c>
    </row>
    <row r="293" spans="1:16" hidden="1" x14ac:dyDescent="0.25">
      <c r="A293" t="s">
        <v>456</v>
      </c>
      <c r="B293" t="s">
        <v>13</v>
      </c>
      <c r="C293">
        <v>45904</v>
      </c>
      <c r="D293">
        <v>46022</v>
      </c>
      <c r="E293" t="s">
        <v>710</v>
      </c>
      <c r="F293" t="s">
        <v>14</v>
      </c>
      <c r="G293">
        <v>1087006619</v>
      </c>
      <c r="H293" t="s">
        <v>457</v>
      </c>
      <c r="I293">
        <v>98333941</v>
      </c>
      <c r="J293" t="s">
        <v>14</v>
      </c>
      <c r="K293" t="s">
        <v>15</v>
      </c>
      <c r="L293" s="1">
        <v>31200000</v>
      </c>
      <c r="M293" s="1">
        <v>31200000</v>
      </c>
      <c r="N293" t="s">
        <v>704</v>
      </c>
      <c r="O293" s="1">
        <f t="shared" si="4"/>
        <v>0</v>
      </c>
    </row>
    <row r="294" spans="1:16" hidden="1" x14ac:dyDescent="0.25">
      <c r="A294" t="s">
        <v>96</v>
      </c>
      <c r="B294" t="s">
        <v>13</v>
      </c>
      <c r="C294">
        <v>45904</v>
      </c>
      <c r="D294">
        <v>46022</v>
      </c>
      <c r="E294" t="s">
        <v>710</v>
      </c>
      <c r="F294" t="s">
        <v>14</v>
      </c>
      <c r="G294">
        <v>1233193882</v>
      </c>
      <c r="H294" t="s">
        <v>97</v>
      </c>
      <c r="I294">
        <v>98390119</v>
      </c>
      <c r="J294" t="s">
        <v>14</v>
      </c>
      <c r="K294" t="s">
        <v>63</v>
      </c>
      <c r="L294" s="1">
        <v>31200000</v>
      </c>
      <c r="M294" s="1">
        <v>31200000</v>
      </c>
      <c r="N294" t="s">
        <v>704</v>
      </c>
      <c r="O294" s="1">
        <f t="shared" si="4"/>
        <v>0</v>
      </c>
    </row>
    <row r="295" spans="1:16" hidden="1" x14ac:dyDescent="0.25">
      <c r="A295" t="s">
        <v>557</v>
      </c>
      <c r="B295" t="s">
        <v>13</v>
      </c>
      <c r="C295">
        <v>45903</v>
      </c>
      <c r="D295">
        <v>46022</v>
      </c>
      <c r="E295" t="s">
        <v>710</v>
      </c>
      <c r="F295" t="s">
        <v>14</v>
      </c>
      <c r="G295">
        <v>1085334279</v>
      </c>
      <c r="H295" t="s">
        <v>558</v>
      </c>
      <c r="I295">
        <v>98333941</v>
      </c>
      <c r="J295" t="s">
        <v>14</v>
      </c>
      <c r="K295" t="s">
        <v>15</v>
      </c>
      <c r="L295" s="1">
        <v>31200000</v>
      </c>
      <c r="M295" s="1">
        <v>31200000</v>
      </c>
      <c r="N295" t="s">
        <v>704</v>
      </c>
      <c r="O295" s="1">
        <f t="shared" si="4"/>
        <v>0</v>
      </c>
    </row>
    <row r="296" spans="1:16" hidden="1" x14ac:dyDescent="0.25">
      <c r="A296" t="s">
        <v>302</v>
      </c>
      <c r="B296" t="s">
        <v>13</v>
      </c>
      <c r="C296">
        <v>45902</v>
      </c>
      <c r="D296">
        <v>46022</v>
      </c>
      <c r="E296" t="s">
        <v>710</v>
      </c>
      <c r="F296" t="s">
        <v>14</v>
      </c>
      <c r="G296">
        <v>1006946167</v>
      </c>
      <c r="H296" t="s">
        <v>303</v>
      </c>
      <c r="I296">
        <v>59836926</v>
      </c>
      <c r="J296" t="s">
        <v>14</v>
      </c>
      <c r="K296" t="s">
        <v>17</v>
      </c>
      <c r="L296" s="1">
        <v>31200000</v>
      </c>
      <c r="M296" s="1">
        <v>31200000</v>
      </c>
      <c r="N296" t="s">
        <v>704</v>
      </c>
      <c r="O296" s="1">
        <f t="shared" si="4"/>
        <v>0</v>
      </c>
    </row>
    <row r="297" spans="1:16" hidden="1" x14ac:dyDescent="0.25">
      <c r="A297" t="s">
        <v>131</v>
      </c>
      <c r="B297" t="s">
        <v>13</v>
      </c>
      <c r="C297">
        <v>45901</v>
      </c>
      <c r="D297">
        <v>46022</v>
      </c>
      <c r="E297" t="s">
        <v>722</v>
      </c>
      <c r="F297" t="s">
        <v>14</v>
      </c>
      <c r="G297">
        <v>1085336362</v>
      </c>
      <c r="H297" t="s">
        <v>49</v>
      </c>
      <c r="I297">
        <v>98333941</v>
      </c>
      <c r="J297" t="s">
        <v>14</v>
      </c>
      <c r="K297" t="s">
        <v>15</v>
      </c>
      <c r="L297" s="1">
        <v>31200000</v>
      </c>
      <c r="M297" s="1">
        <v>31200000</v>
      </c>
      <c r="N297" t="s">
        <v>704</v>
      </c>
      <c r="O297" s="1">
        <f t="shared" si="4"/>
        <v>0</v>
      </c>
    </row>
    <row r="298" spans="1:16" hidden="1" x14ac:dyDescent="0.25">
      <c r="A298" t="s">
        <v>119</v>
      </c>
      <c r="B298" t="s">
        <v>13</v>
      </c>
      <c r="C298">
        <v>45901</v>
      </c>
      <c r="D298">
        <v>46022</v>
      </c>
      <c r="E298" t="s">
        <v>717</v>
      </c>
      <c r="F298" t="s">
        <v>14</v>
      </c>
      <c r="G298">
        <v>1193202097</v>
      </c>
      <c r="H298" t="s">
        <v>43</v>
      </c>
      <c r="I298">
        <v>43624414</v>
      </c>
      <c r="J298" t="s">
        <v>14</v>
      </c>
      <c r="K298" t="s">
        <v>18</v>
      </c>
      <c r="L298" s="1">
        <v>31200000</v>
      </c>
      <c r="M298" s="1">
        <v>31200000</v>
      </c>
      <c r="N298" t="s">
        <v>704</v>
      </c>
      <c r="O298" s="1">
        <f t="shared" si="4"/>
        <v>0</v>
      </c>
    </row>
    <row r="299" spans="1:16" hidden="1" x14ac:dyDescent="0.25">
      <c r="A299" t="s">
        <v>140</v>
      </c>
      <c r="B299" t="s">
        <v>13</v>
      </c>
      <c r="C299">
        <v>45940</v>
      </c>
      <c r="D299">
        <v>46022</v>
      </c>
      <c r="E299" t="s">
        <v>141</v>
      </c>
      <c r="F299" t="s">
        <v>83</v>
      </c>
      <c r="G299">
        <v>900752343</v>
      </c>
      <c r="H299" t="s">
        <v>107</v>
      </c>
      <c r="I299">
        <v>17658216</v>
      </c>
      <c r="J299" t="s">
        <v>14</v>
      </c>
      <c r="K299" t="s">
        <v>108</v>
      </c>
      <c r="L299" s="1">
        <v>283000000</v>
      </c>
      <c r="M299" s="1">
        <v>283000000</v>
      </c>
      <c r="N299" t="s">
        <v>704</v>
      </c>
      <c r="O299" s="1">
        <f t="shared" si="4"/>
        <v>0</v>
      </c>
    </row>
    <row r="300" spans="1:16" hidden="1" x14ac:dyDescent="0.25">
      <c r="A300" s="8" t="s">
        <v>555</v>
      </c>
      <c r="B300" s="8" t="s">
        <v>13</v>
      </c>
      <c r="C300" s="8">
        <v>45944</v>
      </c>
      <c r="D300" s="8">
        <v>46022</v>
      </c>
      <c r="E300" s="8" t="s">
        <v>715</v>
      </c>
      <c r="F300" s="8" t="s">
        <v>14</v>
      </c>
      <c r="G300" s="8">
        <v>87070742</v>
      </c>
      <c r="H300" s="8" t="s">
        <v>556</v>
      </c>
      <c r="I300" s="8">
        <v>98390119</v>
      </c>
      <c r="J300" s="8" t="s">
        <v>14</v>
      </c>
      <c r="K300" s="8" t="s">
        <v>63</v>
      </c>
      <c r="L300" s="9">
        <v>2000000</v>
      </c>
      <c r="M300" s="9">
        <v>6000000</v>
      </c>
      <c r="N300" s="8" t="s">
        <v>704</v>
      </c>
      <c r="O300" s="9">
        <f t="shared" si="4"/>
        <v>4000000</v>
      </c>
      <c r="P300" s="2" t="s">
        <v>828</v>
      </c>
    </row>
    <row r="301" spans="1:16" hidden="1" x14ac:dyDescent="0.25">
      <c r="A301" s="8" t="s">
        <v>292</v>
      </c>
      <c r="B301" s="8" t="s">
        <v>13</v>
      </c>
      <c r="C301" s="8">
        <v>45960</v>
      </c>
      <c r="D301" s="8">
        <v>46022</v>
      </c>
      <c r="E301" s="8" t="s">
        <v>720</v>
      </c>
      <c r="F301" s="8" t="s">
        <v>14</v>
      </c>
      <c r="G301" s="8">
        <v>1233191359</v>
      </c>
      <c r="H301" s="8" t="s">
        <v>293</v>
      </c>
      <c r="I301" s="8">
        <v>98390119</v>
      </c>
      <c r="J301" s="8" t="s">
        <v>14</v>
      </c>
      <c r="K301" s="8" t="s">
        <v>63</v>
      </c>
      <c r="L301" s="9">
        <v>3150000</v>
      </c>
      <c r="M301" s="9">
        <v>6300000</v>
      </c>
      <c r="N301" s="8" t="s">
        <v>704</v>
      </c>
      <c r="O301" s="9">
        <f t="shared" si="4"/>
        <v>3150000</v>
      </c>
      <c r="P301" s="2" t="s">
        <v>828</v>
      </c>
    </row>
    <row r="302" spans="1:16" hidden="1" x14ac:dyDescent="0.25">
      <c r="A302" s="8" t="s">
        <v>386</v>
      </c>
      <c r="B302" s="8" t="s">
        <v>13</v>
      </c>
      <c r="C302" s="8">
        <v>45950</v>
      </c>
      <c r="D302" s="8">
        <v>46015</v>
      </c>
      <c r="E302" s="8" t="s">
        <v>720</v>
      </c>
      <c r="F302" s="8" t="s">
        <v>14</v>
      </c>
      <c r="G302" s="8">
        <v>1193271854</v>
      </c>
      <c r="H302" s="8" t="s">
        <v>24</v>
      </c>
      <c r="I302" s="8">
        <v>98390119</v>
      </c>
      <c r="J302" s="8" t="s">
        <v>14</v>
      </c>
      <c r="K302" s="8" t="s">
        <v>63</v>
      </c>
      <c r="L302" s="9">
        <v>3150000</v>
      </c>
      <c r="M302" s="9">
        <v>6720000</v>
      </c>
      <c r="N302" s="8" t="s">
        <v>704</v>
      </c>
      <c r="O302" s="9">
        <f t="shared" si="4"/>
        <v>3570000</v>
      </c>
      <c r="P302" s="2" t="s">
        <v>828</v>
      </c>
    </row>
    <row r="303" spans="1:16" hidden="1" x14ac:dyDescent="0.25">
      <c r="A303" s="8" t="s">
        <v>647</v>
      </c>
      <c r="B303" s="8" t="s">
        <v>13</v>
      </c>
      <c r="C303" s="8">
        <v>45939</v>
      </c>
      <c r="D303" s="8">
        <v>46006</v>
      </c>
      <c r="E303" s="8" t="s">
        <v>819</v>
      </c>
      <c r="F303" s="8" t="s">
        <v>14</v>
      </c>
      <c r="G303" s="8">
        <v>1030606749</v>
      </c>
      <c r="H303" s="8" t="s">
        <v>86</v>
      </c>
      <c r="I303" s="8">
        <v>98390119</v>
      </c>
      <c r="J303" s="8" t="s">
        <v>14</v>
      </c>
      <c r="K303" s="8" t="s">
        <v>63</v>
      </c>
      <c r="L303" s="9">
        <v>4200000</v>
      </c>
      <c r="M303" s="9">
        <v>7875000</v>
      </c>
      <c r="N303" s="8" t="s">
        <v>704</v>
      </c>
      <c r="O303" s="9">
        <f t="shared" si="4"/>
        <v>3675000</v>
      </c>
      <c r="P303" s="2" t="s">
        <v>828</v>
      </c>
    </row>
    <row r="304" spans="1:16" hidden="1" x14ac:dyDescent="0.25">
      <c r="A304" s="8" t="s">
        <v>367</v>
      </c>
      <c r="B304" s="8" t="s">
        <v>13</v>
      </c>
      <c r="C304" s="8">
        <v>45930</v>
      </c>
      <c r="D304" s="8">
        <v>46022</v>
      </c>
      <c r="E304" s="8" t="s">
        <v>765</v>
      </c>
      <c r="F304" s="8" t="s">
        <v>14</v>
      </c>
      <c r="G304" s="8">
        <v>1193035720</v>
      </c>
      <c r="H304" s="8" t="s">
        <v>368</v>
      </c>
      <c r="I304" s="8">
        <v>43624414</v>
      </c>
      <c r="J304" s="8" t="s">
        <v>14</v>
      </c>
      <c r="K304" s="8" t="s">
        <v>18</v>
      </c>
      <c r="L304" s="9">
        <v>6300000</v>
      </c>
      <c r="M304" s="9">
        <v>9450000</v>
      </c>
      <c r="N304" s="8" t="s">
        <v>704</v>
      </c>
      <c r="O304" s="9">
        <f t="shared" si="4"/>
        <v>3150000</v>
      </c>
      <c r="P304" s="2" t="s">
        <v>828</v>
      </c>
    </row>
    <row r="305" spans="1:17" hidden="1" x14ac:dyDescent="0.25">
      <c r="A305" s="8" t="s">
        <v>651</v>
      </c>
      <c r="B305" s="8" t="s">
        <v>13</v>
      </c>
      <c r="C305" s="8">
        <v>45930</v>
      </c>
      <c r="D305" s="8">
        <v>46022</v>
      </c>
      <c r="E305" s="8" t="s">
        <v>820</v>
      </c>
      <c r="F305" s="8" t="s">
        <v>14</v>
      </c>
      <c r="G305" s="8">
        <v>1081053820</v>
      </c>
      <c r="H305" s="8" t="s">
        <v>652</v>
      </c>
      <c r="I305" s="8">
        <v>98333941</v>
      </c>
      <c r="J305" s="8" t="s">
        <v>14</v>
      </c>
      <c r="K305" s="8" t="s">
        <v>15</v>
      </c>
      <c r="L305" s="9">
        <v>9450000</v>
      </c>
      <c r="M305" s="9">
        <v>11025000</v>
      </c>
      <c r="N305" s="8" t="s">
        <v>704</v>
      </c>
      <c r="O305" s="9">
        <f t="shared" si="4"/>
        <v>1575000</v>
      </c>
      <c r="P305" s="2" t="s">
        <v>828</v>
      </c>
    </row>
    <row r="306" spans="1:17" hidden="1" x14ac:dyDescent="0.25">
      <c r="A306" s="8" t="s">
        <v>330</v>
      </c>
      <c r="B306" s="8" t="s">
        <v>13</v>
      </c>
      <c r="C306" s="8">
        <v>45930</v>
      </c>
      <c r="D306" s="8">
        <v>46022</v>
      </c>
      <c r="E306" s="8" t="s">
        <v>761</v>
      </c>
      <c r="F306" s="8" t="s">
        <v>14</v>
      </c>
      <c r="G306" s="8">
        <v>1080041553</v>
      </c>
      <c r="H306" s="8" t="s">
        <v>331</v>
      </c>
      <c r="I306" s="8">
        <v>98390119</v>
      </c>
      <c r="J306" s="8" t="s">
        <v>14</v>
      </c>
      <c r="K306" s="8" t="s">
        <v>63</v>
      </c>
      <c r="L306" s="9">
        <v>9450000</v>
      </c>
      <c r="M306" s="9">
        <v>11025000</v>
      </c>
      <c r="N306" s="8" t="s">
        <v>704</v>
      </c>
      <c r="O306" s="9">
        <f t="shared" si="4"/>
        <v>1575000</v>
      </c>
      <c r="P306" s="2" t="s">
        <v>828</v>
      </c>
    </row>
    <row r="307" spans="1:17" hidden="1" x14ac:dyDescent="0.25">
      <c r="A307" s="8" t="s">
        <v>470</v>
      </c>
      <c r="B307" s="8" t="s">
        <v>13</v>
      </c>
      <c r="C307" s="8">
        <v>45924</v>
      </c>
      <c r="D307" s="8">
        <v>46022</v>
      </c>
      <c r="E307" s="8" t="s">
        <v>788</v>
      </c>
      <c r="F307" s="8" t="s">
        <v>14</v>
      </c>
      <c r="G307" s="8">
        <v>1004508406</v>
      </c>
      <c r="H307" s="8" t="s">
        <v>471</v>
      </c>
      <c r="I307" s="8">
        <v>43624414</v>
      </c>
      <c r="J307" s="8" t="s">
        <v>14</v>
      </c>
      <c r="K307" s="8" t="s">
        <v>18</v>
      </c>
      <c r="L307" s="9">
        <v>7875000</v>
      </c>
      <c r="M307" s="9">
        <v>11025000</v>
      </c>
      <c r="N307" s="8" t="s">
        <v>704</v>
      </c>
      <c r="O307" s="9">
        <f t="shared" si="4"/>
        <v>3150000</v>
      </c>
      <c r="P307" s="2" t="s">
        <v>828</v>
      </c>
    </row>
    <row r="308" spans="1:17" hidden="1" x14ac:dyDescent="0.25">
      <c r="A308" s="8" t="s">
        <v>545</v>
      </c>
      <c r="B308" s="8" t="s">
        <v>13</v>
      </c>
      <c r="C308" s="8">
        <v>45922</v>
      </c>
      <c r="D308" s="8">
        <v>46022</v>
      </c>
      <c r="E308" s="8" t="s">
        <v>799</v>
      </c>
      <c r="F308" s="8" t="s">
        <v>14</v>
      </c>
      <c r="G308" s="8">
        <v>1004709928</v>
      </c>
      <c r="H308" s="8" t="s">
        <v>546</v>
      </c>
      <c r="I308" s="8">
        <v>98333941</v>
      </c>
      <c r="J308" s="8" t="s">
        <v>14</v>
      </c>
      <c r="K308" s="8" t="s">
        <v>15</v>
      </c>
      <c r="L308" s="9">
        <v>7875000</v>
      </c>
      <c r="M308" s="9">
        <v>11025000</v>
      </c>
      <c r="N308" s="8" t="s">
        <v>704</v>
      </c>
      <c r="O308" s="9">
        <f t="shared" si="4"/>
        <v>3150000</v>
      </c>
      <c r="P308" s="2" t="s">
        <v>828</v>
      </c>
    </row>
    <row r="309" spans="1:17" hidden="1" x14ac:dyDescent="0.25">
      <c r="A309" s="8" t="s">
        <v>234</v>
      </c>
      <c r="B309" s="8" t="s">
        <v>13</v>
      </c>
      <c r="C309" s="8">
        <v>45918</v>
      </c>
      <c r="D309" s="8">
        <v>46022</v>
      </c>
      <c r="E309" s="8" t="s">
        <v>711</v>
      </c>
      <c r="F309" s="8" t="s">
        <v>14</v>
      </c>
      <c r="G309" s="8">
        <v>27087122</v>
      </c>
      <c r="H309" s="8" t="s">
        <v>69</v>
      </c>
      <c r="I309" s="8">
        <v>43624414</v>
      </c>
      <c r="J309" s="8" t="s">
        <v>14</v>
      </c>
      <c r="K309" s="8" t="s">
        <v>18</v>
      </c>
      <c r="L309" s="9">
        <v>9450000</v>
      </c>
      <c r="M309" s="9">
        <v>11025000</v>
      </c>
      <c r="N309" s="8" t="s">
        <v>704</v>
      </c>
      <c r="O309" s="9">
        <f t="shared" si="4"/>
        <v>1575000</v>
      </c>
      <c r="P309" s="2" t="s">
        <v>828</v>
      </c>
    </row>
    <row r="310" spans="1:17" hidden="1" x14ac:dyDescent="0.25">
      <c r="A310" s="8" t="s">
        <v>150</v>
      </c>
      <c r="B310" s="8" t="s">
        <v>13</v>
      </c>
      <c r="C310" s="8">
        <v>45915</v>
      </c>
      <c r="D310" s="8">
        <v>46022</v>
      </c>
      <c r="E310" s="8" t="s">
        <v>711</v>
      </c>
      <c r="F310" s="8" t="s">
        <v>14</v>
      </c>
      <c r="G310" s="8">
        <v>1087645341</v>
      </c>
      <c r="H310" s="8" t="s">
        <v>151</v>
      </c>
      <c r="I310" s="8">
        <v>98333941</v>
      </c>
      <c r="J310" s="8" t="s">
        <v>14</v>
      </c>
      <c r="K310" s="8" t="s">
        <v>15</v>
      </c>
      <c r="L310" s="9">
        <v>4725000</v>
      </c>
      <c r="M310" s="9">
        <v>12600000</v>
      </c>
      <c r="N310" s="8" t="s">
        <v>704</v>
      </c>
      <c r="O310" s="9">
        <f t="shared" si="4"/>
        <v>7875000</v>
      </c>
      <c r="P310" s="2" t="s">
        <v>828</v>
      </c>
    </row>
    <row r="311" spans="1:17" hidden="1" x14ac:dyDescent="0.25">
      <c r="A311" s="8" t="s">
        <v>226</v>
      </c>
      <c r="B311" s="8" t="s">
        <v>13</v>
      </c>
      <c r="C311" s="8">
        <v>45912</v>
      </c>
      <c r="D311" s="8">
        <v>46022</v>
      </c>
      <c r="E311" s="8" t="s">
        <v>711</v>
      </c>
      <c r="F311" s="8" t="s">
        <v>14</v>
      </c>
      <c r="G311" s="8">
        <v>27549931</v>
      </c>
      <c r="H311" s="8" t="s">
        <v>227</v>
      </c>
      <c r="I311" s="8">
        <v>98333941</v>
      </c>
      <c r="J311" s="8" t="s">
        <v>14</v>
      </c>
      <c r="K311" s="8" t="s">
        <v>15</v>
      </c>
      <c r="L311" s="9">
        <v>4725000</v>
      </c>
      <c r="M311" s="9">
        <v>12600000</v>
      </c>
      <c r="N311" s="8" t="s">
        <v>704</v>
      </c>
      <c r="O311" s="9">
        <f t="shared" si="4"/>
        <v>7875000</v>
      </c>
      <c r="P311" s="2" t="s">
        <v>828</v>
      </c>
    </row>
    <row r="312" spans="1:17" x14ac:dyDescent="0.25">
      <c r="A312" s="6" t="s">
        <v>549</v>
      </c>
      <c r="B312" s="6" t="s">
        <v>13</v>
      </c>
      <c r="C312" s="6">
        <v>45908</v>
      </c>
      <c r="D312" s="6">
        <v>46022</v>
      </c>
      <c r="E312" s="6" t="s">
        <v>710</v>
      </c>
      <c r="F312" s="6" t="s">
        <v>14</v>
      </c>
      <c r="G312" s="6">
        <v>1086224562</v>
      </c>
      <c r="H312" s="6" t="s">
        <v>550</v>
      </c>
      <c r="I312" s="6">
        <v>98333941</v>
      </c>
      <c r="J312" s="6" t="s">
        <v>14</v>
      </c>
      <c r="K312" s="6" t="s">
        <v>15</v>
      </c>
      <c r="L312" s="7">
        <v>0</v>
      </c>
      <c r="M312" s="7">
        <v>31200000</v>
      </c>
      <c r="N312" s="6" t="s">
        <v>704</v>
      </c>
      <c r="O312" s="7">
        <f t="shared" si="4"/>
        <v>31200000</v>
      </c>
      <c r="P312" s="2" t="s">
        <v>827</v>
      </c>
      <c r="Q312" t="s">
        <v>833</v>
      </c>
    </row>
    <row r="313" spans="1:17" hidden="1" x14ac:dyDescent="0.25">
      <c r="A313" s="8" t="s">
        <v>296</v>
      </c>
      <c r="B313" s="8" t="s">
        <v>13</v>
      </c>
      <c r="C313" s="8">
        <v>45910</v>
      </c>
      <c r="D313" s="8">
        <v>46022</v>
      </c>
      <c r="E313" s="8" t="s">
        <v>711</v>
      </c>
      <c r="F313" s="8" t="s">
        <v>14</v>
      </c>
      <c r="G313" s="8">
        <v>27276869</v>
      </c>
      <c r="H313" s="8" t="s">
        <v>297</v>
      </c>
      <c r="I313" s="8">
        <v>98333941</v>
      </c>
      <c r="J313" s="8" t="s">
        <v>14</v>
      </c>
      <c r="K313" s="8" t="s">
        <v>15</v>
      </c>
      <c r="L313" s="9">
        <v>9450000</v>
      </c>
      <c r="M313" s="9">
        <v>12600000</v>
      </c>
      <c r="N313" s="8" t="s">
        <v>704</v>
      </c>
      <c r="O313" s="9">
        <f t="shared" si="4"/>
        <v>3150000</v>
      </c>
      <c r="P313" s="2" t="s">
        <v>828</v>
      </c>
    </row>
    <row r="314" spans="1:17" hidden="1" x14ac:dyDescent="0.25">
      <c r="A314" s="8" t="s">
        <v>136</v>
      </c>
      <c r="B314" s="8" t="s">
        <v>13</v>
      </c>
      <c r="C314" s="8">
        <v>45910</v>
      </c>
      <c r="D314" s="8">
        <v>46022</v>
      </c>
      <c r="E314" s="8" t="s">
        <v>711</v>
      </c>
      <c r="F314" s="8" t="s">
        <v>14</v>
      </c>
      <c r="G314" s="8">
        <v>1086016304</v>
      </c>
      <c r="H314" s="8" t="s">
        <v>137</v>
      </c>
      <c r="I314" s="8">
        <v>98333941</v>
      </c>
      <c r="J314" s="8" t="s">
        <v>14</v>
      </c>
      <c r="K314" s="8" t="s">
        <v>15</v>
      </c>
      <c r="L314" s="9">
        <v>3150000</v>
      </c>
      <c r="M314" s="9">
        <v>12600000</v>
      </c>
      <c r="N314" s="8" t="s">
        <v>704</v>
      </c>
      <c r="O314" s="9">
        <f t="shared" si="4"/>
        <v>9450000</v>
      </c>
      <c r="P314" s="2" t="s">
        <v>828</v>
      </c>
    </row>
    <row r="315" spans="1:17" hidden="1" x14ac:dyDescent="0.25">
      <c r="A315" s="8" t="s">
        <v>541</v>
      </c>
      <c r="B315" s="8" t="s">
        <v>13</v>
      </c>
      <c r="C315" s="8">
        <v>45909</v>
      </c>
      <c r="D315" s="8">
        <v>46022</v>
      </c>
      <c r="E315" s="8" t="s">
        <v>711</v>
      </c>
      <c r="F315" s="8" t="s">
        <v>14</v>
      </c>
      <c r="G315" s="8">
        <v>36953590</v>
      </c>
      <c r="H315" s="8" t="s">
        <v>542</v>
      </c>
      <c r="I315" s="8">
        <v>98333941</v>
      </c>
      <c r="J315" s="8" t="s">
        <v>14</v>
      </c>
      <c r="K315" s="8" t="s">
        <v>15</v>
      </c>
      <c r="L315" s="9">
        <v>4200000</v>
      </c>
      <c r="M315" s="9">
        <v>12600000</v>
      </c>
      <c r="N315" s="8" t="s">
        <v>704</v>
      </c>
      <c r="O315" s="9">
        <f t="shared" si="4"/>
        <v>8400000</v>
      </c>
      <c r="P315" s="2" t="s">
        <v>828</v>
      </c>
    </row>
    <row r="316" spans="1:17" hidden="1" x14ac:dyDescent="0.25">
      <c r="A316" s="8" t="s">
        <v>387</v>
      </c>
      <c r="B316" s="8" t="s">
        <v>13</v>
      </c>
      <c r="C316" s="8">
        <v>45905</v>
      </c>
      <c r="D316" s="8">
        <v>46022</v>
      </c>
      <c r="E316" s="8" t="s">
        <v>768</v>
      </c>
      <c r="F316" s="8" t="s">
        <v>14</v>
      </c>
      <c r="G316" s="8">
        <v>98382500</v>
      </c>
      <c r="H316" s="8" t="s">
        <v>45</v>
      </c>
      <c r="I316" s="8">
        <v>43624414</v>
      </c>
      <c r="J316" s="8" t="s">
        <v>14</v>
      </c>
      <c r="K316" s="8" t="s">
        <v>18</v>
      </c>
      <c r="L316" s="9">
        <v>9450000</v>
      </c>
      <c r="M316" s="9">
        <v>12600000</v>
      </c>
      <c r="N316" s="8" t="s">
        <v>704</v>
      </c>
      <c r="O316" s="9">
        <f t="shared" si="4"/>
        <v>3150000</v>
      </c>
      <c r="P316" s="2" t="s">
        <v>828</v>
      </c>
    </row>
    <row r="317" spans="1:17" hidden="1" x14ac:dyDescent="0.25">
      <c r="A317" s="8" t="s">
        <v>488</v>
      </c>
      <c r="B317" s="8" t="s">
        <v>13</v>
      </c>
      <c r="C317" s="8">
        <v>45929</v>
      </c>
      <c r="D317" s="8">
        <v>46022</v>
      </c>
      <c r="E317" s="8" t="s">
        <v>791</v>
      </c>
      <c r="F317" s="8" t="s">
        <v>14</v>
      </c>
      <c r="G317" s="8">
        <v>12754447</v>
      </c>
      <c r="H317" s="8" t="s">
        <v>489</v>
      </c>
      <c r="I317" s="8">
        <v>59836926</v>
      </c>
      <c r="J317" s="8" t="s">
        <v>14</v>
      </c>
      <c r="K317" s="8" t="s">
        <v>17</v>
      </c>
      <c r="L317" s="9">
        <v>4730000</v>
      </c>
      <c r="M317" s="9">
        <v>14190000</v>
      </c>
      <c r="N317" s="8" t="s">
        <v>704</v>
      </c>
      <c r="O317" s="9">
        <f t="shared" si="4"/>
        <v>9460000</v>
      </c>
      <c r="P317" s="2" t="s">
        <v>828</v>
      </c>
    </row>
    <row r="318" spans="1:17" hidden="1" x14ac:dyDescent="0.25">
      <c r="A318" s="8" t="s">
        <v>566</v>
      </c>
      <c r="B318" s="8" t="s">
        <v>13</v>
      </c>
      <c r="C318" s="8">
        <v>45910</v>
      </c>
      <c r="D318" s="8">
        <v>46022</v>
      </c>
      <c r="E318" s="8" t="s">
        <v>706</v>
      </c>
      <c r="F318" s="8" t="s">
        <v>14</v>
      </c>
      <c r="G318" s="8">
        <v>1088730615</v>
      </c>
      <c r="H318" s="8" t="s">
        <v>567</v>
      </c>
      <c r="I318" s="8">
        <v>59836926</v>
      </c>
      <c r="J318" s="8" t="s">
        <v>14</v>
      </c>
      <c r="K318" s="8" t="s">
        <v>17</v>
      </c>
      <c r="L318" s="9">
        <v>4730000</v>
      </c>
      <c r="M318" s="9">
        <v>18920000</v>
      </c>
      <c r="N318" s="8" t="s">
        <v>704</v>
      </c>
      <c r="O318" s="9">
        <f t="shared" si="4"/>
        <v>14190000</v>
      </c>
      <c r="P318" s="2" t="s">
        <v>828</v>
      </c>
    </row>
    <row r="319" spans="1:17" hidden="1" x14ac:dyDescent="0.25">
      <c r="A319" s="8" t="s">
        <v>594</v>
      </c>
      <c r="B319" s="8" t="s">
        <v>13</v>
      </c>
      <c r="C319" s="8">
        <v>45910</v>
      </c>
      <c r="D319" s="8">
        <v>46022</v>
      </c>
      <c r="E319" s="8" t="s">
        <v>706</v>
      </c>
      <c r="F319" s="8" t="s">
        <v>14</v>
      </c>
      <c r="G319" s="8">
        <v>1085333467</v>
      </c>
      <c r="H319" s="8" t="s">
        <v>595</v>
      </c>
      <c r="I319" s="8">
        <v>98333941</v>
      </c>
      <c r="J319" s="8" t="s">
        <v>14</v>
      </c>
      <c r="K319" s="8" t="s">
        <v>15</v>
      </c>
      <c r="L319" s="9">
        <v>4572333</v>
      </c>
      <c r="M319" s="9">
        <v>18920000</v>
      </c>
      <c r="N319" s="8" t="s">
        <v>704</v>
      </c>
      <c r="O319" s="9">
        <f t="shared" si="4"/>
        <v>14347667</v>
      </c>
      <c r="P319" s="2" t="s">
        <v>828</v>
      </c>
    </row>
    <row r="320" spans="1:17" hidden="1" x14ac:dyDescent="0.25">
      <c r="A320" s="8" t="s">
        <v>206</v>
      </c>
      <c r="B320" s="8" t="s">
        <v>13</v>
      </c>
      <c r="C320" s="8">
        <v>45905</v>
      </c>
      <c r="D320" s="8">
        <v>46022</v>
      </c>
      <c r="E320" s="8" t="s">
        <v>739</v>
      </c>
      <c r="F320" s="8" t="s">
        <v>14</v>
      </c>
      <c r="G320" s="8">
        <v>36953206</v>
      </c>
      <c r="H320" s="8" t="s">
        <v>46</v>
      </c>
      <c r="I320" s="8">
        <v>43624414</v>
      </c>
      <c r="J320" s="8" t="s">
        <v>14</v>
      </c>
      <c r="K320" s="8" t="s">
        <v>18</v>
      </c>
      <c r="L320" s="9">
        <v>4730000</v>
      </c>
      <c r="M320" s="9">
        <v>18920000</v>
      </c>
      <c r="N320" s="8" t="s">
        <v>704</v>
      </c>
      <c r="O320" s="9">
        <f t="shared" si="4"/>
        <v>14190000</v>
      </c>
      <c r="P320" s="2" t="s">
        <v>828</v>
      </c>
    </row>
    <row r="321" spans="1:17" hidden="1" x14ac:dyDescent="0.25">
      <c r="A321" s="8" t="s">
        <v>533</v>
      </c>
      <c r="B321" s="8" t="s">
        <v>13</v>
      </c>
      <c r="C321" s="8">
        <v>45903</v>
      </c>
      <c r="D321" s="8">
        <v>46022</v>
      </c>
      <c r="E321" s="8" t="s">
        <v>796</v>
      </c>
      <c r="F321" s="8" t="s">
        <v>14</v>
      </c>
      <c r="G321" s="8">
        <v>59312865</v>
      </c>
      <c r="H321" s="8" t="s">
        <v>534</v>
      </c>
      <c r="I321" s="8">
        <v>43624414</v>
      </c>
      <c r="J321" s="8" t="s">
        <v>14</v>
      </c>
      <c r="K321" s="8" t="s">
        <v>18</v>
      </c>
      <c r="L321" s="9">
        <v>16239333</v>
      </c>
      <c r="M321" s="9">
        <v>18920000</v>
      </c>
      <c r="N321" s="8" t="s">
        <v>704</v>
      </c>
      <c r="O321" s="9">
        <f t="shared" si="4"/>
        <v>2680667</v>
      </c>
      <c r="P321" s="2" t="s">
        <v>828</v>
      </c>
    </row>
    <row r="322" spans="1:17" hidden="1" x14ac:dyDescent="0.25">
      <c r="A322" s="8" t="s">
        <v>187</v>
      </c>
      <c r="B322" s="8" t="s">
        <v>13</v>
      </c>
      <c r="C322" s="8">
        <v>45926</v>
      </c>
      <c r="D322" s="8">
        <v>46022</v>
      </c>
      <c r="E322" s="8" t="s">
        <v>735</v>
      </c>
      <c r="F322" s="8" t="s">
        <v>14</v>
      </c>
      <c r="G322" s="8">
        <v>27097745</v>
      </c>
      <c r="H322" s="8" t="s">
        <v>70</v>
      </c>
      <c r="I322" s="8">
        <v>98390119</v>
      </c>
      <c r="J322" s="8" t="s">
        <v>14</v>
      </c>
      <c r="K322" s="8" t="s">
        <v>63</v>
      </c>
      <c r="L322" s="9">
        <v>9450000</v>
      </c>
      <c r="M322" s="9">
        <v>22050000</v>
      </c>
      <c r="N322" s="8" t="s">
        <v>704</v>
      </c>
      <c r="O322" s="9">
        <f t="shared" ref="O322:O338" si="5">M322-L322</f>
        <v>12600000</v>
      </c>
      <c r="P322" s="2" t="s">
        <v>828</v>
      </c>
    </row>
    <row r="323" spans="1:17" hidden="1" x14ac:dyDescent="0.25">
      <c r="A323" s="8" t="s">
        <v>253</v>
      </c>
      <c r="B323" s="8" t="s">
        <v>13</v>
      </c>
      <c r="C323" s="8">
        <v>45923</v>
      </c>
      <c r="D323" s="8">
        <v>46022</v>
      </c>
      <c r="E323" s="8" t="s">
        <v>750</v>
      </c>
      <c r="F323" s="8" t="s">
        <v>14</v>
      </c>
      <c r="G323" s="8">
        <v>36952916</v>
      </c>
      <c r="H323" s="8" t="s">
        <v>254</v>
      </c>
      <c r="I323" s="8">
        <v>59836926</v>
      </c>
      <c r="J323" s="8" t="s">
        <v>14</v>
      </c>
      <c r="K323" s="8" t="s">
        <v>17</v>
      </c>
      <c r="L323" s="9">
        <v>7350000</v>
      </c>
      <c r="M323" s="9">
        <v>22050000</v>
      </c>
      <c r="N323" s="8" t="s">
        <v>704</v>
      </c>
      <c r="O323" s="9">
        <f t="shared" si="5"/>
        <v>14700000</v>
      </c>
      <c r="P323" s="2" t="s">
        <v>828</v>
      </c>
    </row>
    <row r="324" spans="1:17" hidden="1" x14ac:dyDescent="0.25">
      <c r="A324" s="8" t="s">
        <v>601</v>
      </c>
      <c r="B324" s="8" t="s">
        <v>13</v>
      </c>
      <c r="C324" s="8">
        <v>45931</v>
      </c>
      <c r="D324" s="8">
        <v>46022</v>
      </c>
      <c r="E324" s="8" t="s">
        <v>808</v>
      </c>
      <c r="F324" s="8" t="s">
        <v>14</v>
      </c>
      <c r="G324" s="8">
        <v>1085298800</v>
      </c>
      <c r="H324" s="8" t="s">
        <v>602</v>
      </c>
      <c r="I324" s="8">
        <v>98390119</v>
      </c>
      <c r="J324" s="8" t="s">
        <v>14</v>
      </c>
      <c r="K324" s="8" t="s">
        <v>63</v>
      </c>
      <c r="L324" s="9">
        <v>15600000</v>
      </c>
      <c r="M324" s="9">
        <v>23400000</v>
      </c>
      <c r="N324" s="8" t="s">
        <v>704</v>
      </c>
      <c r="O324" s="9">
        <f t="shared" si="5"/>
        <v>7800000</v>
      </c>
      <c r="P324" s="2" t="s">
        <v>828</v>
      </c>
    </row>
    <row r="325" spans="1:17" hidden="1" x14ac:dyDescent="0.25">
      <c r="A325" s="8" t="s">
        <v>503</v>
      </c>
      <c r="B325" s="8" t="s">
        <v>13</v>
      </c>
      <c r="C325" s="8">
        <v>45911</v>
      </c>
      <c r="D325" s="8">
        <v>46022</v>
      </c>
      <c r="E325" s="8" t="s">
        <v>719</v>
      </c>
      <c r="F325" s="8" t="s">
        <v>14</v>
      </c>
      <c r="G325" s="8">
        <v>1084224761</v>
      </c>
      <c r="H325" s="8" t="s">
        <v>504</v>
      </c>
      <c r="I325" s="8">
        <v>98333941</v>
      </c>
      <c r="J325" s="8" t="s">
        <v>14</v>
      </c>
      <c r="K325" s="8" t="s">
        <v>15</v>
      </c>
      <c r="L325" s="9">
        <v>22050000</v>
      </c>
      <c r="M325" s="9">
        <v>25200000</v>
      </c>
      <c r="N325" s="8" t="s">
        <v>704</v>
      </c>
      <c r="O325" s="9">
        <f t="shared" si="5"/>
        <v>3150000</v>
      </c>
      <c r="P325" s="2" t="s">
        <v>828</v>
      </c>
    </row>
    <row r="326" spans="1:17" hidden="1" x14ac:dyDescent="0.25">
      <c r="A326" s="8" t="s">
        <v>603</v>
      </c>
      <c r="B326" s="8" t="s">
        <v>13</v>
      </c>
      <c r="C326" s="8">
        <v>45911</v>
      </c>
      <c r="D326" s="8">
        <v>46022</v>
      </c>
      <c r="E326" s="8" t="s">
        <v>719</v>
      </c>
      <c r="F326" s="8" t="s">
        <v>14</v>
      </c>
      <c r="G326" s="8">
        <v>27090399</v>
      </c>
      <c r="H326" s="8" t="s">
        <v>604</v>
      </c>
      <c r="I326" s="8">
        <v>98333941</v>
      </c>
      <c r="J326" s="8" t="s">
        <v>14</v>
      </c>
      <c r="K326" s="8" t="s">
        <v>15</v>
      </c>
      <c r="L326" s="9">
        <v>12600000</v>
      </c>
      <c r="M326" s="9">
        <v>25200000</v>
      </c>
      <c r="N326" s="8" t="s">
        <v>704</v>
      </c>
      <c r="O326" s="9">
        <f t="shared" si="5"/>
        <v>12600000</v>
      </c>
      <c r="P326" s="2" t="s">
        <v>828</v>
      </c>
    </row>
    <row r="327" spans="1:17" hidden="1" x14ac:dyDescent="0.25">
      <c r="A327" s="8" t="s">
        <v>343</v>
      </c>
      <c r="B327" s="8" t="s">
        <v>13</v>
      </c>
      <c r="C327" s="8">
        <v>45909</v>
      </c>
      <c r="D327" s="8">
        <v>46022</v>
      </c>
      <c r="E327" s="8" t="s">
        <v>719</v>
      </c>
      <c r="F327" s="8" t="s">
        <v>14</v>
      </c>
      <c r="G327" s="8">
        <v>1014212900</v>
      </c>
      <c r="H327" s="8" t="s">
        <v>344</v>
      </c>
      <c r="I327" s="8">
        <v>98390119</v>
      </c>
      <c r="J327" s="8" t="s">
        <v>14</v>
      </c>
      <c r="K327" s="8" t="s">
        <v>63</v>
      </c>
      <c r="L327" s="9">
        <v>18900000</v>
      </c>
      <c r="M327" s="9">
        <v>25200000</v>
      </c>
      <c r="N327" s="8" t="s">
        <v>704</v>
      </c>
      <c r="O327" s="9">
        <f t="shared" si="5"/>
        <v>6300000</v>
      </c>
      <c r="P327" s="2" t="s">
        <v>828</v>
      </c>
    </row>
    <row r="328" spans="1:17" hidden="1" x14ac:dyDescent="0.25">
      <c r="A328" s="8" t="s">
        <v>334</v>
      </c>
      <c r="B328" s="8" t="s">
        <v>13</v>
      </c>
      <c r="C328" s="8">
        <v>45908</v>
      </c>
      <c r="D328" s="8">
        <v>46022</v>
      </c>
      <c r="E328" s="8" t="s">
        <v>735</v>
      </c>
      <c r="F328" s="8" t="s">
        <v>14</v>
      </c>
      <c r="G328" s="8">
        <v>37086513</v>
      </c>
      <c r="H328" s="8" t="s">
        <v>335</v>
      </c>
      <c r="I328" s="8">
        <v>98333941</v>
      </c>
      <c r="J328" s="8" t="s">
        <v>14</v>
      </c>
      <c r="K328" s="8" t="s">
        <v>15</v>
      </c>
      <c r="L328" s="9">
        <v>6300000</v>
      </c>
      <c r="M328" s="9">
        <v>25200000</v>
      </c>
      <c r="N328" s="8" t="s">
        <v>704</v>
      </c>
      <c r="O328" s="9">
        <f t="shared" si="5"/>
        <v>18900000</v>
      </c>
      <c r="P328" s="2" t="s">
        <v>828</v>
      </c>
    </row>
    <row r="329" spans="1:17" hidden="1" x14ac:dyDescent="0.25">
      <c r="A329" s="8" t="s">
        <v>493</v>
      </c>
      <c r="B329" s="8" t="s">
        <v>13</v>
      </c>
      <c r="C329" s="8">
        <v>45908</v>
      </c>
      <c r="D329" s="8">
        <v>46022</v>
      </c>
      <c r="E329" s="8" t="s">
        <v>792</v>
      </c>
      <c r="F329" s="8" t="s">
        <v>14</v>
      </c>
      <c r="G329" s="8">
        <v>1085284997</v>
      </c>
      <c r="H329" s="8" t="s">
        <v>494</v>
      </c>
      <c r="I329" s="8">
        <v>98333941</v>
      </c>
      <c r="J329" s="8" t="s">
        <v>14</v>
      </c>
      <c r="K329" s="8" t="s">
        <v>15</v>
      </c>
      <c r="L329" s="9">
        <v>18900000</v>
      </c>
      <c r="M329" s="9">
        <v>25200000</v>
      </c>
      <c r="N329" s="8" t="s">
        <v>704</v>
      </c>
      <c r="O329" s="9">
        <f t="shared" si="5"/>
        <v>6300000</v>
      </c>
      <c r="P329" s="2" t="s">
        <v>828</v>
      </c>
    </row>
    <row r="330" spans="1:17" hidden="1" x14ac:dyDescent="0.25">
      <c r="A330" s="8" t="s">
        <v>481</v>
      </c>
      <c r="B330" s="8" t="s">
        <v>13</v>
      </c>
      <c r="C330" s="8">
        <v>45904</v>
      </c>
      <c r="D330" s="8">
        <v>46022</v>
      </c>
      <c r="E330" s="8" t="s">
        <v>777</v>
      </c>
      <c r="F330" s="8" t="s">
        <v>14</v>
      </c>
      <c r="G330" s="8">
        <v>36757221</v>
      </c>
      <c r="H330" s="8" t="s">
        <v>482</v>
      </c>
      <c r="I330" s="8">
        <v>43624414</v>
      </c>
      <c r="J330" s="8" t="s">
        <v>14</v>
      </c>
      <c r="K330" s="8" t="s">
        <v>18</v>
      </c>
      <c r="L330" s="9">
        <v>21140000</v>
      </c>
      <c r="M330" s="9">
        <v>25200000</v>
      </c>
      <c r="N330" s="8" t="s">
        <v>704</v>
      </c>
      <c r="O330" s="9">
        <f t="shared" si="5"/>
        <v>4060000</v>
      </c>
      <c r="P330" s="2" t="s">
        <v>828</v>
      </c>
    </row>
    <row r="331" spans="1:17" hidden="1" x14ac:dyDescent="0.25">
      <c r="A331" s="8" t="s">
        <v>415</v>
      </c>
      <c r="B331" s="8" t="s">
        <v>13</v>
      </c>
      <c r="C331" s="8">
        <v>45911</v>
      </c>
      <c r="D331" s="8">
        <v>46022</v>
      </c>
      <c r="E331" s="8" t="s">
        <v>710</v>
      </c>
      <c r="F331" s="8" t="s">
        <v>14</v>
      </c>
      <c r="G331" s="8">
        <v>1085246871</v>
      </c>
      <c r="H331" s="8" t="s">
        <v>416</v>
      </c>
      <c r="I331" s="8">
        <v>98333941</v>
      </c>
      <c r="J331" s="8" t="s">
        <v>14</v>
      </c>
      <c r="K331" s="8" t="s">
        <v>15</v>
      </c>
      <c r="L331" s="9">
        <v>7800000</v>
      </c>
      <c r="M331" s="9">
        <v>31200000</v>
      </c>
      <c r="N331" s="8" t="s">
        <v>704</v>
      </c>
      <c r="O331" s="9">
        <f t="shared" si="5"/>
        <v>23400000</v>
      </c>
      <c r="P331" s="2" t="s">
        <v>828</v>
      </c>
    </row>
    <row r="332" spans="1:17" hidden="1" x14ac:dyDescent="0.25">
      <c r="A332" s="4" t="s">
        <v>317</v>
      </c>
      <c r="B332" s="4" t="s">
        <v>13</v>
      </c>
      <c r="C332" s="4">
        <v>45951</v>
      </c>
      <c r="D332" s="4">
        <v>45981</v>
      </c>
      <c r="E332" s="4" t="s">
        <v>757</v>
      </c>
      <c r="F332" s="4" t="s">
        <v>83</v>
      </c>
      <c r="G332" s="4">
        <v>901329717</v>
      </c>
      <c r="H332" s="4" t="s">
        <v>318</v>
      </c>
      <c r="I332" s="4">
        <v>36759470</v>
      </c>
      <c r="J332" s="4" t="s">
        <v>14</v>
      </c>
      <c r="K332" s="4" t="s">
        <v>319</v>
      </c>
      <c r="L332" s="5">
        <v>216656524.10000002</v>
      </c>
      <c r="M332" s="5">
        <v>144437683</v>
      </c>
      <c r="N332" s="4" t="s">
        <v>704</v>
      </c>
      <c r="O332" s="5">
        <f t="shared" si="5"/>
        <v>-72218841.100000024</v>
      </c>
      <c r="P332" s="2" t="s">
        <v>827</v>
      </c>
      <c r="Q332" t="s">
        <v>831</v>
      </c>
    </row>
    <row r="333" spans="1:17" hidden="1" x14ac:dyDescent="0.25">
      <c r="A333" s="8" t="s">
        <v>701</v>
      </c>
      <c r="B333" s="8" t="s">
        <v>13</v>
      </c>
      <c r="C333" s="8">
        <v>45912</v>
      </c>
      <c r="D333" s="8">
        <v>46022</v>
      </c>
      <c r="E333" s="8" t="s">
        <v>826</v>
      </c>
      <c r="F333" s="8" t="s">
        <v>83</v>
      </c>
      <c r="G333" s="8">
        <v>805021222</v>
      </c>
      <c r="H333" s="8" t="s">
        <v>702</v>
      </c>
      <c r="I333" s="8">
        <v>17658216</v>
      </c>
      <c r="J333" s="8" t="s">
        <v>14</v>
      </c>
      <c r="K333" s="8" t="s">
        <v>82</v>
      </c>
      <c r="L333" s="9">
        <v>258316240</v>
      </c>
      <c r="M333" s="9">
        <v>270000000</v>
      </c>
      <c r="N333" s="8" t="s">
        <v>704</v>
      </c>
      <c r="O333" s="9">
        <f t="shared" si="5"/>
        <v>11683760</v>
      </c>
      <c r="P333" s="2" t="s">
        <v>828</v>
      </c>
      <c r="Q333" t="s">
        <v>834</v>
      </c>
    </row>
    <row r="334" spans="1:17" hidden="1" x14ac:dyDescent="0.25">
      <c r="A334" s="8" t="s">
        <v>211</v>
      </c>
      <c r="B334" s="8" t="s">
        <v>13</v>
      </c>
      <c r="C334" s="8">
        <v>45945</v>
      </c>
      <c r="D334" s="8">
        <v>46022</v>
      </c>
      <c r="E334" s="8" t="s">
        <v>212</v>
      </c>
      <c r="F334" s="8" t="s">
        <v>83</v>
      </c>
      <c r="G334" s="8">
        <v>805021222</v>
      </c>
      <c r="H334" s="8" t="s">
        <v>81</v>
      </c>
      <c r="I334" s="8">
        <v>17658216</v>
      </c>
      <c r="J334" s="8" t="s">
        <v>14</v>
      </c>
      <c r="K334" s="8" t="s">
        <v>108</v>
      </c>
      <c r="L334" s="9">
        <v>277798390</v>
      </c>
      <c r="M334" s="9">
        <v>280000000</v>
      </c>
      <c r="N334" s="8" t="s">
        <v>704</v>
      </c>
      <c r="O334" s="9">
        <f t="shared" si="5"/>
        <v>2201610</v>
      </c>
      <c r="P334" s="2" t="s">
        <v>828</v>
      </c>
      <c r="Q334" t="s">
        <v>834</v>
      </c>
    </row>
    <row r="335" spans="1:17" hidden="1" x14ac:dyDescent="0.25">
      <c r="A335" s="4" t="s">
        <v>169</v>
      </c>
      <c r="B335" s="4" t="s">
        <v>13</v>
      </c>
      <c r="C335" s="4">
        <v>45940</v>
      </c>
      <c r="D335" s="4">
        <v>46022</v>
      </c>
      <c r="E335" s="4" t="s">
        <v>170</v>
      </c>
      <c r="F335" s="4" t="s">
        <v>83</v>
      </c>
      <c r="G335" s="4">
        <v>900752343</v>
      </c>
      <c r="H335" s="4" t="s">
        <v>107</v>
      </c>
      <c r="I335" s="4">
        <v>17658216</v>
      </c>
      <c r="J335" s="4" t="s">
        <v>14</v>
      </c>
      <c r="K335" s="4" t="s">
        <v>108</v>
      </c>
      <c r="L335" s="5">
        <v>350950000</v>
      </c>
      <c r="M335" s="5">
        <v>281000000</v>
      </c>
      <c r="N335" s="4" t="s">
        <v>704</v>
      </c>
      <c r="O335" s="5">
        <f t="shared" si="5"/>
        <v>-69950000</v>
      </c>
      <c r="P335" s="2" t="s">
        <v>827</v>
      </c>
      <c r="Q335" t="s">
        <v>830</v>
      </c>
    </row>
    <row r="336" spans="1:17" hidden="1" x14ac:dyDescent="0.25">
      <c r="A336" s="8" t="s">
        <v>665</v>
      </c>
      <c r="B336" s="8" t="s">
        <v>13</v>
      </c>
      <c r="C336" s="8">
        <v>45909</v>
      </c>
      <c r="D336" s="8">
        <v>46022</v>
      </c>
      <c r="E336" s="8" t="s">
        <v>710</v>
      </c>
      <c r="F336" s="8" t="s">
        <v>14</v>
      </c>
      <c r="G336" s="8">
        <v>1085244624</v>
      </c>
      <c r="H336" s="8" t="s">
        <v>666</v>
      </c>
      <c r="I336" s="8">
        <v>98333941</v>
      </c>
      <c r="J336" s="8" t="s">
        <v>14</v>
      </c>
      <c r="K336" s="8" t="s">
        <v>15</v>
      </c>
      <c r="L336" s="9">
        <v>3900000</v>
      </c>
      <c r="M336" s="9">
        <v>31200000</v>
      </c>
      <c r="N336" s="8" t="s">
        <v>704</v>
      </c>
      <c r="O336" s="9">
        <f t="shared" si="5"/>
        <v>27300000</v>
      </c>
      <c r="P336" s="2" t="s">
        <v>828</v>
      </c>
    </row>
    <row r="337" spans="1:17" hidden="1" x14ac:dyDescent="0.25">
      <c r="A337" s="3" t="s">
        <v>106</v>
      </c>
      <c r="B337" s="4" t="s">
        <v>13</v>
      </c>
      <c r="C337" s="4">
        <v>45940</v>
      </c>
      <c r="D337" s="4">
        <v>46022</v>
      </c>
      <c r="E337" s="4" t="s">
        <v>714</v>
      </c>
      <c r="F337" s="4" t="s">
        <v>83</v>
      </c>
      <c r="G337" s="4">
        <v>900752343</v>
      </c>
      <c r="H337" s="4" t="s">
        <v>107</v>
      </c>
      <c r="I337" s="4">
        <v>17658216</v>
      </c>
      <c r="J337" s="4" t="s">
        <v>14</v>
      </c>
      <c r="K337" s="4" t="s">
        <v>108</v>
      </c>
      <c r="L337" s="5">
        <v>352600000</v>
      </c>
      <c r="M337" s="5">
        <v>284000000</v>
      </c>
      <c r="N337" s="4" t="s">
        <v>704</v>
      </c>
      <c r="O337" s="5">
        <f t="shared" si="5"/>
        <v>-68600000</v>
      </c>
      <c r="P337" s="2" t="s">
        <v>827</v>
      </c>
      <c r="Q337" t="s">
        <v>830</v>
      </c>
    </row>
    <row r="338" spans="1:17" hidden="1" x14ac:dyDescent="0.25">
      <c r="A338" s="8" t="s">
        <v>696</v>
      </c>
      <c r="B338" s="8" t="s">
        <v>13</v>
      </c>
      <c r="C338" s="8">
        <v>45897</v>
      </c>
      <c r="D338" s="8">
        <v>46019</v>
      </c>
      <c r="E338" s="8" t="s">
        <v>824</v>
      </c>
      <c r="F338" s="8" t="s">
        <v>83</v>
      </c>
      <c r="G338" s="8">
        <v>900994364</v>
      </c>
      <c r="H338" s="8" t="s">
        <v>697</v>
      </c>
      <c r="I338" s="8">
        <v>13016581</v>
      </c>
      <c r="J338" s="8" t="s">
        <v>14</v>
      </c>
      <c r="K338" s="8" t="s">
        <v>698</v>
      </c>
      <c r="L338" s="9">
        <v>603185000</v>
      </c>
      <c r="M338" s="9">
        <v>605000000</v>
      </c>
      <c r="N338" s="8" t="s">
        <v>704</v>
      </c>
      <c r="O338" s="9">
        <f t="shared" si="5"/>
        <v>1815000</v>
      </c>
      <c r="P338" s="2" t="s">
        <v>828</v>
      </c>
      <c r="Q338" t="s">
        <v>834</v>
      </c>
    </row>
  </sheetData>
  <autoFilter ref="A1:Q338" xr:uid="{65CE6C42-9DBB-4B9D-8014-7CB2787615F7}">
    <filterColumn colId="16">
      <filters>
        <filter val="ANULAR"/>
      </filters>
    </filterColumn>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EE428-471E-4F45-B4FE-EC26CDB6E35A}">
  <dimension ref="B1:M381"/>
  <sheetViews>
    <sheetView topLeftCell="A355" workbookViewId="0">
      <selection activeCell="M2" sqref="M2:M381"/>
    </sheetView>
  </sheetViews>
  <sheetFormatPr baseColWidth="10" defaultRowHeight="15" x14ac:dyDescent="0.25"/>
  <cols>
    <col min="8" max="8" width="26.5703125" bestFit="1" customWidth="1"/>
    <col min="11" max="11" width="33.7109375" bestFit="1" customWidth="1"/>
    <col min="12" max="12" width="22.7109375" bestFit="1" customWidth="1"/>
  </cols>
  <sheetData>
    <row r="1" spans="2:13" x14ac:dyDescent="0.25">
      <c r="B1" t="s">
        <v>836</v>
      </c>
      <c r="D1" t="s">
        <v>835</v>
      </c>
      <c r="G1" t="s">
        <v>971</v>
      </c>
      <c r="H1" t="s">
        <v>970</v>
      </c>
      <c r="I1" t="s">
        <v>969</v>
      </c>
      <c r="J1" t="s">
        <v>972</v>
      </c>
      <c r="K1" t="s">
        <v>970</v>
      </c>
      <c r="L1" t="s">
        <v>979</v>
      </c>
      <c r="M1" t="s">
        <v>980</v>
      </c>
    </row>
    <row r="2" spans="2:13" x14ac:dyDescent="0.25">
      <c r="B2">
        <v>-2025</v>
      </c>
      <c r="C2">
        <v>0</v>
      </c>
      <c r="D2">
        <v>11</v>
      </c>
      <c r="E2" t="str">
        <f t="shared" ref="E2:E33" si="0">_xlfn.CONCAT(C2,D2)</f>
        <v>011</v>
      </c>
      <c r="F2" t="str">
        <f t="shared" ref="F2:F33" si="1">_xlfn.CONCAT(E2,B2)</f>
        <v>011-2025</v>
      </c>
      <c r="G2" t="s">
        <v>965</v>
      </c>
      <c r="H2" t="s">
        <v>965</v>
      </c>
      <c r="I2">
        <v>59836926</v>
      </c>
      <c r="J2" t="s">
        <v>14</v>
      </c>
      <c r="K2" t="s">
        <v>17</v>
      </c>
      <c r="L2" t="s">
        <v>973</v>
      </c>
      <c r="M2" t="s">
        <v>775</v>
      </c>
    </row>
    <row r="3" spans="2:13" x14ac:dyDescent="0.25">
      <c r="B3">
        <v>-2025</v>
      </c>
      <c r="C3">
        <v>0</v>
      </c>
      <c r="D3">
        <v>14</v>
      </c>
      <c r="E3" t="str">
        <f t="shared" si="0"/>
        <v>014</v>
      </c>
      <c r="F3" t="str">
        <f t="shared" si="1"/>
        <v>014-2025</v>
      </c>
      <c r="G3" t="s">
        <v>966</v>
      </c>
      <c r="H3" t="s">
        <v>966</v>
      </c>
      <c r="I3">
        <v>43624414</v>
      </c>
      <c r="J3" t="s">
        <v>14</v>
      </c>
      <c r="K3" t="s">
        <v>18</v>
      </c>
      <c r="L3" t="s">
        <v>974</v>
      </c>
      <c r="M3" t="s">
        <v>775</v>
      </c>
    </row>
    <row r="4" spans="2:13" x14ac:dyDescent="0.25">
      <c r="B4">
        <v>-2025</v>
      </c>
      <c r="C4">
        <v>0</v>
      </c>
      <c r="D4">
        <v>23</v>
      </c>
      <c r="E4" t="str">
        <f t="shared" si="0"/>
        <v>023</v>
      </c>
      <c r="F4" t="str">
        <f t="shared" si="1"/>
        <v>023-2025</v>
      </c>
      <c r="G4" t="s">
        <v>965</v>
      </c>
      <c r="H4" t="s">
        <v>965</v>
      </c>
      <c r="I4">
        <v>59836926</v>
      </c>
      <c r="J4" t="s">
        <v>14</v>
      </c>
      <c r="K4" t="s">
        <v>17</v>
      </c>
      <c r="L4" t="s">
        <v>973</v>
      </c>
      <c r="M4" t="s">
        <v>775</v>
      </c>
    </row>
    <row r="5" spans="2:13" x14ac:dyDescent="0.25">
      <c r="B5">
        <v>-2025</v>
      </c>
      <c r="C5">
        <v>0</v>
      </c>
      <c r="D5">
        <v>45</v>
      </c>
      <c r="E5" t="str">
        <f t="shared" si="0"/>
        <v>045</v>
      </c>
      <c r="F5" t="str">
        <f t="shared" si="1"/>
        <v>045-2025</v>
      </c>
      <c r="G5" t="s">
        <v>965</v>
      </c>
      <c r="H5" t="s">
        <v>965</v>
      </c>
      <c r="I5">
        <v>59836926</v>
      </c>
      <c r="J5" t="s">
        <v>14</v>
      </c>
      <c r="K5" t="s">
        <v>17</v>
      </c>
      <c r="L5" t="s">
        <v>975</v>
      </c>
      <c r="M5" t="s">
        <v>744</v>
      </c>
    </row>
    <row r="6" spans="2:13" x14ac:dyDescent="0.25">
      <c r="B6">
        <v>-2025</v>
      </c>
      <c r="C6">
        <v>0</v>
      </c>
      <c r="D6">
        <v>46</v>
      </c>
      <c r="E6" t="str">
        <f t="shared" si="0"/>
        <v>046</v>
      </c>
      <c r="F6" t="str">
        <f t="shared" si="1"/>
        <v>046-2025</v>
      </c>
      <c r="G6" t="s">
        <v>967</v>
      </c>
      <c r="H6" t="s">
        <v>967</v>
      </c>
      <c r="I6">
        <v>98333941</v>
      </c>
      <c r="J6" t="s">
        <v>14</v>
      </c>
      <c r="K6" t="s">
        <v>15</v>
      </c>
      <c r="L6" t="s">
        <v>976</v>
      </c>
      <c r="M6" t="s">
        <v>744</v>
      </c>
    </row>
    <row r="7" spans="2:13" x14ac:dyDescent="0.25">
      <c r="B7">
        <v>-2025</v>
      </c>
      <c r="C7">
        <v>0</v>
      </c>
      <c r="D7">
        <v>47</v>
      </c>
      <c r="E7" t="str">
        <f t="shared" si="0"/>
        <v>047</v>
      </c>
      <c r="F7" t="str">
        <f t="shared" si="1"/>
        <v>047-2025</v>
      </c>
      <c r="G7" t="s">
        <v>967</v>
      </c>
      <c r="H7" t="s">
        <v>967</v>
      </c>
      <c r="I7">
        <v>98333941</v>
      </c>
      <c r="J7" t="s">
        <v>14</v>
      </c>
      <c r="K7" t="s">
        <v>15</v>
      </c>
      <c r="L7" t="s">
        <v>975</v>
      </c>
      <c r="M7" t="s">
        <v>981</v>
      </c>
    </row>
    <row r="8" spans="2:13" x14ac:dyDescent="0.25">
      <c r="B8">
        <v>-2025</v>
      </c>
      <c r="C8">
        <v>0</v>
      </c>
      <c r="D8">
        <v>48</v>
      </c>
      <c r="E8" t="str">
        <f t="shared" si="0"/>
        <v>048</v>
      </c>
      <c r="F8" t="str">
        <f t="shared" si="1"/>
        <v>048-2025</v>
      </c>
      <c r="G8" t="s">
        <v>968</v>
      </c>
      <c r="H8" t="s">
        <v>968</v>
      </c>
      <c r="I8">
        <v>98390119</v>
      </c>
      <c r="J8" t="s">
        <v>14</v>
      </c>
      <c r="K8" t="s">
        <v>63</v>
      </c>
      <c r="L8" t="s">
        <v>975</v>
      </c>
      <c r="M8" t="s">
        <v>744</v>
      </c>
    </row>
    <row r="9" spans="2:13" x14ac:dyDescent="0.25">
      <c r="B9">
        <v>-2025</v>
      </c>
      <c r="C9">
        <v>0</v>
      </c>
      <c r="D9">
        <v>49</v>
      </c>
      <c r="E9" t="str">
        <f t="shared" si="0"/>
        <v>049</v>
      </c>
      <c r="F9" t="str">
        <f t="shared" si="1"/>
        <v>049-2025</v>
      </c>
      <c r="G9" t="s">
        <v>966</v>
      </c>
      <c r="H9" t="s">
        <v>966</v>
      </c>
      <c r="I9">
        <v>43624414</v>
      </c>
      <c r="J9" t="s">
        <v>14</v>
      </c>
      <c r="K9" t="s">
        <v>18</v>
      </c>
      <c r="L9" t="s">
        <v>975</v>
      </c>
      <c r="M9" t="s">
        <v>744</v>
      </c>
    </row>
    <row r="10" spans="2:13" x14ac:dyDescent="0.25">
      <c r="B10">
        <v>-2025</v>
      </c>
      <c r="C10">
        <v>0</v>
      </c>
      <c r="D10">
        <v>50</v>
      </c>
      <c r="E10" t="str">
        <f t="shared" si="0"/>
        <v>050</v>
      </c>
      <c r="F10" t="str">
        <f t="shared" si="1"/>
        <v>050-2025</v>
      </c>
      <c r="G10" t="s">
        <v>965</v>
      </c>
      <c r="H10" t="s">
        <v>965</v>
      </c>
      <c r="I10">
        <v>59836926</v>
      </c>
      <c r="J10" t="s">
        <v>14</v>
      </c>
      <c r="K10" t="s">
        <v>17</v>
      </c>
      <c r="L10" t="s">
        <v>976</v>
      </c>
      <c r="M10" t="s">
        <v>744</v>
      </c>
    </row>
    <row r="11" spans="2:13" x14ac:dyDescent="0.25">
      <c r="B11">
        <v>-2025</v>
      </c>
      <c r="C11">
        <v>0</v>
      </c>
      <c r="D11">
        <v>51</v>
      </c>
      <c r="E11" t="str">
        <f t="shared" si="0"/>
        <v>051</v>
      </c>
      <c r="F11" t="str">
        <f t="shared" si="1"/>
        <v>051-2025</v>
      </c>
      <c r="G11" t="s">
        <v>967</v>
      </c>
      <c r="H11" t="s">
        <v>967</v>
      </c>
      <c r="I11">
        <v>98333941</v>
      </c>
      <c r="J11" t="s">
        <v>14</v>
      </c>
      <c r="K11" t="s">
        <v>15</v>
      </c>
      <c r="L11" t="s">
        <v>975</v>
      </c>
      <c r="M11" t="s">
        <v>744</v>
      </c>
    </row>
    <row r="12" spans="2:13" x14ac:dyDescent="0.25">
      <c r="B12">
        <v>-2025</v>
      </c>
      <c r="C12">
        <v>0</v>
      </c>
      <c r="D12">
        <v>52</v>
      </c>
      <c r="E12" t="str">
        <f t="shared" si="0"/>
        <v>052</v>
      </c>
      <c r="F12" t="str">
        <f t="shared" si="1"/>
        <v>052-2025</v>
      </c>
      <c r="G12" t="s">
        <v>965</v>
      </c>
      <c r="H12" t="s">
        <v>965</v>
      </c>
      <c r="I12">
        <v>59836926</v>
      </c>
      <c r="J12" t="s">
        <v>14</v>
      </c>
      <c r="K12" t="s">
        <v>17</v>
      </c>
      <c r="L12" t="s">
        <v>976</v>
      </c>
      <c r="M12" t="s">
        <v>744</v>
      </c>
    </row>
    <row r="13" spans="2:13" x14ac:dyDescent="0.25">
      <c r="B13">
        <v>-2025</v>
      </c>
      <c r="C13">
        <v>0</v>
      </c>
      <c r="D13">
        <v>53</v>
      </c>
      <c r="E13" t="str">
        <f t="shared" si="0"/>
        <v>053</v>
      </c>
      <c r="F13" t="str">
        <f t="shared" si="1"/>
        <v>053-2025</v>
      </c>
      <c r="G13" t="s">
        <v>966</v>
      </c>
      <c r="H13" t="s">
        <v>966</v>
      </c>
      <c r="I13">
        <v>43624414</v>
      </c>
      <c r="J13" t="s">
        <v>14</v>
      </c>
      <c r="K13" t="s">
        <v>18</v>
      </c>
      <c r="L13" t="s">
        <v>975</v>
      </c>
      <c r="M13" t="s">
        <v>744</v>
      </c>
    </row>
    <row r="14" spans="2:13" x14ac:dyDescent="0.25">
      <c r="B14">
        <v>-2025</v>
      </c>
      <c r="C14">
        <v>0</v>
      </c>
      <c r="D14">
        <v>55</v>
      </c>
      <c r="E14" t="str">
        <f t="shared" si="0"/>
        <v>055</v>
      </c>
      <c r="F14" t="str">
        <f t="shared" si="1"/>
        <v>055-2025</v>
      </c>
      <c r="G14" t="s">
        <v>966</v>
      </c>
      <c r="H14" t="s">
        <v>966</v>
      </c>
      <c r="I14">
        <v>43624414</v>
      </c>
      <c r="J14" t="s">
        <v>14</v>
      </c>
      <c r="K14" t="s">
        <v>18</v>
      </c>
      <c r="L14" t="s">
        <v>976</v>
      </c>
      <c r="M14" t="s">
        <v>744</v>
      </c>
    </row>
    <row r="15" spans="2:13" x14ac:dyDescent="0.25">
      <c r="B15">
        <v>-2025</v>
      </c>
      <c r="C15">
        <v>0</v>
      </c>
      <c r="D15">
        <v>56</v>
      </c>
      <c r="E15" t="str">
        <f t="shared" si="0"/>
        <v>056</v>
      </c>
      <c r="F15" t="str">
        <f t="shared" si="1"/>
        <v>056-2025</v>
      </c>
      <c r="G15" t="s">
        <v>967</v>
      </c>
      <c r="H15" t="s">
        <v>967</v>
      </c>
      <c r="I15">
        <v>98333941</v>
      </c>
      <c r="J15" t="s">
        <v>14</v>
      </c>
      <c r="K15" t="s">
        <v>15</v>
      </c>
      <c r="L15" t="s">
        <v>975</v>
      </c>
      <c r="M15" t="s">
        <v>744</v>
      </c>
    </row>
    <row r="16" spans="2:13" x14ac:dyDescent="0.25">
      <c r="B16">
        <v>-2025</v>
      </c>
      <c r="C16">
        <v>0</v>
      </c>
      <c r="D16">
        <v>57</v>
      </c>
      <c r="E16" t="str">
        <f t="shared" si="0"/>
        <v>057</v>
      </c>
      <c r="F16" t="str">
        <f t="shared" si="1"/>
        <v>057-2025</v>
      </c>
      <c r="G16" t="s">
        <v>966</v>
      </c>
      <c r="H16" t="s">
        <v>966</v>
      </c>
      <c r="I16">
        <v>43624414</v>
      </c>
      <c r="J16" t="s">
        <v>14</v>
      </c>
      <c r="K16" t="s">
        <v>18</v>
      </c>
      <c r="L16" t="s">
        <v>975</v>
      </c>
      <c r="M16" t="s">
        <v>744</v>
      </c>
    </row>
    <row r="17" spans="2:13" x14ac:dyDescent="0.25">
      <c r="B17">
        <v>-2025</v>
      </c>
      <c r="C17">
        <v>0</v>
      </c>
      <c r="D17">
        <v>58</v>
      </c>
      <c r="E17" t="str">
        <f t="shared" si="0"/>
        <v>058</v>
      </c>
      <c r="F17" t="str">
        <f t="shared" si="1"/>
        <v>058-2025</v>
      </c>
      <c r="G17" t="s">
        <v>966</v>
      </c>
      <c r="H17" t="s">
        <v>966</v>
      </c>
      <c r="I17">
        <v>43624414</v>
      </c>
      <c r="J17" t="s">
        <v>14</v>
      </c>
      <c r="K17" t="s">
        <v>18</v>
      </c>
      <c r="L17" t="s">
        <v>975</v>
      </c>
      <c r="M17" t="s">
        <v>744</v>
      </c>
    </row>
    <row r="18" spans="2:13" x14ac:dyDescent="0.25">
      <c r="B18">
        <v>-2025</v>
      </c>
      <c r="C18">
        <v>0</v>
      </c>
      <c r="D18">
        <v>59</v>
      </c>
      <c r="E18" t="str">
        <f t="shared" si="0"/>
        <v>059</v>
      </c>
      <c r="F18" t="str">
        <f t="shared" si="1"/>
        <v>059-2025</v>
      </c>
      <c r="G18" t="s">
        <v>965</v>
      </c>
      <c r="H18" t="s">
        <v>965</v>
      </c>
      <c r="I18">
        <v>59836926</v>
      </c>
      <c r="J18" t="s">
        <v>14</v>
      </c>
      <c r="K18" t="s">
        <v>17</v>
      </c>
      <c r="L18" t="s">
        <v>976</v>
      </c>
      <c r="M18" t="s">
        <v>744</v>
      </c>
    </row>
    <row r="19" spans="2:13" x14ac:dyDescent="0.25">
      <c r="B19">
        <v>-2025</v>
      </c>
      <c r="C19">
        <v>0</v>
      </c>
      <c r="D19">
        <v>60</v>
      </c>
      <c r="E19" t="str">
        <f t="shared" si="0"/>
        <v>060</v>
      </c>
      <c r="F19" t="str">
        <f t="shared" si="1"/>
        <v>060-2025</v>
      </c>
      <c r="G19" t="s">
        <v>967</v>
      </c>
      <c r="H19" t="s">
        <v>967</v>
      </c>
      <c r="I19">
        <v>98333941</v>
      </c>
      <c r="J19" t="s">
        <v>14</v>
      </c>
      <c r="K19" t="s">
        <v>15</v>
      </c>
      <c r="L19" t="s">
        <v>976</v>
      </c>
      <c r="M19" t="s">
        <v>744</v>
      </c>
    </row>
    <row r="20" spans="2:13" x14ac:dyDescent="0.25">
      <c r="B20">
        <v>-2025</v>
      </c>
      <c r="C20">
        <v>0</v>
      </c>
      <c r="D20">
        <v>61</v>
      </c>
      <c r="E20" t="str">
        <f t="shared" si="0"/>
        <v>061</v>
      </c>
      <c r="F20" t="str">
        <f t="shared" si="1"/>
        <v>061-2025</v>
      </c>
      <c r="G20" t="s">
        <v>965</v>
      </c>
      <c r="H20" t="s">
        <v>965</v>
      </c>
      <c r="I20">
        <v>59836926</v>
      </c>
      <c r="J20" t="s">
        <v>14</v>
      </c>
      <c r="K20" t="s">
        <v>17</v>
      </c>
      <c r="L20" t="s">
        <v>976</v>
      </c>
      <c r="M20" t="s">
        <v>744</v>
      </c>
    </row>
    <row r="21" spans="2:13" x14ac:dyDescent="0.25">
      <c r="B21">
        <v>-2025</v>
      </c>
      <c r="C21">
        <v>0</v>
      </c>
      <c r="D21">
        <v>62</v>
      </c>
      <c r="E21" t="str">
        <f t="shared" si="0"/>
        <v>062</v>
      </c>
      <c r="F21" t="str">
        <f t="shared" si="1"/>
        <v>062-2025</v>
      </c>
      <c r="G21" t="s">
        <v>965</v>
      </c>
      <c r="H21" t="s">
        <v>965</v>
      </c>
      <c r="I21">
        <v>59836926</v>
      </c>
      <c r="J21" t="s">
        <v>14</v>
      </c>
      <c r="K21" t="s">
        <v>17</v>
      </c>
      <c r="L21" t="s">
        <v>974</v>
      </c>
      <c r="M21" t="s">
        <v>775</v>
      </c>
    </row>
    <row r="22" spans="2:13" x14ac:dyDescent="0.25">
      <c r="B22">
        <v>-2025</v>
      </c>
      <c r="C22">
        <v>0</v>
      </c>
      <c r="D22">
        <v>63</v>
      </c>
      <c r="E22" t="str">
        <f t="shared" si="0"/>
        <v>063</v>
      </c>
      <c r="F22" t="str">
        <f t="shared" si="1"/>
        <v>063-2025</v>
      </c>
      <c r="G22" t="s">
        <v>967</v>
      </c>
      <c r="H22" t="s">
        <v>967</v>
      </c>
      <c r="I22">
        <v>98333941</v>
      </c>
      <c r="J22" t="s">
        <v>14</v>
      </c>
      <c r="K22" t="s">
        <v>15</v>
      </c>
      <c r="L22" t="s">
        <v>975</v>
      </c>
      <c r="M22" t="s">
        <v>744</v>
      </c>
    </row>
    <row r="23" spans="2:13" x14ac:dyDescent="0.25">
      <c r="B23">
        <v>-2025</v>
      </c>
      <c r="C23">
        <v>0</v>
      </c>
      <c r="D23">
        <v>64</v>
      </c>
      <c r="E23" t="str">
        <f t="shared" si="0"/>
        <v>064</v>
      </c>
      <c r="F23" t="str">
        <f t="shared" si="1"/>
        <v>064-2025</v>
      </c>
      <c r="G23" t="s">
        <v>967</v>
      </c>
      <c r="H23" t="s">
        <v>967</v>
      </c>
      <c r="I23">
        <v>98333941</v>
      </c>
      <c r="J23" t="s">
        <v>14</v>
      </c>
      <c r="K23" t="s">
        <v>15</v>
      </c>
      <c r="L23" t="s">
        <v>975</v>
      </c>
      <c r="M23" t="s">
        <v>744</v>
      </c>
    </row>
    <row r="24" spans="2:13" x14ac:dyDescent="0.25">
      <c r="B24">
        <v>-2025</v>
      </c>
      <c r="C24">
        <v>0</v>
      </c>
      <c r="D24">
        <v>65</v>
      </c>
      <c r="E24" t="str">
        <f t="shared" si="0"/>
        <v>065</v>
      </c>
      <c r="F24" t="str">
        <f t="shared" si="1"/>
        <v>065-2025</v>
      </c>
      <c r="G24" t="s">
        <v>968</v>
      </c>
      <c r="H24" t="s">
        <v>968</v>
      </c>
      <c r="I24">
        <v>98390119</v>
      </c>
      <c r="J24" t="s">
        <v>14</v>
      </c>
      <c r="K24" t="s">
        <v>63</v>
      </c>
      <c r="L24" t="s">
        <v>975</v>
      </c>
      <c r="M24" t="s">
        <v>744</v>
      </c>
    </row>
    <row r="25" spans="2:13" x14ac:dyDescent="0.25">
      <c r="B25">
        <v>-2025</v>
      </c>
      <c r="C25">
        <v>0</v>
      </c>
      <c r="D25">
        <v>66</v>
      </c>
      <c r="E25" t="str">
        <f t="shared" si="0"/>
        <v>066</v>
      </c>
      <c r="F25" t="str">
        <f t="shared" si="1"/>
        <v>066-2025</v>
      </c>
      <c r="G25" t="s">
        <v>967</v>
      </c>
      <c r="H25" t="s">
        <v>967</v>
      </c>
      <c r="I25">
        <v>98333941</v>
      </c>
      <c r="J25" t="s">
        <v>14</v>
      </c>
      <c r="K25" t="s">
        <v>15</v>
      </c>
      <c r="L25" t="s">
        <v>976</v>
      </c>
      <c r="M25" t="s">
        <v>744</v>
      </c>
    </row>
    <row r="26" spans="2:13" x14ac:dyDescent="0.25">
      <c r="B26">
        <v>-2025</v>
      </c>
      <c r="C26">
        <v>0</v>
      </c>
      <c r="D26">
        <v>67</v>
      </c>
      <c r="E26" t="str">
        <f t="shared" si="0"/>
        <v>067</v>
      </c>
      <c r="F26" t="str">
        <f t="shared" si="1"/>
        <v>067-2025</v>
      </c>
      <c r="G26" t="s">
        <v>968</v>
      </c>
      <c r="H26" t="s">
        <v>968</v>
      </c>
      <c r="I26">
        <v>98390119</v>
      </c>
      <c r="J26" t="s">
        <v>14</v>
      </c>
      <c r="K26" t="s">
        <v>63</v>
      </c>
      <c r="L26" t="s">
        <v>975</v>
      </c>
      <c r="M26" t="s">
        <v>744</v>
      </c>
    </row>
    <row r="27" spans="2:13" x14ac:dyDescent="0.25">
      <c r="B27">
        <v>-2025</v>
      </c>
      <c r="C27">
        <v>0</v>
      </c>
      <c r="D27">
        <v>68</v>
      </c>
      <c r="E27" t="str">
        <f t="shared" si="0"/>
        <v>068</v>
      </c>
      <c r="F27" t="str">
        <f t="shared" si="1"/>
        <v>068-2025</v>
      </c>
      <c r="G27" t="s">
        <v>966</v>
      </c>
      <c r="H27" t="s">
        <v>966</v>
      </c>
      <c r="I27">
        <v>43624414</v>
      </c>
      <c r="J27" t="s">
        <v>14</v>
      </c>
      <c r="K27" t="s">
        <v>18</v>
      </c>
      <c r="L27" t="s">
        <v>975</v>
      </c>
      <c r="M27" t="s">
        <v>744</v>
      </c>
    </row>
    <row r="28" spans="2:13" x14ac:dyDescent="0.25">
      <c r="B28">
        <v>-2025</v>
      </c>
      <c r="C28">
        <v>0</v>
      </c>
      <c r="D28">
        <v>69</v>
      </c>
      <c r="E28" t="str">
        <f t="shared" si="0"/>
        <v>069</v>
      </c>
      <c r="F28" t="str">
        <f t="shared" si="1"/>
        <v>069-2025</v>
      </c>
      <c r="G28" t="s">
        <v>965</v>
      </c>
      <c r="H28" t="s">
        <v>965</v>
      </c>
      <c r="I28">
        <v>59836926</v>
      </c>
      <c r="J28" t="s">
        <v>14</v>
      </c>
      <c r="K28" t="s">
        <v>17</v>
      </c>
      <c r="L28" t="s">
        <v>975</v>
      </c>
      <c r="M28" t="s">
        <v>744</v>
      </c>
    </row>
    <row r="29" spans="2:13" x14ac:dyDescent="0.25">
      <c r="B29">
        <v>-2025</v>
      </c>
      <c r="C29">
        <v>0</v>
      </c>
      <c r="D29">
        <v>70</v>
      </c>
      <c r="E29" t="str">
        <f t="shared" si="0"/>
        <v>070</v>
      </c>
      <c r="F29" t="str">
        <f t="shared" si="1"/>
        <v>070-2025</v>
      </c>
      <c r="G29" t="s">
        <v>965</v>
      </c>
      <c r="H29" t="s">
        <v>965</v>
      </c>
      <c r="I29">
        <v>59836926</v>
      </c>
      <c r="J29" t="s">
        <v>14</v>
      </c>
      <c r="K29" t="s">
        <v>17</v>
      </c>
      <c r="L29" t="s">
        <v>975</v>
      </c>
      <c r="M29" t="s">
        <v>744</v>
      </c>
    </row>
    <row r="30" spans="2:13" x14ac:dyDescent="0.25">
      <c r="B30">
        <v>-2025</v>
      </c>
      <c r="C30">
        <v>0</v>
      </c>
      <c r="D30">
        <v>71</v>
      </c>
      <c r="E30" t="str">
        <f t="shared" si="0"/>
        <v>071</v>
      </c>
      <c r="F30" t="str">
        <f t="shared" si="1"/>
        <v>071-2025</v>
      </c>
      <c r="G30" t="s">
        <v>967</v>
      </c>
      <c r="H30" t="s">
        <v>967</v>
      </c>
      <c r="I30">
        <v>98333941</v>
      </c>
      <c r="J30" t="s">
        <v>14</v>
      </c>
      <c r="K30" t="s">
        <v>15</v>
      </c>
      <c r="L30" t="s">
        <v>975</v>
      </c>
      <c r="M30" t="s">
        <v>744</v>
      </c>
    </row>
    <row r="31" spans="2:13" x14ac:dyDescent="0.25">
      <c r="B31">
        <v>-2025</v>
      </c>
      <c r="C31">
        <v>0</v>
      </c>
      <c r="D31">
        <v>72</v>
      </c>
      <c r="E31" t="str">
        <f t="shared" si="0"/>
        <v>072</v>
      </c>
      <c r="F31" t="str">
        <f t="shared" si="1"/>
        <v>072-2025</v>
      </c>
      <c r="G31" t="s">
        <v>967</v>
      </c>
      <c r="H31" t="s">
        <v>967</v>
      </c>
      <c r="I31">
        <v>98333941</v>
      </c>
      <c r="J31" t="s">
        <v>14</v>
      </c>
      <c r="K31" t="s">
        <v>15</v>
      </c>
      <c r="L31" t="s">
        <v>976</v>
      </c>
      <c r="M31" t="s">
        <v>744</v>
      </c>
    </row>
    <row r="32" spans="2:13" x14ac:dyDescent="0.25">
      <c r="B32">
        <v>-2025</v>
      </c>
      <c r="C32">
        <v>0</v>
      </c>
      <c r="D32">
        <v>73</v>
      </c>
      <c r="E32" t="str">
        <f t="shared" si="0"/>
        <v>073</v>
      </c>
      <c r="F32" t="str">
        <f t="shared" si="1"/>
        <v>073-2025</v>
      </c>
      <c r="G32" t="s">
        <v>967</v>
      </c>
      <c r="H32" t="s">
        <v>967</v>
      </c>
      <c r="I32">
        <v>98333941</v>
      </c>
      <c r="J32" t="s">
        <v>14</v>
      </c>
      <c r="K32" t="s">
        <v>15</v>
      </c>
      <c r="L32" t="s">
        <v>974</v>
      </c>
      <c r="M32" t="s">
        <v>775</v>
      </c>
    </row>
    <row r="33" spans="2:13" x14ac:dyDescent="0.25">
      <c r="B33">
        <v>-2025</v>
      </c>
      <c r="C33">
        <v>0</v>
      </c>
      <c r="D33">
        <v>74</v>
      </c>
      <c r="E33" t="str">
        <f t="shared" si="0"/>
        <v>074</v>
      </c>
      <c r="F33" t="str">
        <f t="shared" si="1"/>
        <v>074-2025</v>
      </c>
      <c r="G33" t="s">
        <v>966</v>
      </c>
      <c r="H33" t="s">
        <v>966</v>
      </c>
      <c r="I33">
        <v>43624414</v>
      </c>
      <c r="J33" t="s">
        <v>14</v>
      </c>
      <c r="K33" t="s">
        <v>18</v>
      </c>
      <c r="L33" t="s">
        <v>975</v>
      </c>
      <c r="M33" t="s">
        <v>744</v>
      </c>
    </row>
    <row r="34" spans="2:13" x14ac:dyDescent="0.25">
      <c r="B34">
        <v>-2025</v>
      </c>
      <c r="C34">
        <v>0</v>
      </c>
      <c r="D34">
        <v>75</v>
      </c>
      <c r="E34" t="str">
        <f t="shared" ref="E34:E65" si="2">_xlfn.CONCAT(C34,D34)</f>
        <v>075</v>
      </c>
      <c r="F34" t="str">
        <f t="shared" ref="F34:F65" si="3">_xlfn.CONCAT(E34,B34)</f>
        <v>075-2025</v>
      </c>
      <c r="G34" t="s">
        <v>967</v>
      </c>
      <c r="H34" t="s">
        <v>967</v>
      </c>
      <c r="I34">
        <v>98333941</v>
      </c>
      <c r="J34" t="s">
        <v>14</v>
      </c>
      <c r="K34" t="s">
        <v>15</v>
      </c>
      <c r="L34" t="s">
        <v>974</v>
      </c>
      <c r="M34" t="s">
        <v>775</v>
      </c>
    </row>
    <row r="35" spans="2:13" x14ac:dyDescent="0.25">
      <c r="B35">
        <v>-2025</v>
      </c>
      <c r="C35">
        <v>0</v>
      </c>
      <c r="D35">
        <v>76</v>
      </c>
      <c r="E35" t="str">
        <f t="shared" si="2"/>
        <v>076</v>
      </c>
      <c r="F35" t="str">
        <f t="shared" si="3"/>
        <v>076-2025</v>
      </c>
      <c r="G35" t="s">
        <v>966</v>
      </c>
      <c r="H35" t="s">
        <v>966</v>
      </c>
      <c r="I35">
        <v>43624414</v>
      </c>
      <c r="J35" t="s">
        <v>14</v>
      </c>
      <c r="K35" t="s">
        <v>18</v>
      </c>
      <c r="L35" t="s">
        <v>975</v>
      </c>
      <c r="M35" t="s">
        <v>744</v>
      </c>
    </row>
    <row r="36" spans="2:13" x14ac:dyDescent="0.25">
      <c r="B36">
        <v>-2025</v>
      </c>
      <c r="C36">
        <v>0</v>
      </c>
      <c r="D36">
        <v>77</v>
      </c>
      <c r="E36" t="str">
        <f t="shared" si="2"/>
        <v>077</v>
      </c>
      <c r="F36" t="str">
        <f t="shared" si="3"/>
        <v>077-2025</v>
      </c>
      <c r="G36" t="s">
        <v>966</v>
      </c>
      <c r="H36" t="s">
        <v>966</v>
      </c>
      <c r="I36">
        <v>43624414</v>
      </c>
      <c r="J36" t="s">
        <v>14</v>
      </c>
      <c r="K36" t="s">
        <v>18</v>
      </c>
      <c r="L36" t="s">
        <v>974</v>
      </c>
      <c r="M36" t="s">
        <v>775</v>
      </c>
    </row>
    <row r="37" spans="2:13" x14ac:dyDescent="0.25">
      <c r="B37">
        <v>-2025</v>
      </c>
      <c r="C37">
        <v>0</v>
      </c>
      <c r="D37">
        <v>78</v>
      </c>
      <c r="E37" t="str">
        <f t="shared" si="2"/>
        <v>078</v>
      </c>
      <c r="F37" t="str">
        <f t="shared" si="3"/>
        <v>078-2025</v>
      </c>
      <c r="G37" t="s">
        <v>966</v>
      </c>
      <c r="H37" t="s">
        <v>966</v>
      </c>
      <c r="I37">
        <v>43624414</v>
      </c>
      <c r="J37" t="s">
        <v>14</v>
      </c>
      <c r="K37" t="s">
        <v>18</v>
      </c>
      <c r="L37" t="s">
        <v>974</v>
      </c>
      <c r="M37" t="s">
        <v>775</v>
      </c>
    </row>
    <row r="38" spans="2:13" x14ac:dyDescent="0.25">
      <c r="B38">
        <v>-2025</v>
      </c>
      <c r="C38">
        <v>0</v>
      </c>
      <c r="D38">
        <v>79</v>
      </c>
      <c r="E38" t="str">
        <f t="shared" si="2"/>
        <v>079</v>
      </c>
      <c r="F38" t="str">
        <f t="shared" si="3"/>
        <v>079-2025</v>
      </c>
      <c r="G38" t="s">
        <v>966</v>
      </c>
      <c r="H38" t="s">
        <v>966</v>
      </c>
      <c r="I38">
        <v>43624414</v>
      </c>
      <c r="J38" t="s">
        <v>14</v>
      </c>
      <c r="K38" t="s">
        <v>18</v>
      </c>
      <c r="L38" t="s">
        <v>976</v>
      </c>
      <c r="M38" t="s">
        <v>744</v>
      </c>
    </row>
    <row r="39" spans="2:13" x14ac:dyDescent="0.25">
      <c r="B39">
        <v>-2025</v>
      </c>
      <c r="C39">
        <v>0</v>
      </c>
      <c r="D39">
        <v>80</v>
      </c>
      <c r="E39" t="str">
        <f t="shared" si="2"/>
        <v>080</v>
      </c>
      <c r="F39" t="str">
        <f t="shared" si="3"/>
        <v>080-2025</v>
      </c>
      <c r="G39" t="s">
        <v>966</v>
      </c>
      <c r="H39" t="s">
        <v>966</v>
      </c>
      <c r="I39">
        <v>43624414</v>
      </c>
      <c r="J39" t="s">
        <v>14</v>
      </c>
      <c r="K39" t="s">
        <v>18</v>
      </c>
      <c r="L39" t="s">
        <v>974</v>
      </c>
      <c r="M39" t="s">
        <v>775</v>
      </c>
    </row>
    <row r="40" spans="2:13" x14ac:dyDescent="0.25">
      <c r="B40">
        <v>-2025</v>
      </c>
      <c r="C40">
        <v>0</v>
      </c>
      <c r="D40">
        <v>81</v>
      </c>
      <c r="E40" t="str">
        <f t="shared" si="2"/>
        <v>081</v>
      </c>
      <c r="F40" t="str">
        <f t="shared" si="3"/>
        <v>081-2025</v>
      </c>
      <c r="G40" t="s">
        <v>967</v>
      </c>
      <c r="H40" t="s">
        <v>967</v>
      </c>
      <c r="I40">
        <v>98333941</v>
      </c>
      <c r="J40" t="s">
        <v>14</v>
      </c>
      <c r="K40" t="s">
        <v>15</v>
      </c>
      <c r="L40" t="s">
        <v>973</v>
      </c>
      <c r="M40" t="s">
        <v>775</v>
      </c>
    </row>
    <row r="41" spans="2:13" x14ac:dyDescent="0.25">
      <c r="B41">
        <v>-2025</v>
      </c>
      <c r="C41">
        <v>0</v>
      </c>
      <c r="D41">
        <v>82</v>
      </c>
      <c r="E41" t="str">
        <f t="shared" si="2"/>
        <v>082</v>
      </c>
      <c r="F41" t="str">
        <f t="shared" si="3"/>
        <v>082-2025</v>
      </c>
      <c r="G41" t="s">
        <v>965</v>
      </c>
      <c r="H41" t="s">
        <v>965</v>
      </c>
      <c r="I41">
        <v>59836926</v>
      </c>
      <c r="J41" t="s">
        <v>14</v>
      </c>
      <c r="K41" t="s">
        <v>17</v>
      </c>
      <c r="L41" t="s">
        <v>973</v>
      </c>
      <c r="M41" t="s">
        <v>775</v>
      </c>
    </row>
    <row r="42" spans="2:13" x14ac:dyDescent="0.25">
      <c r="B42">
        <v>-2025</v>
      </c>
      <c r="C42">
        <v>0</v>
      </c>
      <c r="D42">
        <v>83</v>
      </c>
      <c r="E42" t="str">
        <f t="shared" si="2"/>
        <v>083</v>
      </c>
      <c r="F42" t="str">
        <f t="shared" si="3"/>
        <v>083-2025</v>
      </c>
      <c r="G42" t="s">
        <v>965</v>
      </c>
      <c r="H42" t="s">
        <v>965</v>
      </c>
      <c r="I42">
        <v>59836926</v>
      </c>
      <c r="J42" t="s">
        <v>14</v>
      </c>
      <c r="K42" t="s">
        <v>17</v>
      </c>
      <c r="L42" t="s">
        <v>973</v>
      </c>
      <c r="M42" t="s">
        <v>775</v>
      </c>
    </row>
    <row r="43" spans="2:13" x14ac:dyDescent="0.25">
      <c r="B43">
        <v>-2025</v>
      </c>
      <c r="C43">
        <v>0</v>
      </c>
      <c r="D43">
        <v>84</v>
      </c>
      <c r="E43" t="str">
        <f t="shared" si="2"/>
        <v>084</v>
      </c>
      <c r="F43" t="str">
        <f t="shared" si="3"/>
        <v>084-2025</v>
      </c>
      <c r="G43" t="s">
        <v>965</v>
      </c>
      <c r="H43" t="s">
        <v>965</v>
      </c>
      <c r="I43">
        <v>59836926</v>
      </c>
      <c r="J43" t="s">
        <v>14</v>
      </c>
      <c r="K43" t="s">
        <v>17</v>
      </c>
      <c r="L43" t="s">
        <v>973</v>
      </c>
      <c r="M43" t="s">
        <v>775</v>
      </c>
    </row>
    <row r="44" spans="2:13" x14ac:dyDescent="0.25">
      <c r="B44">
        <v>-2025</v>
      </c>
      <c r="C44">
        <v>0</v>
      </c>
      <c r="D44">
        <v>85</v>
      </c>
      <c r="E44" t="str">
        <f t="shared" si="2"/>
        <v>085</v>
      </c>
      <c r="F44" t="str">
        <f t="shared" si="3"/>
        <v>085-2025</v>
      </c>
      <c r="G44" t="s">
        <v>965</v>
      </c>
      <c r="H44" t="s">
        <v>965</v>
      </c>
      <c r="I44">
        <v>59836926</v>
      </c>
      <c r="J44" t="s">
        <v>14</v>
      </c>
      <c r="K44" t="s">
        <v>17</v>
      </c>
      <c r="L44" t="s">
        <v>973</v>
      </c>
      <c r="M44" t="s">
        <v>775</v>
      </c>
    </row>
    <row r="45" spans="2:13" x14ac:dyDescent="0.25">
      <c r="B45">
        <v>-2025</v>
      </c>
      <c r="C45">
        <v>0</v>
      </c>
      <c r="D45">
        <v>86</v>
      </c>
      <c r="E45" t="str">
        <f t="shared" si="2"/>
        <v>086</v>
      </c>
      <c r="F45" t="str">
        <f t="shared" si="3"/>
        <v>086-2025</v>
      </c>
      <c r="G45" t="s">
        <v>965</v>
      </c>
      <c r="H45" t="s">
        <v>965</v>
      </c>
      <c r="I45">
        <v>59836926</v>
      </c>
      <c r="J45" t="s">
        <v>14</v>
      </c>
      <c r="K45" t="s">
        <v>17</v>
      </c>
      <c r="L45" t="s">
        <v>973</v>
      </c>
      <c r="M45" t="s">
        <v>775</v>
      </c>
    </row>
    <row r="46" spans="2:13" x14ac:dyDescent="0.25">
      <c r="B46">
        <v>-2025</v>
      </c>
      <c r="C46">
        <v>0</v>
      </c>
      <c r="D46">
        <v>87</v>
      </c>
      <c r="E46" t="str">
        <f t="shared" si="2"/>
        <v>087</v>
      </c>
      <c r="F46" t="str">
        <f t="shared" si="3"/>
        <v>087-2025</v>
      </c>
      <c r="G46" t="s">
        <v>965</v>
      </c>
      <c r="H46" t="s">
        <v>965</v>
      </c>
      <c r="I46">
        <v>59836926</v>
      </c>
      <c r="J46" t="s">
        <v>14</v>
      </c>
      <c r="K46" t="s">
        <v>17</v>
      </c>
      <c r="L46" t="s">
        <v>973</v>
      </c>
      <c r="M46" t="s">
        <v>775</v>
      </c>
    </row>
    <row r="47" spans="2:13" x14ac:dyDescent="0.25">
      <c r="B47">
        <v>-2025</v>
      </c>
      <c r="C47">
        <v>0</v>
      </c>
      <c r="D47">
        <v>88</v>
      </c>
      <c r="E47" t="str">
        <f t="shared" si="2"/>
        <v>088</v>
      </c>
      <c r="F47" t="str">
        <f t="shared" si="3"/>
        <v>088-2025</v>
      </c>
      <c r="G47" t="s">
        <v>967</v>
      </c>
      <c r="H47" t="s">
        <v>967</v>
      </c>
      <c r="I47">
        <v>98333941</v>
      </c>
      <c r="J47" t="s">
        <v>14</v>
      </c>
      <c r="K47" t="s">
        <v>15</v>
      </c>
      <c r="L47" t="s">
        <v>975</v>
      </c>
      <c r="M47" t="s">
        <v>744</v>
      </c>
    </row>
    <row r="48" spans="2:13" x14ac:dyDescent="0.25">
      <c r="B48">
        <v>-2025</v>
      </c>
      <c r="C48">
        <v>0</v>
      </c>
      <c r="D48">
        <v>89</v>
      </c>
      <c r="E48" t="str">
        <f t="shared" si="2"/>
        <v>089</v>
      </c>
      <c r="F48" t="str">
        <f t="shared" si="3"/>
        <v>089-2025</v>
      </c>
      <c r="G48" t="s">
        <v>966</v>
      </c>
      <c r="H48" t="s">
        <v>966</v>
      </c>
      <c r="I48">
        <v>43624414</v>
      </c>
      <c r="J48" t="s">
        <v>14</v>
      </c>
      <c r="K48" t="s">
        <v>18</v>
      </c>
      <c r="L48" t="s">
        <v>974</v>
      </c>
      <c r="M48" t="s">
        <v>775</v>
      </c>
    </row>
    <row r="49" spans="2:13" x14ac:dyDescent="0.25">
      <c r="B49">
        <v>-2025</v>
      </c>
      <c r="C49">
        <v>0</v>
      </c>
      <c r="D49">
        <v>90</v>
      </c>
      <c r="E49" t="str">
        <f t="shared" si="2"/>
        <v>090</v>
      </c>
      <c r="F49" t="str">
        <f t="shared" si="3"/>
        <v>090-2025</v>
      </c>
      <c r="G49" t="s">
        <v>967</v>
      </c>
      <c r="H49" t="s">
        <v>967</v>
      </c>
      <c r="I49">
        <v>98333941</v>
      </c>
      <c r="J49" t="s">
        <v>14</v>
      </c>
      <c r="K49" t="s">
        <v>15</v>
      </c>
      <c r="L49" t="s">
        <v>976</v>
      </c>
      <c r="M49" t="s">
        <v>744</v>
      </c>
    </row>
    <row r="50" spans="2:13" x14ac:dyDescent="0.25">
      <c r="B50">
        <v>-2025</v>
      </c>
      <c r="C50">
        <v>0</v>
      </c>
      <c r="D50">
        <v>91</v>
      </c>
      <c r="E50" t="str">
        <f t="shared" si="2"/>
        <v>091</v>
      </c>
      <c r="F50" t="str">
        <f t="shared" si="3"/>
        <v>091-2025</v>
      </c>
      <c r="G50" t="s">
        <v>967</v>
      </c>
      <c r="H50" t="s">
        <v>967</v>
      </c>
      <c r="I50">
        <v>98333941</v>
      </c>
      <c r="J50" t="s">
        <v>14</v>
      </c>
      <c r="K50" t="s">
        <v>15</v>
      </c>
      <c r="L50" t="s">
        <v>976</v>
      </c>
      <c r="M50" t="s">
        <v>744</v>
      </c>
    </row>
    <row r="51" spans="2:13" x14ac:dyDescent="0.25">
      <c r="B51">
        <v>-2025</v>
      </c>
      <c r="C51">
        <v>0</v>
      </c>
      <c r="D51">
        <v>92</v>
      </c>
      <c r="E51" t="str">
        <f t="shared" si="2"/>
        <v>092</v>
      </c>
      <c r="F51" t="str">
        <f t="shared" si="3"/>
        <v>092-2025</v>
      </c>
      <c r="G51" t="s">
        <v>968</v>
      </c>
      <c r="H51" t="s">
        <v>968</v>
      </c>
      <c r="I51">
        <v>98390119</v>
      </c>
      <c r="J51" t="s">
        <v>14</v>
      </c>
      <c r="K51" t="s">
        <v>63</v>
      </c>
      <c r="L51" t="s">
        <v>973</v>
      </c>
      <c r="M51" t="s">
        <v>775</v>
      </c>
    </row>
    <row r="52" spans="2:13" x14ac:dyDescent="0.25">
      <c r="B52">
        <v>-2025</v>
      </c>
      <c r="C52">
        <v>0</v>
      </c>
      <c r="D52">
        <v>93</v>
      </c>
      <c r="E52" t="str">
        <f t="shared" si="2"/>
        <v>093</v>
      </c>
      <c r="F52" t="str">
        <f t="shared" si="3"/>
        <v>093-2025</v>
      </c>
      <c r="G52" t="s">
        <v>968</v>
      </c>
      <c r="H52" t="s">
        <v>968</v>
      </c>
      <c r="I52">
        <v>98390119</v>
      </c>
      <c r="J52" t="s">
        <v>14</v>
      </c>
      <c r="K52" t="s">
        <v>63</v>
      </c>
      <c r="L52" t="s">
        <v>974</v>
      </c>
      <c r="M52" t="s">
        <v>775</v>
      </c>
    </row>
    <row r="53" spans="2:13" x14ac:dyDescent="0.25">
      <c r="B53">
        <v>-2025</v>
      </c>
      <c r="C53">
        <v>0</v>
      </c>
      <c r="D53">
        <v>96</v>
      </c>
      <c r="E53" t="str">
        <f t="shared" si="2"/>
        <v>096</v>
      </c>
      <c r="F53" t="str">
        <f t="shared" si="3"/>
        <v>096-2025</v>
      </c>
      <c r="G53" t="s">
        <v>968</v>
      </c>
      <c r="H53" t="s">
        <v>968</v>
      </c>
      <c r="I53">
        <v>98390119</v>
      </c>
      <c r="J53" t="s">
        <v>14</v>
      </c>
      <c r="K53" t="s">
        <v>63</v>
      </c>
      <c r="L53" t="s">
        <v>973</v>
      </c>
      <c r="M53" t="s">
        <v>775</v>
      </c>
    </row>
    <row r="54" spans="2:13" x14ac:dyDescent="0.25">
      <c r="B54">
        <v>-2025</v>
      </c>
      <c r="C54">
        <v>0</v>
      </c>
      <c r="D54">
        <v>97</v>
      </c>
      <c r="E54" t="str">
        <f t="shared" si="2"/>
        <v>097</v>
      </c>
      <c r="F54" t="str">
        <f t="shared" si="3"/>
        <v>097-2025</v>
      </c>
      <c r="G54" t="s">
        <v>967</v>
      </c>
      <c r="H54" t="s">
        <v>967</v>
      </c>
      <c r="I54">
        <v>98333941</v>
      </c>
      <c r="J54" t="s">
        <v>14</v>
      </c>
      <c r="K54" t="s">
        <v>15</v>
      </c>
      <c r="L54" t="s">
        <v>973</v>
      </c>
      <c r="M54" t="s">
        <v>775</v>
      </c>
    </row>
    <row r="55" spans="2:13" x14ac:dyDescent="0.25">
      <c r="B55">
        <v>-2025</v>
      </c>
      <c r="C55">
        <v>0</v>
      </c>
      <c r="D55">
        <v>98</v>
      </c>
      <c r="E55" t="str">
        <f t="shared" si="2"/>
        <v>098</v>
      </c>
      <c r="F55" t="str">
        <f t="shared" si="3"/>
        <v>098-2025</v>
      </c>
      <c r="G55" t="s">
        <v>967</v>
      </c>
      <c r="H55" t="s">
        <v>967</v>
      </c>
      <c r="I55">
        <v>98333941</v>
      </c>
      <c r="J55" t="s">
        <v>14</v>
      </c>
      <c r="K55" t="s">
        <v>15</v>
      </c>
      <c r="L55" t="s">
        <v>973</v>
      </c>
      <c r="M55" t="s">
        <v>775</v>
      </c>
    </row>
    <row r="56" spans="2:13" x14ac:dyDescent="0.25">
      <c r="B56">
        <v>-2025</v>
      </c>
      <c r="C56">
        <v>0</v>
      </c>
      <c r="D56">
        <v>99</v>
      </c>
      <c r="E56" t="str">
        <f t="shared" si="2"/>
        <v>099</v>
      </c>
      <c r="F56" t="str">
        <f t="shared" si="3"/>
        <v>099-2025</v>
      </c>
      <c r="G56" t="s">
        <v>967</v>
      </c>
      <c r="H56" t="s">
        <v>967</v>
      </c>
      <c r="I56">
        <v>98333941</v>
      </c>
      <c r="J56" t="s">
        <v>14</v>
      </c>
      <c r="K56" t="s">
        <v>15</v>
      </c>
      <c r="L56" t="s">
        <v>973</v>
      </c>
      <c r="M56" t="s">
        <v>775</v>
      </c>
    </row>
    <row r="57" spans="2:13" x14ac:dyDescent="0.25">
      <c r="B57">
        <v>-2025</v>
      </c>
      <c r="D57">
        <v>100</v>
      </c>
      <c r="E57" t="str">
        <f t="shared" si="2"/>
        <v>100</v>
      </c>
      <c r="F57" t="str">
        <f t="shared" si="3"/>
        <v>100-2025</v>
      </c>
      <c r="G57" t="s">
        <v>968</v>
      </c>
      <c r="H57" t="s">
        <v>968</v>
      </c>
      <c r="I57">
        <v>98390119</v>
      </c>
      <c r="J57" t="s">
        <v>14</v>
      </c>
      <c r="K57" t="s">
        <v>63</v>
      </c>
      <c r="L57" t="s">
        <v>975</v>
      </c>
      <c r="M57" t="s">
        <v>744</v>
      </c>
    </row>
    <row r="58" spans="2:13" x14ac:dyDescent="0.25">
      <c r="B58">
        <v>-2025</v>
      </c>
      <c r="D58">
        <v>101</v>
      </c>
      <c r="E58" t="str">
        <f t="shared" si="2"/>
        <v>101</v>
      </c>
      <c r="F58" t="str">
        <f t="shared" si="3"/>
        <v>101-2025</v>
      </c>
      <c r="G58" t="s">
        <v>968</v>
      </c>
      <c r="H58" t="s">
        <v>968</v>
      </c>
      <c r="I58">
        <v>98390119</v>
      </c>
      <c r="J58" t="s">
        <v>14</v>
      </c>
      <c r="K58" t="s">
        <v>63</v>
      </c>
      <c r="L58" t="s">
        <v>973</v>
      </c>
      <c r="M58" t="s">
        <v>775</v>
      </c>
    </row>
    <row r="59" spans="2:13" x14ac:dyDescent="0.25">
      <c r="B59">
        <v>-2025</v>
      </c>
      <c r="D59">
        <v>102</v>
      </c>
      <c r="E59" t="str">
        <f t="shared" si="2"/>
        <v>102</v>
      </c>
      <c r="F59" t="str">
        <f t="shared" si="3"/>
        <v>102-2025</v>
      </c>
      <c r="G59" t="s">
        <v>965</v>
      </c>
      <c r="H59" t="s">
        <v>965</v>
      </c>
      <c r="I59">
        <v>59836926</v>
      </c>
      <c r="J59" t="s">
        <v>14</v>
      </c>
      <c r="K59" t="s">
        <v>17</v>
      </c>
      <c r="L59" t="s">
        <v>976</v>
      </c>
      <c r="M59" t="s">
        <v>744</v>
      </c>
    </row>
    <row r="60" spans="2:13" x14ac:dyDescent="0.25">
      <c r="B60">
        <v>-2025</v>
      </c>
      <c r="D60">
        <v>103</v>
      </c>
      <c r="E60" t="str">
        <f t="shared" si="2"/>
        <v>103</v>
      </c>
      <c r="F60" t="str">
        <f t="shared" si="3"/>
        <v>103-2025</v>
      </c>
      <c r="G60" t="s">
        <v>968</v>
      </c>
      <c r="H60" t="s">
        <v>968</v>
      </c>
      <c r="I60">
        <v>98390119</v>
      </c>
      <c r="J60" t="s">
        <v>14</v>
      </c>
      <c r="K60" t="s">
        <v>63</v>
      </c>
      <c r="L60" t="s">
        <v>976</v>
      </c>
      <c r="M60" t="s">
        <v>744</v>
      </c>
    </row>
    <row r="61" spans="2:13" x14ac:dyDescent="0.25">
      <c r="B61">
        <v>-2025</v>
      </c>
      <c r="D61">
        <v>104</v>
      </c>
      <c r="E61" t="str">
        <f t="shared" si="2"/>
        <v>104</v>
      </c>
      <c r="F61" t="str">
        <f t="shared" si="3"/>
        <v>104-2025</v>
      </c>
      <c r="G61" t="s">
        <v>968</v>
      </c>
      <c r="H61" t="s">
        <v>968</v>
      </c>
      <c r="I61">
        <v>98390119</v>
      </c>
      <c r="J61" t="s">
        <v>14</v>
      </c>
      <c r="K61" t="s">
        <v>63</v>
      </c>
      <c r="L61" t="s">
        <v>976</v>
      </c>
      <c r="M61" t="s">
        <v>744</v>
      </c>
    </row>
    <row r="62" spans="2:13" x14ac:dyDescent="0.25">
      <c r="B62">
        <v>-2025</v>
      </c>
      <c r="D62">
        <v>107</v>
      </c>
      <c r="E62" t="str">
        <f t="shared" si="2"/>
        <v>107</v>
      </c>
      <c r="F62" t="str">
        <f t="shared" si="3"/>
        <v>107-2025</v>
      </c>
      <c r="G62" t="s">
        <v>967</v>
      </c>
      <c r="H62" t="s">
        <v>967</v>
      </c>
      <c r="I62">
        <v>98333941</v>
      </c>
      <c r="J62" t="s">
        <v>14</v>
      </c>
      <c r="K62" t="s">
        <v>15</v>
      </c>
      <c r="L62" t="s">
        <v>976</v>
      </c>
      <c r="M62" t="s">
        <v>744</v>
      </c>
    </row>
    <row r="63" spans="2:13" x14ac:dyDescent="0.25">
      <c r="B63">
        <v>-2025</v>
      </c>
      <c r="D63">
        <v>108</v>
      </c>
      <c r="E63" t="str">
        <f t="shared" si="2"/>
        <v>108</v>
      </c>
      <c r="F63" t="str">
        <f t="shared" si="3"/>
        <v>108-2025</v>
      </c>
      <c r="G63" t="s">
        <v>965</v>
      </c>
      <c r="H63" t="s">
        <v>965</v>
      </c>
      <c r="I63">
        <v>59836926</v>
      </c>
      <c r="J63" t="s">
        <v>14</v>
      </c>
      <c r="K63" t="s">
        <v>17</v>
      </c>
      <c r="L63" t="s">
        <v>974</v>
      </c>
      <c r="M63" t="s">
        <v>775</v>
      </c>
    </row>
    <row r="64" spans="2:13" x14ac:dyDescent="0.25">
      <c r="B64">
        <v>-2025</v>
      </c>
      <c r="D64">
        <v>109</v>
      </c>
      <c r="E64" t="str">
        <f t="shared" si="2"/>
        <v>109</v>
      </c>
      <c r="F64" t="str">
        <f t="shared" si="3"/>
        <v>109-2025</v>
      </c>
      <c r="G64" t="s">
        <v>968</v>
      </c>
      <c r="H64" t="s">
        <v>968</v>
      </c>
      <c r="I64">
        <v>98390119</v>
      </c>
      <c r="J64" t="s">
        <v>14</v>
      </c>
      <c r="K64" t="s">
        <v>63</v>
      </c>
      <c r="L64" t="s">
        <v>974</v>
      </c>
      <c r="M64" t="s">
        <v>775</v>
      </c>
    </row>
    <row r="65" spans="2:13" x14ac:dyDescent="0.25">
      <c r="B65">
        <v>-2025</v>
      </c>
      <c r="D65">
        <v>110</v>
      </c>
      <c r="E65" t="str">
        <f t="shared" si="2"/>
        <v>110</v>
      </c>
      <c r="F65" t="str">
        <f t="shared" si="3"/>
        <v>110-2025</v>
      </c>
      <c r="G65" t="s">
        <v>968</v>
      </c>
      <c r="H65" t="s">
        <v>968</v>
      </c>
      <c r="I65">
        <v>98390119</v>
      </c>
      <c r="J65" t="s">
        <v>14</v>
      </c>
      <c r="K65" t="s">
        <v>63</v>
      </c>
      <c r="L65" t="s">
        <v>974</v>
      </c>
      <c r="M65" t="s">
        <v>775</v>
      </c>
    </row>
    <row r="66" spans="2:13" x14ac:dyDescent="0.25">
      <c r="B66">
        <v>-2025</v>
      </c>
      <c r="D66">
        <v>111</v>
      </c>
      <c r="E66" t="str">
        <f t="shared" ref="E66" si="4">_xlfn.CONCAT(C66,D66)</f>
        <v>111</v>
      </c>
      <c r="F66" t="str">
        <f t="shared" ref="F66" si="5">_xlfn.CONCAT(E66,B66)</f>
        <v>111-2025</v>
      </c>
      <c r="G66" t="s">
        <v>966</v>
      </c>
      <c r="H66" t="s">
        <v>966</v>
      </c>
      <c r="I66">
        <v>43624414</v>
      </c>
      <c r="J66" t="s">
        <v>14</v>
      </c>
      <c r="K66" t="s">
        <v>18</v>
      </c>
      <c r="L66" t="s">
        <v>974</v>
      </c>
      <c r="M66" t="s">
        <v>775</v>
      </c>
    </row>
    <row r="67" spans="2:13" x14ac:dyDescent="0.25">
      <c r="B67">
        <v>-2025</v>
      </c>
      <c r="D67">
        <v>112</v>
      </c>
      <c r="E67" t="str">
        <f t="shared" ref="E67:E130" si="6">_xlfn.CONCAT(C67,D67)</f>
        <v>112</v>
      </c>
      <c r="F67" t="str">
        <f t="shared" ref="F67:F130" si="7">_xlfn.CONCAT(E67,B67)</f>
        <v>112-2025</v>
      </c>
      <c r="G67" t="s">
        <v>967</v>
      </c>
      <c r="H67" t="s">
        <v>967</v>
      </c>
      <c r="I67">
        <v>98333941</v>
      </c>
      <c r="J67" t="s">
        <v>14</v>
      </c>
      <c r="K67" t="s">
        <v>15</v>
      </c>
      <c r="L67" t="s">
        <v>974</v>
      </c>
      <c r="M67" t="s">
        <v>775</v>
      </c>
    </row>
    <row r="68" spans="2:13" x14ac:dyDescent="0.25">
      <c r="B68">
        <v>-2025</v>
      </c>
      <c r="D68">
        <v>113</v>
      </c>
      <c r="E68" t="str">
        <f t="shared" si="6"/>
        <v>113</v>
      </c>
      <c r="F68" t="str">
        <f t="shared" si="7"/>
        <v>113-2025</v>
      </c>
      <c r="G68" t="s">
        <v>967</v>
      </c>
      <c r="H68" t="s">
        <v>967</v>
      </c>
      <c r="I68">
        <v>98333941</v>
      </c>
      <c r="J68" t="s">
        <v>14</v>
      </c>
      <c r="K68" t="s">
        <v>15</v>
      </c>
      <c r="L68" t="s">
        <v>973</v>
      </c>
      <c r="M68" t="s">
        <v>775</v>
      </c>
    </row>
    <row r="69" spans="2:13" x14ac:dyDescent="0.25">
      <c r="B69">
        <v>-2025</v>
      </c>
      <c r="D69">
        <v>114</v>
      </c>
      <c r="E69" t="str">
        <f t="shared" si="6"/>
        <v>114</v>
      </c>
      <c r="F69" t="str">
        <f t="shared" si="7"/>
        <v>114-2025</v>
      </c>
      <c r="G69" t="s">
        <v>968</v>
      </c>
      <c r="H69" t="s">
        <v>968</v>
      </c>
      <c r="I69">
        <v>98390119</v>
      </c>
      <c r="J69" t="s">
        <v>14</v>
      </c>
      <c r="K69" t="s">
        <v>63</v>
      </c>
      <c r="L69" t="s">
        <v>973</v>
      </c>
      <c r="M69" t="s">
        <v>775</v>
      </c>
    </row>
    <row r="70" spans="2:13" x14ac:dyDescent="0.25">
      <c r="B70">
        <v>-2025</v>
      </c>
      <c r="D70">
        <v>118</v>
      </c>
      <c r="E70" t="str">
        <f t="shared" si="6"/>
        <v>118</v>
      </c>
      <c r="F70" t="str">
        <f t="shared" si="7"/>
        <v>118-2025</v>
      </c>
      <c r="G70" t="s">
        <v>967</v>
      </c>
      <c r="H70" t="s">
        <v>967</v>
      </c>
      <c r="I70">
        <v>98333941</v>
      </c>
      <c r="J70" t="s">
        <v>14</v>
      </c>
      <c r="K70" t="s">
        <v>15</v>
      </c>
      <c r="L70" t="s">
        <v>973</v>
      </c>
      <c r="M70" t="s">
        <v>775</v>
      </c>
    </row>
    <row r="71" spans="2:13" x14ac:dyDescent="0.25">
      <c r="B71">
        <v>-2025</v>
      </c>
      <c r="D71">
        <v>123</v>
      </c>
      <c r="E71" t="str">
        <f t="shared" si="6"/>
        <v>123</v>
      </c>
      <c r="F71" t="str">
        <f t="shared" si="7"/>
        <v>123-2025</v>
      </c>
      <c r="G71" t="s">
        <v>965</v>
      </c>
      <c r="H71" t="s">
        <v>965</v>
      </c>
      <c r="I71">
        <v>59836926</v>
      </c>
      <c r="J71" t="s">
        <v>14</v>
      </c>
      <c r="K71" t="s">
        <v>17</v>
      </c>
      <c r="L71" t="s">
        <v>974</v>
      </c>
      <c r="M71" t="s">
        <v>775</v>
      </c>
    </row>
    <row r="72" spans="2:13" x14ac:dyDescent="0.25">
      <c r="B72">
        <v>-2025</v>
      </c>
      <c r="D72">
        <v>147</v>
      </c>
      <c r="E72" t="str">
        <f t="shared" si="6"/>
        <v>147</v>
      </c>
      <c r="F72" t="str">
        <f t="shared" si="7"/>
        <v>147-2025</v>
      </c>
      <c r="G72" t="s">
        <v>965</v>
      </c>
      <c r="H72" t="s">
        <v>965</v>
      </c>
      <c r="I72">
        <v>59836926</v>
      </c>
      <c r="J72" t="s">
        <v>14</v>
      </c>
      <c r="K72" t="s">
        <v>17</v>
      </c>
      <c r="L72" t="s">
        <v>973</v>
      </c>
      <c r="M72" t="s">
        <v>775</v>
      </c>
    </row>
    <row r="73" spans="2:13" x14ac:dyDescent="0.25">
      <c r="B73">
        <v>-2025</v>
      </c>
      <c r="D73">
        <v>148</v>
      </c>
      <c r="E73" t="str">
        <f t="shared" si="6"/>
        <v>148</v>
      </c>
      <c r="F73" t="str">
        <f t="shared" si="7"/>
        <v>148-2025</v>
      </c>
      <c r="G73" t="s">
        <v>967</v>
      </c>
      <c r="H73" t="s">
        <v>967</v>
      </c>
      <c r="I73">
        <v>98333941</v>
      </c>
      <c r="J73" t="s">
        <v>14</v>
      </c>
      <c r="K73" t="s">
        <v>15</v>
      </c>
      <c r="L73" t="s">
        <v>973</v>
      </c>
      <c r="M73" t="s">
        <v>775</v>
      </c>
    </row>
    <row r="74" spans="2:13" x14ac:dyDescent="0.25">
      <c r="B74">
        <v>-2025</v>
      </c>
      <c r="D74">
        <v>149</v>
      </c>
      <c r="E74" t="str">
        <f t="shared" si="6"/>
        <v>149</v>
      </c>
      <c r="F74" t="str">
        <f t="shared" si="7"/>
        <v>149-2025</v>
      </c>
      <c r="G74" t="s">
        <v>965</v>
      </c>
      <c r="H74" t="s">
        <v>965</v>
      </c>
      <c r="I74">
        <v>59836926</v>
      </c>
      <c r="J74" t="s">
        <v>14</v>
      </c>
      <c r="K74" t="s">
        <v>17</v>
      </c>
      <c r="L74" t="s">
        <v>973</v>
      </c>
      <c r="M74" t="s">
        <v>775</v>
      </c>
    </row>
    <row r="75" spans="2:13" x14ac:dyDescent="0.25">
      <c r="B75">
        <v>-2025</v>
      </c>
      <c r="D75">
        <v>150</v>
      </c>
      <c r="E75" t="str">
        <f t="shared" si="6"/>
        <v>150</v>
      </c>
      <c r="F75" t="str">
        <f t="shared" si="7"/>
        <v>150-2025</v>
      </c>
      <c r="G75" t="s">
        <v>967</v>
      </c>
      <c r="H75" t="s">
        <v>967</v>
      </c>
      <c r="I75">
        <v>98333941</v>
      </c>
      <c r="J75" t="s">
        <v>14</v>
      </c>
      <c r="K75" t="s">
        <v>15</v>
      </c>
      <c r="L75" t="s">
        <v>973</v>
      </c>
      <c r="M75" t="s">
        <v>775</v>
      </c>
    </row>
    <row r="76" spans="2:13" x14ac:dyDescent="0.25">
      <c r="B76">
        <v>-2025</v>
      </c>
      <c r="D76">
        <v>152</v>
      </c>
      <c r="E76" t="str">
        <f t="shared" si="6"/>
        <v>152</v>
      </c>
      <c r="F76" t="str">
        <f t="shared" si="7"/>
        <v>152-2025</v>
      </c>
      <c r="G76" t="s">
        <v>968</v>
      </c>
      <c r="H76" t="s">
        <v>968</v>
      </c>
      <c r="I76">
        <v>98390119</v>
      </c>
      <c r="J76" t="s">
        <v>14</v>
      </c>
      <c r="K76" t="s">
        <v>63</v>
      </c>
      <c r="L76" t="s">
        <v>973</v>
      </c>
      <c r="M76" t="s">
        <v>775</v>
      </c>
    </row>
    <row r="77" spans="2:13" x14ac:dyDescent="0.25">
      <c r="B77">
        <v>-2025</v>
      </c>
      <c r="D77">
        <v>154</v>
      </c>
      <c r="E77" t="str">
        <f t="shared" si="6"/>
        <v>154</v>
      </c>
      <c r="F77" t="str">
        <f t="shared" si="7"/>
        <v>154-2025</v>
      </c>
      <c r="G77" t="s">
        <v>966</v>
      </c>
      <c r="H77" t="s">
        <v>966</v>
      </c>
      <c r="I77">
        <v>43624414</v>
      </c>
      <c r="J77" t="s">
        <v>14</v>
      </c>
      <c r="K77" t="s">
        <v>18</v>
      </c>
      <c r="L77" t="s">
        <v>976</v>
      </c>
      <c r="M77" t="s">
        <v>744</v>
      </c>
    </row>
    <row r="78" spans="2:13" x14ac:dyDescent="0.25">
      <c r="B78">
        <v>-2025</v>
      </c>
      <c r="D78">
        <v>157</v>
      </c>
      <c r="E78" t="str">
        <f t="shared" si="6"/>
        <v>157</v>
      </c>
      <c r="F78" t="str">
        <f t="shared" si="7"/>
        <v>157-2025</v>
      </c>
      <c r="G78" t="s">
        <v>966</v>
      </c>
      <c r="H78" t="s">
        <v>966</v>
      </c>
      <c r="I78">
        <v>43624414</v>
      </c>
      <c r="J78" t="s">
        <v>14</v>
      </c>
      <c r="K78" t="s">
        <v>18</v>
      </c>
      <c r="L78" t="s">
        <v>974</v>
      </c>
      <c r="M78" t="s">
        <v>775</v>
      </c>
    </row>
    <row r="79" spans="2:13" x14ac:dyDescent="0.25">
      <c r="B79">
        <v>-2025</v>
      </c>
      <c r="D79">
        <v>158</v>
      </c>
      <c r="E79" t="str">
        <f t="shared" si="6"/>
        <v>158</v>
      </c>
      <c r="F79" t="str">
        <f t="shared" si="7"/>
        <v>158-2025</v>
      </c>
      <c r="G79" t="s">
        <v>966</v>
      </c>
      <c r="H79" t="s">
        <v>966</v>
      </c>
      <c r="I79">
        <v>43624414</v>
      </c>
      <c r="J79" t="s">
        <v>14</v>
      </c>
      <c r="K79" t="s">
        <v>18</v>
      </c>
      <c r="L79" t="s">
        <v>973</v>
      </c>
      <c r="M79" t="s">
        <v>775</v>
      </c>
    </row>
    <row r="80" spans="2:13" x14ac:dyDescent="0.25">
      <c r="B80">
        <v>-2025</v>
      </c>
      <c r="D80">
        <v>159</v>
      </c>
      <c r="E80" t="str">
        <f t="shared" si="6"/>
        <v>159</v>
      </c>
      <c r="F80" t="str">
        <f t="shared" si="7"/>
        <v>159-2025</v>
      </c>
      <c r="G80" t="s">
        <v>968</v>
      </c>
      <c r="H80" t="s">
        <v>968</v>
      </c>
      <c r="I80">
        <v>98390119</v>
      </c>
      <c r="J80" t="s">
        <v>14</v>
      </c>
      <c r="K80" t="s">
        <v>63</v>
      </c>
      <c r="L80" t="s">
        <v>973</v>
      </c>
      <c r="M80" t="s">
        <v>775</v>
      </c>
    </row>
    <row r="81" spans="2:13" x14ac:dyDescent="0.25">
      <c r="B81">
        <v>-2025</v>
      </c>
      <c r="D81">
        <v>160</v>
      </c>
      <c r="E81" t="str">
        <f t="shared" si="6"/>
        <v>160</v>
      </c>
      <c r="F81" t="str">
        <f t="shared" si="7"/>
        <v>160-2025</v>
      </c>
      <c r="G81" t="s">
        <v>967</v>
      </c>
      <c r="H81" t="s">
        <v>967</v>
      </c>
      <c r="I81">
        <v>98333941</v>
      </c>
      <c r="J81" t="s">
        <v>14</v>
      </c>
      <c r="K81" t="s">
        <v>15</v>
      </c>
      <c r="L81" t="s">
        <v>973</v>
      </c>
      <c r="M81" t="s">
        <v>775</v>
      </c>
    </row>
    <row r="82" spans="2:13" x14ac:dyDescent="0.25">
      <c r="B82">
        <v>-2025</v>
      </c>
      <c r="D82">
        <v>161</v>
      </c>
      <c r="E82" t="str">
        <f t="shared" si="6"/>
        <v>161</v>
      </c>
      <c r="F82" t="str">
        <f t="shared" si="7"/>
        <v>161-2025</v>
      </c>
      <c r="G82" t="s">
        <v>965</v>
      </c>
      <c r="H82" t="s">
        <v>965</v>
      </c>
      <c r="I82">
        <v>59836926</v>
      </c>
      <c r="J82" t="s">
        <v>14</v>
      </c>
      <c r="K82" t="s">
        <v>17</v>
      </c>
      <c r="L82" t="s">
        <v>973</v>
      </c>
      <c r="M82" t="s">
        <v>775</v>
      </c>
    </row>
    <row r="83" spans="2:13" x14ac:dyDescent="0.25">
      <c r="B83">
        <v>-2025</v>
      </c>
      <c r="D83">
        <v>162</v>
      </c>
      <c r="E83" t="str">
        <f t="shared" si="6"/>
        <v>162</v>
      </c>
      <c r="F83" t="str">
        <f t="shared" si="7"/>
        <v>162-2025</v>
      </c>
      <c r="G83" t="s">
        <v>968</v>
      </c>
      <c r="H83" t="s">
        <v>968</v>
      </c>
      <c r="I83">
        <v>98390119</v>
      </c>
      <c r="J83" t="s">
        <v>14</v>
      </c>
      <c r="K83" t="s">
        <v>63</v>
      </c>
      <c r="L83" t="s">
        <v>973</v>
      </c>
      <c r="M83" t="s">
        <v>775</v>
      </c>
    </row>
    <row r="84" spans="2:13" x14ac:dyDescent="0.25">
      <c r="B84">
        <v>-2025</v>
      </c>
      <c r="D84">
        <v>163</v>
      </c>
      <c r="E84" t="str">
        <f t="shared" si="6"/>
        <v>163</v>
      </c>
      <c r="F84" t="str">
        <f t="shared" si="7"/>
        <v>163-2025</v>
      </c>
      <c r="G84" t="s">
        <v>965</v>
      </c>
      <c r="H84" t="s">
        <v>965</v>
      </c>
      <c r="I84">
        <v>59836926</v>
      </c>
      <c r="J84" t="s">
        <v>14</v>
      </c>
      <c r="K84" t="s">
        <v>17</v>
      </c>
      <c r="L84" t="s">
        <v>973</v>
      </c>
      <c r="M84" t="s">
        <v>775</v>
      </c>
    </row>
    <row r="85" spans="2:13" x14ac:dyDescent="0.25">
      <c r="B85">
        <v>-2025</v>
      </c>
      <c r="D85">
        <v>164</v>
      </c>
      <c r="E85" t="str">
        <f t="shared" si="6"/>
        <v>164</v>
      </c>
      <c r="F85" t="str">
        <f t="shared" si="7"/>
        <v>164-2025</v>
      </c>
      <c r="G85" t="s">
        <v>968</v>
      </c>
      <c r="H85" t="s">
        <v>968</v>
      </c>
      <c r="I85">
        <v>98390119</v>
      </c>
      <c r="J85" t="s">
        <v>14</v>
      </c>
      <c r="K85" t="s">
        <v>63</v>
      </c>
      <c r="L85" t="s">
        <v>973</v>
      </c>
      <c r="M85" t="s">
        <v>775</v>
      </c>
    </row>
    <row r="86" spans="2:13" x14ac:dyDescent="0.25">
      <c r="B86">
        <v>-2025</v>
      </c>
      <c r="D86">
        <v>165</v>
      </c>
      <c r="E86" t="str">
        <f t="shared" si="6"/>
        <v>165</v>
      </c>
      <c r="F86" t="str">
        <f t="shared" si="7"/>
        <v>165-2025</v>
      </c>
      <c r="G86" t="s">
        <v>966</v>
      </c>
      <c r="H86" t="s">
        <v>966</v>
      </c>
      <c r="I86">
        <v>43624414</v>
      </c>
      <c r="J86" t="s">
        <v>14</v>
      </c>
      <c r="K86" t="s">
        <v>18</v>
      </c>
      <c r="L86" t="s">
        <v>973</v>
      </c>
      <c r="M86" t="s">
        <v>775</v>
      </c>
    </row>
    <row r="87" spans="2:13" x14ac:dyDescent="0.25">
      <c r="B87">
        <v>-2025</v>
      </c>
      <c r="D87">
        <v>166</v>
      </c>
      <c r="E87" t="str">
        <f t="shared" si="6"/>
        <v>166</v>
      </c>
      <c r="F87" t="str">
        <f t="shared" si="7"/>
        <v>166-2025</v>
      </c>
      <c r="G87" t="s">
        <v>966</v>
      </c>
      <c r="H87" t="s">
        <v>966</v>
      </c>
      <c r="I87">
        <v>43624414</v>
      </c>
      <c r="J87" t="s">
        <v>14</v>
      </c>
      <c r="K87" t="s">
        <v>18</v>
      </c>
      <c r="L87" t="s">
        <v>973</v>
      </c>
      <c r="M87" t="s">
        <v>775</v>
      </c>
    </row>
    <row r="88" spans="2:13" x14ac:dyDescent="0.25">
      <c r="B88">
        <v>-2025</v>
      </c>
      <c r="D88">
        <v>167</v>
      </c>
      <c r="E88" t="str">
        <f t="shared" si="6"/>
        <v>167</v>
      </c>
      <c r="F88" t="str">
        <f t="shared" si="7"/>
        <v>167-2025</v>
      </c>
      <c r="G88" t="s">
        <v>966</v>
      </c>
      <c r="H88" t="s">
        <v>966</v>
      </c>
      <c r="I88">
        <v>43624414</v>
      </c>
      <c r="J88" t="s">
        <v>14</v>
      </c>
      <c r="K88" t="s">
        <v>18</v>
      </c>
      <c r="L88" t="s">
        <v>975</v>
      </c>
      <c r="M88" t="s">
        <v>744</v>
      </c>
    </row>
    <row r="89" spans="2:13" x14ac:dyDescent="0.25">
      <c r="B89">
        <v>-2025</v>
      </c>
      <c r="D89">
        <v>168</v>
      </c>
      <c r="E89" t="str">
        <f t="shared" si="6"/>
        <v>168</v>
      </c>
      <c r="F89" t="str">
        <f t="shared" si="7"/>
        <v>168-2025</v>
      </c>
      <c r="G89" t="s">
        <v>968</v>
      </c>
      <c r="H89" t="s">
        <v>968</v>
      </c>
      <c r="I89">
        <v>98390119</v>
      </c>
      <c r="J89" t="s">
        <v>14</v>
      </c>
      <c r="K89" t="s">
        <v>63</v>
      </c>
      <c r="L89" t="s">
        <v>975</v>
      </c>
      <c r="M89" t="s">
        <v>744</v>
      </c>
    </row>
    <row r="90" spans="2:13" x14ac:dyDescent="0.25">
      <c r="B90">
        <v>-2025</v>
      </c>
      <c r="D90">
        <v>169</v>
      </c>
      <c r="E90" t="str">
        <f t="shared" si="6"/>
        <v>169</v>
      </c>
      <c r="F90" t="str">
        <f t="shared" si="7"/>
        <v>169-2025</v>
      </c>
      <c r="G90" t="s">
        <v>967</v>
      </c>
      <c r="H90" t="s">
        <v>967</v>
      </c>
      <c r="I90">
        <v>98333941</v>
      </c>
      <c r="J90" t="s">
        <v>14</v>
      </c>
      <c r="K90" t="s">
        <v>15</v>
      </c>
      <c r="L90" t="s">
        <v>976</v>
      </c>
      <c r="M90" t="s">
        <v>744</v>
      </c>
    </row>
    <row r="91" spans="2:13" x14ac:dyDescent="0.25">
      <c r="B91">
        <v>-2025</v>
      </c>
      <c r="D91">
        <v>170</v>
      </c>
      <c r="E91" t="str">
        <f t="shared" si="6"/>
        <v>170</v>
      </c>
      <c r="F91" t="str">
        <f t="shared" si="7"/>
        <v>170-2025</v>
      </c>
      <c r="G91" t="s">
        <v>966</v>
      </c>
      <c r="H91" t="s">
        <v>966</v>
      </c>
      <c r="I91">
        <v>43624414</v>
      </c>
      <c r="J91" t="s">
        <v>14</v>
      </c>
      <c r="K91" t="s">
        <v>18</v>
      </c>
      <c r="L91" t="s">
        <v>973</v>
      </c>
      <c r="M91" t="s">
        <v>775</v>
      </c>
    </row>
    <row r="92" spans="2:13" x14ac:dyDescent="0.25">
      <c r="B92">
        <v>-2025</v>
      </c>
      <c r="D92">
        <v>171</v>
      </c>
      <c r="E92" t="str">
        <f t="shared" si="6"/>
        <v>171</v>
      </c>
      <c r="F92" t="str">
        <f t="shared" si="7"/>
        <v>171-2025</v>
      </c>
      <c r="G92" t="s">
        <v>967</v>
      </c>
      <c r="H92" t="s">
        <v>967</v>
      </c>
      <c r="I92">
        <v>98333941</v>
      </c>
      <c r="J92" t="s">
        <v>14</v>
      </c>
      <c r="K92" t="s">
        <v>15</v>
      </c>
      <c r="L92" t="s">
        <v>976</v>
      </c>
      <c r="M92" t="s">
        <v>744</v>
      </c>
    </row>
    <row r="93" spans="2:13" x14ac:dyDescent="0.25">
      <c r="B93">
        <v>-2025</v>
      </c>
      <c r="D93">
        <v>172</v>
      </c>
      <c r="E93" t="str">
        <f t="shared" si="6"/>
        <v>172</v>
      </c>
      <c r="F93" t="str">
        <f t="shared" si="7"/>
        <v>172-2025</v>
      </c>
      <c r="G93" t="s">
        <v>966</v>
      </c>
      <c r="H93" t="s">
        <v>966</v>
      </c>
      <c r="I93">
        <v>43624414</v>
      </c>
      <c r="J93" t="s">
        <v>14</v>
      </c>
      <c r="K93" t="s">
        <v>18</v>
      </c>
      <c r="L93" t="s">
        <v>976</v>
      </c>
      <c r="M93" t="s">
        <v>744</v>
      </c>
    </row>
    <row r="94" spans="2:13" x14ac:dyDescent="0.25">
      <c r="B94">
        <v>-2025</v>
      </c>
      <c r="D94">
        <v>173</v>
      </c>
      <c r="E94" t="str">
        <f t="shared" si="6"/>
        <v>173</v>
      </c>
      <c r="F94" t="str">
        <f t="shared" si="7"/>
        <v>173-2025</v>
      </c>
      <c r="G94" t="s">
        <v>968</v>
      </c>
      <c r="H94" t="s">
        <v>968</v>
      </c>
      <c r="I94">
        <v>98390119</v>
      </c>
      <c r="J94" t="s">
        <v>14</v>
      </c>
      <c r="K94" t="s">
        <v>63</v>
      </c>
      <c r="L94" t="s">
        <v>976</v>
      </c>
      <c r="M94" t="s">
        <v>744</v>
      </c>
    </row>
    <row r="95" spans="2:13" x14ac:dyDescent="0.25">
      <c r="B95">
        <v>-2025</v>
      </c>
      <c r="D95">
        <v>174</v>
      </c>
      <c r="E95" t="str">
        <f t="shared" si="6"/>
        <v>174</v>
      </c>
      <c r="F95" t="str">
        <f t="shared" si="7"/>
        <v>174-2025</v>
      </c>
      <c r="G95" t="s">
        <v>967</v>
      </c>
      <c r="H95" t="s">
        <v>967</v>
      </c>
      <c r="I95">
        <v>98333941</v>
      </c>
      <c r="J95" t="s">
        <v>14</v>
      </c>
      <c r="K95" t="s">
        <v>15</v>
      </c>
      <c r="L95" t="s">
        <v>974</v>
      </c>
      <c r="M95" t="s">
        <v>775</v>
      </c>
    </row>
    <row r="96" spans="2:13" x14ac:dyDescent="0.25">
      <c r="B96">
        <v>-2025</v>
      </c>
      <c r="D96">
        <v>175</v>
      </c>
      <c r="E96" t="str">
        <f t="shared" si="6"/>
        <v>175</v>
      </c>
      <c r="F96" t="str">
        <f t="shared" si="7"/>
        <v>175-2025</v>
      </c>
      <c r="G96" t="s">
        <v>967</v>
      </c>
      <c r="H96" t="s">
        <v>967</v>
      </c>
      <c r="I96">
        <v>98333941</v>
      </c>
      <c r="J96" t="s">
        <v>14</v>
      </c>
      <c r="K96" t="s">
        <v>15</v>
      </c>
      <c r="L96" t="s">
        <v>973</v>
      </c>
      <c r="M96" t="s">
        <v>775</v>
      </c>
    </row>
    <row r="97" spans="2:13" x14ac:dyDescent="0.25">
      <c r="B97">
        <v>-2025</v>
      </c>
      <c r="D97">
        <v>176</v>
      </c>
      <c r="E97" t="str">
        <f t="shared" si="6"/>
        <v>176</v>
      </c>
      <c r="F97" t="str">
        <f t="shared" si="7"/>
        <v>176-2025</v>
      </c>
      <c r="G97" t="s">
        <v>967</v>
      </c>
      <c r="H97" t="s">
        <v>967</v>
      </c>
      <c r="I97">
        <v>98333941</v>
      </c>
      <c r="J97" t="s">
        <v>14</v>
      </c>
      <c r="K97" t="s">
        <v>15</v>
      </c>
      <c r="L97" t="s">
        <v>973</v>
      </c>
      <c r="M97" t="s">
        <v>775</v>
      </c>
    </row>
    <row r="98" spans="2:13" x14ac:dyDescent="0.25">
      <c r="B98">
        <v>-2025</v>
      </c>
      <c r="D98">
        <v>177</v>
      </c>
      <c r="E98" t="str">
        <f t="shared" si="6"/>
        <v>177</v>
      </c>
      <c r="F98" t="str">
        <f t="shared" si="7"/>
        <v>177-2025</v>
      </c>
      <c r="G98" t="s">
        <v>967</v>
      </c>
      <c r="H98" t="s">
        <v>967</v>
      </c>
      <c r="I98">
        <v>98333941</v>
      </c>
      <c r="J98" t="s">
        <v>14</v>
      </c>
      <c r="K98" t="s">
        <v>15</v>
      </c>
      <c r="L98" t="s">
        <v>973</v>
      </c>
      <c r="M98" t="s">
        <v>775</v>
      </c>
    </row>
    <row r="99" spans="2:13" x14ac:dyDescent="0.25">
      <c r="B99">
        <v>-2025</v>
      </c>
      <c r="D99">
        <v>178</v>
      </c>
      <c r="E99" t="str">
        <f t="shared" si="6"/>
        <v>178</v>
      </c>
      <c r="F99" t="str">
        <f t="shared" si="7"/>
        <v>178-2025</v>
      </c>
      <c r="G99" t="s">
        <v>965</v>
      </c>
      <c r="H99" t="s">
        <v>965</v>
      </c>
      <c r="I99">
        <v>59836926</v>
      </c>
      <c r="J99" t="s">
        <v>14</v>
      </c>
      <c r="K99" t="s">
        <v>17</v>
      </c>
      <c r="L99" t="s">
        <v>973</v>
      </c>
      <c r="M99" t="s">
        <v>775</v>
      </c>
    </row>
    <row r="100" spans="2:13" x14ac:dyDescent="0.25">
      <c r="B100">
        <v>-2025</v>
      </c>
      <c r="D100">
        <v>179</v>
      </c>
      <c r="E100" t="str">
        <f t="shared" si="6"/>
        <v>179</v>
      </c>
      <c r="F100" t="str">
        <f t="shared" si="7"/>
        <v>179-2025</v>
      </c>
      <c r="G100" t="s">
        <v>967</v>
      </c>
      <c r="H100" t="s">
        <v>967</v>
      </c>
      <c r="I100">
        <v>98333941</v>
      </c>
      <c r="J100" t="s">
        <v>14</v>
      </c>
      <c r="K100" t="s">
        <v>15</v>
      </c>
      <c r="L100" t="s">
        <v>973</v>
      </c>
      <c r="M100" t="s">
        <v>775</v>
      </c>
    </row>
    <row r="101" spans="2:13" x14ac:dyDescent="0.25">
      <c r="B101">
        <v>-2025</v>
      </c>
      <c r="D101">
        <v>180</v>
      </c>
      <c r="E101" t="str">
        <f t="shared" si="6"/>
        <v>180</v>
      </c>
      <c r="F101" t="str">
        <f t="shared" si="7"/>
        <v>180-2025</v>
      </c>
      <c r="G101" t="s">
        <v>966</v>
      </c>
      <c r="H101" t="s">
        <v>966</v>
      </c>
      <c r="I101">
        <v>43624414</v>
      </c>
      <c r="J101" t="s">
        <v>14</v>
      </c>
      <c r="K101" t="s">
        <v>18</v>
      </c>
      <c r="L101" t="s">
        <v>973</v>
      </c>
      <c r="M101" t="s">
        <v>775</v>
      </c>
    </row>
    <row r="102" spans="2:13" x14ac:dyDescent="0.25">
      <c r="B102">
        <v>-2025</v>
      </c>
      <c r="D102">
        <v>181</v>
      </c>
      <c r="E102" t="str">
        <f t="shared" si="6"/>
        <v>181</v>
      </c>
      <c r="F102" t="str">
        <f t="shared" si="7"/>
        <v>181-2025</v>
      </c>
      <c r="G102" t="s">
        <v>967</v>
      </c>
      <c r="H102" t="s">
        <v>967</v>
      </c>
      <c r="I102">
        <v>98333941</v>
      </c>
      <c r="J102" t="s">
        <v>14</v>
      </c>
      <c r="K102" t="s">
        <v>15</v>
      </c>
      <c r="L102" t="s">
        <v>973</v>
      </c>
      <c r="M102" t="s">
        <v>775</v>
      </c>
    </row>
    <row r="103" spans="2:13" x14ac:dyDescent="0.25">
      <c r="B103">
        <v>-2025</v>
      </c>
      <c r="D103">
        <v>182</v>
      </c>
      <c r="E103" t="str">
        <f t="shared" si="6"/>
        <v>182</v>
      </c>
      <c r="F103" t="str">
        <f t="shared" si="7"/>
        <v>182-2025</v>
      </c>
      <c r="G103" t="s">
        <v>967</v>
      </c>
      <c r="H103" t="s">
        <v>967</v>
      </c>
      <c r="I103">
        <v>98333941</v>
      </c>
      <c r="J103" t="s">
        <v>14</v>
      </c>
      <c r="K103" t="s">
        <v>15</v>
      </c>
      <c r="L103" t="s">
        <v>973</v>
      </c>
      <c r="M103" t="s">
        <v>775</v>
      </c>
    </row>
    <row r="104" spans="2:13" x14ac:dyDescent="0.25">
      <c r="B104">
        <v>-2025</v>
      </c>
      <c r="D104">
        <v>183</v>
      </c>
      <c r="E104" t="str">
        <f t="shared" si="6"/>
        <v>183</v>
      </c>
      <c r="F104" t="str">
        <f t="shared" si="7"/>
        <v>183-2025</v>
      </c>
      <c r="G104" t="s">
        <v>965</v>
      </c>
      <c r="H104" t="s">
        <v>965</v>
      </c>
      <c r="I104">
        <v>59836926</v>
      </c>
      <c r="J104" t="s">
        <v>14</v>
      </c>
      <c r="K104" t="s">
        <v>17</v>
      </c>
      <c r="L104" t="s">
        <v>973</v>
      </c>
      <c r="M104" t="s">
        <v>775</v>
      </c>
    </row>
    <row r="105" spans="2:13" x14ac:dyDescent="0.25">
      <c r="B105">
        <v>-2025</v>
      </c>
      <c r="D105">
        <v>184</v>
      </c>
      <c r="E105" t="str">
        <f t="shared" si="6"/>
        <v>184</v>
      </c>
      <c r="F105" t="str">
        <f t="shared" si="7"/>
        <v>184-2025</v>
      </c>
      <c r="G105" t="s">
        <v>967</v>
      </c>
      <c r="H105" t="s">
        <v>967</v>
      </c>
      <c r="I105">
        <v>98333941</v>
      </c>
      <c r="J105" t="s">
        <v>14</v>
      </c>
      <c r="K105" t="s">
        <v>15</v>
      </c>
      <c r="L105" t="s">
        <v>973</v>
      </c>
      <c r="M105" t="s">
        <v>775</v>
      </c>
    </row>
    <row r="106" spans="2:13" x14ac:dyDescent="0.25">
      <c r="B106">
        <v>-2025</v>
      </c>
      <c r="D106">
        <v>185</v>
      </c>
      <c r="E106" t="str">
        <f t="shared" si="6"/>
        <v>185</v>
      </c>
      <c r="F106" t="str">
        <f t="shared" si="7"/>
        <v>185-2025</v>
      </c>
      <c r="G106" t="s">
        <v>967</v>
      </c>
      <c r="H106" t="s">
        <v>967</v>
      </c>
      <c r="I106">
        <v>98333941</v>
      </c>
      <c r="J106" t="s">
        <v>14</v>
      </c>
      <c r="K106" t="s">
        <v>15</v>
      </c>
      <c r="L106" t="s">
        <v>973</v>
      </c>
      <c r="M106" t="s">
        <v>775</v>
      </c>
    </row>
    <row r="107" spans="2:13" x14ac:dyDescent="0.25">
      <c r="B107">
        <v>-2025</v>
      </c>
      <c r="D107">
        <v>186</v>
      </c>
      <c r="E107" t="str">
        <f t="shared" si="6"/>
        <v>186</v>
      </c>
      <c r="F107" t="str">
        <f t="shared" si="7"/>
        <v>186-2025</v>
      </c>
      <c r="G107" t="s">
        <v>967</v>
      </c>
      <c r="H107" t="s">
        <v>967</v>
      </c>
      <c r="I107">
        <v>98333941</v>
      </c>
      <c r="J107" t="s">
        <v>14</v>
      </c>
      <c r="K107" t="s">
        <v>15</v>
      </c>
      <c r="L107" t="s">
        <v>974</v>
      </c>
      <c r="M107" t="s">
        <v>775</v>
      </c>
    </row>
    <row r="108" spans="2:13" x14ac:dyDescent="0.25">
      <c r="B108">
        <v>-2025</v>
      </c>
      <c r="D108">
        <v>187</v>
      </c>
      <c r="E108" t="str">
        <f t="shared" si="6"/>
        <v>187</v>
      </c>
      <c r="F108" t="str">
        <f t="shared" si="7"/>
        <v>187-2025</v>
      </c>
      <c r="G108" t="s">
        <v>965</v>
      </c>
      <c r="H108" t="s">
        <v>965</v>
      </c>
      <c r="I108">
        <v>59836926</v>
      </c>
      <c r="J108" t="s">
        <v>14</v>
      </c>
      <c r="K108" t="s">
        <v>17</v>
      </c>
      <c r="L108" t="s">
        <v>973</v>
      </c>
      <c r="M108" t="s">
        <v>775</v>
      </c>
    </row>
    <row r="109" spans="2:13" x14ac:dyDescent="0.25">
      <c r="B109">
        <v>-2025</v>
      </c>
      <c r="D109">
        <v>188</v>
      </c>
      <c r="E109" t="str">
        <f t="shared" si="6"/>
        <v>188</v>
      </c>
      <c r="F109" t="str">
        <f t="shared" si="7"/>
        <v>188-2025</v>
      </c>
      <c r="G109" t="s">
        <v>967</v>
      </c>
      <c r="H109" t="s">
        <v>967</v>
      </c>
      <c r="I109">
        <v>98333941</v>
      </c>
      <c r="J109" t="s">
        <v>14</v>
      </c>
      <c r="K109" t="s">
        <v>15</v>
      </c>
      <c r="L109" t="s">
        <v>973</v>
      </c>
      <c r="M109" t="s">
        <v>775</v>
      </c>
    </row>
    <row r="110" spans="2:13" x14ac:dyDescent="0.25">
      <c r="B110">
        <v>-2025</v>
      </c>
      <c r="D110">
        <v>189</v>
      </c>
      <c r="E110" t="str">
        <f t="shared" si="6"/>
        <v>189</v>
      </c>
      <c r="F110" t="str">
        <f t="shared" si="7"/>
        <v>189-2025</v>
      </c>
      <c r="G110" t="s">
        <v>967</v>
      </c>
      <c r="H110" t="s">
        <v>967</v>
      </c>
      <c r="I110">
        <v>98333941</v>
      </c>
      <c r="J110" t="s">
        <v>14</v>
      </c>
      <c r="K110" t="s">
        <v>15</v>
      </c>
      <c r="L110" t="s">
        <v>974</v>
      </c>
      <c r="M110" t="s">
        <v>775</v>
      </c>
    </row>
    <row r="111" spans="2:13" x14ac:dyDescent="0.25">
      <c r="B111">
        <v>-2025</v>
      </c>
      <c r="D111">
        <v>190</v>
      </c>
      <c r="E111" t="str">
        <f t="shared" si="6"/>
        <v>190</v>
      </c>
      <c r="F111" t="str">
        <f t="shared" si="7"/>
        <v>190-2025</v>
      </c>
      <c r="G111" t="s">
        <v>967</v>
      </c>
      <c r="H111" t="s">
        <v>967</v>
      </c>
      <c r="I111">
        <v>98333941</v>
      </c>
      <c r="J111" t="s">
        <v>14</v>
      </c>
      <c r="K111" t="s">
        <v>15</v>
      </c>
      <c r="L111" t="s">
        <v>974</v>
      </c>
      <c r="M111" t="s">
        <v>775</v>
      </c>
    </row>
    <row r="112" spans="2:13" x14ac:dyDescent="0.25">
      <c r="B112">
        <v>-2025</v>
      </c>
      <c r="D112">
        <v>191</v>
      </c>
      <c r="E112" t="str">
        <f t="shared" si="6"/>
        <v>191</v>
      </c>
      <c r="F112" t="str">
        <f t="shared" si="7"/>
        <v>191-2025</v>
      </c>
      <c r="G112" t="s">
        <v>966</v>
      </c>
      <c r="H112" t="s">
        <v>966</v>
      </c>
      <c r="I112">
        <v>43624414</v>
      </c>
      <c r="J112" t="s">
        <v>14</v>
      </c>
      <c r="K112" t="s">
        <v>18</v>
      </c>
      <c r="L112" t="s">
        <v>974</v>
      </c>
      <c r="M112" t="s">
        <v>775</v>
      </c>
    </row>
    <row r="113" spans="2:13" x14ac:dyDescent="0.25">
      <c r="B113">
        <v>-2025</v>
      </c>
      <c r="D113">
        <v>192</v>
      </c>
      <c r="E113" t="str">
        <f t="shared" si="6"/>
        <v>192</v>
      </c>
      <c r="F113" t="str">
        <f t="shared" si="7"/>
        <v>192-2025</v>
      </c>
      <c r="G113" t="s">
        <v>967</v>
      </c>
      <c r="H113" t="s">
        <v>967</v>
      </c>
      <c r="I113">
        <v>98333941</v>
      </c>
      <c r="J113" t="s">
        <v>14</v>
      </c>
      <c r="K113" t="s">
        <v>15</v>
      </c>
      <c r="L113" t="s">
        <v>976</v>
      </c>
      <c r="M113" t="s">
        <v>744</v>
      </c>
    </row>
    <row r="114" spans="2:13" x14ac:dyDescent="0.25">
      <c r="B114">
        <v>-2025</v>
      </c>
      <c r="D114">
        <v>193</v>
      </c>
      <c r="E114" t="str">
        <f t="shared" si="6"/>
        <v>193</v>
      </c>
      <c r="F114" t="str">
        <f t="shared" si="7"/>
        <v>193-2025</v>
      </c>
      <c r="G114" t="s">
        <v>965</v>
      </c>
      <c r="H114" t="s">
        <v>965</v>
      </c>
      <c r="I114">
        <v>59836926</v>
      </c>
      <c r="J114" t="s">
        <v>14</v>
      </c>
      <c r="K114" t="s">
        <v>17</v>
      </c>
      <c r="L114" t="s">
        <v>976</v>
      </c>
      <c r="M114" t="s">
        <v>744</v>
      </c>
    </row>
    <row r="115" spans="2:13" x14ac:dyDescent="0.25">
      <c r="B115">
        <v>-2025</v>
      </c>
      <c r="D115">
        <v>194</v>
      </c>
      <c r="E115" t="str">
        <f t="shared" si="6"/>
        <v>194</v>
      </c>
      <c r="F115" t="str">
        <f t="shared" si="7"/>
        <v>194-2025</v>
      </c>
      <c r="G115" t="s">
        <v>968</v>
      </c>
      <c r="H115" t="s">
        <v>968</v>
      </c>
      <c r="I115">
        <v>98390119</v>
      </c>
      <c r="J115" t="s">
        <v>14</v>
      </c>
      <c r="K115" t="s">
        <v>63</v>
      </c>
      <c r="L115" t="s">
        <v>975</v>
      </c>
      <c r="M115" t="s">
        <v>744</v>
      </c>
    </row>
    <row r="116" spans="2:13" x14ac:dyDescent="0.25">
      <c r="B116">
        <v>-2025</v>
      </c>
      <c r="D116">
        <v>195</v>
      </c>
      <c r="E116" t="str">
        <f t="shared" si="6"/>
        <v>195</v>
      </c>
      <c r="F116" t="str">
        <f t="shared" si="7"/>
        <v>195-2025</v>
      </c>
      <c r="G116" t="s">
        <v>968</v>
      </c>
      <c r="H116" t="s">
        <v>968</v>
      </c>
      <c r="I116">
        <v>98390119</v>
      </c>
      <c r="J116" t="s">
        <v>14</v>
      </c>
      <c r="K116" t="s">
        <v>63</v>
      </c>
      <c r="L116" t="s">
        <v>975</v>
      </c>
      <c r="M116" t="s">
        <v>744</v>
      </c>
    </row>
    <row r="117" spans="2:13" x14ac:dyDescent="0.25">
      <c r="B117">
        <v>-2025</v>
      </c>
      <c r="D117">
        <v>196</v>
      </c>
      <c r="E117" t="str">
        <f t="shared" si="6"/>
        <v>196</v>
      </c>
      <c r="F117" t="str">
        <f t="shared" si="7"/>
        <v>196-2025</v>
      </c>
      <c r="G117" t="s">
        <v>967</v>
      </c>
      <c r="H117" t="s">
        <v>967</v>
      </c>
      <c r="I117">
        <v>98333941</v>
      </c>
      <c r="J117" t="s">
        <v>14</v>
      </c>
      <c r="K117" t="s">
        <v>15</v>
      </c>
      <c r="L117" t="s">
        <v>975</v>
      </c>
      <c r="M117" t="s">
        <v>744</v>
      </c>
    </row>
    <row r="118" spans="2:13" x14ac:dyDescent="0.25">
      <c r="B118">
        <v>-2025</v>
      </c>
      <c r="D118">
        <v>197</v>
      </c>
      <c r="E118" t="str">
        <f t="shared" si="6"/>
        <v>197</v>
      </c>
      <c r="F118" t="str">
        <f t="shared" si="7"/>
        <v>197-2025</v>
      </c>
      <c r="G118" t="s">
        <v>965</v>
      </c>
      <c r="H118" t="s">
        <v>965</v>
      </c>
      <c r="I118">
        <v>59836926</v>
      </c>
      <c r="J118" t="s">
        <v>14</v>
      </c>
      <c r="K118" t="s">
        <v>17</v>
      </c>
      <c r="L118" t="s">
        <v>975</v>
      </c>
      <c r="M118" t="s">
        <v>744</v>
      </c>
    </row>
    <row r="119" spans="2:13" x14ac:dyDescent="0.25">
      <c r="B119">
        <v>-2025</v>
      </c>
      <c r="D119">
        <v>198</v>
      </c>
      <c r="E119" t="str">
        <f t="shared" si="6"/>
        <v>198</v>
      </c>
      <c r="F119" t="str">
        <f t="shared" si="7"/>
        <v>198-2025</v>
      </c>
      <c r="G119" t="s">
        <v>965</v>
      </c>
      <c r="H119" t="s">
        <v>965</v>
      </c>
      <c r="I119">
        <v>59836926</v>
      </c>
      <c r="J119" t="s">
        <v>14</v>
      </c>
      <c r="K119" t="s">
        <v>17</v>
      </c>
      <c r="L119" t="s">
        <v>975</v>
      </c>
      <c r="M119" t="s">
        <v>744</v>
      </c>
    </row>
    <row r="120" spans="2:13" x14ac:dyDescent="0.25">
      <c r="B120">
        <v>-2025</v>
      </c>
      <c r="D120">
        <v>199</v>
      </c>
      <c r="E120" t="str">
        <f t="shared" si="6"/>
        <v>199</v>
      </c>
      <c r="F120" t="str">
        <f t="shared" si="7"/>
        <v>199-2025</v>
      </c>
      <c r="G120" t="s">
        <v>968</v>
      </c>
      <c r="H120" t="s">
        <v>968</v>
      </c>
      <c r="I120">
        <v>98390119</v>
      </c>
      <c r="J120" t="s">
        <v>14</v>
      </c>
      <c r="K120" t="s">
        <v>63</v>
      </c>
      <c r="L120" t="s">
        <v>976</v>
      </c>
      <c r="M120" t="s">
        <v>744</v>
      </c>
    </row>
    <row r="121" spans="2:13" x14ac:dyDescent="0.25">
      <c r="B121">
        <v>-2025</v>
      </c>
      <c r="D121">
        <v>200</v>
      </c>
      <c r="E121" t="str">
        <f t="shared" si="6"/>
        <v>200</v>
      </c>
      <c r="F121" t="str">
        <f t="shared" si="7"/>
        <v>200-2025</v>
      </c>
      <c r="G121" t="s">
        <v>967</v>
      </c>
      <c r="H121" t="s">
        <v>967</v>
      </c>
      <c r="I121">
        <v>98333941</v>
      </c>
      <c r="J121" t="s">
        <v>14</v>
      </c>
      <c r="K121" t="s">
        <v>15</v>
      </c>
      <c r="L121" t="s">
        <v>974</v>
      </c>
      <c r="M121" t="s">
        <v>775</v>
      </c>
    </row>
    <row r="122" spans="2:13" x14ac:dyDescent="0.25">
      <c r="B122">
        <v>-2025</v>
      </c>
      <c r="D122">
        <v>201</v>
      </c>
      <c r="E122" t="str">
        <f t="shared" si="6"/>
        <v>201</v>
      </c>
      <c r="F122" t="str">
        <f t="shared" si="7"/>
        <v>201-2025</v>
      </c>
      <c r="G122" t="s">
        <v>967</v>
      </c>
      <c r="H122" t="s">
        <v>967</v>
      </c>
      <c r="I122">
        <v>98333941</v>
      </c>
      <c r="J122" t="s">
        <v>14</v>
      </c>
      <c r="K122" t="s">
        <v>15</v>
      </c>
      <c r="L122" t="s">
        <v>974</v>
      </c>
      <c r="M122" t="s">
        <v>775</v>
      </c>
    </row>
    <row r="123" spans="2:13" x14ac:dyDescent="0.25">
      <c r="B123">
        <v>-2025</v>
      </c>
      <c r="D123">
        <v>202</v>
      </c>
      <c r="E123" t="str">
        <f t="shared" si="6"/>
        <v>202</v>
      </c>
      <c r="F123" t="str">
        <f t="shared" si="7"/>
        <v>202-2025</v>
      </c>
      <c r="G123" t="s">
        <v>965</v>
      </c>
      <c r="H123" t="s">
        <v>965</v>
      </c>
      <c r="I123">
        <v>59836926</v>
      </c>
      <c r="J123" t="s">
        <v>14</v>
      </c>
      <c r="K123" t="s">
        <v>17</v>
      </c>
      <c r="L123" t="s">
        <v>975</v>
      </c>
      <c r="M123" t="s">
        <v>744</v>
      </c>
    </row>
    <row r="124" spans="2:13" x14ac:dyDescent="0.25">
      <c r="B124">
        <v>-2025</v>
      </c>
      <c r="D124">
        <v>203</v>
      </c>
      <c r="E124" t="str">
        <f t="shared" si="6"/>
        <v>203</v>
      </c>
      <c r="F124" t="str">
        <f t="shared" si="7"/>
        <v>203-2025</v>
      </c>
      <c r="G124" t="s">
        <v>967</v>
      </c>
      <c r="H124" t="s">
        <v>967</v>
      </c>
      <c r="I124">
        <v>98333941</v>
      </c>
      <c r="J124" t="s">
        <v>14</v>
      </c>
      <c r="K124" t="s">
        <v>15</v>
      </c>
      <c r="L124" t="s">
        <v>974</v>
      </c>
      <c r="M124" t="s">
        <v>775</v>
      </c>
    </row>
    <row r="125" spans="2:13" x14ac:dyDescent="0.25">
      <c r="B125">
        <v>-2025</v>
      </c>
      <c r="D125">
        <v>204</v>
      </c>
      <c r="E125" t="str">
        <f t="shared" si="6"/>
        <v>204</v>
      </c>
      <c r="F125" t="str">
        <f t="shared" si="7"/>
        <v>204-2025</v>
      </c>
      <c r="G125" t="s">
        <v>967</v>
      </c>
      <c r="H125" t="s">
        <v>967</v>
      </c>
      <c r="I125">
        <v>98333941</v>
      </c>
      <c r="J125" t="s">
        <v>14</v>
      </c>
      <c r="K125" t="s">
        <v>15</v>
      </c>
      <c r="L125" t="s">
        <v>973</v>
      </c>
      <c r="M125" t="s">
        <v>775</v>
      </c>
    </row>
    <row r="126" spans="2:13" x14ac:dyDescent="0.25">
      <c r="B126">
        <v>-2025</v>
      </c>
      <c r="D126">
        <v>205</v>
      </c>
      <c r="E126" t="str">
        <f t="shared" si="6"/>
        <v>205</v>
      </c>
      <c r="F126" t="str">
        <f t="shared" si="7"/>
        <v>205-2025</v>
      </c>
      <c r="G126" t="s">
        <v>967</v>
      </c>
      <c r="H126" t="s">
        <v>967</v>
      </c>
      <c r="I126">
        <v>98333941</v>
      </c>
      <c r="J126" t="s">
        <v>14</v>
      </c>
      <c r="K126" t="s">
        <v>15</v>
      </c>
      <c r="L126" t="s">
        <v>973</v>
      </c>
      <c r="M126" t="s">
        <v>775</v>
      </c>
    </row>
    <row r="127" spans="2:13" x14ac:dyDescent="0.25">
      <c r="B127">
        <v>-2025</v>
      </c>
      <c r="D127">
        <v>206</v>
      </c>
      <c r="E127" t="str">
        <f t="shared" si="6"/>
        <v>206</v>
      </c>
      <c r="F127" t="str">
        <f t="shared" si="7"/>
        <v>206-2025</v>
      </c>
      <c r="G127" t="s">
        <v>967</v>
      </c>
      <c r="H127" t="s">
        <v>967</v>
      </c>
      <c r="I127">
        <v>98333941</v>
      </c>
      <c r="J127" t="s">
        <v>14</v>
      </c>
      <c r="K127" t="s">
        <v>15</v>
      </c>
      <c r="L127" t="s">
        <v>973</v>
      </c>
      <c r="M127" t="s">
        <v>775</v>
      </c>
    </row>
    <row r="128" spans="2:13" x14ac:dyDescent="0.25">
      <c r="B128">
        <v>-2025</v>
      </c>
      <c r="D128">
        <v>207</v>
      </c>
      <c r="E128" t="str">
        <f t="shared" si="6"/>
        <v>207</v>
      </c>
      <c r="F128" t="str">
        <f t="shared" si="7"/>
        <v>207-2025</v>
      </c>
      <c r="G128" t="s">
        <v>967</v>
      </c>
      <c r="H128" t="s">
        <v>967</v>
      </c>
      <c r="I128">
        <v>98333941</v>
      </c>
      <c r="J128" t="s">
        <v>14</v>
      </c>
      <c r="K128" t="s">
        <v>15</v>
      </c>
      <c r="L128" t="s">
        <v>973</v>
      </c>
      <c r="M128" t="s">
        <v>775</v>
      </c>
    </row>
    <row r="129" spans="2:13" x14ac:dyDescent="0.25">
      <c r="B129">
        <v>-2025</v>
      </c>
      <c r="D129">
        <v>208</v>
      </c>
      <c r="E129" t="str">
        <f t="shared" si="6"/>
        <v>208</v>
      </c>
      <c r="F129" t="str">
        <f t="shared" si="7"/>
        <v>208-2025</v>
      </c>
      <c r="G129" t="s">
        <v>966</v>
      </c>
      <c r="H129" t="s">
        <v>966</v>
      </c>
      <c r="I129">
        <v>43624414</v>
      </c>
      <c r="J129" t="s">
        <v>14</v>
      </c>
      <c r="K129" t="s">
        <v>18</v>
      </c>
      <c r="L129" t="s">
        <v>973</v>
      </c>
      <c r="M129" t="s">
        <v>775</v>
      </c>
    </row>
    <row r="130" spans="2:13" x14ac:dyDescent="0.25">
      <c r="B130">
        <v>-2025</v>
      </c>
      <c r="D130">
        <v>209</v>
      </c>
      <c r="E130" t="str">
        <f t="shared" si="6"/>
        <v>209</v>
      </c>
      <c r="F130" t="str">
        <f t="shared" si="7"/>
        <v>209-2025</v>
      </c>
      <c r="G130" t="s">
        <v>967</v>
      </c>
      <c r="H130" t="s">
        <v>967</v>
      </c>
      <c r="I130">
        <v>98333941</v>
      </c>
      <c r="J130" t="s">
        <v>14</v>
      </c>
      <c r="K130" t="s">
        <v>15</v>
      </c>
      <c r="L130" t="s">
        <v>973</v>
      </c>
      <c r="M130" t="s">
        <v>775</v>
      </c>
    </row>
    <row r="131" spans="2:13" x14ac:dyDescent="0.25">
      <c r="B131">
        <v>-2025</v>
      </c>
      <c r="D131">
        <v>210</v>
      </c>
      <c r="E131" t="str">
        <f t="shared" ref="E131:E194" si="8">_xlfn.CONCAT(C131,D131)</f>
        <v>210</v>
      </c>
      <c r="F131" t="str">
        <f t="shared" ref="F131:F194" si="9">_xlfn.CONCAT(E131,B131)</f>
        <v>210-2025</v>
      </c>
      <c r="G131" t="s">
        <v>965</v>
      </c>
      <c r="H131" t="s">
        <v>965</v>
      </c>
      <c r="I131">
        <v>59836926</v>
      </c>
      <c r="J131" t="s">
        <v>14</v>
      </c>
      <c r="K131" t="s">
        <v>17</v>
      </c>
      <c r="L131" t="s">
        <v>973</v>
      </c>
      <c r="M131" t="s">
        <v>775</v>
      </c>
    </row>
    <row r="132" spans="2:13" x14ac:dyDescent="0.25">
      <c r="B132">
        <v>-2025</v>
      </c>
      <c r="D132">
        <v>211</v>
      </c>
      <c r="E132" t="str">
        <f t="shared" si="8"/>
        <v>211</v>
      </c>
      <c r="F132" t="str">
        <f t="shared" si="9"/>
        <v>211-2025</v>
      </c>
      <c r="G132" t="s">
        <v>967</v>
      </c>
      <c r="H132" t="s">
        <v>967</v>
      </c>
      <c r="I132">
        <v>98333941</v>
      </c>
      <c r="J132" t="s">
        <v>14</v>
      </c>
      <c r="K132" t="s">
        <v>15</v>
      </c>
      <c r="L132" t="s">
        <v>973</v>
      </c>
      <c r="M132" t="s">
        <v>775</v>
      </c>
    </row>
    <row r="133" spans="2:13" x14ac:dyDescent="0.25">
      <c r="B133">
        <v>-2025</v>
      </c>
      <c r="D133">
        <v>212</v>
      </c>
      <c r="E133" t="str">
        <f t="shared" si="8"/>
        <v>212</v>
      </c>
      <c r="F133" t="str">
        <f t="shared" si="9"/>
        <v>212-2025</v>
      </c>
      <c r="G133" t="s">
        <v>967</v>
      </c>
      <c r="H133" t="s">
        <v>967</v>
      </c>
      <c r="I133">
        <v>98333941</v>
      </c>
      <c r="J133" t="s">
        <v>14</v>
      </c>
      <c r="K133" t="s">
        <v>15</v>
      </c>
      <c r="L133" t="s">
        <v>976</v>
      </c>
      <c r="M133" t="s">
        <v>744</v>
      </c>
    </row>
    <row r="134" spans="2:13" x14ac:dyDescent="0.25">
      <c r="B134">
        <v>-2025</v>
      </c>
      <c r="D134">
        <v>213</v>
      </c>
      <c r="E134" t="str">
        <f t="shared" si="8"/>
        <v>213</v>
      </c>
      <c r="F134" t="str">
        <f t="shared" si="9"/>
        <v>213-2025</v>
      </c>
      <c r="G134" t="s">
        <v>967</v>
      </c>
      <c r="H134" t="s">
        <v>967</v>
      </c>
      <c r="I134">
        <v>98333941</v>
      </c>
      <c r="J134" t="s">
        <v>14</v>
      </c>
      <c r="K134" t="s">
        <v>15</v>
      </c>
      <c r="L134" t="s">
        <v>973</v>
      </c>
      <c r="M134" t="s">
        <v>775</v>
      </c>
    </row>
    <row r="135" spans="2:13" x14ac:dyDescent="0.25">
      <c r="B135">
        <v>-2025</v>
      </c>
      <c r="D135">
        <v>214</v>
      </c>
      <c r="E135" t="str">
        <f t="shared" si="8"/>
        <v>214</v>
      </c>
      <c r="F135" t="str">
        <f t="shared" si="9"/>
        <v>214-2025</v>
      </c>
      <c r="G135" t="s">
        <v>967</v>
      </c>
      <c r="H135" t="s">
        <v>967</v>
      </c>
      <c r="I135">
        <v>98333941</v>
      </c>
      <c r="J135" t="s">
        <v>14</v>
      </c>
      <c r="K135" t="s">
        <v>15</v>
      </c>
      <c r="L135" t="s">
        <v>973</v>
      </c>
      <c r="M135" t="s">
        <v>775</v>
      </c>
    </row>
    <row r="136" spans="2:13" x14ac:dyDescent="0.25">
      <c r="B136">
        <v>-2025</v>
      </c>
      <c r="D136">
        <v>215</v>
      </c>
      <c r="E136" t="str">
        <f t="shared" si="8"/>
        <v>215</v>
      </c>
      <c r="F136" t="str">
        <f t="shared" si="9"/>
        <v>215-2025</v>
      </c>
      <c r="G136" t="s">
        <v>967</v>
      </c>
      <c r="H136" t="s">
        <v>967</v>
      </c>
      <c r="I136">
        <v>98333941</v>
      </c>
      <c r="J136" t="s">
        <v>14</v>
      </c>
      <c r="K136" t="s">
        <v>15</v>
      </c>
      <c r="L136" t="s">
        <v>973</v>
      </c>
      <c r="M136" t="s">
        <v>775</v>
      </c>
    </row>
    <row r="137" spans="2:13" x14ac:dyDescent="0.25">
      <c r="B137">
        <v>-2025</v>
      </c>
      <c r="D137">
        <v>216</v>
      </c>
      <c r="E137" t="str">
        <f t="shared" si="8"/>
        <v>216</v>
      </c>
      <c r="F137" t="str">
        <f t="shared" si="9"/>
        <v>216-2025</v>
      </c>
      <c r="G137" t="s">
        <v>967</v>
      </c>
      <c r="H137" t="s">
        <v>967</v>
      </c>
      <c r="I137">
        <v>98333941</v>
      </c>
      <c r="J137" t="s">
        <v>14</v>
      </c>
      <c r="K137" t="s">
        <v>15</v>
      </c>
      <c r="L137" t="s">
        <v>973</v>
      </c>
      <c r="M137" t="s">
        <v>775</v>
      </c>
    </row>
    <row r="138" spans="2:13" x14ac:dyDescent="0.25">
      <c r="B138">
        <v>-2025</v>
      </c>
      <c r="D138">
        <v>217</v>
      </c>
      <c r="E138" t="str">
        <f t="shared" si="8"/>
        <v>217</v>
      </c>
      <c r="F138" t="str">
        <f t="shared" si="9"/>
        <v>217-2025</v>
      </c>
      <c r="G138" t="s">
        <v>966</v>
      </c>
      <c r="H138" t="s">
        <v>966</v>
      </c>
      <c r="I138">
        <v>43624414</v>
      </c>
      <c r="J138" t="s">
        <v>14</v>
      </c>
      <c r="K138" t="s">
        <v>18</v>
      </c>
      <c r="L138" t="s">
        <v>973</v>
      </c>
      <c r="M138" t="s">
        <v>775</v>
      </c>
    </row>
    <row r="139" spans="2:13" x14ac:dyDescent="0.25">
      <c r="B139">
        <v>-2025</v>
      </c>
      <c r="D139">
        <v>218</v>
      </c>
      <c r="E139" t="str">
        <f t="shared" si="8"/>
        <v>218</v>
      </c>
      <c r="F139" t="str">
        <f t="shared" si="9"/>
        <v>218-2025</v>
      </c>
      <c r="G139" t="s">
        <v>967</v>
      </c>
      <c r="H139" t="s">
        <v>967</v>
      </c>
      <c r="I139">
        <v>98333941</v>
      </c>
      <c r="J139" t="s">
        <v>14</v>
      </c>
      <c r="K139" t="s">
        <v>15</v>
      </c>
      <c r="L139" t="s">
        <v>973</v>
      </c>
      <c r="M139" t="s">
        <v>775</v>
      </c>
    </row>
    <row r="140" spans="2:13" x14ac:dyDescent="0.25">
      <c r="B140">
        <v>-2025</v>
      </c>
      <c r="D140">
        <v>219</v>
      </c>
      <c r="E140" t="str">
        <f t="shared" si="8"/>
        <v>219</v>
      </c>
      <c r="F140" t="str">
        <f t="shared" si="9"/>
        <v>219-2025</v>
      </c>
      <c r="G140" t="s">
        <v>967</v>
      </c>
      <c r="H140" t="s">
        <v>967</v>
      </c>
      <c r="I140">
        <v>98333941</v>
      </c>
      <c r="J140" t="s">
        <v>14</v>
      </c>
      <c r="K140" t="s">
        <v>15</v>
      </c>
      <c r="L140" t="s">
        <v>974</v>
      </c>
      <c r="M140" t="s">
        <v>775</v>
      </c>
    </row>
    <row r="141" spans="2:13" x14ac:dyDescent="0.25">
      <c r="B141">
        <v>-2025</v>
      </c>
      <c r="D141">
        <v>220</v>
      </c>
      <c r="E141" t="str">
        <f t="shared" si="8"/>
        <v>220</v>
      </c>
      <c r="F141" t="str">
        <f t="shared" si="9"/>
        <v>220-2025</v>
      </c>
      <c r="G141" t="s">
        <v>968</v>
      </c>
      <c r="H141" t="s">
        <v>968</v>
      </c>
      <c r="I141">
        <v>98390119</v>
      </c>
      <c r="J141" t="s">
        <v>14</v>
      </c>
      <c r="K141" t="s">
        <v>63</v>
      </c>
      <c r="L141" t="s">
        <v>974</v>
      </c>
      <c r="M141" t="s">
        <v>775</v>
      </c>
    </row>
    <row r="142" spans="2:13" x14ac:dyDescent="0.25">
      <c r="B142">
        <v>-2025</v>
      </c>
      <c r="D142">
        <v>221</v>
      </c>
      <c r="E142" t="str">
        <f t="shared" si="8"/>
        <v>221</v>
      </c>
      <c r="F142" t="str">
        <f t="shared" si="9"/>
        <v>221-2025</v>
      </c>
      <c r="G142" t="s">
        <v>968</v>
      </c>
      <c r="H142" t="s">
        <v>968</v>
      </c>
      <c r="I142">
        <v>98390119</v>
      </c>
      <c r="J142" t="s">
        <v>14</v>
      </c>
      <c r="K142" t="s">
        <v>63</v>
      </c>
      <c r="L142" t="s">
        <v>974</v>
      </c>
      <c r="M142" t="s">
        <v>775</v>
      </c>
    </row>
    <row r="143" spans="2:13" x14ac:dyDescent="0.25">
      <c r="B143">
        <v>-2025</v>
      </c>
      <c r="D143">
        <v>222</v>
      </c>
      <c r="E143" t="str">
        <f t="shared" si="8"/>
        <v>222</v>
      </c>
      <c r="F143" t="str">
        <f t="shared" si="9"/>
        <v>222-2025</v>
      </c>
      <c r="G143" t="s">
        <v>968</v>
      </c>
      <c r="H143" t="s">
        <v>968</v>
      </c>
      <c r="I143">
        <v>98390119</v>
      </c>
      <c r="J143" t="s">
        <v>14</v>
      </c>
      <c r="K143" t="s">
        <v>63</v>
      </c>
      <c r="L143" t="s">
        <v>974</v>
      </c>
      <c r="M143" t="s">
        <v>775</v>
      </c>
    </row>
    <row r="144" spans="2:13" x14ac:dyDescent="0.25">
      <c r="B144">
        <v>-2025</v>
      </c>
      <c r="D144">
        <v>223</v>
      </c>
      <c r="E144" t="str">
        <f t="shared" si="8"/>
        <v>223</v>
      </c>
      <c r="F144" t="str">
        <f t="shared" si="9"/>
        <v>223-2025</v>
      </c>
      <c r="G144" t="s">
        <v>967</v>
      </c>
      <c r="H144" t="s">
        <v>967</v>
      </c>
      <c r="I144">
        <v>98333941</v>
      </c>
      <c r="J144" t="s">
        <v>14</v>
      </c>
      <c r="K144" t="s">
        <v>15</v>
      </c>
      <c r="L144" t="s">
        <v>974</v>
      </c>
      <c r="M144" t="s">
        <v>775</v>
      </c>
    </row>
    <row r="145" spans="2:13" x14ac:dyDescent="0.25">
      <c r="B145">
        <v>-2025</v>
      </c>
      <c r="D145">
        <v>224</v>
      </c>
      <c r="E145" t="str">
        <f t="shared" si="8"/>
        <v>224</v>
      </c>
      <c r="F145" t="str">
        <f t="shared" si="9"/>
        <v>224-2025</v>
      </c>
      <c r="G145" t="s">
        <v>968</v>
      </c>
      <c r="H145" t="s">
        <v>968</v>
      </c>
      <c r="I145">
        <v>98390119</v>
      </c>
      <c r="J145" t="s">
        <v>14</v>
      </c>
      <c r="K145" t="s">
        <v>63</v>
      </c>
      <c r="L145" t="s">
        <v>973</v>
      </c>
      <c r="M145" t="s">
        <v>775</v>
      </c>
    </row>
    <row r="146" spans="2:13" x14ac:dyDescent="0.25">
      <c r="B146">
        <v>-2025</v>
      </c>
      <c r="D146">
        <v>225</v>
      </c>
      <c r="E146" t="str">
        <f t="shared" si="8"/>
        <v>225</v>
      </c>
      <c r="F146" t="str">
        <f t="shared" si="9"/>
        <v>225-2025</v>
      </c>
      <c r="G146" t="s">
        <v>968</v>
      </c>
      <c r="H146" t="s">
        <v>968</v>
      </c>
      <c r="I146">
        <v>98390119</v>
      </c>
      <c r="J146" t="s">
        <v>14</v>
      </c>
      <c r="K146" t="s">
        <v>63</v>
      </c>
      <c r="L146" t="s">
        <v>973</v>
      </c>
      <c r="M146" t="s">
        <v>775</v>
      </c>
    </row>
    <row r="147" spans="2:13" x14ac:dyDescent="0.25">
      <c r="B147">
        <v>-2025</v>
      </c>
      <c r="D147">
        <v>226</v>
      </c>
      <c r="E147" t="str">
        <f t="shared" si="8"/>
        <v>226</v>
      </c>
      <c r="F147" t="str">
        <f t="shared" si="9"/>
        <v>226-2025</v>
      </c>
      <c r="G147" t="s">
        <v>968</v>
      </c>
      <c r="H147" t="s">
        <v>968</v>
      </c>
      <c r="I147">
        <v>98390119</v>
      </c>
      <c r="J147" t="s">
        <v>14</v>
      </c>
      <c r="K147" t="s">
        <v>63</v>
      </c>
      <c r="L147" t="s">
        <v>973</v>
      </c>
      <c r="M147" t="s">
        <v>775</v>
      </c>
    </row>
    <row r="148" spans="2:13" x14ac:dyDescent="0.25">
      <c r="B148">
        <v>-2025</v>
      </c>
      <c r="D148">
        <v>227</v>
      </c>
      <c r="E148" t="str">
        <f t="shared" si="8"/>
        <v>227</v>
      </c>
      <c r="F148" t="str">
        <f t="shared" si="9"/>
        <v>227-2025</v>
      </c>
      <c r="G148" t="s">
        <v>968</v>
      </c>
      <c r="H148" t="s">
        <v>968</v>
      </c>
      <c r="I148">
        <v>98390119</v>
      </c>
      <c r="J148" t="s">
        <v>14</v>
      </c>
      <c r="K148" t="s">
        <v>63</v>
      </c>
      <c r="L148" t="s">
        <v>973</v>
      </c>
      <c r="M148" t="s">
        <v>775</v>
      </c>
    </row>
    <row r="149" spans="2:13" x14ac:dyDescent="0.25">
      <c r="B149">
        <v>-2025</v>
      </c>
      <c r="D149">
        <v>228</v>
      </c>
      <c r="E149" t="str">
        <f t="shared" si="8"/>
        <v>228</v>
      </c>
      <c r="F149" t="str">
        <f t="shared" si="9"/>
        <v>228-2025</v>
      </c>
      <c r="G149" t="s">
        <v>968</v>
      </c>
      <c r="H149" t="s">
        <v>968</v>
      </c>
      <c r="I149">
        <v>98390119</v>
      </c>
      <c r="J149" t="s">
        <v>14</v>
      </c>
      <c r="K149" t="s">
        <v>63</v>
      </c>
      <c r="L149" t="s">
        <v>973</v>
      </c>
      <c r="M149" t="s">
        <v>775</v>
      </c>
    </row>
    <row r="150" spans="2:13" x14ac:dyDescent="0.25">
      <c r="B150">
        <v>-2025</v>
      </c>
      <c r="D150">
        <v>229</v>
      </c>
      <c r="E150" t="str">
        <f t="shared" si="8"/>
        <v>229</v>
      </c>
      <c r="F150" t="str">
        <f t="shared" si="9"/>
        <v>229-2025</v>
      </c>
      <c r="G150" t="s">
        <v>968</v>
      </c>
      <c r="H150" t="s">
        <v>968</v>
      </c>
      <c r="I150">
        <v>98390119</v>
      </c>
      <c r="J150" t="s">
        <v>14</v>
      </c>
      <c r="K150" t="s">
        <v>63</v>
      </c>
      <c r="L150" t="s">
        <v>973</v>
      </c>
      <c r="M150" t="s">
        <v>775</v>
      </c>
    </row>
    <row r="151" spans="2:13" x14ac:dyDescent="0.25">
      <c r="B151">
        <v>-2025</v>
      </c>
      <c r="D151">
        <v>230</v>
      </c>
      <c r="E151" t="str">
        <f t="shared" si="8"/>
        <v>230</v>
      </c>
      <c r="F151" t="str">
        <f t="shared" si="9"/>
        <v>230-2025</v>
      </c>
      <c r="G151" t="s">
        <v>967</v>
      </c>
      <c r="H151" t="s">
        <v>967</v>
      </c>
      <c r="I151">
        <v>98333941</v>
      </c>
      <c r="J151" t="s">
        <v>14</v>
      </c>
      <c r="K151" t="s">
        <v>15</v>
      </c>
      <c r="L151" t="s">
        <v>974</v>
      </c>
      <c r="M151" t="s">
        <v>775</v>
      </c>
    </row>
    <row r="152" spans="2:13" x14ac:dyDescent="0.25">
      <c r="B152">
        <v>-2025</v>
      </c>
      <c r="D152">
        <v>231</v>
      </c>
      <c r="E152" t="str">
        <f t="shared" si="8"/>
        <v>231</v>
      </c>
      <c r="F152" t="str">
        <f t="shared" si="9"/>
        <v>231-2025</v>
      </c>
      <c r="G152" t="s">
        <v>967</v>
      </c>
      <c r="H152" t="s">
        <v>967</v>
      </c>
      <c r="I152">
        <v>98333941</v>
      </c>
      <c r="J152" t="s">
        <v>14</v>
      </c>
      <c r="K152" t="s">
        <v>15</v>
      </c>
      <c r="L152" t="s">
        <v>973</v>
      </c>
      <c r="M152" t="s">
        <v>775</v>
      </c>
    </row>
    <row r="153" spans="2:13" x14ac:dyDescent="0.25">
      <c r="B153">
        <v>-2025</v>
      </c>
      <c r="D153">
        <v>232</v>
      </c>
      <c r="E153" t="str">
        <f t="shared" si="8"/>
        <v>232</v>
      </c>
      <c r="F153" t="str">
        <f t="shared" si="9"/>
        <v>232-2025</v>
      </c>
      <c r="G153" t="s">
        <v>967</v>
      </c>
      <c r="H153" t="s">
        <v>967</v>
      </c>
      <c r="I153">
        <v>98333941</v>
      </c>
      <c r="J153" t="s">
        <v>14</v>
      </c>
      <c r="K153" t="s">
        <v>15</v>
      </c>
      <c r="L153" t="s">
        <v>973</v>
      </c>
      <c r="M153" t="s">
        <v>775</v>
      </c>
    </row>
    <row r="154" spans="2:13" x14ac:dyDescent="0.25">
      <c r="B154">
        <v>-2025</v>
      </c>
      <c r="D154">
        <v>233</v>
      </c>
      <c r="E154" t="str">
        <f t="shared" si="8"/>
        <v>233</v>
      </c>
      <c r="F154" t="str">
        <f t="shared" si="9"/>
        <v>233-2025</v>
      </c>
      <c r="G154" t="s">
        <v>967</v>
      </c>
      <c r="H154" t="s">
        <v>967</v>
      </c>
      <c r="I154">
        <v>98333941</v>
      </c>
      <c r="J154" t="s">
        <v>14</v>
      </c>
      <c r="K154" t="s">
        <v>15</v>
      </c>
      <c r="L154" t="s">
        <v>973</v>
      </c>
      <c r="M154" t="s">
        <v>775</v>
      </c>
    </row>
    <row r="155" spans="2:13" x14ac:dyDescent="0.25">
      <c r="B155">
        <v>-2025</v>
      </c>
      <c r="D155">
        <v>234</v>
      </c>
      <c r="E155" t="str">
        <f t="shared" si="8"/>
        <v>234</v>
      </c>
      <c r="F155" t="str">
        <f t="shared" si="9"/>
        <v>234-2025</v>
      </c>
      <c r="G155" t="s">
        <v>967</v>
      </c>
      <c r="H155" t="s">
        <v>967</v>
      </c>
      <c r="I155">
        <v>98333941</v>
      </c>
      <c r="J155" t="s">
        <v>14</v>
      </c>
      <c r="K155" t="s">
        <v>15</v>
      </c>
      <c r="L155" t="s">
        <v>974</v>
      </c>
      <c r="M155" t="s">
        <v>775</v>
      </c>
    </row>
    <row r="156" spans="2:13" x14ac:dyDescent="0.25">
      <c r="B156">
        <v>-2025</v>
      </c>
      <c r="D156">
        <v>235</v>
      </c>
      <c r="E156" t="str">
        <f t="shared" si="8"/>
        <v>235</v>
      </c>
      <c r="F156" t="str">
        <f t="shared" si="9"/>
        <v>235-2025</v>
      </c>
      <c r="G156" t="s">
        <v>967</v>
      </c>
      <c r="H156" t="s">
        <v>967</v>
      </c>
      <c r="I156">
        <v>98333941</v>
      </c>
      <c r="J156" t="s">
        <v>14</v>
      </c>
      <c r="K156" t="s">
        <v>15</v>
      </c>
      <c r="L156" t="s">
        <v>973</v>
      </c>
      <c r="M156" t="s">
        <v>775</v>
      </c>
    </row>
    <row r="157" spans="2:13" x14ac:dyDescent="0.25">
      <c r="B157">
        <v>-2025</v>
      </c>
      <c r="D157">
        <v>236</v>
      </c>
      <c r="E157" t="str">
        <f t="shared" si="8"/>
        <v>236</v>
      </c>
      <c r="F157" t="str">
        <f t="shared" si="9"/>
        <v>236-2025</v>
      </c>
      <c r="G157" t="s">
        <v>967</v>
      </c>
      <c r="H157" t="s">
        <v>967</v>
      </c>
      <c r="I157">
        <v>98333941</v>
      </c>
      <c r="J157" t="s">
        <v>14</v>
      </c>
      <c r="K157" t="s">
        <v>15</v>
      </c>
      <c r="L157" t="s">
        <v>973</v>
      </c>
      <c r="M157" t="s">
        <v>775</v>
      </c>
    </row>
    <row r="158" spans="2:13" x14ac:dyDescent="0.25">
      <c r="B158">
        <v>-2025</v>
      </c>
      <c r="D158">
        <v>237</v>
      </c>
      <c r="E158" t="str">
        <f t="shared" si="8"/>
        <v>237</v>
      </c>
      <c r="F158" t="str">
        <f t="shared" si="9"/>
        <v>237-2025</v>
      </c>
      <c r="G158" t="s">
        <v>967</v>
      </c>
      <c r="H158" t="s">
        <v>967</v>
      </c>
      <c r="I158">
        <v>98333941</v>
      </c>
      <c r="J158" t="s">
        <v>14</v>
      </c>
      <c r="K158" t="s">
        <v>15</v>
      </c>
      <c r="L158" t="s">
        <v>973</v>
      </c>
      <c r="M158" t="s">
        <v>775</v>
      </c>
    </row>
    <row r="159" spans="2:13" x14ac:dyDescent="0.25">
      <c r="B159">
        <v>-2025</v>
      </c>
      <c r="D159">
        <v>238</v>
      </c>
      <c r="E159" t="str">
        <f t="shared" si="8"/>
        <v>238</v>
      </c>
      <c r="F159" t="str">
        <f t="shared" si="9"/>
        <v>238-2025</v>
      </c>
      <c r="G159" t="s">
        <v>966</v>
      </c>
      <c r="H159" t="s">
        <v>966</v>
      </c>
      <c r="I159">
        <v>43624414</v>
      </c>
      <c r="J159" t="s">
        <v>14</v>
      </c>
      <c r="K159" t="s">
        <v>18</v>
      </c>
      <c r="L159" t="s">
        <v>973</v>
      </c>
      <c r="M159" t="s">
        <v>775</v>
      </c>
    </row>
    <row r="160" spans="2:13" x14ac:dyDescent="0.25">
      <c r="B160">
        <v>-2025</v>
      </c>
      <c r="D160">
        <v>240</v>
      </c>
      <c r="E160" t="str">
        <f t="shared" si="8"/>
        <v>240</v>
      </c>
      <c r="F160" t="str">
        <f t="shared" si="9"/>
        <v>240-2025</v>
      </c>
      <c r="G160" t="s">
        <v>966</v>
      </c>
      <c r="H160" t="s">
        <v>966</v>
      </c>
      <c r="I160">
        <v>43624414</v>
      </c>
      <c r="J160" t="s">
        <v>14</v>
      </c>
      <c r="K160" t="s">
        <v>18</v>
      </c>
      <c r="L160" t="s">
        <v>973</v>
      </c>
      <c r="M160" t="s">
        <v>775</v>
      </c>
    </row>
    <row r="161" spans="2:13" x14ac:dyDescent="0.25">
      <c r="B161">
        <v>-2025</v>
      </c>
      <c r="D161">
        <v>241</v>
      </c>
      <c r="E161" t="str">
        <f t="shared" si="8"/>
        <v>241</v>
      </c>
      <c r="F161" t="str">
        <f t="shared" si="9"/>
        <v>241-2025</v>
      </c>
      <c r="G161" t="s">
        <v>966</v>
      </c>
      <c r="H161" t="s">
        <v>966</v>
      </c>
      <c r="I161">
        <v>43624414</v>
      </c>
      <c r="J161" t="s">
        <v>14</v>
      </c>
      <c r="K161" t="s">
        <v>18</v>
      </c>
      <c r="L161" t="s">
        <v>973</v>
      </c>
      <c r="M161" t="s">
        <v>775</v>
      </c>
    </row>
    <row r="162" spans="2:13" x14ac:dyDescent="0.25">
      <c r="B162">
        <v>-2025</v>
      </c>
      <c r="D162">
        <v>242</v>
      </c>
      <c r="E162" t="str">
        <f t="shared" si="8"/>
        <v>242</v>
      </c>
      <c r="F162" t="str">
        <f t="shared" si="9"/>
        <v>242-2025</v>
      </c>
      <c r="G162" t="s">
        <v>966</v>
      </c>
      <c r="H162" t="s">
        <v>966</v>
      </c>
      <c r="I162">
        <v>43624414</v>
      </c>
      <c r="J162" t="s">
        <v>14</v>
      </c>
      <c r="K162" t="s">
        <v>18</v>
      </c>
      <c r="L162" t="s">
        <v>973</v>
      </c>
      <c r="M162" t="s">
        <v>775</v>
      </c>
    </row>
    <row r="163" spans="2:13" x14ac:dyDescent="0.25">
      <c r="B163">
        <v>-2025</v>
      </c>
      <c r="D163">
        <v>243</v>
      </c>
      <c r="E163" t="str">
        <f t="shared" si="8"/>
        <v>243</v>
      </c>
      <c r="F163" t="str">
        <f t="shared" si="9"/>
        <v>243-2025</v>
      </c>
      <c r="G163" t="s">
        <v>966</v>
      </c>
      <c r="H163" t="s">
        <v>966</v>
      </c>
      <c r="I163">
        <v>43624414</v>
      </c>
      <c r="J163" t="s">
        <v>14</v>
      </c>
      <c r="K163" t="s">
        <v>18</v>
      </c>
      <c r="L163" t="s">
        <v>973</v>
      </c>
      <c r="M163" t="s">
        <v>775</v>
      </c>
    </row>
    <row r="164" spans="2:13" x14ac:dyDescent="0.25">
      <c r="B164">
        <v>-2025</v>
      </c>
      <c r="D164">
        <v>244</v>
      </c>
      <c r="E164" t="str">
        <f t="shared" si="8"/>
        <v>244</v>
      </c>
      <c r="F164" t="str">
        <f t="shared" si="9"/>
        <v>244-2025</v>
      </c>
      <c r="G164" t="s">
        <v>966</v>
      </c>
      <c r="H164" t="s">
        <v>966</v>
      </c>
      <c r="I164">
        <v>43624414</v>
      </c>
      <c r="J164" t="s">
        <v>14</v>
      </c>
      <c r="K164" t="s">
        <v>18</v>
      </c>
      <c r="L164" t="s">
        <v>973</v>
      </c>
      <c r="M164" t="s">
        <v>775</v>
      </c>
    </row>
    <row r="165" spans="2:13" x14ac:dyDescent="0.25">
      <c r="B165">
        <v>-2025</v>
      </c>
      <c r="D165">
        <v>245</v>
      </c>
      <c r="E165" t="str">
        <f t="shared" si="8"/>
        <v>245</v>
      </c>
      <c r="F165" t="str">
        <f t="shared" si="9"/>
        <v>245-2025</v>
      </c>
      <c r="G165" t="s">
        <v>968</v>
      </c>
      <c r="H165" t="s">
        <v>968</v>
      </c>
      <c r="I165">
        <v>98390119</v>
      </c>
      <c r="J165" t="s">
        <v>14</v>
      </c>
      <c r="K165" t="s">
        <v>63</v>
      </c>
      <c r="L165" t="s">
        <v>976</v>
      </c>
      <c r="M165" t="s">
        <v>744</v>
      </c>
    </row>
    <row r="166" spans="2:13" x14ac:dyDescent="0.25">
      <c r="B166">
        <v>-2025</v>
      </c>
      <c r="D166">
        <v>246</v>
      </c>
      <c r="E166" t="str">
        <f t="shared" si="8"/>
        <v>246</v>
      </c>
      <c r="F166" t="str">
        <f t="shared" si="9"/>
        <v>246-2025</v>
      </c>
      <c r="G166" t="s">
        <v>968</v>
      </c>
      <c r="H166" t="s">
        <v>968</v>
      </c>
      <c r="I166">
        <v>98390119</v>
      </c>
      <c r="J166" t="s">
        <v>14</v>
      </c>
      <c r="K166" t="s">
        <v>63</v>
      </c>
      <c r="L166" t="s">
        <v>976</v>
      </c>
      <c r="M166" t="s">
        <v>744</v>
      </c>
    </row>
    <row r="167" spans="2:13" x14ac:dyDescent="0.25">
      <c r="B167">
        <v>-2025</v>
      </c>
      <c r="D167">
        <v>248</v>
      </c>
      <c r="E167" t="str">
        <f t="shared" si="8"/>
        <v>248</v>
      </c>
      <c r="F167" t="str">
        <f t="shared" si="9"/>
        <v>248-2025</v>
      </c>
      <c r="G167" t="s">
        <v>968</v>
      </c>
      <c r="H167" t="s">
        <v>968</v>
      </c>
      <c r="I167">
        <v>98390119</v>
      </c>
      <c r="J167" t="s">
        <v>14</v>
      </c>
      <c r="K167" t="s">
        <v>63</v>
      </c>
      <c r="L167" t="s">
        <v>976</v>
      </c>
      <c r="M167" t="s">
        <v>744</v>
      </c>
    </row>
    <row r="168" spans="2:13" x14ac:dyDescent="0.25">
      <c r="B168">
        <v>-2025</v>
      </c>
      <c r="D168">
        <v>249</v>
      </c>
      <c r="E168" t="str">
        <f t="shared" si="8"/>
        <v>249</v>
      </c>
      <c r="F168" t="str">
        <f t="shared" si="9"/>
        <v>249-2025</v>
      </c>
      <c r="G168" t="s">
        <v>968</v>
      </c>
      <c r="H168" t="s">
        <v>968</v>
      </c>
      <c r="I168">
        <v>98390119</v>
      </c>
      <c r="J168" t="s">
        <v>14</v>
      </c>
      <c r="K168" t="s">
        <v>63</v>
      </c>
      <c r="L168" t="s">
        <v>976</v>
      </c>
      <c r="M168" t="s">
        <v>744</v>
      </c>
    </row>
    <row r="169" spans="2:13" x14ac:dyDescent="0.25">
      <c r="B169">
        <v>-2025</v>
      </c>
      <c r="D169">
        <v>250</v>
      </c>
      <c r="E169" t="str">
        <f t="shared" si="8"/>
        <v>250</v>
      </c>
      <c r="F169" t="str">
        <f t="shared" si="9"/>
        <v>250-2025</v>
      </c>
      <c r="G169" t="s">
        <v>968</v>
      </c>
      <c r="H169" t="s">
        <v>968</v>
      </c>
      <c r="I169">
        <v>98390119</v>
      </c>
      <c r="J169" t="s">
        <v>14</v>
      </c>
      <c r="K169" t="s">
        <v>63</v>
      </c>
      <c r="L169" t="s">
        <v>976</v>
      </c>
      <c r="M169" t="s">
        <v>744</v>
      </c>
    </row>
    <row r="170" spans="2:13" x14ac:dyDescent="0.25">
      <c r="B170">
        <v>-2025</v>
      </c>
      <c r="D170">
        <v>251</v>
      </c>
      <c r="E170" t="str">
        <f t="shared" si="8"/>
        <v>251</v>
      </c>
      <c r="F170" t="str">
        <f t="shared" si="9"/>
        <v>251-2025</v>
      </c>
      <c r="G170" t="s">
        <v>968</v>
      </c>
      <c r="H170" t="s">
        <v>968</v>
      </c>
      <c r="I170">
        <v>98390119</v>
      </c>
      <c r="J170" t="s">
        <v>14</v>
      </c>
      <c r="K170" t="s">
        <v>63</v>
      </c>
      <c r="L170" t="s">
        <v>976</v>
      </c>
      <c r="M170" t="s">
        <v>744</v>
      </c>
    </row>
    <row r="171" spans="2:13" x14ac:dyDescent="0.25">
      <c r="B171">
        <v>-2025</v>
      </c>
      <c r="D171">
        <v>252</v>
      </c>
      <c r="E171" t="str">
        <f t="shared" si="8"/>
        <v>252</v>
      </c>
      <c r="F171" t="str">
        <f t="shared" si="9"/>
        <v>252-2025</v>
      </c>
      <c r="G171" t="s">
        <v>966</v>
      </c>
      <c r="H171" t="s">
        <v>966</v>
      </c>
      <c r="I171">
        <v>43624414</v>
      </c>
      <c r="J171" t="s">
        <v>14</v>
      </c>
      <c r="K171" t="s">
        <v>18</v>
      </c>
      <c r="L171" t="s">
        <v>976</v>
      </c>
      <c r="M171" t="s">
        <v>744</v>
      </c>
    </row>
    <row r="172" spans="2:13" x14ac:dyDescent="0.25">
      <c r="B172">
        <v>-2025</v>
      </c>
      <c r="D172">
        <v>253</v>
      </c>
      <c r="E172" t="str">
        <f t="shared" si="8"/>
        <v>253</v>
      </c>
      <c r="F172" t="str">
        <f t="shared" si="9"/>
        <v>253-2025</v>
      </c>
      <c r="G172" t="s">
        <v>968</v>
      </c>
      <c r="H172" t="s">
        <v>968</v>
      </c>
      <c r="I172">
        <v>98390119</v>
      </c>
      <c r="J172" t="s">
        <v>14</v>
      </c>
      <c r="K172" t="s">
        <v>63</v>
      </c>
      <c r="L172" t="s">
        <v>973</v>
      </c>
      <c r="M172" t="s">
        <v>775</v>
      </c>
    </row>
    <row r="173" spans="2:13" x14ac:dyDescent="0.25">
      <c r="B173">
        <v>-2025</v>
      </c>
      <c r="D173">
        <v>254</v>
      </c>
      <c r="E173" t="str">
        <f t="shared" si="8"/>
        <v>254</v>
      </c>
      <c r="F173" t="str">
        <f t="shared" si="9"/>
        <v>254-2025</v>
      </c>
      <c r="G173" t="s">
        <v>968</v>
      </c>
      <c r="H173" t="s">
        <v>968</v>
      </c>
      <c r="I173">
        <v>98390119</v>
      </c>
      <c r="J173" t="s">
        <v>14</v>
      </c>
      <c r="K173" t="s">
        <v>63</v>
      </c>
      <c r="L173" t="s">
        <v>973</v>
      </c>
      <c r="M173" t="s">
        <v>775</v>
      </c>
    </row>
    <row r="174" spans="2:13" x14ac:dyDescent="0.25">
      <c r="B174">
        <v>-2025</v>
      </c>
      <c r="D174">
        <v>255</v>
      </c>
      <c r="E174" t="str">
        <f t="shared" si="8"/>
        <v>255</v>
      </c>
      <c r="F174" t="str">
        <f t="shared" si="9"/>
        <v>255-2025</v>
      </c>
      <c r="G174" t="s">
        <v>968</v>
      </c>
      <c r="H174" t="s">
        <v>968</v>
      </c>
      <c r="I174">
        <v>98390119</v>
      </c>
      <c r="J174" t="s">
        <v>14</v>
      </c>
      <c r="K174" t="s">
        <v>63</v>
      </c>
      <c r="L174" t="s">
        <v>973</v>
      </c>
      <c r="M174" t="s">
        <v>775</v>
      </c>
    </row>
    <row r="175" spans="2:13" x14ac:dyDescent="0.25">
      <c r="B175">
        <v>-2025</v>
      </c>
      <c r="D175">
        <v>256</v>
      </c>
      <c r="E175" t="str">
        <f t="shared" si="8"/>
        <v>256</v>
      </c>
      <c r="F175" t="str">
        <f t="shared" si="9"/>
        <v>256-2025</v>
      </c>
      <c r="G175" t="s">
        <v>966</v>
      </c>
      <c r="H175" t="s">
        <v>966</v>
      </c>
      <c r="I175">
        <v>43624414</v>
      </c>
      <c r="J175" t="s">
        <v>14</v>
      </c>
      <c r="K175" t="s">
        <v>18</v>
      </c>
      <c r="L175" t="s">
        <v>973</v>
      </c>
      <c r="M175" t="s">
        <v>775</v>
      </c>
    </row>
    <row r="176" spans="2:13" x14ac:dyDescent="0.25">
      <c r="B176">
        <v>-2025</v>
      </c>
      <c r="D176">
        <v>257</v>
      </c>
      <c r="E176" t="str">
        <f t="shared" si="8"/>
        <v>257</v>
      </c>
      <c r="F176" t="str">
        <f t="shared" si="9"/>
        <v>257-2025</v>
      </c>
      <c r="G176" t="s">
        <v>968</v>
      </c>
      <c r="H176" t="s">
        <v>968</v>
      </c>
      <c r="I176">
        <v>98390119</v>
      </c>
      <c r="J176" t="s">
        <v>14</v>
      </c>
      <c r="K176" t="s">
        <v>63</v>
      </c>
      <c r="L176" t="s">
        <v>973</v>
      </c>
      <c r="M176" t="s">
        <v>775</v>
      </c>
    </row>
    <row r="177" spans="2:13" x14ac:dyDescent="0.25">
      <c r="B177">
        <v>-2025</v>
      </c>
      <c r="D177">
        <v>258</v>
      </c>
      <c r="E177" t="str">
        <f t="shared" si="8"/>
        <v>258</v>
      </c>
      <c r="F177" t="str">
        <f t="shared" si="9"/>
        <v>258-2025</v>
      </c>
      <c r="G177" t="s">
        <v>967</v>
      </c>
      <c r="H177" t="s">
        <v>967</v>
      </c>
      <c r="I177">
        <v>98333941</v>
      </c>
      <c r="J177" t="s">
        <v>14</v>
      </c>
      <c r="K177" t="s">
        <v>15</v>
      </c>
      <c r="L177" t="s">
        <v>974</v>
      </c>
      <c r="M177" t="s">
        <v>775</v>
      </c>
    </row>
    <row r="178" spans="2:13" x14ac:dyDescent="0.25">
      <c r="B178">
        <v>-2025</v>
      </c>
      <c r="D178">
        <v>259</v>
      </c>
      <c r="E178" t="str">
        <f t="shared" si="8"/>
        <v>259</v>
      </c>
      <c r="F178" t="str">
        <f t="shared" si="9"/>
        <v>259-2025</v>
      </c>
      <c r="G178" t="s">
        <v>967</v>
      </c>
      <c r="H178" t="s">
        <v>967</v>
      </c>
      <c r="I178">
        <v>98333941</v>
      </c>
      <c r="J178" t="s">
        <v>14</v>
      </c>
      <c r="K178" t="s">
        <v>15</v>
      </c>
      <c r="L178" t="s">
        <v>973</v>
      </c>
      <c r="M178" t="s">
        <v>775</v>
      </c>
    </row>
    <row r="179" spans="2:13" x14ac:dyDescent="0.25">
      <c r="B179">
        <v>-2025</v>
      </c>
      <c r="D179">
        <v>260</v>
      </c>
      <c r="E179" t="str">
        <f t="shared" si="8"/>
        <v>260</v>
      </c>
      <c r="F179" t="str">
        <f t="shared" si="9"/>
        <v>260-2025</v>
      </c>
      <c r="G179" t="s">
        <v>968</v>
      </c>
      <c r="H179" t="s">
        <v>968</v>
      </c>
      <c r="I179">
        <v>98390119</v>
      </c>
      <c r="J179" t="s">
        <v>14</v>
      </c>
      <c r="K179" t="s">
        <v>63</v>
      </c>
      <c r="L179" t="s">
        <v>974</v>
      </c>
      <c r="M179" t="s">
        <v>775</v>
      </c>
    </row>
    <row r="180" spans="2:13" x14ac:dyDescent="0.25">
      <c r="B180">
        <v>-2025</v>
      </c>
      <c r="D180">
        <v>261</v>
      </c>
      <c r="E180" t="str">
        <f t="shared" si="8"/>
        <v>261</v>
      </c>
      <c r="F180" t="str">
        <f t="shared" si="9"/>
        <v>261-2025</v>
      </c>
      <c r="G180" t="s">
        <v>968</v>
      </c>
      <c r="H180" t="s">
        <v>968</v>
      </c>
      <c r="I180">
        <v>98390119</v>
      </c>
      <c r="J180" t="s">
        <v>14</v>
      </c>
      <c r="K180" t="s">
        <v>63</v>
      </c>
      <c r="L180" t="s">
        <v>974</v>
      </c>
      <c r="M180" t="s">
        <v>775</v>
      </c>
    </row>
    <row r="181" spans="2:13" x14ac:dyDescent="0.25">
      <c r="B181">
        <v>-2025</v>
      </c>
      <c r="D181">
        <v>262</v>
      </c>
      <c r="E181" t="str">
        <f t="shared" si="8"/>
        <v>262</v>
      </c>
      <c r="F181" t="str">
        <f t="shared" si="9"/>
        <v>262-2025</v>
      </c>
      <c r="G181" t="s">
        <v>967</v>
      </c>
      <c r="H181" t="s">
        <v>967</v>
      </c>
      <c r="I181">
        <v>98333941</v>
      </c>
      <c r="J181" t="s">
        <v>14</v>
      </c>
      <c r="K181" t="s">
        <v>15</v>
      </c>
      <c r="L181" t="s">
        <v>973</v>
      </c>
      <c r="M181" t="s">
        <v>775</v>
      </c>
    </row>
    <row r="182" spans="2:13" x14ac:dyDescent="0.25">
      <c r="B182">
        <v>-2025</v>
      </c>
      <c r="D182">
        <v>263</v>
      </c>
      <c r="E182" t="str">
        <f t="shared" si="8"/>
        <v>263</v>
      </c>
      <c r="F182" t="str">
        <f t="shared" si="9"/>
        <v>263-2025</v>
      </c>
      <c r="G182" t="s">
        <v>967</v>
      </c>
      <c r="H182" t="s">
        <v>967</v>
      </c>
      <c r="I182">
        <v>98333941</v>
      </c>
      <c r="J182" t="s">
        <v>14</v>
      </c>
      <c r="K182" t="s">
        <v>15</v>
      </c>
      <c r="L182" t="s">
        <v>973</v>
      </c>
      <c r="M182" t="s">
        <v>775</v>
      </c>
    </row>
    <row r="183" spans="2:13" x14ac:dyDescent="0.25">
      <c r="B183">
        <v>-2025</v>
      </c>
      <c r="D183">
        <v>264</v>
      </c>
      <c r="E183" t="str">
        <f t="shared" si="8"/>
        <v>264</v>
      </c>
      <c r="F183" t="str">
        <f t="shared" si="9"/>
        <v>264-2025</v>
      </c>
      <c r="G183" t="s">
        <v>968</v>
      </c>
      <c r="H183" t="s">
        <v>968</v>
      </c>
      <c r="I183">
        <v>98390119</v>
      </c>
      <c r="J183" t="s">
        <v>14</v>
      </c>
      <c r="K183" t="s">
        <v>63</v>
      </c>
      <c r="L183" t="s">
        <v>974</v>
      </c>
      <c r="M183" t="s">
        <v>775</v>
      </c>
    </row>
    <row r="184" spans="2:13" x14ac:dyDescent="0.25">
      <c r="B184">
        <v>-2025</v>
      </c>
      <c r="D184">
        <v>265</v>
      </c>
      <c r="E184" t="str">
        <f t="shared" si="8"/>
        <v>265</v>
      </c>
      <c r="F184" t="str">
        <f t="shared" si="9"/>
        <v>265-2025</v>
      </c>
      <c r="G184" t="s">
        <v>968</v>
      </c>
      <c r="H184" t="s">
        <v>968</v>
      </c>
      <c r="I184">
        <v>98390119</v>
      </c>
      <c r="J184" t="s">
        <v>14</v>
      </c>
      <c r="K184" t="s">
        <v>63</v>
      </c>
      <c r="L184" t="s">
        <v>975</v>
      </c>
      <c r="M184" t="s">
        <v>744</v>
      </c>
    </row>
    <row r="185" spans="2:13" x14ac:dyDescent="0.25">
      <c r="B185">
        <v>-2025</v>
      </c>
      <c r="D185">
        <v>266</v>
      </c>
      <c r="E185" t="str">
        <f t="shared" si="8"/>
        <v>266</v>
      </c>
      <c r="F185" t="str">
        <f t="shared" si="9"/>
        <v>266-2025</v>
      </c>
      <c r="G185" t="s">
        <v>968</v>
      </c>
      <c r="H185" t="s">
        <v>968</v>
      </c>
      <c r="I185">
        <v>98390119</v>
      </c>
      <c r="J185" t="s">
        <v>14</v>
      </c>
      <c r="K185" t="s">
        <v>63</v>
      </c>
      <c r="L185" t="s">
        <v>975</v>
      </c>
      <c r="M185" t="s">
        <v>744</v>
      </c>
    </row>
    <row r="186" spans="2:13" x14ac:dyDescent="0.25">
      <c r="B186">
        <v>-2025</v>
      </c>
      <c r="D186">
        <v>267</v>
      </c>
      <c r="E186" t="str">
        <f t="shared" si="8"/>
        <v>267</v>
      </c>
      <c r="F186" t="str">
        <f t="shared" si="9"/>
        <v>267-2025</v>
      </c>
      <c r="G186" t="s">
        <v>966</v>
      </c>
      <c r="H186" t="s">
        <v>966</v>
      </c>
      <c r="I186">
        <v>43624414</v>
      </c>
      <c r="J186" t="s">
        <v>14</v>
      </c>
      <c r="K186" t="s">
        <v>18</v>
      </c>
      <c r="L186" t="s">
        <v>976</v>
      </c>
      <c r="M186" t="s">
        <v>744</v>
      </c>
    </row>
    <row r="187" spans="2:13" x14ac:dyDescent="0.25">
      <c r="B187">
        <v>-2025</v>
      </c>
      <c r="D187">
        <v>268</v>
      </c>
      <c r="E187" t="str">
        <f t="shared" si="8"/>
        <v>268</v>
      </c>
      <c r="F187" t="str">
        <f t="shared" si="9"/>
        <v>268-2025</v>
      </c>
      <c r="G187" t="s">
        <v>966</v>
      </c>
      <c r="H187" t="s">
        <v>966</v>
      </c>
      <c r="I187">
        <v>43624414</v>
      </c>
      <c r="J187" t="s">
        <v>14</v>
      </c>
      <c r="K187" t="s">
        <v>18</v>
      </c>
      <c r="L187" t="s">
        <v>974</v>
      </c>
      <c r="M187" t="s">
        <v>775</v>
      </c>
    </row>
    <row r="188" spans="2:13" x14ac:dyDescent="0.25">
      <c r="B188">
        <v>-2025</v>
      </c>
      <c r="D188">
        <v>269</v>
      </c>
      <c r="E188" t="str">
        <f t="shared" si="8"/>
        <v>269</v>
      </c>
      <c r="F188" t="str">
        <f t="shared" si="9"/>
        <v>269-2025</v>
      </c>
      <c r="G188" t="s">
        <v>968</v>
      </c>
      <c r="H188" t="s">
        <v>968</v>
      </c>
      <c r="I188">
        <v>98390119</v>
      </c>
      <c r="J188" t="s">
        <v>14</v>
      </c>
      <c r="K188" t="s">
        <v>63</v>
      </c>
      <c r="L188" t="s">
        <v>974</v>
      </c>
      <c r="M188" t="s">
        <v>775</v>
      </c>
    </row>
    <row r="189" spans="2:13" x14ac:dyDescent="0.25">
      <c r="B189">
        <v>-2025</v>
      </c>
      <c r="D189">
        <v>270</v>
      </c>
      <c r="E189" t="str">
        <f t="shared" si="8"/>
        <v>270</v>
      </c>
      <c r="F189" t="str">
        <f t="shared" si="9"/>
        <v>270-2025</v>
      </c>
      <c r="G189" t="s">
        <v>968</v>
      </c>
      <c r="H189" t="s">
        <v>968</v>
      </c>
      <c r="I189">
        <v>98390119</v>
      </c>
      <c r="J189" t="s">
        <v>14</v>
      </c>
      <c r="K189" t="s">
        <v>63</v>
      </c>
      <c r="L189" t="s">
        <v>974</v>
      </c>
      <c r="M189" t="s">
        <v>775</v>
      </c>
    </row>
    <row r="190" spans="2:13" x14ac:dyDescent="0.25">
      <c r="B190">
        <v>-2025</v>
      </c>
      <c r="D190">
        <v>271</v>
      </c>
      <c r="E190" t="str">
        <f t="shared" si="8"/>
        <v>271</v>
      </c>
      <c r="F190" t="str">
        <f t="shared" si="9"/>
        <v>271-2025</v>
      </c>
      <c r="G190" t="s">
        <v>968</v>
      </c>
      <c r="H190" t="s">
        <v>968</v>
      </c>
      <c r="I190">
        <v>98390119</v>
      </c>
      <c r="J190" t="s">
        <v>14</v>
      </c>
      <c r="K190" t="s">
        <v>63</v>
      </c>
      <c r="L190" t="s">
        <v>974</v>
      </c>
      <c r="M190" t="s">
        <v>775</v>
      </c>
    </row>
    <row r="191" spans="2:13" x14ac:dyDescent="0.25">
      <c r="B191">
        <v>-2025</v>
      </c>
      <c r="D191">
        <v>273</v>
      </c>
      <c r="E191" t="str">
        <f t="shared" si="8"/>
        <v>273</v>
      </c>
      <c r="F191" t="str">
        <f t="shared" si="9"/>
        <v>273-2025</v>
      </c>
      <c r="G191" t="s">
        <v>968</v>
      </c>
      <c r="H191" t="s">
        <v>968</v>
      </c>
      <c r="I191">
        <v>98390119</v>
      </c>
      <c r="J191" t="s">
        <v>14</v>
      </c>
      <c r="K191" t="s">
        <v>63</v>
      </c>
      <c r="L191" t="s">
        <v>973</v>
      </c>
      <c r="M191" t="s">
        <v>775</v>
      </c>
    </row>
    <row r="192" spans="2:13" x14ac:dyDescent="0.25">
      <c r="B192">
        <v>-2025</v>
      </c>
      <c r="D192">
        <v>274</v>
      </c>
      <c r="E192" t="str">
        <f t="shared" si="8"/>
        <v>274</v>
      </c>
      <c r="F192" t="str">
        <f t="shared" si="9"/>
        <v>274-2025</v>
      </c>
      <c r="G192" t="s">
        <v>968</v>
      </c>
      <c r="H192" t="s">
        <v>968</v>
      </c>
      <c r="I192">
        <v>98390119</v>
      </c>
      <c r="J192" t="s">
        <v>14</v>
      </c>
      <c r="K192" t="s">
        <v>63</v>
      </c>
      <c r="L192" t="s">
        <v>973</v>
      </c>
      <c r="M192" t="s">
        <v>775</v>
      </c>
    </row>
    <row r="193" spans="2:13" x14ac:dyDescent="0.25">
      <c r="B193">
        <v>-2025</v>
      </c>
      <c r="D193">
        <v>275</v>
      </c>
      <c r="E193" t="str">
        <f t="shared" si="8"/>
        <v>275</v>
      </c>
      <c r="F193" t="str">
        <f t="shared" si="9"/>
        <v>275-2025</v>
      </c>
      <c r="G193" t="s">
        <v>968</v>
      </c>
      <c r="H193" t="s">
        <v>968</v>
      </c>
      <c r="I193">
        <v>98390119</v>
      </c>
      <c r="J193" t="s">
        <v>14</v>
      </c>
      <c r="K193" t="s">
        <v>63</v>
      </c>
      <c r="L193" t="s">
        <v>973</v>
      </c>
      <c r="M193" t="s">
        <v>775</v>
      </c>
    </row>
    <row r="194" spans="2:13" x14ac:dyDescent="0.25">
      <c r="B194">
        <v>-2025</v>
      </c>
      <c r="D194">
        <v>276</v>
      </c>
      <c r="E194" t="str">
        <f t="shared" si="8"/>
        <v>276</v>
      </c>
      <c r="F194" t="str">
        <f t="shared" si="9"/>
        <v>276-2025</v>
      </c>
      <c r="G194" t="s">
        <v>966</v>
      </c>
      <c r="H194" t="s">
        <v>966</v>
      </c>
      <c r="I194">
        <v>43624414</v>
      </c>
      <c r="J194" t="s">
        <v>14</v>
      </c>
      <c r="K194" t="s">
        <v>18</v>
      </c>
      <c r="L194" t="s">
        <v>973</v>
      </c>
      <c r="M194" t="s">
        <v>775</v>
      </c>
    </row>
    <row r="195" spans="2:13" x14ac:dyDescent="0.25">
      <c r="B195">
        <v>-2025</v>
      </c>
      <c r="D195">
        <v>277</v>
      </c>
      <c r="E195" t="str">
        <f t="shared" ref="E195:E258" si="10">_xlfn.CONCAT(C195,D195)</f>
        <v>277</v>
      </c>
      <c r="F195" t="str">
        <f t="shared" ref="F195:F258" si="11">_xlfn.CONCAT(E195,B195)</f>
        <v>277-2025</v>
      </c>
      <c r="G195" t="s">
        <v>967</v>
      </c>
      <c r="H195" t="s">
        <v>967</v>
      </c>
      <c r="I195">
        <v>98333941</v>
      </c>
      <c r="J195" t="s">
        <v>14</v>
      </c>
      <c r="K195" t="s">
        <v>15</v>
      </c>
      <c r="L195" t="s">
        <v>973</v>
      </c>
      <c r="M195" t="s">
        <v>775</v>
      </c>
    </row>
    <row r="196" spans="2:13" x14ac:dyDescent="0.25">
      <c r="B196">
        <v>-2025</v>
      </c>
      <c r="D196">
        <v>278</v>
      </c>
      <c r="E196" t="str">
        <f t="shared" si="10"/>
        <v>278</v>
      </c>
      <c r="F196" t="str">
        <f t="shared" si="11"/>
        <v>278-2025</v>
      </c>
      <c r="G196" t="s">
        <v>966</v>
      </c>
      <c r="H196" t="s">
        <v>966</v>
      </c>
      <c r="I196">
        <v>43624414</v>
      </c>
      <c r="J196" t="s">
        <v>14</v>
      </c>
      <c r="K196" t="s">
        <v>18</v>
      </c>
      <c r="L196" t="s">
        <v>973</v>
      </c>
      <c r="M196" t="s">
        <v>775</v>
      </c>
    </row>
    <row r="197" spans="2:13" x14ac:dyDescent="0.25">
      <c r="B197">
        <v>-2025</v>
      </c>
      <c r="D197">
        <v>279</v>
      </c>
      <c r="E197" t="str">
        <f t="shared" si="10"/>
        <v>279</v>
      </c>
      <c r="F197" t="str">
        <f t="shared" si="11"/>
        <v>279-2025</v>
      </c>
      <c r="G197" t="s">
        <v>967</v>
      </c>
      <c r="H197" t="s">
        <v>967</v>
      </c>
      <c r="I197">
        <v>98333941</v>
      </c>
      <c r="J197" t="s">
        <v>14</v>
      </c>
      <c r="K197" t="s">
        <v>15</v>
      </c>
      <c r="L197" t="s">
        <v>973</v>
      </c>
      <c r="M197" t="s">
        <v>775</v>
      </c>
    </row>
    <row r="198" spans="2:13" x14ac:dyDescent="0.25">
      <c r="B198">
        <v>-2025</v>
      </c>
      <c r="D198">
        <v>280</v>
      </c>
      <c r="E198" t="str">
        <f t="shared" si="10"/>
        <v>280</v>
      </c>
      <c r="F198" t="str">
        <f t="shared" si="11"/>
        <v>280-2025</v>
      </c>
      <c r="G198" t="s">
        <v>968</v>
      </c>
      <c r="H198" t="s">
        <v>968</v>
      </c>
      <c r="I198">
        <v>98390119</v>
      </c>
      <c r="J198" t="s">
        <v>14</v>
      </c>
      <c r="K198" t="s">
        <v>63</v>
      </c>
      <c r="L198" t="s">
        <v>973</v>
      </c>
      <c r="M198" t="s">
        <v>775</v>
      </c>
    </row>
    <row r="199" spans="2:13" x14ac:dyDescent="0.25">
      <c r="B199">
        <v>-2025</v>
      </c>
      <c r="D199">
        <v>281</v>
      </c>
      <c r="E199" t="str">
        <f t="shared" si="10"/>
        <v>281</v>
      </c>
      <c r="F199" t="str">
        <f t="shared" si="11"/>
        <v>281-2025</v>
      </c>
      <c r="G199" t="s">
        <v>966</v>
      </c>
      <c r="H199" t="s">
        <v>966</v>
      </c>
      <c r="I199">
        <v>43624414</v>
      </c>
      <c r="J199" t="s">
        <v>14</v>
      </c>
      <c r="K199" t="s">
        <v>18</v>
      </c>
      <c r="L199" t="s">
        <v>973</v>
      </c>
      <c r="M199" t="s">
        <v>775</v>
      </c>
    </row>
    <row r="200" spans="2:13" x14ac:dyDescent="0.25">
      <c r="B200">
        <v>-2025</v>
      </c>
      <c r="D200">
        <v>282</v>
      </c>
      <c r="E200" t="str">
        <f t="shared" si="10"/>
        <v>282</v>
      </c>
      <c r="F200" t="str">
        <f t="shared" si="11"/>
        <v>282-2025</v>
      </c>
      <c r="G200" t="s">
        <v>968</v>
      </c>
      <c r="H200" t="s">
        <v>968</v>
      </c>
      <c r="I200">
        <v>98390119</v>
      </c>
      <c r="J200" t="s">
        <v>14</v>
      </c>
      <c r="K200" t="s">
        <v>63</v>
      </c>
      <c r="L200" t="s">
        <v>975</v>
      </c>
      <c r="M200" t="s">
        <v>744</v>
      </c>
    </row>
    <row r="201" spans="2:13" x14ac:dyDescent="0.25">
      <c r="B201">
        <v>-2025</v>
      </c>
      <c r="D201">
        <v>283</v>
      </c>
      <c r="E201" t="str">
        <f t="shared" si="10"/>
        <v>283</v>
      </c>
      <c r="F201" t="str">
        <f t="shared" si="11"/>
        <v>283-2025</v>
      </c>
      <c r="G201" t="s">
        <v>967</v>
      </c>
      <c r="H201" t="s">
        <v>967</v>
      </c>
      <c r="I201">
        <v>98333941</v>
      </c>
      <c r="J201" t="s">
        <v>14</v>
      </c>
      <c r="K201" t="s">
        <v>15</v>
      </c>
      <c r="L201" t="s">
        <v>974</v>
      </c>
      <c r="M201" t="s">
        <v>775</v>
      </c>
    </row>
    <row r="202" spans="2:13" x14ac:dyDescent="0.25">
      <c r="B202">
        <v>-2025</v>
      </c>
      <c r="D202">
        <v>284</v>
      </c>
      <c r="E202" t="str">
        <f t="shared" si="10"/>
        <v>284</v>
      </c>
      <c r="F202" t="str">
        <f t="shared" si="11"/>
        <v>284-2025</v>
      </c>
      <c r="G202" t="s">
        <v>967</v>
      </c>
      <c r="H202" t="s">
        <v>967</v>
      </c>
      <c r="I202">
        <v>98333941</v>
      </c>
      <c r="J202" t="s">
        <v>14</v>
      </c>
      <c r="K202" t="s">
        <v>15</v>
      </c>
      <c r="L202" t="s">
        <v>973</v>
      </c>
      <c r="M202" t="s">
        <v>775</v>
      </c>
    </row>
    <row r="203" spans="2:13" x14ac:dyDescent="0.25">
      <c r="B203">
        <v>-2025</v>
      </c>
      <c r="D203">
        <v>285</v>
      </c>
      <c r="E203" t="str">
        <f t="shared" si="10"/>
        <v>285</v>
      </c>
      <c r="F203" t="str">
        <f t="shared" si="11"/>
        <v>285-2025</v>
      </c>
      <c r="G203" t="s">
        <v>967</v>
      </c>
      <c r="H203" t="s">
        <v>967</v>
      </c>
      <c r="I203">
        <v>98333941</v>
      </c>
      <c r="J203" t="s">
        <v>14</v>
      </c>
      <c r="K203" t="s">
        <v>15</v>
      </c>
      <c r="L203" t="s">
        <v>973</v>
      </c>
      <c r="M203" t="s">
        <v>775</v>
      </c>
    </row>
    <row r="204" spans="2:13" x14ac:dyDescent="0.25">
      <c r="B204">
        <v>-2025</v>
      </c>
      <c r="D204">
        <v>286</v>
      </c>
      <c r="E204" t="str">
        <f t="shared" si="10"/>
        <v>286</v>
      </c>
      <c r="F204" t="str">
        <f t="shared" si="11"/>
        <v>286-2025</v>
      </c>
      <c r="G204" t="s">
        <v>967</v>
      </c>
      <c r="H204" t="s">
        <v>967</v>
      </c>
      <c r="I204">
        <v>98333941</v>
      </c>
      <c r="J204" t="s">
        <v>14</v>
      </c>
      <c r="K204" t="s">
        <v>15</v>
      </c>
      <c r="L204" t="s">
        <v>973</v>
      </c>
      <c r="M204" t="s">
        <v>775</v>
      </c>
    </row>
    <row r="205" spans="2:13" x14ac:dyDescent="0.25">
      <c r="B205">
        <v>-2025</v>
      </c>
      <c r="D205">
        <v>287</v>
      </c>
      <c r="E205" t="str">
        <f t="shared" si="10"/>
        <v>287</v>
      </c>
      <c r="F205" t="str">
        <f t="shared" si="11"/>
        <v>287-2025</v>
      </c>
      <c r="G205" t="s">
        <v>967</v>
      </c>
      <c r="H205" t="s">
        <v>967</v>
      </c>
      <c r="I205">
        <v>98333941</v>
      </c>
      <c r="J205" t="s">
        <v>14</v>
      </c>
      <c r="K205" t="s">
        <v>15</v>
      </c>
      <c r="L205" t="s">
        <v>975</v>
      </c>
      <c r="M205" t="s">
        <v>744</v>
      </c>
    </row>
    <row r="206" spans="2:13" x14ac:dyDescent="0.25">
      <c r="B206">
        <v>-2025</v>
      </c>
      <c r="D206">
        <v>288</v>
      </c>
      <c r="E206" t="str">
        <f t="shared" si="10"/>
        <v>288</v>
      </c>
      <c r="F206" t="str">
        <f t="shared" si="11"/>
        <v>288-2025</v>
      </c>
      <c r="G206" t="s">
        <v>966</v>
      </c>
      <c r="H206" t="s">
        <v>966</v>
      </c>
      <c r="I206">
        <v>43624414</v>
      </c>
      <c r="J206" t="s">
        <v>14</v>
      </c>
      <c r="K206" t="s">
        <v>18</v>
      </c>
      <c r="L206" t="s">
        <v>975</v>
      </c>
      <c r="M206" t="s">
        <v>744</v>
      </c>
    </row>
    <row r="207" spans="2:13" x14ac:dyDescent="0.25">
      <c r="B207">
        <v>-2025</v>
      </c>
      <c r="D207">
        <v>289</v>
      </c>
      <c r="E207" t="str">
        <f t="shared" si="10"/>
        <v>289</v>
      </c>
      <c r="F207" t="str">
        <f t="shared" si="11"/>
        <v>289-2025</v>
      </c>
      <c r="G207" t="s">
        <v>965</v>
      </c>
      <c r="H207" t="s">
        <v>965</v>
      </c>
      <c r="I207">
        <v>59836926</v>
      </c>
      <c r="J207" t="s">
        <v>14</v>
      </c>
      <c r="K207" t="s">
        <v>17</v>
      </c>
      <c r="L207" t="s">
        <v>975</v>
      </c>
      <c r="M207" t="s">
        <v>744</v>
      </c>
    </row>
    <row r="208" spans="2:13" x14ac:dyDescent="0.25">
      <c r="B208">
        <v>-2025</v>
      </c>
      <c r="D208">
        <v>290</v>
      </c>
      <c r="E208" t="str">
        <f t="shared" si="10"/>
        <v>290</v>
      </c>
      <c r="F208" t="str">
        <f t="shared" si="11"/>
        <v>290-2025</v>
      </c>
      <c r="G208" t="s">
        <v>965</v>
      </c>
      <c r="H208" t="s">
        <v>965</v>
      </c>
      <c r="I208">
        <v>59836926</v>
      </c>
      <c r="J208" t="s">
        <v>14</v>
      </c>
      <c r="K208" t="s">
        <v>17</v>
      </c>
      <c r="L208" t="s">
        <v>974</v>
      </c>
      <c r="M208" t="s">
        <v>775</v>
      </c>
    </row>
    <row r="209" spans="2:13" x14ac:dyDescent="0.25">
      <c r="B209">
        <v>-2025</v>
      </c>
      <c r="D209">
        <v>291</v>
      </c>
      <c r="E209" t="str">
        <f t="shared" si="10"/>
        <v>291</v>
      </c>
      <c r="F209" t="str">
        <f t="shared" si="11"/>
        <v>291-2025</v>
      </c>
      <c r="G209" t="s">
        <v>965</v>
      </c>
      <c r="H209" t="s">
        <v>965</v>
      </c>
      <c r="I209">
        <v>59836926</v>
      </c>
      <c r="J209" t="s">
        <v>14</v>
      </c>
      <c r="K209" t="s">
        <v>17</v>
      </c>
      <c r="L209" t="s">
        <v>975</v>
      </c>
      <c r="M209" t="s">
        <v>744</v>
      </c>
    </row>
    <row r="210" spans="2:13" x14ac:dyDescent="0.25">
      <c r="B210">
        <v>-2025</v>
      </c>
      <c r="D210">
        <v>292</v>
      </c>
      <c r="E210" t="str">
        <f t="shared" si="10"/>
        <v>292</v>
      </c>
      <c r="F210" t="str">
        <f t="shared" si="11"/>
        <v>292-2025</v>
      </c>
      <c r="G210" t="s">
        <v>966</v>
      </c>
      <c r="H210" t="s">
        <v>966</v>
      </c>
      <c r="I210">
        <v>43624414</v>
      </c>
      <c r="J210" t="s">
        <v>14</v>
      </c>
      <c r="K210" t="s">
        <v>18</v>
      </c>
      <c r="L210" t="s">
        <v>975</v>
      </c>
      <c r="M210" t="s">
        <v>744</v>
      </c>
    </row>
    <row r="211" spans="2:13" x14ac:dyDescent="0.25">
      <c r="B211">
        <v>-2025</v>
      </c>
      <c r="D211">
        <v>293</v>
      </c>
      <c r="E211" t="str">
        <f t="shared" si="10"/>
        <v>293</v>
      </c>
      <c r="F211" t="str">
        <f t="shared" si="11"/>
        <v>293-2025</v>
      </c>
      <c r="G211" t="s">
        <v>966</v>
      </c>
      <c r="H211" t="s">
        <v>966</v>
      </c>
      <c r="I211">
        <v>43624414</v>
      </c>
      <c r="J211" t="s">
        <v>14</v>
      </c>
      <c r="K211" t="s">
        <v>18</v>
      </c>
      <c r="L211" t="s">
        <v>975</v>
      </c>
      <c r="M211" t="s">
        <v>744</v>
      </c>
    </row>
    <row r="212" spans="2:13" x14ac:dyDescent="0.25">
      <c r="B212">
        <v>-2025</v>
      </c>
      <c r="D212">
        <v>294</v>
      </c>
      <c r="E212" t="str">
        <f t="shared" si="10"/>
        <v>294</v>
      </c>
      <c r="F212" t="str">
        <f t="shared" si="11"/>
        <v>294-2025</v>
      </c>
      <c r="G212" t="s">
        <v>968</v>
      </c>
      <c r="H212" t="s">
        <v>968</v>
      </c>
      <c r="I212">
        <v>98390119</v>
      </c>
      <c r="J212" t="s">
        <v>14</v>
      </c>
      <c r="K212" t="s">
        <v>63</v>
      </c>
      <c r="L212" t="s">
        <v>977</v>
      </c>
      <c r="M212" t="s">
        <v>793</v>
      </c>
    </row>
    <row r="213" spans="2:13" x14ac:dyDescent="0.25">
      <c r="B213">
        <v>-2025</v>
      </c>
      <c r="D213">
        <v>295</v>
      </c>
      <c r="E213" t="str">
        <f t="shared" si="10"/>
        <v>295</v>
      </c>
      <c r="F213" t="str">
        <f t="shared" si="11"/>
        <v>295-2025</v>
      </c>
      <c r="G213" t="s">
        <v>968</v>
      </c>
      <c r="H213" t="s">
        <v>968</v>
      </c>
      <c r="I213">
        <v>98390119</v>
      </c>
      <c r="J213" t="s">
        <v>14</v>
      </c>
      <c r="K213" t="s">
        <v>63</v>
      </c>
      <c r="L213" t="s">
        <v>973</v>
      </c>
      <c r="M213" t="s">
        <v>775</v>
      </c>
    </row>
    <row r="214" spans="2:13" x14ac:dyDescent="0.25">
      <c r="B214">
        <v>-2025</v>
      </c>
      <c r="D214">
        <v>296</v>
      </c>
      <c r="E214" t="str">
        <f t="shared" si="10"/>
        <v>296</v>
      </c>
      <c r="F214" t="str">
        <f t="shared" si="11"/>
        <v>296-2025</v>
      </c>
      <c r="G214" t="s">
        <v>966</v>
      </c>
      <c r="H214" t="s">
        <v>966</v>
      </c>
      <c r="I214">
        <v>43624414</v>
      </c>
      <c r="J214" t="s">
        <v>14</v>
      </c>
      <c r="K214" t="s">
        <v>18</v>
      </c>
      <c r="L214" t="s">
        <v>973</v>
      </c>
      <c r="M214" t="s">
        <v>775</v>
      </c>
    </row>
    <row r="215" spans="2:13" x14ac:dyDescent="0.25">
      <c r="B215">
        <v>-2025</v>
      </c>
      <c r="D215">
        <v>297</v>
      </c>
      <c r="E215" t="str">
        <f t="shared" si="10"/>
        <v>297</v>
      </c>
      <c r="F215" t="str">
        <f t="shared" si="11"/>
        <v>297-2025</v>
      </c>
      <c r="G215" t="s">
        <v>966</v>
      </c>
      <c r="H215" t="s">
        <v>966</v>
      </c>
      <c r="I215">
        <v>43624414</v>
      </c>
      <c r="J215" t="s">
        <v>14</v>
      </c>
      <c r="K215" t="s">
        <v>18</v>
      </c>
      <c r="L215" t="s">
        <v>973</v>
      </c>
      <c r="M215" t="s">
        <v>775</v>
      </c>
    </row>
    <row r="216" spans="2:13" x14ac:dyDescent="0.25">
      <c r="B216">
        <v>-2025</v>
      </c>
      <c r="D216">
        <v>298</v>
      </c>
      <c r="E216" t="str">
        <f t="shared" si="10"/>
        <v>298</v>
      </c>
      <c r="F216" t="str">
        <f t="shared" si="11"/>
        <v>298-2025</v>
      </c>
      <c r="G216" t="s">
        <v>966</v>
      </c>
      <c r="H216" t="s">
        <v>966</v>
      </c>
      <c r="I216">
        <v>43624414</v>
      </c>
      <c r="J216" t="s">
        <v>14</v>
      </c>
      <c r="K216" t="s">
        <v>18</v>
      </c>
      <c r="L216" t="s">
        <v>973</v>
      </c>
      <c r="M216" t="s">
        <v>775</v>
      </c>
    </row>
    <row r="217" spans="2:13" x14ac:dyDescent="0.25">
      <c r="B217">
        <v>-2025</v>
      </c>
      <c r="D217">
        <v>299</v>
      </c>
      <c r="E217" t="str">
        <f t="shared" si="10"/>
        <v>299</v>
      </c>
      <c r="F217" t="str">
        <f t="shared" si="11"/>
        <v>299-2025</v>
      </c>
      <c r="G217" t="s">
        <v>966</v>
      </c>
      <c r="H217" t="s">
        <v>966</v>
      </c>
      <c r="I217">
        <v>43624414</v>
      </c>
      <c r="J217" t="s">
        <v>14</v>
      </c>
      <c r="K217" t="s">
        <v>18</v>
      </c>
      <c r="L217" t="s">
        <v>975</v>
      </c>
      <c r="M217" t="s">
        <v>744</v>
      </c>
    </row>
    <row r="218" spans="2:13" x14ac:dyDescent="0.25">
      <c r="B218">
        <v>-2025</v>
      </c>
      <c r="D218">
        <v>300</v>
      </c>
      <c r="E218" t="str">
        <f t="shared" si="10"/>
        <v>300</v>
      </c>
      <c r="F218" t="str">
        <f t="shared" si="11"/>
        <v>300-2025</v>
      </c>
      <c r="G218" t="s">
        <v>966</v>
      </c>
      <c r="H218" t="s">
        <v>966</v>
      </c>
      <c r="I218">
        <v>43624414</v>
      </c>
      <c r="J218" t="s">
        <v>14</v>
      </c>
      <c r="K218" t="s">
        <v>18</v>
      </c>
      <c r="L218" t="s">
        <v>978</v>
      </c>
      <c r="M218" t="s">
        <v>793</v>
      </c>
    </row>
    <row r="219" spans="2:13" x14ac:dyDescent="0.25">
      <c r="B219">
        <v>-2025</v>
      </c>
      <c r="D219">
        <v>301</v>
      </c>
      <c r="E219" t="str">
        <f t="shared" si="10"/>
        <v>301</v>
      </c>
      <c r="F219" t="str">
        <f t="shared" si="11"/>
        <v>301-2025</v>
      </c>
      <c r="G219" t="s">
        <v>968</v>
      </c>
      <c r="H219" t="s">
        <v>968</v>
      </c>
      <c r="I219">
        <v>98390119</v>
      </c>
      <c r="J219" t="s">
        <v>14</v>
      </c>
      <c r="K219" t="s">
        <v>63</v>
      </c>
      <c r="L219" t="s">
        <v>974</v>
      </c>
      <c r="M219" t="s">
        <v>775</v>
      </c>
    </row>
    <row r="220" spans="2:13" x14ac:dyDescent="0.25">
      <c r="B220">
        <v>-2025</v>
      </c>
      <c r="D220">
        <v>302</v>
      </c>
      <c r="E220" t="str">
        <f t="shared" si="10"/>
        <v>302</v>
      </c>
      <c r="F220" t="str">
        <f t="shared" si="11"/>
        <v>302-2025</v>
      </c>
      <c r="G220" t="s">
        <v>967</v>
      </c>
      <c r="H220" t="s">
        <v>967</v>
      </c>
      <c r="I220">
        <v>98333941</v>
      </c>
      <c r="J220" t="s">
        <v>14</v>
      </c>
      <c r="K220" t="s">
        <v>15</v>
      </c>
      <c r="L220" t="s">
        <v>974</v>
      </c>
      <c r="M220" t="s">
        <v>775</v>
      </c>
    </row>
    <row r="221" spans="2:13" x14ac:dyDescent="0.25">
      <c r="B221">
        <v>-2025</v>
      </c>
      <c r="D221">
        <v>303</v>
      </c>
      <c r="E221" t="str">
        <f t="shared" si="10"/>
        <v>303</v>
      </c>
      <c r="F221" t="str">
        <f t="shared" si="11"/>
        <v>303-2025</v>
      </c>
      <c r="G221" t="s">
        <v>968</v>
      </c>
      <c r="H221" t="s">
        <v>968</v>
      </c>
      <c r="I221">
        <v>98390119</v>
      </c>
      <c r="J221" t="s">
        <v>14</v>
      </c>
      <c r="K221" t="s">
        <v>63</v>
      </c>
      <c r="L221" t="s">
        <v>975</v>
      </c>
      <c r="M221" t="s">
        <v>744</v>
      </c>
    </row>
    <row r="222" spans="2:13" x14ac:dyDescent="0.25">
      <c r="B222">
        <v>-2025</v>
      </c>
      <c r="D222">
        <v>304</v>
      </c>
      <c r="E222" t="str">
        <f t="shared" si="10"/>
        <v>304</v>
      </c>
      <c r="F222" t="str">
        <f t="shared" si="11"/>
        <v>304-2025</v>
      </c>
      <c r="G222" t="s">
        <v>968</v>
      </c>
      <c r="H222" t="s">
        <v>968</v>
      </c>
      <c r="I222">
        <v>98390119</v>
      </c>
      <c r="J222" t="s">
        <v>14</v>
      </c>
      <c r="K222" t="s">
        <v>63</v>
      </c>
      <c r="L222" t="s">
        <v>974</v>
      </c>
      <c r="M222" t="s">
        <v>775</v>
      </c>
    </row>
    <row r="223" spans="2:13" x14ac:dyDescent="0.25">
      <c r="B223">
        <v>-2025</v>
      </c>
      <c r="D223">
        <v>305</v>
      </c>
      <c r="E223" t="str">
        <f t="shared" si="10"/>
        <v>305</v>
      </c>
      <c r="F223" t="str">
        <f t="shared" si="11"/>
        <v>305-2025</v>
      </c>
      <c r="G223" t="s">
        <v>968</v>
      </c>
      <c r="H223" t="s">
        <v>968</v>
      </c>
      <c r="I223">
        <v>98390119</v>
      </c>
      <c r="J223" t="s">
        <v>14</v>
      </c>
      <c r="K223" t="s">
        <v>63</v>
      </c>
      <c r="L223" t="s">
        <v>973</v>
      </c>
      <c r="M223" t="s">
        <v>775</v>
      </c>
    </row>
    <row r="224" spans="2:13" x14ac:dyDescent="0.25">
      <c r="B224">
        <v>-2025</v>
      </c>
      <c r="D224">
        <v>306</v>
      </c>
      <c r="E224" t="str">
        <f t="shared" si="10"/>
        <v>306</v>
      </c>
      <c r="F224" t="str">
        <f t="shared" si="11"/>
        <v>306-2025</v>
      </c>
      <c r="G224" t="s">
        <v>968</v>
      </c>
      <c r="H224" t="s">
        <v>968</v>
      </c>
      <c r="I224">
        <v>98390119</v>
      </c>
      <c r="J224" t="s">
        <v>14</v>
      </c>
      <c r="K224" t="s">
        <v>63</v>
      </c>
      <c r="L224" t="s">
        <v>973</v>
      </c>
      <c r="M224" t="s">
        <v>775</v>
      </c>
    </row>
    <row r="225" spans="2:13" x14ac:dyDescent="0.25">
      <c r="B225">
        <v>-2025</v>
      </c>
      <c r="D225">
        <v>307</v>
      </c>
      <c r="E225" t="str">
        <f t="shared" si="10"/>
        <v>307</v>
      </c>
      <c r="F225" t="str">
        <f t="shared" si="11"/>
        <v>307-2025</v>
      </c>
      <c r="G225" t="s">
        <v>968</v>
      </c>
      <c r="H225" t="s">
        <v>968</v>
      </c>
      <c r="I225">
        <v>98390119</v>
      </c>
      <c r="J225" t="s">
        <v>14</v>
      </c>
      <c r="K225" t="s">
        <v>63</v>
      </c>
      <c r="L225" t="s">
        <v>973</v>
      </c>
      <c r="M225" t="s">
        <v>775</v>
      </c>
    </row>
    <row r="226" spans="2:13" x14ac:dyDescent="0.25">
      <c r="B226">
        <v>-2025</v>
      </c>
      <c r="D226">
        <v>308</v>
      </c>
      <c r="E226" t="str">
        <f t="shared" si="10"/>
        <v>308</v>
      </c>
      <c r="F226" t="str">
        <f t="shared" si="11"/>
        <v>308-2025</v>
      </c>
      <c r="G226" t="s">
        <v>966</v>
      </c>
      <c r="H226" t="s">
        <v>966</v>
      </c>
      <c r="I226">
        <v>43624414</v>
      </c>
      <c r="J226" t="s">
        <v>14</v>
      </c>
      <c r="K226" t="s">
        <v>18</v>
      </c>
      <c r="L226" t="s">
        <v>978</v>
      </c>
      <c r="M226" t="s">
        <v>793</v>
      </c>
    </row>
    <row r="227" spans="2:13" x14ac:dyDescent="0.25">
      <c r="B227">
        <v>-2025</v>
      </c>
      <c r="D227">
        <v>309</v>
      </c>
      <c r="E227" t="str">
        <f t="shared" si="10"/>
        <v>309</v>
      </c>
      <c r="F227" t="str">
        <f t="shared" si="11"/>
        <v>309-2025</v>
      </c>
      <c r="G227" t="s">
        <v>966</v>
      </c>
      <c r="H227" t="s">
        <v>966</v>
      </c>
      <c r="I227">
        <v>43624414</v>
      </c>
      <c r="J227" t="s">
        <v>14</v>
      </c>
      <c r="K227" t="s">
        <v>18</v>
      </c>
      <c r="L227" t="s">
        <v>978</v>
      </c>
      <c r="M227" t="s">
        <v>793</v>
      </c>
    </row>
    <row r="228" spans="2:13" x14ac:dyDescent="0.25">
      <c r="B228">
        <v>-2025</v>
      </c>
      <c r="D228">
        <v>310</v>
      </c>
      <c r="E228" t="str">
        <f t="shared" si="10"/>
        <v>310</v>
      </c>
      <c r="F228" t="str">
        <f t="shared" si="11"/>
        <v>310-2025</v>
      </c>
      <c r="G228" t="s">
        <v>966</v>
      </c>
      <c r="H228" t="s">
        <v>966</v>
      </c>
      <c r="I228">
        <v>43624414</v>
      </c>
      <c r="J228" t="s">
        <v>14</v>
      </c>
      <c r="K228" t="s">
        <v>18</v>
      </c>
      <c r="L228" t="s">
        <v>978</v>
      </c>
      <c r="M228" t="s">
        <v>793</v>
      </c>
    </row>
    <row r="229" spans="2:13" x14ac:dyDescent="0.25">
      <c r="B229">
        <v>-2025</v>
      </c>
      <c r="D229">
        <v>311</v>
      </c>
      <c r="E229" t="str">
        <f t="shared" si="10"/>
        <v>311</v>
      </c>
      <c r="F229" t="str">
        <f t="shared" si="11"/>
        <v>311-2025</v>
      </c>
      <c r="G229" t="s">
        <v>966</v>
      </c>
      <c r="H229" t="s">
        <v>966</v>
      </c>
      <c r="I229">
        <v>43624414</v>
      </c>
      <c r="J229" t="s">
        <v>14</v>
      </c>
      <c r="K229" t="s">
        <v>18</v>
      </c>
      <c r="L229" t="s">
        <v>978</v>
      </c>
      <c r="M229" t="s">
        <v>793</v>
      </c>
    </row>
    <row r="230" spans="2:13" x14ac:dyDescent="0.25">
      <c r="B230">
        <v>-2025</v>
      </c>
      <c r="D230">
        <v>312</v>
      </c>
      <c r="E230" t="str">
        <f t="shared" si="10"/>
        <v>312</v>
      </c>
      <c r="F230" t="str">
        <f t="shared" si="11"/>
        <v>312-2025</v>
      </c>
      <c r="G230" t="s">
        <v>967</v>
      </c>
      <c r="H230" t="s">
        <v>967</v>
      </c>
      <c r="I230">
        <v>98333941</v>
      </c>
      <c r="J230" t="s">
        <v>14</v>
      </c>
      <c r="K230" t="s">
        <v>15</v>
      </c>
      <c r="L230" t="s">
        <v>978</v>
      </c>
      <c r="M230" t="s">
        <v>793</v>
      </c>
    </row>
    <row r="231" spans="2:13" x14ac:dyDescent="0.25">
      <c r="B231">
        <v>-2025</v>
      </c>
      <c r="D231">
        <v>313</v>
      </c>
      <c r="E231" t="str">
        <f t="shared" si="10"/>
        <v>313</v>
      </c>
      <c r="F231" t="str">
        <f t="shared" si="11"/>
        <v>313-2025</v>
      </c>
      <c r="G231" t="s">
        <v>965</v>
      </c>
      <c r="H231" t="s">
        <v>965</v>
      </c>
      <c r="I231">
        <v>59836926</v>
      </c>
      <c r="J231" t="s">
        <v>14</v>
      </c>
      <c r="K231" t="s">
        <v>17</v>
      </c>
      <c r="L231" t="s">
        <v>974</v>
      </c>
      <c r="M231" t="s">
        <v>775</v>
      </c>
    </row>
    <row r="232" spans="2:13" x14ac:dyDescent="0.25">
      <c r="B232">
        <v>-2025</v>
      </c>
      <c r="D232">
        <v>314</v>
      </c>
      <c r="E232" t="str">
        <f t="shared" si="10"/>
        <v>314</v>
      </c>
      <c r="F232" t="str">
        <f t="shared" si="11"/>
        <v>314-2025</v>
      </c>
      <c r="G232" t="s">
        <v>967</v>
      </c>
      <c r="H232" t="s">
        <v>967</v>
      </c>
      <c r="I232">
        <v>98333941</v>
      </c>
      <c r="J232" t="s">
        <v>14</v>
      </c>
      <c r="K232" t="s">
        <v>15</v>
      </c>
      <c r="L232" t="s">
        <v>978</v>
      </c>
      <c r="M232" t="s">
        <v>793</v>
      </c>
    </row>
    <row r="233" spans="2:13" x14ac:dyDescent="0.25">
      <c r="B233">
        <v>-2025</v>
      </c>
      <c r="D233">
        <v>315</v>
      </c>
      <c r="E233" t="str">
        <f t="shared" si="10"/>
        <v>315</v>
      </c>
      <c r="F233" t="str">
        <f t="shared" si="11"/>
        <v>315-2025</v>
      </c>
      <c r="G233" t="s">
        <v>967</v>
      </c>
      <c r="H233" t="s">
        <v>967</v>
      </c>
      <c r="I233">
        <v>98333941</v>
      </c>
      <c r="J233" t="s">
        <v>14</v>
      </c>
      <c r="K233" t="s">
        <v>15</v>
      </c>
      <c r="L233" t="s">
        <v>978</v>
      </c>
      <c r="M233" t="s">
        <v>793</v>
      </c>
    </row>
    <row r="234" spans="2:13" x14ac:dyDescent="0.25">
      <c r="B234">
        <v>-2025</v>
      </c>
      <c r="D234">
        <v>316</v>
      </c>
      <c r="E234" t="str">
        <f t="shared" si="10"/>
        <v>316</v>
      </c>
      <c r="F234" t="str">
        <f t="shared" si="11"/>
        <v>316-2025</v>
      </c>
      <c r="G234" t="s">
        <v>965</v>
      </c>
      <c r="H234" t="s">
        <v>965</v>
      </c>
      <c r="I234">
        <v>59836926</v>
      </c>
      <c r="J234" t="s">
        <v>14</v>
      </c>
      <c r="K234" t="s">
        <v>17</v>
      </c>
      <c r="L234" t="s">
        <v>978</v>
      </c>
      <c r="M234" t="s">
        <v>793</v>
      </c>
    </row>
    <row r="235" spans="2:13" x14ac:dyDescent="0.25">
      <c r="B235">
        <v>-2025</v>
      </c>
      <c r="D235">
        <v>317</v>
      </c>
      <c r="E235" t="str">
        <f t="shared" si="10"/>
        <v>317</v>
      </c>
      <c r="F235" t="str">
        <f t="shared" si="11"/>
        <v>317-2025</v>
      </c>
      <c r="G235" t="s">
        <v>965</v>
      </c>
      <c r="H235" t="s">
        <v>965</v>
      </c>
      <c r="I235">
        <v>59836926</v>
      </c>
      <c r="J235" t="s">
        <v>14</v>
      </c>
      <c r="K235" t="s">
        <v>17</v>
      </c>
      <c r="L235" t="s">
        <v>978</v>
      </c>
      <c r="M235" t="s">
        <v>793</v>
      </c>
    </row>
    <row r="236" spans="2:13" x14ac:dyDescent="0.25">
      <c r="B236">
        <v>-2025</v>
      </c>
      <c r="D236">
        <v>318</v>
      </c>
      <c r="E236" t="str">
        <f t="shared" si="10"/>
        <v>318</v>
      </c>
      <c r="F236" t="str">
        <f t="shared" si="11"/>
        <v>318-2025</v>
      </c>
      <c r="G236" t="s">
        <v>967</v>
      </c>
      <c r="H236" t="s">
        <v>967</v>
      </c>
      <c r="I236">
        <v>98333941</v>
      </c>
      <c r="J236" t="s">
        <v>14</v>
      </c>
      <c r="K236" t="s">
        <v>15</v>
      </c>
      <c r="L236" t="s">
        <v>978</v>
      </c>
      <c r="M236" t="s">
        <v>793</v>
      </c>
    </row>
    <row r="237" spans="2:13" x14ac:dyDescent="0.25">
      <c r="B237">
        <v>-2025</v>
      </c>
      <c r="D237">
        <v>319</v>
      </c>
      <c r="E237" t="str">
        <f t="shared" si="10"/>
        <v>319</v>
      </c>
      <c r="F237" t="str">
        <f t="shared" si="11"/>
        <v>319-2025</v>
      </c>
      <c r="G237" t="s">
        <v>968</v>
      </c>
      <c r="H237" t="s">
        <v>968</v>
      </c>
      <c r="I237">
        <v>98390119</v>
      </c>
      <c r="J237" t="s">
        <v>14</v>
      </c>
      <c r="K237" t="s">
        <v>63</v>
      </c>
      <c r="L237" t="s">
        <v>978</v>
      </c>
      <c r="M237" t="s">
        <v>793</v>
      </c>
    </row>
    <row r="238" spans="2:13" x14ac:dyDescent="0.25">
      <c r="B238">
        <v>-2025</v>
      </c>
      <c r="D238">
        <v>320</v>
      </c>
      <c r="E238" t="str">
        <f t="shared" si="10"/>
        <v>320</v>
      </c>
      <c r="F238" t="str">
        <f t="shared" si="11"/>
        <v>320-2025</v>
      </c>
      <c r="G238" t="s">
        <v>968</v>
      </c>
      <c r="H238" t="s">
        <v>968</v>
      </c>
      <c r="I238">
        <v>98390119</v>
      </c>
      <c r="J238" t="s">
        <v>14</v>
      </c>
      <c r="K238" t="s">
        <v>63</v>
      </c>
      <c r="L238" t="s">
        <v>978</v>
      </c>
      <c r="M238" t="s">
        <v>793</v>
      </c>
    </row>
    <row r="239" spans="2:13" x14ac:dyDescent="0.25">
      <c r="B239">
        <v>-2025</v>
      </c>
      <c r="D239">
        <v>321</v>
      </c>
      <c r="E239" t="str">
        <f t="shared" si="10"/>
        <v>321</v>
      </c>
      <c r="F239" t="str">
        <f t="shared" si="11"/>
        <v>321-2025</v>
      </c>
      <c r="G239" t="s">
        <v>966</v>
      </c>
      <c r="H239" t="s">
        <v>966</v>
      </c>
      <c r="I239">
        <v>43624414</v>
      </c>
      <c r="J239" t="s">
        <v>14</v>
      </c>
      <c r="K239" t="s">
        <v>18</v>
      </c>
      <c r="L239" t="s">
        <v>978</v>
      </c>
      <c r="M239" t="s">
        <v>793</v>
      </c>
    </row>
    <row r="240" spans="2:13" x14ac:dyDescent="0.25">
      <c r="B240">
        <v>-2025</v>
      </c>
      <c r="D240">
        <v>322</v>
      </c>
      <c r="E240" t="str">
        <f t="shared" si="10"/>
        <v>322</v>
      </c>
      <c r="F240" t="str">
        <f t="shared" si="11"/>
        <v>322-2025</v>
      </c>
      <c r="G240" t="s">
        <v>965</v>
      </c>
      <c r="H240" t="s">
        <v>965</v>
      </c>
      <c r="I240">
        <v>59836926</v>
      </c>
      <c r="J240" t="s">
        <v>14</v>
      </c>
      <c r="K240" t="s">
        <v>17</v>
      </c>
      <c r="L240" t="s">
        <v>978</v>
      </c>
      <c r="M240" t="s">
        <v>793</v>
      </c>
    </row>
    <row r="241" spans="2:13" x14ac:dyDescent="0.25">
      <c r="B241">
        <v>-2025</v>
      </c>
      <c r="D241">
        <v>323</v>
      </c>
      <c r="E241" t="str">
        <f t="shared" si="10"/>
        <v>323</v>
      </c>
      <c r="F241" t="str">
        <f t="shared" si="11"/>
        <v>323-2025</v>
      </c>
      <c r="G241" t="s">
        <v>967</v>
      </c>
      <c r="H241" t="s">
        <v>967</v>
      </c>
      <c r="I241">
        <v>98333941</v>
      </c>
      <c r="J241" t="s">
        <v>14</v>
      </c>
      <c r="K241" t="s">
        <v>15</v>
      </c>
      <c r="L241" t="s">
        <v>978</v>
      </c>
      <c r="M241" t="s">
        <v>793</v>
      </c>
    </row>
    <row r="242" spans="2:13" x14ac:dyDescent="0.25">
      <c r="B242">
        <v>-2025</v>
      </c>
      <c r="D242">
        <v>324</v>
      </c>
      <c r="E242" t="str">
        <f t="shared" si="10"/>
        <v>324</v>
      </c>
      <c r="F242" t="str">
        <f t="shared" si="11"/>
        <v>324-2025</v>
      </c>
      <c r="G242" t="s">
        <v>968</v>
      </c>
      <c r="H242" t="s">
        <v>968</v>
      </c>
      <c r="I242">
        <v>98390119</v>
      </c>
      <c r="J242" t="s">
        <v>14</v>
      </c>
      <c r="K242" t="s">
        <v>63</v>
      </c>
      <c r="L242" t="s">
        <v>978</v>
      </c>
      <c r="M242" t="s">
        <v>793</v>
      </c>
    </row>
    <row r="243" spans="2:13" x14ac:dyDescent="0.25">
      <c r="B243">
        <v>-2025</v>
      </c>
      <c r="D243">
        <v>325</v>
      </c>
      <c r="E243" t="str">
        <f t="shared" si="10"/>
        <v>325</v>
      </c>
      <c r="F243" t="str">
        <f t="shared" si="11"/>
        <v>325-2025</v>
      </c>
      <c r="G243" t="s">
        <v>968</v>
      </c>
      <c r="H243" t="s">
        <v>968</v>
      </c>
      <c r="I243">
        <v>98390119</v>
      </c>
      <c r="J243" t="s">
        <v>14</v>
      </c>
      <c r="K243" t="s">
        <v>63</v>
      </c>
      <c r="L243" t="s">
        <v>975</v>
      </c>
      <c r="M243" t="s">
        <v>744</v>
      </c>
    </row>
    <row r="244" spans="2:13" x14ac:dyDescent="0.25">
      <c r="B244">
        <v>-2025</v>
      </c>
      <c r="D244">
        <v>326</v>
      </c>
      <c r="E244" t="str">
        <f t="shared" si="10"/>
        <v>326</v>
      </c>
      <c r="F244" t="str">
        <f t="shared" si="11"/>
        <v>326-2025</v>
      </c>
      <c r="G244" t="s">
        <v>968</v>
      </c>
      <c r="H244" t="s">
        <v>968</v>
      </c>
      <c r="I244">
        <v>98390119</v>
      </c>
      <c r="J244" t="s">
        <v>14</v>
      </c>
      <c r="K244" t="s">
        <v>63</v>
      </c>
      <c r="L244" t="s">
        <v>973</v>
      </c>
      <c r="M244" t="s">
        <v>775</v>
      </c>
    </row>
    <row r="245" spans="2:13" x14ac:dyDescent="0.25">
      <c r="B245">
        <v>-2025</v>
      </c>
      <c r="D245">
        <v>327</v>
      </c>
      <c r="E245" t="str">
        <f t="shared" si="10"/>
        <v>327</v>
      </c>
      <c r="F245" t="str">
        <f t="shared" si="11"/>
        <v>327-2025</v>
      </c>
      <c r="G245" t="s">
        <v>968</v>
      </c>
      <c r="H245" t="s">
        <v>968</v>
      </c>
      <c r="I245">
        <v>98390119</v>
      </c>
      <c r="J245" t="s">
        <v>14</v>
      </c>
      <c r="K245" t="s">
        <v>63</v>
      </c>
      <c r="L245" t="s">
        <v>973</v>
      </c>
      <c r="M245" t="s">
        <v>775</v>
      </c>
    </row>
    <row r="246" spans="2:13" x14ac:dyDescent="0.25">
      <c r="B246">
        <v>-2025</v>
      </c>
      <c r="D246">
        <v>328</v>
      </c>
      <c r="E246" t="str">
        <f t="shared" si="10"/>
        <v>328</v>
      </c>
      <c r="F246" t="str">
        <f t="shared" si="11"/>
        <v>328-2025</v>
      </c>
      <c r="G246" t="s">
        <v>968</v>
      </c>
      <c r="H246" t="s">
        <v>968</v>
      </c>
      <c r="I246">
        <v>98390119</v>
      </c>
      <c r="J246" t="s">
        <v>14</v>
      </c>
      <c r="K246" t="s">
        <v>63</v>
      </c>
      <c r="L246" t="s">
        <v>973</v>
      </c>
      <c r="M246" t="s">
        <v>775</v>
      </c>
    </row>
    <row r="247" spans="2:13" x14ac:dyDescent="0.25">
      <c r="B247">
        <v>-2025</v>
      </c>
      <c r="D247">
        <v>329</v>
      </c>
      <c r="E247" t="str">
        <f t="shared" si="10"/>
        <v>329</v>
      </c>
      <c r="F247" t="str">
        <f t="shared" si="11"/>
        <v>329-2025</v>
      </c>
      <c r="G247" t="s">
        <v>968</v>
      </c>
      <c r="H247" t="s">
        <v>968</v>
      </c>
      <c r="I247">
        <v>98390119</v>
      </c>
      <c r="J247" t="s">
        <v>14</v>
      </c>
      <c r="K247" t="s">
        <v>63</v>
      </c>
      <c r="L247" t="s">
        <v>973</v>
      </c>
      <c r="M247" t="s">
        <v>775</v>
      </c>
    </row>
    <row r="248" spans="2:13" x14ac:dyDescent="0.25">
      <c r="B248">
        <v>-2025</v>
      </c>
      <c r="D248">
        <v>330</v>
      </c>
      <c r="E248" t="str">
        <f t="shared" si="10"/>
        <v>330</v>
      </c>
      <c r="F248" t="str">
        <f t="shared" si="11"/>
        <v>330-2025</v>
      </c>
      <c r="G248" t="s">
        <v>968</v>
      </c>
      <c r="H248" t="s">
        <v>968</v>
      </c>
      <c r="I248">
        <v>98390119</v>
      </c>
      <c r="J248" t="s">
        <v>14</v>
      </c>
      <c r="K248" t="s">
        <v>63</v>
      </c>
      <c r="L248" t="s">
        <v>973</v>
      </c>
      <c r="M248" t="s">
        <v>775</v>
      </c>
    </row>
    <row r="249" spans="2:13" x14ac:dyDescent="0.25">
      <c r="B249">
        <v>-2025</v>
      </c>
      <c r="D249">
        <v>331</v>
      </c>
      <c r="E249" t="str">
        <f t="shared" si="10"/>
        <v>331</v>
      </c>
      <c r="F249" t="str">
        <f t="shared" si="11"/>
        <v>331-2025</v>
      </c>
      <c r="G249" t="s">
        <v>968</v>
      </c>
      <c r="H249" t="s">
        <v>968</v>
      </c>
      <c r="I249">
        <v>98390119</v>
      </c>
      <c r="J249" t="s">
        <v>14</v>
      </c>
      <c r="K249" t="s">
        <v>63</v>
      </c>
      <c r="L249" t="s">
        <v>973</v>
      </c>
      <c r="M249" t="s">
        <v>775</v>
      </c>
    </row>
    <row r="250" spans="2:13" x14ac:dyDescent="0.25">
      <c r="B250">
        <v>-2025</v>
      </c>
      <c r="D250">
        <v>332</v>
      </c>
      <c r="E250" t="str">
        <f t="shared" si="10"/>
        <v>332</v>
      </c>
      <c r="F250" t="str">
        <f t="shared" si="11"/>
        <v>332-2025</v>
      </c>
      <c r="G250" t="s">
        <v>965</v>
      </c>
      <c r="H250" t="s">
        <v>965</v>
      </c>
      <c r="I250">
        <v>59836926</v>
      </c>
      <c r="J250" t="s">
        <v>14</v>
      </c>
      <c r="K250" t="s">
        <v>17</v>
      </c>
      <c r="L250" t="s">
        <v>973</v>
      </c>
      <c r="M250" t="s">
        <v>775</v>
      </c>
    </row>
    <row r="251" spans="2:13" x14ac:dyDescent="0.25">
      <c r="B251">
        <v>-2025</v>
      </c>
      <c r="D251">
        <v>333</v>
      </c>
      <c r="E251" t="str">
        <f t="shared" si="10"/>
        <v>333</v>
      </c>
      <c r="F251" t="str">
        <f t="shared" si="11"/>
        <v>333-2025</v>
      </c>
      <c r="G251" t="s">
        <v>965</v>
      </c>
      <c r="H251" t="s">
        <v>965</v>
      </c>
      <c r="I251">
        <v>59836926</v>
      </c>
      <c r="J251" t="s">
        <v>14</v>
      </c>
      <c r="K251" t="s">
        <v>17</v>
      </c>
      <c r="L251" t="s">
        <v>976</v>
      </c>
      <c r="M251" t="s">
        <v>744</v>
      </c>
    </row>
    <row r="252" spans="2:13" x14ac:dyDescent="0.25">
      <c r="B252">
        <v>-2025</v>
      </c>
      <c r="D252">
        <v>334</v>
      </c>
      <c r="E252" t="str">
        <f t="shared" si="10"/>
        <v>334</v>
      </c>
      <c r="F252" t="str">
        <f t="shared" si="11"/>
        <v>334-2025</v>
      </c>
      <c r="G252" t="s">
        <v>965</v>
      </c>
      <c r="H252" t="s">
        <v>965</v>
      </c>
      <c r="I252">
        <v>59836926</v>
      </c>
      <c r="J252" t="s">
        <v>14</v>
      </c>
      <c r="K252" t="s">
        <v>17</v>
      </c>
      <c r="L252" t="s">
        <v>974</v>
      </c>
      <c r="M252" t="s">
        <v>775</v>
      </c>
    </row>
    <row r="253" spans="2:13" x14ac:dyDescent="0.25">
      <c r="B253">
        <v>-2025</v>
      </c>
      <c r="D253">
        <v>336</v>
      </c>
      <c r="E253" t="str">
        <f t="shared" si="10"/>
        <v>336</v>
      </c>
      <c r="F253" t="str">
        <f t="shared" si="11"/>
        <v>336-2025</v>
      </c>
      <c r="G253" t="s">
        <v>965</v>
      </c>
      <c r="H253" t="s">
        <v>965</v>
      </c>
      <c r="I253">
        <v>59836926</v>
      </c>
      <c r="J253" t="s">
        <v>14</v>
      </c>
      <c r="K253" t="s">
        <v>17</v>
      </c>
      <c r="L253" t="s">
        <v>976</v>
      </c>
      <c r="M253" t="s">
        <v>744</v>
      </c>
    </row>
    <row r="254" spans="2:13" x14ac:dyDescent="0.25">
      <c r="B254">
        <v>-2025</v>
      </c>
      <c r="D254">
        <v>338</v>
      </c>
      <c r="E254" t="str">
        <f t="shared" si="10"/>
        <v>338</v>
      </c>
      <c r="F254" t="str">
        <f t="shared" si="11"/>
        <v>338-2025</v>
      </c>
      <c r="G254" t="s">
        <v>965</v>
      </c>
      <c r="H254" t="s">
        <v>965</v>
      </c>
      <c r="I254">
        <v>59836926</v>
      </c>
      <c r="J254" t="s">
        <v>14</v>
      </c>
      <c r="K254" t="s">
        <v>17</v>
      </c>
      <c r="L254" t="s">
        <v>973</v>
      </c>
      <c r="M254" t="s">
        <v>775</v>
      </c>
    </row>
    <row r="255" spans="2:13" x14ac:dyDescent="0.25">
      <c r="B255">
        <v>-2025</v>
      </c>
      <c r="D255">
        <v>339</v>
      </c>
      <c r="E255" t="str">
        <f t="shared" si="10"/>
        <v>339</v>
      </c>
      <c r="F255" t="str">
        <f t="shared" si="11"/>
        <v>339-2025</v>
      </c>
      <c r="G255" t="s">
        <v>965</v>
      </c>
      <c r="H255" t="s">
        <v>965</v>
      </c>
      <c r="I255">
        <v>59836926</v>
      </c>
      <c r="J255" t="s">
        <v>14</v>
      </c>
      <c r="K255" t="s">
        <v>17</v>
      </c>
      <c r="L255" t="s">
        <v>973</v>
      </c>
      <c r="M255" t="s">
        <v>775</v>
      </c>
    </row>
    <row r="256" spans="2:13" x14ac:dyDescent="0.25">
      <c r="B256">
        <v>-2025</v>
      </c>
      <c r="D256">
        <v>341</v>
      </c>
      <c r="E256" t="str">
        <f t="shared" si="10"/>
        <v>341</v>
      </c>
      <c r="F256" t="str">
        <f t="shared" si="11"/>
        <v>341-2025</v>
      </c>
      <c r="G256" t="s">
        <v>966</v>
      </c>
      <c r="H256" t="s">
        <v>966</v>
      </c>
      <c r="I256">
        <v>43624414</v>
      </c>
      <c r="J256" t="s">
        <v>14</v>
      </c>
      <c r="K256" t="s">
        <v>18</v>
      </c>
      <c r="L256" t="s">
        <v>973</v>
      </c>
      <c r="M256" t="s">
        <v>775</v>
      </c>
    </row>
    <row r="257" spans="2:13" x14ac:dyDescent="0.25">
      <c r="B257">
        <v>-2025</v>
      </c>
      <c r="D257">
        <v>342</v>
      </c>
      <c r="E257" t="str">
        <f t="shared" si="10"/>
        <v>342</v>
      </c>
      <c r="F257" t="str">
        <f t="shared" si="11"/>
        <v>342-2025</v>
      </c>
      <c r="G257" t="s">
        <v>965</v>
      </c>
      <c r="H257" t="s">
        <v>965</v>
      </c>
      <c r="I257">
        <v>59836926</v>
      </c>
      <c r="J257" t="s">
        <v>14</v>
      </c>
      <c r="K257" t="s">
        <v>17</v>
      </c>
      <c r="L257" t="s">
        <v>976</v>
      </c>
      <c r="M257" t="s">
        <v>744</v>
      </c>
    </row>
    <row r="258" spans="2:13" x14ac:dyDescent="0.25">
      <c r="B258">
        <v>-2025</v>
      </c>
      <c r="D258">
        <v>343</v>
      </c>
      <c r="E258" t="str">
        <f t="shared" si="10"/>
        <v>343</v>
      </c>
      <c r="F258" t="str">
        <f t="shared" si="11"/>
        <v>343-2025</v>
      </c>
      <c r="G258" t="s">
        <v>965</v>
      </c>
      <c r="H258" t="s">
        <v>965</v>
      </c>
      <c r="I258">
        <v>59836926</v>
      </c>
      <c r="J258" t="s">
        <v>14</v>
      </c>
      <c r="K258" t="s">
        <v>17</v>
      </c>
      <c r="L258" t="s">
        <v>973</v>
      </c>
      <c r="M258" t="s">
        <v>775</v>
      </c>
    </row>
    <row r="259" spans="2:13" x14ac:dyDescent="0.25">
      <c r="B259">
        <v>-2025</v>
      </c>
      <c r="D259">
        <v>345</v>
      </c>
      <c r="E259" t="str">
        <f t="shared" ref="E259:E322" si="12">_xlfn.CONCAT(C259,D259)</f>
        <v>345</v>
      </c>
      <c r="F259" t="str">
        <f t="shared" ref="F259:F322" si="13">_xlfn.CONCAT(E259,B259)</f>
        <v>345-2025</v>
      </c>
      <c r="G259" t="s">
        <v>965</v>
      </c>
      <c r="H259" t="s">
        <v>965</v>
      </c>
      <c r="I259">
        <v>59836926</v>
      </c>
      <c r="J259" t="s">
        <v>14</v>
      </c>
      <c r="K259" t="s">
        <v>17</v>
      </c>
      <c r="L259" t="s">
        <v>973</v>
      </c>
      <c r="M259" t="s">
        <v>775</v>
      </c>
    </row>
    <row r="260" spans="2:13" x14ac:dyDescent="0.25">
      <c r="B260">
        <v>-2025</v>
      </c>
      <c r="D260">
        <v>346</v>
      </c>
      <c r="E260" t="str">
        <f t="shared" si="12"/>
        <v>346</v>
      </c>
      <c r="F260" t="str">
        <f t="shared" si="13"/>
        <v>346-2025</v>
      </c>
      <c r="G260" t="s">
        <v>965</v>
      </c>
      <c r="H260" t="s">
        <v>965</v>
      </c>
      <c r="I260">
        <v>59836926</v>
      </c>
      <c r="J260" t="s">
        <v>14</v>
      </c>
      <c r="K260" t="s">
        <v>17</v>
      </c>
      <c r="L260" t="s">
        <v>973</v>
      </c>
      <c r="M260" t="s">
        <v>775</v>
      </c>
    </row>
    <row r="261" spans="2:13" x14ac:dyDescent="0.25">
      <c r="B261">
        <v>-2025</v>
      </c>
      <c r="D261">
        <v>347</v>
      </c>
      <c r="E261" t="str">
        <f t="shared" si="12"/>
        <v>347</v>
      </c>
      <c r="F261" t="str">
        <f t="shared" si="13"/>
        <v>347-2025</v>
      </c>
      <c r="G261" t="s">
        <v>965</v>
      </c>
      <c r="H261" t="s">
        <v>965</v>
      </c>
      <c r="I261">
        <v>59836926</v>
      </c>
      <c r="J261" t="s">
        <v>14</v>
      </c>
      <c r="K261" t="s">
        <v>17</v>
      </c>
      <c r="L261" t="s">
        <v>973</v>
      </c>
      <c r="M261" t="s">
        <v>775</v>
      </c>
    </row>
    <row r="262" spans="2:13" x14ac:dyDescent="0.25">
      <c r="B262">
        <v>-2025</v>
      </c>
      <c r="D262">
        <v>348</v>
      </c>
      <c r="E262" t="str">
        <f t="shared" si="12"/>
        <v>348</v>
      </c>
      <c r="F262" t="str">
        <f t="shared" si="13"/>
        <v>348-2025</v>
      </c>
      <c r="G262" t="s">
        <v>965</v>
      </c>
      <c r="H262" t="s">
        <v>965</v>
      </c>
      <c r="I262">
        <v>59836926</v>
      </c>
      <c r="J262" t="s">
        <v>14</v>
      </c>
      <c r="K262" t="s">
        <v>17</v>
      </c>
      <c r="L262" t="s">
        <v>973</v>
      </c>
      <c r="M262" t="s">
        <v>775</v>
      </c>
    </row>
    <row r="263" spans="2:13" x14ac:dyDescent="0.25">
      <c r="B263">
        <v>-2025</v>
      </c>
      <c r="D263">
        <v>349</v>
      </c>
      <c r="E263" t="str">
        <f t="shared" si="12"/>
        <v>349</v>
      </c>
      <c r="F263" t="str">
        <f t="shared" si="13"/>
        <v>349-2025</v>
      </c>
      <c r="G263" t="s">
        <v>965</v>
      </c>
      <c r="H263" t="s">
        <v>965</v>
      </c>
      <c r="I263">
        <v>59836926</v>
      </c>
      <c r="J263" t="s">
        <v>14</v>
      </c>
      <c r="K263" t="s">
        <v>17</v>
      </c>
      <c r="L263" t="s">
        <v>973</v>
      </c>
      <c r="M263" t="s">
        <v>775</v>
      </c>
    </row>
    <row r="264" spans="2:13" x14ac:dyDescent="0.25">
      <c r="B264">
        <v>-2025</v>
      </c>
      <c r="D264">
        <v>350</v>
      </c>
      <c r="E264" t="str">
        <f t="shared" si="12"/>
        <v>350</v>
      </c>
      <c r="F264" t="str">
        <f t="shared" si="13"/>
        <v>350-2025</v>
      </c>
      <c r="G264" t="s">
        <v>965</v>
      </c>
      <c r="H264" t="s">
        <v>965</v>
      </c>
      <c r="I264">
        <v>59836926</v>
      </c>
      <c r="J264" t="s">
        <v>14</v>
      </c>
      <c r="K264" t="s">
        <v>17</v>
      </c>
      <c r="L264" t="s">
        <v>974</v>
      </c>
      <c r="M264" t="s">
        <v>775</v>
      </c>
    </row>
    <row r="265" spans="2:13" x14ac:dyDescent="0.25">
      <c r="B265">
        <v>-2025</v>
      </c>
      <c r="D265">
        <v>351</v>
      </c>
      <c r="E265" t="str">
        <f t="shared" si="12"/>
        <v>351</v>
      </c>
      <c r="F265" t="str">
        <f t="shared" si="13"/>
        <v>351-2025</v>
      </c>
      <c r="G265" t="s">
        <v>965</v>
      </c>
      <c r="H265" t="s">
        <v>965</v>
      </c>
      <c r="I265">
        <v>59836926</v>
      </c>
      <c r="J265" t="s">
        <v>14</v>
      </c>
      <c r="K265" t="s">
        <v>17</v>
      </c>
      <c r="L265" t="s">
        <v>973</v>
      </c>
      <c r="M265" t="s">
        <v>775</v>
      </c>
    </row>
    <row r="266" spans="2:13" x14ac:dyDescent="0.25">
      <c r="B266">
        <v>-2025</v>
      </c>
      <c r="D266">
        <v>352</v>
      </c>
      <c r="E266" t="str">
        <f t="shared" si="12"/>
        <v>352</v>
      </c>
      <c r="F266" t="str">
        <f t="shared" si="13"/>
        <v>352-2025</v>
      </c>
      <c r="G266" t="s">
        <v>965</v>
      </c>
      <c r="H266" t="s">
        <v>965</v>
      </c>
      <c r="I266">
        <v>59836926</v>
      </c>
      <c r="J266" t="s">
        <v>14</v>
      </c>
      <c r="K266" t="s">
        <v>17</v>
      </c>
      <c r="L266" t="s">
        <v>973</v>
      </c>
      <c r="M266" t="s">
        <v>775</v>
      </c>
    </row>
    <row r="267" spans="2:13" x14ac:dyDescent="0.25">
      <c r="B267">
        <v>-2025</v>
      </c>
      <c r="D267">
        <v>353</v>
      </c>
      <c r="E267" t="str">
        <f t="shared" si="12"/>
        <v>353</v>
      </c>
      <c r="F267" t="str">
        <f t="shared" si="13"/>
        <v>353-2025</v>
      </c>
      <c r="G267" t="s">
        <v>968</v>
      </c>
      <c r="H267" t="s">
        <v>968</v>
      </c>
      <c r="I267">
        <v>98390119</v>
      </c>
      <c r="J267" t="s">
        <v>14</v>
      </c>
      <c r="K267" t="s">
        <v>63</v>
      </c>
      <c r="L267" t="s">
        <v>973</v>
      </c>
      <c r="M267" t="s">
        <v>775</v>
      </c>
    </row>
    <row r="268" spans="2:13" x14ac:dyDescent="0.25">
      <c r="B268">
        <v>-2025</v>
      </c>
      <c r="D268">
        <v>354</v>
      </c>
      <c r="E268" t="str">
        <f t="shared" si="12"/>
        <v>354</v>
      </c>
      <c r="F268" t="str">
        <f t="shared" si="13"/>
        <v>354-2025</v>
      </c>
      <c r="G268" t="s">
        <v>968</v>
      </c>
      <c r="H268" t="s">
        <v>968</v>
      </c>
      <c r="I268">
        <v>98390119</v>
      </c>
      <c r="J268" t="s">
        <v>14</v>
      </c>
      <c r="K268" t="s">
        <v>63</v>
      </c>
      <c r="L268" t="s">
        <v>974</v>
      </c>
      <c r="M268" t="s">
        <v>775</v>
      </c>
    </row>
    <row r="269" spans="2:13" x14ac:dyDescent="0.25">
      <c r="B269">
        <v>-2025</v>
      </c>
      <c r="D269">
        <v>355</v>
      </c>
      <c r="E269" t="str">
        <f t="shared" si="12"/>
        <v>355</v>
      </c>
      <c r="F269" t="str">
        <f t="shared" si="13"/>
        <v>355-2025</v>
      </c>
      <c r="G269" t="s">
        <v>968</v>
      </c>
      <c r="H269" t="s">
        <v>968</v>
      </c>
      <c r="I269">
        <v>98390119</v>
      </c>
      <c r="J269" t="s">
        <v>14</v>
      </c>
      <c r="K269" t="s">
        <v>63</v>
      </c>
      <c r="L269" t="s">
        <v>973</v>
      </c>
      <c r="M269" t="s">
        <v>775</v>
      </c>
    </row>
    <row r="270" spans="2:13" x14ac:dyDescent="0.25">
      <c r="B270">
        <v>-2025</v>
      </c>
      <c r="D270">
        <v>356</v>
      </c>
      <c r="E270" t="str">
        <f t="shared" si="12"/>
        <v>356</v>
      </c>
      <c r="F270" t="str">
        <f t="shared" si="13"/>
        <v>356-2025</v>
      </c>
      <c r="G270" t="s">
        <v>968</v>
      </c>
      <c r="H270" t="s">
        <v>968</v>
      </c>
      <c r="I270">
        <v>98390119</v>
      </c>
      <c r="J270" t="s">
        <v>14</v>
      </c>
      <c r="K270" t="s">
        <v>63</v>
      </c>
      <c r="L270" t="s">
        <v>973</v>
      </c>
      <c r="M270" t="s">
        <v>775</v>
      </c>
    </row>
    <row r="271" spans="2:13" x14ac:dyDescent="0.25">
      <c r="B271">
        <v>-2025</v>
      </c>
      <c r="D271">
        <v>357</v>
      </c>
      <c r="E271" t="str">
        <f t="shared" si="12"/>
        <v>357</v>
      </c>
      <c r="F271" t="str">
        <f t="shared" si="13"/>
        <v>357-2025</v>
      </c>
      <c r="G271" t="s">
        <v>968</v>
      </c>
      <c r="H271" t="s">
        <v>968</v>
      </c>
      <c r="I271">
        <v>98390119</v>
      </c>
      <c r="J271" t="s">
        <v>14</v>
      </c>
      <c r="K271" t="s">
        <v>63</v>
      </c>
      <c r="L271" t="s">
        <v>973</v>
      </c>
      <c r="M271" t="s">
        <v>775</v>
      </c>
    </row>
    <row r="272" spans="2:13" x14ac:dyDescent="0.25">
      <c r="B272">
        <v>-2025</v>
      </c>
      <c r="D272">
        <v>358</v>
      </c>
      <c r="E272" t="str">
        <f t="shared" si="12"/>
        <v>358</v>
      </c>
      <c r="F272" t="str">
        <f t="shared" si="13"/>
        <v>358-2025</v>
      </c>
      <c r="G272" t="s">
        <v>968</v>
      </c>
      <c r="H272" t="s">
        <v>968</v>
      </c>
      <c r="I272">
        <v>98390119</v>
      </c>
      <c r="J272" t="s">
        <v>14</v>
      </c>
      <c r="K272" t="s">
        <v>63</v>
      </c>
      <c r="L272" t="s">
        <v>973</v>
      </c>
      <c r="M272" t="s">
        <v>775</v>
      </c>
    </row>
    <row r="273" spans="2:13" x14ac:dyDescent="0.25">
      <c r="B273">
        <v>-2025</v>
      </c>
      <c r="D273">
        <v>359</v>
      </c>
      <c r="E273" t="str">
        <f t="shared" si="12"/>
        <v>359</v>
      </c>
      <c r="F273" t="str">
        <f t="shared" si="13"/>
        <v>359-2025</v>
      </c>
      <c r="G273" t="s">
        <v>966</v>
      </c>
      <c r="H273" t="s">
        <v>966</v>
      </c>
      <c r="I273">
        <v>43624414</v>
      </c>
      <c r="J273" t="s">
        <v>14</v>
      </c>
      <c r="K273" t="s">
        <v>18</v>
      </c>
      <c r="L273" t="s">
        <v>973</v>
      </c>
      <c r="M273" t="s">
        <v>775</v>
      </c>
    </row>
    <row r="274" spans="2:13" x14ac:dyDescent="0.25">
      <c r="B274">
        <v>-2025</v>
      </c>
      <c r="D274">
        <v>360</v>
      </c>
      <c r="E274" t="str">
        <f t="shared" si="12"/>
        <v>360</v>
      </c>
      <c r="F274" t="str">
        <f t="shared" si="13"/>
        <v>360-2025</v>
      </c>
      <c r="G274" t="s">
        <v>966</v>
      </c>
      <c r="H274" t="s">
        <v>966</v>
      </c>
      <c r="I274">
        <v>43624414</v>
      </c>
      <c r="J274" t="s">
        <v>14</v>
      </c>
      <c r="K274" t="s">
        <v>18</v>
      </c>
      <c r="L274" t="s">
        <v>973</v>
      </c>
      <c r="M274" t="s">
        <v>775</v>
      </c>
    </row>
    <row r="275" spans="2:13" x14ac:dyDescent="0.25">
      <c r="B275">
        <v>-2025</v>
      </c>
      <c r="D275">
        <v>361</v>
      </c>
      <c r="E275" t="str">
        <f t="shared" si="12"/>
        <v>361</v>
      </c>
      <c r="F275" t="str">
        <f t="shared" si="13"/>
        <v>361-2025</v>
      </c>
      <c r="G275" t="s">
        <v>965</v>
      </c>
      <c r="H275" t="s">
        <v>965</v>
      </c>
      <c r="I275">
        <v>59836926</v>
      </c>
      <c r="J275" t="s">
        <v>14</v>
      </c>
      <c r="K275" t="s">
        <v>17</v>
      </c>
      <c r="L275" t="s">
        <v>973</v>
      </c>
      <c r="M275" t="s">
        <v>775</v>
      </c>
    </row>
    <row r="276" spans="2:13" x14ac:dyDescent="0.25">
      <c r="B276">
        <v>-2025</v>
      </c>
      <c r="D276">
        <v>362</v>
      </c>
      <c r="E276" t="str">
        <f t="shared" si="12"/>
        <v>362</v>
      </c>
      <c r="F276" t="str">
        <f t="shared" si="13"/>
        <v>362-2025</v>
      </c>
      <c r="G276" t="s">
        <v>968</v>
      </c>
      <c r="H276" t="s">
        <v>968</v>
      </c>
      <c r="I276">
        <v>98390119</v>
      </c>
      <c r="J276" t="s">
        <v>14</v>
      </c>
      <c r="K276" t="s">
        <v>63</v>
      </c>
      <c r="L276" t="s">
        <v>973</v>
      </c>
      <c r="M276" t="s">
        <v>775</v>
      </c>
    </row>
    <row r="277" spans="2:13" x14ac:dyDescent="0.25">
      <c r="B277">
        <v>-2025</v>
      </c>
      <c r="D277">
        <v>363</v>
      </c>
      <c r="E277" t="str">
        <f t="shared" si="12"/>
        <v>363</v>
      </c>
      <c r="F277" t="str">
        <f t="shared" si="13"/>
        <v>363-2025</v>
      </c>
      <c r="G277" t="s">
        <v>968</v>
      </c>
      <c r="H277" t="s">
        <v>968</v>
      </c>
      <c r="I277">
        <v>98390119</v>
      </c>
      <c r="J277" t="s">
        <v>14</v>
      </c>
      <c r="K277" t="s">
        <v>63</v>
      </c>
      <c r="L277" t="s">
        <v>973</v>
      </c>
      <c r="M277" t="s">
        <v>775</v>
      </c>
    </row>
    <row r="278" spans="2:13" x14ac:dyDescent="0.25">
      <c r="B278">
        <v>-2025</v>
      </c>
      <c r="D278">
        <v>364</v>
      </c>
      <c r="E278" t="str">
        <f t="shared" si="12"/>
        <v>364</v>
      </c>
      <c r="F278" t="str">
        <f t="shared" si="13"/>
        <v>364-2025</v>
      </c>
      <c r="G278" t="s">
        <v>966</v>
      </c>
      <c r="H278" t="s">
        <v>966</v>
      </c>
      <c r="I278">
        <v>43624414</v>
      </c>
      <c r="J278" t="s">
        <v>14</v>
      </c>
      <c r="K278" t="s">
        <v>18</v>
      </c>
      <c r="L278" t="s">
        <v>973</v>
      </c>
      <c r="M278" t="s">
        <v>775</v>
      </c>
    </row>
    <row r="279" spans="2:13" x14ac:dyDescent="0.25">
      <c r="B279">
        <v>-2025</v>
      </c>
      <c r="D279">
        <v>365</v>
      </c>
      <c r="E279" t="str">
        <f t="shared" si="12"/>
        <v>365</v>
      </c>
      <c r="F279" t="str">
        <f t="shared" si="13"/>
        <v>365-2025</v>
      </c>
      <c r="G279" t="s">
        <v>966</v>
      </c>
      <c r="H279" t="s">
        <v>966</v>
      </c>
      <c r="I279">
        <v>43624414</v>
      </c>
      <c r="J279" t="s">
        <v>14</v>
      </c>
      <c r="K279" t="s">
        <v>18</v>
      </c>
      <c r="L279" t="s">
        <v>973</v>
      </c>
      <c r="M279" t="s">
        <v>775</v>
      </c>
    </row>
    <row r="280" spans="2:13" x14ac:dyDescent="0.25">
      <c r="B280">
        <v>-2025</v>
      </c>
      <c r="D280">
        <v>366</v>
      </c>
      <c r="E280" t="str">
        <f t="shared" si="12"/>
        <v>366</v>
      </c>
      <c r="F280" t="str">
        <f t="shared" si="13"/>
        <v>366-2025</v>
      </c>
      <c r="G280" t="s">
        <v>965</v>
      </c>
      <c r="H280" t="s">
        <v>965</v>
      </c>
      <c r="I280">
        <v>59836926</v>
      </c>
      <c r="J280" t="s">
        <v>14</v>
      </c>
      <c r="K280" t="s">
        <v>17</v>
      </c>
      <c r="L280" t="s">
        <v>978</v>
      </c>
      <c r="M280" t="s">
        <v>793</v>
      </c>
    </row>
    <row r="281" spans="2:13" x14ac:dyDescent="0.25">
      <c r="B281">
        <v>-2025</v>
      </c>
      <c r="D281">
        <v>367</v>
      </c>
      <c r="E281" t="str">
        <f t="shared" si="12"/>
        <v>367</v>
      </c>
      <c r="F281" t="str">
        <f t="shared" si="13"/>
        <v>367-2025</v>
      </c>
      <c r="G281" t="s">
        <v>968</v>
      </c>
      <c r="H281" t="s">
        <v>968</v>
      </c>
      <c r="I281">
        <v>98390119</v>
      </c>
      <c r="J281" t="s">
        <v>14</v>
      </c>
      <c r="K281" t="s">
        <v>63</v>
      </c>
      <c r="L281" t="s">
        <v>978</v>
      </c>
      <c r="M281" t="s">
        <v>793</v>
      </c>
    </row>
    <row r="282" spans="2:13" x14ac:dyDescent="0.25">
      <c r="B282">
        <v>-2025</v>
      </c>
      <c r="D282">
        <v>368</v>
      </c>
      <c r="E282" t="str">
        <f t="shared" si="12"/>
        <v>368</v>
      </c>
      <c r="F282" t="str">
        <f t="shared" si="13"/>
        <v>368-2025</v>
      </c>
      <c r="G282" t="s">
        <v>966</v>
      </c>
      <c r="H282" t="s">
        <v>966</v>
      </c>
      <c r="I282">
        <v>43624414</v>
      </c>
      <c r="J282" t="s">
        <v>14</v>
      </c>
      <c r="K282" t="s">
        <v>18</v>
      </c>
      <c r="L282" t="s">
        <v>978</v>
      </c>
      <c r="M282" t="s">
        <v>793</v>
      </c>
    </row>
    <row r="283" spans="2:13" x14ac:dyDescent="0.25">
      <c r="B283">
        <v>-2025</v>
      </c>
      <c r="D283">
        <v>369</v>
      </c>
      <c r="E283" t="str">
        <f t="shared" si="12"/>
        <v>369</v>
      </c>
      <c r="F283" t="str">
        <f t="shared" si="13"/>
        <v>369-2025</v>
      </c>
      <c r="G283" t="s">
        <v>966</v>
      </c>
      <c r="H283" t="s">
        <v>966</v>
      </c>
      <c r="I283">
        <v>43624414</v>
      </c>
      <c r="J283" t="s">
        <v>14</v>
      </c>
      <c r="K283" t="s">
        <v>18</v>
      </c>
      <c r="L283" t="s">
        <v>978</v>
      </c>
      <c r="M283" t="s">
        <v>793</v>
      </c>
    </row>
    <row r="284" spans="2:13" x14ac:dyDescent="0.25">
      <c r="B284">
        <v>-2025</v>
      </c>
      <c r="D284">
        <v>370</v>
      </c>
      <c r="E284" t="str">
        <f t="shared" si="12"/>
        <v>370</v>
      </c>
      <c r="F284" t="str">
        <f t="shared" si="13"/>
        <v>370-2025</v>
      </c>
      <c r="G284" t="s">
        <v>967</v>
      </c>
      <c r="H284" t="s">
        <v>967</v>
      </c>
      <c r="I284">
        <v>98333941</v>
      </c>
      <c r="J284" t="s">
        <v>14</v>
      </c>
      <c r="K284" t="s">
        <v>15</v>
      </c>
      <c r="L284" t="s">
        <v>978</v>
      </c>
      <c r="M284" t="s">
        <v>793</v>
      </c>
    </row>
    <row r="285" spans="2:13" x14ac:dyDescent="0.25">
      <c r="B285">
        <v>-2025</v>
      </c>
      <c r="D285">
        <v>371</v>
      </c>
      <c r="E285" t="str">
        <f t="shared" si="12"/>
        <v>371</v>
      </c>
      <c r="F285" t="str">
        <f t="shared" si="13"/>
        <v>371-2025</v>
      </c>
      <c r="G285" t="s">
        <v>966</v>
      </c>
      <c r="H285" t="s">
        <v>966</v>
      </c>
      <c r="I285">
        <v>43624414</v>
      </c>
      <c r="J285" t="s">
        <v>14</v>
      </c>
      <c r="K285" t="s">
        <v>18</v>
      </c>
      <c r="L285" t="s">
        <v>978</v>
      </c>
      <c r="M285" t="s">
        <v>793</v>
      </c>
    </row>
    <row r="286" spans="2:13" x14ac:dyDescent="0.25">
      <c r="B286">
        <v>-2025</v>
      </c>
      <c r="D286">
        <v>372</v>
      </c>
      <c r="E286" t="str">
        <f t="shared" si="12"/>
        <v>372</v>
      </c>
      <c r="F286" t="str">
        <f t="shared" si="13"/>
        <v>372-2025</v>
      </c>
      <c r="G286" t="s">
        <v>966</v>
      </c>
      <c r="H286" t="s">
        <v>966</v>
      </c>
      <c r="I286">
        <v>43624414</v>
      </c>
      <c r="J286" t="s">
        <v>14</v>
      </c>
      <c r="K286" t="s">
        <v>18</v>
      </c>
      <c r="L286" t="s">
        <v>978</v>
      </c>
      <c r="M286" t="s">
        <v>793</v>
      </c>
    </row>
    <row r="287" spans="2:13" x14ac:dyDescent="0.25">
      <c r="B287">
        <v>-2025</v>
      </c>
      <c r="D287">
        <v>375</v>
      </c>
      <c r="E287" t="str">
        <f t="shared" si="12"/>
        <v>375</v>
      </c>
      <c r="F287" t="str">
        <f t="shared" si="13"/>
        <v>375-2025</v>
      </c>
      <c r="G287" t="s">
        <v>968</v>
      </c>
      <c r="H287" t="s">
        <v>968</v>
      </c>
      <c r="I287">
        <v>98390119</v>
      </c>
      <c r="J287" t="s">
        <v>14</v>
      </c>
      <c r="K287" t="s">
        <v>63</v>
      </c>
      <c r="L287" t="s">
        <v>978</v>
      </c>
      <c r="M287" t="s">
        <v>793</v>
      </c>
    </row>
    <row r="288" spans="2:13" x14ac:dyDescent="0.25">
      <c r="B288">
        <v>-2025</v>
      </c>
      <c r="D288">
        <v>376</v>
      </c>
      <c r="E288" t="str">
        <f t="shared" si="12"/>
        <v>376</v>
      </c>
      <c r="F288" t="str">
        <f t="shared" si="13"/>
        <v>376-2025</v>
      </c>
      <c r="G288" t="s">
        <v>968</v>
      </c>
      <c r="H288" t="s">
        <v>968</v>
      </c>
      <c r="I288">
        <v>98390119</v>
      </c>
      <c r="J288" t="s">
        <v>14</v>
      </c>
      <c r="K288" t="s">
        <v>63</v>
      </c>
      <c r="L288" t="s">
        <v>978</v>
      </c>
      <c r="M288" t="s">
        <v>793</v>
      </c>
    </row>
    <row r="289" spans="2:13" x14ac:dyDescent="0.25">
      <c r="B289">
        <v>-2025</v>
      </c>
      <c r="D289">
        <v>377</v>
      </c>
      <c r="E289" t="str">
        <f t="shared" si="12"/>
        <v>377</v>
      </c>
      <c r="F289" t="str">
        <f t="shared" si="13"/>
        <v>377-2025</v>
      </c>
      <c r="G289" t="s">
        <v>967</v>
      </c>
      <c r="H289" t="s">
        <v>967</v>
      </c>
      <c r="I289">
        <v>98333941</v>
      </c>
      <c r="J289" t="s">
        <v>14</v>
      </c>
      <c r="K289" t="s">
        <v>15</v>
      </c>
      <c r="L289" t="s">
        <v>978</v>
      </c>
      <c r="M289" t="s">
        <v>793</v>
      </c>
    </row>
    <row r="290" spans="2:13" x14ac:dyDescent="0.25">
      <c r="B290">
        <v>-2025</v>
      </c>
      <c r="D290">
        <v>379</v>
      </c>
      <c r="E290" t="str">
        <f t="shared" si="12"/>
        <v>379</v>
      </c>
      <c r="F290" t="str">
        <f t="shared" si="13"/>
        <v>379-2025</v>
      </c>
      <c r="G290" t="s">
        <v>966</v>
      </c>
      <c r="H290" t="s">
        <v>966</v>
      </c>
      <c r="I290">
        <v>43624414</v>
      </c>
      <c r="J290" t="s">
        <v>14</v>
      </c>
      <c r="K290" t="s">
        <v>18</v>
      </c>
      <c r="L290" t="s">
        <v>973</v>
      </c>
      <c r="M290" t="s">
        <v>775</v>
      </c>
    </row>
    <row r="291" spans="2:13" x14ac:dyDescent="0.25">
      <c r="B291">
        <v>-2025</v>
      </c>
      <c r="D291">
        <v>380</v>
      </c>
      <c r="E291" t="str">
        <f t="shared" si="12"/>
        <v>380</v>
      </c>
      <c r="F291" t="str">
        <f t="shared" si="13"/>
        <v>380-2025</v>
      </c>
      <c r="G291" t="s">
        <v>966</v>
      </c>
      <c r="H291" t="s">
        <v>966</v>
      </c>
      <c r="I291">
        <v>43624414</v>
      </c>
      <c r="J291" t="s">
        <v>14</v>
      </c>
      <c r="K291" t="s">
        <v>18</v>
      </c>
      <c r="L291" t="s">
        <v>973</v>
      </c>
      <c r="M291" t="s">
        <v>775</v>
      </c>
    </row>
    <row r="292" spans="2:13" x14ac:dyDescent="0.25">
      <c r="B292">
        <v>-2025</v>
      </c>
      <c r="D292">
        <v>381</v>
      </c>
      <c r="E292" t="str">
        <f t="shared" si="12"/>
        <v>381</v>
      </c>
      <c r="F292" t="str">
        <f t="shared" si="13"/>
        <v>381-2025</v>
      </c>
      <c r="G292" t="s">
        <v>965</v>
      </c>
      <c r="H292" t="s">
        <v>965</v>
      </c>
      <c r="I292">
        <v>59836926</v>
      </c>
      <c r="J292" t="s">
        <v>14</v>
      </c>
      <c r="K292" t="s">
        <v>17</v>
      </c>
      <c r="L292" t="s">
        <v>973</v>
      </c>
      <c r="M292" t="s">
        <v>775</v>
      </c>
    </row>
    <row r="293" spans="2:13" x14ac:dyDescent="0.25">
      <c r="B293">
        <v>-2025</v>
      </c>
      <c r="D293">
        <v>382</v>
      </c>
      <c r="E293" t="str">
        <f t="shared" si="12"/>
        <v>382</v>
      </c>
      <c r="F293" t="str">
        <f t="shared" si="13"/>
        <v>382-2025</v>
      </c>
      <c r="G293" t="s">
        <v>965</v>
      </c>
      <c r="H293" t="s">
        <v>965</v>
      </c>
      <c r="I293">
        <v>59836926</v>
      </c>
      <c r="J293" t="s">
        <v>14</v>
      </c>
      <c r="K293" t="s">
        <v>17</v>
      </c>
      <c r="L293" t="s">
        <v>973</v>
      </c>
      <c r="M293" t="s">
        <v>775</v>
      </c>
    </row>
    <row r="294" spans="2:13" x14ac:dyDescent="0.25">
      <c r="B294">
        <v>-2025</v>
      </c>
      <c r="D294">
        <v>383</v>
      </c>
      <c r="E294" t="str">
        <f t="shared" si="12"/>
        <v>383</v>
      </c>
      <c r="F294" t="str">
        <f t="shared" si="13"/>
        <v>383-2025</v>
      </c>
      <c r="G294" t="s">
        <v>966</v>
      </c>
      <c r="H294" t="s">
        <v>966</v>
      </c>
      <c r="I294">
        <v>43624414</v>
      </c>
      <c r="J294" t="s">
        <v>14</v>
      </c>
      <c r="K294" t="s">
        <v>18</v>
      </c>
      <c r="L294" t="s">
        <v>973</v>
      </c>
      <c r="M294" t="s">
        <v>775</v>
      </c>
    </row>
    <row r="295" spans="2:13" x14ac:dyDescent="0.25">
      <c r="B295">
        <v>-2025</v>
      </c>
      <c r="D295">
        <v>384</v>
      </c>
      <c r="E295" t="str">
        <f t="shared" si="12"/>
        <v>384</v>
      </c>
      <c r="F295" t="str">
        <f t="shared" si="13"/>
        <v>384-2025</v>
      </c>
      <c r="G295" t="s">
        <v>966</v>
      </c>
      <c r="H295" t="s">
        <v>966</v>
      </c>
      <c r="I295">
        <v>43624414</v>
      </c>
      <c r="J295" t="s">
        <v>14</v>
      </c>
      <c r="K295" t="s">
        <v>18</v>
      </c>
      <c r="L295" t="s">
        <v>973</v>
      </c>
      <c r="M295" t="s">
        <v>775</v>
      </c>
    </row>
    <row r="296" spans="2:13" x14ac:dyDescent="0.25">
      <c r="B296">
        <v>-2025</v>
      </c>
      <c r="D296">
        <v>385</v>
      </c>
      <c r="E296" t="str">
        <f t="shared" si="12"/>
        <v>385</v>
      </c>
      <c r="F296" t="str">
        <f t="shared" si="13"/>
        <v>385-2025</v>
      </c>
      <c r="G296" t="s">
        <v>966</v>
      </c>
      <c r="H296" t="s">
        <v>966</v>
      </c>
      <c r="I296">
        <v>43624414</v>
      </c>
      <c r="J296" t="s">
        <v>14</v>
      </c>
      <c r="K296" t="s">
        <v>18</v>
      </c>
      <c r="L296" t="s">
        <v>973</v>
      </c>
      <c r="M296" t="s">
        <v>775</v>
      </c>
    </row>
    <row r="297" spans="2:13" x14ac:dyDescent="0.25">
      <c r="B297">
        <v>-2025</v>
      </c>
      <c r="D297">
        <v>387</v>
      </c>
      <c r="E297" t="str">
        <f t="shared" si="12"/>
        <v>387</v>
      </c>
      <c r="F297" t="str">
        <f t="shared" si="13"/>
        <v>387-2025</v>
      </c>
      <c r="G297" t="s">
        <v>966</v>
      </c>
      <c r="H297" t="s">
        <v>966</v>
      </c>
      <c r="I297">
        <v>43624414</v>
      </c>
      <c r="J297" t="s">
        <v>14</v>
      </c>
      <c r="K297" t="s">
        <v>18</v>
      </c>
      <c r="L297" t="s">
        <v>973</v>
      </c>
      <c r="M297" t="s">
        <v>775</v>
      </c>
    </row>
    <row r="298" spans="2:13" x14ac:dyDescent="0.25">
      <c r="B298">
        <v>-2025</v>
      </c>
      <c r="D298">
        <v>388</v>
      </c>
      <c r="E298" t="str">
        <f t="shared" si="12"/>
        <v>388</v>
      </c>
      <c r="F298" t="str">
        <f t="shared" si="13"/>
        <v>388-2025</v>
      </c>
      <c r="G298" t="s">
        <v>966</v>
      </c>
      <c r="H298" t="s">
        <v>966</v>
      </c>
      <c r="I298">
        <v>43624414</v>
      </c>
      <c r="J298" t="s">
        <v>14</v>
      </c>
      <c r="K298" t="s">
        <v>18</v>
      </c>
      <c r="L298" t="s">
        <v>973</v>
      </c>
      <c r="M298" t="s">
        <v>775</v>
      </c>
    </row>
    <row r="299" spans="2:13" x14ac:dyDescent="0.25">
      <c r="B299">
        <v>-2025</v>
      </c>
      <c r="D299">
        <v>389</v>
      </c>
      <c r="E299" t="str">
        <f t="shared" si="12"/>
        <v>389</v>
      </c>
      <c r="F299" t="str">
        <f t="shared" si="13"/>
        <v>389-2025</v>
      </c>
      <c r="G299" t="s">
        <v>966</v>
      </c>
      <c r="H299" t="s">
        <v>966</v>
      </c>
      <c r="I299">
        <v>43624414</v>
      </c>
      <c r="J299" t="s">
        <v>14</v>
      </c>
      <c r="K299" t="s">
        <v>18</v>
      </c>
      <c r="L299" t="s">
        <v>973</v>
      </c>
      <c r="M299" t="s">
        <v>775</v>
      </c>
    </row>
    <row r="300" spans="2:13" x14ac:dyDescent="0.25">
      <c r="B300">
        <v>-2025</v>
      </c>
      <c r="D300">
        <v>390</v>
      </c>
      <c r="E300" t="str">
        <f t="shared" si="12"/>
        <v>390</v>
      </c>
      <c r="F300" t="str">
        <f t="shared" si="13"/>
        <v>390-2025</v>
      </c>
      <c r="G300" t="s">
        <v>966</v>
      </c>
      <c r="H300" t="s">
        <v>966</v>
      </c>
      <c r="I300">
        <v>43624414</v>
      </c>
      <c r="J300" t="s">
        <v>14</v>
      </c>
      <c r="K300" t="s">
        <v>18</v>
      </c>
      <c r="L300" t="s">
        <v>973</v>
      </c>
      <c r="M300" t="s">
        <v>775</v>
      </c>
    </row>
    <row r="301" spans="2:13" x14ac:dyDescent="0.25">
      <c r="B301">
        <v>-2025</v>
      </c>
      <c r="D301">
        <v>392</v>
      </c>
      <c r="E301" t="str">
        <f t="shared" si="12"/>
        <v>392</v>
      </c>
      <c r="F301" t="str">
        <f t="shared" si="13"/>
        <v>392-2025</v>
      </c>
      <c r="G301" t="s">
        <v>966</v>
      </c>
      <c r="H301" t="s">
        <v>966</v>
      </c>
      <c r="I301">
        <v>43624414</v>
      </c>
      <c r="J301" t="s">
        <v>14</v>
      </c>
      <c r="K301" t="s">
        <v>18</v>
      </c>
      <c r="L301" t="s">
        <v>973</v>
      </c>
      <c r="M301" t="s">
        <v>775</v>
      </c>
    </row>
    <row r="302" spans="2:13" x14ac:dyDescent="0.25">
      <c r="B302">
        <v>-2025</v>
      </c>
      <c r="D302">
        <v>395</v>
      </c>
      <c r="E302" t="str">
        <f t="shared" si="12"/>
        <v>395</v>
      </c>
      <c r="F302" t="str">
        <f t="shared" si="13"/>
        <v>395-2025</v>
      </c>
      <c r="G302" t="s">
        <v>965</v>
      </c>
      <c r="H302" t="s">
        <v>965</v>
      </c>
      <c r="I302">
        <v>59836926</v>
      </c>
      <c r="J302" t="s">
        <v>14</v>
      </c>
      <c r="K302" t="s">
        <v>17</v>
      </c>
      <c r="L302" t="s">
        <v>973</v>
      </c>
      <c r="M302" t="s">
        <v>775</v>
      </c>
    </row>
    <row r="303" spans="2:13" x14ac:dyDescent="0.25">
      <c r="B303">
        <v>-2025</v>
      </c>
      <c r="D303">
        <v>397</v>
      </c>
      <c r="E303" t="str">
        <f t="shared" si="12"/>
        <v>397</v>
      </c>
      <c r="F303" t="str">
        <f t="shared" si="13"/>
        <v>397-2025</v>
      </c>
      <c r="G303" t="s">
        <v>965</v>
      </c>
      <c r="H303" t="s">
        <v>965</v>
      </c>
      <c r="I303">
        <v>59836926</v>
      </c>
      <c r="J303" t="s">
        <v>14</v>
      </c>
      <c r="K303" t="s">
        <v>17</v>
      </c>
      <c r="L303" t="s">
        <v>973</v>
      </c>
      <c r="M303" t="s">
        <v>775</v>
      </c>
    </row>
    <row r="304" spans="2:13" x14ac:dyDescent="0.25">
      <c r="B304">
        <v>-2025</v>
      </c>
      <c r="D304">
        <v>400</v>
      </c>
      <c r="E304" t="str">
        <f t="shared" si="12"/>
        <v>400</v>
      </c>
      <c r="F304" t="str">
        <f t="shared" si="13"/>
        <v>400-2025</v>
      </c>
      <c r="G304" t="s">
        <v>965</v>
      </c>
      <c r="H304" t="s">
        <v>965</v>
      </c>
      <c r="I304">
        <v>59836926</v>
      </c>
      <c r="J304" t="s">
        <v>14</v>
      </c>
      <c r="K304" t="s">
        <v>17</v>
      </c>
      <c r="L304" t="s">
        <v>973</v>
      </c>
      <c r="M304" t="s">
        <v>775</v>
      </c>
    </row>
    <row r="305" spans="2:13" x14ac:dyDescent="0.25">
      <c r="B305">
        <v>-2025</v>
      </c>
      <c r="D305">
        <v>402</v>
      </c>
      <c r="E305" t="str">
        <f t="shared" si="12"/>
        <v>402</v>
      </c>
      <c r="F305" t="str">
        <f t="shared" si="13"/>
        <v>402-2025</v>
      </c>
      <c r="G305" t="s">
        <v>966</v>
      </c>
      <c r="H305" t="s">
        <v>966</v>
      </c>
      <c r="I305">
        <v>43624414</v>
      </c>
      <c r="J305" t="s">
        <v>14</v>
      </c>
      <c r="K305" t="s">
        <v>18</v>
      </c>
      <c r="L305" t="s">
        <v>976</v>
      </c>
      <c r="M305" t="s">
        <v>744</v>
      </c>
    </row>
    <row r="306" spans="2:13" x14ac:dyDescent="0.25">
      <c r="B306">
        <v>-2025</v>
      </c>
      <c r="D306">
        <v>403</v>
      </c>
      <c r="E306" t="str">
        <f t="shared" si="12"/>
        <v>403</v>
      </c>
      <c r="F306" t="str">
        <f t="shared" si="13"/>
        <v>403-2025</v>
      </c>
      <c r="G306" t="s">
        <v>966</v>
      </c>
      <c r="H306" t="s">
        <v>966</v>
      </c>
      <c r="I306">
        <v>43624414</v>
      </c>
      <c r="J306" t="s">
        <v>14</v>
      </c>
      <c r="K306" t="s">
        <v>18</v>
      </c>
      <c r="L306" t="s">
        <v>976</v>
      </c>
      <c r="M306" t="s">
        <v>744</v>
      </c>
    </row>
    <row r="307" spans="2:13" x14ac:dyDescent="0.25">
      <c r="B307">
        <v>-2025</v>
      </c>
      <c r="D307">
        <v>404</v>
      </c>
      <c r="E307" t="str">
        <f t="shared" si="12"/>
        <v>404</v>
      </c>
      <c r="F307" t="str">
        <f t="shared" si="13"/>
        <v>404-2025</v>
      </c>
      <c r="G307" t="s">
        <v>966</v>
      </c>
      <c r="H307" t="s">
        <v>966</v>
      </c>
      <c r="I307">
        <v>43624414</v>
      </c>
      <c r="J307" t="s">
        <v>14</v>
      </c>
      <c r="K307" t="s">
        <v>18</v>
      </c>
      <c r="L307" t="s">
        <v>976</v>
      </c>
      <c r="M307" t="s">
        <v>744</v>
      </c>
    </row>
    <row r="308" spans="2:13" x14ac:dyDescent="0.25">
      <c r="B308">
        <v>-2025</v>
      </c>
      <c r="D308">
        <v>407</v>
      </c>
      <c r="E308" t="str">
        <f t="shared" si="12"/>
        <v>407</v>
      </c>
      <c r="F308" t="str">
        <f t="shared" si="13"/>
        <v>407-2025</v>
      </c>
      <c r="G308" t="s">
        <v>965</v>
      </c>
      <c r="H308" t="s">
        <v>965</v>
      </c>
      <c r="I308">
        <v>59836926</v>
      </c>
      <c r="J308" t="s">
        <v>14</v>
      </c>
      <c r="K308" t="s">
        <v>17</v>
      </c>
      <c r="L308" t="s">
        <v>976</v>
      </c>
      <c r="M308" t="s">
        <v>744</v>
      </c>
    </row>
    <row r="309" spans="2:13" x14ac:dyDescent="0.25">
      <c r="B309">
        <v>-2025</v>
      </c>
      <c r="D309">
        <v>412</v>
      </c>
      <c r="E309" t="str">
        <f t="shared" si="12"/>
        <v>412</v>
      </c>
      <c r="F309" t="str">
        <f t="shared" si="13"/>
        <v>412-2025</v>
      </c>
      <c r="G309" t="s">
        <v>965</v>
      </c>
      <c r="H309" t="s">
        <v>965</v>
      </c>
      <c r="I309">
        <v>59836926</v>
      </c>
      <c r="J309" t="s">
        <v>14</v>
      </c>
      <c r="K309" t="s">
        <v>17</v>
      </c>
      <c r="L309" t="s">
        <v>974</v>
      </c>
      <c r="M309" t="s">
        <v>775</v>
      </c>
    </row>
    <row r="310" spans="2:13" x14ac:dyDescent="0.25">
      <c r="B310">
        <v>-2025</v>
      </c>
      <c r="D310">
        <v>414</v>
      </c>
      <c r="E310" t="str">
        <f t="shared" si="12"/>
        <v>414</v>
      </c>
      <c r="F310" t="str">
        <f t="shared" si="13"/>
        <v>414-2025</v>
      </c>
      <c r="G310" t="s">
        <v>965</v>
      </c>
      <c r="H310" t="s">
        <v>965</v>
      </c>
      <c r="I310">
        <v>59836926</v>
      </c>
      <c r="J310" t="s">
        <v>14</v>
      </c>
      <c r="K310" t="s">
        <v>17</v>
      </c>
      <c r="L310" t="s">
        <v>974</v>
      </c>
      <c r="M310" t="s">
        <v>775</v>
      </c>
    </row>
    <row r="311" spans="2:13" x14ac:dyDescent="0.25">
      <c r="B311">
        <v>-2025</v>
      </c>
      <c r="D311">
        <v>420</v>
      </c>
      <c r="E311" t="str">
        <f t="shared" si="12"/>
        <v>420</v>
      </c>
      <c r="F311" t="str">
        <f t="shared" si="13"/>
        <v>420-2025</v>
      </c>
      <c r="G311" t="s">
        <v>966</v>
      </c>
      <c r="H311" t="s">
        <v>966</v>
      </c>
      <c r="I311">
        <v>43624414</v>
      </c>
      <c r="J311" t="s">
        <v>14</v>
      </c>
      <c r="K311" t="s">
        <v>18</v>
      </c>
      <c r="L311" t="s">
        <v>974</v>
      </c>
      <c r="M311" t="s">
        <v>775</v>
      </c>
    </row>
    <row r="312" spans="2:13" x14ac:dyDescent="0.25">
      <c r="B312">
        <v>-2025</v>
      </c>
      <c r="D312">
        <v>434</v>
      </c>
      <c r="E312" t="str">
        <f t="shared" si="12"/>
        <v>434</v>
      </c>
      <c r="F312" t="str">
        <f t="shared" si="13"/>
        <v>434-2025</v>
      </c>
      <c r="G312" t="s">
        <v>966</v>
      </c>
      <c r="H312" t="s">
        <v>966</v>
      </c>
      <c r="I312">
        <v>43624414</v>
      </c>
      <c r="J312" t="s">
        <v>14</v>
      </c>
      <c r="K312" t="s">
        <v>18</v>
      </c>
      <c r="L312" t="s">
        <v>975</v>
      </c>
      <c r="M312" t="s">
        <v>744</v>
      </c>
    </row>
    <row r="313" spans="2:13" x14ac:dyDescent="0.25">
      <c r="B313">
        <v>-2025</v>
      </c>
      <c r="D313">
        <v>435</v>
      </c>
      <c r="E313" t="str">
        <f t="shared" si="12"/>
        <v>435</v>
      </c>
      <c r="F313" t="str">
        <f t="shared" si="13"/>
        <v>435-2025</v>
      </c>
      <c r="G313" t="s">
        <v>966</v>
      </c>
      <c r="H313" t="s">
        <v>966</v>
      </c>
      <c r="I313">
        <v>43624414</v>
      </c>
      <c r="J313" t="s">
        <v>14</v>
      </c>
      <c r="K313" t="s">
        <v>18</v>
      </c>
      <c r="L313" t="s">
        <v>973</v>
      </c>
      <c r="M313" t="s">
        <v>775</v>
      </c>
    </row>
    <row r="314" spans="2:13" x14ac:dyDescent="0.25">
      <c r="B314">
        <v>-2025</v>
      </c>
      <c r="D314">
        <v>437</v>
      </c>
      <c r="E314" t="str">
        <f t="shared" si="12"/>
        <v>437</v>
      </c>
      <c r="F314" t="str">
        <f t="shared" si="13"/>
        <v>437-2025</v>
      </c>
      <c r="G314" t="s">
        <v>965</v>
      </c>
      <c r="H314" t="s">
        <v>965</v>
      </c>
      <c r="I314">
        <v>59836926</v>
      </c>
      <c r="J314" t="s">
        <v>14</v>
      </c>
      <c r="K314" t="s">
        <v>17</v>
      </c>
      <c r="L314" t="s">
        <v>973</v>
      </c>
      <c r="M314" t="s">
        <v>775</v>
      </c>
    </row>
    <row r="315" spans="2:13" x14ac:dyDescent="0.25">
      <c r="B315">
        <v>-2025</v>
      </c>
      <c r="D315">
        <v>438</v>
      </c>
      <c r="E315" t="str">
        <f t="shared" si="12"/>
        <v>438</v>
      </c>
      <c r="F315" t="str">
        <f t="shared" si="13"/>
        <v>438-2025</v>
      </c>
      <c r="G315" t="s">
        <v>965</v>
      </c>
      <c r="H315" t="s">
        <v>965</v>
      </c>
      <c r="I315">
        <v>59836926</v>
      </c>
      <c r="J315" t="s">
        <v>14</v>
      </c>
      <c r="K315" t="s">
        <v>17</v>
      </c>
      <c r="L315" t="s">
        <v>973</v>
      </c>
      <c r="M315" t="s">
        <v>775</v>
      </c>
    </row>
    <row r="316" spans="2:13" x14ac:dyDescent="0.25">
      <c r="B316">
        <v>-2025</v>
      </c>
      <c r="D316">
        <v>441</v>
      </c>
      <c r="E316" t="str">
        <f t="shared" si="12"/>
        <v>441</v>
      </c>
      <c r="F316" t="str">
        <f t="shared" si="13"/>
        <v>441-2025</v>
      </c>
      <c r="G316" t="s">
        <v>968</v>
      </c>
      <c r="H316" t="s">
        <v>968</v>
      </c>
      <c r="I316">
        <v>98390119</v>
      </c>
      <c r="J316" t="s">
        <v>14</v>
      </c>
      <c r="K316" t="s">
        <v>63</v>
      </c>
      <c r="L316" t="s">
        <v>973</v>
      </c>
      <c r="M316" t="s">
        <v>775</v>
      </c>
    </row>
    <row r="317" spans="2:13" x14ac:dyDescent="0.25">
      <c r="B317">
        <v>-2025</v>
      </c>
      <c r="D317">
        <v>444</v>
      </c>
      <c r="E317" t="str">
        <f t="shared" si="12"/>
        <v>444</v>
      </c>
      <c r="F317" t="str">
        <f t="shared" si="13"/>
        <v>444-2025</v>
      </c>
      <c r="G317" t="s">
        <v>965</v>
      </c>
      <c r="H317" t="s">
        <v>965</v>
      </c>
      <c r="I317">
        <v>59836926</v>
      </c>
      <c r="J317" t="s">
        <v>14</v>
      </c>
      <c r="K317" t="s">
        <v>17</v>
      </c>
      <c r="L317" t="s">
        <v>973</v>
      </c>
      <c r="M317" t="s">
        <v>775</v>
      </c>
    </row>
    <row r="318" spans="2:13" x14ac:dyDescent="0.25">
      <c r="B318">
        <v>-2025</v>
      </c>
      <c r="D318">
        <v>445</v>
      </c>
      <c r="E318" t="str">
        <f t="shared" si="12"/>
        <v>445</v>
      </c>
      <c r="F318" t="str">
        <f t="shared" si="13"/>
        <v>445-2025</v>
      </c>
      <c r="G318" t="s">
        <v>965</v>
      </c>
      <c r="H318" t="s">
        <v>965</v>
      </c>
      <c r="I318">
        <v>59836926</v>
      </c>
      <c r="J318" t="s">
        <v>14</v>
      </c>
      <c r="K318" t="s">
        <v>17</v>
      </c>
      <c r="L318" t="s">
        <v>973</v>
      </c>
      <c r="M318" t="s">
        <v>775</v>
      </c>
    </row>
    <row r="319" spans="2:13" x14ac:dyDescent="0.25">
      <c r="B319">
        <v>-2025</v>
      </c>
      <c r="D319">
        <v>446</v>
      </c>
      <c r="E319" t="str">
        <f t="shared" si="12"/>
        <v>446</v>
      </c>
      <c r="F319" t="str">
        <f t="shared" si="13"/>
        <v>446-2025</v>
      </c>
      <c r="G319" t="s">
        <v>965</v>
      </c>
      <c r="H319" t="s">
        <v>965</v>
      </c>
      <c r="I319">
        <v>59836926</v>
      </c>
      <c r="J319" t="s">
        <v>14</v>
      </c>
      <c r="K319" t="s">
        <v>17</v>
      </c>
      <c r="L319" t="s">
        <v>975</v>
      </c>
      <c r="M319" t="s">
        <v>744</v>
      </c>
    </row>
    <row r="320" spans="2:13" x14ac:dyDescent="0.25">
      <c r="B320">
        <v>-2025</v>
      </c>
      <c r="D320">
        <v>447</v>
      </c>
      <c r="E320" t="str">
        <f t="shared" si="12"/>
        <v>447</v>
      </c>
      <c r="F320" t="str">
        <f t="shared" si="13"/>
        <v>447-2025</v>
      </c>
      <c r="G320" t="s">
        <v>965</v>
      </c>
      <c r="H320" t="s">
        <v>965</v>
      </c>
      <c r="I320">
        <v>59836926</v>
      </c>
      <c r="J320" t="s">
        <v>14</v>
      </c>
      <c r="K320" t="s">
        <v>17</v>
      </c>
      <c r="L320" t="s">
        <v>978</v>
      </c>
      <c r="M320" t="s">
        <v>793</v>
      </c>
    </row>
    <row r="321" spans="2:13" x14ac:dyDescent="0.25">
      <c r="B321">
        <v>-2025</v>
      </c>
      <c r="D321">
        <v>448</v>
      </c>
      <c r="E321" t="str">
        <f t="shared" si="12"/>
        <v>448</v>
      </c>
      <c r="F321" t="str">
        <f t="shared" si="13"/>
        <v>448-2025</v>
      </c>
      <c r="G321" t="s">
        <v>966</v>
      </c>
      <c r="H321" t="s">
        <v>966</v>
      </c>
      <c r="I321">
        <v>43624414</v>
      </c>
      <c r="J321" t="s">
        <v>14</v>
      </c>
      <c r="K321" t="s">
        <v>18</v>
      </c>
      <c r="L321" t="s">
        <v>976</v>
      </c>
      <c r="M321" t="s">
        <v>744</v>
      </c>
    </row>
    <row r="322" spans="2:13" x14ac:dyDescent="0.25">
      <c r="B322">
        <v>-2025</v>
      </c>
      <c r="D322">
        <v>449</v>
      </c>
      <c r="E322" t="str">
        <f t="shared" si="12"/>
        <v>449</v>
      </c>
      <c r="F322" t="str">
        <f t="shared" si="13"/>
        <v>449-2025</v>
      </c>
      <c r="G322" t="s">
        <v>965</v>
      </c>
      <c r="H322" t="s">
        <v>965</v>
      </c>
      <c r="I322">
        <v>59836926</v>
      </c>
      <c r="J322" t="s">
        <v>14</v>
      </c>
      <c r="K322" t="s">
        <v>17</v>
      </c>
      <c r="L322" t="s">
        <v>973</v>
      </c>
      <c r="M322" t="s">
        <v>775</v>
      </c>
    </row>
    <row r="323" spans="2:13" x14ac:dyDescent="0.25">
      <c r="B323">
        <v>-2025</v>
      </c>
      <c r="D323">
        <v>450</v>
      </c>
      <c r="E323" t="str">
        <f t="shared" ref="E323:E381" si="14">_xlfn.CONCAT(C323,D323)</f>
        <v>450</v>
      </c>
      <c r="F323" t="str">
        <f t="shared" ref="F323:F381" si="15">_xlfn.CONCAT(E323,B323)</f>
        <v>450-2025</v>
      </c>
      <c r="G323" t="s">
        <v>968</v>
      </c>
      <c r="H323" t="s">
        <v>968</v>
      </c>
      <c r="I323">
        <v>98390119</v>
      </c>
      <c r="J323" t="s">
        <v>14</v>
      </c>
      <c r="K323" t="s">
        <v>63</v>
      </c>
      <c r="L323" t="s">
        <v>973</v>
      </c>
      <c r="M323" t="s">
        <v>775</v>
      </c>
    </row>
    <row r="324" spans="2:13" x14ac:dyDescent="0.25">
      <c r="B324">
        <v>-2025</v>
      </c>
      <c r="D324">
        <v>451</v>
      </c>
      <c r="E324" t="str">
        <f t="shared" si="14"/>
        <v>451</v>
      </c>
      <c r="F324" t="str">
        <f t="shared" si="15"/>
        <v>451-2025</v>
      </c>
      <c r="G324" t="s">
        <v>965</v>
      </c>
      <c r="H324" t="s">
        <v>965</v>
      </c>
      <c r="I324">
        <v>59836926</v>
      </c>
      <c r="J324" t="s">
        <v>14</v>
      </c>
      <c r="K324" t="s">
        <v>17</v>
      </c>
      <c r="L324" t="s">
        <v>973</v>
      </c>
      <c r="M324" t="s">
        <v>775</v>
      </c>
    </row>
    <row r="325" spans="2:13" x14ac:dyDescent="0.25">
      <c r="B325">
        <v>-2025</v>
      </c>
      <c r="D325">
        <v>452</v>
      </c>
      <c r="E325" t="str">
        <f t="shared" si="14"/>
        <v>452</v>
      </c>
      <c r="F325" t="str">
        <f t="shared" si="15"/>
        <v>452-2025</v>
      </c>
      <c r="G325" t="s">
        <v>968</v>
      </c>
      <c r="H325" t="s">
        <v>968</v>
      </c>
      <c r="I325">
        <v>98390119</v>
      </c>
      <c r="J325" t="s">
        <v>14</v>
      </c>
      <c r="K325" t="s">
        <v>63</v>
      </c>
      <c r="L325" t="s">
        <v>974</v>
      </c>
      <c r="M325" t="s">
        <v>775</v>
      </c>
    </row>
    <row r="326" spans="2:13" x14ac:dyDescent="0.25">
      <c r="B326">
        <v>-2025</v>
      </c>
      <c r="D326">
        <v>453</v>
      </c>
      <c r="E326" t="str">
        <f t="shared" si="14"/>
        <v>453</v>
      </c>
      <c r="F326" t="str">
        <f t="shared" si="15"/>
        <v>453-2025</v>
      </c>
      <c r="G326" t="s">
        <v>968</v>
      </c>
      <c r="H326" t="s">
        <v>968</v>
      </c>
      <c r="I326">
        <v>98390119</v>
      </c>
      <c r="J326" t="s">
        <v>14</v>
      </c>
      <c r="K326" t="s">
        <v>63</v>
      </c>
      <c r="L326" t="s">
        <v>974</v>
      </c>
      <c r="M326" t="s">
        <v>775</v>
      </c>
    </row>
    <row r="327" spans="2:13" x14ac:dyDescent="0.25">
      <c r="B327">
        <v>-2025</v>
      </c>
      <c r="D327">
        <v>454</v>
      </c>
      <c r="E327" t="str">
        <f t="shared" si="14"/>
        <v>454</v>
      </c>
      <c r="F327" t="str">
        <f t="shared" si="15"/>
        <v>454-2025</v>
      </c>
      <c r="G327" t="s">
        <v>968</v>
      </c>
      <c r="H327" t="s">
        <v>968</v>
      </c>
      <c r="I327">
        <v>98390119</v>
      </c>
      <c r="J327" t="s">
        <v>14</v>
      </c>
      <c r="K327" t="s">
        <v>63</v>
      </c>
      <c r="L327" t="s">
        <v>973</v>
      </c>
      <c r="M327" t="s">
        <v>775</v>
      </c>
    </row>
    <row r="328" spans="2:13" x14ac:dyDescent="0.25">
      <c r="B328">
        <v>-2025</v>
      </c>
      <c r="D328">
        <v>455</v>
      </c>
      <c r="E328" t="str">
        <f t="shared" si="14"/>
        <v>455</v>
      </c>
      <c r="F328" t="str">
        <f t="shared" si="15"/>
        <v>455-2025</v>
      </c>
      <c r="G328" t="s">
        <v>966</v>
      </c>
      <c r="H328" t="s">
        <v>966</v>
      </c>
      <c r="I328">
        <v>43624414</v>
      </c>
      <c r="J328" t="s">
        <v>14</v>
      </c>
      <c r="K328" t="s">
        <v>18</v>
      </c>
      <c r="L328" t="s">
        <v>973</v>
      </c>
      <c r="M328" t="s">
        <v>775</v>
      </c>
    </row>
    <row r="329" spans="2:13" x14ac:dyDescent="0.25">
      <c r="B329">
        <v>-2025</v>
      </c>
      <c r="D329">
        <v>456</v>
      </c>
      <c r="E329" t="str">
        <f t="shared" si="14"/>
        <v>456</v>
      </c>
      <c r="F329" t="str">
        <f t="shared" si="15"/>
        <v>456-2025</v>
      </c>
      <c r="G329" t="s">
        <v>968</v>
      </c>
      <c r="H329" t="s">
        <v>968</v>
      </c>
      <c r="I329">
        <v>98390119</v>
      </c>
      <c r="J329" t="s">
        <v>14</v>
      </c>
      <c r="K329" t="s">
        <v>63</v>
      </c>
      <c r="L329" t="s">
        <v>973</v>
      </c>
      <c r="M329" t="s">
        <v>775</v>
      </c>
    </row>
    <row r="330" spans="2:13" x14ac:dyDescent="0.25">
      <c r="B330">
        <v>-2025</v>
      </c>
      <c r="D330">
        <v>457</v>
      </c>
      <c r="E330" t="str">
        <f t="shared" si="14"/>
        <v>457</v>
      </c>
      <c r="F330" t="str">
        <f t="shared" si="15"/>
        <v>457-2025</v>
      </c>
      <c r="G330" t="s">
        <v>965</v>
      </c>
      <c r="H330" t="s">
        <v>965</v>
      </c>
      <c r="I330">
        <v>59836926</v>
      </c>
      <c r="J330" t="s">
        <v>14</v>
      </c>
      <c r="K330" t="s">
        <v>17</v>
      </c>
      <c r="L330" t="s">
        <v>974</v>
      </c>
      <c r="M330" t="s">
        <v>775</v>
      </c>
    </row>
    <row r="331" spans="2:13" x14ac:dyDescent="0.25">
      <c r="B331">
        <v>-2025</v>
      </c>
      <c r="D331">
        <v>458</v>
      </c>
      <c r="E331" t="str">
        <f t="shared" si="14"/>
        <v>458</v>
      </c>
      <c r="F331" t="str">
        <f t="shared" si="15"/>
        <v>458-2025</v>
      </c>
      <c r="G331" t="s">
        <v>966</v>
      </c>
      <c r="H331" t="s">
        <v>966</v>
      </c>
      <c r="I331">
        <v>43624414</v>
      </c>
      <c r="J331" t="s">
        <v>14</v>
      </c>
      <c r="K331" t="s">
        <v>18</v>
      </c>
      <c r="L331" t="s">
        <v>973</v>
      </c>
      <c r="M331" t="s">
        <v>775</v>
      </c>
    </row>
    <row r="332" spans="2:13" x14ac:dyDescent="0.25">
      <c r="B332">
        <v>-2025</v>
      </c>
      <c r="D332">
        <v>477</v>
      </c>
      <c r="E332" t="str">
        <f t="shared" si="14"/>
        <v>477</v>
      </c>
      <c r="F332" t="str">
        <f t="shared" si="15"/>
        <v>477-2025</v>
      </c>
      <c r="G332" t="s">
        <v>966</v>
      </c>
      <c r="H332" t="s">
        <v>966</v>
      </c>
      <c r="I332">
        <v>43624414</v>
      </c>
      <c r="J332" t="s">
        <v>14</v>
      </c>
      <c r="K332" t="s">
        <v>18</v>
      </c>
      <c r="L332" t="s">
        <v>973</v>
      </c>
      <c r="M332" t="s">
        <v>775</v>
      </c>
    </row>
    <row r="333" spans="2:13" x14ac:dyDescent="0.25">
      <c r="B333">
        <v>-2025</v>
      </c>
      <c r="D333">
        <v>495</v>
      </c>
      <c r="E333" t="str">
        <f t="shared" si="14"/>
        <v>495</v>
      </c>
      <c r="F333" t="str">
        <f t="shared" si="15"/>
        <v>495-2025</v>
      </c>
      <c r="G333" t="s">
        <v>966</v>
      </c>
      <c r="H333" t="s">
        <v>966</v>
      </c>
      <c r="I333">
        <v>43624414</v>
      </c>
      <c r="J333" t="s">
        <v>14</v>
      </c>
      <c r="K333" t="s">
        <v>18</v>
      </c>
      <c r="L333" t="s">
        <v>973</v>
      </c>
      <c r="M333" t="s">
        <v>775</v>
      </c>
    </row>
    <row r="334" spans="2:13" x14ac:dyDescent="0.25">
      <c r="B334">
        <v>-2025</v>
      </c>
      <c r="D334">
        <v>500</v>
      </c>
      <c r="E334" t="str">
        <f t="shared" si="14"/>
        <v>500</v>
      </c>
      <c r="F334" t="str">
        <f t="shared" si="15"/>
        <v>500-2025</v>
      </c>
      <c r="G334" t="s">
        <v>968</v>
      </c>
      <c r="H334" t="s">
        <v>968</v>
      </c>
      <c r="I334">
        <v>98390119</v>
      </c>
      <c r="J334" t="s">
        <v>14</v>
      </c>
      <c r="K334" t="s">
        <v>63</v>
      </c>
      <c r="L334" t="s">
        <v>973</v>
      </c>
      <c r="M334" t="s">
        <v>775</v>
      </c>
    </row>
    <row r="335" spans="2:13" x14ac:dyDescent="0.25">
      <c r="B335">
        <v>-2025</v>
      </c>
      <c r="D335">
        <v>506</v>
      </c>
      <c r="E335" t="str">
        <f t="shared" si="14"/>
        <v>506</v>
      </c>
      <c r="F335" t="str">
        <f t="shared" si="15"/>
        <v>506-2025</v>
      </c>
      <c r="G335" t="s">
        <v>965</v>
      </c>
      <c r="H335" t="s">
        <v>965</v>
      </c>
      <c r="I335">
        <v>59836926</v>
      </c>
      <c r="J335" t="s">
        <v>14</v>
      </c>
      <c r="K335" t="s">
        <v>17</v>
      </c>
      <c r="L335" t="s">
        <v>975</v>
      </c>
      <c r="M335" t="s">
        <v>744</v>
      </c>
    </row>
    <row r="336" spans="2:13" x14ac:dyDescent="0.25">
      <c r="B336">
        <v>-2025</v>
      </c>
      <c r="D336">
        <v>507</v>
      </c>
      <c r="E336" t="str">
        <f t="shared" si="14"/>
        <v>507</v>
      </c>
      <c r="F336" t="str">
        <f t="shared" si="15"/>
        <v>507-2025</v>
      </c>
      <c r="G336" t="s">
        <v>968</v>
      </c>
      <c r="H336" t="s">
        <v>968</v>
      </c>
      <c r="I336">
        <v>98390119</v>
      </c>
      <c r="J336" t="s">
        <v>14</v>
      </c>
      <c r="K336" t="s">
        <v>63</v>
      </c>
      <c r="L336" t="s">
        <v>978</v>
      </c>
      <c r="M336" t="s">
        <v>793</v>
      </c>
    </row>
    <row r="337" spans="2:13" x14ac:dyDescent="0.25">
      <c r="B337">
        <v>-2025</v>
      </c>
      <c r="D337">
        <v>508</v>
      </c>
      <c r="E337" t="str">
        <f t="shared" si="14"/>
        <v>508</v>
      </c>
      <c r="F337" t="str">
        <f t="shared" si="15"/>
        <v>508-2025</v>
      </c>
      <c r="G337" t="s">
        <v>966</v>
      </c>
      <c r="H337" t="s">
        <v>966</v>
      </c>
      <c r="I337">
        <v>43624414</v>
      </c>
      <c r="J337" t="s">
        <v>14</v>
      </c>
      <c r="K337" t="s">
        <v>18</v>
      </c>
      <c r="L337" t="s">
        <v>976</v>
      </c>
      <c r="M337" t="s">
        <v>744</v>
      </c>
    </row>
    <row r="338" spans="2:13" x14ac:dyDescent="0.25">
      <c r="B338">
        <v>-2025</v>
      </c>
      <c r="D338">
        <v>509</v>
      </c>
      <c r="E338" t="str">
        <f t="shared" si="14"/>
        <v>509</v>
      </c>
      <c r="F338" t="str">
        <f t="shared" si="15"/>
        <v>509-2025</v>
      </c>
      <c r="G338" t="s">
        <v>966</v>
      </c>
      <c r="H338" t="s">
        <v>966</v>
      </c>
      <c r="I338">
        <v>43624414</v>
      </c>
      <c r="J338" t="s">
        <v>14</v>
      </c>
      <c r="K338" t="s">
        <v>18</v>
      </c>
      <c r="L338" t="s">
        <v>974</v>
      </c>
      <c r="M338" t="s">
        <v>775</v>
      </c>
    </row>
    <row r="339" spans="2:13" x14ac:dyDescent="0.25">
      <c r="B339">
        <v>-2025</v>
      </c>
      <c r="D339">
        <v>512</v>
      </c>
      <c r="E339" t="str">
        <f t="shared" si="14"/>
        <v>512</v>
      </c>
      <c r="F339" t="str">
        <f t="shared" si="15"/>
        <v>512-2025</v>
      </c>
      <c r="G339" t="s">
        <v>966</v>
      </c>
      <c r="H339" t="s">
        <v>966</v>
      </c>
      <c r="I339">
        <v>43624414</v>
      </c>
      <c r="J339" t="s">
        <v>14</v>
      </c>
      <c r="K339" t="s">
        <v>18</v>
      </c>
      <c r="L339" t="s">
        <v>973</v>
      </c>
      <c r="M339" t="s">
        <v>775</v>
      </c>
    </row>
    <row r="340" spans="2:13" x14ac:dyDescent="0.25">
      <c r="B340">
        <v>-2025</v>
      </c>
      <c r="D340">
        <v>514</v>
      </c>
      <c r="E340" t="str">
        <f t="shared" si="14"/>
        <v>514</v>
      </c>
      <c r="F340" t="str">
        <f t="shared" si="15"/>
        <v>514-2025</v>
      </c>
      <c r="G340" t="s">
        <v>966</v>
      </c>
      <c r="H340" t="s">
        <v>966</v>
      </c>
      <c r="I340">
        <v>43624414</v>
      </c>
      <c r="J340" t="s">
        <v>14</v>
      </c>
      <c r="K340" t="s">
        <v>18</v>
      </c>
      <c r="L340" t="s">
        <v>973</v>
      </c>
      <c r="M340" t="s">
        <v>775</v>
      </c>
    </row>
    <row r="341" spans="2:13" x14ac:dyDescent="0.25">
      <c r="B341">
        <v>-2025</v>
      </c>
      <c r="D341">
        <v>515</v>
      </c>
      <c r="E341" t="str">
        <f t="shared" si="14"/>
        <v>515</v>
      </c>
      <c r="F341" t="str">
        <f t="shared" si="15"/>
        <v>515-2025</v>
      </c>
      <c r="G341" t="s">
        <v>967</v>
      </c>
      <c r="H341" t="s">
        <v>967</v>
      </c>
      <c r="I341">
        <v>98333941</v>
      </c>
      <c r="J341" t="s">
        <v>14</v>
      </c>
      <c r="K341" t="s">
        <v>15</v>
      </c>
      <c r="L341" t="s">
        <v>973</v>
      </c>
      <c r="M341" t="s">
        <v>775</v>
      </c>
    </row>
    <row r="342" spans="2:13" x14ac:dyDescent="0.25">
      <c r="B342">
        <v>-2025</v>
      </c>
      <c r="D342">
        <v>516</v>
      </c>
      <c r="E342" t="str">
        <f t="shared" si="14"/>
        <v>516</v>
      </c>
      <c r="F342" t="str">
        <f t="shared" si="15"/>
        <v>516-2025</v>
      </c>
      <c r="G342" t="s">
        <v>967</v>
      </c>
      <c r="H342" t="s">
        <v>967</v>
      </c>
      <c r="I342">
        <v>98333941</v>
      </c>
      <c r="J342" t="s">
        <v>14</v>
      </c>
      <c r="K342" t="s">
        <v>15</v>
      </c>
      <c r="L342" t="s">
        <v>973</v>
      </c>
      <c r="M342" t="s">
        <v>775</v>
      </c>
    </row>
    <row r="343" spans="2:13" x14ac:dyDescent="0.25">
      <c r="B343">
        <v>-2025</v>
      </c>
      <c r="D343">
        <v>523</v>
      </c>
      <c r="E343" t="str">
        <f t="shared" si="14"/>
        <v>523</v>
      </c>
      <c r="F343" t="str">
        <f t="shared" si="15"/>
        <v>523-2025</v>
      </c>
      <c r="G343" t="s">
        <v>966</v>
      </c>
      <c r="H343" t="s">
        <v>966</v>
      </c>
      <c r="I343">
        <v>43624414</v>
      </c>
      <c r="J343" t="s">
        <v>14</v>
      </c>
      <c r="K343" t="s">
        <v>18</v>
      </c>
      <c r="L343" t="s">
        <v>974</v>
      </c>
      <c r="M343" t="s">
        <v>775</v>
      </c>
    </row>
    <row r="344" spans="2:13" x14ac:dyDescent="0.25">
      <c r="B344">
        <v>-2025</v>
      </c>
      <c r="D344">
        <v>525</v>
      </c>
      <c r="E344" t="str">
        <f t="shared" si="14"/>
        <v>525</v>
      </c>
      <c r="F344" t="str">
        <f t="shared" si="15"/>
        <v>525-2025</v>
      </c>
      <c r="G344" t="s">
        <v>966</v>
      </c>
      <c r="H344" t="s">
        <v>966</v>
      </c>
      <c r="I344">
        <v>43624414</v>
      </c>
      <c r="J344" t="s">
        <v>14</v>
      </c>
      <c r="K344" t="s">
        <v>18</v>
      </c>
      <c r="L344" t="s">
        <v>973</v>
      </c>
      <c r="M344" t="s">
        <v>775</v>
      </c>
    </row>
    <row r="345" spans="2:13" x14ac:dyDescent="0.25">
      <c r="B345">
        <v>-2025</v>
      </c>
      <c r="D345">
        <v>526</v>
      </c>
      <c r="E345" t="str">
        <f t="shared" si="14"/>
        <v>526</v>
      </c>
      <c r="F345" t="str">
        <f t="shared" si="15"/>
        <v>526-2025</v>
      </c>
      <c r="G345" t="s">
        <v>966</v>
      </c>
      <c r="H345" t="s">
        <v>966</v>
      </c>
      <c r="I345">
        <v>43624414</v>
      </c>
      <c r="J345" t="s">
        <v>14</v>
      </c>
      <c r="K345" t="s">
        <v>18</v>
      </c>
      <c r="L345" t="s">
        <v>973</v>
      </c>
      <c r="M345" t="s">
        <v>775</v>
      </c>
    </row>
    <row r="346" spans="2:13" x14ac:dyDescent="0.25">
      <c r="B346">
        <v>-2025</v>
      </c>
      <c r="D346">
        <v>532</v>
      </c>
      <c r="E346" t="str">
        <f t="shared" si="14"/>
        <v>532</v>
      </c>
      <c r="F346" t="str">
        <f t="shared" si="15"/>
        <v>532-2025</v>
      </c>
      <c r="G346" t="s">
        <v>966</v>
      </c>
      <c r="H346" t="s">
        <v>966</v>
      </c>
      <c r="I346">
        <v>43624414</v>
      </c>
      <c r="J346" t="s">
        <v>14</v>
      </c>
      <c r="K346" t="s">
        <v>18</v>
      </c>
      <c r="L346" t="s">
        <v>973</v>
      </c>
      <c r="M346" t="s">
        <v>775</v>
      </c>
    </row>
    <row r="347" spans="2:13" x14ac:dyDescent="0.25">
      <c r="B347">
        <v>-2025</v>
      </c>
      <c r="D347">
        <v>533</v>
      </c>
      <c r="E347" t="str">
        <f t="shared" si="14"/>
        <v>533</v>
      </c>
      <c r="F347" t="str">
        <f t="shared" si="15"/>
        <v>533-2025</v>
      </c>
      <c r="G347" t="s">
        <v>966</v>
      </c>
      <c r="H347" t="s">
        <v>966</v>
      </c>
      <c r="I347">
        <v>43624414</v>
      </c>
      <c r="J347" t="s">
        <v>14</v>
      </c>
      <c r="K347" t="s">
        <v>18</v>
      </c>
      <c r="L347" t="s">
        <v>974</v>
      </c>
      <c r="M347" t="s">
        <v>775</v>
      </c>
    </row>
    <row r="348" spans="2:13" x14ac:dyDescent="0.25">
      <c r="B348">
        <v>-2025</v>
      </c>
      <c r="D348">
        <v>536</v>
      </c>
      <c r="E348" t="str">
        <f t="shared" si="14"/>
        <v>536</v>
      </c>
      <c r="F348" t="str">
        <f t="shared" si="15"/>
        <v>536-2025</v>
      </c>
      <c r="G348" t="s">
        <v>966</v>
      </c>
      <c r="H348" t="s">
        <v>966</v>
      </c>
      <c r="I348">
        <v>43624414</v>
      </c>
      <c r="J348" t="s">
        <v>14</v>
      </c>
      <c r="K348" t="s">
        <v>18</v>
      </c>
      <c r="L348" t="s">
        <v>973</v>
      </c>
      <c r="M348" t="s">
        <v>775</v>
      </c>
    </row>
    <row r="349" spans="2:13" x14ac:dyDescent="0.25">
      <c r="B349">
        <v>-2025</v>
      </c>
      <c r="D349">
        <v>537</v>
      </c>
      <c r="E349" t="str">
        <f t="shared" si="14"/>
        <v>537</v>
      </c>
      <c r="F349" t="str">
        <f t="shared" si="15"/>
        <v>537-2025</v>
      </c>
      <c r="G349" t="s">
        <v>966</v>
      </c>
      <c r="H349" t="s">
        <v>966</v>
      </c>
      <c r="I349">
        <v>43624414</v>
      </c>
      <c r="J349" t="s">
        <v>14</v>
      </c>
      <c r="K349" t="s">
        <v>18</v>
      </c>
      <c r="L349" t="s">
        <v>973</v>
      </c>
      <c r="M349" t="s">
        <v>775</v>
      </c>
    </row>
    <row r="350" spans="2:13" x14ac:dyDescent="0.25">
      <c r="B350">
        <v>-2025</v>
      </c>
      <c r="D350">
        <v>538</v>
      </c>
      <c r="E350" t="str">
        <f t="shared" si="14"/>
        <v>538</v>
      </c>
      <c r="F350" t="str">
        <f t="shared" si="15"/>
        <v>538-2025</v>
      </c>
      <c r="G350" t="s">
        <v>965</v>
      </c>
      <c r="H350" t="s">
        <v>965</v>
      </c>
      <c r="I350">
        <v>59836926</v>
      </c>
      <c r="J350" t="s">
        <v>14</v>
      </c>
      <c r="K350" t="s">
        <v>17</v>
      </c>
      <c r="L350" t="s">
        <v>973</v>
      </c>
      <c r="M350" t="s">
        <v>775</v>
      </c>
    </row>
    <row r="351" spans="2:13" x14ac:dyDescent="0.25">
      <c r="B351">
        <v>-2025</v>
      </c>
      <c r="D351">
        <v>540</v>
      </c>
      <c r="E351" t="str">
        <f t="shared" si="14"/>
        <v>540</v>
      </c>
      <c r="F351" t="str">
        <f t="shared" si="15"/>
        <v>540-2025</v>
      </c>
      <c r="G351" t="s">
        <v>966</v>
      </c>
      <c r="H351" t="s">
        <v>966</v>
      </c>
      <c r="I351">
        <v>43624414</v>
      </c>
      <c r="J351" t="s">
        <v>14</v>
      </c>
      <c r="K351" t="s">
        <v>18</v>
      </c>
      <c r="L351" t="s">
        <v>974</v>
      </c>
      <c r="M351" t="s">
        <v>775</v>
      </c>
    </row>
    <row r="352" spans="2:13" x14ac:dyDescent="0.25">
      <c r="B352">
        <v>-2025</v>
      </c>
      <c r="D352">
        <v>541</v>
      </c>
      <c r="E352" t="str">
        <f t="shared" si="14"/>
        <v>541</v>
      </c>
      <c r="F352" t="str">
        <f t="shared" si="15"/>
        <v>541-2025</v>
      </c>
      <c r="G352" t="s">
        <v>966</v>
      </c>
      <c r="H352" t="s">
        <v>966</v>
      </c>
      <c r="I352">
        <v>43624414</v>
      </c>
      <c r="J352" t="s">
        <v>14</v>
      </c>
      <c r="K352" t="s">
        <v>18</v>
      </c>
      <c r="L352" t="s">
        <v>973</v>
      </c>
      <c r="M352" t="s">
        <v>775</v>
      </c>
    </row>
    <row r="353" spans="2:13" x14ac:dyDescent="0.25">
      <c r="B353">
        <v>-2025</v>
      </c>
      <c r="D353">
        <v>542</v>
      </c>
      <c r="E353" t="str">
        <f t="shared" si="14"/>
        <v>542</v>
      </c>
      <c r="F353" t="str">
        <f t="shared" si="15"/>
        <v>542-2025</v>
      </c>
      <c r="G353" t="s">
        <v>966</v>
      </c>
      <c r="H353" t="s">
        <v>966</v>
      </c>
      <c r="I353">
        <v>43624414</v>
      </c>
      <c r="J353" t="s">
        <v>14</v>
      </c>
      <c r="K353" t="s">
        <v>18</v>
      </c>
      <c r="L353" t="s">
        <v>973</v>
      </c>
      <c r="M353" t="s">
        <v>775</v>
      </c>
    </row>
    <row r="354" spans="2:13" x14ac:dyDescent="0.25">
      <c r="B354">
        <v>-2025</v>
      </c>
      <c r="D354">
        <v>543</v>
      </c>
      <c r="E354" t="str">
        <f t="shared" si="14"/>
        <v>543</v>
      </c>
      <c r="F354" t="str">
        <f t="shared" si="15"/>
        <v>543-2025</v>
      </c>
      <c r="G354" t="s">
        <v>966</v>
      </c>
      <c r="H354" t="s">
        <v>966</v>
      </c>
      <c r="I354">
        <v>43624414</v>
      </c>
      <c r="J354" t="s">
        <v>14</v>
      </c>
      <c r="K354" t="s">
        <v>18</v>
      </c>
      <c r="L354" t="s">
        <v>973</v>
      </c>
      <c r="M354" t="s">
        <v>775</v>
      </c>
    </row>
    <row r="355" spans="2:13" x14ac:dyDescent="0.25">
      <c r="B355">
        <v>-2025</v>
      </c>
      <c r="D355">
        <v>544</v>
      </c>
      <c r="E355" t="str">
        <f t="shared" si="14"/>
        <v>544</v>
      </c>
      <c r="F355" t="str">
        <f t="shared" si="15"/>
        <v>544-2025</v>
      </c>
      <c r="G355" t="s">
        <v>965</v>
      </c>
      <c r="H355" t="s">
        <v>965</v>
      </c>
      <c r="I355">
        <v>59836926</v>
      </c>
      <c r="J355" t="s">
        <v>14</v>
      </c>
      <c r="K355" t="s">
        <v>17</v>
      </c>
      <c r="L355" t="s">
        <v>976</v>
      </c>
      <c r="M355" t="s">
        <v>744</v>
      </c>
    </row>
    <row r="356" spans="2:13" x14ac:dyDescent="0.25">
      <c r="B356">
        <v>-2025</v>
      </c>
      <c r="D356">
        <v>545</v>
      </c>
      <c r="E356" t="str">
        <f t="shared" si="14"/>
        <v>545</v>
      </c>
      <c r="F356" t="str">
        <f t="shared" si="15"/>
        <v>545-2025</v>
      </c>
      <c r="G356" t="s">
        <v>965</v>
      </c>
      <c r="H356" t="s">
        <v>965</v>
      </c>
      <c r="I356">
        <v>59836926</v>
      </c>
      <c r="J356" t="s">
        <v>14</v>
      </c>
      <c r="K356" t="s">
        <v>17</v>
      </c>
      <c r="L356" t="s">
        <v>974</v>
      </c>
      <c r="M356" t="s">
        <v>775</v>
      </c>
    </row>
    <row r="357" spans="2:13" x14ac:dyDescent="0.25">
      <c r="B357">
        <v>-2025</v>
      </c>
      <c r="D357">
        <v>549</v>
      </c>
      <c r="E357" t="str">
        <f t="shared" si="14"/>
        <v>549</v>
      </c>
      <c r="F357" t="str">
        <f t="shared" si="15"/>
        <v>549-2025</v>
      </c>
      <c r="G357" t="s">
        <v>966</v>
      </c>
      <c r="H357" t="s">
        <v>966</v>
      </c>
      <c r="I357">
        <v>43624414</v>
      </c>
      <c r="J357" t="s">
        <v>14</v>
      </c>
      <c r="K357" t="s">
        <v>18</v>
      </c>
      <c r="L357" t="s">
        <v>973</v>
      </c>
      <c r="M357" t="s">
        <v>775</v>
      </c>
    </row>
    <row r="358" spans="2:13" x14ac:dyDescent="0.25">
      <c r="B358">
        <v>-2025</v>
      </c>
      <c r="D358">
        <v>551</v>
      </c>
      <c r="E358" t="str">
        <f t="shared" si="14"/>
        <v>551</v>
      </c>
      <c r="F358" t="str">
        <f t="shared" si="15"/>
        <v>551-2025</v>
      </c>
      <c r="G358" t="s">
        <v>966</v>
      </c>
      <c r="H358" t="s">
        <v>966</v>
      </c>
      <c r="I358">
        <v>43624414</v>
      </c>
      <c r="J358" t="s">
        <v>14</v>
      </c>
      <c r="K358" t="s">
        <v>18</v>
      </c>
      <c r="L358" t="s">
        <v>973</v>
      </c>
      <c r="M358" t="s">
        <v>775</v>
      </c>
    </row>
    <row r="359" spans="2:13" x14ac:dyDescent="0.25">
      <c r="B359">
        <v>-2025</v>
      </c>
      <c r="D359">
        <v>552</v>
      </c>
      <c r="E359" t="str">
        <f t="shared" si="14"/>
        <v>552</v>
      </c>
      <c r="F359" t="str">
        <f t="shared" si="15"/>
        <v>552-2025</v>
      </c>
      <c r="G359" t="s">
        <v>966</v>
      </c>
      <c r="H359" t="s">
        <v>966</v>
      </c>
      <c r="I359">
        <v>43624414</v>
      </c>
      <c r="J359" t="s">
        <v>14</v>
      </c>
      <c r="K359" t="s">
        <v>18</v>
      </c>
      <c r="L359" t="s">
        <v>973</v>
      </c>
      <c r="M359" t="s">
        <v>775</v>
      </c>
    </row>
    <row r="360" spans="2:13" x14ac:dyDescent="0.25">
      <c r="B360">
        <v>-2025</v>
      </c>
      <c r="D360">
        <v>553</v>
      </c>
      <c r="E360" t="str">
        <f t="shared" si="14"/>
        <v>553</v>
      </c>
      <c r="F360" t="str">
        <f t="shared" si="15"/>
        <v>553-2025</v>
      </c>
      <c r="G360" t="s">
        <v>967</v>
      </c>
      <c r="H360" t="s">
        <v>967</v>
      </c>
      <c r="I360">
        <v>98333941</v>
      </c>
      <c r="J360" t="s">
        <v>14</v>
      </c>
      <c r="K360" t="s">
        <v>15</v>
      </c>
      <c r="L360" t="s">
        <v>973</v>
      </c>
      <c r="M360" t="s">
        <v>775</v>
      </c>
    </row>
    <row r="361" spans="2:13" x14ac:dyDescent="0.25">
      <c r="B361">
        <v>-2025</v>
      </c>
      <c r="D361">
        <v>555</v>
      </c>
      <c r="E361" t="str">
        <f t="shared" si="14"/>
        <v>555</v>
      </c>
      <c r="F361" t="str">
        <f t="shared" si="15"/>
        <v>555-2025</v>
      </c>
      <c r="G361" t="s">
        <v>968</v>
      </c>
      <c r="H361" t="s">
        <v>968</v>
      </c>
      <c r="I361">
        <v>98390119</v>
      </c>
      <c r="J361" t="s">
        <v>14</v>
      </c>
      <c r="K361" t="s">
        <v>63</v>
      </c>
      <c r="L361" t="s">
        <v>973</v>
      </c>
      <c r="M361" t="s">
        <v>775</v>
      </c>
    </row>
    <row r="362" spans="2:13" x14ac:dyDescent="0.25">
      <c r="B362">
        <v>-2025</v>
      </c>
      <c r="D362">
        <v>556</v>
      </c>
      <c r="E362" t="str">
        <f t="shared" si="14"/>
        <v>556</v>
      </c>
      <c r="F362" t="str">
        <f t="shared" si="15"/>
        <v>556-2025</v>
      </c>
      <c r="G362" t="s">
        <v>967</v>
      </c>
      <c r="H362" t="s">
        <v>967</v>
      </c>
      <c r="I362">
        <v>98333941</v>
      </c>
      <c r="J362" t="s">
        <v>14</v>
      </c>
      <c r="K362" t="s">
        <v>15</v>
      </c>
      <c r="L362" t="s">
        <v>973</v>
      </c>
      <c r="M362" t="s">
        <v>775</v>
      </c>
    </row>
    <row r="363" spans="2:13" x14ac:dyDescent="0.25">
      <c r="B363">
        <v>-2025</v>
      </c>
      <c r="D363">
        <v>557</v>
      </c>
      <c r="E363" t="str">
        <f t="shared" si="14"/>
        <v>557</v>
      </c>
      <c r="F363" t="str">
        <f t="shared" si="15"/>
        <v>557-2025</v>
      </c>
      <c r="G363" t="s">
        <v>967</v>
      </c>
      <c r="H363" t="s">
        <v>967</v>
      </c>
      <c r="I363">
        <v>98333941</v>
      </c>
      <c r="J363" t="s">
        <v>14</v>
      </c>
      <c r="K363" t="s">
        <v>15</v>
      </c>
      <c r="L363" t="s">
        <v>973</v>
      </c>
      <c r="M363" t="s">
        <v>775</v>
      </c>
    </row>
    <row r="364" spans="2:13" x14ac:dyDescent="0.25">
      <c r="B364">
        <v>-2025</v>
      </c>
      <c r="D364">
        <v>558</v>
      </c>
      <c r="E364" t="str">
        <f t="shared" si="14"/>
        <v>558</v>
      </c>
      <c r="F364" t="str">
        <f t="shared" si="15"/>
        <v>558-2025</v>
      </c>
      <c r="G364" t="s">
        <v>967</v>
      </c>
      <c r="H364" t="s">
        <v>967</v>
      </c>
      <c r="I364">
        <v>98333941</v>
      </c>
      <c r="J364" t="s">
        <v>14</v>
      </c>
      <c r="K364" t="s">
        <v>15</v>
      </c>
      <c r="L364" t="s">
        <v>973</v>
      </c>
      <c r="M364" t="s">
        <v>775</v>
      </c>
    </row>
    <row r="365" spans="2:13" x14ac:dyDescent="0.25">
      <c r="B365">
        <v>-2025</v>
      </c>
      <c r="D365">
        <v>561</v>
      </c>
      <c r="E365" t="str">
        <f t="shared" si="14"/>
        <v>561</v>
      </c>
      <c r="F365" t="str">
        <f t="shared" si="15"/>
        <v>561-2025</v>
      </c>
      <c r="G365" t="s">
        <v>968</v>
      </c>
      <c r="H365" t="s">
        <v>968</v>
      </c>
      <c r="I365">
        <v>98390119</v>
      </c>
      <c r="J365" t="s">
        <v>14</v>
      </c>
      <c r="K365" t="s">
        <v>63</v>
      </c>
      <c r="L365" t="s">
        <v>973</v>
      </c>
      <c r="M365" t="s">
        <v>775</v>
      </c>
    </row>
    <row r="366" spans="2:13" x14ac:dyDescent="0.25">
      <c r="B366">
        <v>-2025</v>
      </c>
      <c r="D366">
        <v>562</v>
      </c>
      <c r="E366" t="str">
        <f t="shared" si="14"/>
        <v>562</v>
      </c>
      <c r="F366" t="str">
        <f t="shared" si="15"/>
        <v>562-2025</v>
      </c>
      <c r="G366" t="s">
        <v>966</v>
      </c>
      <c r="H366" t="s">
        <v>966</v>
      </c>
      <c r="I366">
        <v>43624414</v>
      </c>
      <c r="J366" t="s">
        <v>14</v>
      </c>
      <c r="K366" t="s">
        <v>18</v>
      </c>
      <c r="L366" t="s">
        <v>974</v>
      </c>
      <c r="M366" t="s">
        <v>775</v>
      </c>
    </row>
    <row r="367" spans="2:13" x14ac:dyDescent="0.25">
      <c r="B367">
        <v>-2025</v>
      </c>
      <c r="D367">
        <v>563</v>
      </c>
      <c r="E367" t="str">
        <f t="shared" si="14"/>
        <v>563</v>
      </c>
      <c r="F367" t="str">
        <f t="shared" si="15"/>
        <v>563-2025</v>
      </c>
      <c r="G367" t="s">
        <v>966</v>
      </c>
      <c r="H367" t="s">
        <v>966</v>
      </c>
      <c r="I367">
        <v>43624414</v>
      </c>
      <c r="J367" t="s">
        <v>14</v>
      </c>
      <c r="K367" t="s">
        <v>18</v>
      </c>
      <c r="L367" t="s">
        <v>973</v>
      </c>
      <c r="M367" t="s">
        <v>775</v>
      </c>
    </row>
    <row r="368" spans="2:13" x14ac:dyDescent="0.25">
      <c r="B368">
        <v>-2025</v>
      </c>
      <c r="D368">
        <v>564</v>
      </c>
      <c r="E368" t="str">
        <f t="shared" si="14"/>
        <v>564</v>
      </c>
      <c r="F368" t="str">
        <f t="shared" si="15"/>
        <v>564-2025</v>
      </c>
      <c r="G368" t="s">
        <v>966</v>
      </c>
      <c r="H368" t="s">
        <v>966</v>
      </c>
      <c r="I368">
        <v>43624414</v>
      </c>
      <c r="J368" t="s">
        <v>14</v>
      </c>
      <c r="K368" t="s">
        <v>18</v>
      </c>
      <c r="L368" t="s">
        <v>974</v>
      </c>
      <c r="M368" t="s">
        <v>775</v>
      </c>
    </row>
    <row r="369" spans="2:13" x14ac:dyDescent="0.25">
      <c r="B369">
        <v>-2025</v>
      </c>
      <c r="D369">
        <v>565</v>
      </c>
      <c r="E369" t="str">
        <f t="shared" si="14"/>
        <v>565</v>
      </c>
      <c r="F369" t="str">
        <f t="shared" si="15"/>
        <v>565-2025</v>
      </c>
      <c r="G369" t="s">
        <v>968</v>
      </c>
      <c r="H369" t="s">
        <v>968</v>
      </c>
      <c r="I369">
        <v>98390119</v>
      </c>
      <c r="J369" t="s">
        <v>14</v>
      </c>
      <c r="K369" t="s">
        <v>63</v>
      </c>
      <c r="L369" t="s">
        <v>973</v>
      </c>
      <c r="M369" t="s">
        <v>775</v>
      </c>
    </row>
    <row r="370" spans="2:13" x14ac:dyDescent="0.25">
      <c r="B370">
        <v>-2025</v>
      </c>
      <c r="D370">
        <v>566</v>
      </c>
      <c r="E370" t="str">
        <f t="shared" si="14"/>
        <v>566</v>
      </c>
      <c r="F370" t="str">
        <f t="shared" si="15"/>
        <v>566-2025</v>
      </c>
      <c r="G370" t="s">
        <v>968</v>
      </c>
      <c r="H370" t="s">
        <v>968</v>
      </c>
      <c r="I370">
        <v>98390119</v>
      </c>
      <c r="J370" t="s">
        <v>14</v>
      </c>
      <c r="K370" t="s">
        <v>63</v>
      </c>
      <c r="L370" t="s">
        <v>973</v>
      </c>
      <c r="M370" t="s">
        <v>775</v>
      </c>
    </row>
    <row r="371" spans="2:13" x14ac:dyDescent="0.25">
      <c r="B371">
        <v>-2025</v>
      </c>
      <c r="D371">
        <v>568</v>
      </c>
      <c r="E371" t="str">
        <f t="shared" si="14"/>
        <v>568</v>
      </c>
      <c r="F371" t="str">
        <f t="shared" si="15"/>
        <v>568-2025</v>
      </c>
      <c r="G371" t="s">
        <v>968</v>
      </c>
      <c r="H371" t="s">
        <v>968</v>
      </c>
      <c r="I371">
        <v>98390119</v>
      </c>
      <c r="J371" t="s">
        <v>14</v>
      </c>
      <c r="K371" t="s">
        <v>63</v>
      </c>
      <c r="L371" t="s">
        <v>974</v>
      </c>
      <c r="M371" t="s">
        <v>775</v>
      </c>
    </row>
    <row r="372" spans="2:13" x14ac:dyDescent="0.25">
      <c r="B372">
        <v>-2025</v>
      </c>
      <c r="D372">
        <v>575</v>
      </c>
      <c r="E372" t="str">
        <f t="shared" si="14"/>
        <v>575</v>
      </c>
      <c r="F372" t="str">
        <f t="shared" si="15"/>
        <v>575-2025</v>
      </c>
      <c r="G372" t="s">
        <v>967</v>
      </c>
      <c r="H372" t="s">
        <v>967</v>
      </c>
      <c r="I372">
        <v>98333941</v>
      </c>
      <c r="J372" t="s">
        <v>14</v>
      </c>
      <c r="K372" t="s">
        <v>15</v>
      </c>
      <c r="L372" t="s">
        <v>974</v>
      </c>
      <c r="M372" t="s">
        <v>775</v>
      </c>
    </row>
    <row r="373" spans="2:13" x14ac:dyDescent="0.25">
      <c r="B373">
        <v>-2025</v>
      </c>
      <c r="D373">
        <v>578</v>
      </c>
      <c r="E373" t="str">
        <f t="shared" si="14"/>
        <v>578</v>
      </c>
      <c r="F373" t="str">
        <f t="shared" si="15"/>
        <v>578-2025</v>
      </c>
      <c r="G373" t="s">
        <v>967</v>
      </c>
      <c r="H373" t="s">
        <v>967</v>
      </c>
      <c r="I373">
        <v>98333941</v>
      </c>
      <c r="J373" t="s">
        <v>14</v>
      </c>
      <c r="K373" t="s">
        <v>15</v>
      </c>
      <c r="L373" t="s">
        <v>973</v>
      </c>
      <c r="M373" t="s">
        <v>775</v>
      </c>
    </row>
    <row r="374" spans="2:13" x14ac:dyDescent="0.25">
      <c r="B374">
        <v>-2025</v>
      </c>
      <c r="D374">
        <v>587</v>
      </c>
      <c r="E374" t="str">
        <f t="shared" si="14"/>
        <v>587</v>
      </c>
      <c r="F374" t="str">
        <f t="shared" si="15"/>
        <v>587-2025</v>
      </c>
      <c r="G374" t="s">
        <v>967</v>
      </c>
      <c r="H374" t="s">
        <v>967</v>
      </c>
      <c r="I374">
        <v>98333941</v>
      </c>
      <c r="J374" t="s">
        <v>14</v>
      </c>
      <c r="K374" t="s">
        <v>15</v>
      </c>
      <c r="L374" t="s">
        <v>973</v>
      </c>
      <c r="M374" t="s">
        <v>775</v>
      </c>
    </row>
    <row r="375" spans="2:13" x14ac:dyDescent="0.25">
      <c r="B375">
        <v>-2025</v>
      </c>
      <c r="D375">
        <v>589</v>
      </c>
      <c r="E375" t="str">
        <f t="shared" si="14"/>
        <v>589</v>
      </c>
      <c r="F375" t="str">
        <f t="shared" si="15"/>
        <v>589-2025</v>
      </c>
      <c r="G375" t="s">
        <v>967</v>
      </c>
      <c r="H375" t="s">
        <v>967</v>
      </c>
      <c r="I375">
        <v>98333941</v>
      </c>
      <c r="J375" t="s">
        <v>14</v>
      </c>
      <c r="K375" t="s">
        <v>15</v>
      </c>
      <c r="L375" t="s">
        <v>973</v>
      </c>
      <c r="M375" t="s">
        <v>775</v>
      </c>
    </row>
    <row r="376" spans="2:13" x14ac:dyDescent="0.25">
      <c r="B376">
        <v>-2025</v>
      </c>
      <c r="D376">
        <v>591</v>
      </c>
      <c r="E376" t="str">
        <f t="shared" si="14"/>
        <v>591</v>
      </c>
      <c r="F376" t="str">
        <f t="shared" si="15"/>
        <v>591-2025</v>
      </c>
      <c r="G376" t="s">
        <v>965</v>
      </c>
      <c r="H376" t="s">
        <v>965</v>
      </c>
      <c r="I376">
        <v>59836926</v>
      </c>
      <c r="J376" t="s">
        <v>14</v>
      </c>
      <c r="K376" t="s">
        <v>17</v>
      </c>
      <c r="L376" t="s">
        <v>978</v>
      </c>
      <c r="M376" t="s">
        <v>793</v>
      </c>
    </row>
    <row r="377" spans="2:13" x14ac:dyDescent="0.25">
      <c r="B377">
        <v>-2025</v>
      </c>
      <c r="D377">
        <v>593</v>
      </c>
      <c r="E377" t="str">
        <f t="shared" si="14"/>
        <v>593</v>
      </c>
      <c r="F377" t="str">
        <f t="shared" si="15"/>
        <v>593-2025</v>
      </c>
      <c r="G377" t="s">
        <v>966</v>
      </c>
      <c r="H377" t="s">
        <v>966</v>
      </c>
      <c r="I377">
        <v>43624414</v>
      </c>
      <c r="J377" t="s">
        <v>14</v>
      </c>
      <c r="K377" t="s">
        <v>18</v>
      </c>
      <c r="L377" t="s">
        <v>976</v>
      </c>
      <c r="M377" t="s">
        <v>744</v>
      </c>
    </row>
    <row r="378" spans="2:13" x14ac:dyDescent="0.25">
      <c r="B378">
        <v>-2025</v>
      </c>
      <c r="D378">
        <v>596</v>
      </c>
      <c r="E378" t="str">
        <f t="shared" si="14"/>
        <v>596</v>
      </c>
      <c r="F378" t="str">
        <f t="shared" si="15"/>
        <v>596-2025</v>
      </c>
      <c r="G378" t="s">
        <v>966</v>
      </c>
      <c r="H378" t="s">
        <v>966</v>
      </c>
      <c r="I378">
        <v>43624414</v>
      </c>
      <c r="J378" t="s">
        <v>14</v>
      </c>
      <c r="K378" t="s">
        <v>18</v>
      </c>
      <c r="L378" t="s">
        <v>976</v>
      </c>
      <c r="M378" t="s">
        <v>744</v>
      </c>
    </row>
    <row r="379" spans="2:13" x14ac:dyDescent="0.25">
      <c r="B379">
        <v>-2025</v>
      </c>
      <c r="D379">
        <v>597</v>
      </c>
      <c r="E379" t="str">
        <f t="shared" si="14"/>
        <v>597</v>
      </c>
      <c r="F379" t="str">
        <f t="shared" si="15"/>
        <v>597-2025</v>
      </c>
      <c r="G379" t="s">
        <v>966</v>
      </c>
      <c r="H379" t="s">
        <v>966</v>
      </c>
      <c r="I379">
        <v>43624414</v>
      </c>
      <c r="J379" t="s">
        <v>14</v>
      </c>
      <c r="K379" t="s">
        <v>18</v>
      </c>
      <c r="L379" t="s">
        <v>973</v>
      </c>
      <c r="M379" t="s">
        <v>775</v>
      </c>
    </row>
    <row r="380" spans="2:13" x14ac:dyDescent="0.25">
      <c r="B380">
        <v>-2025</v>
      </c>
      <c r="D380">
        <v>600</v>
      </c>
      <c r="E380" t="str">
        <f t="shared" si="14"/>
        <v>600</v>
      </c>
      <c r="F380" t="str">
        <f t="shared" si="15"/>
        <v>600-2025</v>
      </c>
      <c r="G380" t="s">
        <v>965</v>
      </c>
      <c r="H380" t="s">
        <v>965</v>
      </c>
      <c r="I380">
        <v>59836926</v>
      </c>
      <c r="J380" t="s">
        <v>14</v>
      </c>
      <c r="K380" t="s">
        <v>17</v>
      </c>
      <c r="L380" t="s">
        <v>976</v>
      </c>
      <c r="M380" t="s">
        <v>744</v>
      </c>
    </row>
    <row r="381" spans="2:13" x14ac:dyDescent="0.25">
      <c r="B381">
        <v>-2025</v>
      </c>
      <c r="D381">
        <v>603</v>
      </c>
      <c r="E381" t="str">
        <f t="shared" si="14"/>
        <v>603</v>
      </c>
      <c r="F381" t="str">
        <f t="shared" si="15"/>
        <v>603-2025</v>
      </c>
      <c r="G381" t="s">
        <v>965</v>
      </c>
      <c r="H381" t="s">
        <v>965</v>
      </c>
      <c r="I381">
        <v>59836926</v>
      </c>
      <c r="J381" t="s">
        <v>14</v>
      </c>
      <c r="K381" t="s">
        <v>17</v>
      </c>
      <c r="L381" t="s">
        <v>975</v>
      </c>
      <c r="M381" t="s">
        <v>744</v>
      </c>
    </row>
  </sheetData>
  <autoFilter ref="B1:M381" xr:uid="{195EE428-471E-4F45-B4FE-EC26CDB6E35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D19FB-2765-463E-89C2-F9EBEACBCC37}">
  <dimension ref="A2:D63"/>
  <sheetViews>
    <sheetView topLeftCell="A38" workbookViewId="0">
      <selection activeCell="B10" sqref="B10:B63"/>
    </sheetView>
  </sheetViews>
  <sheetFormatPr baseColWidth="10" defaultRowHeight="15" x14ac:dyDescent="0.25"/>
  <sheetData>
    <row r="2" spans="1:4" x14ac:dyDescent="0.25">
      <c r="A2" t="s">
        <v>968</v>
      </c>
      <c r="B2">
        <v>98390119</v>
      </c>
      <c r="C2" t="s">
        <v>14</v>
      </c>
      <c r="D2" t="s">
        <v>63</v>
      </c>
    </row>
    <row r="3" spans="1:4" x14ac:dyDescent="0.25">
      <c r="A3" t="s">
        <v>967</v>
      </c>
      <c r="B3">
        <v>98333941</v>
      </c>
      <c r="C3" t="s">
        <v>14</v>
      </c>
      <c r="D3" t="s">
        <v>15</v>
      </c>
    </row>
    <row r="4" spans="1:4" x14ac:dyDescent="0.25">
      <c r="A4" t="s">
        <v>965</v>
      </c>
      <c r="B4">
        <v>59836926</v>
      </c>
      <c r="C4" t="s">
        <v>14</v>
      </c>
      <c r="D4" t="s">
        <v>17</v>
      </c>
    </row>
    <row r="5" spans="1:4" x14ac:dyDescent="0.25">
      <c r="A5" t="s">
        <v>966</v>
      </c>
      <c r="B5">
        <v>43624414</v>
      </c>
      <c r="C5" t="s">
        <v>14</v>
      </c>
      <c r="D5" t="s">
        <v>18</v>
      </c>
    </row>
    <row r="10" spans="1:4" x14ac:dyDescent="0.25">
      <c r="B10" t="s">
        <v>985</v>
      </c>
    </row>
    <row r="11" spans="1:4" x14ac:dyDescent="0.25">
      <c r="B11" t="s">
        <v>986</v>
      </c>
    </row>
    <row r="12" spans="1:4" x14ac:dyDescent="0.25">
      <c r="B12" t="s">
        <v>987</v>
      </c>
    </row>
    <row r="13" spans="1:4" x14ac:dyDescent="0.25">
      <c r="B13" t="s">
        <v>988</v>
      </c>
    </row>
    <row r="14" spans="1:4" x14ac:dyDescent="0.25">
      <c r="B14" t="s">
        <v>989</v>
      </c>
    </row>
    <row r="15" spans="1:4" x14ac:dyDescent="0.25">
      <c r="B15" s="11" t="s">
        <v>1033</v>
      </c>
    </row>
    <row r="16" spans="1:4" x14ac:dyDescent="0.25">
      <c r="B16" s="11" t="s">
        <v>1034</v>
      </c>
    </row>
    <row r="17" spans="1:2" x14ac:dyDescent="0.25">
      <c r="B17" s="11" t="s">
        <v>1035</v>
      </c>
    </row>
    <row r="18" spans="1:2" x14ac:dyDescent="0.25">
      <c r="B18" t="s">
        <v>990</v>
      </c>
    </row>
    <row r="19" spans="1:2" x14ac:dyDescent="0.25">
      <c r="B19" t="s">
        <v>991</v>
      </c>
    </row>
    <row r="20" spans="1:2" x14ac:dyDescent="0.25">
      <c r="A20" s="11"/>
      <c r="B20" t="s">
        <v>982</v>
      </c>
    </row>
    <row r="21" spans="1:2" x14ac:dyDescent="0.25">
      <c r="A21" s="11"/>
      <c r="B21" t="s">
        <v>983</v>
      </c>
    </row>
    <row r="22" spans="1:2" x14ac:dyDescent="0.25">
      <c r="A22" s="11"/>
      <c r="B22" t="s">
        <v>984</v>
      </c>
    </row>
    <row r="23" spans="1:2" x14ac:dyDescent="0.25">
      <c r="B23" t="s">
        <v>992</v>
      </c>
    </row>
    <row r="24" spans="1:2" x14ac:dyDescent="0.25">
      <c r="B24" t="s">
        <v>993</v>
      </c>
    </row>
    <row r="25" spans="1:2" x14ac:dyDescent="0.25">
      <c r="B25" t="s">
        <v>994</v>
      </c>
    </row>
    <row r="26" spans="1:2" x14ac:dyDescent="0.25">
      <c r="B26" t="s">
        <v>995</v>
      </c>
    </row>
    <row r="27" spans="1:2" x14ac:dyDescent="0.25">
      <c r="B27" t="s">
        <v>996</v>
      </c>
    </row>
    <row r="28" spans="1:2" x14ac:dyDescent="0.25">
      <c r="B28" t="s">
        <v>997</v>
      </c>
    </row>
    <row r="29" spans="1:2" x14ac:dyDescent="0.25">
      <c r="B29" t="s">
        <v>998</v>
      </c>
    </row>
    <row r="30" spans="1:2" x14ac:dyDescent="0.25">
      <c r="B30" t="s">
        <v>999</v>
      </c>
    </row>
    <row r="31" spans="1:2" x14ac:dyDescent="0.25">
      <c r="B31" t="s">
        <v>1000</v>
      </c>
    </row>
    <row r="32" spans="1:2" x14ac:dyDescent="0.25">
      <c r="B32" t="s">
        <v>1001</v>
      </c>
    </row>
    <row r="33" spans="2:2" x14ac:dyDescent="0.25">
      <c r="B33" t="s">
        <v>1002</v>
      </c>
    </row>
    <row r="34" spans="2:2" x14ac:dyDescent="0.25">
      <c r="B34" t="s">
        <v>1003</v>
      </c>
    </row>
    <row r="35" spans="2:2" x14ac:dyDescent="0.25">
      <c r="B35" t="s">
        <v>1004</v>
      </c>
    </row>
    <row r="36" spans="2:2" x14ac:dyDescent="0.25">
      <c r="B36" t="s">
        <v>1005</v>
      </c>
    </row>
    <row r="37" spans="2:2" x14ac:dyDescent="0.25">
      <c r="B37" t="s">
        <v>1006</v>
      </c>
    </row>
    <row r="38" spans="2:2" x14ac:dyDescent="0.25">
      <c r="B38" t="s">
        <v>1007</v>
      </c>
    </row>
    <row r="39" spans="2:2" x14ac:dyDescent="0.25">
      <c r="B39" t="s">
        <v>1008</v>
      </c>
    </row>
    <row r="40" spans="2:2" x14ac:dyDescent="0.25">
      <c r="B40" t="s">
        <v>1009</v>
      </c>
    </row>
    <row r="41" spans="2:2" x14ac:dyDescent="0.25">
      <c r="B41" t="s">
        <v>1010</v>
      </c>
    </row>
    <row r="42" spans="2:2" x14ac:dyDescent="0.25">
      <c r="B42" t="s">
        <v>1011</v>
      </c>
    </row>
    <row r="43" spans="2:2" x14ac:dyDescent="0.25">
      <c r="B43" t="s">
        <v>1012</v>
      </c>
    </row>
    <row r="44" spans="2:2" x14ac:dyDescent="0.25">
      <c r="B44" t="s">
        <v>1013</v>
      </c>
    </row>
    <row r="45" spans="2:2" x14ac:dyDescent="0.25">
      <c r="B45" t="s">
        <v>1014</v>
      </c>
    </row>
    <row r="46" spans="2:2" x14ac:dyDescent="0.25">
      <c r="B46" t="s">
        <v>1015</v>
      </c>
    </row>
    <row r="47" spans="2:2" x14ac:dyDescent="0.25">
      <c r="B47" t="s">
        <v>1016</v>
      </c>
    </row>
    <row r="48" spans="2:2" x14ac:dyDescent="0.25">
      <c r="B48" t="s">
        <v>1017</v>
      </c>
    </row>
    <row r="49" spans="2:2" x14ac:dyDescent="0.25">
      <c r="B49" t="s">
        <v>1018</v>
      </c>
    </row>
    <row r="50" spans="2:2" x14ac:dyDescent="0.25">
      <c r="B50" t="s">
        <v>1019</v>
      </c>
    </row>
    <row r="51" spans="2:2" x14ac:dyDescent="0.25">
      <c r="B51" t="s">
        <v>1020</v>
      </c>
    </row>
    <row r="52" spans="2:2" x14ac:dyDescent="0.25">
      <c r="B52" t="s">
        <v>1021</v>
      </c>
    </row>
    <row r="53" spans="2:2" x14ac:dyDescent="0.25">
      <c r="B53" t="s">
        <v>1022</v>
      </c>
    </row>
    <row r="54" spans="2:2" x14ac:dyDescent="0.25">
      <c r="B54" t="s">
        <v>1023</v>
      </c>
    </row>
    <row r="55" spans="2:2" x14ac:dyDescent="0.25">
      <c r="B55" t="s">
        <v>1024</v>
      </c>
    </row>
    <row r="56" spans="2:2" x14ac:dyDescent="0.25">
      <c r="B56" t="s">
        <v>1025</v>
      </c>
    </row>
    <row r="57" spans="2:2" x14ac:dyDescent="0.25">
      <c r="B57" t="s">
        <v>1026</v>
      </c>
    </row>
    <row r="58" spans="2:2" x14ac:dyDescent="0.25">
      <c r="B58" t="s">
        <v>1027</v>
      </c>
    </row>
    <row r="59" spans="2:2" x14ac:dyDescent="0.25">
      <c r="B59" t="s">
        <v>1028</v>
      </c>
    </row>
    <row r="60" spans="2:2" x14ac:dyDescent="0.25">
      <c r="B60" t="s">
        <v>1029</v>
      </c>
    </row>
    <row r="61" spans="2:2" x14ac:dyDescent="0.25">
      <c r="B61" t="s">
        <v>1030</v>
      </c>
    </row>
    <row r="62" spans="2:2" x14ac:dyDescent="0.25">
      <c r="B62" t="s">
        <v>1031</v>
      </c>
    </row>
    <row r="63" spans="2:2" x14ac:dyDescent="0.25">
      <c r="B63" t="s">
        <v>1032</v>
      </c>
    </row>
  </sheetData>
  <autoFilter ref="A9:D63" xr:uid="{855D19FB-2765-463E-89C2-F9EBEACBCC3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66E3-CC04-4B60-8A0B-BACCAE8B76B5}">
  <dimension ref="A1:P338"/>
  <sheetViews>
    <sheetView topLeftCell="A273" workbookViewId="0">
      <selection activeCell="C288" sqref="C288"/>
    </sheetView>
  </sheetViews>
  <sheetFormatPr baseColWidth="10" defaultRowHeight="15" x14ac:dyDescent="0.25"/>
  <cols>
    <col min="5" max="5" width="16.5703125" customWidth="1"/>
    <col min="7" max="7" width="21.7109375" bestFit="1" customWidth="1"/>
    <col min="8" max="8" width="42.5703125" bestFit="1" customWidth="1"/>
    <col min="9" max="9" width="19" bestFit="1" customWidth="1"/>
    <col min="11" max="11" width="33.7109375" bestFit="1" customWidth="1"/>
    <col min="12" max="13" width="16.28515625" style="1" bestFit="1" customWidth="1"/>
    <col min="14" max="14" width="15" customWidth="1"/>
    <col min="15" max="15" width="16.28515625" style="1" bestFit="1" customWidth="1"/>
    <col min="16" max="16" width="40.5703125" bestFit="1" customWidth="1"/>
  </cols>
  <sheetData>
    <row r="1" spans="1:15" ht="14.25" customHeight="1" x14ac:dyDescent="0.25">
      <c r="A1" t="s">
        <v>0</v>
      </c>
      <c r="B1" t="s">
        <v>1</v>
      </c>
      <c r="C1" t="s">
        <v>2</v>
      </c>
      <c r="D1" t="s">
        <v>3</v>
      </c>
      <c r="E1" t="s">
        <v>4</v>
      </c>
      <c r="F1" t="s">
        <v>5</v>
      </c>
      <c r="G1" t="s">
        <v>6</v>
      </c>
      <c r="H1" t="s">
        <v>7</v>
      </c>
      <c r="I1" t="s">
        <v>8</v>
      </c>
      <c r="J1" t="s">
        <v>9</v>
      </c>
      <c r="K1" t="s">
        <v>10</v>
      </c>
      <c r="L1" s="1" t="s">
        <v>11</v>
      </c>
      <c r="M1" s="1" t="s">
        <v>12</v>
      </c>
      <c r="N1" t="s">
        <v>84</v>
      </c>
      <c r="O1" s="1" t="s">
        <v>703</v>
      </c>
    </row>
    <row r="2" spans="1:15" x14ac:dyDescent="0.25">
      <c r="A2" t="s">
        <v>88</v>
      </c>
      <c r="B2" t="s">
        <v>13</v>
      </c>
      <c r="C2">
        <v>45965</v>
      </c>
      <c r="D2">
        <v>46022</v>
      </c>
      <c r="E2" t="s">
        <v>705</v>
      </c>
      <c r="F2" t="s">
        <v>14</v>
      </c>
      <c r="G2">
        <v>1086328142</v>
      </c>
      <c r="H2" t="s">
        <v>85</v>
      </c>
      <c r="I2">
        <v>43624414</v>
      </c>
      <c r="J2" t="s">
        <v>14</v>
      </c>
      <c r="K2" t="s">
        <v>18</v>
      </c>
      <c r="L2" s="1">
        <v>6300000</v>
      </c>
      <c r="M2" s="1">
        <v>6300000</v>
      </c>
      <c r="N2" t="s">
        <v>704</v>
      </c>
      <c r="O2" s="1">
        <f t="shared" ref="O2:O65" si="0">M2-L2</f>
        <v>0</v>
      </c>
    </row>
    <row r="3" spans="1:15" x14ac:dyDescent="0.25">
      <c r="A3" t="s">
        <v>89</v>
      </c>
      <c r="B3" t="s">
        <v>13</v>
      </c>
      <c r="C3">
        <v>45910</v>
      </c>
      <c r="D3">
        <v>46022</v>
      </c>
      <c r="E3" t="s">
        <v>706</v>
      </c>
      <c r="F3" t="s">
        <v>14</v>
      </c>
      <c r="G3">
        <v>1086360022</v>
      </c>
      <c r="H3" t="s">
        <v>90</v>
      </c>
      <c r="I3">
        <v>98333941</v>
      </c>
      <c r="J3" t="s">
        <v>14</v>
      </c>
      <c r="K3" t="s">
        <v>15</v>
      </c>
      <c r="L3" s="1">
        <v>18920000</v>
      </c>
      <c r="M3" s="1">
        <v>18920000</v>
      </c>
      <c r="N3" t="s">
        <v>704</v>
      </c>
      <c r="O3" s="1">
        <f t="shared" si="0"/>
        <v>0</v>
      </c>
    </row>
    <row r="4" spans="1:15" x14ac:dyDescent="0.25">
      <c r="A4" t="s">
        <v>91</v>
      </c>
      <c r="B4" t="s">
        <v>13</v>
      </c>
      <c r="C4">
        <v>45904</v>
      </c>
      <c r="D4">
        <v>46022</v>
      </c>
      <c r="E4" t="s">
        <v>707</v>
      </c>
      <c r="F4" t="s">
        <v>14</v>
      </c>
      <c r="G4">
        <v>1087414586</v>
      </c>
      <c r="H4" t="s">
        <v>92</v>
      </c>
      <c r="I4">
        <v>43624414</v>
      </c>
      <c r="J4" t="s">
        <v>14</v>
      </c>
      <c r="K4" t="s">
        <v>18</v>
      </c>
      <c r="L4" s="1">
        <v>18920000</v>
      </c>
      <c r="M4" s="1">
        <v>18920000</v>
      </c>
      <c r="N4" t="s">
        <v>704</v>
      </c>
      <c r="O4" s="1">
        <f t="shared" si="0"/>
        <v>0</v>
      </c>
    </row>
    <row r="5" spans="1:15" x14ac:dyDescent="0.25">
      <c r="A5" t="s">
        <v>93</v>
      </c>
      <c r="B5" t="s">
        <v>13</v>
      </c>
      <c r="C5">
        <v>45904</v>
      </c>
      <c r="D5">
        <v>46022</v>
      </c>
      <c r="E5" t="s">
        <v>708</v>
      </c>
      <c r="F5" t="s">
        <v>14</v>
      </c>
      <c r="G5">
        <v>1233189234</v>
      </c>
      <c r="H5" t="s">
        <v>53</v>
      </c>
      <c r="I5">
        <v>59836926</v>
      </c>
      <c r="J5" t="s">
        <v>14</v>
      </c>
      <c r="K5" t="s">
        <v>17</v>
      </c>
      <c r="L5" s="1">
        <v>12600000</v>
      </c>
      <c r="M5" s="1">
        <v>12600000</v>
      </c>
      <c r="N5" t="s">
        <v>704</v>
      </c>
      <c r="O5" s="1">
        <f t="shared" si="0"/>
        <v>0</v>
      </c>
    </row>
    <row r="6" spans="1:15" x14ac:dyDescent="0.25">
      <c r="A6" t="s">
        <v>94</v>
      </c>
      <c r="B6" t="s">
        <v>13</v>
      </c>
      <c r="C6">
        <v>45905</v>
      </c>
      <c r="D6">
        <v>46022</v>
      </c>
      <c r="E6" t="s">
        <v>709</v>
      </c>
      <c r="F6" t="s">
        <v>14</v>
      </c>
      <c r="G6">
        <v>1193424771</v>
      </c>
      <c r="H6" t="s">
        <v>95</v>
      </c>
      <c r="I6">
        <v>98333941</v>
      </c>
      <c r="J6" t="s">
        <v>14</v>
      </c>
      <c r="K6" t="s">
        <v>15</v>
      </c>
      <c r="L6" s="1">
        <v>18920000</v>
      </c>
      <c r="M6" s="1">
        <v>18920000</v>
      </c>
      <c r="N6" t="s">
        <v>704</v>
      </c>
      <c r="O6" s="1">
        <f t="shared" si="0"/>
        <v>0</v>
      </c>
    </row>
    <row r="7" spans="1:15" x14ac:dyDescent="0.25">
      <c r="A7" t="s">
        <v>96</v>
      </c>
      <c r="B7" t="s">
        <v>13</v>
      </c>
      <c r="C7">
        <v>45904</v>
      </c>
      <c r="D7">
        <v>46022</v>
      </c>
      <c r="E7" t="s">
        <v>710</v>
      </c>
      <c r="F7" t="s">
        <v>14</v>
      </c>
      <c r="G7">
        <v>1233193882</v>
      </c>
      <c r="H7" t="s">
        <v>97</v>
      </c>
      <c r="I7">
        <v>98390119</v>
      </c>
      <c r="J7" t="s">
        <v>14</v>
      </c>
      <c r="K7" t="s">
        <v>63</v>
      </c>
      <c r="L7" s="1">
        <v>31200000</v>
      </c>
      <c r="M7" s="1">
        <v>31200000</v>
      </c>
      <c r="N7" t="s">
        <v>704</v>
      </c>
      <c r="O7" s="1">
        <f t="shared" si="0"/>
        <v>0</v>
      </c>
    </row>
    <row r="8" spans="1:15" x14ac:dyDescent="0.25">
      <c r="A8" t="s">
        <v>98</v>
      </c>
      <c r="B8" t="s">
        <v>13</v>
      </c>
      <c r="C8">
        <v>45910</v>
      </c>
      <c r="D8">
        <v>46022</v>
      </c>
      <c r="E8" t="s">
        <v>711</v>
      </c>
      <c r="F8" t="s">
        <v>14</v>
      </c>
      <c r="G8">
        <v>1004543161</v>
      </c>
      <c r="H8" t="s">
        <v>99</v>
      </c>
      <c r="I8">
        <v>98333941</v>
      </c>
      <c r="J8" t="s">
        <v>14</v>
      </c>
      <c r="K8" t="s">
        <v>15</v>
      </c>
      <c r="L8" s="1">
        <v>12600000</v>
      </c>
      <c r="M8" s="1">
        <v>12600000</v>
      </c>
      <c r="N8" t="s">
        <v>704</v>
      </c>
      <c r="O8" s="1">
        <f t="shared" si="0"/>
        <v>0</v>
      </c>
    </row>
    <row r="9" spans="1:15" x14ac:dyDescent="0.25">
      <c r="A9" t="s">
        <v>100</v>
      </c>
      <c r="B9" t="s">
        <v>13</v>
      </c>
      <c r="C9">
        <v>45945</v>
      </c>
      <c r="D9">
        <v>46022</v>
      </c>
      <c r="E9" t="s">
        <v>712</v>
      </c>
      <c r="F9" t="s">
        <v>14</v>
      </c>
      <c r="G9">
        <v>87030128</v>
      </c>
      <c r="H9" t="s">
        <v>101</v>
      </c>
      <c r="I9">
        <v>98390119</v>
      </c>
      <c r="J9" t="s">
        <v>14</v>
      </c>
      <c r="K9" t="s">
        <v>63</v>
      </c>
      <c r="L9" s="1">
        <v>7875000</v>
      </c>
      <c r="M9" s="1">
        <v>7875000</v>
      </c>
      <c r="N9" t="s">
        <v>704</v>
      </c>
      <c r="O9" s="1">
        <f t="shared" si="0"/>
        <v>0</v>
      </c>
    </row>
    <row r="10" spans="1:15" x14ac:dyDescent="0.25">
      <c r="A10" t="s">
        <v>102</v>
      </c>
      <c r="B10" t="s">
        <v>13</v>
      </c>
      <c r="C10">
        <v>45923</v>
      </c>
      <c r="D10">
        <v>46022</v>
      </c>
      <c r="E10" t="s">
        <v>713</v>
      </c>
      <c r="F10" t="s">
        <v>14</v>
      </c>
      <c r="G10">
        <v>1089846684</v>
      </c>
      <c r="H10" t="s">
        <v>103</v>
      </c>
      <c r="I10">
        <v>98390119</v>
      </c>
      <c r="J10" t="s">
        <v>14</v>
      </c>
      <c r="K10" t="s">
        <v>63</v>
      </c>
      <c r="L10" s="1">
        <v>27300000</v>
      </c>
      <c r="M10" s="1">
        <v>27300000</v>
      </c>
      <c r="N10" t="s">
        <v>704</v>
      </c>
      <c r="O10" s="1">
        <f t="shared" si="0"/>
        <v>0</v>
      </c>
    </row>
    <row r="11" spans="1:15" x14ac:dyDescent="0.25">
      <c r="A11" t="s">
        <v>104</v>
      </c>
      <c r="B11" t="s">
        <v>13</v>
      </c>
      <c r="C11">
        <v>45909</v>
      </c>
      <c r="D11">
        <v>46022</v>
      </c>
      <c r="E11" t="s">
        <v>711</v>
      </c>
      <c r="F11" t="s">
        <v>14</v>
      </c>
      <c r="G11">
        <v>59310056</v>
      </c>
      <c r="H11" t="s">
        <v>105</v>
      </c>
      <c r="I11">
        <v>98333941</v>
      </c>
      <c r="J11" t="s">
        <v>14</v>
      </c>
      <c r="K11" t="s">
        <v>15</v>
      </c>
      <c r="L11" s="1">
        <v>12600000</v>
      </c>
      <c r="M11" s="1">
        <v>12600000</v>
      </c>
      <c r="N11" t="s">
        <v>704</v>
      </c>
      <c r="O11" s="1">
        <f t="shared" si="0"/>
        <v>0</v>
      </c>
    </row>
    <row r="12" spans="1:15" x14ac:dyDescent="0.25">
      <c r="A12" t="s">
        <v>109</v>
      </c>
      <c r="B12" t="s">
        <v>13</v>
      </c>
      <c r="C12">
        <v>45917</v>
      </c>
      <c r="D12">
        <v>46022</v>
      </c>
      <c r="E12" t="s">
        <v>711</v>
      </c>
      <c r="F12" t="s">
        <v>14</v>
      </c>
      <c r="G12">
        <v>1004547484</v>
      </c>
      <c r="H12" t="s">
        <v>110</v>
      </c>
      <c r="I12">
        <v>98333941</v>
      </c>
      <c r="J12" t="s">
        <v>14</v>
      </c>
      <c r="K12" t="s">
        <v>15</v>
      </c>
      <c r="L12" s="1">
        <v>12600000</v>
      </c>
      <c r="M12" s="1">
        <v>12600000</v>
      </c>
      <c r="N12" t="s">
        <v>704</v>
      </c>
      <c r="O12" s="1">
        <f t="shared" si="0"/>
        <v>0</v>
      </c>
    </row>
    <row r="13" spans="1:15" x14ac:dyDescent="0.25">
      <c r="A13" t="s">
        <v>111</v>
      </c>
      <c r="B13" t="s">
        <v>13</v>
      </c>
      <c r="C13">
        <v>45940</v>
      </c>
      <c r="D13">
        <v>46022</v>
      </c>
      <c r="E13" t="s">
        <v>715</v>
      </c>
      <c r="F13" t="s">
        <v>14</v>
      </c>
      <c r="G13">
        <v>1085310465</v>
      </c>
      <c r="H13" t="s">
        <v>112</v>
      </c>
      <c r="I13">
        <v>98390119</v>
      </c>
      <c r="J13" t="s">
        <v>14</v>
      </c>
      <c r="K13" t="s">
        <v>63</v>
      </c>
      <c r="L13" s="1">
        <v>6000000</v>
      </c>
      <c r="M13" s="1">
        <v>6000000</v>
      </c>
      <c r="N13" t="s">
        <v>704</v>
      </c>
      <c r="O13" s="1">
        <f t="shared" si="0"/>
        <v>0</v>
      </c>
    </row>
    <row r="14" spans="1:15" x14ac:dyDescent="0.25">
      <c r="A14" t="s">
        <v>113</v>
      </c>
      <c r="B14" t="s">
        <v>13</v>
      </c>
      <c r="C14">
        <v>45915</v>
      </c>
      <c r="D14">
        <v>46022</v>
      </c>
      <c r="E14" t="s">
        <v>710</v>
      </c>
      <c r="F14" t="s">
        <v>14</v>
      </c>
      <c r="G14">
        <v>1086361969</v>
      </c>
      <c r="H14" t="s">
        <v>114</v>
      </c>
      <c r="I14">
        <v>98333941</v>
      </c>
      <c r="J14" t="s">
        <v>14</v>
      </c>
      <c r="K14" t="s">
        <v>15</v>
      </c>
      <c r="L14" s="1">
        <v>31200000</v>
      </c>
      <c r="M14" s="1">
        <v>31200000</v>
      </c>
      <c r="N14" t="s">
        <v>704</v>
      </c>
      <c r="O14" s="1">
        <f t="shared" si="0"/>
        <v>0</v>
      </c>
    </row>
    <row r="15" spans="1:15" x14ac:dyDescent="0.25">
      <c r="A15" t="s">
        <v>117</v>
      </c>
      <c r="B15" t="s">
        <v>13</v>
      </c>
      <c r="C15">
        <v>45965</v>
      </c>
      <c r="D15">
        <v>46022</v>
      </c>
      <c r="E15" t="s">
        <v>711</v>
      </c>
      <c r="F15" t="s">
        <v>14</v>
      </c>
      <c r="G15">
        <v>1084224968</v>
      </c>
      <c r="H15" t="s">
        <v>118</v>
      </c>
      <c r="I15">
        <v>98390119</v>
      </c>
      <c r="J15" t="s">
        <v>14</v>
      </c>
      <c r="K15" t="s">
        <v>63</v>
      </c>
      <c r="L15" s="1">
        <v>6300000</v>
      </c>
      <c r="M15" s="1">
        <v>6300000</v>
      </c>
      <c r="N15" t="s">
        <v>704</v>
      </c>
      <c r="O15" s="1">
        <f t="shared" si="0"/>
        <v>0</v>
      </c>
    </row>
    <row r="16" spans="1:15" x14ac:dyDescent="0.25">
      <c r="A16" t="s">
        <v>119</v>
      </c>
      <c r="B16" t="s">
        <v>13</v>
      </c>
      <c r="C16">
        <v>45901</v>
      </c>
      <c r="D16">
        <v>46022</v>
      </c>
      <c r="E16" t="s">
        <v>717</v>
      </c>
      <c r="F16" t="s">
        <v>14</v>
      </c>
      <c r="G16">
        <v>1193202097</v>
      </c>
      <c r="H16" t="s">
        <v>43</v>
      </c>
      <c r="I16">
        <v>43624414</v>
      </c>
      <c r="J16" t="s">
        <v>14</v>
      </c>
      <c r="K16" t="s">
        <v>18</v>
      </c>
      <c r="L16" s="1">
        <v>31200000</v>
      </c>
      <c r="M16" s="1">
        <v>31200000</v>
      </c>
      <c r="N16" t="s">
        <v>704</v>
      </c>
      <c r="O16" s="1">
        <f t="shared" si="0"/>
        <v>0</v>
      </c>
    </row>
    <row r="17" spans="1:15" x14ac:dyDescent="0.25">
      <c r="A17" t="s">
        <v>120</v>
      </c>
      <c r="B17" t="s">
        <v>13</v>
      </c>
      <c r="C17">
        <v>45965</v>
      </c>
      <c r="D17">
        <v>46022</v>
      </c>
      <c r="E17" t="s">
        <v>705</v>
      </c>
      <c r="F17" t="s">
        <v>14</v>
      </c>
      <c r="G17">
        <v>1085286742</v>
      </c>
      <c r="H17" t="s">
        <v>37</v>
      </c>
      <c r="I17">
        <v>98390119</v>
      </c>
      <c r="J17" t="s">
        <v>14</v>
      </c>
      <c r="K17" t="s">
        <v>63</v>
      </c>
      <c r="L17" s="1">
        <v>6300000</v>
      </c>
      <c r="M17" s="1">
        <v>6300000</v>
      </c>
      <c r="N17" t="s">
        <v>704</v>
      </c>
      <c r="O17" s="1">
        <f t="shared" si="0"/>
        <v>0</v>
      </c>
    </row>
    <row r="18" spans="1:15" x14ac:dyDescent="0.25">
      <c r="A18" t="s">
        <v>121</v>
      </c>
      <c r="B18" t="s">
        <v>13</v>
      </c>
      <c r="C18">
        <v>45922</v>
      </c>
      <c r="D18">
        <v>46022</v>
      </c>
      <c r="E18" t="s">
        <v>718</v>
      </c>
      <c r="F18" t="s">
        <v>14</v>
      </c>
      <c r="G18">
        <v>1193383314</v>
      </c>
      <c r="H18" t="s">
        <v>122</v>
      </c>
      <c r="I18">
        <v>98390119</v>
      </c>
      <c r="J18" t="s">
        <v>14</v>
      </c>
      <c r="K18" t="s">
        <v>63</v>
      </c>
      <c r="L18" s="1">
        <v>22050000</v>
      </c>
      <c r="M18" s="1">
        <v>22050000</v>
      </c>
      <c r="N18" t="s">
        <v>704</v>
      </c>
      <c r="O18" s="1">
        <f t="shared" si="0"/>
        <v>0</v>
      </c>
    </row>
    <row r="19" spans="1:15" x14ac:dyDescent="0.25">
      <c r="A19" t="s">
        <v>123</v>
      </c>
      <c r="B19" t="s">
        <v>13</v>
      </c>
      <c r="C19">
        <v>45910</v>
      </c>
      <c r="D19">
        <v>46022</v>
      </c>
      <c r="E19" t="s">
        <v>711</v>
      </c>
      <c r="F19" t="s">
        <v>14</v>
      </c>
      <c r="G19">
        <v>1081572043</v>
      </c>
      <c r="H19" t="s">
        <v>54</v>
      </c>
      <c r="I19">
        <v>59836926</v>
      </c>
      <c r="J19" t="s">
        <v>14</v>
      </c>
      <c r="K19" t="s">
        <v>17</v>
      </c>
      <c r="L19" s="1">
        <v>12600000</v>
      </c>
      <c r="M19" s="1">
        <v>12600000</v>
      </c>
      <c r="N19" t="s">
        <v>704</v>
      </c>
      <c r="O19" s="1">
        <f t="shared" si="0"/>
        <v>0</v>
      </c>
    </row>
    <row r="20" spans="1:15" x14ac:dyDescent="0.25">
      <c r="A20" t="s">
        <v>124</v>
      </c>
      <c r="B20" t="s">
        <v>13</v>
      </c>
      <c r="C20">
        <v>45908</v>
      </c>
      <c r="D20">
        <v>46022</v>
      </c>
      <c r="E20" t="s">
        <v>711</v>
      </c>
      <c r="F20" t="s">
        <v>14</v>
      </c>
      <c r="G20">
        <v>1004235479</v>
      </c>
      <c r="H20" t="s">
        <v>56</v>
      </c>
      <c r="I20">
        <v>98333941</v>
      </c>
      <c r="J20" t="s">
        <v>14</v>
      </c>
      <c r="K20" t="s">
        <v>15</v>
      </c>
      <c r="L20" s="1">
        <v>12600000</v>
      </c>
      <c r="M20" s="1">
        <v>12600000</v>
      </c>
      <c r="N20" t="s">
        <v>704</v>
      </c>
      <c r="O20" s="1">
        <f t="shared" si="0"/>
        <v>0</v>
      </c>
    </row>
    <row r="21" spans="1:15" x14ac:dyDescent="0.25">
      <c r="A21" t="s">
        <v>125</v>
      </c>
      <c r="B21" t="s">
        <v>13</v>
      </c>
      <c r="C21">
        <v>45911</v>
      </c>
      <c r="D21">
        <v>46022</v>
      </c>
      <c r="E21" t="s">
        <v>719</v>
      </c>
      <c r="F21" t="s">
        <v>14</v>
      </c>
      <c r="G21">
        <v>1085347312</v>
      </c>
      <c r="H21" t="s">
        <v>126</v>
      </c>
      <c r="I21">
        <v>98333941</v>
      </c>
      <c r="J21" t="s">
        <v>14</v>
      </c>
      <c r="K21" t="s">
        <v>15</v>
      </c>
      <c r="L21" s="1">
        <v>25200000</v>
      </c>
      <c r="M21" s="1">
        <v>25200000</v>
      </c>
      <c r="N21" t="s">
        <v>704</v>
      </c>
      <c r="O21" s="1">
        <f t="shared" si="0"/>
        <v>0</v>
      </c>
    </row>
    <row r="22" spans="1:15" x14ac:dyDescent="0.25">
      <c r="A22" t="s">
        <v>129</v>
      </c>
      <c r="B22" t="s">
        <v>13</v>
      </c>
      <c r="C22">
        <v>45965</v>
      </c>
      <c r="D22">
        <v>46022</v>
      </c>
      <c r="E22" t="s">
        <v>721</v>
      </c>
      <c r="F22" t="s">
        <v>14</v>
      </c>
      <c r="G22">
        <v>36757715</v>
      </c>
      <c r="H22" t="s">
        <v>130</v>
      </c>
      <c r="I22">
        <v>98390119</v>
      </c>
      <c r="J22" t="s">
        <v>14</v>
      </c>
      <c r="K22" t="s">
        <v>63</v>
      </c>
      <c r="L22" s="1">
        <v>4000000</v>
      </c>
      <c r="M22" s="1">
        <v>4000000</v>
      </c>
      <c r="N22" t="s">
        <v>704</v>
      </c>
      <c r="O22" s="1">
        <f t="shared" si="0"/>
        <v>0</v>
      </c>
    </row>
    <row r="23" spans="1:15" x14ac:dyDescent="0.25">
      <c r="A23" t="s">
        <v>131</v>
      </c>
      <c r="B23" t="s">
        <v>13</v>
      </c>
      <c r="C23">
        <v>45901</v>
      </c>
      <c r="D23">
        <v>46022</v>
      </c>
      <c r="E23" t="s">
        <v>722</v>
      </c>
      <c r="F23" t="s">
        <v>14</v>
      </c>
      <c r="G23">
        <v>1085336362</v>
      </c>
      <c r="H23" t="s">
        <v>49</v>
      </c>
      <c r="I23">
        <v>98333941</v>
      </c>
      <c r="J23" t="s">
        <v>14</v>
      </c>
      <c r="K23" t="s">
        <v>15</v>
      </c>
      <c r="L23" s="1">
        <v>31200000</v>
      </c>
      <c r="M23" s="1">
        <v>31200000</v>
      </c>
      <c r="N23" t="s">
        <v>704</v>
      </c>
      <c r="O23" s="1">
        <f t="shared" si="0"/>
        <v>0</v>
      </c>
    </row>
    <row r="24" spans="1:15" x14ac:dyDescent="0.25">
      <c r="A24" t="s">
        <v>132</v>
      </c>
      <c r="B24" t="s">
        <v>13</v>
      </c>
      <c r="C24">
        <v>45925</v>
      </c>
      <c r="D24">
        <v>46022</v>
      </c>
      <c r="E24" t="s">
        <v>716</v>
      </c>
      <c r="F24" t="s">
        <v>14</v>
      </c>
      <c r="G24">
        <v>1005977438</v>
      </c>
      <c r="H24" t="s">
        <v>133</v>
      </c>
      <c r="I24">
        <v>98390119</v>
      </c>
      <c r="J24" t="s">
        <v>14</v>
      </c>
      <c r="K24" t="s">
        <v>63</v>
      </c>
      <c r="L24" s="1">
        <v>11025000</v>
      </c>
      <c r="M24" s="1">
        <v>11025000</v>
      </c>
      <c r="N24" t="s">
        <v>704</v>
      </c>
      <c r="O24" s="1">
        <f t="shared" si="0"/>
        <v>0</v>
      </c>
    </row>
    <row r="25" spans="1:15" x14ac:dyDescent="0.25">
      <c r="A25" t="s">
        <v>134</v>
      </c>
      <c r="B25" t="s">
        <v>13</v>
      </c>
      <c r="C25">
        <v>45909</v>
      </c>
      <c r="D25">
        <v>46022</v>
      </c>
      <c r="E25" t="s">
        <v>719</v>
      </c>
      <c r="F25" t="s">
        <v>14</v>
      </c>
      <c r="G25">
        <v>59310291</v>
      </c>
      <c r="H25" t="s">
        <v>135</v>
      </c>
      <c r="I25">
        <v>98333941</v>
      </c>
      <c r="J25" t="s">
        <v>14</v>
      </c>
      <c r="K25" t="s">
        <v>15</v>
      </c>
      <c r="L25" s="1">
        <v>25200000</v>
      </c>
      <c r="M25" s="1">
        <v>25200000</v>
      </c>
      <c r="N25" t="s">
        <v>704</v>
      </c>
      <c r="O25" s="1">
        <f t="shared" si="0"/>
        <v>0</v>
      </c>
    </row>
    <row r="26" spans="1:15" x14ac:dyDescent="0.25">
      <c r="A26" t="s">
        <v>138</v>
      </c>
      <c r="B26" t="s">
        <v>13</v>
      </c>
      <c r="C26">
        <v>45946</v>
      </c>
      <c r="D26">
        <v>46022</v>
      </c>
      <c r="E26" t="s">
        <v>720</v>
      </c>
      <c r="F26" t="s">
        <v>14</v>
      </c>
      <c r="G26">
        <v>1080693240</v>
      </c>
      <c r="H26" t="s">
        <v>139</v>
      </c>
      <c r="I26">
        <v>59836926</v>
      </c>
      <c r="J26" t="s">
        <v>14</v>
      </c>
      <c r="K26" t="s">
        <v>17</v>
      </c>
      <c r="L26" s="1">
        <v>7875000</v>
      </c>
      <c r="M26" s="1">
        <v>7875000</v>
      </c>
      <c r="N26" t="s">
        <v>704</v>
      </c>
      <c r="O26" s="1">
        <f t="shared" si="0"/>
        <v>0</v>
      </c>
    </row>
    <row r="27" spans="1:15" x14ac:dyDescent="0.25">
      <c r="A27" t="s">
        <v>140</v>
      </c>
      <c r="B27" t="s">
        <v>13</v>
      </c>
      <c r="C27">
        <v>45940</v>
      </c>
      <c r="D27">
        <v>46022</v>
      </c>
      <c r="E27" t="s">
        <v>141</v>
      </c>
      <c r="F27" t="s">
        <v>83</v>
      </c>
      <c r="G27">
        <v>900752343</v>
      </c>
      <c r="H27" t="s">
        <v>107</v>
      </c>
      <c r="I27">
        <v>17658216</v>
      </c>
      <c r="J27" t="s">
        <v>14</v>
      </c>
      <c r="K27" t="s">
        <v>108</v>
      </c>
      <c r="L27" s="1">
        <v>283000000</v>
      </c>
      <c r="M27" s="1">
        <v>283000000</v>
      </c>
      <c r="N27" t="s">
        <v>704</v>
      </c>
      <c r="O27" s="1">
        <f t="shared" si="0"/>
        <v>0</v>
      </c>
    </row>
    <row r="28" spans="1:15" x14ac:dyDescent="0.25">
      <c r="A28" t="s">
        <v>142</v>
      </c>
      <c r="B28" t="s">
        <v>13</v>
      </c>
      <c r="C28">
        <v>45945</v>
      </c>
      <c r="D28">
        <v>46022</v>
      </c>
      <c r="E28" t="s">
        <v>723</v>
      </c>
      <c r="F28" t="s">
        <v>14</v>
      </c>
      <c r="G28">
        <v>1080040525</v>
      </c>
      <c r="H28" t="s">
        <v>143</v>
      </c>
      <c r="I28">
        <v>98333941</v>
      </c>
      <c r="J28" t="s">
        <v>14</v>
      </c>
      <c r="K28" t="s">
        <v>15</v>
      </c>
      <c r="L28" s="1">
        <v>6000000</v>
      </c>
      <c r="M28" s="1">
        <v>6000000</v>
      </c>
      <c r="N28" t="s">
        <v>704</v>
      </c>
      <c r="O28" s="1">
        <f t="shared" si="0"/>
        <v>0</v>
      </c>
    </row>
    <row r="29" spans="1:15" x14ac:dyDescent="0.25">
      <c r="A29" t="s">
        <v>144</v>
      </c>
      <c r="B29" t="s">
        <v>13</v>
      </c>
      <c r="C29">
        <v>45931</v>
      </c>
      <c r="D29">
        <v>46022</v>
      </c>
      <c r="E29" t="s">
        <v>724</v>
      </c>
      <c r="F29" t="s">
        <v>14</v>
      </c>
      <c r="G29">
        <v>1085275400</v>
      </c>
      <c r="H29" t="s">
        <v>145</v>
      </c>
      <c r="I29">
        <v>43624414</v>
      </c>
      <c r="J29" t="s">
        <v>14</v>
      </c>
      <c r="K29" t="s">
        <v>18</v>
      </c>
      <c r="L29" s="1">
        <v>9450000</v>
      </c>
      <c r="M29" s="1">
        <v>9450000</v>
      </c>
      <c r="N29" t="s">
        <v>704</v>
      </c>
      <c r="O29" s="1">
        <f t="shared" si="0"/>
        <v>0</v>
      </c>
    </row>
    <row r="30" spans="1:15" x14ac:dyDescent="0.25">
      <c r="A30" t="s">
        <v>146</v>
      </c>
      <c r="B30" t="s">
        <v>13</v>
      </c>
      <c r="C30">
        <v>45929</v>
      </c>
      <c r="D30">
        <v>46022</v>
      </c>
      <c r="E30" t="s">
        <v>725</v>
      </c>
      <c r="F30" t="s">
        <v>14</v>
      </c>
      <c r="G30">
        <v>52381227</v>
      </c>
      <c r="H30" t="s">
        <v>147</v>
      </c>
      <c r="I30">
        <v>98390119</v>
      </c>
      <c r="J30" t="s">
        <v>14</v>
      </c>
      <c r="K30" t="s">
        <v>63</v>
      </c>
      <c r="L30" s="1">
        <v>14190000</v>
      </c>
      <c r="M30" s="1">
        <v>14190000</v>
      </c>
      <c r="N30" t="s">
        <v>704</v>
      </c>
      <c r="O30" s="1">
        <f t="shared" si="0"/>
        <v>0</v>
      </c>
    </row>
    <row r="31" spans="1:15" x14ac:dyDescent="0.25">
      <c r="A31" t="s">
        <v>148</v>
      </c>
      <c r="B31" t="s">
        <v>13</v>
      </c>
      <c r="C31">
        <v>45971</v>
      </c>
      <c r="D31">
        <v>46022</v>
      </c>
      <c r="E31" t="s">
        <v>726</v>
      </c>
      <c r="F31" t="s">
        <v>14</v>
      </c>
      <c r="G31">
        <v>59312779</v>
      </c>
      <c r="H31" t="s">
        <v>149</v>
      </c>
      <c r="I31">
        <v>98390119</v>
      </c>
      <c r="J31" t="s">
        <v>14</v>
      </c>
      <c r="K31" t="s">
        <v>63</v>
      </c>
      <c r="L31" s="1">
        <v>4000000</v>
      </c>
      <c r="M31" s="1">
        <v>4000000</v>
      </c>
      <c r="N31" t="s">
        <v>704</v>
      </c>
      <c r="O31" s="1">
        <f t="shared" si="0"/>
        <v>0</v>
      </c>
    </row>
    <row r="32" spans="1:15" x14ac:dyDescent="0.25">
      <c r="A32" t="s">
        <v>152</v>
      </c>
      <c r="B32" t="s">
        <v>13</v>
      </c>
      <c r="C32">
        <v>45919</v>
      </c>
      <c r="D32">
        <v>46022</v>
      </c>
      <c r="E32" t="s">
        <v>722</v>
      </c>
      <c r="F32" t="s">
        <v>14</v>
      </c>
      <c r="G32">
        <v>1087645723</v>
      </c>
      <c r="H32" t="s">
        <v>153</v>
      </c>
      <c r="I32">
        <v>98390119</v>
      </c>
      <c r="J32" t="s">
        <v>14</v>
      </c>
      <c r="K32" t="s">
        <v>63</v>
      </c>
      <c r="L32" s="1">
        <v>27300000</v>
      </c>
      <c r="M32" s="1">
        <v>27300000</v>
      </c>
      <c r="N32" t="s">
        <v>704</v>
      </c>
      <c r="O32" s="1">
        <f t="shared" si="0"/>
        <v>0</v>
      </c>
    </row>
    <row r="33" spans="1:15" x14ac:dyDescent="0.25">
      <c r="A33" t="s">
        <v>154</v>
      </c>
      <c r="B33" t="s">
        <v>13</v>
      </c>
      <c r="C33">
        <v>45971</v>
      </c>
      <c r="D33">
        <v>46022</v>
      </c>
      <c r="E33" t="s">
        <v>727</v>
      </c>
      <c r="F33" t="s">
        <v>14</v>
      </c>
      <c r="G33">
        <v>1086331521</v>
      </c>
      <c r="H33" t="s">
        <v>155</v>
      </c>
      <c r="I33">
        <v>98333941</v>
      </c>
      <c r="J33" t="s">
        <v>14</v>
      </c>
      <c r="K33" t="s">
        <v>15</v>
      </c>
      <c r="L33" s="1">
        <v>15600000</v>
      </c>
      <c r="M33" s="1">
        <v>15600000</v>
      </c>
      <c r="N33" t="s">
        <v>704</v>
      </c>
      <c r="O33" s="1">
        <f t="shared" si="0"/>
        <v>0</v>
      </c>
    </row>
    <row r="34" spans="1:15" x14ac:dyDescent="0.25">
      <c r="A34" t="s">
        <v>156</v>
      </c>
      <c r="B34" t="s">
        <v>13</v>
      </c>
      <c r="C34">
        <v>45967</v>
      </c>
      <c r="D34">
        <v>46022</v>
      </c>
      <c r="E34" t="s">
        <v>728</v>
      </c>
      <c r="F34" t="s">
        <v>14</v>
      </c>
      <c r="G34">
        <v>1088799080</v>
      </c>
      <c r="H34" t="s">
        <v>157</v>
      </c>
      <c r="I34">
        <v>43624414</v>
      </c>
      <c r="J34" t="s">
        <v>14</v>
      </c>
      <c r="K34" t="s">
        <v>18</v>
      </c>
      <c r="L34" s="1">
        <v>6300000</v>
      </c>
      <c r="M34" s="1">
        <v>6300000</v>
      </c>
      <c r="N34" t="s">
        <v>704</v>
      </c>
      <c r="O34" s="1">
        <f t="shared" si="0"/>
        <v>0</v>
      </c>
    </row>
    <row r="35" spans="1:15" x14ac:dyDescent="0.25">
      <c r="A35" t="s">
        <v>158</v>
      </c>
      <c r="B35" t="s">
        <v>13</v>
      </c>
      <c r="C35">
        <v>45908</v>
      </c>
      <c r="D35">
        <v>46022</v>
      </c>
      <c r="E35" t="s">
        <v>706</v>
      </c>
      <c r="F35" t="s">
        <v>14</v>
      </c>
      <c r="G35">
        <v>36756149</v>
      </c>
      <c r="H35" t="s">
        <v>159</v>
      </c>
      <c r="I35">
        <v>98333941</v>
      </c>
      <c r="J35" t="s">
        <v>14</v>
      </c>
      <c r="K35" t="s">
        <v>15</v>
      </c>
      <c r="L35" s="1">
        <v>18920000</v>
      </c>
      <c r="M35" s="1">
        <v>18920000</v>
      </c>
      <c r="N35" t="s">
        <v>704</v>
      </c>
      <c r="O35" s="1">
        <f t="shared" si="0"/>
        <v>0</v>
      </c>
    </row>
    <row r="36" spans="1:15" x14ac:dyDescent="0.25">
      <c r="A36" t="s">
        <v>160</v>
      </c>
      <c r="B36" t="s">
        <v>13</v>
      </c>
      <c r="C36">
        <v>45960</v>
      </c>
      <c r="D36">
        <v>46022</v>
      </c>
      <c r="E36" t="s">
        <v>720</v>
      </c>
      <c r="F36" t="s">
        <v>14</v>
      </c>
      <c r="G36">
        <v>1086018841</v>
      </c>
      <c r="H36" t="s">
        <v>161</v>
      </c>
      <c r="I36">
        <v>43624414</v>
      </c>
      <c r="J36" t="s">
        <v>14</v>
      </c>
      <c r="K36" t="s">
        <v>18</v>
      </c>
      <c r="L36" s="1">
        <v>6300000</v>
      </c>
      <c r="M36" s="1">
        <v>6300000</v>
      </c>
      <c r="N36" t="s">
        <v>704</v>
      </c>
      <c r="O36" s="1">
        <f t="shared" si="0"/>
        <v>0</v>
      </c>
    </row>
    <row r="37" spans="1:15" x14ac:dyDescent="0.25">
      <c r="A37" t="s">
        <v>162</v>
      </c>
      <c r="B37" t="s">
        <v>13</v>
      </c>
      <c r="C37">
        <v>45966</v>
      </c>
      <c r="D37">
        <v>46022</v>
      </c>
      <c r="E37" t="s">
        <v>729</v>
      </c>
      <c r="F37" t="s">
        <v>14</v>
      </c>
      <c r="G37">
        <v>59828916</v>
      </c>
      <c r="H37" t="s">
        <v>73</v>
      </c>
      <c r="I37">
        <v>98390119</v>
      </c>
      <c r="J37" t="s">
        <v>14</v>
      </c>
      <c r="K37" t="s">
        <v>63</v>
      </c>
      <c r="L37" s="1">
        <v>6300000</v>
      </c>
      <c r="M37" s="1">
        <v>6300000</v>
      </c>
      <c r="N37" t="s">
        <v>704</v>
      </c>
      <c r="O37" s="1">
        <f t="shared" si="0"/>
        <v>0</v>
      </c>
    </row>
    <row r="38" spans="1:15" x14ac:dyDescent="0.25">
      <c r="A38" t="s">
        <v>163</v>
      </c>
      <c r="B38" t="s">
        <v>13</v>
      </c>
      <c r="C38">
        <v>45904</v>
      </c>
      <c r="D38">
        <v>46022</v>
      </c>
      <c r="E38" t="s">
        <v>707</v>
      </c>
      <c r="F38" t="s">
        <v>14</v>
      </c>
      <c r="G38">
        <v>36757491</v>
      </c>
      <c r="H38" t="s">
        <v>164</v>
      </c>
      <c r="I38">
        <v>98333941</v>
      </c>
      <c r="J38" t="s">
        <v>14</v>
      </c>
      <c r="K38" t="s">
        <v>15</v>
      </c>
      <c r="L38" s="1">
        <v>18920000</v>
      </c>
      <c r="M38" s="1">
        <v>18920000</v>
      </c>
      <c r="N38" t="s">
        <v>704</v>
      </c>
      <c r="O38" s="1">
        <f t="shared" si="0"/>
        <v>0</v>
      </c>
    </row>
    <row r="39" spans="1:15" x14ac:dyDescent="0.25">
      <c r="A39" t="s">
        <v>165</v>
      </c>
      <c r="B39" t="s">
        <v>13</v>
      </c>
      <c r="C39">
        <v>45965</v>
      </c>
      <c r="D39">
        <v>46022</v>
      </c>
      <c r="E39" t="s">
        <v>715</v>
      </c>
      <c r="F39" t="s">
        <v>14</v>
      </c>
      <c r="G39">
        <v>1085275445</v>
      </c>
      <c r="H39" t="s">
        <v>166</v>
      </c>
      <c r="I39">
        <v>98390119</v>
      </c>
      <c r="J39" t="s">
        <v>14</v>
      </c>
      <c r="K39" t="s">
        <v>63</v>
      </c>
      <c r="L39" s="1">
        <v>4000000</v>
      </c>
      <c r="M39" s="1">
        <v>4000000</v>
      </c>
      <c r="N39" t="s">
        <v>704</v>
      </c>
      <c r="O39" s="1">
        <f t="shared" si="0"/>
        <v>0</v>
      </c>
    </row>
    <row r="40" spans="1:15" x14ac:dyDescent="0.25">
      <c r="A40" t="s">
        <v>167</v>
      </c>
      <c r="B40" t="s">
        <v>13</v>
      </c>
      <c r="C40">
        <v>45902</v>
      </c>
      <c r="D40">
        <v>46022</v>
      </c>
      <c r="E40" t="s">
        <v>730</v>
      </c>
      <c r="F40" t="s">
        <v>14</v>
      </c>
      <c r="G40">
        <v>36752202</v>
      </c>
      <c r="H40" t="s">
        <v>168</v>
      </c>
      <c r="I40">
        <v>59836926</v>
      </c>
      <c r="J40" t="s">
        <v>14</v>
      </c>
      <c r="K40" t="s">
        <v>17</v>
      </c>
      <c r="L40" s="1">
        <v>12600000</v>
      </c>
      <c r="M40" s="1">
        <v>12600000</v>
      </c>
      <c r="N40" t="s">
        <v>704</v>
      </c>
      <c r="O40" s="1">
        <f t="shared" si="0"/>
        <v>0</v>
      </c>
    </row>
    <row r="41" spans="1:15" x14ac:dyDescent="0.25">
      <c r="A41" t="s">
        <v>171</v>
      </c>
      <c r="B41" t="s">
        <v>13</v>
      </c>
      <c r="C41">
        <v>45909</v>
      </c>
      <c r="D41">
        <v>46022</v>
      </c>
      <c r="E41" t="s">
        <v>711</v>
      </c>
      <c r="F41" t="s">
        <v>14</v>
      </c>
      <c r="G41">
        <v>27088197</v>
      </c>
      <c r="H41" t="s">
        <v>62</v>
      </c>
      <c r="I41">
        <v>59836926</v>
      </c>
      <c r="J41" t="s">
        <v>14</v>
      </c>
      <c r="K41" t="s">
        <v>17</v>
      </c>
      <c r="L41" s="1">
        <v>12600000</v>
      </c>
      <c r="M41" s="1">
        <v>12600000</v>
      </c>
      <c r="N41" t="s">
        <v>704</v>
      </c>
      <c r="O41" s="1">
        <f t="shared" si="0"/>
        <v>0</v>
      </c>
    </row>
    <row r="42" spans="1:15" x14ac:dyDescent="0.25">
      <c r="A42" t="s">
        <v>172</v>
      </c>
      <c r="B42" t="s">
        <v>13</v>
      </c>
      <c r="C42">
        <v>45947</v>
      </c>
      <c r="D42">
        <v>46022</v>
      </c>
      <c r="E42" t="s">
        <v>731</v>
      </c>
      <c r="F42" t="s">
        <v>14</v>
      </c>
      <c r="G42">
        <v>59834953</v>
      </c>
      <c r="H42" t="s">
        <v>35</v>
      </c>
      <c r="I42">
        <v>98390119</v>
      </c>
      <c r="J42" t="s">
        <v>14</v>
      </c>
      <c r="K42" t="s">
        <v>63</v>
      </c>
      <c r="L42" s="1">
        <v>7875000</v>
      </c>
      <c r="M42" s="1">
        <v>7875000</v>
      </c>
      <c r="N42" t="s">
        <v>704</v>
      </c>
      <c r="O42" s="1">
        <f t="shared" si="0"/>
        <v>0</v>
      </c>
    </row>
    <row r="43" spans="1:15" x14ac:dyDescent="0.25">
      <c r="A43" t="s">
        <v>173</v>
      </c>
      <c r="B43" t="s">
        <v>13</v>
      </c>
      <c r="C43">
        <v>45909</v>
      </c>
      <c r="D43">
        <v>46022</v>
      </c>
      <c r="E43" t="s">
        <v>711</v>
      </c>
      <c r="F43" t="s">
        <v>14</v>
      </c>
      <c r="G43">
        <v>27082649</v>
      </c>
      <c r="H43" t="s">
        <v>174</v>
      </c>
      <c r="I43">
        <v>43624414</v>
      </c>
      <c r="J43" t="s">
        <v>14</v>
      </c>
      <c r="K43" t="s">
        <v>18</v>
      </c>
      <c r="L43" s="1">
        <v>12600000</v>
      </c>
      <c r="M43" s="1">
        <v>12600000</v>
      </c>
      <c r="N43" t="s">
        <v>704</v>
      </c>
      <c r="O43" s="1">
        <f t="shared" si="0"/>
        <v>0</v>
      </c>
    </row>
    <row r="44" spans="1:15" x14ac:dyDescent="0.25">
      <c r="A44" t="s">
        <v>175</v>
      </c>
      <c r="B44" t="s">
        <v>13</v>
      </c>
      <c r="C44">
        <v>45911</v>
      </c>
      <c r="D44">
        <v>46022</v>
      </c>
      <c r="E44" t="s">
        <v>711</v>
      </c>
      <c r="F44" t="s">
        <v>14</v>
      </c>
      <c r="G44">
        <v>1082747438</v>
      </c>
      <c r="H44" t="s">
        <v>61</v>
      </c>
      <c r="I44">
        <v>98333941</v>
      </c>
      <c r="J44" t="s">
        <v>14</v>
      </c>
      <c r="K44" t="s">
        <v>15</v>
      </c>
      <c r="L44" s="1">
        <v>12600000</v>
      </c>
      <c r="M44" s="1">
        <v>12600000</v>
      </c>
      <c r="N44" t="s">
        <v>704</v>
      </c>
      <c r="O44" s="1">
        <f t="shared" si="0"/>
        <v>0</v>
      </c>
    </row>
    <row r="45" spans="1:15" x14ac:dyDescent="0.25">
      <c r="A45" t="s">
        <v>176</v>
      </c>
      <c r="B45" t="s">
        <v>13</v>
      </c>
      <c r="C45">
        <v>45946</v>
      </c>
      <c r="D45">
        <v>46022</v>
      </c>
      <c r="E45" t="s">
        <v>717</v>
      </c>
      <c r="F45" t="s">
        <v>14</v>
      </c>
      <c r="G45">
        <v>1061794455</v>
      </c>
      <c r="H45" t="s">
        <v>177</v>
      </c>
      <c r="I45">
        <v>59836926</v>
      </c>
      <c r="J45" t="s">
        <v>14</v>
      </c>
      <c r="K45" t="s">
        <v>17</v>
      </c>
      <c r="L45" s="1">
        <v>19500000</v>
      </c>
      <c r="M45" s="1">
        <v>19500000</v>
      </c>
      <c r="N45" t="s">
        <v>704</v>
      </c>
      <c r="O45" s="1">
        <f t="shared" si="0"/>
        <v>0</v>
      </c>
    </row>
    <row r="46" spans="1:15" x14ac:dyDescent="0.25">
      <c r="A46" t="s">
        <v>178</v>
      </c>
      <c r="B46" t="s">
        <v>13</v>
      </c>
      <c r="C46">
        <v>45939</v>
      </c>
      <c r="D46">
        <v>46022</v>
      </c>
      <c r="E46" t="s">
        <v>732</v>
      </c>
      <c r="F46" t="s">
        <v>14</v>
      </c>
      <c r="G46">
        <v>12974849</v>
      </c>
      <c r="H46" t="s">
        <v>179</v>
      </c>
      <c r="I46">
        <v>43624414</v>
      </c>
      <c r="J46" t="s">
        <v>14</v>
      </c>
      <c r="K46" t="s">
        <v>18</v>
      </c>
      <c r="L46" s="1">
        <v>6000000</v>
      </c>
      <c r="M46" s="1">
        <v>6000000</v>
      </c>
      <c r="N46" t="s">
        <v>704</v>
      </c>
      <c r="O46" s="1">
        <f t="shared" si="0"/>
        <v>0</v>
      </c>
    </row>
    <row r="47" spans="1:15" x14ac:dyDescent="0.25">
      <c r="A47" t="s">
        <v>180</v>
      </c>
      <c r="B47" t="s">
        <v>13</v>
      </c>
      <c r="C47">
        <v>45908</v>
      </c>
      <c r="D47">
        <v>46022</v>
      </c>
      <c r="E47" t="s">
        <v>719</v>
      </c>
      <c r="F47" t="s">
        <v>14</v>
      </c>
      <c r="G47">
        <v>59836480</v>
      </c>
      <c r="H47" t="s">
        <v>181</v>
      </c>
      <c r="I47">
        <v>43624414</v>
      </c>
      <c r="J47" t="s">
        <v>14</v>
      </c>
      <c r="K47" t="s">
        <v>18</v>
      </c>
      <c r="L47" s="1">
        <v>25200000</v>
      </c>
      <c r="M47" s="1">
        <v>25200000</v>
      </c>
      <c r="N47" t="s">
        <v>704</v>
      </c>
      <c r="O47" s="1">
        <f t="shared" si="0"/>
        <v>0</v>
      </c>
    </row>
    <row r="48" spans="1:15" x14ac:dyDescent="0.25">
      <c r="A48" t="s">
        <v>182</v>
      </c>
      <c r="B48" t="s">
        <v>13</v>
      </c>
      <c r="C48">
        <v>45965</v>
      </c>
      <c r="D48">
        <v>46022</v>
      </c>
      <c r="E48" t="s">
        <v>733</v>
      </c>
      <c r="F48" t="s">
        <v>14</v>
      </c>
      <c r="G48">
        <v>59815593</v>
      </c>
      <c r="H48" t="s">
        <v>183</v>
      </c>
      <c r="I48">
        <v>98333941</v>
      </c>
      <c r="J48" t="s">
        <v>14</v>
      </c>
      <c r="K48" t="s">
        <v>15</v>
      </c>
      <c r="L48" s="1">
        <v>4000000</v>
      </c>
      <c r="M48" s="1">
        <v>4000000</v>
      </c>
      <c r="N48" t="s">
        <v>704</v>
      </c>
      <c r="O48" s="1">
        <f t="shared" si="0"/>
        <v>0</v>
      </c>
    </row>
    <row r="49" spans="1:15" x14ac:dyDescent="0.25">
      <c r="A49" t="s">
        <v>184</v>
      </c>
      <c r="B49" t="s">
        <v>13</v>
      </c>
      <c r="C49">
        <v>45945</v>
      </c>
      <c r="D49">
        <v>46022</v>
      </c>
      <c r="E49" t="s">
        <v>734</v>
      </c>
      <c r="F49" t="s">
        <v>14</v>
      </c>
      <c r="G49">
        <v>27388522</v>
      </c>
      <c r="H49" t="s">
        <v>38</v>
      </c>
      <c r="I49">
        <v>98390119</v>
      </c>
      <c r="J49" t="s">
        <v>14</v>
      </c>
      <c r="K49" t="s">
        <v>63</v>
      </c>
      <c r="L49" s="1">
        <v>7875000</v>
      </c>
      <c r="M49" s="1">
        <v>7875000</v>
      </c>
      <c r="N49" t="s">
        <v>704</v>
      </c>
      <c r="O49" s="1">
        <f t="shared" si="0"/>
        <v>0</v>
      </c>
    </row>
    <row r="50" spans="1:15" x14ac:dyDescent="0.25">
      <c r="A50" t="s">
        <v>185</v>
      </c>
      <c r="B50" t="s">
        <v>13</v>
      </c>
      <c r="C50">
        <v>45909</v>
      </c>
      <c r="D50">
        <v>46022</v>
      </c>
      <c r="E50" t="s">
        <v>711</v>
      </c>
      <c r="F50" t="s">
        <v>14</v>
      </c>
      <c r="G50">
        <v>1087960258</v>
      </c>
      <c r="H50" t="s">
        <v>186</v>
      </c>
      <c r="I50">
        <v>98333941</v>
      </c>
      <c r="J50" t="s">
        <v>14</v>
      </c>
      <c r="K50" t="s">
        <v>15</v>
      </c>
      <c r="L50" s="1">
        <v>12600000</v>
      </c>
      <c r="M50" s="1">
        <v>12600000</v>
      </c>
      <c r="N50" t="s">
        <v>704</v>
      </c>
      <c r="O50" s="1">
        <f t="shared" si="0"/>
        <v>0</v>
      </c>
    </row>
    <row r="51" spans="1:15" x14ac:dyDescent="0.25">
      <c r="A51" t="s">
        <v>188</v>
      </c>
      <c r="B51" t="s">
        <v>13</v>
      </c>
      <c r="C51">
        <v>45945</v>
      </c>
      <c r="D51">
        <v>46022</v>
      </c>
      <c r="E51" t="s">
        <v>720</v>
      </c>
      <c r="F51" t="s">
        <v>14</v>
      </c>
      <c r="G51">
        <v>1004343043</v>
      </c>
      <c r="H51" t="s">
        <v>189</v>
      </c>
      <c r="I51">
        <v>98390119</v>
      </c>
      <c r="J51" t="s">
        <v>14</v>
      </c>
      <c r="K51" t="s">
        <v>63</v>
      </c>
      <c r="L51" s="1">
        <v>7875000</v>
      </c>
      <c r="M51" s="1">
        <v>7875000</v>
      </c>
      <c r="N51" t="s">
        <v>704</v>
      </c>
      <c r="O51" s="1">
        <f t="shared" si="0"/>
        <v>0</v>
      </c>
    </row>
    <row r="52" spans="1:15" x14ac:dyDescent="0.25">
      <c r="A52" t="s">
        <v>190</v>
      </c>
      <c r="B52" t="s">
        <v>13</v>
      </c>
      <c r="C52">
        <v>45971</v>
      </c>
      <c r="D52">
        <v>46022</v>
      </c>
      <c r="E52" t="s">
        <v>720</v>
      </c>
      <c r="F52" t="s">
        <v>14</v>
      </c>
      <c r="G52">
        <v>1085331508</v>
      </c>
      <c r="H52" t="s">
        <v>191</v>
      </c>
      <c r="I52">
        <v>59836926</v>
      </c>
      <c r="J52" t="s">
        <v>14</v>
      </c>
      <c r="K52" t="s">
        <v>17</v>
      </c>
      <c r="L52" s="1">
        <v>6300000</v>
      </c>
      <c r="M52" s="1">
        <v>6300000</v>
      </c>
      <c r="N52" t="s">
        <v>704</v>
      </c>
      <c r="O52" s="1">
        <f t="shared" si="0"/>
        <v>0</v>
      </c>
    </row>
    <row r="53" spans="1:15" x14ac:dyDescent="0.25">
      <c r="A53" t="s">
        <v>192</v>
      </c>
      <c r="B53" t="s">
        <v>13</v>
      </c>
      <c r="C53">
        <v>45908</v>
      </c>
      <c r="D53">
        <v>46022</v>
      </c>
      <c r="E53" t="s">
        <v>719</v>
      </c>
      <c r="F53" t="s">
        <v>14</v>
      </c>
      <c r="G53">
        <v>27146489</v>
      </c>
      <c r="H53" t="s">
        <v>193</v>
      </c>
      <c r="I53">
        <v>98390119</v>
      </c>
      <c r="J53" t="s">
        <v>14</v>
      </c>
      <c r="K53" t="s">
        <v>63</v>
      </c>
      <c r="L53" s="1">
        <v>25200000</v>
      </c>
      <c r="M53" s="1">
        <v>25200000</v>
      </c>
      <c r="N53" t="s">
        <v>704</v>
      </c>
      <c r="O53" s="1">
        <f t="shared" si="0"/>
        <v>0</v>
      </c>
    </row>
    <row r="54" spans="1:15" x14ac:dyDescent="0.25">
      <c r="A54" t="s">
        <v>194</v>
      </c>
      <c r="B54" t="s">
        <v>13</v>
      </c>
      <c r="C54">
        <v>45910</v>
      </c>
      <c r="D54">
        <v>46022</v>
      </c>
      <c r="E54" t="s">
        <v>711</v>
      </c>
      <c r="F54" t="s">
        <v>14</v>
      </c>
      <c r="G54">
        <v>1233193191</v>
      </c>
      <c r="H54" t="s">
        <v>195</v>
      </c>
      <c r="I54">
        <v>98333941</v>
      </c>
      <c r="J54" t="s">
        <v>14</v>
      </c>
      <c r="K54" t="s">
        <v>15</v>
      </c>
      <c r="L54" s="1">
        <v>12600000</v>
      </c>
      <c r="M54" s="1">
        <v>12600000</v>
      </c>
      <c r="N54" t="s">
        <v>704</v>
      </c>
      <c r="O54" s="1">
        <f t="shared" si="0"/>
        <v>0</v>
      </c>
    </row>
    <row r="55" spans="1:15" x14ac:dyDescent="0.25">
      <c r="A55" t="s">
        <v>196</v>
      </c>
      <c r="B55" t="s">
        <v>13</v>
      </c>
      <c r="C55">
        <v>45909</v>
      </c>
      <c r="D55">
        <v>46022</v>
      </c>
      <c r="E55" t="s">
        <v>711</v>
      </c>
      <c r="F55" t="s">
        <v>14</v>
      </c>
      <c r="G55">
        <v>37087117</v>
      </c>
      <c r="H55" t="s">
        <v>197</v>
      </c>
      <c r="I55">
        <v>98333941</v>
      </c>
      <c r="J55" t="s">
        <v>14</v>
      </c>
      <c r="K55" t="s">
        <v>15</v>
      </c>
      <c r="L55" s="1">
        <v>12600000</v>
      </c>
      <c r="M55" s="1">
        <v>12600000</v>
      </c>
      <c r="N55" t="s">
        <v>704</v>
      </c>
      <c r="O55" s="1">
        <f t="shared" si="0"/>
        <v>0</v>
      </c>
    </row>
    <row r="56" spans="1:15" x14ac:dyDescent="0.25">
      <c r="A56" t="s">
        <v>198</v>
      </c>
      <c r="B56" t="s">
        <v>13</v>
      </c>
      <c r="C56">
        <v>45968</v>
      </c>
      <c r="D56">
        <v>46022</v>
      </c>
      <c r="E56" t="s">
        <v>736</v>
      </c>
      <c r="F56" t="s">
        <v>14</v>
      </c>
      <c r="G56">
        <v>1085281002</v>
      </c>
      <c r="H56" t="s">
        <v>199</v>
      </c>
      <c r="I56">
        <v>59836926</v>
      </c>
      <c r="J56" t="s">
        <v>14</v>
      </c>
      <c r="K56" t="s">
        <v>17</v>
      </c>
      <c r="L56" s="1">
        <v>6300000</v>
      </c>
      <c r="M56" s="1">
        <v>6300000</v>
      </c>
      <c r="N56" t="s">
        <v>704</v>
      </c>
      <c r="O56" s="1">
        <f t="shared" si="0"/>
        <v>0</v>
      </c>
    </row>
    <row r="57" spans="1:15" x14ac:dyDescent="0.25">
      <c r="A57" t="s">
        <v>200</v>
      </c>
      <c r="B57" t="s">
        <v>13</v>
      </c>
      <c r="C57">
        <v>45944</v>
      </c>
      <c r="D57">
        <v>46022</v>
      </c>
      <c r="E57" t="s">
        <v>737</v>
      </c>
      <c r="F57" t="s">
        <v>14</v>
      </c>
      <c r="G57">
        <v>1233191675</v>
      </c>
      <c r="H57" t="s">
        <v>28</v>
      </c>
      <c r="I57">
        <v>98390119</v>
      </c>
      <c r="J57" t="s">
        <v>14</v>
      </c>
      <c r="K57" t="s">
        <v>63</v>
      </c>
      <c r="L57" s="1">
        <v>9450000</v>
      </c>
      <c r="M57" s="1">
        <v>9450000</v>
      </c>
      <c r="N57" t="s">
        <v>704</v>
      </c>
      <c r="O57" s="1">
        <f t="shared" si="0"/>
        <v>0</v>
      </c>
    </row>
    <row r="58" spans="1:15" x14ac:dyDescent="0.25">
      <c r="A58" t="s">
        <v>201</v>
      </c>
      <c r="B58" t="s">
        <v>13</v>
      </c>
      <c r="C58">
        <v>45908</v>
      </c>
      <c r="D58">
        <v>46022</v>
      </c>
      <c r="E58" t="s">
        <v>711</v>
      </c>
      <c r="F58" t="s">
        <v>14</v>
      </c>
      <c r="G58">
        <v>1004236159</v>
      </c>
      <c r="H58" t="s">
        <v>202</v>
      </c>
      <c r="I58">
        <v>98333941</v>
      </c>
      <c r="J58" t="s">
        <v>14</v>
      </c>
      <c r="K58" t="s">
        <v>15</v>
      </c>
      <c r="L58" s="1">
        <v>12600000</v>
      </c>
      <c r="M58" s="1">
        <v>12600000</v>
      </c>
      <c r="N58" t="s">
        <v>704</v>
      </c>
      <c r="O58" s="1">
        <f t="shared" si="0"/>
        <v>0</v>
      </c>
    </row>
    <row r="59" spans="1:15" x14ac:dyDescent="0.25">
      <c r="A59" t="s">
        <v>203</v>
      </c>
      <c r="B59" t="s">
        <v>13</v>
      </c>
      <c r="C59">
        <v>45930</v>
      </c>
      <c r="D59">
        <v>46022</v>
      </c>
      <c r="E59" t="s">
        <v>738</v>
      </c>
      <c r="F59" t="s">
        <v>14</v>
      </c>
      <c r="G59">
        <v>1193271485</v>
      </c>
      <c r="H59" t="s">
        <v>204</v>
      </c>
      <c r="I59">
        <v>98390119</v>
      </c>
      <c r="J59" t="s">
        <v>14</v>
      </c>
      <c r="K59" t="s">
        <v>63</v>
      </c>
      <c r="L59" s="1">
        <v>18900000</v>
      </c>
      <c r="M59" s="1">
        <v>18900000</v>
      </c>
      <c r="N59" t="s">
        <v>704</v>
      </c>
      <c r="O59" s="1">
        <f t="shared" si="0"/>
        <v>0</v>
      </c>
    </row>
    <row r="60" spans="1:15" x14ac:dyDescent="0.25">
      <c r="A60" t="s">
        <v>205</v>
      </c>
      <c r="B60" t="s">
        <v>13</v>
      </c>
      <c r="C60">
        <v>45910</v>
      </c>
      <c r="D60">
        <v>46022</v>
      </c>
      <c r="E60" t="s">
        <v>719</v>
      </c>
      <c r="F60" t="s">
        <v>14</v>
      </c>
      <c r="G60">
        <v>1082748420</v>
      </c>
      <c r="H60" t="s">
        <v>65</v>
      </c>
      <c r="I60">
        <v>98333941</v>
      </c>
      <c r="J60" t="s">
        <v>14</v>
      </c>
      <c r="K60" t="s">
        <v>15</v>
      </c>
      <c r="L60" s="1">
        <v>25200000</v>
      </c>
      <c r="M60" s="1">
        <v>25200000</v>
      </c>
      <c r="N60" t="s">
        <v>704</v>
      </c>
      <c r="O60" s="1">
        <f t="shared" si="0"/>
        <v>0</v>
      </c>
    </row>
    <row r="61" spans="1:15" x14ac:dyDescent="0.25">
      <c r="A61" t="s">
        <v>207</v>
      </c>
      <c r="B61" t="s">
        <v>13</v>
      </c>
      <c r="C61">
        <v>45965</v>
      </c>
      <c r="D61">
        <v>46022</v>
      </c>
      <c r="E61" t="s">
        <v>715</v>
      </c>
      <c r="F61" t="s">
        <v>14</v>
      </c>
      <c r="G61">
        <v>1085268450</v>
      </c>
      <c r="H61" t="s">
        <v>208</v>
      </c>
      <c r="I61">
        <v>43624414</v>
      </c>
      <c r="J61" t="s">
        <v>14</v>
      </c>
      <c r="K61" t="s">
        <v>18</v>
      </c>
      <c r="L61" s="1">
        <v>4000000</v>
      </c>
      <c r="M61" s="1">
        <v>4000000</v>
      </c>
      <c r="N61" t="s">
        <v>704</v>
      </c>
      <c r="O61" s="1">
        <f t="shared" si="0"/>
        <v>0</v>
      </c>
    </row>
    <row r="62" spans="1:15" x14ac:dyDescent="0.25">
      <c r="A62" t="s">
        <v>209</v>
      </c>
      <c r="B62" t="s">
        <v>13</v>
      </c>
      <c r="C62">
        <v>45946</v>
      </c>
      <c r="D62">
        <v>46022</v>
      </c>
      <c r="E62" t="s">
        <v>740</v>
      </c>
      <c r="F62" t="s">
        <v>14</v>
      </c>
      <c r="G62">
        <v>27252200</v>
      </c>
      <c r="H62" t="s">
        <v>210</v>
      </c>
      <c r="I62">
        <v>59836926</v>
      </c>
      <c r="J62" t="s">
        <v>14</v>
      </c>
      <c r="K62" t="s">
        <v>17</v>
      </c>
      <c r="L62" s="1">
        <v>15750000</v>
      </c>
      <c r="M62" s="1">
        <v>15750000</v>
      </c>
      <c r="N62" t="s">
        <v>704</v>
      </c>
      <c r="O62" s="1">
        <f t="shared" si="0"/>
        <v>0</v>
      </c>
    </row>
    <row r="63" spans="1:15" x14ac:dyDescent="0.25">
      <c r="A63" t="s">
        <v>215</v>
      </c>
      <c r="B63" t="s">
        <v>13</v>
      </c>
      <c r="C63">
        <v>45903</v>
      </c>
      <c r="D63">
        <v>46022</v>
      </c>
      <c r="E63" t="s">
        <v>708</v>
      </c>
      <c r="F63" t="s">
        <v>14</v>
      </c>
      <c r="G63">
        <v>1087006717</v>
      </c>
      <c r="H63" t="s">
        <v>42</v>
      </c>
      <c r="I63">
        <v>59836926</v>
      </c>
      <c r="J63" t="s">
        <v>14</v>
      </c>
      <c r="K63" t="s">
        <v>17</v>
      </c>
      <c r="L63" s="1">
        <v>12600000</v>
      </c>
      <c r="M63" s="1">
        <v>12600000</v>
      </c>
      <c r="N63" t="s">
        <v>704</v>
      </c>
      <c r="O63" s="1">
        <f t="shared" si="0"/>
        <v>0</v>
      </c>
    </row>
    <row r="64" spans="1:15" x14ac:dyDescent="0.25">
      <c r="A64" t="s">
        <v>216</v>
      </c>
      <c r="B64" t="s">
        <v>13</v>
      </c>
      <c r="C64">
        <v>45940</v>
      </c>
      <c r="D64">
        <v>46022</v>
      </c>
      <c r="E64" t="s">
        <v>742</v>
      </c>
      <c r="F64" t="s">
        <v>14</v>
      </c>
      <c r="G64">
        <v>1004217048</v>
      </c>
      <c r="H64" t="s">
        <v>217</v>
      </c>
      <c r="I64">
        <v>98333941</v>
      </c>
      <c r="J64" t="s">
        <v>14</v>
      </c>
      <c r="K64" t="s">
        <v>15</v>
      </c>
      <c r="L64" s="1">
        <v>6000000</v>
      </c>
      <c r="M64" s="1">
        <v>6000000</v>
      </c>
      <c r="N64" t="s">
        <v>704</v>
      </c>
      <c r="O64" s="1">
        <f t="shared" si="0"/>
        <v>0</v>
      </c>
    </row>
    <row r="65" spans="1:15" x14ac:dyDescent="0.25">
      <c r="A65" t="s">
        <v>218</v>
      </c>
      <c r="B65" t="s">
        <v>13</v>
      </c>
      <c r="C65">
        <v>45902</v>
      </c>
      <c r="D65">
        <v>46022</v>
      </c>
      <c r="E65" t="s">
        <v>743</v>
      </c>
      <c r="F65" t="s">
        <v>14</v>
      </c>
      <c r="G65">
        <v>1087413951</v>
      </c>
      <c r="H65" t="s">
        <v>219</v>
      </c>
      <c r="I65">
        <v>98333941</v>
      </c>
      <c r="J65" t="s">
        <v>14</v>
      </c>
      <c r="K65" t="s">
        <v>15</v>
      </c>
      <c r="L65" s="1">
        <v>18920000</v>
      </c>
      <c r="M65" s="1">
        <v>18920000</v>
      </c>
      <c r="N65" t="s">
        <v>704</v>
      </c>
      <c r="O65" s="1">
        <f t="shared" si="0"/>
        <v>0</v>
      </c>
    </row>
    <row r="66" spans="1:15" x14ac:dyDescent="0.25">
      <c r="A66" t="s">
        <v>220</v>
      </c>
      <c r="B66" t="s">
        <v>13</v>
      </c>
      <c r="C66">
        <v>45930</v>
      </c>
      <c r="D66">
        <v>46022</v>
      </c>
      <c r="E66" t="s">
        <v>744</v>
      </c>
      <c r="F66" t="s">
        <v>14</v>
      </c>
      <c r="G66">
        <v>27105277</v>
      </c>
      <c r="H66" t="s">
        <v>221</v>
      </c>
      <c r="I66">
        <v>59836926</v>
      </c>
      <c r="J66" t="s">
        <v>14</v>
      </c>
      <c r="K66" t="s">
        <v>17</v>
      </c>
      <c r="L66" s="1">
        <v>14190000</v>
      </c>
      <c r="M66" s="1">
        <v>14190000</v>
      </c>
      <c r="N66" t="s">
        <v>704</v>
      </c>
      <c r="O66" s="1">
        <f t="shared" ref="O66:O129" si="1">M66-L66</f>
        <v>0</v>
      </c>
    </row>
    <row r="67" spans="1:15" x14ac:dyDescent="0.25">
      <c r="A67" t="s">
        <v>222</v>
      </c>
      <c r="B67" t="s">
        <v>13</v>
      </c>
      <c r="C67">
        <v>45946</v>
      </c>
      <c r="D67">
        <v>46022</v>
      </c>
      <c r="E67" t="s">
        <v>745</v>
      </c>
      <c r="F67" t="s">
        <v>14</v>
      </c>
      <c r="G67">
        <v>1085278004</v>
      </c>
      <c r="H67" t="s">
        <v>223</v>
      </c>
      <c r="I67">
        <v>59836926</v>
      </c>
      <c r="J67" t="s">
        <v>14</v>
      </c>
      <c r="K67" t="s">
        <v>17</v>
      </c>
      <c r="L67" s="1">
        <v>15750000</v>
      </c>
      <c r="M67" s="1">
        <v>15750000</v>
      </c>
      <c r="N67" t="s">
        <v>704</v>
      </c>
      <c r="O67" s="1">
        <f t="shared" si="1"/>
        <v>0</v>
      </c>
    </row>
    <row r="68" spans="1:15" x14ac:dyDescent="0.25">
      <c r="A68" t="s">
        <v>224</v>
      </c>
      <c r="B68" t="s">
        <v>13</v>
      </c>
      <c r="C68">
        <v>45944</v>
      </c>
      <c r="D68">
        <v>46022</v>
      </c>
      <c r="E68" t="s">
        <v>715</v>
      </c>
      <c r="F68" t="s">
        <v>14</v>
      </c>
      <c r="G68">
        <v>1085253462</v>
      </c>
      <c r="H68" t="s">
        <v>225</v>
      </c>
      <c r="I68">
        <v>59836926</v>
      </c>
      <c r="J68" t="s">
        <v>14</v>
      </c>
      <c r="K68" t="s">
        <v>17</v>
      </c>
      <c r="L68" s="1">
        <v>6000000</v>
      </c>
      <c r="M68" s="1">
        <v>6000000</v>
      </c>
      <c r="N68" t="s">
        <v>704</v>
      </c>
      <c r="O68" s="1">
        <f t="shared" si="1"/>
        <v>0</v>
      </c>
    </row>
    <row r="69" spans="1:15" x14ac:dyDescent="0.25">
      <c r="A69" t="s">
        <v>228</v>
      </c>
      <c r="B69" t="s">
        <v>13</v>
      </c>
      <c r="C69">
        <v>45940</v>
      </c>
      <c r="D69">
        <v>46022</v>
      </c>
      <c r="E69" t="s">
        <v>746</v>
      </c>
      <c r="F69" t="s">
        <v>14</v>
      </c>
      <c r="G69">
        <v>59829440</v>
      </c>
      <c r="H69" t="s">
        <v>229</v>
      </c>
      <c r="I69">
        <v>98333941</v>
      </c>
      <c r="J69" t="s">
        <v>14</v>
      </c>
      <c r="K69" t="s">
        <v>15</v>
      </c>
      <c r="L69" s="1">
        <v>6000000</v>
      </c>
      <c r="M69" s="1">
        <v>6000000</v>
      </c>
      <c r="N69" t="s">
        <v>704</v>
      </c>
      <c r="O69" s="1">
        <f t="shared" si="1"/>
        <v>0</v>
      </c>
    </row>
    <row r="70" spans="1:15" x14ac:dyDescent="0.25">
      <c r="A70" t="s">
        <v>230</v>
      </c>
      <c r="B70" t="s">
        <v>13</v>
      </c>
      <c r="C70">
        <v>45910</v>
      </c>
      <c r="D70">
        <v>46022</v>
      </c>
      <c r="E70" t="s">
        <v>711</v>
      </c>
      <c r="F70" t="s">
        <v>14</v>
      </c>
      <c r="G70">
        <v>59313711</v>
      </c>
      <c r="H70" t="s">
        <v>231</v>
      </c>
      <c r="I70">
        <v>98333941</v>
      </c>
      <c r="J70" t="s">
        <v>14</v>
      </c>
      <c r="K70" t="s">
        <v>15</v>
      </c>
      <c r="L70" s="1">
        <v>12600000</v>
      </c>
      <c r="M70" s="1">
        <v>12600000</v>
      </c>
      <c r="N70" t="s">
        <v>704</v>
      </c>
      <c r="O70" s="1">
        <f t="shared" si="1"/>
        <v>0</v>
      </c>
    </row>
    <row r="71" spans="1:15" x14ac:dyDescent="0.25">
      <c r="A71" t="s">
        <v>232</v>
      </c>
      <c r="B71" t="s">
        <v>13</v>
      </c>
      <c r="C71">
        <v>45966</v>
      </c>
      <c r="D71">
        <v>46022</v>
      </c>
      <c r="E71" t="s">
        <v>747</v>
      </c>
      <c r="F71" t="s">
        <v>14</v>
      </c>
      <c r="G71">
        <v>1004190751</v>
      </c>
      <c r="H71" t="s">
        <v>233</v>
      </c>
      <c r="I71">
        <v>43624414</v>
      </c>
      <c r="J71" t="s">
        <v>14</v>
      </c>
      <c r="K71" t="s">
        <v>18</v>
      </c>
      <c r="L71" s="1">
        <v>6300000</v>
      </c>
      <c r="M71" s="1">
        <v>6300000</v>
      </c>
      <c r="N71" t="s">
        <v>704</v>
      </c>
      <c r="O71" s="1">
        <f t="shared" si="1"/>
        <v>0</v>
      </c>
    </row>
    <row r="72" spans="1:15" x14ac:dyDescent="0.25">
      <c r="A72" t="s">
        <v>235</v>
      </c>
      <c r="B72" t="s">
        <v>13</v>
      </c>
      <c r="C72">
        <v>45922</v>
      </c>
      <c r="D72">
        <v>46022</v>
      </c>
      <c r="E72" t="s">
        <v>716</v>
      </c>
      <c r="F72" t="s">
        <v>14</v>
      </c>
      <c r="G72">
        <v>1081592303</v>
      </c>
      <c r="H72" t="s">
        <v>32</v>
      </c>
      <c r="I72">
        <v>43624414</v>
      </c>
      <c r="J72" t="s">
        <v>14</v>
      </c>
      <c r="K72" t="s">
        <v>18</v>
      </c>
      <c r="L72" s="1">
        <v>11025000</v>
      </c>
      <c r="M72" s="1">
        <v>11025000</v>
      </c>
      <c r="N72" t="s">
        <v>704</v>
      </c>
      <c r="O72" s="1">
        <f t="shared" si="1"/>
        <v>0</v>
      </c>
    </row>
    <row r="73" spans="1:15" x14ac:dyDescent="0.25">
      <c r="A73" t="s">
        <v>236</v>
      </c>
      <c r="B73" t="s">
        <v>13</v>
      </c>
      <c r="C73">
        <v>45944</v>
      </c>
      <c r="D73">
        <v>46022</v>
      </c>
      <c r="E73" t="s">
        <v>748</v>
      </c>
      <c r="F73" t="s">
        <v>14</v>
      </c>
      <c r="G73">
        <v>27082650</v>
      </c>
      <c r="H73" t="s">
        <v>237</v>
      </c>
      <c r="I73">
        <v>43624414</v>
      </c>
      <c r="J73" t="s">
        <v>14</v>
      </c>
      <c r="K73" t="s">
        <v>18</v>
      </c>
      <c r="L73" s="1">
        <v>6000000</v>
      </c>
      <c r="M73" s="1">
        <v>6000000</v>
      </c>
      <c r="N73" t="s">
        <v>704</v>
      </c>
      <c r="O73" s="1">
        <f t="shared" si="1"/>
        <v>0</v>
      </c>
    </row>
    <row r="74" spans="1:15" x14ac:dyDescent="0.25">
      <c r="A74" t="s">
        <v>238</v>
      </c>
      <c r="B74" t="s">
        <v>13</v>
      </c>
      <c r="C74">
        <v>45909</v>
      </c>
      <c r="D74">
        <v>46022</v>
      </c>
      <c r="E74" t="s">
        <v>711</v>
      </c>
      <c r="F74" t="s">
        <v>14</v>
      </c>
      <c r="G74">
        <v>59310524</v>
      </c>
      <c r="H74" t="s">
        <v>22</v>
      </c>
      <c r="I74">
        <v>98390119</v>
      </c>
      <c r="J74" t="s">
        <v>14</v>
      </c>
      <c r="K74" t="s">
        <v>63</v>
      </c>
      <c r="L74" s="1">
        <v>12600000</v>
      </c>
      <c r="M74" s="1">
        <v>12600000</v>
      </c>
      <c r="N74" t="s">
        <v>704</v>
      </c>
      <c r="O74" s="1">
        <f t="shared" si="1"/>
        <v>0</v>
      </c>
    </row>
    <row r="75" spans="1:15" x14ac:dyDescent="0.25">
      <c r="A75" t="s">
        <v>239</v>
      </c>
      <c r="B75" t="s">
        <v>13</v>
      </c>
      <c r="C75">
        <v>45967</v>
      </c>
      <c r="D75">
        <v>46022</v>
      </c>
      <c r="E75" t="s">
        <v>720</v>
      </c>
      <c r="F75" t="s">
        <v>14</v>
      </c>
      <c r="G75">
        <v>1085246674</v>
      </c>
      <c r="H75" t="s">
        <v>240</v>
      </c>
      <c r="I75">
        <v>43624414</v>
      </c>
      <c r="J75" t="s">
        <v>14</v>
      </c>
      <c r="K75" t="s">
        <v>18</v>
      </c>
      <c r="L75" s="1">
        <v>6300000</v>
      </c>
      <c r="M75" s="1">
        <v>6300000</v>
      </c>
      <c r="N75" t="s">
        <v>704</v>
      </c>
      <c r="O75" s="1">
        <f t="shared" si="1"/>
        <v>0</v>
      </c>
    </row>
    <row r="76" spans="1:15" x14ac:dyDescent="0.25">
      <c r="A76" t="s">
        <v>241</v>
      </c>
      <c r="B76" t="s">
        <v>13</v>
      </c>
      <c r="C76">
        <v>45940</v>
      </c>
      <c r="D76">
        <v>46022</v>
      </c>
      <c r="E76" t="s">
        <v>715</v>
      </c>
      <c r="F76" t="s">
        <v>14</v>
      </c>
      <c r="G76">
        <v>1081282855</v>
      </c>
      <c r="H76" t="s">
        <v>242</v>
      </c>
      <c r="I76">
        <v>43624414</v>
      </c>
      <c r="J76" t="s">
        <v>14</v>
      </c>
      <c r="K76" t="s">
        <v>18</v>
      </c>
      <c r="L76" s="1">
        <v>6000000</v>
      </c>
      <c r="M76" s="1">
        <v>6000000</v>
      </c>
      <c r="N76" t="s">
        <v>704</v>
      </c>
      <c r="O76" s="1">
        <f t="shared" si="1"/>
        <v>0</v>
      </c>
    </row>
    <row r="77" spans="1:15" x14ac:dyDescent="0.25">
      <c r="A77" t="s">
        <v>243</v>
      </c>
      <c r="B77" t="s">
        <v>13</v>
      </c>
      <c r="C77">
        <v>45919</v>
      </c>
      <c r="D77">
        <v>46022</v>
      </c>
      <c r="E77" t="s">
        <v>716</v>
      </c>
      <c r="F77" t="s">
        <v>14</v>
      </c>
      <c r="G77">
        <v>27444591</v>
      </c>
      <c r="H77" t="s">
        <v>244</v>
      </c>
      <c r="I77">
        <v>98390119</v>
      </c>
      <c r="J77" t="s">
        <v>14</v>
      </c>
      <c r="K77" t="s">
        <v>63</v>
      </c>
      <c r="L77" s="1">
        <v>11025000</v>
      </c>
      <c r="M77" s="1">
        <v>11025000</v>
      </c>
      <c r="N77" t="s">
        <v>704</v>
      </c>
      <c r="O77" s="1">
        <f t="shared" si="1"/>
        <v>0</v>
      </c>
    </row>
    <row r="78" spans="1:15" x14ac:dyDescent="0.25">
      <c r="A78" t="s">
        <v>245</v>
      </c>
      <c r="B78" t="s">
        <v>13</v>
      </c>
      <c r="C78">
        <v>45919</v>
      </c>
      <c r="D78">
        <v>46022</v>
      </c>
      <c r="E78" t="s">
        <v>749</v>
      </c>
      <c r="F78" t="s">
        <v>14</v>
      </c>
      <c r="G78">
        <v>1110594073</v>
      </c>
      <c r="H78" t="s">
        <v>246</v>
      </c>
      <c r="I78">
        <v>98390119</v>
      </c>
      <c r="J78" t="s">
        <v>14</v>
      </c>
      <c r="K78" t="s">
        <v>63</v>
      </c>
      <c r="L78" s="1">
        <v>27300000</v>
      </c>
      <c r="M78" s="1">
        <v>27300000</v>
      </c>
      <c r="N78" t="s">
        <v>704</v>
      </c>
      <c r="O78" s="1">
        <f t="shared" si="1"/>
        <v>0</v>
      </c>
    </row>
    <row r="79" spans="1:15" x14ac:dyDescent="0.25">
      <c r="A79" t="s">
        <v>255</v>
      </c>
      <c r="B79" t="s">
        <v>13</v>
      </c>
      <c r="C79">
        <v>45931</v>
      </c>
      <c r="D79">
        <v>46022</v>
      </c>
      <c r="E79" t="s">
        <v>747</v>
      </c>
      <c r="F79" t="s">
        <v>14</v>
      </c>
      <c r="G79">
        <v>36861874</v>
      </c>
      <c r="H79" t="s">
        <v>50</v>
      </c>
      <c r="I79">
        <v>98390119</v>
      </c>
      <c r="J79" t="s">
        <v>14</v>
      </c>
      <c r="K79" t="s">
        <v>63</v>
      </c>
      <c r="L79" s="1">
        <v>9450000</v>
      </c>
      <c r="M79" s="1">
        <v>9450000</v>
      </c>
      <c r="N79" t="s">
        <v>704</v>
      </c>
      <c r="O79" s="1">
        <f t="shared" si="1"/>
        <v>0</v>
      </c>
    </row>
    <row r="80" spans="1:15" x14ac:dyDescent="0.25">
      <c r="A80" t="s">
        <v>256</v>
      </c>
      <c r="B80" t="s">
        <v>13</v>
      </c>
      <c r="C80">
        <v>45910</v>
      </c>
      <c r="D80">
        <v>46022</v>
      </c>
      <c r="E80" t="s">
        <v>711</v>
      </c>
      <c r="F80" t="s">
        <v>14</v>
      </c>
      <c r="G80">
        <v>1085302942</v>
      </c>
      <c r="H80" t="s">
        <v>257</v>
      </c>
      <c r="I80">
        <v>98333941</v>
      </c>
      <c r="J80" t="s">
        <v>14</v>
      </c>
      <c r="K80" t="s">
        <v>15</v>
      </c>
      <c r="L80" s="1">
        <v>12600000</v>
      </c>
      <c r="M80" s="1">
        <v>12600000</v>
      </c>
      <c r="N80" t="s">
        <v>704</v>
      </c>
      <c r="O80" s="1">
        <f t="shared" si="1"/>
        <v>0</v>
      </c>
    </row>
    <row r="81" spans="1:15" x14ac:dyDescent="0.25">
      <c r="A81" t="s">
        <v>258</v>
      </c>
      <c r="B81" t="s">
        <v>13</v>
      </c>
      <c r="C81">
        <v>45940</v>
      </c>
      <c r="D81">
        <v>46022</v>
      </c>
      <c r="E81" t="s">
        <v>715</v>
      </c>
      <c r="F81" t="s">
        <v>14</v>
      </c>
      <c r="G81">
        <v>59314118</v>
      </c>
      <c r="H81" t="s">
        <v>259</v>
      </c>
      <c r="I81">
        <v>43624414</v>
      </c>
      <c r="J81" t="s">
        <v>14</v>
      </c>
      <c r="K81" t="s">
        <v>18</v>
      </c>
      <c r="L81" s="1">
        <v>6000000</v>
      </c>
      <c r="M81" s="1">
        <v>6000000</v>
      </c>
      <c r="N81" t="s">
        <v>704</v>
      </c>
      <c r="O81" s="1">
        <f t="shared" si="1"/>
        <v>0</v>
      </c>
    </row>
    <row r="82" spans="1:15" x14ac:dyDescent="0.25">
      <c r="A82" t="s">
        <v>260</v>
      </c>
      <c r="B82" t="s">
        <v>13</v>
      </c>
      <c r="C82">
        <v>45908</v>
      </c>
      <c r="D82">
        <v>46022</v>
      </c>
      <c r="E82" t="s">
        <v>719</v>
      </c>
      <c r="F82" t="s">
        <v>14</v>
      </c>
      <c r="G82">
        <v>1053793750</v>
      </c>
      <c r="H82" t="s">
        <v>261</v>
      </c>
      <c r="I82">
        <v>98333941</v>
      </c>
      <c r="J82" t="s">
        <v>14</v>
      </c>
      <c r="K82" t="s">
        <v>15</v>
      </c>
      <c r="L82" s="1">
        <v>25200000</v>
      </c>
      <c r="M82" s="1">
        <v>25200000</v>
      </c>
      <c r="N82" t="s">
        <v>704</v>
      </c>
      <c r="O82" s="1">
        <f t="shared" si="1"/>
        <v>0</v>
      </c>
    </row>
    <row r="83" spans="1:15" x14ac:dyDescent="0.25">
      <c r="A83" t="s">
        <v>262</v>
      </c>
      <c r="B83" t="s">
        <v>13</v>
      </c>
      <c r="C83">
        <v>45944</v>
      </c>
      <c r="D83">
        <v>46022</v>
      </c>
      <c r="E83" t="s">
        <v>751</v>
      </c>
      <c r="F83" t="s">
        <v>14</v>
      </c>
      <c r="G83">
        <v>1085334752</v>
      </c>
      <c r="H83" t="s">
        <v>263</v>
      </c>
      <c r="I83">
        <v>98333941</v>
      </c>
      <c r="J83" t="s">
        <v>14</v>
      </c>
      <c r="K83" t="s">
        <v>15</v>
      </c>
      <c r="L83" s="1">
        <v>6000000</v>
      </c>
      <c r="M83" s="1">
        <v>6000000</v>
      </c>
      <c r="N83" t="s">
        <v>704</v>
      </c>
      <c r="O83" s="1">
        <f t="shared" si="1"/>
        <v>0</v>
      </c>
    </row>
    <row r="84" spans="1:15" x14ac:dyDescent="0.25">
      <c r="A84" t="s">
        <v>264</v>
      </c>
      <c r="B84" t="s">
        <v>13</v>
      </c>
      <c r="C84">
        <v>45917</v>
      </c>
      <c r="D84">
        <v>46022</v>
      </c>
      <c r="E84" t="s">
        <v>711</v>
      </c>
      <c r="F84" t="s">
        <v>14</v>
      </c>
      <c r="G84">
        <v>1086328063</v>
      </c>
      <c r="H84" t="s">
        <v>265</v>
      </c>
      <c r="I84">
        <v>98390119</v>
      </c>
      <c r="J84" t="s">
        <v>14</v>
      </c>
      <c r="K84" t="s">
        <v>63</v>
      </c>
      <c r="L84" s="1">
        <v>11025000</v>
      </c>
      <c r="M84" s="1">
        <v>11025000</v>
      </c>
      <c r="N84" t="s">
        <v>704</v>
      </c>
      <c r="O84" s="1">
        <f t="shared" si="1"/>
        <v>0</v>
      </c>
    </row>
    <row r="85" spans="1:15" x14ac:dyDescent="0.25">
      <c r="A85" t="s">
        <v>266</v>
      </c>
      <c r="B85" t="s">
        <v>13</v>
      </c>
      <c r="C85">
        <v>45929</v>
      </c>
      <c r="D85">
        <v>46022</v>
      </c>
      <c r="E85" t="s">
        <v>720</v>
      </c>
      <c r="F85" t="s">
        <v>14</v>
      </c>
      <c r="G85">
        <v>1086361622</v>
      </c>
      <c r="H85" t="s">
        <v>267</v>
      </c>
      <c r="I85">
        <v>98390119</v>
      </c>
      <c r="J85" t="s">
        <v>14</v>
      </c>
      <c r="K85" t="s">
        <v>63</v>
      </c>
      <c r="L85" s="1">
        <v>9450000</v>
      </c>
      <c r="M85" s="1">
        <v>9450000</v>
      </c>
      <c r="N85" t="s">
        <v>704</v>
      </c>
      <c r="O85" s="1">
        <f t="shared" si="1"/>
        <v>0</v>
      </c>
    </row>
    <row r="86" spans="1:15" x14ac:dyDescent="0.25">
      <c r="A86" t="s">
        <v>268</v>
      </c>
      <c r="B86" t="s">
        <v>13</v>
      </c>
      <c r="C86">
        <v>45911</v>
      </c>
      <c r="D86">
        <v>46022</v>
      </c>
      <c r="E86" t="s">
        <v>711</v>
      </c>
      <c r="F86" t="s">
        <v>14</v>
      </c>
      <c r="G86">
        <v>1089458776</v>
      </c>
      <c r="H86" t="s">
        <v>269</v>
      </c>
      <c r="I86">
        <v>98333941</v>
      </c>
      <c r="J86" t="s">
        <v>14</v>
      </c>
      <c r="K86" t="s">
        <v>15</v>
      </c>
      <c r="L86" s="1">
        <v>12600000</v>
      </c>
      <c r="M86" s="1">
        <v>12600000</v>
      </c>
      <c r="N86" t="s">
        <v>704</v>
      </c>
      <c r="O86" s="1">
        <f t="shared" si="1"/>
        <v>0</v>
      </c>
    </row>
    <row r="87" spans="1:15" x14ac:dyDescent="0.25">
      <c r="A87" t="s">
        <v>270</v>
      </c>
      <c r="B87" t="s">
        <v>13</v>
      </c>
      <c r="C87">
        <v>45917</v>
      </c>
      <c r="D87">
        <v>46022</v>
      </c>
      <c r="E87" t="s">
        <v>711</v>
      </c>
      <c r="F87" t="s">
        <v>14</v>
      </c>
      <c r="G87">
        <v>1085317226</v>
      </c>
      <c r="H87" t="s">
        <v>271</v>
      </c>
      <c r="I87">
        <v>98333941</v>
      </c>
      <c r="J87" t="s">
        <v>14</v>
      </c>
      <c r="K87" t="s">
        <v>15</v>
      </c>
      <c r="L87" s="1">
        <v>11025000</v>
      </c>
      <c r="M87" s="1">
        <v>11025000</v>
      </c>
      <c r="N87" t="s">
        <v>704</v>
      </c>
      <c r="O87" s="1">
        <f t="shared" si="1"/>
        <v>0</v>
      </c>
    </row>
    <row r="88" spans="1:15" x14ac:dyDescent="0.25">
      <c r="A88" t="s">
        <v>272</v>
      </c>
      <c r="B88" t="s">
        <v>13</v>
      </c>
      <c r="C88">
        <v>45965</v>
      </c>
      <c r="D88">
        <v>46022</v>
      </c>
      <c r="E88" t="s">
        <v>728</v>
      </c>
      <c r="F88" t="s">
        <v>14</v>
      </c>
      <c r="G88">
        <v>1085266584</v>
      </c>
      <c r="H88" t="s">
        <v>71</v>
      </c>
      <c r="I88">
        <v>59836926</v>
      </c>
      <c r="J88" t="s">
        <v>14</v>
      </c>
      <c r="K88" t="s">
        <v>17</v>
      </c>
      <c r="L88" s="1">
        <v>6300000</v>
      </c>
      <c r="M88" s="1">
        <v>6300000</v>
      </c>
      <c r="N88" t="s">
        <v>704</v>
      </c>
      <c r="O88" s="1">
        <f t="shared" si="1"/>
        <v>0</v>
      </c>
    </row>
    <row r="89" spans="1:15" x14ac:dyDescent="0.25">
      <c r="A89" t="s">
        <v>273</v>
      </c>
      <c r="B89" t="s">
        <v>13</v>
      </c>
      <c r="C89">
        <v>45901</v>
      </c>
      <c r="D89">
        <v>46022</v>
      </c>
      <c r="E89" t="s">
        <v>752</v>
      </c>
      <c r="F89" t="s">
        <v>14</v>
      </c>
      <c r="G89">
        <v>1193383306</v>
      </c>
      <c r="H89" t="s">
        <v>274</v>
      </c>
      <c r="I89">
        <v>59836926</v>
      </c>
      <c r="J89" t="s">
        <v>14</v>
      </c>
      <c r="K89" t="s">
        <v>17</v>
      </c>
      <c r="L89" s="1">
        <v>18920000</v>
      </c>
      <c r="M89" s="1">
        <v>18920000</v>
      </c>
      <c r="N89" t="s">
        <v>704</v>
      </c>
      <c r="O89" s="1">
        <f t="shared" si="1"/>
        <v>0</v>
      </c>
    </row>
    <row r="90" spans="1:15" x14ac:dyDescent="0.25">
      <c r="A90" t="s">
        <v>275</v>
      </c>
      <c r="B90" t="s">
        <v>13</v>
      </c>
      <c r="C90">
        <v>45904</v>
      </c>
      <c r="D90">
        <v>46022</v>
      </c>
      <c r="E90" t="s">
        <v>722</v>
      </c>
      <c r="F90" t="s">
        <v>14</v>
      </c>
      <c r="G90">
        <v>1085329980</v>
      </c>
      <c r="H90" t="s">
        <v>276</v>
      </c>
      <c r="I90">
        <v>98333941</v>
      </c>
      <c r="J90" t="s">
        <v>14</v>
      </c>
      <c r="K90" t="s">
        <v>15</v>
      </c>
      <c r="L90" s="1">
        <v>31200000</v>
      </c>
      <c r="M90" s="1">
        <v>31200000</v>
      </c>
      <c r="N90" t="s">
        <v>704</v>
      </c>
      <c r="O90" s="1">
        <f t="shared" si="1"/>
        <v>0</v>
      </c>
    </row>
    <row r="91" spans="1:15" x14ac:dyDescent="0.25">
      <c r="A91" t="s">
        <v>277</v>
      </c>
      <c r="B91" t="s">
        <v>13</v>
      </c>
      <c r="C91">
        <v>45915</v>
      </c>
      <c r="D91">
        <v>46022</v>
      </c>
      <c r="E91" t="s">
        <v>711</v>
      </c>
      <c r="F91" t="s">
        <v>14</v>
      </c>
      <c r="G91">
        <v>1085265947</v>
      </c>
      <c r="H91" t="s">
        <v>278</v>
      </c>
      <c r="I91">
        <v>43624414</v>
      </c>
      <c r="J91" t="s">
        <v>14</v>
      </c>
      <c r="K91" t="s">
        <v>18</v>
      </c>
      <c r="L91" s="1">
        <v>12600000</v>
      </c>
      <c r="M91" s="1">
        <v>12600000</v>
      </c>
      <c r="N91" t="s">
        <v>704</v>
      </c>
      <c r="O91" s="1">
        <f t="shared" si="1"/>
        <v>0</v>
      </c>
    </row>
    <row r="92" spans="1:15" x14ac:dyDescent="0.25">
      <c r="A92" t="s">
        <v>279</v>
      </c>
      <c r="B92" t="s">
        <v>13</v>
      </c>
      <c r="C92">
        <v>45925</v>
      </c>
      <c r="D92">
        <v>46022</v>
      </c>
      <c r="E92" t="s">
        <v>722</v>
      </c>
      <c r="F92" t="s">
        <v>14</v>
      </c>
      <c r="G92">
        <v>1144172704</v>
      </c>
      <c r="H92" t="s">
        <v>280</v>
      </c>
      <c r="I92">
        <v>43624414</v>
      </c>
      <c r="J92" t="s">
        <v>14</v>
      </c>
      <c r="K92" t="s">
        <v>18</v>
      </c>
      <c r="L92" s="1">
        <v>27300000</v>
      </c>
      <c r="M92" s="1">
        <v>27300000</v>
      </c>
      <c r="N92" t="s">
        <v>704</v>
      </c>
      <c r="O92" s="1">
        <f t="shared" si="1"/>
        <v>0</v>
      </c>
    </row>
    <row r="93" spans="1:15" x14ac:dyDescent="0.25">
      <c r="A93" t="s">
        <v>281</v>
      </c>
      <c r="B93" t="s">
        <v>13</v>
      </c>
      <c r="C93">
        <v>45905</v>
      </c>
      <c r="D93">
        <v>46022</v>
      </c>
      <c r="E93" t="s">
        <v>720</v>
      </c>
      <c r="F93" t="s">
        <v>14</v>
      </c>
      <c r="G93">
        <v>69028150</v>
      </c>
      <c r="H93" t="s">
        <v>21</v>
      </c>
      <c r="I93">
        <v>59836926</v>
      </c>
      <c r="J93" t="s">
        <v>14</v>
      </c>
      <c r="K93" t="s">
        <v>17</v>
      </c>
      <c r="L93" s="1">
        <v>12600000</v>
      </c>
      <c r="M93" s="1">
        <v>12600000</v>
      </c>
      <c r="N93" t="s">
        <v>704</v>
      </c>
      <c r="O93" s="1">
        <f t="shared" si="1"/>
        <v>0</v>
      </c>
    </row>
    <row r="94" spans="1:15" x14ac:dyDescent="0.25">
      <c r="A94" t="s">
        <v>282</v>
      </c>
      <c r="B94" t="s">
        <v>13</v>
      </c>
      <c r="C94">
        <v>45946</v>
      </c>
      <c r="D94">
        <v>46022</v>
      </c>
      <c r="E94" t="s">
        <v>753</v>
      </c>
      <c r="F94" t="s">
        <v>14</v>
      </c>
      <c r="G94">
        <v>27285974</v>
      </c>
      <c r="H94" t="s">
        <v>283</v>
      </c>
      <c r="I94">
        <v>59836926</v>
      </c>
      <c r="J94" t="s">
        <v>14</v>
      </c>
      <c r="K94" t="s">
        <v>17</v>
      </c>
      <c r="L94" s="1">
        <v>7875000</v>
      </c>
      <c r="M94" s="1">
        <v>7875000</v>
      </c>
      <c r="N94" t="s">
        <v>704</v>
      </c>
      <c r="O94" s="1">
        <f t="shared" si="1"/>
        <v>0</v>
      </c>
    </row>
    <row r="95" spans="1:15" x14ac:dyDescent="0.25">
      <c r="A95" t="s">
        <v>284</v>
      </c>
      <c r="B95" t="s">
        <v>13</v>
      </c>
      <c r="C95">
        <v>45910</v>
      </c>
      <c r="D95">
        <v>46022</v>
      </c>
      <c r="E95" t="s">
        <v>711</v>
      </c>
      <c r="F95" t="s">
        <v>14</v>
      </c>
      <c r="G95">
        <v>1080690337</v>
      </c>
      <c r="H95" t="s">
        <v>285</v>
      </c>
      <c r="I95">
        <v>59836926</v>
      </c>
      <c r="J95" t="s">
        <v>14</v>
      </c>
      <c r="K95" t="s">
        <v>17</v>
      </c>
      <c r="L95" s="1">
        <v>12600000</v>
      </c>
      <c r="M95" s="1">
        <v>12600000</v>
      </c>
      <c r="N95" t="s">
        <v>704</v>
      </c>
      <c r="O95" s="1">
        <f t="shared" si="1"/>
        <v>0</v>
      </c>
    </row>
    <row r="96" spans="1:15" x14ac:dyDescent="0.25">
      <c r="A96" t="s">
        <v>286</v>
      </c>
      <c r="B96" t="s">
        <v>13</v>
      </c>
      <c r="C96">
        <v>45908</v>
      </c>
      <c r="D96">
        <v>46022</v>
      </c>
      <c r="E96" t="s">
        <v>719</v>
      </c>
      <c r="F96" t="s">
        <v>14</v>
      </c>
      <c r="G96">
        <v>1081053045</v>
      </c>
      <c r="H96" t="s">
        <v>287</v>
      </c>
      <c r="I96">
        <v>98333941</v>
      </c>
      <c r="J96" t="s">
        <v>14</v>
      </c>
      <c r="K96" t="s">
        <v>15</v>
      </c>
      <c r="L96" s="1">
        <v>12600000</v>
      </c>
      <c r="M96" s="1">
        <v>12600000</v>
      </c>
      <c r="N96" t="s">
        <v>704</v>
      </c>
      <c r="O96" s="1">
        <f t="shared" si="1"/>
        <v>0</v>
      </c>
    </row>
    <row r="97" spans="1:15" x14ac:dyDescent="0.25">
      <c r="A97" t="s">
        <v>290</v>
      </c>
      <c r="B97" t="s">
        <v>13</v>
      </c>
      <c r="C97">
        <v>45908</v>
      </c>
      <c r="D97">
        <v>46022</v>
      </c>
      <c r="E97" t="s">
        <v>711</v>
      </c>
      <c r="F97" t="s">
        <v>14</v>
      </c>
      <c r="G97">
        <v>1004131976</v>
      </c>
      <c r="H97" t="s">
        <v>291</v>
      </c>
      <c r="I97">
        <v>98390119</v>
      </c>
      <c r="J97" t="s">
        <v>14</v>
      </c>
      <c r="K97" t="s">
        <v>63</v>
      </c>
      <c r="L97" s="1">
        <v>12600000</v>
      </c>
      <c r="M97" s="1">
        <v>12600000</v>
      </c>
      <c r="N97" t="s">
        <v>704</v>
      </c>
      <c r="O97" s="1">
        <f t="shared" si="1"/>
        <v>0</v>
      </c>
    </row>
    <row r="98" spans="1:15" x14ac:dyDescent="0.25">
      <c r="A98" t="s">
        <v>294</v>
      </c>
      <c r="B98" t="s">
        <v>13</v>
      </c>
      <c r="C98">
        <v>45904</v>
      </c>
      <c r="D98">
        <v>46022</v>
      </c>
      <c r="E98" t="s">
        <v>707</v>
      </c>
      <c r="F98" t="s">
        <v>14</v>
      </c>
      <c r="G98">
        <v>1085263018</v>
      </c>
      <c r="H98" t="s">
        <v>295</v>
      </c>
      <c r="I98">
        <v>98333941</v>
      </c>
      <c r="J98" t="s">
        <v>14</v>
      </c>
      <c r="K98" t="s">
        <v>15</v>
      </c>
      <c r="L98" s="1">
        <v>18920000</v>
      </c>
      <c r="M98" s="1">
        <v>18920000</v>
      </c>
      <c r="N98" t="s">
        <v>704</v>
      </c>
      <c r="O98" s="1">
        <f t="shared" si="1"/>
        <v>0</v>
      </c>
    </row>
    <row r="99" spans="1:15" x14ac:dyDescent="0.25">
      <c r="A99" t="s">
        <v>298</v>
      </c>
      <c r="B99" t="s">
        <v>13</v>
      </c>
      <c r="C99">
        <v>45909</v>
      </c>
      <c r="D99">
        <v>46022</v>
      </c>
      <c r="E99" t="s">
        <v>711</v>
      </c>
      <c r="F99" t="s">
        <v>14</v>
      </c>
      <c r="G99">
        <v>59310853</v>
      </c>
      <c r="H99" t="s">
        <v>57</v>
      </c>
      <c r="I99">
        <v>43624414</v>
      </c>
      <c r="J99" t="s">
        <v>14</v>
      </c>
      <c r="K99" t="s">
        <v>18</v>
      </c>
      <c r="L99" s="1">
        <v>12600000</v>
      </c>
      <c r="M99" s="1">
        <v>12600000</v>
      </c>
      <c r="N99" t="s">
        <v>704</v>
      </c>
      <c r="O99" s="1">
        <f t="shared" si="1"/>
        <v>0</v>
      </c>
    </row>
    <row r="100" spans="1:15" x14ac:dyDescent="0.25">
      <c r="A100" t="s">
        <v>299</v>
      </c>
      <c r="B100" t="s">
        <v>13</v>
      </c>
      <c r="C100">
        <v>45908</v>
      </c>
      <c r="D100">
        <v>46022</v>
      </c>
      <c r="E100" t="s">
        <v>711</v>
      </c>
      <c r="F100" t="s">
        <v>14</v>
      </c>
      <c r="G100">
        <v>36758143</v>
      </c>
      <c r="H100" t="s">
        <v>300</v>
      </c>
      <c r="I100">
        <v>43624414</v>
      </c>
      <c r="J100" t="s">
        <v>14</v>
      </c>
      <c r="K100" t="s">
        <v>18</v>
      </c>
      <c r="L100" s="1">
        <v>12600000</v>
      </c>
      <c r="M100" s="1">
        <v>12600000</v>
      </c>
      <c r="N100" t="s">
        <v>704</v>
      </c>
      <c r="O100" s="1">
        <f t="shared" si="1"/>
        <v>0</v>
      </c>
    </row>
    <row r="101" spans="1:15" x14ac:dyDescent="0.25">
      <c r="A101" t="s">
        <v>301</v>
      </c>
      <c r="B101" t="s">
        <v>13</v>
      </c>
      <c r="C101">
        <v>45909</v>
      </c>
      <c r="D101">
        <v>46022</v>
      </c>
      <c r="E101" t="s">
        <v>711</v>
      </c>
      <c r="F101" t="s">
        <v>14</v>
      </c>
      <c r="G101">
        <v>1086329609</v>
      </c>
      <c r="H101" t="s">
        <v>64</v>
      </c>
      <c r="I101">
        <v>98333941</v>
      </c>
      <c r="J101" t="s">
        <v>14</v>
      </c>
      <c r="K101" t="s">
        <v>15</v>
      </c>
      <c r="L101" s="1">
        <v>12600000</v>
      </c>
      <c r="M101" s="1">
        <v>12600000</v>
      </c>
      <c r="N101" t="s">
        <v>704</v>
      </c>
      <c r="O101" s="1">
        <f t="shared" si="1"/>
        <v>0</v>
      </c>
    </row>
    <row r="102" spans="1:15" x14ac:dyDescent="0.25">
      <c r="A102" t="s">
        <v>302</v>
      </c>
      <c r="B102" t="s">
        <v>13</v>
      </c>
      <c r="C102">
        <v>45902</v>
      </c>
      <c r="D102">
        <v>46022</v>
      </c>
      <c r="E102" t="s">
        <v>710</v>
      </c>
      <c r="F102" t="s">
        <v>14</v>
      </c>
      <c r="G102">
        <v>1006946167</v>
      </c>
      <c r="H102" t="s">
        <v>303</v>
      </c>
      <c r="I102">
        <v>59836926</v>
      </c>
      <c r="J102" t="s">
        <v>14</v>
      </c>
      <c r="K102" t="s">
        <v>17</v>
      </c>
      <c r="L102" s="1">
        <v>31200000</v>
      </c>
      <c r="M102" s="1">
        <v>31200000</v>
      </c>
      <c r="N102" t="s">
        <v>704</v>
      </c>
      <c r="O102" s="1">
        <f t="shared" si="1"/>
        <v>0</v>
      </c>
    </row>
    <row r="103" spans="1:15" x14ac:dyDescent="0.25">
      <c r="A103" t="s">
        <v>304</v>
      </c>
      <c r="B103" t="s">
        <v>13</v>
      </c>
      <c r="C103">
        <v>45966</v>
      </c>
      <c r="D103">
        <v>46022</v>
      </c>
      <c r="E103" t="s">
        <v>715</v>
      </c>
      <c r="F103" t="s">
        <v>14</v>
      </c>
      <c r="G103">
        <v>37083933</v>
      </c>
      <c r="H103" t="s">
        <v>305</v>
      </c>
      <c r="I103">
        <v>43624414</v>
      </c>
      <c r="J103" t="s">
        <v>14</v>
      </c>
      <c r="K103" t="s">
        <v>18</v>
      </c>
      <c r="L103" s="1">
        <v>4000000</v>
      </c>
      <c r="M103" s="1">
        <v>4000000</v>
      </c>
      <c r="N103" t="s">
        <v>704</v>
      </c>
      <c r="O103" s="1">
        <f t="shared" si="1"/>
        <v>0</v>
      </c>
    </row>
    <row r="104" spans="1:15" x14ac:dyDescent="0.25">
      <c r="A104" t="s">
        <v>306</v>
      </c>
      <c r="B104" t="s">
        <v>13</v>
      </c>
      <c r="C104">
        <v>45908</v>
      </c>
      <c r="D104">
        <v>46022</v>
      </c>
      <c r="E104" t="s">
        <v>711</v>
      </c>
      <c r="F104" t="s">
        <v>14</v>
      </c>
      <c r="G104">
        <v>1085271641</v>
      </c>
      <c r="H104" t="s">
        <v>30</v>
      </c>
      <c r="I104">
        <v>43624414</v>
      </c>
      <c r="J104" t="s">
        <v>14</v>
      </c>
      <c r="K104" t="s">
        <v>18</v>
      </c>
      <c r="L104" s="1">
        <v>12600000</v>
      </c>
      <c r="M104" s="1">
        <v>12600000</v>
      </c>
      <c r="N104" t="s">
        <v>704</v>
      </c>
      <c r="O104" s="1">
        <f t="shared" si="1"/>
        <v>0</v>
      </c>
    </row>
    <row r="105" spans="1:15" x14ac:dyDescent="0.25">
      <c r="A105" t="s">
        <v>307</v>
      </c>
      <c r="B105" t="s">
        <v>13</v>
      </c>
      <c r="C105">
        <v>45966</v>
      </c>
      <c r="D105">
        <v>46022</v>
      </c>
      <c r="E105" t="s">
        <v>754</v>
      </c>
      <c r="F105" t="s">
        <v>14</v>
      </c>
      <c r="G105">
        <v>1085254153</v>
      </c>
      <c r="H105" t="s">
        <v>308</v>
      </c>
      <c r="I105">
        <v>59836926</v>
      </c>
      <c r="J105" t="s">
        <v>14</v>
      </c>
      <c r="K105" t="s">
        <v>17</v>
      </c>
      <c r="L105" s="1">
        <v>12600000</v>
      </c>
      <c r="M105" s="1">
        <v>12600000</v>
      </c>
      <c r="N105" t="s">
        <v>704</v>
      </c>
      <c r="O105" s="1">
        <f t="shared" si="1"/>
        <v>0</v>
      </c>
    </row>
    <row r="106" spans="1:15" x14ac:dyDescent="0.25">
      <c r="A106" t="s">
        <v>309</v>
      </c>
      <c r="B106" t="s">
        <v>13</v>
      </c>
      <c r="C106">
        <v>45937</v>
      </c>
      <c r="D106">
        <v>46022</v>
      </c>
      <c r="E106" t="s">
        <v>755</v>
      </c>
      <c r="F106" t="s">
        <v>14</v>
      </c>
      <c r="G106">
        <v>1233190311</v>
      </c>
      <c r="H106" t="s">
        <v>310</v>
      </c>
      <c r="I106">
        <v>98390119</v>
      </c>
      <c r="J106" t="s">
        <v>14</v>
      </c>
      <c r="K106" t="s">
        <v>63</v>
      </c>
      <c r="L106" s="1">
        <v>14190000</v>
      </c>
      <c r="M106" s="1">
        <v>14190000</v>
      </c>
      <c r="N106" t="s">
        <v>704</v>
      </c>
      <c r="O106" s="1">
        <f t="shared" si="1"/>
        <v>0</v>
      </c>
    </row>
    <row r="107" spans="1:15" x14ac:dyDescent="0.25">
      <c r="A107" t="s">
        <v>311</v>
      </c>
      <c r="B107" t="s">
        <v>13</v>
      </c>
      <c r="C107">
        <v>45971</v>
      </c>
      <c r="D107">
        <v>46022</v>
      </c>
      <c r="E107" t="s">
        <v>720</v>
      </c>
      <c r="F107" t="s">
        <v>14</v>
      </c>
      <c r="G107">
        <v>1085324685</v>
      </c>
      <c r="H107" t="s">
        <v>312</v>
      </c>
      <c r="I107">
        <v>43624414</v>
      </c>
      <c r="J107" t="s">
        <v>14</v>
      </c>
      <c r="K107" t="s">
        <v>18</v>
      </c>
      <c r="L107" s="1">
        <v>6300000</v>
      </c>
      <c r="M107" s="1">
        <v>6300000</v>
      </c>
      <c r="N107" t="s">
        <v>704</v>
      </c>
      <c r="O107" s="1">
        <f t="shared" si="1"/>
        <v>0</v>
      </c>
    </row>
    <row r="108" spans="1:15" x14ac:dyDescent="0.25">
      <c r="A108" t="s">
        <v>313</v>
      </c>
      <c r="B108" t="s">
        <v>13</v>
      </c>
      <c r="C108">
        <v>45960</v>
      </c>
      <c r="D108">
        <v>46022</v>
      </c>
      <c r="E108" t="s">
        <v>756</v>
      </c>
      <c r="F108" t="s">
        <v>14</v>
      </c>
      <c r="G108">
        <v>1085331558</v>
      </c>
      <c r="H108" t="s">
        <v>314</v>
      </c>
      <c r="I108">
        <v>98390119</v>
      </c>
      <c r="J108" t="s">
        <v>14</v>
      </c>
      <c r="K108" t="s">
        <v>63</v>
      </c>
      <c r="L108" s="1">
        <v>6300000</v>
      </c>
      <c r="M108" s="1">
        <v>6300000</v>
      </c>
      <c r="N108" t="s">
        <v>704</v>
      </c>
      <c r="O108" s="1">
        <f t="shared" si="1"/>
        <v>0</v>
      </c>
    </row>
    <row r="109" spans="1:15" x14ac:dyDescent="0.25">
      <c r="A109" t="s">
        <v>315</v>
      </c>
      <c r="B109" t="s">
        <v>13</v>
      </c>
      <c r="C109">
        <v>45930</v>
      </c>
      <c r="D109">
        <v>46022</v>
      </c>
      <c r="E109" t="s">
        <v>754</v>
      </c>
      <c r="F109" t="s">
        <v>14</v>
      </c>
      <c r="G109">
        <v>1085253062</v>
      </c>
      <c r="H109" t="s">
        <v>316</v>
      </c>
      <c r="I109">
        <v>98390119</v>
      </c>
      <c r="J109" t="s">
        <v>14</v>
      </c>
      <c r="K109" t="s">
        <v>63</v>
      </c>
      <c r="L109" s="1">
        <v>18900000</v>
      </c>
      <c r="M109" s="1">
        <v>18900000</v>
      </c>
      <c r="N109" t="s">
        <v>704</v>
      </c>
      <c r="O109" s="1">
        <f t="shared" si="1"/>
        <v>0</v>
      </c>
    </row>
    <row r="110" spans="1:15" x14ac:dyDescent="0.25">
      <c r="A110" t="s">
        <v>320</v>
      </c>
      <c r="B110" t="s">
        <v>13</v>
      </c>
      <c r="C110">
        <v>45971</v>
      </c>
      <c r="D110">
        <v>46022</v>
      </c>
      <c r="E110" t="s">
        <v>758</v>
      </c>
      <c r="F110" t="s">
        <v>14</v>
      </c>
      <c r="G110">
        <v>1085312669</v>
      </c>
      <c r="H110" t="s">
        <v>321</v>
      </c>
      <c r="I110">
        <v>43624414</v>
      </c>
      <c r="J110" t="s">
        <v>14</v>
      </c>
      <c r="K110" t="s">
        <v>18</v>
      </c>
      <c r="L110" s="1">
        <v>4000000</v>
      </c>
      <c r="M110" s="1">
        <v>4000000</v>
      </c>
      <c r="N110" t="s">
        <v>704</v>
      </c>
      <c r="O110" s="1">
        <f t="shared" si="1"/>
        <v>0</v>
      </c>
    </row>
    <row r="111" spans="1:15" x14ac:dyDescent="0.25">
      <c r="A111" t="s">
        <v>322</v>
      </c>
      <c r="B111" t="s">
        <v>13</v>
      </c>
      <c r="C111">
        <v>45966</v>
      </c>
      <c r="D111">
        <v>46022</v>
      </c>
      <c r="E111" t="s">
        <v>323</v>
      </c>
      <c r="F111" t="s">
        <v>14</v>
      </c>
      <c r="G111">
        <v>1082748783</v>
      </c>
      <c r="H111" t="s">
        <v>67</v>
      </c>
      <c r="I111">
        <v>43624414</v>
      </c>
      <c r="J111" t="s">
        <v>14</v>
      </c>
      <c r="K111" t="s">
        <v>18</v>
      </c>
      <c r="L111" s="1">
        <v>6300000</v>
      </c>
      <c r="M111" s="1">
        <v>6300000</v>
      </c>
      <c r="N111" t="s">
        <v>704</v>
      </c>
      <c r="O111" s="1">
        <f t="shared" si="1"/>
        <v>0</v>
      </c>
    </row>
    <row r="112" spans="1:15" x14ac:dyDescent="0.25">
      <c r="A112" t="s">
        <v>324</v>
      </c>
      <c r="B112" t="s">
        <v>13</v>
      </c>
      <c r="C112">
        <v>45912</v>
      </c>
      <c r="D112">
        <v>46022</v>
      </c>
      <c r="E112" t="s">
        <v>710</v>
      </c>
      <c r="F112" t="s">
        <v>14</v>
      </c>
      <c r="G112">
        <v>1089483067</v>
      </c>
      <c r="H112" t="s">
        <v>325</v>
      </c>
      <c r="I112">
        <v>43624414</v>
      </c>
      <c r="J112" t="s">
        <v>14</v>
      </c>
      <c r="K112" t="s">
        <v>18</v>
      </c>
      <c r="L112" s="1">
        <v>31200000</v>
      </c>
      <c r="M112" s="1">
        <v>31200000</v>
      </c>
      <c r="N112" t="s">
        <v>704</v>
      </c>
      <c r="O112" s="1">
        <f t="shared" si="1"/>
        <v>0</v>
      </c>
    </row>
    <row r="113" spans="1:15" x14ac:dyDescent="0.25">
      <c r="A113" t="s">
        <v>326</v>
      </c>
      <c r="B113" t="s">
        <v>13</v>
      </c>
      <c r="C113">
        <v>45909</v>
      </c>
      <c r="D113">
        <v>46022</v>
      </c>
      <c r="E113" t="s">
        <v>710</v>
      </c>
      <c r="F113" t="s">
        <v>14</v>
      </c>
      <c r="G113">
        <v>1084552063</v>
      </c>
      <c r="H113" t="s">
        <v>327</v>
      </c>
      <c r="I113">
        <v>98333941</v>
      </c>
      <c r="J113" t="s">
        <v>14</v>
      </c>
      <c r="K113" t="s">
        <v>15</v>
      </c>
      <c r="L113" s="1">
        <v>31200000</v>
      </c>
      <c r="M113" s="1">
        <v>31200000</v>
      </c>
      <c r="N113" t="s">
        <v>704</v>
      </c>
      <c r="O113" s="1">
        <f t="shared" si="1"/>
        <v>0</v>
      </c>
    </row>
    <row r="114" spans="1:15" x14ac:dyDescent="0.25">
      <c r="A114" t="s">
        <v>328</v>
      </c>
      <c r="B114" t="s">
        <v>13</v>
      </c>
      <c r="C114">
        <v>45902</v>
      </c>
      <c r="D114">
        <v>46022</v>
      </c>
      <c r="E114" t="s">
        <v>759</v>
      </c>
      <c r="F114" t="s">
        <v>14</v>
      </c>
      <c r="G114">
        <v>1085330309</v>
      </c>
      <c r="H114" t="s">
        <v>16</v>
      </c>
      <c r="I114">
        <v>43624414</v>
      </c>
      <c r="J114" t="s">
        <v>14</v>
      </c>
      <c r="K114" t="s">
        <v>18</v>
      </c>
      <c r="L114" s="1">
        <v>18920000</v>
      </c>
      <c r="M114" s="1">
        <v>18920000</v>
      </c>
      <c r="N114" t="s">
        <v>704</v>
      </c>
      <c r="O114" s="1">
        <f t="shared" si="1"/>
        <v>0</v>
      </c>
    </row>
    <row r="115" spans="1:15" x14ac:dyDescent="0.25">
      <c r="A115" t="s">
        <v>329</v>
      </c>
      <c r="B115" t="s">
        <v>13</v>
      </c>
      <c r="C115">
        <v>45922</v>
      </c>
      <c r="D115">
        <v>46022</v>
      </c>
      <c r="E115" t="s">
        <v>760</v>
      </c>
      <c r="F115" t="s">
        <v>14</v>
      </c>
      <c r="G115">
        <v>59314458</v>
      </c>
      <c r="H115" t="s">
        <v>25</v>
      </c>
      <c r="I115">
        <v>98390119</v>
      </c>
      <c r="J115" t="s">
        <v>14</v>
      </c>
      <c r="K115" t="s">
        <v>63</v>
      </c>
      <c r="L115" s="1">
        <v>22050000</v>
      </c>
      <c r="M115" s="1">
        <v>22050000</v>
      </c>
      <c r="N115" t="s">
        <v>704</v>
      </c>
      <c r="O115" s="1">
        <f t="shared" si="1"/>
        <v>0</v>
      </c>
    </row>
    <row r="116" spans="1:15" x14ac:dyDescent="0.25">
      <c r="A116" t="s">
        <v>332</v>
      </c>
      <c r="B116" t="s">
        <v>13</v>
      </c>
      <c r="C116">
        <v>45966</v>
      </c>
      <c r="D116">
        <v>46022</v>
      </c>
      <c r="E116" t="s">
        <v>762</v>
      </c>
      <c r="F116" t="s">
        <v>14</v>
      </c>
      <c r="G116">
        <v>1088216350</v>
      </c>
      <c r="H116" t="s">
        <v>333</v>
      </c>
      <c r="I116">
        <v>43624414</v>
      </c>
      <c r="J116" t="s">
        <v>14</v>
      </c>
      <c r="K116" t="s">
        <v>18</v>
      </c>
      <c r="L116" s="1">
        <v>6300000</v>
      </c>
      <c r="M116" s="1">
        <v>6300000</v>
      </c>
      <c r="N116" t="s">
        <v>704</v>
      </c>
      <c r="O116" s="1">
        <f t="shared" si="1"/>
        <v>0</v>
      </c>
    </row>
    <row r="117" spans="1:15" x14ac:dyDescent="0.25">
      <c r="A117" t="s">
        <v>336</v>
      </c>
      <c r="B117" t="s">
        <v>13</v>
      </c>
      <c r="C117">
        <v>45903</v>
      </c>
      <c r="D117">
        <v>46022</v>
      </c>
      <c r="E117" t="s">
        <v>707</v>
      </c>
      <c r="F117" t="s">
        <v>14</v>
      </c>
      <c r="G117">
        <v>36759759</v>
      </c>
      <c r="H117" t="s">
        <v>26</v>
      </c>
      <c r="I117">
        <v>98390119</v>
      </c>
      <c r="J117" t="s">
        <v>14</v>
      </c>
      <c r="K117" t="s">
        <v>63</v>
      </c>
      <c r="L117" s="1">
        <v>18920000</v>
      </c>
      <c r="M117" s="1">
        <v>18920000</v>
      </c>
      <c r="N117" t="s">
        <v>704</v>
      </c>
      <c r="O117" s="1">
        <f t="shared" si="1"/>
        <v>0</v>
      </c>
    </row>
    <row r="118" spans="1:15" x14ac:dyDescent="0.25">
      <c r="A118" t="s">
        <v>337</v>
      </c>
      <c r="B118" t="s">
        <v>13</v>
      </c>
      <c r="C118">
        <v>45917</v>
      </c>
      <c r="D118">
        <v>46022</v>
      </c>
      <c r="E118" t="s">
        <v>749</v>
      </c>
      <c r="F118" t="s">
        <v>14</v>
      </c>
      <c r="G118">
        <v>1233193769</v>
      </c>
      <c r="H118" t="s">
        <v>338</v>
      </c>
      <c r="I118">
        <v>98390119</v>
      </c>
      <c r="J118" t="s">
        <v>14</v>
      </c>
      <c r="K118" t="s">
        <v>63</v>
      </c>
      <c r="L118" s="1">
        <v>27300000</v>
      </c>
      <c r="M118" s="1">
        <v>27300000</v>
      </c>
      <c r="N118" t="s">
        <v>704</v>
      </c>
      <c r="O118" s="1">
        <f t="shared" si="1"/>
        <v>0</v>
      </c>
    </row>
    <row r="119" spans="1:15" x14ac:dyDescent="0.25">
      <c r="A119" t="s">
        <v>339</v>
      </c>
      <c r="B119" t="s">
        <v>13</v>
      </c>
      <c r="C119">
        <v>45960</v>
      </c>
      <c r="D119">
        <v>46022</v>
      </c>
      <c r="E119" t="s">
        <v>705</v>
      </c>
      <c r="F119" t="s">
        <v>14</v>
      </c>
      <c r="G119">
        <v>1085270448</v>
      </c>
      <c r="H119" t="s">
        <v>340</v>
      </c>
      <c r="I119">
        <v>98390119</v>
      </c>
      <c r="J119" t="s">
        <v>14</v>
      </c>
      <c r="K119" t="s">
        <v>63</v>
      </c>
      <c r="L119" s="1">
        <v>6300000</v>
      </c>
      <c r="M119" s="1">
        <v>6300000</v>
      </c>
      <c r="N119" t="s">
        <v>704</v>
      </c>
      <c r="O119" s="1">
        <f t="shared" si="1"/>
        <v>0</v>
      </c>
    </row>
    <row r="120" spans="1:15" x14ac:dyDescent="0.25">
      <c r="A120" t="s">
        <v>341</v>
      </c>
      <c r="B120" t="s">
        <v>13</v>
      </c>
      <c r="C120">
        <v>45910</v>
      </c>
      <c r="D120">
        <v>46022</v>
      </c>
      <c r="E120" t="s">
        <v>711</v>
      </c>
      <c r="F120" t="s">
        <v>14</v>
      </c>
      <c r="G120">
        <v>1085275473</v>
      </c>
      <c r="H120" t="s">
        <v>342</v>
      </c>
      <c r="I120">
        <v>98390119</v>
      </c>
      <c r="J120" t="s">
        <v>14</v>
      </c>
      <c r="K120" t="s">
        <v>63</v>
      </c>
      <c r="L120" s="1">
        <v>12600000</v>
      </c>
      <c r="M120" s="1">
        <v>12600000</v>
      </c>
      <c r="N120" t="s">
        <v>704</v>
      </c>
      <c r="O120" s="1">
        <f t="shared" si="1"/>
        <v>0</v>
      </c>
    </row>
    <row r="121" spans="1:15" x14ac:dyDescent="0.25">
      <c r="A121" t="s">
        <v>345</v>
      </c>
      <c r="B121" t="s">
        <v>13</v>
      </c>
      <c r="C121">
        <v>45908</v>
      </c>
      <c r="D121">
        <v>46022</v>
      </c>
      <c r="E121" t="s">
        <v>711</v>
      </c>
      <c r="F121" t="s">
        <v>14</v>
      </c>
      <c r="G121">
        <v>1085339190</v>
      </c>
      <c r="H121" t="s">
        <v>346</v>
      </c>
      <c r="I121">
        <v>98390119</v>
      </c>
      <c r="J121" t="s">
        <v>14</v>
      </c>
      <c r="K121" t="s">
        <v>63</v>
      </c>
      <c r="L121" s="1">
        <v>12600000</v>
      </c>
      <c r="M121" s="1">
        <v>12600000</v>
      </c>
      <c r="N121" t="s">
        <v>704</v>
      </c>
      <c r="O121" s="1">
        <f t="shared" si="1"/>
        <v>0</v>
      </c>
    </row>
    <row r="122" spans="1:15" x14ac:dyDescent="0.25">
      <c r="A122" t="s">
        <v>347</v>
      </c>
      <c r="B122" t="s">
        <v>13</v>
      </c>
      <c r="C122">
        <v>45924</v>
      </c>
      <c r="D122">
        <v>46022</v>
      </c>
      <c r="E122" t="s">
        <v>763</v>
      </c>
      <c r="F122" t="s">
        <v>14</v>
      </c>
      <c r="G122">
        <v>1086330124</v>
      </c>
      <c r="H122" t="s">
        <v>348</v>
      </c>
      <c r="I122">
        <v>98333941</v>
      </c>
      <c r="J122" t="s">
        <v>14</v>
      </c>
      <c r="K122" t="s">
        <v>15</v>
      </c>
      <c r="L122" s="1">
        <v>11025000</v>
      </c>
      <c r="M122" s="1">
        <v>11025000</v>
      </c>
      <c r="N122" t="s">
        <v>704</v>
      </c>
      <c r="O122" s="1">
        <f t="shared" si="1"/>
        <v>0</v>
      </c>
    </row>
    <row r="123" spans="1:15" x14ac:dyDescent="0.25">
      <c r="A123" t="s">
        <v>349</v>
      </c>
      <c r="B123" t="s">
        <v>13</v>
      </c>
      <c r="C123">
        <v>45944</v>
      </c>
      <c r="D123">
        <v>46022</v>
      </c>
      <c r="E123" t="s">
        <v>748</v>
      </c>
      <c r="F123" t="s">
        <v>14</v>
      </c>
      <c r="G123">
        <v>1137089036</v>
      </c>
      <c r="H123" t="s">
        <v>350</v>
      </c>
      <c r="I123">
        <v>59836926</v>
      </c>
      <c r="J123" t="s">
        <v>14</v>
      </c>
      <c r="K123" t="s">
        <v>17</v>
      </c>
      <c r="L123" s="1">
        <v>6000000</v>
      </c>
      <c r="M123" s="1">
        <v>6000000</v>
      </c>
      <c r="N123" t="s">
        <v>704</v>
      </c>
      <c r="O123" s="1">
        <f t="shared" si="1"/>
        <v>0</v>
      </c>
    </row>
    <row r="124" spans="1:15" x14ac:dyDescent="0.25">
      <c r="A124" t="s">
        <v>351</v>
      </c>
      <c r="B124" t="s">
        <v>13</v>
      </c>
      <c r="C124">
        <v>45971</v>
      </c>
      <c r="D124">
        <v>46022</v>
      </c>
      <c r="E124" t="s">
        <v>323</v>
      </c>
      <c r="F124" t="s">
        <v>14</v>
      </c>
      <c r="G124">
        <v>1085253512</v>
      </c>
      <c r="H124" t="s">
        <v>352</v>
      </c>
      <c r="I124">
        <v>98390119</v>
      </c>
      <c r="J124" t="s">
        <v>14</v>
      </c>
      <c r="K124" t="s">
        <v>63</v>
      </c>
      <c r="L124" s="1">
        <v>4000000</v>
      </c>
      <c r="M124" s="1">
        <v>4000000</v>
      </c>
      <c r="N124" t="s">
        <v>704</v>
      </c>
      <c r="O124" s="1">
        <f t="shared" si="1"/>
        <v>0</v>
      </c>
    </row>
    <row r="125" spans="1:15" x14ac:dyDescent="0.25">
      <c r="A125" t="s">
        <v>353</v>
      </c>
      <c r="B125" t="s">
        <v>13</v>
      </c>
      <c r="C125">
        <v>45925</v>
      </c>
      <c r="D125">
        <v>46022</v>
      </c>
      <c r="E125" t="s">
        <v>720</v>
      </c>
      <c r="F125" t="s">
        <v>14</v>
      </c>
      <c r="G125">
        <v>37083086</v>
      </c>
      <c r="H125" t="s">
        <v>354</v>
      </c>
      <c r="I125">
        <v>98333941</v>
      </c>
      <c r="J125" t="s">
        <v>14</v>
      </c>
      <c r="K125" t="s">
        <v>15</v>
      </c>
      <c r="L125" s="1">
        <v>11025000</v>
      </c>
      <c r="M125" s="1">
        <v>11025000</v>
      </c>
      <c r="N125" t="s">
        <v>704</v>
      </c>
      <c r="O125" s="1">
        <f t="shared" si="1"/>
        <v>0</v>
      </c>
    </row>
    <row r="126" spans="1:15" x14ac:dyDescent="0.25">
      <c r="A126" t="s">
        <v>355</v>
      </c>
      <c r="B126" t="s">
        <v>13</v>
      </c>
      <c r="C126">
        <v>45908</v>
      </c>
      <c r="D126">
        <v>46022</v>
      </c>
      <c r="E126" t="s">
        <v>711</v>
      </c>
      <c r="F126" t="s">
        <v>14</v>
      </c>
      <c r="G126">
        <v>1137624011</v>
      </c>
      <c r="H126" t="s">
        <v>356</v>
      </c>
      <c r="I126">
        <v>98390119</v>
      </c>
      <c r="J126" t="s">
        <v>14</v>
      </c>
      <c r="K126" t="s">
        <v>63</v>
      </c>
      <c r="L126" s="1">
        <v>12600000</v>
      </c>
      <c r="M126" s="1">
        <v>12600000</v>
      </c>
      <c r="N126" t="s">
        <v>704</v>
      </c>
      <c r="O126" s="1">
        <f t="shared" si="1"/>
        <v>0</v>
      </c>
    </row>
    <row r="127" spans="1:15" x14ac:dyDescent="0.25">
      <c r="A127" t="s">
        <v>357</v>
      </c>
      <c r="B127" t="s">
        <v>13</v>
      </c>
      <c r="C127">
        <v>45925</v>
      </c>
      <c r="D127">
        <v>46022</v>
      </c>
      <c r="E127" t="s">
        <v>722</v>
      </c>
      <c r="F127" t="s">
        <v>14</v>
      </c>
      <c r="G127">
        <v>1233188295</v>
      </c>
      <c r="H127" t="s">
        <v>358</v>
      </c>
      <c r="I127">
        <v>98390119</v>
      </c>
      <c r="J127" t="s">
        <v>14</v>
      </c>
      <c r="K127" t="s">
        <v>63</v>
      </c>
      <c r="L127" s="1">
        <v>27300000</v>
      </c>
      <c r="M127" s="1">
        <v>27300000</v>
      </c>
      <c r="N127" t="s">
        <v>704</v>
      </c>
      <c r="O127" s="1">
        <f t="shared" si="1"/>
        <v>0</v>
      </c>
    </row>
    <row r="128" spans="1:15" x14ac:dyDescent="0.25">
      <c r="A128" t="s">
        <v>359</v>
      </c>
      <c r="B128" t="s">
        <v>13</v>
      </c>
      <c r="C128">
        <v>45965</v>
      </c>
      <c r="D128">
        <v>46022</v>
      </c>
      <c r="E128" t="s">
        <v>715</v>
      </c>
      <c r="F128" t="s">
        <v>14</v>
      </c>
      <c r="G128">
        <v>1085281545</v>
      </c>
      <c r="H128" t="s">
        <v>360</v>
      </c>
      <c r="I128">
        <v>98333941</v>
      </c>
      <c r="J128" t="s">
        <v>14</v>
      </c>
      <c r="K128" t="s">
        <v>15</v>
      </c>
      <c r="L128" s="1">
        <v>4000000</v>
      </c>
      <c r="M128" s="1">
        <v>4000000</v>
      </c>
      <c r="N128" t="s">
        <v>704</v>
      </c>
      <c r="O128" s="1">
        <f t="shared" si="1"/>
        <v>0</v>
      </c>
    </row>
    <row r="129" spans="1:15" x14ac:dyDescent="0.25">
      <c r="A129" t="s">
        <v>361</v>
      </c>
      <c r="B129" t="s">
        <v>13</v>
      </c>
      <c r="C129">
        <v>45965</v>
      </c>
      <c r="D129">
        <v>46022</v>
      </c>
      <c r="E129" t="s">
        <v>764</v>
      </c>
      <c r="F129" t="s">
        <v>14</v>
      </c>
      <c r="G129">
        <v>1085338921</v>
      </c>
      <c r="H129" t="s">
        <v>362</v>
      </c>
      <c r="I129">
        <v>98390119</v>
      </c>
      <c r="J129" t="s">
        <v>14</v>
      </c>
      <c r="K129" t="s">
        <v>63</v>
      </c>
      <c r="L129" s="1">
        <v>6300000</v>
      </c>
      <c r="M129" s="1">
        <v>6300000</v>
      </c>
      <c r="N129" t="s">
        <v>704</v>
      </c>
      <c r="O129" s="1">
        <f t="shared" si="1"/>
        <v>0</v>
      </c>
    </row>
    <row r="130" spans="1:15" x14ac:dyDescent="0.25">
      <c r="A130" t="s">
        <v>363</v>
      </c>
      <c r="B130" t="s">
        <v>13</v>
      </c>
      <c r="C130">
        <v>45922</v>
      </c>
      <c r="D130">
        <v>46022</v>
      </c>
      <c r="E130" t="s">
        <v>749</v>
      </c>
      <c r="F130" t="s">
        <v>14</v>
      </c>
      <c r="G130">
        <v>1085274300</v>
      </c>
      <c r="H130" t="s">
        <v>364</v>
      </c>
      <c r="I130">
        <v>98390119</v>
      </c>
      <c r="J130" t="s">
        <v>14</v>
      </c>
      <c r="K130" t="s">
        <v>63</v>
      </c>
      <c r="L130" s="1">
        <v>27300000</v>
      </c>
      <c r="M130" s="1">
        <v>27300000</v>
      </c>
      <c r="N130" t="s">
        <v>704</v>
      </c>
      <c r="O130" s="1">
        <f t="shared" ref="O130:O193" si="2">M130-L130</f>
        <v>0</v>
      </c>
    </row>
    <row r="131" spans="1:15" x14ac:dyDescent="0.25">
      <c r="A131" t="s">
        <v>365</v>
      </c>
      <c r="B131" t="s">
        <v>13</v>
      </c>
      <c r="C131">
        <v>45905</v>
      </c>
      <c r="D131">
        <v>46022</v>
      </c>
      <c r="E131" t="s">
        <v>722</v>
      </c>
      <c r="F131" t="s">
        <v>14</v>
      </c>
      <c r="G131">
        <v>1022426162</v>
      </c>
      <c r="H131" t="s">
        <v>366</v>
      </c>
      <c r="I131">
        <v>98333941</v>
      </c>
      <c r="J131" t="s">
        <v>14</v>
      </c>
      <c r="K131" t="s">
        <v>15</v>
      </c>
      <c r="L131" s="1">
        <v>31200000</v>
      </c>
      <c r="M131" s="1">
        <v>31200000</v>
      </c>
      <c r="N131" t="s">
        <v>704</v>
      </c>
      <c r="O131" s="1">
        <f t="shared" si="2"/>
        <v>0</v>
      </c>
    </row>
    <row r="132" spans="1:15" x14ac:dyDescent="0.25">
      <c r="A132" t="s">
        <v>369</v>
      </c>
      <c r="B132" t="s">
        <v>13</v>
      </c>
      <c r="C132">
        <v>45917</v>
      </c>
      <c r="D132">
        <v>46022</v>
      </c>
      <c r="E132" t="s">
        <v>716</v>
      </c>
      <c r="F132" t="s">
        <v>14</v>
      </c>
      <c r="G132">
        <v>5930737</v>
      </c>
      <c r="H132" t="s">
        <v>370</v>
      </c>
      <c r="I132">
        <v>98390119</v>
      </c>
      <c r="J132" t="s">
        <v>14</v>
      </c>
      <c r="K132" t="s">
        <v>63</v>
      </c>
      <c r="L132" s="1">
        <v>11025000</v>
      </c>
      <c r="M132" s="1">
        <v>11025000</v>
      </c>
      <c r="N132" t="s">
        <v>704</v>
      </c>
      <c r="O132" s="1">
        <f t="shared" si="2"/>
        <v>0</v>
      </c>
    </row>
    <row r="133" spans="1:15" x14ac:dyDescent="0.25">
      <c r="A133" t="s">
        <v>371</v>
      </c>
      <c r="B133" t="s">
        <v>13</v>
      </c>
      <c r="C133">
        <v>45938</v>
      </c>
      <c r="D133">
        <v>46022</v>
      </c>
      <c r="E133" t="s">
        <v>722</v>
      </c>
      <c r="F133" t="s">
        <v>14</v>
      </c>
      <c r="G133">
        <v>1123327071</v>
      </c>
      <c r="H133" t="s">
        <v>372</v>
      </c>
      <c r="I133">
        <v>43624414</v>
      </c>
      <c r="J133" t="s">
        <v>14</v>
      </c>
      <c r="K133" t="s">
        <v>18</v>
      </c>
      <c r="L133" s="1">
        <v>23400000</v>
      </c>
      <c r="M133" s="1">
        <v>23400000</v>
      </c>
      <c r="N133" t="s">
        <v>704</v>
      </c>
      <c r="O133" s="1">
        <f t="shared" si="2"/>
        <v>0</v>
      </c>
    </row>
    <row r="134" spans="1:15" x14ac:dyDescent="0.25">
      <c r="A134" t="s">
        <v>375</v>
      </c>
      <c r="B134" t="s">
        <v>13</v>
      </c>
      <c r="C134">
        <v>45911</v>
      </c>
      <c r="D134">
        <v>46022</v>
      </c>
      <c r="E134" t="s">
        <v>711</v>
      </c>
      <c r="F134" t="s">
        <v>14</v>
      </c>
      <c r="G134">
        <v>1081052746</v>
      </c>
      <c r="H134" t="s">
        <v>376</v>
      </c>
      <c r="I134">
        <v>98333941</v>
      </c>
      <c r="J134" t="s">
        <v>14</v>
      </c>
      <c r="K134" t="s">
        <v>15</v>
      </c>
      <c r="L134" s="1">
        <v>12600000</v>
      </c>
      <c r="M134" s="1">
        <v>12600000</v>
      </c>
      <c r="N134" t="s">
        <v>704</v>
      </c>
      <c r="O134" s="1">
        <f t="shared" si="2"/>
        <v>0</v>
      </c>
    </row>
    <row r="135" spans="1:15" x14ac:dyDescent="0.25">
      <c r="A135" t="s">
        <v>377</v>
      </c>
      <c r="B135" t="s">
        <v>13</v>
      </c>
      <c r="C135">
        <v>45908</v>
      </c>
      <c r="D135">
        <v>46022</v>
      </c>
      <c r="E135" t="s">
        <v>711</v>
      </c>
      <c r="F135" t="s">
        <v>14</v>
      </c>
      <c r="G135">
        <v>37084285</v>
      </c>
      <c r="H135" t="s">
        <v>29</v>
      </c>
      <c r="I135">
        <v>98333941</v>
      </c>
      <c r="J135" t="s">
        <v>14</v>
      </c>
      <c r="K135" t="s">
        <v>15</v>
      </c>
      <c r="L135" s="1">
        <v>12600000</v>
      </c>
      <c r="M135" s="1">
        <v>12600000</v>
      </c>
      <c r="N135" t="s">
        <v>704</v>
      </c>
      <c r="O135" s="1">
        <f t="shared" si="2"/>
        <v>0</v>
      </c>
    </row>
    <row r="136" spans="1:15" x14ac:dyDescent="0.25">
      <c r="A136" t="s">
        <v>378</v>
      </c>
      <c r="B136" t="s">
        <v>13</v>
      </c>
      <c r="C136">
        <v>45908</v>
      </c>
      <c r="D136">
        <v>46022</v>
      </c>
      <c r="E136" t="s">
        <v>766</v>
      </c>
      <c r="F136" t="s">
        <v>14</v>
      </c>
      <c r="G136">
        <v>1010010954</v>
      </c>
      <c r="H136" t="s">
        <v>379</v>
      </c>
      <c r="I136">
        <v>43624414</v>
      </c>
      <c r="J136" t="s">
        <v>14</v>
      </c>
      <c r="K136" t="s">
        <v>18</v>
      </c>
      <c r="L136" s="1">
        <v>25200000</v>
      </c>
      <c r="M136" s="1">
        <v>25200000</v>
      </c>
      <c r="N136" t="s">
        <v>704</v>
      </c>
      <c r="O136" s="1">
        <f t="shared" si="2"/>
        <v>0</v>
      </c>
    </row>
    <row r="137" spans="1:15" x14ac:dyDescent="0.25">
      <c r="A137" t="s">
        <v>380</v>
      </c>
      <c r="B137" t="s">
        <v>13</v>
      </c>
      <c r="C137">
        <v>45924</v>
      </c>
      <c r="D137">
        <v>46022</v>
      </c>
      <c r="E137" t="s">
        <v>720</v>
      </c>
      <c r="F137" t="s">
        <v>14</v>
      </c>
      <c r="G137">
        <v>1004437571</v>
      </c>
      <c r="H137" t="s">
        <v>381</v>
      </c>
      <c r="I137">
        <v>98390119</v>
      </c>
      <c r="J137" t="s">
        <v>14</v>
      </c>
      <c r="K137" t="s">
        <v>63</v>
      </c>
      <c r="L137" s="1">
        <v>11025000</v>
      </c>
      <c r="M137" s="1">
        <v>11025000</v>
      </c>
      <c r="N137" t="s">
        <v>704</v>
      </c>
      <c r="O137" s="1">
        <f t="shared" si="2"/>
        <v>0</v>
      </c>
    </row>
    <row r="138" spans="1:15" x14ac:dyDescent="0.25">
      <c r="A138" t="s">
        <v>382</v>
      </c>
      <c r="B138" t="s">
        <v>13</v>
      </c>
      <c r="C138">
        <v>45929</v>
      </c>
      <c r="D138">
        <v>46022</v>
      </c>
      <c r="E138" t="s">
        <v>767</v>
      </c>
      <c r="F138" t="s">
        <v>14</v>
      </c>
      <c r="G138">
        <v>1085323338</v>
      </c>
      <c r="H138" t="s">
        <v>383</v>
      </c>
      <c r="I138">
        <v>98390119</v>
      </c>
      <c r="J138" t="s">
        <v>14</v>
      </c>
      <c r="K138" t="s">
        <v>63</v>
      </c>
      <c r="L138" s="1">
        <v>14190000</v>
      </c>
      <c r="M138" s="1">
        <v>14190000</v>
      </c>
      <c r="N138" t="s">
        <v>704</v>
      </c>
      <c r="O138" s="1">
        <f t="shared" si="2"/>
        <v>0</v>
      </c>
    </row>
    <row r="139" spans="1:15" x14ac:dyDescent="0.25">
      <c r="A139" t="s">
        <v>384</v>
      </c>
      <c r="B139" t="s">
        <v>13</v>
      </c>
      <c r="C139">
        <v>45929</v>
      </c>
      <c r="D139">
        <v>46022</v>
      </c>
      <c r="E139" t="s">
        <v>724</v>
      </c>
      <c r="F139" t="s">
        <v>14</v>
      </c>
      <c r="G139">
        <v>1085346528</v>
      </c>
      <c r="H139" t="s">
        <v>385</v>
      </c>
      <c r="I139">
        <v>43624414</v>
      </c>
      <c r="J139" t="s">
        <v>14</v>
      </c>
      <c r="K139" t="s">
        <v>18</v>
      </c>
      <c r="L139" s="1">
        <v>9450000</v>
      </c>
      <c r="M139" s="1">
        <v>9450000</v>
      </c>
      <c r="N139" t="s">
        <v>704</v>
      </c>
      <c r="O139" s="1">
        <f t="shared" si="2"/>
        <v>0</v>
      </c>
    </row>
    <row r="140" spans="1:15" x14ac:dyDescent="0.25">
      <c r="A140" t="s">
        <v>388</v>
      </c>
      <c r="B140" t="s">
        <v>13</v>
      </c>
      <c r="C140">
        <v>45904</v>
      </c>
      <c r="D140">
        <v>46022</v>
      </c>
      <c r="E140" t="s">
        <v>707</v>
      </c>
      <c r="F140" t="s">
        <v>14</v>
      </c>
      <c r="G140">
        <v>1085260497</v>
      </c>
      <c r="H140" t="s">
        <v>389</v>
      </c>
      <c r="I140">
        <v>98333941</v>
      </c>
      <c r="J140" t="s">
        <v>14</v>
      </c>
      <c r="K140" t="s">
        <v>15</v>
      </c>
      <c r="L140" s="1">
        <v>18920000</v>
      </c>
      <c r="M140" s="1">
        <v>18920000</v>
      </c>
      <c r="N140" t="s">
        <v>704</v>
      </c>
      <c r="O140" s="1">
        <f t="shared" si="2"/>
        <v>0</v>
      </c>
    </row>
    <row r="141" spans="1:15" x14ac:dyDescent="0.25">
      <c r="A141" t="s">
        <v>390</v>
      </c>
      <c r="B141" t="s">
        <v>13</v>
      </c>
      <c r="C141">
        <v>45946</v>
      </c>
      <c r="D141">
        <v>46022</v>
      </c>
      <c r="E141" t="s">
        <v>769</v>
      </c>
      <c r="F141" t="s">
        <v>14</v>
      </c>
      <c r="G141">
        <v>98398376</v>
      </c>
      <c r="H141" t="s">
        <v>391</v>
      </c>
      <c r="I141">
        <v>59836926</v>
      </c>
      <c r="J141" t="s">
        <v>14</v>
      </c>
      <c r="K141" t="s">
        <v>17</v>
      </c>
      <c r="L141" s="1">
        <v>19500000</v>
      </c>
      <c r="M141" s="1">
        <v>19500000</v>
      </c>
      <c r="N141" t="s">
        <v>704</v>
      </c>
      <c r="O141" s="1">
        <f t="shared" si="2"/>
        <v>0</v>
      </c>
    </row>
    <row r="142" spans="1:15" x14ac:dyDescent="0.25">
      <c r="A142" t="s">
        <v>392</v>
      </c>
      <c r="B142" t="s">
        <v>13</v>
      </c>
      <c r="C142">
        <v>45937</v>
      </c>
      <c r="D142">
        <v>46022</v>
      </c>
      <c r="E142" t="s">
        <v>770</v>
      </c>
      <c r="F142" t="s">
        <v>14</v>
      </c>
      <c r="G142">
        <v>1081272318</v>
      </c>
      <c r="H142" t="s">
        <v>393</v>
      </c>
      <c r="I142">
        <v>43624414</v>
      </c>
      <c r="J142" t="s">
        <v>14</v>
      </c>
      <c r="K142" t="s">
        <v>18</v>
      </c>
      <c r="L142" s="1">
        <v>9450000</v>
      </c>
      <c r="M142" s="1">
        <v>9450000</v>
      </c>
      <c r="N142" t="s">
        <v>704</v>
      </c>
      <c r="O142" s="1">
        <f t="shared" si="2"/>
        <v>0</v>
      </c>
    </row>
    <row r="143" spans="1:15" x14ac:dyDescent="0.25">
      <c r="A143" t="s">
        <v>394</v>
      </c>
      <c r="B143" t="s">
        <v>13</v>
      </c>
      <c r="C143">
        <v>45931</v>
      </c>
      <c r="D143">
        <v>46022</v>
      </c>
      <c r="E143" t="s">
        <v>771</v>
      </c>
      <c r="F143" t="s">
        <v>14</v>
      </c>
      <c r="G143">
        <v>1233188033</v>
      </c>
      <c r="H143" t="s">
        <v>395</v>
      </c>
      <c r="I143">
        <v>98390119</v>
      </c>
      <c r="J143" t="s">
        <v>14</v>
      </c>
      <c r="K143" t="s">
        <v>63</v>
      </c>
      <c r="L143" s="1">
        <v>14190000</v>
      </c>
      <c r="M143" s="1">
        <v>14190000</v>
      </c>
      <c r="N143" t="s">
        <v>704</v>
      </c>
      <c r="O143" s="1">
        <f t="shared" si="2"/>
        <v>0</v>
      </c>
    </row>
    <row r="144" spans="1:15" x14ac:dyDescent="0.25">
      <c r="A144" t="s">
        <v>396</v>
      </c>
      <c r="B144" t="s">
        <v>13</v>
      </c>
      <c r="C144">
        <v>45929</v>
      </c>
      <c r="D144">
        <v>46022</v>
      </c>
      <c r="E144" t="s">
        <v>772</v>
      </c>
      <c r="F144" t="s">
        <v>14</v>
      </c>
      <c r="G144">
        <v>1086360087</v>
      </c>
      <c r="H144" t="s">
        <v>397</v>
      </c>
      <c r="I144">
        <v>98390119</v>
      </c>
      <c r="J144" t="s">
        <v>14</v>
      </c>
      <c r="K144" t="s">
        <v>63</v>
      </c>
      <c r="L144" s="1">
        <v>18900000</v>
      </c>
      <c r="M144" s="1">
        <v>18900000</v>
      </c>
      <c r="N144" t="s">
        <v>704</v>
      </c>
      <c r="O144" s="1">
        <f t="shared" si="2"/>
        <v>0</v>
      </c>
    </row>
    <row r="145" spans="1:15" x14ac:dyDescent="0.25">
      <c r="A145" t="s">
        <v>398</v>
      </c>
      <c r="B145" t="s">
        <v>13</v>
      </c>
      <c r="C145">
        <v>45904</v>
      </c>
      <c r="D145">
        <v>46022</v>
      </c>
      <c r="E145" t="s">
        <v>708</v>
      </c>
      <c r="F145" t="s">
        <v>14</v>
      </c>
      <c r="G145">
        <v>1085255829</v>
      </c>
      <c r="H145" t="s">
        <v>23</v>
      </c>
      <c r="I145">
        <v>98390119</v>
      </c>
      <c r="J145" t="s">
        <v>14</v>
      </c>
      <c r="K145" t="s">
        <v>63</v>
      </c>
      <c r="L145" s="1">
        <v>12600000</v>
      </c>
      <c r="M145" s="1">
        <v>12600000</v>
      </c>
      <c r="N145" t="s">
        <v>704</v>
      </c>
      <c r="O145" s="1">
        <f t="shared" si="2"/>
        <v>0</v>
      </c>
    </row>
    <row r="146" spans="1:15" x14ac:dyDescent="0.25">
      <c r="A146" t="s">
        <v>399</v>
      </c>
      <c r="B146" t="s">
        <v>13</v>
      </c>
      <c r="C146">
        <v>45909</v>
      </c>
      <c r="D146">
        <v>46022</v>
      </c>
      <c r="E146" t="s">
        <v>710</v>
      </c>
      <c r="F146" t="s">
        <v>14</v>
      </c>
      <c r="G146">
        <v>37087120</v>
      </c>
      <c r="H146" t="s">
        <v>51</v>
      </c>
      <c r="I146">
        <v>98333941</v>
      </c>
      <c r="J146" t="s">
        <v>14</v>
      </c>
      <c r="K146" t="s">
        <v>15</v>
      </c>
      <c r="L146" s="1">
        <v>31200000</v>
      </c>
      <c r="M146" s="1">
        <v>31200000</v>
      </c>
      <c r="N146" t="s">
        <v>704</v>
      </c>
      <c r="O146" s="1">
        <f t="shared" si="2"/>
        <v>0</v>
      </c>
    </row>
    <row r="147" spans="1:15" x14ac:dyDescent="0.25">
      <c r="A147" t="s">
        <v>400</v>
      </c>
      <c r="B147" t="s">
        <v>13</v>
      </c>
      <c r="C147">
        <v>45966</v>
      </c>
      <c r="D147">
        <v>46022</v>
      </c>
      <c r="E147" t="s">
        <v>749</v>
      </c>
      <c r="F147" t="s">
        <v>14</v>
      </c>
      <c r="G147">
        <v>12969231</v>
      </c>
      <c r="H147" t="s">
        <v>401</v>
      </c>
      <c r="I147">
        <v>43624414</v>
      </c>
      <c r="J147" t="s">
        <v>14</v>
      </c>
      <c r="K147" t="s">
        <v>18</v>
      </c>
      <c r="L147" s="1">
        <v>15600000</v>
      </c>
      <c r="M147" s="1">
        <v>15600000</v>
      </c>
      <c r="N147" t="s">
        <v>704</v>
      </c>
      <c r="O147" s="1">
        <f t="shared" si="2"/>
        <v>0</v>
      </c>
    </row>
    <row r="148" spans="1:15" x14ac:dyDescent="0.25">
      <c r="A148" t="s">
        <v>402</v>
      </c>
      <c r="B148" t="s">
        <v>13</v>
      </c>
      <c r="C148">
        <v>45905</v>
      </c>
      <c r="D148">
        <v>46022</v>
      </c>
      <c r="E148" t="s">
        <v>754</v>
      </c>
      <c r="F148" t="s">
        <v>14</v>
      </c>
      <c r="G148">
        <v>1084228089</v>
      </c>
      <c r="H148" t="s">
        <v>403</v>
      </c>
      <c r="I148">
        <v>98333941</v>
      </c>
      <c r="J148" t="s">
        <v>14</v>
      </c>
      <c r="K148" t="s">
        <v>15</v>
      </c>
      <c r="L148" s="1">
        <v>25200000</v>
      </c>
      <c r="M148" s="1">
        <v>25200000</v>
      </c>
      <c r="N148" t="s">
        <v>704</v>
      </c>
      <c r="O148" s="1">
        <f t="shared" si="2"/>
        <v>0</v>
      </c>
    </row>
    <row r="149" spans="1:15" x14ac:dyDescent="0.25">
      <c r="A149" t="s">
        <v>404</v>
      </c>
      <c r="B149" t="s">
        <v>13</v>
      </c>
      <c r="C149">
        <v>45946</v>
      </c>
      <c r="D149">
        <v>46022</v>
      </c>
      <c r="E149" t="s">
        <v>773</v>
      </c>
      <c r="F149" t="s">
        <v>14</v>
      </c>
      <c r="G149">
        <v>1085327677</v>
      </c>
      <c r="H149" t="s">
        <v>405</v>
      </c>
      <c r="I149">
        <v>43624414</v>
      </c>
      <c r="J149" t="s">
        <v>14</v>
      </c>
      <c r="K149" t="s">
        <v>18</v>
      </c>
      <c r="L149" s="1">
        <v>7875000</v>
      </c>
      <c r="M149" s="1">
        <v>7875000</v>
      </c>
      <c r="N149" t="s">
        <v>704</v>
      </c>
      <c r="O149" s="1">
        <f t="shared" si="2"/>
        <v>0</v>
      </c>
    </row>
    <row r="150" spans="1:15" x14ac:dyDescent="0.25">
      <c r="A150" t="s">
        <v>406</v>
      </c>
      <c r="B150" t="s">
        <v>13</v>
      </c>
      <c r="C150">
        <v>45944</v>
      </c>
      <c r="D150">
        <v>46022</v>
      </c>
      <c r="E150" t="s">
        <v>774</v>
      </c>
      <c r="F150" t="s">
        <v>14</v>
      </c>
      <c r="G150">
        <v>87060188</v>
      </c>
      <c r="H150" t="s">
        <v>407</v>
      </c>
      <c r="I150">
        <v>43624414</v>
      </c>
      <c r="J150" t="s">
        <v>14</v>
      </c>
      <c r="K150" t="s">
        <v>18</v>
      </c>
      <c r="L150" s="1">
        <v>6000000</v>
      </c>
      <c r="M150" s="1">
        <v>6000000</v>
      </c>
      <c r="N150" t="s">
        <v>704</v>
      </c>
      <c r="O150" s="1">
        <f t="shared" si="2"/>
        <v>0</v>
      </c>
    </row>
    <row r="151" spans="1:15" x14ac:dyDescent="0.25">
      <c r="A151" t="s">
        <v>408</v>
      </c>
      <c r="B151" t="s">
        <v>13</v>
      </c>
      <c r="C151">
        <v>45971</v>
      </c>
      <c r="D151">
        <v>46022</v>
      </c>
      <c r="E151" t="s">
        <v>775</v>
      </c>
      <c r="F151" t="s">
        <v>14</v>
      </c>
      <c r="G151">
        <v>1086222689</v>
      </c>
      <c r="H151" t="s">
        <v>36</v>
      </c>
      <c r="I151">
        <v>59836926</v>
      </c>
      <c r="J151" t="s">
        <v>14</v>
      </c>
      <c r="K151" t="s">
        <v>17</v>
      </c>
      <c r="L151" s="1">
        <v>6300000</v>
      </c>
      <c r="M151" s="1">
        <v>6300000</v>
      </c>
      <c r="N151" t="s">
        <v>704</v>
      </c>
      <c r="O151" s="1">
        <f t="shared" si="2"/>
        <v>0</v>
      </c>
    </row>
    <row r="152" spans="1:15" x14ac:dyDescent="0.25">
      <c r="A152" t="s">
        <v>409</v>
      </c>
      <c r="B152" t="s">
        <v>13</v>
      </c>
      <c r="C152">
        <v>45945</v>
      </c>
      <c r="D152">
        <v>46022</v>
      </c>
      <c r="E152" t="s">
        <v>776</v>
      </c>
      <c r="F152" t="s">
        <v>14</v>
      </c>
      <c r="G152">
        <v>87065647</v>
      </c>
      <c r="H152" t="s">
        <v>410</v>
      </c>
      <c r="I152">
        <v>59836926</v>
      </c>
      <c r="J152" t="s">
        <v>14</v>
      </c>
      <c r="K152" t="s">
        <v>17</v>
      </c>
      <c r="L152" s="1">
        <v>19500000</v>
      </c>
      <c r="M152" s="1">
        <v>19500000</v>
      </c>
      <c r="N152" t="s">
        <v>704</v>
      </c>
      <c r="O152" s="1">
        <f t="shared" si="2"/>
        <v>0</v>
      </c>
    </row>
    <row r="153" spans="1:15" x14ac:dyDescent="0.25">
      <c r="A153" t="s">
        <v>411</v>
      </c>
      <c r="B153" t="s">
        <v>13</v>
      </c>
      <c r="C153">
        <v>45909</v>
      </c>
      <c r="D153">
        <v>46022</v>
      </c>
      <c r="E153" t="s">
        <v>719</v>
      </c>
      <c r="F153" t="s">
        <v>14</v>
      </c>
      <c r="G153">
        <v>1085272491</v>
      </c>
      <c r="H153" t="s">
        <v>412</v>
      </c>
      <c r="I153">
        <v>98390119</v>
      </c>
      <c r="J153" t="s">
        <v>14</v>
      </c>
      <c r="K153" t="s">
        <v>63</v>
      </c>
      <c r="L153" s="1">
        <v>25200000</v>
      </c>
      <c r="M153" s="1">
        <v>25200000</v>
      </c>
      <c r="N153" t="s">
        <v>704</v>
      </c>
      <c r="O153" s="1">
        <f t="shared" si="2"/>
        <v>0</v>
      </c>
    </row>
    <row r="154" spans="1:15" x14ac:dyDescent="0.25">
      <c r="A154" t="s">
        <v>413</v>
      </c>
      <c r="B154" t="s">
        <v>13</v>
      </c>
      <c r="C154">
        <v>45904</v>
      </c>
      <c r="D154">
        <v>46022</v>
      </c>
      <c r="E154" t="s">
        <v>777</v>
      </c>
      <c r="F154" t="s">
        <v>14</v>
      </c>
      <c r="G154">
        <v>1085283868</v>
      </c>
      <c r="H154" t="s">
        <v>414</v>
      </c>
      <c r="I154">
        <v>43624414</v>
      </c>
      <c r="J154" t="s">
        <v>14</v>
      </c>
      <c r="K154" t="s">
        <v>18</v>
      </c>
      <c r="L154" s="1">
        <v>25200000</v>
      </c>
      <c r="M154" s="1">
        <v>25200000</v>
      </c>
      <c r="N154" t="s">
        <v>704</v>
      </c>
      <c r="O154" s="1">
        <f t="shared" si="2"/>
        <v>0</v>
      </c>
    </row>
    <row r="155" spans="1:15" x14ac:dyDescent="0.25">
      <c r="A155" t="s">
        <v>417</v>
      </c>
      <c r="B155" t="s">
        <v>13</v>
      </c>
      <c r="C155">
        <v>45911</v>
      </c>
      <c r="D155">
        <v>46022</v>
      </c>
      <c r="E155" t="s">
        <v>711</v>
      </c>
      <c r="F155" t="s">
        <v>14</v>
      </c>
      <c r="G155">
        <v>1085267332</v>
      </c>
      <c r="H155" t="s">
        <v>418</v>
      </c>
      <c r="I155">
        <v>98333941</v>
      </c>
      <c r="J155" t="s">
        <v>14</v>
      </c>
      <c r="K155" t="s">
        <v>15</v>
      </c>
      <c r="L155" s="1">
        <v>12600000</v>
      </c>
      <c r="M155" s="1">
        <v>12600000</v>
      </c>
      <c r="N155" t="s">
        <v>704</v>
      </c>
      <c r="O155" s="1">
        <f t="shared" si="2"/>
        <v>0</v>
      </c>
    </row>
    <row r="156" spans="1:15" x14ac:dyDescent="0.25">
      <c r="A156" t="s">
        <v>419</v>
      </c>
      <c r="B156" t="s">
        <v>13</v>
      </c>
      <c r="C156">
        <v>45932</v>
      </c>
      <c r="D156">
        <v>46022</v>
      </c>
      <c r="E156" t="s">
        <v>755</v>
      </c>
      <c r="F156" t="s">
        <v>14</v>
      </c>
      <c r="G156">
        <v>1085293619</v>
      </c>
      <c r="H156" t="s">
        <v>420</v>
      </c>
      <c r="I156">
        <v>43624414</v>
      </c>
      <c r="J156" t="s">
        <v>14</v>
      </c>
      <c r="K156" t="s">
        <v>18</v>
      </c>
      <c r="L156" s="1">
        <v>14190000</v>
      </c>
      <c r="M156" s="1">
        <v>14190000</v>
      </c>
      <c r="N156" t="s">
        <v>704</v>
      </c>
      <c r="O156" s="1">
        <f t="shared" si="2"/>
        <v>0</v>
      </c>
    </row>
    <row r="157" spans="1:15" x14ac:dyDescent="0.25">
      <c r="A157" t="s">
        <v>423</v>
      </c>
      <c r="B157" t="s">
        <v>13</v>
      </c>
      <c r="C157">
        <v>45938</v>
      </c>
      <c r="D157">
        <v>46022</v>
      </c>
      <c r="E157" t="s">
        <v>777</v>
      </c>
      <c r="F157" t="s">
        <v>14</v>
      </c>
      <c r="G157">
        <v>1004213964</v>
      </c>
      <c r="H157" t="s">
        <v>72</v>
      </c>
      <c r="I157">
        <v>59836926</v>
      </c>
      <c r="J157" t="s">
        <v>14</v>
      </c>
      <c r="K157" t="s">
        <v>17</v>
      </c>
      <c r="L157" s="1">
        <v>18900000</v>
      </c>
      <c r="M157" s="1">
        <v>18900000</v>
      </c>
      <c r="N157" t="s">
        <v>704</v>
      </c>
      <c r="O157" s="1">
        <f t="shared" si="2"/>
        <v>0</v>
      </c>
    </row>
    <row r="158" spans="1:15" x14ac:dyDescent="0.25">
      <c r="A158" t="s">
        <v>424</v>
      </c>
      <c r="B158" t="s">
        <v>13</v>
      </c>
      <c r="C158">
        <v>45944</v>
      </c>
      <c r="D158">
        <v>46022</v>
      </c>
      <c r="E158" t="s">
        <v>715</v>
      </c>
      <c r="F158" t="s">
        <v>14</v>
      </c>
      <c r="G158">
        <v>1233188221</v>
      </c>
      <c r="H158" t="s">
        <v>425</v>
      </c>
      <c r="I158">
        <v>98333941</v>
      </c>
      <c r="J158" t="s">
        <v>14</v>
      </c>
      <c r="K158" t="s">
        <v>15</v>
      </c>
      <c r="L158" s="1">
        <v>6000000</v>
      </c>
      <c r="M158" s="1">
        <v>6000000</v>
      </c>
      <c r="N158" t="s">
        <v>704</v>
      </c>
      <c r="O158" s="1">
        <f t="shared" si="2"/>
        <v>0</v>
      </c>
    </row>
    <row r="159" spans="1:15" x14ac:dyDescent="0.25">
      <c r="A159" t="s">
        <v>426</v>
      </c>
      <c r="B159" t="s">
        <v>13</v>
      </c>
      <c r="C159">
        <v>45905</v>
      </c>
      <c r="D159">
        <v>46022</v>
      </c>
      <c r="E159" t="s">
        <v>744</v>
      </c>
      <c r="F159" t="s">
        <v>14</v>
      </c>
      <c r="G159">
        <v>1085318684</v>
      </c>
      <c r="H159" t="s">
        <v>427</v>
      </c>
      <c r="I159">
        <v>98333941</v>
      </c>
      <c r="J159" t="s">
        <v>14</v>
      </c>
      <c r="K159" t="s">
        <v>15</v>
      </c>
      <c r="L159" s="1">
        <v>18920000</v>
      </c>
      <c r="M159" s="1">
        <v>18920000</v>
      </c>
      <c r="N159" t="s">
        <v>704</v>
      </c>
      <c r="O159" s="1">
        <f t="shared" si="2"/>
        <v>0</v>
      </c>
    </row>
    <row r="160" spans="1:15" x14ac:dyDescent="0.25">
      <c r="A160" t="s">
        <v>428</v>
      </c>
      <c r="B160" t="s">
        <v>13</v>
      </c>
      <c r="C160">
        <v>45908</v>
      </c>
      <c r="D160">
        <v>46022</v>
      </c>
      <c r="E160" t="s">
        <v>724</v>
      </c>
      <c r="F160" t="s">
        <v>14</v>
      </c>
      <c r="G160">
        <v>1089291166</v>
      </c>
      <c r="H160" t="s">
        <v>429</v>
      </c>
      <c r="I160">
        <v>98333941</v>
      </c>
      <c r="J160" t="s">
        <v>14</v>
      </c>
      <c r="K160" t="s">
        <v>15</v>
      </c>
      <c r="L160" s="1">
        <v>12600000</v>
      </c>
      <c r="M160" s="1">
        <v>12600000</v>
      </c>
      <c r="N160" t="s">
        <v>704</v>
      </c>
      <c r="O160" s="1">
        <f t="shared" si="2"/>
        <v>0</v>
      </c>
    </row>
    <row r="161" spans="1:15" x14ac:dyDescent="0.25">
      <c r="A161" t="s">
        <v>430</v>
      </c>
      <c r="B161" t="s">
        <v>13</v>
      </c>
      <c r="C161">
        <v>45905</v>
      </c>
      <c r="D161">
        <v>46022</v>
      </c>
      <c r="E161" t="s">
        <v>744</v>
      </c>
      <c r="F161" t="s">
        <v>14</v>
      </c>
      <c r="G161">
        <v>1085318201</v>
      </c>
      <c r="H161" t="s">
        <v>431</v>
      </c>
      <c r="I161">
        <v>98333941</v>
      </c>
      <c r="J161" t="s">
        <v>14</v>
      </c>
      <c r="K161" t="s">
        <v>15</v>
      </c>
      <c r="L161" s="1">
        <v>18920000</v>
      </c>
      <c r="M161" s="1">
        <v>18920000</v>
      </c>
      <c r="N161" t="s">
        <v>704</v>
      </c>
      <c r="O161" s="1">
        <f t="shared" si="2"/>
        <v>0</v>
      </c>
    </row>
    <row r="162" spans="1:15" x14ac:dyDescent="0.25">
      <c r="A162" t="s">
        <v>432</v>
      </c>
      <c r="B162" t="s">
        <v>13</v>
      </c>
      <c r="C162">
        <v>45902</v>
      </c>
      <c r="D162">
        <v>46022</v>
      </c>
      <c r="E162" t="s">
        <v>779</v>
      </c>
      <c r="F162" t="s">
        <v>14</v>
      </c>
      <c r="G162">
        <v>1085340885</v>
      </c>
      <c r="H162" t="s">
        <v>433</v>
      </c>
      <c r="I162">
        <v>98333941</v>
      </c>
      <c r="J162" t="s">
        <v>14</v>
      </c>
      <c r="K162" t="s">
        <v>15</v>
      </c>
      <c r="L162" s="1">
        <v>18920000</v>
      </c>
      <c r="M162" s="1">
        <v>18920000</v>
      </c>
      <c r="N162" t="s">
        <v>704</v>
      </c>
      <c r="O162" s="1">
        <f t="shared" si="2"/>
        <v>0</v>
      </c>
    </row>
    <row r="163" spans="1:15" x14ac:dyDescent="0.25">
      <c r="A163" t="s">
        <v>434</v>
      </c>
      <c r="B163" t="s">
        <v>13</v>
      </c>
      <c r="C163">
        <v>45903</v>
      </c>
      <c r="D163">
        <v>46022</v>
      </c>
      <c r="E163" t="s">
        <v>708</v>
      </c>
      <c r="F163" t="s">
        <v>14</v>
      </c>
      <c r="G163">
        <v>1010082397</v>
      </c>
      <c r="H163" t="s">
        <v>44</v>
      </c>
      <c r="I163">
        <v>98390119</v>
      </c>
      <c r="J163" t="s">
        <v>14</v>
      </c>
      <c r="K163" t="s">
        <v>63</v>
      </c>
      <c r="L163" s="1">
        <v>12600000</v>
      </c>
      <c r="M163" s="1">
        <v>12600000</v>
      </c>
      <c r="N163" t="s">
        <v>704</v>
      </c>
      <c r="O163" s="1">
        <f t="shared" si="2"/>
        <v>0</v>
      </c>
    </row>
    <row r="164" spans="1:15" x14ac:dyDescent="0.25">
      <c r="A164" t="s">
        <v>435</v>
      </c>
      <c r="B164" t="s">
        <v>13</v>
      </c>
      <c r="C164">
        <v>45908</v>
      </c>
      <c r="D164">
        <v>46022</v>
      </c>
      <c r="E164" t="s">
        <v>780</v>
      </c>
      <c r="F164" t="s">
        <v>14</v>
      </c>
      <c r="G164">
        <v>30743783</v>
      </c>
      <c r="H164" t="s">
        <v>436</v>
      </c>
      <c r="I164">
        <v>59836926</v>
      </c>
      <c r="J164" t="s">
        <v>14</v>
      </c>
      <c r="K164" t="s">
        <v>17</v>
      </c>
      <c r="L164" s="1">
        <v>12600000</v>
      </c>
      <c r="M164" s="1">
        <v>12600000</v>
      </c>
      <c r="N164" t="s">
        <v>704</v>
      </c>
      <c r="O164" s="1">
        <f t="shared" si="2"/>
        <v>0</v>
      </c>
    </row>
    <row r="165" spans="1:15" x14ac:dyDescent="0.25">
      <c r="A165" t="s">
        <v>437</v>
      </c>
      <c r="B165" t="s">
        <v>13</v>
      </c>
      <c r="C165">
        <v>45932</v>
      </c>
      <c r="D165">
        <v>46022</v>
      </c>
      <c r="E165" t="s">
        <v>781</v>
      </c>
      <c r="F165" t="s">
        <v>14</v>
      </c>
      <c r="G165">
        <v>37084258</v>
      </c>
      <c r="H165" t="s">
        <v>438</v>
      </c>
      <c r="I165">
        <v>43624414</v>
      </c>
      <c r="J165" t="s">
        <v>14</v>
      </c>
      <c r="K165" t="s">
        <v>18</v>
      </c>
      <c r="L165" s="1">
        <v>14190000</v>
      </c>
      <c r="M165" s="1">
        <v>14190000</v>
      </c>
      <c r="N165" t="s">
        <v>704</v>
      </c>
      <c r="O165" s="1">
        <f t="shared" si="2"/>
        <v>0</v>
      </c>
    </row>
    <row r="166" spans="1:15" x14ac:dyDescent="0.25">
      <c r="A166" t="s">
        <v>439</v>
      </c>
      <c r="B166" t="s">
        <v>13</v>
      </c>
      <c r="C166">
        <v>45905</v>
      </c>
      <c r="D166">
        <v>46022</v>
      </c>
      <c r="E166" t="s">
        <v>782</v>
      </c>
      <c r="F166" t="s">
        <v>14</v>
      </c>
      <c r="G166">
        <v>27087475</v>
      </c>
      <c r="H166" t="s">
        <v>48</v>
      </c>
      <c r="I166">
        <v>43624414</v>
      </c>
      <c r="J166" t="s">
        <v>14</v>
      </c>
      <c r="K166" t="s">
        <v>18</v>
      </c>
      <c r="L166" s="1">
        <v>18920000</v>
      </c>
      <c r="M166" s="1">
        <v>18920000</v>
      </c>
      <c r="N166" t="s">
        <v>704</v>
      </c>
      <c r="O166" s="1">
        <f t="shared" si="2"/>
        <v>0</v>
      </c>
    </row>
    <row r="167" spans="1:15" x14ac:dyDescent="0.25">
      <c r="A167" t="s">
        <v>440</v>
      </c>
      <c r="B167" t="s">
        <v>13</v>
      </c>
      <c r="C167">
        <v>45971</v>
      </c>
      <c r="D167">
        <v>46022</v>
      </c>
      <c r="E167" t="s">
        <v>749</v>
      </c>
      <c r="F167" t="s">
        <v>14</v>
      </c>
      <c r="G167">
        <v>1086018206</v>
      </c>
      <c r="H167" t="s">
        <v>441</v>
      </c>
      <c r="I167">
        <v>98390119</v>
      </c>
      <c r="J167" t="s">
        <v>14</v>
      </c>
      <c r="K167" t="s">
        <v>63</v>
      </c>
      <c r="L167" s="1">
        <v>15600000</v>
      </c>
      <c r="M167" s="1">
        <v>15600000</v>
      </c>
      <c r="N167" t="s">
        <v>704</v>
      </c>
      <c r="O167" s="1">
        <f t="shared" si="2"/>
        <v>0</v>
      </c>
    </row>
    <row r="168" spans="1:15" x14ac:dyDescent="0.25">
      <c r="A168" t="s">
        <v>442</v>
      </c>
      <c r="B168" t="s">
        <v>13</v>
      </c>
      <c r="C168">
        <v>45936</v>
      </c>
      <c r="D168">
        <v>46022</v>
      </c>
      <c r="E168" t="s">
        <v>783</v>
      </c>
      <c r="F168" t="s">
        <v>14</v>
      </c>
      <c r="G168">
        <v>1085261053</v>
      </c>
      <c r="H168" t="s">
        <v>443</v>
      </c>
      <c r="I168">
        <v>98333941</v>
      </c>
      <c r="J168" t="s">
        <v>14</v>
      </c>
      <c r="K168" t="s">
        <v>15</v>
      </c>
      <c r="L168" s="1">
        <v>9450000</v>
      </c>
      <c r="M168" s="1">
        <v>9450000</v>
      </c>
      <c r="N168" t="s">
        <v>704</v>
      </c>
      <c r="O168" s="1">
        <f t="shared" si="2"/>
        <v>0</v>
      </c>
    </row>
    <row r="169" spans="1:15" x14ac:dyDescent="0.25">
      <c r="A169" t="s">
        <v>444</v>
      </c>
      <c r="B169" t="s">
        <v>13</v>
      </c>
      <c r="C169">
        <v>45908</v>
      </c>
      <c r="D169">
        <v>46022</v>
      </c>
      <c r="E169" t="s">
        <v>706</v>
      </c>
      <c r="F169" t="s">
        <v>14</v>
      </c>
      <c r="G169">
        <v>36950073</v>
      </c>
      <c r="H169" t="s">
        <v>445</v>
      </c>
      <c r="I169">
        <v>98333941</v>
      </c>
      <c r="J169" t="s">
        <v>14</v>
      </c>
      <c r="K169" t="s">
        <v>15</v>
      </c>
      <c r="L169" s="1">
        <v>18920000</v>
      </c>
      <c r="M169" s="1">
        <v>18920000</v>
      </c>
      <c r="N169" t="s">
        <v>704</v>
      </c>
      <c r="O169" s="1">
        <f t="shared" si="2"/>
        <v>0</v>
      </c>
    </row>
    <row r="170" spans="1:15" x14ac:dyDescent="0.25">
      <c r="A170" t="s">
        <v>446</v>
      </c>
      <c r="B170" t="s">
        <v>13</v>
      </c>
      <c r="C170">
        <v>45930</v>
      </c>
      <c r="D170">
        <v>46022</v>
      </c>
      <c r="E170" t="s">
        <v>784</v>
      </c>
      <c r="F170" t="s">
        <v>14</v>
      </c>
      <c r="G170">
        <v>59816986</v>
      </c>
      <c r="H170" t="s">
        <v>447</v>
      </c>
      <c r="I170">
        <v>98390119</v>
      </c>
      <c r="J170" t="s">
        <v>14</v>
      </c>
      <c r="K170" t="s">
        <v>63</v>
      </c>
      <c r="L170" s="1">
        <v>14190000</v>
      </c>
      <c r="M170" s="1">
        <v>14190000</v>
      </c>
      <c r="N170" t="s">
        <v>704</v>
      </c>
      <c r="O170" s="1">
        <f t="shared" si="2"/>
        <v>0</v>
      </c>
    </row>
    <row r="171" spans="1:15" x14ac:dyDescent="0.25">
      <c r="A171" t="s">
        <v>448</v>
      </c>
      <c r="B171" t="s">
        <v>13</v>
      </c>
      <c r="C171">
        <v>45931</v>
      </c>
      <c r="D171">
        <v>46022</v>
      </c>
      <c r="E171" t="s">
        <v>785</v>
      </c>
      <c r="F171" t="s">
        <v>14</v>
      </c>
      <c r="G171">
        <v>1004592366</v>
      </c>
      <c r="H171" t="s">
        <v>449</v>
      </c>
      <c r="I171">
        <v>98390119</v>
      </c>
      <c r="J171" t="s">
        <v>14</v>
      </c>
      <c r="K171" t="s">
        <v>63</v>
      </c>
      <c r="L171" s="1">
        <v>9450000</v>
      </c>
      <c r="M171" s="1">
        <v>9450000</v>
      </c>
      <c r="N171" t="s">
        <v>704</v>
      </c>
      <c r="O171" s="1">
        <f t="shared" si="2"/>
        <v>0</v>
      </c>
    </row>
    <row r="172" spans="1:15" x14ac:dyDescent="0.25">
      <c r="A172" t="s">
        <v>450</v>
      </c>
      <c r="B172" t="s">
        <v>13</v>
      </c>
      <c r="C172">
        <v>45918</v>
      </c>
      <c r="D172">
        <v>46022</v>
      </c>
      <c r="E172" t="s">
        <v>786</v>
      </c>
      <c r="F172" t="s">
        <v>14</v>
      </c>
      <c r="G172">
        <v>1086224204</v>
      </c>
      <c r="H172" t="s">
        <v>451</v>
      </c>
      <c r="I172">
        <v>98333941</v>
      </c>
      <c r="J172" t="s">
        <v>14</v>
      </c>
      <c r="K172" t="s">
        <v>15</v>
      </c>
      <c r="L172" s="1">
        <v>11025000</v>
      </c>
      <c r="M172" s="1">
        <v>11025000</v>
      </c>
      <c r="N172" t="s">
        <v>704</v>
      </c>
      <c r="O172" s="1">
        <f t="shared" si="2"/>
        <v>0</v>
      </c>
    </row>
    <row r="173" spans="1:15" x14ac:dyDescent="0.25">
      <c r="A173" t="s">
        <v>452</v>
      </c>
      <c r="B173" t="s">
        <v>13</v>
      </c>
      <c r="C173">
        <v>45965</v>
      </c>
      <c r="D173">
        <v>46022</v>
      </c>
      <c r="E173" t="s">
        <v>787</v>
      </c>
      <c r="F173" t="s">
        <v>14</v>
      </c>
      <c r="G173">
        <v>98391531</v>
      </c>
      <c r="H173" t="s">
        <v>453</v>
      </c>
      <c r="I173">
        <v>43624414</v>
      </c>
      <c r="J173" t="s">
        <v>14</v>
      </c>
      <c r="K173" t="s">
        <v>18</v>
      </c>
      <c r="L173" s="1">
        <v>6300000</v>
      </c>
      <c r="M173" s="1">
        <v>6300000</v>
      </c>
      <c r="N173" t="s">
        <v>704</v>
      </c>
      <c r="O173" s="1">
        <f t="shared" si="2"/>
        <v>0</v>
      </c>
    </row>
    <row r="174" spans="1:15" x14ac:dyDescent="0.25">
      <c r="A174" t="s">
        <v>454</v>
      </c>
      <c r="B174" t="s">
        <v>13</v>
      </c>
      <c r="C174">
        <v>45966</v>
      </c>
      <c r="D174">
        <v>46022</v>
      </c>
      <c r="E174" t="s">
        <v>749</v>
      </c>
      <c r="F174" t="s">
        <v>14</v>
      </c>
      <c r="G174">
        <v>1233193848</v>
      </c>
      <c r="H174" t="s">
        <v>455</v>
      </c>
      <c r="I174">
        <v>43624414</v>
      </c>
      <c r="J174" t="s">
        <v>14</v>
      </c>
      <c r="K174" t="s">
        <v>18</v>
      </c>
      <c r="L174" s="1">
        <v>15600000</v>
      </c>
      <c r="M174" s="1">
        <v>15600000</v>
      </c>
      <c r="N174" t="s">
        <v>704</v>
      </c>
      <c r="O174" s="1">
        <f t="shared" si="2"/>
        <v>0</v>
      </c>
    </row>
    <row r="175" spans="1:15" x14ac:dyDescent="0.25">
      <c r="A175" t="s">
        <v>456</v>
      </c>
      <c r="B175" t="s">
        <v>13</v>
      </c>
      <c r="C175">
        <v>45904</v>
      </c>
      <c r="D175">
        <v>46022</v>
      </c>
      <c r="E175" t="s">
        <v>710</v>
      </c>
      <c r="F175" t="s">
        <v>14</v>
      </c>
      <c r="G175">
        <v>1087006619</v>
      </c>
      <c r="H175" t="s">
        <v>457</v>
      </c>
      <c r="I175">
        <v>98333941</v>
      </c>
      <c r="J175" t="s">
        <v>14</v>
      </c>
      <c r="K175" t="s">
        <v>15</v>
      </c>
      <c r="L175" s="1">
        <v>31200000</v>
      </c>
      <c r="M175" s="1">
        <v>31200000</v>
      </c>
      <c r="N175" t="s">
        <v>704</v>
      </c>
      <c r="O175" s="1">
        <f t="shared" si="2"/>
        <v>0</v>
      </c>
    </row>
    <row r="176" spans="1:15" x14ac:dyDescent="0.25">
      <c r="A176" t="s">
        <v>458</v>
      </c>
      <c r="B176" t="s">
        <v>13</v>
      </c>
      <c r="C176">
        <v>45904</v>
      </c>
      <c r="D176">
        <v>46022</v>
      </c>
      <c r="E176" t="s">
        <v>707</v>
      </c>
      <c r="F176" t="s">
        <v>14</v>
      </c>
      <c r="G176">
        <v>1082749648</v>
      </c>
      <c r="H176" t="s">
        <v>459</v>
      </c>
      <c r="I176">
        <v>98333941</v>
      </c>
      <c r="J176" t="s">
        <v>14</v>
      </c>
      <c r="K176" t="s">
        <v>15</v>
      </c>
      <c r="L176" s="1">
        <v>18920000</v>
      </c>
      <c r="M176" s="1">
        <v>18920000</v>
      </c>
      <c r="N176" t="s">
        <v>704</v>
      </c>
      <c r="O176" s="1">
        <f t="shared" si="2"/>
        <v>0</v>
      </c>
    </row>
    <row r="177" spans="1:15" x14ac:dyDescent="0.25">
      <c r="A177" t="s">
        <v>460</v>
      </c>
      <c r="B177" t="s">
        <v>13</v>
      </c>
      <c r="C177">
        <v>45923</v>
      </c>
      <c r="D177">
        <v>46022</v>
      </c>
      <c r="E177" t="s">
        <v>736</v>
      </c>
      <c r="F177" t="s">
        <v>14</v>
      </c>
      <c r="G177">
        <v>37082272</v>
      </c>
      <c r="H177" t="s">
        <v>461</v>
      </c>
      <c r="I177">
        <v>98390119</v>
      </c>
      <c r="J177" t="s">
        <v>14</v>
      </c>
      <c r="K177" t="s">
        <v>63</v>
      </c>
      <c r="L177" s="1">
        <v>11025000</v>
      </c>
      <c r="M177" s="1">
        <v>11025000</v>
      </c>
      <c r="N177" t="s">
        <v>704</v>
      </c>
      <c r="O177" s="1">
        <f t="shared" si="2"/>
        <v>0</v>
      </c>
    </row>
    <row r="178" spans="1:15" x14ac:dyDescent="0.25">
      <c r="A178" t="s">
        <v>462</v>
      </c>
      <c r="B178" t="s">
        <v>13</v>
      </c>
      <c r="C178">
        <v>45912</v>
      </c>
      <c r="D178">
        <v>46022</v>
      </c>
      <c r="E178" t="s">
        <v>711</v>
      </c>
      <c r="F178" t="s">
        <v>14</v>
      </c>
      <c r="G178">
        <v>59122805</v>
      </c>
      <c r="H178" t="s">
        <v>463</v>
      </c>
      <c r="I178">
        <v>98333941</v>
      </c>
      <c r="J178" t="s">
        <v>14</v>
      </c>
      <c r="K178" t="s">
        <v>15</v>
      </c>
      <c r="L178" s="1">
        <v>12600000</v>
      </c>
      <c r="M178" s="1">
        <v>12600000</v>
      </c>
      <c r="N178" t="s">
        <v>704</v>
      </c>
      <c r="O178" s="1">
        <f t="shared" si="2"/>
        <v>0</v>
      </c>
    </row>
    <row r="179" spans="1:15" x14ac:dyDescent="0.25">
      <c r="A179" t="s">
        <v>464</v>
      </c>
      <c r="B179" t="s">
        <v>13</v>
      </c>
      <c r="C179">
        <v>45971</v>
      </c>
      <c r="D179">
        <v>46022</v>
      </c>
      <c r="E179" t="s">
        <v>323</v>
      </c>
      <c r="F179" t="s">
        <v>14</v>
      </c>
      <c r="G179">
        <v>1193223736</v>
      </c>
      <c r="H179" t="s">
        <v>75</v>
      </c>
      <c r="I179">
        <v>59836926</v>
      </c>
      <c r="J179" t="s">
        <v>14</v>
      </c>
      <c r="K179" t="s">
        <v>17</v>
      </c>
      <c r="L179" s="1">
        <v>12600000</v>
      </c>
      <c r="M179" s="1">
        <v>12600000</v>
      </c>
      <c r="N179" t="s">
        <v>704</v>
      </c>
      <c r="O179" s="1">
        <f t="shared" si="2"/>
        <v>0</v>
      </c>
    </row>
    <row r="180" spans="1:15" x14ac:dyDescent="0.25">
      <c r="A180" t="s">
        <v>465</v>
      </c>
      <c r="B180" t="s">
        <v>13</v>
      </c>
      <c r="C180">
        <v>45909</v>
      </c>
      <c r="D180">
        <v>46022</v>
      </c>
      <c r="E180" t="s">
        <v>710</v>
      </c>
      <c r="F180" t="s">
        <v>14</v>
      </c>
      <c r="G180">
        <v>1233189066</v>
      </c>
      <c r="H180" t="s">
        <v>466</v>
      </c>
      <c r="I180">
        <v>98390119</v>
      </c>
      <c r="J180" t="s">
        <v>14</v>
      </c>
      <c r="K180" t="s">
        <v>63</v>
      </c>
      <c r="L180" s="1">
        <v>31200000</v>
      </c>
      <c r="M180" s="1">
        <v>31200000</v>
      </c>
      <c r="N180" t="s">
        <v>704</v>
      </c>
      <c r="O180" s="1">
        <f t="shared" si="2"/>
        <v>0</v>
      </c>
    </row>
    <row r="181" spans="1:15" x14ac:dyDescent="0.25">
      <c r="A181" t="s">
        <v>467</v>
      </c>
      <c r="B181" t="s">
        <v>13</v>
      </c>
      <c r="C181">
        <v>45946</v>
      </c>
      <c r="D181">
        <v>46022</v>
      </c>
      <c r="E181" t="s">
        <v>716</v>
      </c>
      <c r="F181" t="s">
        <v>14</v>
      </c>
      <c r="G181">
        <v>27253636</v>
      </c>
      <c r="H181" t="s">
        <v>468</v>
      </c>
      <c r="I181">
        <v>98390119</v>
      </c>
      <c r="J181" t="s">
        <v>14</v>
      </c>
      <c r="K181" t="s">
        <v>63</v>
      </c>
      <c r="L181" s="1">
        <v>7875000</v>
      </c>
      <c r="M181" s="1">
        <v>7875000</v>
      </c>
      <c r="N181" t="s">
        <v>704</v>
      </c>
      <c r="O181" s="1">
        <f t="shared" si="2"/>
        <v>0</v>
      </c>
    </row>
    <row r="182" spans="1:15" x14ac:dyDescent="0.25">
      <c r="A182" t="s">
        <v>469</v>
      </c>
      <c r="B182" t="s">
        <v>13</v>
      </c>
      <c r="C182">
        <v>45946</v>
      </c>
      <c r="D182">
        <v>46022</v>
      </c>
      <c r="E182" t="s">
        <v>720</v>
      </c>
      <c r="F182" t="s">
        <v>14</v>
      </c>
      <c r="G182">
        <v>59813323</v>
      </c>
      <c r="H182" t="s">
        <v>74</v>
      </c>
      <c r="I182">
        <v>59836926</v>
      </c>
      <c r="J182" t="s">
        <v>14</v>
      </c>
      <c r="K182" t="s">
        <v>17</v>
      </c>
      <c r="L182" s="1">
        <v>7875000</v>
      </c>
      <c r="M182" s="1">
        <v>7875000</v>
      </c>
      <c r="N182" t="s">
        <v>704</v>
      </c>
      <c r="O182" s="1">
        <f t="shared" si="2"/>
        <v>0</v>
      </c>
    </row>
    <row r="183" spans="1:15" x14ac:dyDescent="0.25">
      <c r="A183" t="s">
        <v>472</v>
      </c>
      <c r="B183" t="s">
        <v>13</v>
      </c>
      <c r="C183">
        <v>45930</v>
      </c>
      <c r="D183">
        <v>46022</v>
      </c>
      <c r="E183" t="s">
        <v>789</v>
      </c>
      <c r="F183" t="s">
        <v>14</v>
      </c>
      <c r="G183">
        <v>12961407</v>
      </c>
      <c r="H183" t="s">
        <v>473</v>
      </c>
      <c r="I183">
        <v>59836926</v>
      </c>
      <c r="J183" t="s">
        <v>14</v>
      </c>
      <c r="K183" t="s">
        <v>17</v>
      </c>
      <c r="L183" s="1">
        <v>23400000</v>
      </c>
      <c r="M183" s="1">
        <v>23400000</v>
      </c>
      <c r="N183" t="s">
        <v>704</v>
      </c>
      <c r="O183" s="1">
        <f t="shared" si="2"/>
        <v>0</v>
      </c>
    </row>
    <row r="184" spans="1:15" x14ac:dyDescent="0.25">
      <c r="A184" t="s">
        <v>474</v>
      </c>
      <c r="B184" t="s">
        <v>13</v>
      </c>
      <c r="C184">
        <v>45908</v>
      </c>
      <c r="D184">
        <v>46022</v>
      </c>
      <c r="E184" t="s">
        <v>710</v>
      </c>
      <c r="F184" t="s">
        <v>14</v>
      </c>
      <c r="G184">
        <v>80765093</v>
      </c>
      <c r="H184" t="s">
        <v>20</v>
      </c>
      <c r="I184">
        <v>59836926</v>
      </c>
      <c r="J184" t="s">
        <v>14</v>
      </c>
      <c r="K184" t="s">
        <v>17</v>
      </c>
      <c r="L184" s="1">
        <v>31200000</v>
      </c>
      <c r="M184" s="1">
        <v>31200000</v>
      </c>
      <c r="N184" t="s">
        <v>704</v>
      </c>
      <c r="O184" s="1">
        <f t="shared" si="2"/>
        <v>0</v>
      </c>
    </row>
    <row r="185" spans="1:15" x14ac:dyDescent="0.25">
      <c r="A185" t="s">
        <v>475</v>
      </c>
      <c r="B185" t="s">
        <v>13</v>
      </c>
      <c r="C185">
        <v>45904</v>
      </c>
      <c r="D185">
        <v>46022</v>
      </c>
      <c r="E185" t="s">
        <v>708</v>
      </c>
      <c r="F185" t="s">
        <v>14</v>
      </c>
      <c r="G185">
        <v>1085269090</v>
      </c>
      <c r="H185" t="s">
        <v>52</v>
      </c>
      <c r="I185">
        <v>98333941</v>
      </c>
      <c r="J185" t="s">
        <v>14</v>
      </c>
      <c r="K185" t="s">
        <v>15</v>
      </c>
      <c r="L185" s="1">
        <v>12600000</v>
      </c>
      <c r="M185" s="1">
        <v>12600000</v>
      </c>
      <c r="N185" t="s">
        <v>704</v>
      </c>
      <c r="O185" s="1">
        <f t="shared" si="2"/>
        <v>0</v>
      </c>
    </row>
    <row r="186" spans="1:15" x14ac:dyDescent="0.25">
      <c r="A186" t="s">
        <v>476</v>
      </c>
      <c r="B186" t="s">
        <v>13</v>
      </c>
      <c r="C186">
        <v>45910</v>
      </c>
      <c r="D186">
        <v>46022</v>
      </c>
      <c r="E186" t="s">
        <v>719</v>
      </c>
      <c r="F186" t="s">
        <v>14</v>
      </c>
      <c r="G186">
        <v>97470681</v>
      </c>
      <c r="H186" t="s">
        <v>55</v>
      </c>
      <c r="I186">
        <v>98333941</v>
      </c>
      <c r="J186" t="s">
        <v>14</v>
      </c>
      <c r="K186" t="s">
        <v>15</v>
      </c>
      <c r="L186" s="1">
        <v>25200000</v>
      </c>
      <c r="M186" s="1">
        <v>25200000</v>
      </c>
      <c r="N186" t="s">
        <v>704</v>
      </c>
      <c r="O186" s="1">
        <f t="shared" si="2"/>
        <v>0</v>
      </c>
    </row>
    <row r="187" spans="1:15" x14ac:dyDescent="0.25">
      <c r="A187" t="s">
        <v>477</v>
      </c>
      <c r="B187" t="s">
        <v>13</v>
      </c>
      <c r="C187">
        <v>45936</v>
      </c>
      <c r="D187">
        <v>46022</v>
      </c>
      <c r="E187" t="s">
        <v>731</v>
      </c>
      <c r="F187" t="s">
        <v>14</v>
      </c>
      <c r="G187">
        <v>1004190984</v>
      </c>
      <c r="H187" t="s">
        <v>478</v>
      </c>
      <c r="I187">
        <v>98333941</v>
      </c>
      <c r="J187" t="s">
        <v>14</v>
      </c>
      <c r="K187" t="s">
        <v>15</v>
      </c>
      <c r="L187" s="1">
        <v>9450000</v>
      </c>
      <c r="M187" s="1">
        <v>9450000</v>
      </c>
      <c r="N187" t="s">
        <v>704</v>
      </c>
      <c r="O187" s="1">
        <f t="shared" si="2"/>
        <v>0</v>
      </c>
    </row>
    <row r="188" spans="1:15" x14ac:dyDescent="0.25">
      <c r="A188" t="s">
        <v>479</v>
      </c>
      <c r="B188" t="s">
        <v>13</v>
      </c>
      <c r="C188">
        <v>45903</v>
      </c>
      <c r="D188">
        <v>46022</v>
      </c>
      <c r="E188" t="s">
        <v>790</v>
      </c>
      <c r="F188" t="s">
        <v>14</v>
      </c>
      <c r="G188">
        <v>59824313</v>
      </c>
      <c r="H188" t="s">
        <v>480</v>
      </c>
      <c r="I188">
        <v>98390119</v>
      </c>
      <c r="J188" t="s">
        <v>14</v>
      </c>
      <c r="K188" t="s">
        <v>63</v>
      </c>
      <c r="L188" s="1">
        <v>18920000</v>
      </c>
      <c r="M188" s="1">
        <v>18920000</v>
      </c>
      <c r="N188" t="s">
        <v>704</v>
      </c>
      <c r="O188" s="1">
        <f t="shared" si="2"/>
        <v>0</v>
      </c>
    </row>
    <row r="189" spans="1:15" x14ac:dyDescent="0.25">
      <c r="A189" t="s">
        <v>483</v>
      </c>
      <c r="B189" t="s">
        <v>13</v>
      </c>
      <c r="C189">
        <v>45908</v>
      </c>
      <c r="D189">
        <v>46022</v>
      </c>
      <c r="E189" t="s">
        <v>716</v>
      </c>
      <c r="F189" t="s">
        <v>14</v>
      </c>
      <c r="G189">
        <v>1193224810</v>
      </c>
      <c r="H189" t="s">
        <v>31</v>
      </c>
      <c r="I189">
        <v>98333941</v>
      </c>
      <c r="J189" t="s">
        <v>14</v>
      </c>
      <c r="K189" t="s">
        <v>15</v>
      </c>
      <c r="L189" s="1">
        <v>12600000</v>
      </c>
      <c r="M189" s="1">
        <v>12600000</v>
      </c>
      <c r="N189" t="s">
        <v>704</v>
      </c>
      <c r="O189" s="1">
        <f t="shared" si="2"/>
        <v>0</v>
      </c>
    </row>
    <row r="190" spans="1:15" x14ac:dyDescent="0.25">
      <c r="A190" t="s">
        <v>484</v>
      </c>
      <c r="B190" t="s">
        <v>13</v>
      </c>
      <c r="C190">
        <v>45946</v>
      </c>
      <c r="D190">
        <v>46022</v>
      </c>
      <c r="E190" t="s">
        <v>764</v>
      </c>
      <c r="F190" t="s">
        <v>14</v>
      </c>
      <c r="G190">
        <v>1193405962</v>
      </c>
      <c r="H190" t="s">
        <v>485</v>
      </c>
      <c r="I190">
        <v>59836926</v>
      </c>
      <c r="J190" t="s">
        <v>14</v>
      </c>
      <c r="K190" t="s">
        <v>17</v>
      </c>
      <c r="L190" s="1">
        <v>7875000</v>
      </c>
      <c r="M190" s="1">
        <v>7875000</v>
      </c>
      <c r="N190" t="s">
        <v>704</v>
      </c>
      <c r="O190" s="1">
        <f t="shared" si="2"/>
        <v>0</v>
      </c>
    </row>
    <row r="191" spans="1:15" x14ac:dyDescent="0.25">
      <c r="A191" t="s">
        <v>486</v>
      </c>
      <c r="B191" t="s">
        <v>13</v>
      </c>
      <c r="C191">
        <v>45911</v>
      </c>
      <c r="D191">
        <v>46022</v>
      </c>
      <c r="E191" t="s">
        <v>706</v>
      </c>
      <c r="F191" t="s">
        <v>14</v>
      </c>
      <c r="G191">
        <v>1005829176</v>
      </c>
      <c r="H191" t="s">
        <v>487</v>
      </c>
      <c r="I191">
        <v>59836926</v>
      </c>
      <c r="J191" t="s">
        <v>14</v>
      </c>
      <c r="K191" t="s">
        <v>17</v>
      </c>
      <c r="L191" s="1">
        <v>18920000</v>
      </c>
      <c r="M191" s="1">
        <v>18920000</v>
      </c>
      <c r="N191" t="s">
        <v>704</v>
      </c>
      <c r="O191" s="1">
        <f t="shared" si="2"/>
        <v>0</v>
      </c>
    </row>
    <row r="192" spans="1:15" x14ac:dyDescent="0.25">
      <c r="A192" t="s">
        <v>490</v>
      </c>
      <c r="B192" t="s">
        <v>13</v>
      </c>
      <c r="C192">
        <v>45966</v>
      </c>
      <c r="D192">
        <v>46022</v>
      </c>
      <c r="E192" t="s">
        <v>724</v>
      </c>
      <c r="F192" t="s">
        <v>14</v>
      </c>
      <c r="G192">
        <v>27091114</v>
      </c>
      <c r="H192" t="s">
        <v>80</v>
      </c>
      <c r="I192">
        <v>98390119</v>
      </c>
      <c r="J192" t="s">
        <v>14</v>
      </c>
      <c r="K192" t="s">
        <v>63</v>
      </c>
      <c r="L192" s="1">
        <v>6300000</v>
      </c>
      <c r="M192" s="1">
        <v>6300000</v>
      </c>
      <c r="N192" t="s">
        <v>704</v>
      </c>
      <c r="O192" s="1">
        <f t="shared" si="2"/>
        <v>0</v>
      </c>
    </row>
    <row r="193" spans="1:15" x14ac:dyDescent="0.25">
      <c r="A193" t="s">
        <v>491</v>
      </c>
      <c r="B193" t="s">
        <v>13</v>
      </c>
      <c r="C193">
        <v>45908</v>
      </c>
      <c r="D193">
        <v>46022</v>
      </c>
      <c r="E193" t="s">
        <v>711</v>
      </c>
      <c r="F193" t="s">
        <v>14</v>
      </c>
      <c r="G193">
        <v>1089458048</v>
      </c>
      <c r="H193" t="s">
        <v>492</v>
      </c>
      <c r="I193">
        <v>98333941</v>
      </c>
      <c r="J193" t="s">
        <v>14</v>
      </c>
      <c r="K193" t="s">
        <v>15</v>
      </c>
      <c r="L193" s="1">
        <v>12600000</v>
      </c>
      <c r="M193" s="1">
        <v>12600000</v>
      </c>
      <c r="N193" t="s">
        <v>704</v>
      </c>
      <c r="O193" s="1">
        <f t="shared" si="2"/>
        <v>0</v>
      </c>
    </row>
    <row r="194" spans="1:15" x14ac:dyDescent="0.25">
      <c r="A194" t="s">
        <v>495</v>
      </c>
      <c r="B194" t="s">
        <v>13</v>
      </c>
      <c r="C194">
        <v>45972</v>
      </c>
      <c r="D194">
        <v>46022</v>
      </c>
      <c r="E194" t="s">
        <v>793</v>
      </c>
      <c r="F194" t="s">
        <v>14</v>
      </c>
      <c r="G194">
        <v>1085287296</v>
      </c>
      <c r="H194" t="s">
        <v>496</v>
      </c>
      <c r="I194">
        <v>59836926</v>
      </c>
      <c r="J194" t="s">
        <v>14</v>
      </c>
      <c r="K194" t="s">
        <v>17</v>
      </c>
      <c r="L194" s="1">
        <v>4000000</v>
      </c>
      <c r="M194" s="1">
        <v>4000000</v>
      </c>
      <c r="N194" t="s">
        <v>704</v>
      </c>
      <c r="O194" s="1">
        <f t="shared" ref="O194:O257" si="3">M194-L194</f>
        <v>0</v>
      </c>
    </row>
    <row r="195" spans="1:15" x14ac:dyDescent="0.25">
      <c r="A195" t="s">
        <v>497</v>
      </c>
      <c r="B195" t="s">
        <v>13</v>
      </c>
      <c r="C195">
        <v>45912</v>
      </c>
      <c r="D195">
        <v>46022</v>
      </c>
      <c r="E195" t="s">
        <v>711</v>
      </c>
      <c r="F195" t="s">
        <v>14</v>
      </c>
      <c r="G195">
        <v>1085247449</v>
      </c>
      <c r="H195" t="s">
        <v>498</v>
      </c>
      <c r="I195">
        <v>98333941</v>
      </c>
      <c r="J195" t="s">
        <v>14</v>
      </c>
      <c r="K195" t="s">
        <v>15</v>
      </c>
      <c r="L195" s="1">
        <v>12600000</v>
      </c>
      <c r="M195" s="1">
        <v>12600000</v>
      </c>
      <c r="N195" t="s">
        <v>704</v>
      </c>
      <c r="O195" s="1">
        <f t="shared" si="3"/>
        <v>0</v>
      </c>
    </row>
    <row r="196" spans="1:15" x14ac:dyDescent="0.25">
      <c r="A196" t="s">
        <v>499</v>
      </c>
      <c r="B196" t="s">
        <v>13</v>
      </c>
      <c r="C196">
        <v>45905</v>
      </c>
      <c r="D196">
        <v>46022</v>
      </c>
      <c r="E196" t="s">
        <v>745</v>
      </c>
      <c r="F196" t="s">
        <v>14</v>
      </c>
      <c r="G196">
        <v>1085286476</v>
      </c>
      <c r="H196" t="s">
        <v>500</v>
      </c>
      <c r="I196">
        <v>59836926</v>
      </c>
      <c r="J196" t="s">
        <v>14</v>
      </c>
      <c r="K196" t="s">
        <v>17</v>
      </c>
      <c r="L196" s="1">
        <v>25200000</v>
      </c>
      <c r="M196" s="1">
        <v>25200000</v>
      </c>
      <c r="N196" t="s">
        <v>704</v>
      </c>
      <c r="O196" s="1">
        <f t="shared" si="3"/>
        <v>0</v>
      </c>
    </row>
    <row r="197" spans="1:15" x14ac:dyDescent="0.25">
      <c r="A197" t="s">
        <v>501</v>
      </c>
      <c r="B197" t="s">
        <v>13</v>
      </c>
      <c r="C197">
        <v>45939</v>
      </c>
      <c r="D197">
        <v>46022</v>
      </c>
      <c r="E197" t="s">
        <v>751</v>
      </c>
      <c r="F197" t="s">
        <v>14</v>
      </c>
      <c r="G197">
        <v>12990231</v>
      </c>
      <c r="H197" t="s">
        <v>502</v>
      </c>
      <c r="I197">
        <v>59836926</v>
      </c>
      <c r="J197" t="s">
        <v>14</v>
      </c>
      <c r="K197" t="s">
        <v>17</v>
      </c>
      <c r="L197" s="1">
        <v>6000000</v>
      </c>
      <c r="M197" s="1">
        <v>6000000</v>
      </c>
      <c r="N197" t="s">
        <v>704</v>
      </c>
      <c r="O197" s="1">
        <f t="shared" si="3"/>
        <v>0</v>
      </c>
    </row>
    <row r="198" spans="1:15" x14ac:dyDescent="0.25">
      <c r="A198" t="s">
        <v>505</v>
      </c>
      <c r="B198" t="s">
        <v>13</v>
      </c>
      <c r="C198">
        <v>45966</v>
      </c>
      <c r="D198">
        <v>46022</v>
      </c>
      <c r="E198" t="s">
        <v>744</v>
      </c>
      <c r="F198" t="s">
        <v>14</v>
      </c>
      <c r="G198">
        <v>13070247</v>
      </c>
      <c r="H198" t="s">
        <v>506</v>
      </c>
      <c r="I198">
        <v>98390119</v>
      </c>
      <c r="J198" t="s">
        <v>14</v>
      </c>
      <c r="K198" t="s">
        <v>63</v>
      </c>
      <c r="L198" s="1">
        <v>9460000</v>
      </c>
      <c r="M198" s="1">
        <v>9460000</v>
      </c>
      <c r="N198" t="s">
        <v>704</v>
      </c>
      <c r="O198" s="1">
        <f t="shared" si="3"/>
        <v>0</v>
      </c>
    </row>
    <row r="199" spans="1:15" x14ac:dyDescent="0.25">
      <c r="A199" t="s">
        <v>507</v>
      </c>
      <c r="B199" t="s">
        <v>13</v>
      </c>
      <c r="C199">
        <v>45939</v>
      </c>
      <c r="D199">
        <v>46022</v>
      </c>
      <c r="E199" t="s">
        <v>715</v>
      </c>
      <c r="F199" t="s">
        <v>14</v>
      </c>
      <c r="G199">
        <v>1085317085</v>
      </c>
      <c r="H199" t="s">
        <v>508</v>
      </c>
      <c r="I199">
        <v>59836926</v>
      </c>
      <c r="J199" t="s">
        <v>14</v>
      </c>
      <c r="K199" t="s">
        <v>17</v>
      </c>
      <c r="L199" s="1">
        <v>6000000</v>
      </c>
      <c r="M199" s="1">
        <v>6000000</v>
      </c>
      <c r="N199" t="s">
        <v>704</v>
      </c>
      <c r="O199" s="1">
        <f t="shared" si="3"/>
        <v>0</v>
      </c>
    </row>
    <row r="200" spans="1:15" x14ac:dyDescent="0.25">
      <c r="A200" t="s">
        <v>509</v>
      </c>
      <c r="B200" t="s">
        <v>13</v>
      </c>
      <c r="C200">
        <v>45908</v>
      </c>
      <c r="D200">
        <v>46022</v>
      </c>
      <c r="E200" t="s">
        <v>794</v>
      </c>
      <c r="F200" t="s">
        <v>14</v>
      </c>
      <c r="G200">
        <v>1087644986</v>
      </c>
      <c r="H200" t="s">
        <v>510</v>
      </c>
      <c r="I200">
        <v>98333941</v>
      </c>
      <c r="J200" t="s">
        <v>14</v>
      </c>
      <c r="K200" t="s">
        <v>15</v>
      </c>
      <c r="L200" s="1">
        <v>12600000</v>
      </c>
      <c r="M200" s="1">
        <v>12600000</v>
      </c>
      <c r="N200" t="s">
        <v>704</v>
      </c>
      <c r="O200" s="1">
        <f t="shared" si="3"/>
        <v>0</v>
      </c>
    </row>
    <row r="201" spans="1:15" x14ac:dyDescent="0.25">
      <c r="A201" t="s">
        <v>511</v>
      </c>
      <c r="B201" t="s">
        <v>13</v>
      </c>
      <c r="C201">
        <v>45908</v>
      </c>
      <c r="D201">
        <v>46022</v>
      </c>
      <c r="E201" t="s">
        <v>711</v>
      </c>
      <c r="F201" t="s">
        <v>14</v>
      </c>
      <c r="G201">
        <v>1086358836</v>
      </c>
      <c r="H201" t="s">
        <v>512</v>
      </c>
      <c r="I201">
        <v>98333941</v>
      </c>
      <c r="J201" t="s">
        <v>14</v>
      </c>
      <c r="K201" t="s">
        <v>15</v>
      </c>
      <c r="L201" s="1">
        <v>12600000</v>
      </c>
      <c r="M201" s="1">
        <v>12600000</v>
      </c>
      <c r="N201" t="s">
        <v>704</v>
      </c>
      <c r="O201" s="1">
        <f t="shared" si="3"/>
        <v>0</v>
      </c>
    </row>
    <row r="202" spans="1:15" x14ac:dyDescent="0.25">
      <c r="A202" t="s">
        <v>513</v>
      </c>
      <c r="B202" t="s">
        <v>13</v>
      </c>
      <c r="C202">
        <v>45972</v>
      </c>
      <c r="D202">
        <v>46022</v>
      </c>
      <c r="E202" t="s">
        <v>323</v>
      </c>
      <c r="F202" t="s">
        <v>14</v>
      </c>
      <c r="G202">
        <v>1233192104</v>
      </c>
      <c r="H202" t="s">
        <v>514</v>
      </c>
      <c r="I202">
        <v>59836926</v>
      </c>
      <c r="J202" t="s">
        <v>14</v>
      </c>
      <c r="K202" t="s">
        <v>17</v>
      </c>
      <c r="L202" s="1">
        <v>6300000</v>
      </c>
      <c r="M202" s="1">
        <v>6300000</v>
      </c>
      <c r="N202" t="s">
        <v>704</v>
      </c>
      <c r="O202" s="1">
        <f t="shared" si="3"/>
        <v>0</v>
      </c>
    </row>
    <row r="203" spans="1:15" x14ac:dyDescent="0.25">
      <c r="A203" t="s">
        <v>515</v>
      </c>
      <c r="B203" t="s">
        <v>13</v>
      </c>
      <c r="C203">
        <v>45908</v>
      </c>
      <c r="D203">
        <v>46022</v>
      </c>
      <c r="E203" t="s">
        <v>710</v>
      </c>
      <c r="F203" t="s">
        <v>14</v>
      </c>
      <c r="G203">
        <v>1233192708</v>
      </c>
      <c r="H203" t="s">
        <v>516</v>
      </c>
      <c r="I203">
        <v>43624414</v>
      </c>
      <c r="J203" t="s">
        <v>14</v>
      </c>
      <c r="K203" t="s">
        <v>18</v>
      </c>
      <c r="L203" s="1">
        <v>31200000</v>
      </c>
      <c r="M203" s="1">
        <v>31200000</v>
      </c>
      <c r="N203" t="s">
        <v>704</v>
      </c>
      <c r="O203" s="1">
        <f t="shared" si="3"/>
        <v>0</v>
      </c>
    </row>
    <row r="204" spans="1:15" x14ac:dyDescent="0.25">
      <c r="A204" t="s">
        <v>517</v>
      </c>
      <c r="B204" t="s">
        <v>13</v>
      </c>
      <c r="C204">
        <v>45965</v>
      </c>
      <c r="D204">
        <v>46022</v>
      </c>
      <c r="E204" t="s">
        <v>720</v>
      </c>
      <c r="F204" t="s">
        <v>14</v>
      </c>
      <c r="G204">
        <v>1085344795</v>
      </c>
      <c r="H204" t="s">
        <v>79</v>
      </c>
      <c r="I204">
        <v>43624414</v>
      </c>
      <c r="J204" t="s">
        <v>14</v>
      </c>
      <c r="K204" t="s">
        <v>18</v>
      </c>
      <c r="L204" s="1">
        <v>6300000</v>
      </c>
      <c r="M204" s="1">
        <v>6300000</v>
      </c>
      <c r="N204" t="s">
        <v>704</v>
      </c>
      <c r="O204" s="1">
        <f t="shared" si="3"/>
        <v>0</v>
      </c>
    </row>
    <row r="205" spans="1:15" x14ac:dyDescent="0.25">
      <c r="A205" t="s">
        <v>518</v>
      </c>
      <c r="B205" t="s">
        <v>13</v>
      </c>
      <c r="C205">
        <v>45908</v>
      </c>
      <c r="D205">
        <v>46022</v>
      </c>
      <c r="E205" t="s">
        <v>716</v>
      </c>
      <c r="F205" t="s">
        <v>14</v>
      </c>
      <c r="G205">
        <v>1085288636</v>
      </c>
      <c r="H205" t="s">
        <v>519</v>
      </c>
      <c r="I205">
        <v>98390119</v>
      </c>
      <c r="J205" t="s">
        <v>14</v>
      </c>
      <c r="K205" t="s">
        <v>63</v>
      </c>
      <c r="L205" s="1">
        <v>12600000</v>
      </c>
      <c r="M205" s="1">
        <v>12600000</v>
      </c>
      <c r="N205" t="s">
        <v>704</v>
      </c>
      <c r="O205" s="1">
        <f t="shared" si="3"/>
        <v>0</v>
      </c>
    </row>
    <row r="206" spans="1:15" x14ac:dyDescent="0.25">
      <c r="A206" t="s">
        <v>520</v>
      </c>
      <c r="B206" t="s">
        <v>13</v>
      </c>
      <c r="C206">
        <v>45966</v>
      </c>
      <c r="D206">
        <v>46022</v>
      </c>
      <c r="E206" t="s">
        <v>795</v>
      </c>
      <c r="F206" t="s">
        <v>14</v>
      </c>
      <c r="G206">
        <v>1010113730</v>
      </c>
      <c r="H206" t="s">
        <v>521</v>
      </c>
      <c r="I206">
        <v>43624414</v>
      </c>
      <c r="J206" t="s">
        <v>14</v>
      </c>
      <c r="K206" t="s">
        <v>18</v>
      </c>
      <c r="L206" s="1">
        <v>4000000</v>
      </c>
      <c r="M206" s="1">
        <v>4000000</v>
      </c>
      <c r="N206" t="s">
        <v>704</v>
      </c>
      <c r="O206" s="1">
        <f t="shared" si="3"/>
        <v>0</v>
      </c>
    </row>
    <row r="207" spans="1:15" x14ac:dyDescent="0.25">
      <c r="A207" t="s">
        <v>522</v>
      </c>
      <c r="B207" t="s">
        <v>13</v>
      </c>
      <c r="C207">
        <v>45944</v>
      </c>
      <c r="D207">
        <v>46022</v>
      </c>
      <c r="E207" t="s">
        <v>742</v>
      </c>
      <c r="F207" t="s">
        <v>14</v>
      </c>
      <c r="G207">
        <v>1085313195</v>
      </c>
      <c r="H207" t="s">
        <v>523</v>
      </c>
      <c r="I207">
        <v>43624414</v>
      </c>
      <c r="J207" t="s">
        <v>14</v>
      </c>
      <c r="K207" t="s">
        <v>18</v>
      </c>
      <c r="L207" s="1">
        <v>6000000</v>
      </c>
      <c r="M207" s="1">
        <v>6000000</v>
      </c>
      <c r="N207" t="s">
        <v>704</v>
      </c>
      <c r="O207" s="1">
        <f t="shared" si="3"/>
        <v>0</v>
      </c>
    </row>
    <row r="208" spans="1:15" x14ac:dyDescent="0.25">
      <c r="A208" t="s">
        <v>524</v>
      </c>
      <c r="B208" t="s">
        <v>13</v>
      </c>
      <c r="C208">
        <v>45905</v>
      </c>
      <c r="D208">
        <v>46022</v>
      </c>
      <c r="E208" t="s">
        <v>725</v>
      </c>
      <c r="F208" t="s">
        <v>14</v>
      </c>
      <c r="G208">
        <v>59651018</v>
      </c>
      <c r="H208" t="s">
        <v>525</v>
      </c>
      <c r="I208">
        <v>43624414</v>
      </c>
      <c r="J208" t="s">
        <v>14</v>
      </c>
      <c r="K208" t="s">
        <v>18</v>
      </c>
      <c r="L208" s="1">
        <v>18920000</v>
      </c>
      <c r="M208" s="1">
        <v>18920000</v>
      </c>
      <c r="N208" t="s">
        <v>704</v>
      </c>
      <c r="O208" s="1">
        <f t="shared" si="3"/>
        <v>0</v>
      </c>
    </row>
    <row r="209" spans="1:15" x14ac:dyDescent="0.25">
      <c r="A209" t="s">
        <v>526</v>
      </c>
      <c r="B209" t="s">
        <v>13</v>
      </c>
      <c r="C209">
        <v>45905</v>
      </c>
      <c r="D209">
        <v>46022</v>
      </c>
      <c r="E209" t="s">
        <v>754</v>
      </c>
      <c r="F209" t="s">
        <v>14</v>
      </c>
      <c r="G209">
        <v>1085299577</v>
      </c>
      <c r="H209" t="s">
        <v>527</v>
      </c>
      <c r="I209">
        <v>98390119</v>
      </c>
      <c r="J209" t="s">
        <v>14</v>
      </c>
      <c r="K209" t="s">
        <v>63</v>
      </c>
      <c r="L209" s="1">
        <v>25200000</v>
      </c>
      <c r="M209" s="1">
        <v>25200000</v>
      </c>
      <c r="N209" t="s">
        <v>704</v>
      </c>
      <c r="O209" s="1">
        <f t="shared" si="3"/>
        <v>0</v>
      </c>
    </row>
    <row r="210" spans="1:15" x14ac:dyDescent="0.25">
      <c r="A210" t="s">
        <v>528</v>
      </c>
      <c r="B210" t="s">
        <v>13</v>
      </c>
      <c r="C210">
        <v>45939</v>
      </c>
      <c r="D210">
        <v>46022</v>
      </c>
      <c r="E210" t="s">
        <v>715</v>
      </c>
      <c r="F210" t="s">
        <v>14</v>
      </c>
      <c r="G210">
        <v>1081052090</v>
      </c>
      <c r="H210" t="s">
        <v>529</v>
      </c>
      <c r="I210">
        <v>98333941</v>
      </c>
      <c r="J210" t="s">
        <v>14</v>
      </c>
      <c r="K210" t="s">
        <v>15</v>
      </c>
      <c r="L210" s="1">
        <v>6000000</v>
      </c>
      <c r="M210" s="1">
        <v>6000000</v>
      </c>
      <c r="N210" t="s">
        <v>704</v>
      </c>
      <c r="O210" s="1">
        <f t="shared" si="3"/>
        <v>0</v>
      </c>
    </row>
    <row r="211" spans="1:15" x14ac:dyDescent="0.25">
      <c r="A211" t="s">
        <v>532</v>
      </c>
      <c r="B211" t="s">
        <v>13</v>
      </c>
      <c r="C211">
        <v>45909</v>
      </c>
      <c r="D211">
        <v>46022</v>
      </c>
      <c r="E211" t="s">
        <v>711</v>
      </c>
      <c r="F211" t="s">
        <v>14</v>
      </c>
      <c r="G211">
        <v>1085286725</v>
      </c>
      <c r="H211" t="s">
        <v>40</v>
      </c>
      <c r="I211">
        <v>98333941</v>
      </c>
      <c r="J211" t="s">
        <v>14</v>
      </c>
      <c r="K211" t="s">
        <v>15</v>
      </c>
      <c r="L211" s="1">
        <v>12600000</v>
      </c>
      <c r="M211" s="1">
        <v>12600000</v>
      </c>
      <c r="N211" t="s">
        <v>704</v>
      </c>
      <c r="O211" s="1">
        <f t="shared" si="3"/>
        <v>0</v>
      </c>
    </row>
    <row r="212" spans="1:15" x14ac:dyDescent="0.25">
      <c r="A212" t="s">
        <v>535</v>
      </c>
      <c r="B212" t="s">
        <v>13</v>
      </c>
      <c r="C212">
        <v>45940</v>
      </c>
      <c r="D212">
        <v>46022</v>
      </c>
      <c r="E212" t="s">
        <v>797</v>
      </c>
      <c r="F212" t="s">
        <v>14</v>
      </c>
      <c r="G212">
        <v>1233190640</v>
      </c>
      <c r="H212" t="s">
        <v>536</v>
      </c>
      <c r="I212">
        <v>43624414</v>
      </c>
      <c r="J212" t="s">
        <v>14</v>
      </c>
      <c r="K212" t="s">
        <v>18</v>
      </c>
      <c r="L212" s="1">
        <v>6000000</v>
      </c>
      <c r="M212" s="1">
        <v>6000000</v>
      </c>
      <c r="N212" t="s">
        <v>704</v>
      </c>
      <c r="O212" s="1">
        <f t="shared" si="3"/>
        <v>0</v>
      </c>
    </row>
    <row r="213" spans="1:15" x14ac:dyDescent="0.25">
      <c r="A213" t="s">
        <v>537</v>
      </c>
      <c r="B213" t="s">
        <v>13</v>
      </c>
      <c r="C213">
        <v>45917</v>
      </c>
      <c r="D213">
        <v>46022</v>
      </c>
      <c r="E213" t="s">
        <v>711</v>
      </c>
      <c r="F213" t="s">
        <v>14</v>
      </c>
      <c r="G213">
        <v>1082749295</v>
      </c>
      <c r="H213" t="s">
        <v>538</v>
      </c>
      <c r="I213">
        <v>98333941</v>
      </c>
      <c r="J213" t="s">
        <v>14</v>
      </c>
      <c r="K213" t="s">
        <v>15</v>
      </c>
      <c r="L213" s="1">
        <v>11025000</v>
      </c>
      <c r="M213" s="1">
        <v>11025000</v>
      </c>
      <c r="N213" t="s">
        <v>704</v>
      </c>
      <c r="O213" s="1">
        <f t="shared" si="3"/>
        <v>0</v>
      </c>
    </row>
    <row r="214" spans="1:15" x14ac:dyDescent="0.25">
      <c r="A214" t="s">
        <v>539</v>
      </c>
      <c r="B214" t="s">
        <v>13</v>
      </c>
      <c r="C214">
        <v>45965</v>
      </c>
      <c r="D214">
        <v>46022</v>
      </c>
      <c r="E214" t="s">
        <v>798</v>
      </c>
      <c r="F214" t="s">
        <v>14</v>
      </c>
      <c r="G214">
        <v>1081274779</v>
      </c>
      <c r="H214" t="s">
        <v>540</v>
      </c>
      <c r="I214">
        <v>59836926</v>
      </c>
      <c r="J214" t="s">
        <v>14</v>
      </c>
      <c r="K214" t="s">
        <v>17</v>
      </c>
      <c r="L214" s="1">
        <v>4000000</v>
      </c>
      <c r="M214" s="1">
        <v>4000000</v>
      </c>
      <c r="N214" t="s">
        <v>704</v>
      </c>
      <c r="O214" s="1">
        <f t="shared" si="3"/>
        <v>0</v>
      </c>
    </row>
    <row r="215" spans="1:15" x14ac:dyDescent="0.25">
      <c r="A215" t="s">
        <v>543</v>
      </c>
      <c r="B215" t="s">
        <v>13</v>
      </c>
      <c r="C215">
        <v>45912</v>
      </c>
      <c r="D215">
        <v>46022</v>
      </c>
      <c r="E215" t="s">
        <v>711</v>
      </c>
      <c r="F215" t="s">
        <v>14</v>
      </c>
      <c r="G215">
        <v>1085252263</v>
      </c>
      <c r="H215" t="s">
        <v>544</v>
      </c>
      <c r="I215">
        <v>43624414</v>
      </c>
      <c r="J215" t="s">
        <v>14</v>
      </c>
      <c r="K215" t="s">
        <v>18</v>
      </c>
      <c r="L215" s="1">
        <v>12600000</v>
      </c>
      <c r="M215" s="1">
        <v>12600000</v>
      </c>
      <c r="N215" t="s">
        <v>704</v>
      </c>
      <c r="O215" s="1">
        <f t="shared" si="3"/>
        <v>0</v>
      </c>
    </row>
    <row r="216" spans="1:15" x14ac:dyDescent="0.25">
      <c r="A216" t="s">
        <v>547</v>
      </c>
      <c r="B216" t="s">
        <v>13</v>
      </c>
      <c r="C216">
        <v>45929</v>
      </c>
      <c r="D216">
        <v>46022</v>
      </c>
      <c r="E216" t="s">
        <v>800</v>
      </c>
      <c r="F216" t="s">
        <v>14</v>
      </c>
      <c r="G216">
        <v>1082748032</v>
      </c>
      <c r="H216" t="s">
        <v>548</v>
      </c>
      <c r="I216">
        <v>98333941</v>
      </c>
      <c r="J216" t="s">
        <v>14</v>
      </c>
      <c r="K216" t="s">
        <v>15</v>
      </c>
      <c r="L216" s="1">
        <v>9450000</v>
      </c>
      <c r="M216" s="1">
        <v>9450000</v>
      </c>
      <c r="N216" t="s">
        <v>704</v>
      </c>
      <c r="O216" s="1">
        <f t="shared" si="3"/>
        <v>0</v>
      </c>
    </row>
    <row r="217" spans="1:15" x14ac:dyDescent="0.25">
      <c r="A217" t="s">
        <v>551</v>
      </c>
      <c r="B217" t="s">
        <v>13</v>
      </c>
      <c r="C217">
        <v>45946</v>
      </c>
      <c r="D217">
        <v>46022</v>
      </c>
      <c r="E217" t="s">
        <v>801</v>
      </c>
      <c r="F217" t="s">
        <v>14</v>
      </c>
      <c r="G217">
        <v>1086329800</v>
      </c>
      <c r="H217" t="s">
        <v>552</v>
      </c>
      <c r="I217">
        <v>59836926</v>
      </c>
      <c r="J217" t="s">
        <v>14</v>
      </c>
      <c r="K217" t="s">
        <v>17</v>
      </c>
      <c r="L217" s="1">
        <v>7875000</v>
      </c>
      <c r="M217" s="1">
        <v>7875000</v>
      </c>
      <c r="N217" t="s">
        <v>704</v>
      </c>
      <c r="O217" s="1">
        <f t="shared" si="3"/>
        <v>0</v>
      </c>
    </row>
    <row r="218" spans="1:15" x14ac:dyDescent="0.25">
      <c r="A218" t="s">
        <v>553</v>
      </c>
      <c r="B218" t="s">
        <v>13</v>
      </c>
      <c r="C218">
        <v>45904</v>
      </c>
      <c r="D218">
        <v>46022</v>
      </c>
      <c r="E218" t="s">
        <v>777</v>
      </c>
      <c r="F218" t="s">
        <v>14</v>
      </c>
      <c r="G218">
        <v>1085296068</v>
      </c>
      <c r="H218" t="s">
        <v>554</v>
      </c>
      <c r="I218">
        <v>98333941</v>
      </c>
      <c r="J218" t="s">
        <v>14</v>
      </c>
      <c r="K218" t="s">
        <v>15</v>
      </c>
      <c r="L218" s="1">
        <v>25200000</v>
      </c>
      <c r="M218" s="1">
        <v>25200000</v>
      </c>
      <c r="N218" t="s">
        <v>704</v>
      </c>
      <c r="O218" s="1">
        <f t="shared" si="3"/>
        <v>0</v>
      </c>
    </row>
    <row r="219" spans="1:15" x14ac:dyDescent="0.25">
      <c r="A219" t="s">
        <v>557</v>
      </c>
      <c r="B219" t="s">
        <v>13</v>
      </c>
      <c r="C219">
        <v>45903</v>
      </c>
      <c r="D219">
        <v>46022</v>
      </c>
      <c r="E219" t="s">
        <v>710</v>
      </c>
      <c r="F219" t="s">
        <v>14</v>
      </c>
      <c r="G219">
        <v>1085334279</v>
      </c>
      <c r="H219" t="s">
        <v>558</v>
      </c>
      <c r="I219">
        <v>98333941</v>
      </c>
      <c r="J219" t="s">
        <v>14</v>
      </c>
      <c r="K219" t="s">
        <v>15</v>
      </c>
      <c r="L219" s="1">
        <v>31200000</v>
      </c>
      <c r="M219" s="1">
        <v>31200000</v>
      </c>
      <c r="N219" t="s">
        <v>704</v>
      </c>
      <c r="O219" s="1">
        <f t="shared" si="3"/>
        <v>0</v>
      </c>
    </row>
    <row r="220" spans="1:15" x14ac:dyDescent="0.25">
      <c r="A220" t="s">
        <v>559</v>
      </c>
      <c r="B220" t="s">
        <v>13</v>
      </c>
      <c r="C220">
        <v>45923</v>
      </c>
      <c r="D220">
        <v>46022</v>
      </c>
      <c r="E220" t="s">
        <v>716</v>
      </c>
      <c r="F220" t="s">
        <v>14</v>
      </c>
      <c r="G220">
        <v>1004726621</v>
      </c>
      <c r="H220" t="s">
        <v>560</v>
      </c>
      <c r="I220">
        <v>98390119</v>
      </c>
      <c r="J220" t="s">
        <v>14</v>
      </c>
      <c r="K220" t="s">
        <v>63</v>
      </c>
      <c r="L220" s="1">
        <v>11025000</v>
      </c>
      <c r="M220" s="1">
        <v>11025000</v>
      </c>
      <c r="N220" t="s">
        <v>704</v>
      </c>
      <c r="O220" s="1">
        <f t="shared" si="3"/>
        <v>0</v>
      </c>
    </row>
    <row r="221" spans="1:15" x14ac:dyDescent="0.25">
      <c r="A221" t="s">
        <v>561</v>
      </c>
      <c r="B221" t="s">
        <v>13</v>
      </c>
      <c r="C221">
        <v>45905</v>
      </c>
      <c r="D221">
        <v>46022</v>
      </c>
      <c r="E221" t="s">
        <v>755</v>
      </c>
      <c r="F221" t="s">
        <v>14</v>
      </c>
      <c r="G221">
        <v>1085264667</v>
      </c>
      <c r="H221" t="s">
        <v>562</v>
      </c>
      <c r="I221">
        <v>98333941</v>
      </c>
      <c r="J221" t="s">
        <v>14</v>
      </c>
      <c r="K221" t="s">
        <v>15</v>
      </c>
      <c r="L221" s="1">
        <v>18920000</v>
      </c>
      <c r="M221" s="1">
        <v>18920000</v>
      </c>
      <c r="N221" t="s">
        <v>704</v>
      </c>
      <c r="O221" s="1">
        <f t="shared" si="3"/>
        <v>0</v>
      </c>
    </row>
    <row r="222" spans="1:15" x14ac:dyDescent="0.25">
      <c r="A222" t="s">
        <v>563</v>
      </c>
      <c r="B222" t="s">
        <v>13</v>
      </c>
      <c r="C222">
        <v>45917</v>
      </c>
      <c r="D222">
        <v>46022</v>
      </c>
      <c r="E222" t="s">
        <v>802</v>
      </c>
      <c r="F222" t="s">
        <v>14</v>
      </c>
      <c r="G222">
        <v>1085275879</v>
      </c>
      <c r="H222" t="s">
        <v>59</v>
      </c>
      <c r="I222">
        <v>98390119</v>
      </c>
      <c r="J222" t="s">
        <v>14</v>
      </c>
      <c r="K222" t="s">
        <v>63</v>
      </c>
      <c r="L222" s="1">
        <v>22050000</v>
      </c>
      <c r="M222" s="1">
        <v>22050000</v>
      </c>
      <c r="N222" t="s">
        <v>704</v>
      </c>
      <c r="O222" s="1">
        <f t="shared" si="3"/>
        <v>0</v>
      </c>
    </row>
    <row r="223" spans="1:15" x14ac:dyDescent="0.25">
      <c r="A223" t="s">
        <v>564</v>
      </c>
      <c r="B223" t="s">
        <v>13</v>
      </c>
      <c r="C223">
        <v>45905</v>
      </c>
      <c r="D223">
        <v>46022</v>
      </c>
      <c r="E223" t="s">
        <v>749</v>
      </c>
      <c r="F223" t="s">
        <v>14</v>
      </c>
      <c r="G223">
        <v>1088734182</v>
      </c>
      <c r="H223" t="s">
        <v>565</v>
      </c>
      <c r="I223">
        <v>98333941</v>
      </c>
      <c r="J223" t="s">
        <v>14</v>
      </c>
      <c r="K223" t="s">
        <v>15</v>
      </c>
      <c r="L223" s="1">
        <v>31200000</v>
      </c>
      <c r="M223" s="1">
        <v>31200000</v>
      </c>
      <c r="N223" t="s">
        <v>704</v>
      </c>
      <c r="O223" s="1">
        <f t="shared" si="3"/>
        <v>0</v>
      </c>
    </row>
    <row r="224" spans="1:15" x14ac:dyDescent="0.25">
      <c r="A224" t="s">
        <v>568</v>
      </c>
      <c r="B224" t="s">
        <v>13</v>
      </c>
      <c r="C224">
        <v>45908</v>
      </c>
      <c r="D224">
        <v>46022</v>
      </c>
      <c r="E224" t="s">
        <v>803</v>
      </c>
      <c r="F224" t="s">
        <v>14</v>
      </c>
      <c r="G224">
        <v>1085343783</v>
      </c>
      <c r="H224" t="s">
        <v>19</v>
      </c>
      <c r="I224">
        <v>59836926</v>
      </c>
      <c r="J224" t="s">
        <v>14</v>
      </c>
      <c r="K224" t="s">
        <v>17</v>
      </c>
      <c r="L224" s="1">
        <v>18920000</v>
      </c>
      <c r="M224" s="1">
        <v>18920000</v>
      </c>
      <c r="N224" t="s">
        <v>704</v>
      </c>
      <c r="O224" s="1">
        <f t="shared" si="3"/>
        <v>0</v>
      </c>
    </row>
    <row r="225" spans="1:15" x14ac:dyDescent="0.25">
      <c r="A225" t="s">
        <v>569</v>
      </c>
      <c r="B225" t="s">
        <v>13</v>
      </c>
      <c r="C225">
        <v>45967</v>
      </c>
      <c r="D225">
        <v>46022</v>
      </c>
      <c r="E225" t="s">
        <v>804</v>
      </c>
      <c r="F225" t="s">
        <v>14</v>
      </c>
      <c r="G225">
        <v>1085307962</v>
      </c>
      <c r="H225" t="s">
        <v>570</v>
      </c>
      <c r="I225">
        <v>59836926</v>
      </c>
      <c r="J225" t="s">
        <v>14</v>
      </c>
      <c r="K225" t="s">
        <v>17</v>
      </c>
      <c r="L225" s="1">
        <v>15600000</v>
      </c>
      <c r="M225" s="1">
        <v>15600000</v>
      </c>
      <c r="N225" t="s">
        <v>704</v>
      </c>
      <c r="O225" s="1">
        <f t="shared" si="3"/>
        <v>0</v>
      </c>
    </row>
    <row r="226" spans="1:15" x14ac:dyDescent="0.25">
      <c r="A226" t="s">
        <v>571</v>
      </c>
      <c r="B226" t="s">
        <v>13</v>
      </c>
      <c r="C226">
        <v>45967</v>
      </c>
      <c r="D226">
        <v>46022</v>
      </c>
      <c r="E226" t="s">
        <v>716</v>
      </c>
      <c r="F226" t="s">
        <v>14</v>
      </c>
      <c r="G226">
        <v>1233191133</v>
      </c>
      <c r="H226" t="s">
        <v>572</v>
      </c>
      <c r="I226">
        <v>59836926</v>
      </c>
      <c r="J226" t="s">
        <v>14</v>
      </c>
      <c r="K226" t="s">
        <v>17</v>
      </c>
      <c r="L226" s="1">
        <v>6300000</v>
      </c>
      <c r="M226" s="1">
        <v>6300000</v>
      </c>
      <c r="N226" t="s">
        <v>704</v>
      </c>
      <c r="O226" s="1">
        <f t="shared" si="3"/>
        <v>0</v>
      </c>
    </row>
    <row r="227" spans="1:15" x14ac:dyDescent="0.25">
      <c r="A227" t="s">
        <v>573</v>
      </c>
      <c r="B227" t="s">
        <v>13</v>
      </c>
      <c r="C227">
        <v>45971</v>
      </c>
      <c r="D227">
        <v>46022</v>
      </c>
      <c r="E227" t="s">
        <v>722</v>
      </c>
      <c r="F227" t="s">
        <v>14</v>
      </c>
      <c r="G227">
        <v>1010141840</v>
      </c>
      <c r="H227" t="s">
        <v>574</v>
      </c>
      <c r="I227">
        <v>43624414</v>
      </c>
      <c r="J227" t="s">
        <v>14</v>
      </c>
      <c r="K227" t="s">
        <v>18</v>
      </c>
      <c r="L227" s="1">
        <v>15600000</v>
      </c>
      <c r="M227" s="1">
        <v>15600000</v>
      </c>
      <c r="N227" t="s">
        <v>704</v>
      </c>
      <c r="O227" s="1">
        <f t="shared" si="3"/>
        <v>0</v>
      </c>
    </row>
    <row r="228" spans="1:15" x14ac:dyDescent="0.25">
      <c r="A228" t="s">
        <v>575</v>
      </c>
      <c r="B228" t="s">
        <v>13</v>
      </c>
      <c r="C228">
        <v>45910</v>
      </c>
      <c r="D228">
        <v>46022</v>
      </c>
      <c r="E228" t="s">
        <v>706</v>
      </c>
      <c r="F228" t="s">
        <v>14</v>
      </c>
      <c r="G228">
        <v>1087960287</v>
      </c>
      <c r="H228" t="s">
        <v>576</v>
      </c>
      <c r="I228">
        <v>59836926</v>
      </c>
      <c r="J228" t="s">
        <v>14</v>
      </c>
      <c r="K228" t="s">
        <v>17</v>
      </c>
      <c r="L228" s="1">
        <v>18920000</v>
      </c>
      <c r="M228" s="1">
        <v>18920000</v>
      </c>
      <c r="N228" t="s">
        <v>704</v>
      </c>
      <c r="O228" s="1">
        <f t="shared" si="3"/>
        <v>0</v>
      </c>
    </row>
    <row r="229" spans="1:15" x14ac:dyDescent="0.25">
      <c r="A229" t="s">
        <v>577</v>
      </c>
      <c r="B229" t="s">
        <v>13</v>
      </c>
      <c r="C229">
        <v>45937</v>
      </c>
      <c r="D229">
        <v>46022</v>
      </c>
      <c r="E229" t="s">
        <v>805</v>
      </c>
      <c r="F229" t="s">
        <v>14</v>
      </c>
      <c r="G229">
        <v>1085317094</v>
      </c>
      <c r="H229" t="s">
        <v>578</v>
      </c>
      <c r="I229">
        <v>59836926</v>
      </c>
      <c r="J229" t="s">
        <v>14</v>
      </c>
      <c r="K229" t="s">
        <v>17</v>
      </c>
      <c r="L229" s="1">
        <v>9450000</v>
      </c>
      <c r="M229" s="1">
        <v>9450000</v>
      </c>
      <c r="N229" t="s">
        <v>704</v>
      </c>
      <c r="O229" s="1">
        <f t="shared" si="3"/>
        <v>0</v>
      </c>
    </row>
    <row r="230" spans="1:15" x14ac:dyDescent="0.25">
      <c r="A230" t="s">
        <v>579</v>
      </c>
      <c r="B230" t="s">
        <v>13</v>
      </c>
      <c r="C230">
        <v>45908</v>
      </c>
      <c r="D230">
        <v>46022</v>
      </c>
      <c r="E230" t="s">
        <v>711</v>
      </c>
      <c r="F230" t="s">
        <v>14</v>
      </c>
      <c r="G230">
        <v>1192717330</v>
      </c>
      <c r="H230" t="s">
        <v>58</v>
      </c>
      <c r="I230">
        <v>43624414</v>
      </c>
      <c r="J230" t="s">
        <v>14</v>
      </c>
      <c r="K230" t="s">
        <v>18</v>
      </c>
      <c r="L230" s="1">
        <v>12600000</v>
      </c>
      <c r="M230" s="1">
        <v>12600000</v>
      </c>
      <c r="N230" t="s">
        <v>704</v>
      </c>
      <c r="O230" s="1">
        <f t="shared" si="3"/>
        <v>0</v>
      </c>
    </row>
    <row r="231" spans="1:15" x14ac:dyDescent="0.25">
      <c r="A231" t="s">
        <v>582</v>
      </c>
      <c r="B231" t="s">
        <v>13</v>
      </c>
      <c r="C231">
        <v>45930</v>
      </c>
      <c r="D231">
        <v>46022</v>
      </c>
      <c r="E231" t="s">
        <v>744</v>
      </c>
      <c r="F231" t="s">
        <v>14</v>
      </c>
      <c r="G231">
        <v>1085313870</v>
      </c>
      <c r="H231" t="s">
        <v>87</v>
      </c>
      <c r="I231">
        <v>43624414</v>
      </c>
      <c r="J231" t="s">
        <v>14</v>
      </c>
      <c r="K231" t="s">
        <v>18</v>
      </c>
      <c r="L231" s="1">
        <v>14190000</v>
      </c>
      <c r="M231" s="1">
        <v>14190000</v>
      </c>
      <c r="N231" t="s">
        <v>704</v>
      </c>
      <c r="O231" s="1">
        <f t="shared" si="3"/>
        <v>0</v>
      </c>
    </row>
    <row r="232" spans="1:15" x14ac:dyDescent="0.25">
      <c r="A232" t="s">
        <v>583</v>
      </c>
      <c r="B232" t="s">
        <v>13</v>
      </c>
      <c r="C232">
        <v>45903</v>
      </c>
      <c r="D232">
        <v>46022</v>
      </c>
      <c r="E232" t="s">
        <v>777</v>
      </c>
      <c r="F232" t="s">
        <v>14</v>
      </c>
      <c r="G232">
        <v>59820414</v>
      </c>
      <c r="H232" t="s">
        <v>584</v>
      </c>
      <c r="I232">
        <v>43624414</v>
      </c>
      <c r="J232" t="s">
        <v>14</v>
      </c>
      <c r="K232" t="s">
        <v>18</v>
      </c>
      <c r="L232" s="1">
        <v>25200000</v>
      </c>
      <c r="M232" s="1">
        <v>25200000</v>
      </c>
      <c r="N232" t="s">
        <v>704</v>
      </c>
      <c r="O232" s="1">
        <f t="shared" si="3"/>
        <v>0</v>
      </c>
    </row>
    <row r="233" spans="1:15" x14ac:dyDescent="0.25">
      <c r="A233" t="s">
        <v>585</v>
      </c>
      <c r="B233" t="s">
        <v>13</v>
      </c>
      <c r="C233">
        <v>45940</v>
      </c>
      <c r="D233">
        <v>46022</v>
      </c>
      <c r="E233" t="s">
        <v>807</v>
      </c>
      <c r="F233" t="s">
        <v>14</v>
      </c>
      <c r="G233">
        <v>1085248939</v>
      </c>
      <c r="H233" t="s">
        <v>586</v>
      </c>
      <c r="I233">
        <v>98333941</v>
      </c>
      <c r="J233" t="s">
        <v>14</v>
      </c>
      <c r="K233" t="s">
        <v>15</v>
      </c>
      <c r="L233" s="1">
        <v>18900000</v>
      </c>
      <c r="M233" s="1">
        <v>18900000</v>
      </c>
      <c r="N233" t="s">
        <v>704</v>
      </c>
      <c r="O233" s="1">
        <f t="shared" si="3"/>
        <v>0</v>
      </c>
    </row>
    <row r="234" spans="1:15" x14ac:dyDescent="0.25">
      <c r="A234" t="s">
        <v>587</v>
      </c>
      <c r="B234" t="s">
        <v>13</v>
      </c>
      <c r="C234">
        <v>45940</v>
      </c>
      <c r="D234">
        <v>46022</v>
      </c>
      <c r="E234" t="s">
        <v>715</v>
      </c>
      <c r="F234" t="s">
        <v>14</v>
      </c>
      <c r="G234">
        <v>27086745</v>
      </c>
      <c r="H234" t="s">
        <v>588</v>
      </c>
      <c r="I234">
        <v>59836926</v>
      </c>
      <c r="J234" t="s">
        <v>14</v>
      </c>
      <c r="K234" t="s">
        <v>17</v>
      </c>
      <c r="L234" s="1">
        <v>6000000</v>
      </c>
      <c r="M234" s="1">
        <v>6000000</v>
      </c>
      <c r="N234" t="s">
        <v>704</v>
      </c>
      <c r="O234" s="1">
        <f t="shared" si="3"/>
        <v>0</v>
      </c>
    </row>
    <row r="235" spans="1:15" x14ac:dyDescent="0.25">
      <c r="A235" t="s">
        <v>589</v>
      </c>
      <c r="B235" t="s">
        <v>13</v>
      </c>
      <c r="C235">
        <v>45908</v>
      </c>
      <c r="D235">
        <v>46022</v>
      </c>
      <c r="E235" t="s">
        <v>710</v>
      </c>
      <c r="F235" t="s">
        <v>14</v>
      </c>
      <c r="G235">
        <v>1083814276</v>
      </c>
      <c r="H235" t="s">
        <v>590</v>
      </c>
      <c r="I235">
        <v>98333941</v>
      </c>
      <c r="J235" t="s">
        <v>14</v>
      </c>
      <c r="K235" t="s">
        <v>15</v>
      </c>
      <c r="L235" s="1">
        <v>31200000</v>
      </c>
      <c r="M235" s="1">
        <v>31200000</v>
      </c>
      <c r="N235" t="s">
        <v>704</v>
      </c>
      <c r="O235" s="1">
        <f t="shared" si="3"/>
        <v>0</v>
      </c>
    </row>
    <row r="236" spans="1:15" x14ac:dyDescent="0.25">
      <c r="A236" t="s">
        <v>591</v>
      </c>
      <c r="B236" t="s">
        <v>13</v>
      </c>
      <c r="C236">
        <v>45946</v>
      </c>
      <c r="D236">
        <v>46022</v>
      </c>
      <c r="E236" t="s">
        <v>784</v>
      </c>
      <c r="F236" t="s">
        <v>14</v>
      </c>
      <c r="G236">
        <v>1085335069</v>
      </c>
      <c r="H236" t="s">
        <v>592</v>
      </c>
      <c r="I236">
        <v>98390119</v>
      </c>
      <c r="J236" t="s">
        <v>14</v>
      </c>
      <c r="K236" t="s">
        <v>63</v>
      </c>
      <c r="L236" s="1">
        <v>11825000</v>
      </c>
      <c r="M236" s="1">
        <v>11825000</v>
      </c>
      <c r="N236" t="s">
        <v>704</v>
      </c>
      <c r="O236" s="1">
        <f t="shared" si="3"/>
        <v>0</v>
      </c>
    </row>
    <row r="237" spans="1:15" x14ac:dyDescent="0.25">
      <c r="A237" t="s">
        <v>593</v>
      </c>
      <c r="B237" t="s">
        <v>13</v>
      </c>
      <c r="C237">
        <v>45905</v>
      </c>
      <c r="D237">
        <v>46022</v>
      </c>
      <c r="E237" t="s">
        <v>722</v>
      </c>
      <c r="F237" t="s">
        <v>14</v>
      </c>
      <c r="G237">
        <v>1085293105</v>
      </c>
      <c r="H237" t="s">
        <v>33</v>
      </c>
      <c r="I237">
        <v>43624414</v>
      </c>
      <c r="J237" t="s">
        <v>14</v>
      </c>
      <c r="K237" t="s">
        <v>18</v>
      </c>
      <c r="L237" s="1">
        <v>31200000</v>
      </c>
      <c r="M237" s="1">
        <v>31200000</v>
      </c>
      <c r="N237" t="s">
        <v>704</v>
      </c>
      <c r="O237" s="1">
        <f t="shared" si="3"/>
        <v>0</v>
      </c>
    </row>
    <row r="238" spans="1:15" x14ac:dyDescent="0.25">
      <c r="A238" t="s">
        <v>596</v>
      </c>
      <c r="B238" t="s">
        <v>13</v>
      </c>
      <c r="C238">
        <v>45911</v>
      </c>
      <c r="D238">
        <v>46022</v>
      </c>
      <c r="E238" t="s">
        <v>719</v>
      </c>
      <c r="F238" t="s">
        <v>14</v>
      </c>
      <c r="G238">
        <v>59825948</v>
      </c>
      <c r="H238" t="s">
        <v>34</v>
      </c>
      <c r="I238">
        <v>43624414</v>
      </c>
      <c r="J238" t="s">
        <v>14</v>
      </c>
      <c r="K238" t="s">
        <v>18</v>
      </c>
      <c r="L238" s="1">
        <v>25200000</v>
      </c>
      <c r="M238" s="1">
        <v>25200000</v>
      </c>
      <c r="N238" t="s">
        <v>704</v>
      </c>
      <c r="O238" s="1">
        <f t="shared" si="3"/>
        <v>0</v>
      </c>
    </row>
    <row r="239" spans="1:15" x14ac:dyDescent="0.25">
      <c r="A239" t="s">
        <v>597</v>
      </c>
      <c r="B239" t="s">
        <v>13</v>
      </c>
      <c r="C239">
        <v>45922</v>
      </c>
      <c r="D239">
        <v>46022</v>
      </c>
      <c r="E239" t="s">
        <v>720</v>
      </c>
      <c r="F239" t="s">
        <v>14</v>
      </c>
      <c r="G239">
        <v>1085323163</v>
      </c>
      <c r="H239" t="s">
        <v>598</v>
      </c>
      <c r="I239">
        <v>98390119</v>
      </c>
      <c r="J239" t="s">
        <v>14</v>
      </c>
      <c r="K239" t="s">
        <v>63</v>
      </c>
      <c r="L239" s="1">
        <v>11025000</v>
      </c>
      <c r="M239" s="1">
        <v>11025000</v>
      </c>
      <c r="N239" t="s">
        <v>704</v>
      </c>
      <c r="O239" s="1">
        <f t="shared" si="3"/>
        <v>0</v>
      </c>
    </row>
    <row r="240" spans="1:15" x14ac:dyDescent="0.25">
      <c r="A240" t="s">
        <v>599</v>
      </c>
      <c r="B240" t="s">
        <v>13</v>
      </c>
      <c r="C240">
        <v>45908</v>
      </c>
      <c r="D240">
        <v>46022</v>
      </c>
      <c r="E240" t="s">
        <v>711</v>
      </c>
      <c r="F240" t="s">
        <v>14</v>
      </c>
      <c r="G240">
        <v>1085343154</v>
      </c>
      <c r="H240" t="s">
        <v>600</v>
      </c>
      <c r="I240">
        <v>59836926</v>
      </c>
      <c r="J240" t="s">
        <v>14</v>
      </c>
      <c r="K240" t="s">
        <v>17</v>
      </c>
      <c r="L240" s="1">
        <v>12600000</v>
      </c>
      <c r="M240" s="1">
        <v>12600000</v>
      </c>
      <c r="N240" t="s">
        <v>704</v>
      </c>
      <c r="O240" s="1">
        <f t="shared" si="3"/>
        <v>0</v>
      </c>
    </row>
    <row r="241" spans="1:15" x14ac:dyDescent="0.25">
      <c r="A241" t="s">
        <v>605</v>
      </c>
      <c r="B241" t="s">
        <v>13</v>
      </c>
      <c r="C241">
        <v>45915</v>
      </c>
      <c r="D241">
        <v>46022</v>
      </c>
      <c r="E241" t="s">
        <v>711</v>
      </c>
      <c r="F241" t="s">
        <v>14</v>
      </c>
      <c r="G241">
        <v>59311295</v>
      </c>
      <c r="H241" t="s">
        <v>606</v>
      </c>
      <c r="I241">
        <v>43624414</v>
      </c>
      <c r="J241" t="s">
        <v>14</v>
      </c>
      <c r="K241" t="s">
        <v>18</v>
      </c>
      <c r="L241" s="1">
        <v>12600000</v>
      </c>
      <c r="M241" s="1">
        <v>12600000</v>
      </c>
      <c r="N241" t="s">
        <v>704</v>
      </c>
      <c r="O241" s="1">
        <f t="shared" si="3"/>
        <v>0</v>
      </c>
    </row>
    <row r="242" spans="1:15" x14ac:dyDescent="0.25">
      <c r="A242" t="s">
        <v>607</v>
      </c>
      <c r="B242" t="s">
        <v>13</v>
      </c>
      <c r="C242">
        <v>45923</v>
      </c>
      <c r="D242">
        <v>46022</v>
      </c>
      <c r="E242" t="s">
        <v>745</v>
      </c>
      <c r="F242" t="s">
        <v>14</v>
      </c>
      <c r="G242">
        <v>27456421</v>
      </c>
      <c r="H242" t="s">
        <v>608</v>
      </c>
      <c r="I242">
        <v>98390119</v>
      </c>
      <c r="J242" t="s">
        <v>14</v>
      </c>
      <c r="K242" t="s">
        <v>63</v>
      </c>
      <c r="L242" s="1">
        <v>22050000</v>
      </c>
      <c r="M242" s="1">
        <v>22050000</v>
      </c>
      <c r="N242" t="s">
        <v>704</v>
      </c>
      <c r="O242" s="1">
        <f t="shared" si="3"/>
        <v>0</v>
      </c>
    </row>
    <row r="243" spans="1:15" x14ac:dyDescent="0.25">
      <c r="A243" t="s">
        <v>609</v>
      </c>
      <c r="B243" t="s">
        <v>13</v>
      </c>
      <c r="C243">
        <v>45966</v>
      </c>
      <c r="D243">
        <v>46022</v>
      </c>
      <c r="E243" t="s">
        <v>716</v>
      </c>
      <c r="F243" t="s">
        <v>14</v>
      </c>
      <c r="G243">
        <v>1085325325</v>
      </c>
      <c r="H243" t="s">
        <v>610</v>
      </c>
      <c r="I243">
        <v>43624414</v>
      </c>
      <c r="J243" t="s">
        <v>14</v>
      </c>
      <c r="K243" t="s">
        <v>18</v>
      </c>
      <c r="L243" s="1">
        <v>6300000</v>
      </c>
      <c r="M243" s="1">
        <v>6300000</v>
      </c>
      <c r="N243" t="s">
        <v>704</v>
      </c>
      <c r="O243" s="1">
        <f t="shared" si="3"/>
        <v>0</v>
      </c>
    </row>
    <row r="244" spans="1:15" x14ac:dyDescent="0.25">
      <c r="A244" t="s">
        <v>611</v>
      </c>
      <c r="B244" t="s">
        <v>13</v>
      </c>
      <c r="C244">
        <v>45939</v>
      </c>
      <c r="D244">
        <v>46022</v>
      </c>
      <c r="E244" t="s">
        <v>721</v>
      </c>
      <c r="F244" t="s">
        <v>14</v>
      </c>
      <c r="G244">
        <v>36933095</v>
      </c>
      <c r="H244" t="s">
        <v>612</v>
      </c>
      <c r="I244">
        <v>98333941</v>
      </c>
      <c r="J244" t="s">
        <v>14</v>
      </c>
      <c r="K244" t="s">
        <v>15</v>
      </c>
      <c r="L244" s="1">
        <v>6000000</v>
      </c>
      <c r="M244" s="1">
        <v>6000000</v>
      </c>
      <c r="N244" t="s">
        <v>704</v>
      </c>
      <c r="O244" s="1">
        <f t="shared" si="3"/>
        <v>0</v>
      </c>
    </row>
    <row r="245" spans="1:15" x14ac:dyDescent="0.25">
      <c r="A245" t="s">
        <v>613</v>
      </c>
      <c r="B245" t="s">
        <v>13</v>
      </c>
      <c r="C245">
        <v>45940</v>
      </c>
      <c r="D245">
        <v>46022</v>
      </c>
      <c r="E245" t="s">
        <v>809</v>
      </c>
      <c r="F245" t="s">
        <v>14</v>
      </c>
      <c r="G245">
        <v>59313415</v>
      </c>
      <c r="H245" t="s">
        <v>614</v>
      </c>
      <c r="I245">
        <v>98390119</v>
      </c>
      <c r="J245" t="s">
        <v>14</v>
      </c>
      <c r="K245" t="s">
        <v>63</v>
      </c>
      <c r="L245" s="1">
        <v>23400000</v>
      </c>
      <c r="M245" s="1">
        <v>23400000</v>
      </c>
      <c r="N245" t="s">
        <v>704</v>
      </c>
      <c r="O245" s="1">
        <f t="shared" si="3"/>
        <v>0</v>
      </c>
    </row>
    <row r="246" spans="1:15" x14ac:dyDescent="0.25">
      <c r="A246" t="s">
        <v>615</v>
      </c>
      <c r="B246" t="s">
        <v>13</v>
      </c>
      <c r="C246">
        <v>45944</v>
      </c>
      <c r="D246">
        <v>46022</v>
      </c>
      <c r="E246" t="s">
        <v>810</v>
      </c>
      <c r="F246" t="s">
        <v>14</v>
      </c>
      <c r="G246">
        <v>59313273</v>
      </c>
      <c r="H246" t="s">
        <v>616</v>
      </c>
      <c r="I246">
        <v>59836926</v>
      </c>
      <c r="J246" t="s">
        <v>14</v>
      </c>
      <c r="K246" t="s">
        <v>17</v>
      </c>
      <c r="L246" s="1">
        <v>6000000</v>
      </c>
      <c r="M246" s="1">
        <v>6000000</v>
      </c>
      <c r="N246" t="s">
        <v>704</v>
      </c>
      <c r="O246" s="1">
        <f t="shared" si="3"/>
        <v>0</v>
      </c>
    </row>
    <row r="247" spans="1:15" x14ac:dyDescent="0.25">
      <c r="A247" t="s">
        <v>619</v>
      </c>
      <c r="B247" t="s">
        <v>13</v>
      </c>
      <c r="C247">
        <v>45946</v>
      </c>
      <c r="D247">
        <v>46022</v>
      </c>
      <c r="E247" t="s">
        <v>811</v>
      </c>
      <c r="F247" t="s">
        <v>14</v>
      </c>
      <c r="G247">
        <v>1088975658</v>
      </c>
      <c r="H247" t="s">
        <v>620</v>
      </c>
      <c r="I247">
        <v>59836926</v>
      </c>
      <c r="J247" t="s">
        <v>14</v>
      </c>
      <c r="K247" t="s">
        <v>17</v>
      </c>
      <c r="L247" s="1">
        <v>7875000</v>
      </c>
      <c r="M247" s="1">
        <v>7875000</v>
      </c>
      <c r="N247" t="s">
        <v>704</v>
      </c>
      <c r="O247" s="1">
        <f t="shared" si="3"/>
        <v>0</v>
      </c>
    </row>
    <row r="248" spans="1:15" x14ac:dyDescent="0.25">
      <c r="A248" t="s">
        <v>621</v>
      </c>
      <c r="B248" t="s">
        <v>13</v>
      </c>
      <c r="C248">
        <v>45919</v>
      </c>
      <c r="D248">
        <v>46022</v>
      </c>
      <c r="E248" t="s">
        <v>711</v>
      </c>
      <c r="F248" t="s">
        <v>14</v>
      </c>
      <c r="G248">
        <v>1081594639</v>
      </c>
      <c r="H248" t="s">
        <v>39</v>
      </c>
      <c r="I248">
        <v>43624414</v>
      </c>
      <c r="J248" t="s">
        <v>14</v>
      </c>
      <c r="K248" t="s">
        <v>18</v>
      </c>
      <c r="L248" s="1">
        <v>11025000</v>
      </c>
      <c r="M248" s="1">
        <v>11025000</v>
      </c>
      <c r="N248" t="s">
        <v>704</v>
      </c>
      <c r="O248" s="1">
        <f t="shared" si="3"/>
        <v>0</v>
      </c>
    </row>
    <row r="249" spans="1:15" x14ac:dyDescent="0.25">
      <c r="A249" t="s">
        <v>622</v>
      </c>
      <c r="B249" t="s">
        <v>13</v>
      </c>
      <c r="C249">
        <v>45946</v>
      </c>
      <c r="D249">
        <v>46022</v>
      </c>
      <c r="E249" t="s">
        <v>705</v>
      </c>
      <c r="F249" t="s">
        <v>14</v>
      </c>
      <c r="G249">
        <v>1137089268</v>
      </c>
      <c r="H249" t="s">
        <v>623</v>
      </c>
      <c r="I249">
        <v>59836926</v>
      </c>
      <c r="J249" t="s">
        <v>14</v>
      </c>
      <c r="K249" t="s">
        <v>17</v>
      </c>
      <c r="L249" s="1">
        <v>7875000</v>
      </c>
      <c r="M249" s="1">
        <v>7875000</v>
      </c>
      <c r="N249" t="s">
        <v>704</v>
      </c>
      <c r="O249" s="1">
        <f t="shared" si="3"/>
        <v>0</v>
      </c>
    </row>
    <row r="250" spans="1:15" x14ac:dyDescent="0.25">
      <c r="A250" t="s">
        <v>624</v>
      </c>
      <c r="B250" t="s">
        <v>13</v>
      </c>
      <c r="C250">
        <v>45972</v>
      </c>
      <c r="D250">
        <v>46022</v>
      </c>
      <c r="E250" t="s">
        <v>775</v>
      </c>
      <c r="F250" t="s">
        <v>14</v>
      </c>
      <c r="G250">
        <v>1085317833</v>
      </c>
      <c r="H250" t="s">
        <v>41</v>
      </c>
      <c r="I250">
        <v>59836926</v>
      </c>
      <c r="J250" t="s">
        <v>14</v>
      </c>
      <c r="K250" t="s">
        <v>17</v>
      </c>
      <c r="L250" s="1">
        <v>6300000</v>
      </c>
      <c r="M250" s="1">
        <v>6300000</v>
      </c>
      <c r="N250" t="s">
        <v>704</v>
      </c>
      <c r="O250" s="1">
        <f t="shared" si="3"/>
        <v>0</v>
      </c>
    </row>
    <row r="251" spans="1:15" x14ac:dyDescent="0.25">
      <c r="A251" t="s">
        <v>625</v>
      </c>
      <c r="B251" t="s">
        <v>13</v>
      </c>
      <c r="C251">
        <v>45939</v>
      </c>
      <c r="D251">
        <v>46022</v>
      </c>
      <c r="E251" t="s">
        <v>812</v>
      </c>
      <c r="F251" t="s">
        <v>14</v>
      </c>
      <c r="G251">
        <v>1085334831</v>
      </c>
      <c r="H251" t="s">
        <v>626</v>
      </c>
      <c r="I251">
        <v>98390119</v>
      </c>
      <c r="J251" t="s">
        <v>14</v>
      </c>
      <c r="K251" t="s">
        <v>63</v>
      </c>
      <c r="L251" s="1">
        <v>6000000</v>
      </c>
      <c r="M251" s="1">
        <v>6000000</v>
      </c>
      <c r="N251" t="s">
        <v>704</v>
      </c>
      <c r="O251" s="1">
        <f t="shared" si="3"/>
        <v>0</v>
      </c>
    </row>
    <row r="252" spans="1:15" x14ac:dyDescent="0.25">
      <c r="A252" t="s">
        <v>627</v>
      </c>
      <c r="B252" t="s">
        <v>13</v>
      </c>
      <c r="C252">
        <v>45918</v>
      </c>
      <c r="D252">
        <v>46022</v>
      </c>
      <c r="E252" t="s">
        <v>716</v>
      </c>
      <c r="F252" t="s">
        <v>14</v>
      </c>
      <c r="G252">
        <v>1084552048</v>
      </c>
      <c r="H252" t="s">
        <v>66</v>
      </c>
      <c r="I252">
        <v>98333941</v>
      </c>
      <c r="J252" t="s">
        <v>14</v>
      </c>
      <c r="K252" t="s">
        <v>15</v>
      </c>
      <c r="L252" s="1">
        <v>11025000</v>
      </c>
      <c r="M252" s="1">
        <v>11025000</v>
      </c>
      <c r="N252" t="s">
        <v>704</v>
      </c>
      <c r="O252" s="1">
        <f t="shared" si="3"/>
        <v>0</v>
      </c>
    </row>
    <row r="253" spans="1:15" x14ac:dyDescent="0.25">
      <c r="A253" t="s">
        <v>628</v>
      </c>
      <c r="B253" t="s">
        <v>13</v>
      </c>
      <c r="C253">
        <v>45975</v>
      </c>
      <c r="D253">
        <v>46022</v>
      </c>
      <c r="E253" t="s">
        <v>813</v>
      </c>
      <c r="F253" t="s">
        <v>14</v>
      </c>
      <c r="G253">
        <v>1193474724</v>
      </c>
      <c r="H253" t="s">
        <v>629</v>
      </c>
      <c r="I253">
        <v>98390119</v>
      </c>
      <c r="J253" t="s">
        <v>14</v>
      </c>
      <c r="K253" t="s">
        <v>63</v>
      </c>
      <c r="L253" s="1">
        <v>9450000</v>
      </c>
      <c r="M253" s="1">
        <v>9450000</v>
      </c>
      <c r="N253" t="s">
        <v>704</v>
      </c>
      <c r="O253" s="1">
        <f t="shared" si="3"/>
        <v>0</v>
      </c>
    </row>
    <row r="254" spans="1:15" x14ac:dyDescent="0.25">
      <c r="A254" t="s">
        <v>630</v>
      </c>
      <c r="B254" t="s">
        <v>13</v>
      </c>
      <c r="C254">
        <v>45905</v>
      </c>
      <c r="D254">
        <v>46022</v>
      </c>
      <c r="E254" t="s">
        <v>722</v>
      </c>
      <c r="F254" t="s">
        <v>14</v>
      </c>
      <c r="G254">
        <v>1193292339</v>
      </c>
      <c r="H254" t="s">
        <v>631</v>
      </c>
      <c r="I254">
        <v>98333941</v>
      </c>
      <c r="J254" t="s">
        <v>14</v>
      </c>
      <c r="K254" t="s">
        <v>15</v>
      </c>
      <c r="L254" s="1">
        <v>31200000</v>
      </c>
      <c r="M254" s="1">
        <v>31200000</v>
      </c>
      <c r="N254" t="s">
        <v>704</v>
      </c>
      <c r="O254" s="1">
        <f t="shared" si="3"/>
        <v>0</v>
      </c>
    </row>
    <row r="255" spans="1:15" x14ac:dyDescent="0.25">
      <c r="A255" t="s">
        <v>632</v>
      </c>
      <c r="B255" t="s">
        <v>13</v>
      </c>
      <c r="C255">
        <v>45923</v>
      </c>
      <c r="D255">
        <v>46022</v>
      </c>
      <c r="E255" t="s">
        <v>814</v>
      </c>
      <c r="F255" t="s">
        <v>14</v>
      </c>
      <c r="G255">
        <v>1004134014</v>
      </c>
      <c r="H255" t="s">
        <v>633</v>
      </c>
      <c r="I255">
        <v>43624414</v>
      </c>
      <c r="J255" t="s">
        <v>14</v>
      </c>
      <c r="K255" t="s">
        <v>18</v>
      </c>
      <c r="L255" s="1">
        <v>11025000</v>
      </c>
      <c r="M255" s="1">
        <v>11025000</v>
      </c>
      <c r="N255" t="s">
        <v>704</v>
      </c>
      <c r="O255" s="1">
        <f t="shared" si="3"/>
        <v>0</v>
      </c>
    </row>
    <row r="256" spans="1:15" x14ac:dyDescent="0.25">
      <c r="A256" t="s">
        <v>634</v>
      </c>
      <c r="B256" t="s">
        <v>13</v>
      </c>
      <c r="C256">
        <v>45966</v>
      </c>
      <c r="D256">
        <v>46022</v>
      </c>
      <c r="E256" t="s">
        <v>815</v>
      </c>
      <c r="F256" t="s">
        <v>14</v>
      </c>
      <c r="G256">
        <v>1010099104</v>
      </c>
      <c r="H256" t="s">
        <v>635</v>
      </c>
      <c r="I256">
        <v>98390119</v>
      </c>
      <c r="J256" t="s">
        <v>14</v>
      </c>
      <c r="K256" t="s">
        <v>63</v>
      </c>
      <c r="L256" s="1">
        <v>6300000</v>
      </c>
      <c r="M256" s="1">
        <v>6300000</v>
      </c>
      <c r="N256" t="s">
        <v>704</v>
      </c>
      <c r="O256" s="1">
        <f t="shared" si="3"/>
        <v>0</v>
      </c>
    </row>
    <row r="257" spans="1:15" x14ac:dyDescent="0.25">
      <c r="A257" t="s">
        <v>636</v>
      </c>
      <c r="B257" t="s">
        <v>13</v>
      </c>
      <c r="C257">
        <v>45908</v>
      </c>
      <c r="D257">
        <v>46022</v>
      </c>
      <c r="E257" t="s">
        <v>816</v>
      </c>
      <c r="F257" t="s">
        <v>14</v>
      </c>
      <c r="G257">
        <v>1081272025</v>
      </c>
      <c r="H257" t="s">
        <v>637</v>
      </c>
      <c r="I257">
        <v>59836926</v>
      </c>
      <c r="J257" t="s">
        <v>14</v>
      </c>
      <c r="K257" t="s">
        <v>17</v>
      </c>
      <c r="L257" s="1">
        <v>12600000</v>
      </c>
      <c r="M257" s="1">
        <v>12600000</v>
      </c>
      <c r="N257" t="s">
        <v>704</v>
      </c>
      <c r="O257" s="1">
        <f t="shared" si="3"/>
        <v>0</v>
      </c>
    </row>
    <row r="258" spans="1:15" x14ac:dyDescent="0.25">
      <c r="A258" t="s">
        <v>638</v>
      </c>
      <c r="B258" t="s">
        <v>13</v>
      </c>
      <c r="C258">
        <v>45919</v>
      </c>
      <c r="D258">
        <v>46022</v>
      </c>
      <c r="E258" t="s">
        <v>817</v>
      </c>
      <c r="F258" t="s">
        <v>14</v>
      </c>
      <c r="G258">
        <v>1004564013</v>
      </c>
      <c r="H258" t="s">
        <v>639</v>
      </c>
      <c r="I258">
        <v>43624414</v>
      </c>
      <c r="J258" t="s">
        <v>14</v>
      </c>
      <c r="K258" t="s">
        <v>18</v>
      </c>
      <c r="L258" s="1">
        <v>22050000</v>
      </c>
      <c r="M258" s="1">
        <v>22050000</v>
      </c>
      <c r="N258" t="s">
        <v>704</v>
      </c>
      <c r="O258" s="1">
        <f t="shared" ref="O258:O321" si="4">M258-L258</f>
        <v>0</v>
      </c>
    </row>
    <row r="259" spans="1:15" x14ac:dyDescent="0.25">
      <c r="A259" t="s">
        <v>640</v>
      </c>
      <c r="B259" t="s">
        <v>13</v>
      </c>
      <c r="C259">
        <v>45929</v>
      </c>
      <c r="D259">
        <v>46022</v>
      </c>
      <c r="E259" t="s">
        <v>818</v>
      </c>
      <c r="F259" t="s">
        <v>14</v>
      </c>
      <c r="G259">
        <v>1081572042</v>
      </c>
      <c r="H259" t="s">
        <v>641</v>
      </c>
      <c r="I259">
        <v>98390119</v>
      </c>
      <c r="J259" t="s">
        <v>14</v>
      </c>
      <c r="K259" t="s">
        <v>63</v>
      </c>
      <c r="L259" s="1">
        <v>9450000</v>
      </c>
      <c r="M259" s="1">
        <v>9450000</v>
      </c>
      <c r="N259" t="s">
        <v>704</v>
      </c>
      <c r="O259" s="1">
        <f t="shared" si="4"/>
        <v>0</v>
      </c>
    </row>
    <row r="260" spans="1:15" x14ac:dyDescent="0.25">
      <c r="A260" t="s">
        <v>642</v>
      </c>
      <c r="B260" t="s">
        <v>13</v>
      </c>
      <c r="C260">
        <v>45919</v>
      </c>
      <c r="D260">
        <v>46022</v>
      </c>
      <c r="E260" t="s">
        <v>716</v>
      </c>
      <c r="F260" t="s">
        <v>14</v>
      </c>
      <c r="G260">
        <v>1085315209</v>
      </c>
      <c r="H260" t="s">
        <v>643</v>
      </c>
      <c r="I260">
        <v>43624414</v>
      </c>
      <c r="J260" t="s">
        <v>14</v>
      </c>
      <c r="K260" t="s">
        <v>18</v>
      </c>
      <c r="L260" s="1">
        <v>11025000</v>
      </c>
      <c r="M260" s="1">
        <v>11025000</v>
      </c>
      <c r="N260" t="s">
        <v>704</v>
      </c>
      <c r="O260" s="1">
        <f t="shared" si="4"/>
        <v>0</v>
      </c>
    </row>
    <row r="261" spans="1:15" x14ac:dyDescent="0.25">
      <c r="A261" t="s">
        <v>646</v>
      </c>
      <c r="B261" t="s">
        <v>13</v>
      </c>
      <c r="C261">
        <v>45967</v>
      </c>
      <c r="D261">
        <v>46022</v>
      </c>
      <c r="E261" t="s">
        <v>748</v>
      </c>
      <c r="F261" t="s">
        <v>14</v>
      </c>
      <c r="G261">
        <v>1085327836</v>
      </c>
      <c r="H261" t="s">
        <v>77</v>
      </c>
      <c r="I261">
        <v>43624414</v>
      </c>
      <c r="J261" t="s">
        <v>14</v>
      </c>
      <c r="K261" t="s">
        <v>18</v>
      </c>
      <c r="L261" s="1">
        <v>4000000</v>
      </c>
      <c r="M261" s="1">
        <v>4000000</v>
      </c>
      <c r="N261" t="s">
        <v>704</v>
      </c>
      <c r="O261" s="1">
        <f t="shared" si="4"/>
        <v>0</v>
      </c>
    </row>
    <row r="262" spans="1:15" x14ac:dyDescent="0.25">
      <c r="A262" t="s">
        <v>648</v>
      </c>
      <c r="B262" t="s">
        <v>13</v>
      </c>
      <c r="C262">
        <v>45966</v>
      </c>
      <c r="D262">
        <v>46022</v>
      </c>
      <c r="E262" t="s">
        <v>716</v>
      </c>
      <c r="F262" t="s">
        <v>14</v>
      </c>
      <c r="G262">
        <v>59833899</v>
      </c>
      <c r="H262" t="s">
        <v>78</v>
      </c>
      <c r="I262">
        <v>43624414</v>
      </c>
      <c r="J262" t="s">
        <v>14</v>
      </c>
      <c r="K262" t="s">
        <v>18</v>
      </c>
      <c r="L262" s="1">
        <v>6300000</v>
      </c>
      <c r="M262" s="1">
        <v>6300000</v>
      </c>
      <c r="N262" t="s">
        <v>704</v>
      </c>
      <c r="O262" s="1">
        <f t="shared" si="4"/>
        <v>0</v>
      </c>
    </row>
    <row r="263" spans="1:15" x14ac:dyDescent="0.25">
      <c r="A263" t="s">
        <v>649</v>
      </c>
      <c r="B263" t="s">
        <v>13</v>
      </c>
      <c r="C263">
        <v>45909</v>
      </c>
      <c r="D263">
        <v>46022</v>
      </c>
      <c r="E263" t="s">
        <v>711</v>
      </c>
      <c r="F263" t="s">
        <v>14</v>
      </c>
      <c r="G263">
        <v>1085335033</v>
      </c>
      <c r="H263" t="s">
        <v>650</v>
      </c>
      <c r="I263">
        <v>98333941</v>
      </c>
      <c r="J263" t="s">
        <v>14</v>
      </c>
      <c r="K263" t="s">
        <v>15</v>
      </c>
      <c r="L263" s="1">
        <v>12600000</v>
      </c>
      <c r="M263" s="1">
        <v>12600000</v>
      </c>
      <c r="N263" t="s">
        <v>704</v>
      </c>
      <c r="O263" s="1">
        <f t="shared" si="4"/>
        <v>0</v>
      </c>
    </row>
    <row r="264" spans="1:15" x14ac:dyDescent="0.25">
      <c r="A264" t="s">
        <v>653</v>
      </c>
      <c r="B264" t="s">
        <v>13</v>
      </c>
      <c r="C264">
        <v>45930</v>
      </c>
      <c r="D264">
        <v>46022</v>
      </c>
      <c r="E264" t="s">
        <v>821</v>
      </c>
      <c r="F264" t="s">
        <v>14</v>
      </c>
      <c r="G264">
        <v>37085864</v>
      </c>
      <c r="H264" t="s">
        <v>654</v>
      </c>
      <c r="I264">
        <v>59836926</v>
      </c>
      <c r="J264" t="s">
        <v>14</v>
      </c>
      <c r="K264" t="s">
        <v>17</v>
      </c>
      <c r="L264" s="1">
        <v>18900000</v>
      </c>
      <c r="M264" s="1">
        <v>18900000</v>
      </c>
      <c r="N264" t="s">
        <v>704</v>
      </c>
      <c r="O264" s="1">
        <f t="shared" si="4"/>
        <v>0</v>
      </c>
    </row>
    <row r="265" spans="1:15" x14ac:dyDescent="0.25">
      <c r="A265" t="s">
        <v>655</v>
      </c>
      <c r="B265" t="s">
        <v>13</v>
      </c>
      <c r="C265">
        <v>45938</v>
      </c>
      <c r="D265">
        <v>46022</v>
      </c>
      <c r="E265" t="s">
        <v>720</v>
      </c>
      <c r="F265" t="s">
        <v>14</v>
      </c>
      <c r="G265">
        <v>1081592742</v>
      </c>
      <c r="H265" t="s">
        <v>656</v>
      </c>
      <c r="I265">
        <v>98333941</v>
      </c>
      <c r="J265" t="s">
        <v>14</v>
      </c>
      <c r="K265" t="s">
        <v>15</v>
      </c>
      <c r="L265" s="1">
        <v>9450000</v>
      </c>
      <c r="M265" s="1">
        <v>9450000</v>
      </c>
      <c r="N265" t="s">
        <v>704</v>
      </c>
      <c r="O265" s="1">
        <f t="shared" si="4"/>
        <v>0</v>
      </c>
    </row>
    <row r="266" spans="1:15" x14ac:dyDescent="0.25">
      <c r="A266" t="s">
        <v>657</v>
      </c>
      <c r="B266" t="s">
        <v>13</v>
      </c>
      <c r="C266">
        <v>45911</v>
      </c>
      <c r="D266">
        <v>46022</v>
      </c>
      <c r="E266" t="s">
        <v>706</v>
      </c>
      <c r="F266" t="s">
        <v>14</v>
      </c>
      <c r="G266">
        <v>1086137686</v>
      </c>
      <c r="H266" t="s">
        <v>658</v>
      </c>
      <c r="I266">
        <v>98333941</v>
      </c>
      <c r="J266" t="s">
        <v>14</v>
      </c>
      <c r="K266" t="s">
        <v>15</v>
      </c>
      <c r="L266" s="1">
        <v>18920000</v>
      </c>
      <c r="M266" s="1">
        <v>18920000</v>
      </c>
      <c r="N266" t="s">
        <v>704</v>
      </c>
      <c r="O266" s="1">
        <f t="shared" si="4"/>
        <v>0</v>
      </c>
    </row>
    <row r="267" spans="1:15" x14ac:dyDescent="0.25">
      <c r="A267" t="s">
        <v>659</v>
      </c>
      <c r="B267" t="s">
        <v>13</v>
      </c>
      <c r="C267">
        <v>45965</v>
      </c>
      <c r="D267">
        <v>46022</v>
      </c>
      <c r="E267" t="s">
        <v>720</v>
      </c>
      <c r="F267" t="s">
        <v>14</v>
      </c>
      <c r="G267">
        <v>59830040</v>
      </c>
      <c r="H267" t="s">
        <v>76</v>
      </c>
      <c r="I267">
        <v>43624414</v>
      </c>
      <c r="J267" t="s">
        <v>14</v>
      </c>
      <c r="K267" t="s">
        <v>18</v>
      </c>
      <c r="L267" s="1">
        <v>6300000</v>
      </c>
      <c r="M267" s="1">
        <v>6300000</v>
      </c>
      <c r="N267" t="s">
        <v>704</v>
      </c>
      <c r="O267" s="1">
        <f t="shared" si="4"/>
        <v>0</v>
      </c>
    </row>
    <row r="268" spans="1:15" x14ac:dyDescent="0.25">
      <c r="A268" t="s">
        <v>660</v>
      </c>
      <c r="B268" t="s">
        <v>13</v>
      </c>
      <c r="C268">
        <v>45905</v>
      </c>
      <c r="D268">
        <v>46022</v>
      </c>
      <c r="E268" t="s">
        <v>716</v>
      </c>
      <c r="F268" t="s">
        <v>14</v>
      </c>
      <c r="G268">
        <v>1085315013</v>
      </c>
      <c r="H268" t="s">
        <v>60</v>
      </c>
      <c r="I268">
        <v>98390119</v>
      </c>
      <c r="J268" t="s">
        <v>14</v>
      </c>
      <c r="K268" t="s">
        <v>63</v>
      </c>
      <c r="L268" s="1">
        <v>12600000</v>
      </c>
      <c r="M268" s="1">
        <v>12600000</v>
      </c>
      <c r="N268" t="s">
        <v>704</v>
      </c>
      <c r="O268" s="1">
        <f t="shared" si="4"/>
        <v>0</v>
      </c>
    </row>
    <row r="269" spans="1:15" x14ac:dyDescent="0.25">
      <c r="A269" t="s">
        <v>661</v>
      </c>
      <c r="B269" t="s">
        <v>13</v>
      </c>
      <c r="C269">
        <v>45932</v>
      </c>
      <c r="D269">
        <v>46022</v>
      </c>
      <c r="E269" t="s">
        <v>747</v>
      </c>
      <c r="F269" t="s">
        <v>14</v>
      </c>
      <c r="G269">
        <v>1081052779</v>
      </c>
      <c r="H269" t="s">
        <v>662</v>
      </c>
      <c r="I269">
        <v>98390119</v>
      </c>
      <c r="J269" t="s">
        <v>14</v>
      </c>
      <c r="K269" t="s">
        <v>63</v>
      </c>
      <c r="L269" s="1">
        <v>9450000</v>
      </c>
      <c r="M269" s="1">
        <v>9450000</v>
      </c>
      <c r="N269" t="s">
        <v>704</v>
      </c>
      <c r="O269" s="1">
        <f t="shared" si="4"/>
        <v>0</v>
      </c>
    </row>
    <row r="270" spans="1:15" x14ac:dyDescent="0.25">
      <c r="A270" t="s">
        <v>663</v>
      </c>
      <c r="B270" t="s">
        <v>13</v>
      </c>
      <c r="C270">
        <v>45908</v>
      </c>
      <c r="D270">
        <v>46022</v>
      </c>
      <c r="E270" t="s">
        <v>711</v>
      </c>
      <c r="F270" t="s">
        <v>14</v>
      </c>
      <c r="G270">
        <v>1081272656</v>
      </c>
      <c r="H270" t="s">
        <v>664</v>
      </c>
      <c r="I270">
        <v>59836926</v>
      </c>
      <c r="J270" t="s">
        <v>14</v>
      </c>
      <c r="K270" t="s">
        <v>17</v>
      </c>
      <c r="L270" s="1">
        <v>12600000</v>
      </c>
      <c r="M270" s="1">
        <v>12600000</v>
      </c>
      <c r="N270" t="s">
        <v>704</v>
      </c>
      <c r="O270" s="1">
        <f t="shared" si="4"/>
        <v>0</v>
      </c>
    </row>
    <row r="271" spans="1:15" x14ac:dyDescent="0.25">
      <c r="A271" t="s">
        <v>667</v>
      </c>
      <c r="B271" t="s">
        <v>13</v>
      </c>
      <c r="C271">
        <v>45911</v>
      </c>
      <c r="D271">
        <v>46022</v>
      </c>
      <c r="E271" t="s">
        <v>719</v>
      </c>
      <c r="F271" t="s">
        <v>14</v>
      </c>
      <c r="G271">
        <v>1084551863</v>
      </c>
      <c r="H271" t="s">
        <v>668</v>
      </c>
      <c r="I271">
        <v>98333941</v>
      </c>
      <c r="J271" t="s">
        <v>14</v>
      </c>
      <c r="K271" t="s">
        <v>15</v>
      </c>
      <c r="L271" s="1">
        <v>25200000</v>
      </c>
      <c r="M271" s="1">
        <v>25200000</v>
      </c>
      <c r="N271" t="s">
        <v>704</v>
      </c>
      <c r="O271" s="1">
        <f t="shared" si="4"/>
        <v>0</v>
      </c>
    </row>
    <row r="272" spans="1:15" x14ac:dyDescent="0.25">
      <c r="A272" t="s">
        <v>669</v>
      </c>
      <c r="B272" t="s">
        <v>13</v>
      </c>
      <c r="C272">
        <v>45937</v>
      </c>
      <c r="D272">
        <v>46022</v>
      </c>
      <c r="E272" t="s">
        <v>724</v>
      </c>
      <c r="F272" t="s">
        <v>14</v>
      </c>
      <c r="G272">
        <v>27222016</v>
      </c>
      <c r="H272" t="s">
        <v>670</v>
      </c>
      <c r="I272">
        <v>59836926</v>
      </c>
      <c r="J272" t="s">
        <v>14</v>
      </c>
      <c r="K272" t="s">
        <v>17</v>
      </c>
      <c r="L272" s="1">
        <v>9450000</v>
      </c>
      <c r="M272" s="1">
        <v>9450000</v>
      </c>
      <c r="N272" t="s">
        <v>704</v>
      </c>
      <c r="O272" s="1">
        <f t="shared" si="4"/>
        <v>0</v>
      </c>
    </row>
    <row r="273" spans="1:16" x14ac:dyDescent="0.25">
      <c r="A273" t="s">
        <v>671</v>
      </c>
      <c r="B273" t="s">
        <v>13</v>
      </c>
      <c r="C273">
        <v>45919</v>
      </c>
      <c r="D273">
        <v>46022</v>
      </c>
      <c r="E273" t="s">
        <v>822</v>
      </c>
      <c r="F273" t="s">
        <v>14</v>
      </c>
      <c r="G273">
        <v>59837608</v>
      </c>
      <c r="H273" t="s">
        <v>47</v>
      </c>
      <c r="I273">
        <v>98333941</v>
      </c>
      <c r="J273" t="s">
        <v>14</v>
      </c>
      <c r="K273" t="s">
        <v>15</v>
      </c>
      <c r="L273" s="1">
        <v>22050000</v>
      </c>
      <c r="M273" s="1">
        <v>22050000</v>
      </c>
      <c r="N273" t="s">
        <v>704</v>
      </c>
      <c r="O273" s="1">
        <f t="shared" si="4"/>
        <v>0</v>
      </c>
    </row>
    <row r="274" spans="1:16" x14ac:dyDescent="0.25">
      <c r="A274" t="s">
        <v>672</v>
      </c>
      <c r="B274" t="s">
        <v>13</v>
      </c>
      <c r="C274">
        <v>45932</v>
      </c>
      <c r="D274">
        <v>46022</v>
      </c>
      <c r="E274" t="s">
        <v>744</v>
      </c>
      <c r="F274" t="s">
        <v>14</v>
      </c>
      <c r="G274">
        <v>1085331301</v>
      </c>
      <c r="H274" t="s">
        <v>673</v>
      </c>
      <c r="I274">
        <v>43624414</v>
      </c>
      <c r="J274" t="s">
        <v>14</v>
      </c>
      <c r="K274" t="s">
        <v>18</v>
      </c>
      <c r="L274" s="1">
        <v>14190000</v>
      </c>
      <c r="M274" s="1">
        <v>14190000</v>
      </c>
      <c r="N274" t="s">
        <v>704</v>
      </c>
      <c r="O274" s="1">
        <f t="shared" si="4"/>
        <v>0</v>
      </c>
    </row>
    <row r="275" spans="1:16" x14ac:dyDescent="0.25">
      <c r="A275" t="s">
        <v>674</v>
      </c>
      <c r="B275" t="s">
        <v>13</v>
      </c>
      <c r="C275">
        <v>45908</v>
      </c>
      <c r="D275">
        <v>46022</v>
      </c>
      <c r="E275" t="s">
        <v>711</v>
      </c>
      <c r="F275" t="s">
        <v>14</v>
      </c>
      <c r="G275">
        <v>1085300095</v>
      </c>
      <c r="H275" t="s">
        <v>27</v>
      </c>
      <c r="I275">
        <v>59836926</v>
      </c>
      <c r="J275" t="s">
        <v>14</v>
      </c>
      <c r="K275" t="s">
        <v>17</v>
      </c>
      <c r="L275" s="1">
        <v>12600000</v>
      </c>
      <c r="M275" s="1">
        <v>12600000</v>
      </c>
      <c r="N275" t="s">
        <v>704</v>
      </c>
      <c r="O275" s="1">
        <f t="shared" si="4"/>
        <v>0</v>
      </c>
    </row>
    <row r="276" spans="1:16" x14ac:dyDescent="0.25">
      <c r="A276" t="s">
        <v>675</v>
      </c>
      <c r="B276" t="s">
        <v>13</v>
      </c>
      <c r="C276">
        <v>45931</v>
      </c>
      <c r="D276">
        <v>46022</v>
      </c>
      <c r="E276" t="s">
        <v>815</v>
      </c>
      <c r="F276" t="s">
        <v>14</v>
      </c>
      <c r="G276">
        <v>1085304308</v>
      </c>
      <c r="H276" t="s">
        <v>68</v>
      </c>
      <c r="I276">
        <v>98333941</v>
      </c>
      <c r="J276" t="s">
        <v>14</v>
      </c>
      <c r="K276" t="s">
        <v>15</v>
      </c>
      <c r="L276" s="1">
        <v>9450000</v>
      </c>
      <c r="M276" s="1">
        <v>9450000</v>
      </c>
      <c r="N276" t="s">
        <v>704</v>
      </c>
      <c r="O276" s="1">
        <f t="shared" si="4"/>
        <v>0</v>
      </c>
    </row>
    <row r="277" spans="1:16" x14ac:dyDescent="0.25">
      <c r="A277" t="s">
        <v>676</v>
      </c>
      <c r="B277" t="s">
        <v>13</v>
      </c>
      <c r="C277">
        <v>45979</v>
      </c>
      <c r="D277">
        <v>46022</v>
      </c>
      <c r="E277" t="s">
        <v>775</v>
      </c>
      <c r="F277" t="s">
        <v>14</v>
      </c>
      <c r="G277">
        <v>36751255</v>
      </c>
      <c r="H277" t="s">
        <v>677</v>
      </c>
      <c r="I277">
        <v>43624414</v>
      </c>
      <c r="J277" t="s">
        <v>14</v>
      </c>
      <c r="K277" t="s">
        <v>18</v>
      </c>
      <c r="L277" s="1">
        <v>4725000</v>
      </c>
      <c r="M277" s="1">
        <v>4725000</v>
      </c>
      <c r="N277" t="s">
        <v>704</v>
      </c>
      <c r="O277" s="1">
        <f t="shared" si="4"/>
        <v>0</v>
      </c>
    </row>
    <row r="278" spans="1:16" x14ac:dyDescent="0.25">
      <c r="A278" t="s">
        <v>678</v>
      </c>
      <c r="B278" t="s">
        <v>13</v>
      </c>
      <c r="C278">
        <v>45919</v>
      </c>
      <c r="D278">
        <v>46022</v>
      </c>
      <c r="E278" t="s">
        <v>716</v>
      </c>
      <c r="F278" t="s">
        <v>14</v>
      </c>
      <c r="G278">
        <v>1085295583</v>
      </c>
      <c r="H278" t="s">
        <v>679</v>
      </c>
      <c r="I278">
        <v>98390119</v>
      </c>
      <c r="J278" t="s">
        <v>14</v>
      </c>
      <c r="K278" t="s">
        <v>63</v>
      </c>
      <c r="L278" s="1">
        <v>11025000</v>
      </c>
      <c r="M278" s="1">
        <v>11025000</v>
      </c>
      <c r="N278" t="s">
        <v>704</v>
      </c>
      <c r="O278" s="1">
        <f t="shared" si="4"/>
        <v>0</v>
      </c>
    </row>
    <row r="279" spans="1:16" x14ac:dyDescent="0.25">
      <c r="A279" t="s">
        <v>680</v>
      </c>
      <c r="B279" t="s">
        <v>13</v>
      </c>
      <c r="C279">
        <v>45904</v>
      </c>
      <c r="D279">
        <v>46022</v>
      </c>
      <c r="E279" t="s">
        <v>823</v>
      </c>
      <c r="F279" t="s">
        <v>14</v>
      </c>
      <c r="G279">
        <v>1085277976</v>
      </c>
      <c r="H279" t="s">
        <v>681</v>
      </c>
      <c r="I279">
        <v>43624414</v>
      </c>
      <c r="J279" t="s">
        <v>14</v>
      </c>
      <c r="K279" t="s">
        <v>18</v>
      </c>
      <c r="L279" s="1">
        <v>25200000</v>
      </c>
      <c r="M279" s="1">
        <v>25200000</v>
      </c>
      <c r="N279" t="s">
        <v>704</v>
      </c>
      <c r="O279" s="1">
        <f t="shared" si="4"/>
        <v>0</v>
      </c>
    </row>
    <row r="280" spans="1:16" x14ac:dyDescent="0.25">
      <c r="A280" t="s">
        <v>682</v>
      </c>
      <c r="B280" t="s">
        <v>13</v>
      </c>
      <c r="C280">
        <v>45946</v>
      </c>
      <c r="D280">
        <v>46022</v>
      </c>
      <c r="E280" t="s">
        <v>716</v>
      </c>
      <c r="F280" t="s">
        <v>14</v>
      </c>
      <c r="G280">
        <v>36950892</v>
      </c>
      <c r="H280" t="s">
        <v>683</v>
      </c>
      <c r="I280">
        <v>59836926</v>
      </c>
      <c r="J280" t="s">
        <v>14</v>
      </c>
      <c r="K280" t="s">
        <v>17</v>
      </c>
      <c r="L280" s="1">
        <v>7875000</v>
      </c>
      <c r="M280" s="1">
        <v>7875000</v>
      </c>
      <c r="N280" t="s">
        <v>704</v>
      </c>
      <c r="O280" s="1">
        <f t="shared" si="4"/>
        <v>0</v>
      </c>
    </row>
    <row r="281" spans="1:16" x14ac:dyDescent="0.25">
      <c r="A281" t="s">
        <v>684</v>
      </c>
      <c r="B281" t="s">
        <v>13</v>
      </c>
      <c r="C281">
        <v>45965</v>
      </c>
      <c r="D281">
        <v>46022</v>
      </c>
      <c r="E281" t="s">
        <v>716</v>
      </c>
      <c r="F281" t="s">
        <v>14</v>
      </c>
      <c r="G281">
        <v>1081592769</v>
      </c>
      <c r="H281" t="s">
        <v>685</v>
      </c>
      <c r="I281">
        <v>98390119</v>
      </c>
      <c r="J281" t="s">
        <v>14</v>
      </c>
      <c r="K281" t="s">
        <v>63</v>
      </c>
      <c r="L281" s="1">
        <v>6300000</v>
      </c>
      <c r="M281" s="1">
        <v>6300000</v>
      </c>
      <c r="N281" t="s">
        <v>704</v>
      </c>
      <c r="O281" s="1">
        <f t="shared" si="4"/>
        <v>0</v>
      </c>
    </row>
    <row r="282" spans="1:16" x14ac:dyDescent="0.25">
      <c r="A282" t="s">
        <v>686</v>
      </c>
      <c r="B282" t="s">
        <v>13</v>
      </c>
      <c r="C282">
        <v>45979</v>
      </c>
      <c r="D282">
        <v>46022</v>
      </c>
      <c r="E282" t="s">
        <v>775</v>
      </c>
      <c r="F282" t="s">
        <v>14</v>
      </c>
      <c r="G282">
        <v>1089243630</v>
      </c>
      <c r="H282" t="s">
        <v>687</v>
      </c>
      <c r="I282">
        <v>43624414</v>
      </c>
      <c r="J282" t="s">
        <v>14</v>
      </c>
      <c r="K282" t="s">
        <v>18</v>
      </c>
      <c r="L282" s="1">
        <v>4725000</v>
      </c>
      <c r="M282" s="1">
        <v>4725000</v>
      </c>
      <c r="N282" t="s">
        <v>704</v>
      </c>
      <c r="O282" s="1">
        <f t="shared" si="4"/>
        <v>0</v>
      </c>
    </row>
    <row r="283" spans="1:16" x14ac:dyDescent="0.25">
      <c r="A283" t="s">
        <v>690</v>
      </c>
      <c r="B283" t="s">
        <v>13</v>
      </c>
      <c r="C283">
        <v>45981</v>
      </c>
      <c r="D283">
        <v>46022</v>
      </c>
      <c r="E283" t="s">
        <v>323</v>
      </c>
      <c r="F283" t="s">
        <v>14</v>
      </c>
      <c r="G283">
        <v>1085246134</v>
      </c>
      <c r="H283" t="s">
        <v>691</v>
      </c>
      <c r="I283">
        <v>98390119</v>
      </c>
      <c r="J283" t="s">
        <v>14</v>
      </c>
      <c r="K283" t="s">
        <v>63</v>
      </c>
      <c r="L283" s="1">
        <v>9450000</v>
      </c>
      <c r="M283" s="1">
        <v>9450000</v>
      </c>
      <c r="N283" t="s">
        <v>704</v>
      </c>
      <c r="O283" s="1">
        <f t="shared" si="4"/>
        <v>0</v>
      </c>
    </row>
    <row r="284" spans="1:16" x14ac:dyDescent="0.25">
      <c r="A284" t="s">
        <v>692</v>
      </c>
      <c r="B284" t="s">
        <v>13</v>
      </c>
      <c r="C284">
        <v>45982</v>
      </c>
      <c r="D284">
        <v>46022</v>
      </c>
      <c r="E284" t="s">
        <v>775</v>
      </c>
      <c r="F284" t="s">
        <v>14</v>
      </c>
      <c r="G284">
        <v>27549932</v>
      </c>
      <c r="H284" t="s">
        <v>693</v>
      </c>
      <c r="I284">
        <v>43624414</v>
      </c>
      <c r="J284" t="s">
        <v>14</v>
      </c>
      <c r="K284" t="s">
        <v>18</v>
      </c>
      <c r="L284" s="1">
        <v>4200000</v>
      </c>
      <c r="M284" s="1">
        <v>4200000</v>
      </c>
      <c r="N284" t="s">
        <v>704</v>
      </c>
      <c r="O284" s="1">
        <f t="shared" si="4"/>
        <v>0</v>
      </c>
    </row>
    <row r="285" spans="1:16" x14ac:dyDescent="0.25">
      <c r="A285" t="s">
        <v>694</v>
      </c>
      <c r="B285" t="s">
        <v>13</v>
      </c>
      <c r="C285">
        <v>45982</v>
      </c>
      <c r="D285">
        <v>46022</v>
      </c>
      <c r="E285" t="s">
        <v>323</v>
      </c>
      <c r="F285" t="s">
        <v>14</v>
      </c>
      <c r="G285">
        <v>27436186</v>
      </c>
      <c r="H285" t="s">
        <v>695</v>
      </c>
      <c r="I285">
        <v>43624414</v>
      </c>
      <c r="J285" t="s">
        <v>14</v>
      </c>
      <c r="K285" t="s">
        <v>18</v>
      </c>
      <c r="L285" s="1">
        <v>4200000</v>
      </c>
      <c r="M285" s="1">
        <v>4200000</v>
      </c>
      <c r="N285" t="s">
        <v>704</v>
      </c>
      <c r="O285" s="1">
        <f t="shared" si="4"/>
        <v>0</v>
      </c>
    </row>
    <row r="286" spans="1:16" x14ac:dyDescent="0.25">
      <c r="A286" t="s">
        <v>699</v>
      </c>
      <c r="B286" t="s">
        <v>13</v>
      </c>
      <c r="C286">
        <v>45903</v>
      </c>
      <c r="D286">
        <v>46022</v>
      </c>
      <c r="E286" t="s">
        <v>825</v>
      </c>
      <c r="F286" t="s">
        <v>14</v>
      </c>
      <c r="G286">
        <v>1084227101</v>
      </c>
      <c r="H286" t="s">
        <v>700</v>
      </c>
      <c r="I286">
        <v>98333941</v>
      </c>
      <c r="J286" t="s">
        <v>14</v>
      </c>
      <c r="K286" t="s">
        <v>15</v>
      </c>
      <c r="L286" s="1">
        <v>18920000</v>
      </c>
      <c r="M286" s="1">
        <v>18920000</v>
      </c>
      <c r="N286" t="s">
        <v>704</v>
      </c>
      <c r="O286" s="1">
        <f t="shared" si="4"/>
        <v>0</v>
      </c>
    </row>
    <row r="287" spans="1:16" x14ac:dyDescent="0.25">
      <c r="A287" s="3" t="s">
        <v>106</v>
      </c>
      <c r="B287" s="4" t="s">
        <v>13</v>
      </c>
      <c r="C287" s="4">
        <v>45940</v>
      </c>
      <c r="D287" s="4">
        <v>46022</v>
      </c>
      <c r="E287" s="4" t="s">
        <v>714</v>
      </c>
      <c r="F287" s="4" t="s">
        <v>83</v>
      </c>
      <c r="G287" s="4">
        <v>900752343</v>
      </c>
      <c r="H287" s="4" t="s">
        <v>107</v>
      </c>
      <c r="I287" s="4">
        <v>17658216</v>
      </c>
      <c r="J287" s="4" t="s">
        <v>14</v>
      </c>
      <c r="K287" s="4" t="s">
        <v>108</v>
      </c>
      <c r="L287" s="5">
        <v>352600000</v>
      </c>
      <c r="M287" s="5">
        <v>284000000</v>
      </c>
      <c r="N287" s="4" t="s">
        <v>704</v>
      </c>
      <c r="O287" s="5">
        <f t="shared" si="4"/>
        <v>-68600000</v>
      </c>
      <c r="P287" s="2" t="s">
        <v>827</v>
      </c>
    </row>
    <row r="288" spans="1:16" x14ac:dyDescent="0.25">
      <c r="A288" s="4" t="s">
        <v>169</v>
      </c>
      <c r="B288" s="4" t="s">
        <v>13</v>
      </c>
      <c r="C288" s="4">
        <v>45940</v>
      </c>
      <c r="D288" s="4">
        <v>46022</v>
      </c>
      <c r="E288" s="4" t="s">
        <v>170</v>
      </c>
      <c r="F288" s="4" t="s">
        <v>83</v>
      </c>
      <c r="G288" s="4">
        <v>900752343</v>
      </c>
      <c r="H288" s="4" t="s">
        <v>107</v>
      </c>
      <c r="I288" s="4">
        <v>17658216</v>
      </c>
      <c r="J288" s="4" t="s">
        <v>14</v>
      </c>
      <c r="K288" s="4" t="s">
        <v>108</v>
      </c>
      <c r="L288" s="5">
        <v>350950000</v>
      </c>
      <c r="M288" s="5">
        <v>281000000</v>
      </c>
      <c r="N288" s="4" t="s">
        <v>704</v>
      </c>
      <c r="O288" s="5">
        <f t="shared" si="4"/>
        <v>-69950000</v>
      </c>
      <c r="P288" s="2" t="s">
        <v>827</v>
      </c>
    </row>
    <row r="289" spans="1:16" x14ac:dyDescent="0.25">
      <c r="A289" s="4" t="s">
        <v>317</v>
      </c>
      <c r="B289" s="4" t="s">
        <v>13</v>
      </c>
      <c r="C289" s="4">
        <v>45951</v>
      </c>
      <c r="D289" s="4">
        <v>45981</v>
      </c>
      <c r="E289" s="4" t="s">
        <v>757</v>
      </c>
      <c r="F289" s="4" t="s">
        <v>83</v>
      </c>
      <c r="G289" s="4">
        <v>901329717</v>
      </c>
      <c r="H289" s="4" t="s">
        <v>318</v>
      </c>
      <c r="I289" s="4">
        <v>36759470</v>
      </c>
      <c r="J289" s="4" t="s">
        <v>14</v>
      </c>
      <c r="K289" s="4" t="s">
        <v>319</v>
      </c>
      <c r="L289" s="5">
        <v>216656524.10000002</v>
      </c>
      <c r="M289" s="5">
        <v>144437683</v>
      </c>
      <c r="N289" s="4" t="s">
        <v>704</v>
      </c>
      <c r="O289" s="5">
        <f t="shared" si="4"/>
        <v>-72218841.100000024</v>
      </c>
      <c r="P289" s="2" t="s">
        <v>827</v>
      </c>
    </row>
    <row r="290" spans="1:16" x14ac:dyDescent="0.25">
      <c r="A290" s="4" t="s">
        <v>688</v>
      </c>
      <c r="B290" s="4" t="s">
        <v>13</v>
      </c>
      <c r="C290" s="4">
        <v>45982</v>
      </c>
      <c r="D290" s="4">
        <v>46022</v>
      </c>
      <c r="E290" s="4" t="s">
        <v>813</v>
      </c>
      <c r="F290" s="4" t="s">
        <v>14</v>
      </c>
      <c r="G290" s="4">
        <v>1086755989</v>
      </c>
      <c r="H290" s="4" t="s">
        <v>689</v>
      </c>
      <c r="I290" s="4">
        <v>43624414</v>
      </c>
      <c r="J290" s="4" t="s">
        <v>14</v>
      </c>
      <c r="K290" s="4" t="s">
        <v>18</v>
      </c>
      <c r="L290" s="5">
        <v>9450000</v>
      </c>
      <c r="M290" s="5">
        <v>4200000</v>
      </c>
      <c r="N290" s="4" t="s">
        <v>704</v>
      </c>
      <c r="O290" s="5">
        <f t="shared" si="4"/>
        <v>-5250000</v>
      </c>
      <c r="P290" s="2" t="s">
        <v>827</v>
      </c>
    </row>
    <row r="291" spans="1:16" x14ac:dyDescent="0.25">
      <c r="A291" s="6" t="s">
        <v>115</v>
      </c>
      <c r="B291" s="6" t="s">
        <v>13</v>
      </c>
      <c r="C291" s="6">
        <v>45931</v>
      </c>
      <c r="D291" s="6">
        <v>46022</v>
      </c>
      <c r="E291" s="6" t="s">
        <v>716</v>
      </c>
      <c r="F291" s="6" t="s">
        <v>14</v>
      </c>
      <c r="G291" s="6">
        <v>1004217101</v>
      </c>
      <c r="H291" s="6" t="s">
        <v>116</v>
      </c>
      <c r="I291" s="6">
        <v>98390119</v>
      </c>
      <c r="J291" s="6" t="s">
        <v>14</v>
      </c>
      <c r="K291" s="6" t="s">
        <v>63</v>
      </c>
      <c r="L291" s="7">
        <v>0</v>
      </c>
      <c r="M291" s="7">
        <v>9450000</v>
      </c>
      <c r="N291" s="6" t="s">
        <v>704</v>
      </c>
      <c r="O291" s="7">
        <f t="shared" si="4"/>
        <v>9450000</v>
      </c>
      <c r="P291" s="2" t="s">
        <v>827</v>
      </c>
    </row>
    <row r="292" spans="1:16" x14ac:dyDescent="0.25">
      <c r="A292" s="6" t="s">
        <v>127</v>
      </c>
      <c r="B292" s="6" t="s">
        <v>13</v>
      </c>
      <c r="C292" s="6">
        <v>45929</v>
      </c>
      <c r="D292" s="6">
        <v>46022</v>
      </c>
      <c r="E292" s="6" t="s">
        <v>720</v>
      </c>
      <c r="F292" s="6" t="s">
        <v>14</v>
      </c>
      <c r="G292" s="6">
        <v>1004666616</v>
      </c>
      <c r="H292" s="6" t="s">
        <v>128</v>
      </c>
      <c r="I292" s="6">
        <v>98390119</v>
      </c>
      <c r="J292" s="6" t="s">
        <v>14</v>
      </c>
      <c r="K292" s="6" t="s">
        <v>63</v>
      </c>
      <c r="L292" s="7">
        <v>0</v>
      </c>
      <c r="M292" s="7">
        <v>9450000</v>
      </c>
      <c r="N292" s="6" t="s">
        <v>704</v>
      </c>
      <c r="O292" s="7">
        <f t="shared" si="4"/>
        <v>9450000</v>
      </c>
      <c r="P292" s="2" t="s">
        <v>827</v>
      </c>
    </row>
    <row r="293" spans="1:16" x14ac:dyDescent="0.25">
      <c r="A293" s="8" t="s">
        <v>555</v>
      </c>
      <c r="B293" s="8" t="s">
        <v>13</v>
      </c>
      <c r="C293" s="8">
        <v>45944</v>
      </c>
      <c r="D293" s="8">
        <v>46022</v>
      </c>
      <c r="E293" s="8" t="s">
        <v>715</v>
      </c>
      <c r="F293" s="8" t="s">
        <v>14</v>
      </c>
      <c r="G293" s="8">
        <v>87070742</v>
      </c>
      <c r="H293" s="8" t="s">
        <v>556</v>
      </c>
      <c r="I293" s="8">
        <v>98390119</v>
      </c>
      <c r="J293" s="8" t="s">
        <v>14</v>
      </c>
      <c r="K293" s="8" t="s">
        <v>63</v>
      </c>
      <c r="L293" s="9">
        <v>2000000</v>
      </c>
      <c r="M293" s="9">
        <v>6000000</v>
      </c>
      <c r="N293" s="8" t="s">
        <v>704</v>
      </c>
      <c r="O293" s="9">
        <f t="shared" si="4"/>
        <v>4000000</v>
      </c>
      <c r="P293" s="2" t="s">
        <v>828</v>
      </c>
    </row>
    <row r="294" spans="1:16" x14ac:dyDescent="0.25">
      <c r="A294" s="8" t="s">
        <v>136</v>
      </c>
      <c r="B294" s="8" t="s">
        <v>13</v>
      </c>
      <c r="C294" s="8">
        <v>45910</v>
      </c>
      <c r="D294" s="8">
        <v>46022</v>
      </c>
      <c r="E294" s="8" t="s">
        <v>711</v>
      </c>
      <c r="F294" s="8" t="s">
        <v>14</v>
      </c>
      <c r="G294" s="8">
        <v>1086016304</v>
      </c>
      <c r="H294" s="8" t="s">
        <v>137</v>
      </c>
      <c r="I294" s="8">
        <v>98333941</v>
      </c>
      <c r="J294" s="8" t="s">
        <v>14</v>
      </c>
      <c r="K294" s="8" t="s">
        <v>15</v>
      </c>
      <c r="L294" s="9">
        <v>3150000</v>
      </c>
      <c r="M294" s="9">
        <v>12600000</v>
      </c>
      <c r="N294" s="8" t="s">
        <v>704</v>
      </c>
      <c r="O294" s="9">
        <f t="shared" si="4"/>
        <v>9450000</v>
      </c>
      <c r="P294" s="2" t="s">
        <v>828</v>
      </c>
    </row>
    <row r="295" spans="1:16" x14ac:dyDescent="0.25">
      <c r="A295" s="8" t="s">
        <v>292</v>
      </c>
      <c r="B295" s="8" t="s">
        <v>13</v>
      </c>
      <c r="C295" s="8">
        <v>45960</v>
      </c>
      <c r="D295" s="8">
        <v>46022</v>
      </c>
      <c r="E295" s="8" t="s">
        <v>720</v>
      </c>
      <c r="F295" s="8" t="s">
        <v>14</v>
      </c>
      <c r="G295" s="8">
        <v>1233191359</v>
      </c>
      <c r="H295" s="8" t="s">
        <v>293</v>
      </c>
      <c r="I295" s="8">
        <v>98390119</v>
      </c>
      <c r="J295" s="8" t="s">
        <v>14</v>
      </c>
      <c r="K295" s="8" t="s">
        <v>63</v>
      </c>
      <c r="L295" s="9">
        <v>3150000</v>
      </c>
      <c r="M295" s="9">
        <v>6300000</v>
      </c>
      <c r="N295" s="8" t="s">
        <v>704</v>
      </c>
      <c r="O295" s="9">
        <f t="shared" si="4"/>
        <v>3150000</v>
      </c>
      <c r="P295" s="2" t="s">
        <v>828</v>
      </c>
    </row>
    <row r="296" spans="1:16" x14ac:dyDescent="0.25">
      <c r="A296" s="8" t="s">
        <v>386</v>
      </c>
      <c r="B296" s="8" t="s">
        <v>13</v>
      </c>
      <c r="C296" s="8">
        <v>45950</v>
      </c>
      <c r="D296" s="8">
        <v>46015</v>
      </c>
      <c r="E296" s="8" t="s">
        <v>720</v>
      </c>
      <c r="F296" s="8" t="s">
        <v>14</v>
      </c>
      <c r="G296" s="8">
        <v>1193271854</v>
      </c>
      <c r="H296" s="8" t="s">
        <v>24</v>
      </c>
      <c r="I296" s="8">
        <v>98390119</v>
      </c>
      <c r="J296" s="8" t="s">
        <v>14</v>
      </c>
      <c r="K296" s="8" t="s">
        <v>63</v>
      </c>
      <c r="L296" s="9">
        <v>3150000</v>
      </c>
      <c r="M296" s="9">
        <v>6720000</v>
      </c>
      <c r="N296" s="8" t="s">
        <v>704</v>
      </c>
      <c r="O296" s="9">
        <f t="shared" si="4"/>
        <v>3570000</v>
      </c>
      <c r="P296" s="2" t="s">
        <v>828</v>
      </c>
    </row>
    <row r="297" spans="1:16" x14ac:dyDescent="0.25">
      <c r="A297" s="8" t="s">
        <v>665</v>
      </c>
      <c r="B297" s="8" t="s">
        <v>13</v>
      </c>
      <c r="C297" s="8">
        <v>45909</v>
      </c>
      <c r="D297" s="8">
        <v>46022</v>
      </c>
      <c r="E297" s="8" t="s">
        <v>710</v>
      </c>
      <c r="F297" s="8" t="s">
        <v>14</v>
      </c>
      <c r="G297" s="8">
        <v>1085244624</v>
      </c>
      <c r="H297" s="8" t="s">
        <v>666</v>
      </c>
      <c r="I297" s="8">
        <v>98333941</v>
      </c>
      <c r="J297" s="8" t="s">
        <v>14</v>
      </c>
      <c r="K297" s="8" t="s">
        <v>15</v>
      </c>
      <c r="L297" s="9">
        <v>3900000</v>
      </c>
      <c r="M297" s="9">
        <v>31200000</v>
      </c>
      <c r="N297" s="8" t="s">
        <v>704</v>
      </c>
      <c r="O297" s="9">
        <f t="shared" si="4"/>
        <v>27300000</v>
      </c>
      <c r="P297" s="2" t="s">
        <v>828</v>
      </c>
    </row>
    <row r="298" spans="1:16" x14ac:dyDescent="0.25">
      <c r="A298" s="6" t="s">
        <v>213</v>
      </c>
      <c r="B298" s="6" t="s">
        <v>13</v>
      </c>
      <c r="C298" s="6">
        <v>45967</v>
      </c>
      <c r="D298" s="6">
        <v>46022</v>
      </c>
      <c r="E298" s="6" t="s">
        <v>741</v>
      </c>
      <c r="F298" s="6" t="s">
        <v>14</v>
      </c>
      <c r="G298" s="6">
        <v>1085927513</v>
      </c>
      <c r="H298" s="6" t="s">
        <v>214</v>
      </c>
      <c r="I298" s="6">
        <v>59836926</v>
      </c>
      <c r="J298" s="6" t="s">
        <v>14</v>
      </c>
      <c r="K298" s="6" t="s">
        <v>17</v>
      </c>
      <c r="L298" s="7">
        <v>0</v>
      </c>
      <c r="M298" s="7">
        <v>6300000</v>
      </c>
      <c r="N298" s="6" t="s">
        <v>704</v>
      </c>
      <c r="O298" s="7">
        <f t="shared" si="4"/>
        <v>6300000</v>
      </c>
      <c r="P298" s="2" t="s">
        <v>827</v>
      </c>
    </row>
    <row r="299" spans="1:16" x14ac:dyDescent="0.25">
      <c r="A299" s="8" t="s">
        <v>541</v>
      </c>
      <c r="B299" s="8" t="s">
        <v>13</v>
      </c>
      <c r="C299" s="8">
        <v>45909</v>
      </c>
      <c r="D299" s="8">
        <v>46022</v>
      </c>
      <c r="E299" s="8" t="s">
        <v>711</v>
      </c>
      <c r="F299" s="8" t="s">
        <v>14</v>
      </c>
      <c r="G299" s="8">
        <v>36953590</v>
      </c>
      <c r="H299" s="8" t="s">
        <v>542</v>
      </c>
      <c r="I299" s="8">
        <v>98333941</v>
      </c>
      <c r="J299" s="8" t="s">
        <v>14</v>
      </c>
      <c r="K299" s="8" t="s">
        <v>15</v>
      </c>
      <c r="L299" s="9">
        <v>4200000</v>
      </c>
      <c r="M299" s="9">
        <v>12600000</v>
      </c>
      <c r="N299" s="8" t="s">
        <v>704</v>
      </c>
      <c r="O299" s="9">
        <f t="shared" si="4"/>
        <v>8400000</v>
      </c>
      <c r="P299" s="2" t="s">
        <v>828</v>
      </c>
    </row>
    <row r="300" spans="1:16" x14ac:dyDescent="0.25">
      <c r="A300" s="8" t="s">
        <v>647</v>
      </c>
      <c r="B300" s="8" t="s">
        <v>13</v>
      </c>
      <c r="C300" s="8">
        <v>45939</v>
      </c>
      <c r="D300" s="8">
        <v>46006</v>
      </c>
      <c r="E300" s="8" t="s">
        <v>819</v>
      </c>
      <c r="F300" s="8" t="s">
        <v>14</v>
      </c>
      <c r="G300" s="8">
        <v>1030606749</v>
      </c>
      <c r="H300" s="8" t="s">
        <v>86</v>
      </c>
      <c r="I300" s="8">
        <v>98390119</v>
      </c>
      <c r="J300" s="8" t="s">
        <v>14</v>
      </c>
      <c r="K300" s="8" t="s">
        <v>63</v>
      </c>
      <c r="L300" s="9">
        <v>4200000</v>
      </c>
      <c r="M300" s="9">
        <v>7875000</v>
      </c>
      <c r="N300" s="8" t="s">
        <v>704</v>
      </c>
      <c r="O300" s="9">
        <f t="shared" si="4"/>
        <v>3675000</v>
      </c>
      <c r="P300" s="2" t="s">
        <v>828</v>
      </c>
    </row>
    <row r="301" spans="1:16" x14ac:dyDescent="0.25">
      <c r="A301" s="6" t="s">
        <v>247</v>
      </c>
      <c r="B301" s="6" t="s">
        <v>13</v>
      </c>
      <c r="C301" s="6">
        <v>45908</v>
      </c>
      <c r="D301" s="6">
        <v>46022</v>
      </c>
      <c r="E301" s="6" t="s">
        <v>706</v>
      </c>
      <c r="F301" s="6" t="s">
        <v>14</v>
      </c>
      <c r="G301" s="6">
        <v>1085745772</v>
      </c>
      <c r="H301" s="6" t="s">
        <v>248</v>
      </c>
      <c r="I301" s="6">
        <v>59836926</v>
      </c>
      <c r="J301" s="6" t="s">
        <v>14</v>
      </c>
      <c r="K301" s="6" t="s">
        <v>17</v>
      </c>
      <c r="L301" s="7">
        <v>0</v>
      </c>
      <c r="M301" s="7">
        <v>18920000</v>
      </c>
      <c r="N301" s="6" t="s">
        <v>704</v>
      </c>
      <c r="O301" s="7">
        <f t="shared" si="4"/>
        <v>18920000</v>
      </c>
      <c r="P301" s="2" t="s">
        <v>827</v>
      </c>
    </row>
    <row r="302" spans="1:16" x14ac:dyDescent="0.25">
      <c r="A302" s="6" t="s">
        <v>249</v>
      </c>
      <c r="B302" s="6" t="s">
        <v>13</v>
      </c>
      <c r="C302" s="6">
        <v>45947</v>
      </c>
      <c r="D302" s="6">
        <v>46022</v>
      </c>
      <c r="E302" s="6" t="s">
        <v>250</v>
      </c>
      <c r="F302" s="6" t="s">
        <v>83</v>
      </c>
      <c r="G302" s="6">
        <v>900991717</v>
      </c>
      <c r="H302" s="6" t="s">
        <v>251</v>
      </c>
      <c r="I302" s="6">
        <v>87248313</v>
      </c>
      <c r="J302" s="6" t="s">
        <v>14</v>
      </c>
      <c r="K302" s="6" t="s">
        <v>252</v>
      </c>
      <c r="L302" s="7">
        <v>0</v>
      </c>
      <c r="M302" s="7">
        <v>5357200</v>
      </c>
      <c r="N302" s="6" t="s">
        <v>704</v>
      </c>
      <c r="O302" s="7">
        <f t="shared" si="4"/>
        <v>5357200</v>
      </c>
      <c r="P302" s="2" t="s">
        <v>827</v>
      </c>
    </row>
    <row r="303" spans="1:16" x14ac:dyDescent="0.25">
      <c r="A303" s="8" t="s">
        <v>594</v>
      </c>
      <c r="B303" s="8" t="s">
        <v>13</v>
      </c>
      <c r="C303" s="8">
        <v>45910</v>
      </c>
      <c r="D303" s="8">
        <v>46022</v>
      </c>
      <c r="E303" s="8" t="s">
        <v>706</v>
      </c>
      <c r="F303" s="8" t="s">
        <v>14</v>
      </c>
      <c r="G303" s="8">
        <v>1085333467</v>
      </c>
      <c r="H303" s="8" t="s">
        <v>595</v>
      </c>
      <c r="I303" s="8">
        <v>98333941</v>
      </c>
      <c r="J303" s="8" t="s">
        <v>14</v>
      </c>
      <c r="K303" s="8" t="s">
        <v>15</v>
      </c>
      <c r="L303" s="9">
        <v>4572333</v>
      </c>
      <c r="M303" s="9">
        <v>18920000</v>
      </c>
      <c r="N303" s="8" t="s">
        <v>704</v>
      </c>
      <c r="O303" s="9">
        <f t="shared" si="4"/>
        <v>14347667</v>
      </c>
      <c r="P303" s="2" t="s">
        <v>828</v>
      </c>
    </row>
    <row r="304" spans="1:16" x14ac:dyDescent="0.25">
      <c r="A304" s="6" t="s">
        <v>288</v>
      </c>
      <c r="B304" s="6" t="s">
        <v>13</v>
      </c>
      <c r="C304" s="6">
        <v>45971</v>
      </c>
      <c r="D304" s="6">
        <v>46022</v>
      </c>
      <c r="E304" s="6" t="s">
        <v>715</v>
      </c>
      <c r="F304" s="6" t="s">
        <v>14</v>
      </c>
      <c r="G304" s="6">
        <v>36756798</v>
      </c>
      <c r="H304" s="6" t="s">
        <v>289</v>
      </c>
      <c r="I304" s="6">
        <v>98390119</v>
      </c>
      <c r="J304" s="6" t="s">
        <v>14</v>
      </c>
      <c r="K304" s="6" t="s">
        <v>63</v>
      </c>
      <c r="L304" s="7">
        <v>0</v>
      </c>
      <c r="M304" s="7">
        <v>4000000</v>
      </c>
      <c r="N304" s="6" t="s">
        <v>704</v>
      </c>
      <c r="O304" s="7">
        <f t="shared" si="4"/>
        <v>4000000</v>
      </c>
      <c r="P304" s="2" t="s">
        <v>827</v>
      </c>
    </row>
    <row r="305" spans="1:16" x14ac:dyDescent="0.25">
      <c r="A305" s="8" t="s">
        <v>150</v>
      </c>
      <c r="B305" s="8" t="s">
        <v>13</v>
      </c>
      <c r="C305" s="8">
        <v>45915</v>
      </c>
      <c r="D305" s="8">
        <v>46022</v>
      </c>
      <c r="E305" s="8" t="s">
        <v>711</v>
      </c>
      <c r="F305" s="8" t="s">
        <v>14</v>
      </c>
      <c r="G305" s="8">
        <v>1087645341</v>
      </c>
      <c r="H305" s="8" t="s">
        <v>151</v>
      </c>
      <c r="I305" s="8">
        <v>98333941</v>
      </c>
      <c r="J305" s="8" t="s">
        <v>14</v>
      </c>
      <c r="K305" s="8" t="s">
        <v>15</v>
      </c>
      <c r="L305" s="9">
        <v>4725000</v>
      </c>
      <c r="M305" s="9">
        <v>12600000</v>
      </c>
      <c r="N305" s="8" t="s">
        <v>704</v>
      </c>
      <c r="O305" s="9">
        <f t="shared" si="4"/>
        <v>7875000</v>
      </c>
      <c r="P305" s="2" t="s">
        <v>828</v>
      </c>
    </row>
    <row r="306" spans="1:16" x14ac:dyDescent="0.25">
      <c r="A306" s="8" t="s">
        <v>226</v>
      </c>
      <c r="B306" s="8" t="s">
        <v>13</v>
      </c>
      <c r="C306" s="8">
        <v>45912</v>
      </c>
      <c r="D306" s="8">
        <v>46022</v>
      </c>
      <c r="E306" s="8" t="s">
        <v>711</v>
      </c>
      <c r="F306" s="8" t="s">
        <v>14</v>
      </c>
      <c r="G306" s="8">
        <v>27549931</v>
      </c>
      <c r="H306" s="8" t="s">
        <v>227</v>
      </c>
      <c r="I306" s="8">
        <v>98333941</v>
      </c>
      <c r="J306" s="8" t="s">
        <v>14</v>
      </c>
      <c r="K306" s="8" t="s">
        <v>15</v>
      </c>
      <c r="L306" s="9">
        <v>4725000</v>
      </c>
      <c r="M306" s="9">
        <v>12600000</v>
      </c>
      <c r="N306" s="8" t="s">
        <v>704</v>
      </c>
      <c r="O306" s="9">
        <f t="shared" si="4"/>
        <v>7875000</v>
      </c>
      <c r="P306" s="2" t="s">
        <v>828</v>
      </c>
    </row>
    <row r="307" spans="1:16" x14ac:dyDescent="0.25">
      <c r="A307" s="8" t="s">
        <v>206</v>
      </c>
      <c r="B307" s="8" t="s">
        <v>13</v>
      </c>
      <c r="C307" s="8">
        <v>45905</v>
      </c>
      <c r="D307" s="8">
        <v>46022</v>
      </c>
      <c r="E307" s="8" t="s">
        <v>739</v>
      </c>
      <c r="F307" s="8" t="s">
        <v>14</v>
      </c>
      <c r="G307" s="8">
        <v>36953206</v>
      </c>
      <c r="H307" s="8" t="s">
        <v>46</v>
      </c>
      <c r="I307" s="8">
        <v>43624414</v>
      </c>
      <c r="J307" s="8" t="s">
        <v>14</v>
      </c>
      <c r="K307" s="8" t="s">
        <v>18</v>
      </c>
      <c r="L307" s="9">
        <v>4730000</v>
      </c>
      <c r="M307" s="9">
        <v>18920000</v>
      </c>
      <c r="N307" s="8" t="s">
        <v>704</v>
      </c>
      <c r="O307" s="9">
        <f t="shared" si="4"/>
        <v>14190000</v>
      </c>
      <c r="P307" s="2" t="s">
        <v>828</v>
      </c>
    </row>
    <row r="308" spans="1:16" x14ac:dyDescent="0.25">
      <c r="A308" s="8" t="s">
        <v>488</v>
      </c>
      <c r="B308" s="8" t="s">
        <v>13</v>
      </c>
      <c r="C308" s="8">
        <v>45929</v>
      </c>
      <c r="D308" s="8">
        <v>46022</v>
      </c>
      <c r="E308" s="8" t="s">
        <v>791</v>
      </c>
      <c r="F308" s="8" t="s">
        <v>14</v>
      </c>
      <c r="G308" s="8">
        <v>12754447</v>
      </c>
      <c r="H308" s="8" t="s">
        <v>489</v>
      </c>
      <c r="I308" s="8">
        <v>59836926</v>
      </c>
      <c r="J308" s="8" t="s">
        <v>14</v>
      </c>
      <c r="K308" s="8" t="s">
        <v>17</v>
      </c>
      <c r="L308" s="9">
        <v>4730000</v>
      </c>
      <c r="M308" s="9">
        <v>14190000</v>
      </c>
      <c r="N308" s="8" t="s">
        <v>704</v>
      </c>
      <c r="O308" s="9">
        <f t="shared" si="4"/>
        <v>9460000</v>
      </c>
      <c r="P308" s="2" t="s">
        <v>828</v>
      </c>
    </row>
    <row r="309" spans="1:16" x14ac:dyDescent="0.25">
      <c r="A309" s="8" t="s">
        <v>566</v>
      </c>
      <c r="B309" s="8" t="s">
        <v>13</v>
      </c>
      <c r="C309" s="8">
        <v>45910</v>
      </c>
      <c r="D309" s="8">
        <v>46022</v>
      </c>
      <c r="E309" s="8" t="s">
        <v>706</v>
      </c>
      <c r="F309" s="8" t="s">
        <v>14</v>
      </c>
      <c r="G309" s="8">
        <v>1088730615</v>
      </c>
      <c r="H309" s="8" t="s">
        <v>567</v>
      </c>
      <c r="I309" s="8">
        <v>59836926</v>
      </c>
      <c r="J309" s="8" t="s">
        <v>14</v>
      </c>
      <c r="K309" s="8" t="s">
        <v>17</v>
      </c>
      <c r="L309" s="9">
        <v>4730000</v>
      </c>
      <c r="M309" s="9">
        <v>18920000</v>
      </c>
      <c r="N309" s="8" t="s">
        <v>704</v>
      </c>
      <c r="O309" s="9">
        <f t="shared" si="4"/>
        <v>14190000</v>
      </c>
      <c r="P309" s="2" t="s">
        <v>828</v>
      </c>
    </row>
    <row r="310" spans="1:16" x14ac:dyDescent="0.25">
      <c r="A310" s="8" t="s">
        <v>334</v>
      </c>
      <c r="B310" s="8" t="s">
        <v>13</v>
      </c>
      <c r="C310" s="8">
        <v>45908</v>
      </c>
      <c r="D310" s="8">
        <v>46022</v>
      </c>
      <c r="E310" s="8" t="s">
        <v>735</v>
      </c>
      <c r="F310" s="8" t="s">
        <v>14</v>
      </c>
      <c r="G310" s="8">
        <v>37086513</v>
      </c>
      <c r="H310" s="8" t="s">
        <v>335</v>
      </c>
      <c r="I310" s="8">
        <v>98333941</v>
      </c>
      <c r="J310" s="8" t="s">
        <v>14</v>
      </c>
      <c r="K310" s="8" t="s">
        <v>15</v>
      </c>
      <c r="L310" s="9">
        <v>6300000</v>
      </c>
      <c r="M310" s="9">
        <v>25200000</v>
      </c>
      <c r="N310" s="8" t="s">
        <v>704</v>
      </c>
      <c r="O310" s="9">
        <f t="shared" si="4"/>
        <v>18900000</v>
      </c>
      <c r="P310" s="2" t="s">
        <v>828</v>
      </c>
    </row>
    <row r="311" spans="1:16" x14ac:dyDescent="0.25">
      <c r="A311" s="6" t="s">
        <v>373</v>
      </c>
      <c r="B311" s="6" t="s">
        <v>13</v>
      </c>
      <c r="C311" s="6">
        <v>45940</v>
      </c>
      <c r="D311" s="6">
        <v>46022</v>
      </c>
      <c r="E311" s="6" t="s">
        <v>744</v>
      </c>
      <c r="F311" s="6" t="s">
        <v>14</v>
      </c>
      <c r="G311" s="6">
        <v>98394849</v>
      </c>
      <c r="H311" s="6" t="s">
        <v>374</v>
      </c>
      <c r="I311" s="6">
        <v>43624414</v>
      </c>
      <c r="J311" s="6" t="s">
        <v>14</v>
      </c>
      <c r="K311" s="6" t="s">
        <v>18</v>
      </c>
      <c r="L311" s="7">
        <v>0</v>
      </c>
      <c r="M311" s="7">
        <v>14190000</v>
      </c>
      <c r="N311" s="6" t="s">
        <v>704</v>
      </c>
      <c r="O311" s="7">
        <f t="shared" si="4"/>
        <v>14190000</v>
      </c>
      <c r="P311" s="2" t="s">
        <v>827</v>
      </c>
    </row>
    <row r="312" spans="1:16" x14ac:dyDescent="0.25">
      <c r="A312" s="8" t="s">
        <v>367</v>
      </c>
      <c r="B312" s="8" t="s">
        <v>13</v>
      </c>
      <c r="C312" s="8">
        <v>45930</v>
      </c>
      <c r="D312" s="8">
        <v>46022</v>
      </c>
      <c r="E312" s="8" t="s">
        <v>765</v>
      </c>
      <c r="F312" s="8" t="s">
        <v>14</v>
      </c>
      <c r="G312" s="8">
        <v>1193035720</v>
      </c>
      <c r="H312" s="8" t="s">
        <v>368</v>
      </c>
      <c r="I312" s="8">
        <v>43624414</v>
      </c>
      <c r="J312" s="8" t="s">
        <v>14</v>
      </c>
      <c r="K312" s="8" t="s">
        <v>18</v>
      </c>
      <c r="L312" s="9">
        <v>6300000</v>
      </c>
      <c r="M312" s="9">
        <v>9450000</v>
      </c>
      <c r="N312" s="8" t="s">
        <v>704</v>
      </c>
      <c r="O312" s="9">
        <f t="shared" si="4"/>
        <v>3150000</v>
      </c>
      <c r="P312" s="2" t="s">
        <v>828</v>
      </c>
    </row>
    <row r="313" spans="1:16" x14ac:dyDescent="0.25">
      <c r="A313" s="8" t="s">
        <v>253</v>
      </c>
      <c r="B313" s="8" t="s">
        <v>13</v>
      </c>
      <c r="C313" s="8">
        <v>45923</v>
      </c>
      <c r="D313" s="8">
        <v>46022</v>
      </c>
      <c r="E313" s="8" t="s">
        <v>750</v>
      </c>
      <c r="F313" s="8" t="s">
        <v>14</v>
      </c>
      <c r="G313" s="8">
        <v>36952916</v>
      </c>
      <c r="H313" s="8" t="s">
        <v>254</v>
      </c>
      <c r="I313" s="8">
        <v>59836926</v>
      </c>
      <c r="J313" s="8" t="s">
        <v>14</v>
      </c>
      <c r="K313" s="8" t="s">
        <v>17</v>
      </c>
      <c r="L313" s="9">
        <v>7350000</v>
      </c>
      <c r="M313" s="9">
        <v>22050000</v>
      </c>
      <c r="N313" s="8" t="s">
        <v>704</v>
      </c>
      <c r="O313" s="9">
        <f t="shared" si="4"/>
        <v>14700000</v>
      </c>
      <c r="P313" s="2" t="s">
        <v>828</v>
      </c>
    </row>
    <row r="314" spans="1:16" x14ac:dyDescent="0.25">
      <c r="A314" s="8" t="s">
        <v>415</v>
      </c>
      <c r="B314" s="8" t="s">
        <v>13</v>
      </c>
      <c r="C314" s="8">
        <v>45911</v>
      </c>
      <c r="D314" s="8">
        <v>46022</v>
      </c>
      <c r="E314" s="8" t="s">
        <v>710</v>
      </c>
      <c r="F314" s="8" t="s">
        <v>14</v>
      </c>
      <c r="G314" s="8">
        <v>1085246871</v>
      </c>
      <c r="H314" s="8" t="s">
        <v>416</v>
      </c>
      <c r="I314" s="8">
        <v>98333941</v>
      </c>
      <c r="J314" s="8" t="s">
        <v>14</v>
      </c>
      <c r="K314" s="8" t="s">
        <v>15</v>
      </c>
      <c r="L314" s="9">
        <v>7800000</v>
      </c>
      <c r="M314" s="9">
        <v>31200000</v>
      </c>
      <c r="N314" s="8" t="s">
        <v>704</v>
      </c>
      <c r="O314" s="9">
        <f t="shared" si="4"/>
        <v>23400000</v>
      </c>
      <c r="P314" s="2" t="s">
        <v>828</v>
      </c>
    </row>
    <row r="315" spans="1:16" x14ac:dyDescent="0.25">
      <c r="A315" s="6" t="s">
        <v>421</v>
      </c>
      <c r="B315" s="6" t="s">
        <v>13</v>
      </c>
      <c r="C315" s="6">
        <v>45971</v>
      </c>
      <c r="D315" s="6">
        <v>46022</v>
      </c>
      <c r="E315" s="6" t="s">
        <v>778</v>
      </c>
      <c r="F315" s="6" t="s">
        <v>14</v>
      </c>
      <c r="G315" s="6">
        <v>1085310626</v>
      </c>
      <c r="H315" s="6" t="s">
        <v>422</v>
      </c>
      <c r="I315" s="6">
        <v>98390119</v>
      </c>
      <c r="J315" s="6" t="s">
        <v>14</v>
      </c>
      <c r="K315" s="6" t="s">
        <v>63</v>
      </c>
      <c r="L315" s="7">
        <v>0</v>
      </c>
      <c r="M315" s="7">
        <v>6300000</v>
      </c>
      <c r="N315" s="6" t="s">
        <v>704</v>
      </c>
      <c r="O315" s="7">
        <f t="shared" si="4"/>
        <v>6300000</v>
      </c>
      <c r="P315" s="2" t="s">
        <v>827</v>
      </c>
    </row>
    <row r="316" spans="1:16" x14ac:dyDescent="0.25">
      <c r="A316" s="8" t="s">
        <v>470</v>
      </c>
      <c r="B316" s="8" t="s">
        <v>13</v>
      </c>
      <c r="C316" s="8">
        <v>45924</v>
      </c>
      <c r="D316" s="8">
        <v>46022</v>
      </c>
      <c r="E316" s="8" t="s">
        <v>788</v>
      </c>
      <c r="F316" s="8" t="s">
        <v>14</v>
      </c>
      <c r="G316" s="8">
        <v>1004508406</v>
      </c>
      <c r="H316" s="8" t="s">
        <v>471</v>
      </c>
      <c r="I316" s="8">
        <v>43624414</v>
      </c>
      <c r="J316" s="8" t="s">
        <v>14</v>
      </c>
      <c r="K316" s="8" t="s">
        <v>18</v>
      </c>
      <c r="L316" s="9">
        <v>7875000</v>
      </c>
      <c r="M316" s="9">
        <v>11025000</v>
      </c>
      <c r="N316" s="8" t="s">
        <v>704</v>
      </c>
      <c r="O316" s="9">
        <f t="shared" si="4"/>
        <v>3150000</v>
      </c>
      <c r="P316" s="2" t="s">
        <v>828</v>
      </c>
    </row>
    <row r="317" spans="1:16" x14ac:dyDescent="0.25">
      <c r="A317" s="8" t="s">
        <v>545</v>
      </c>
      <c r="B317" s="8" t="s">
        <v>13</v>
      </c>
      <c r="C317" s="8">
        <v>45922</v>
      </c>
      <c r="D317" s="8">
        <v>46022</v>
      </c>
      <c r="E317" s="8" t="s">
        <v>799</v>
      </c>
      <c r="F317" s="8" t="s">
        <v>14</v>
      </c>
      <c r="G317" s="8">
        <v>1004709928</v>
      </c>
      <c r="H317" s="8" t="s">
        <v>546</v>
      </c>
      <c r="I317" s="8">
        <v>98333941</v>
      </c>
      <c r="J317" s="8" t="s">
        <v>14</v>
      </c>
      <c r="K317" s="8" t="s">
        <v>15</v>
      </c>
      <c r="L317" s="9">
        <v>7875000</v>
      </c>
      <c r="M317" s="9">
        <v>11025000</v>
      </c>
      <c r="N317" s="8" t="s">
        <v>704</v>
      </c>
      <c r="O317" s="9">
        <f t="shared" si="4"/>
        <v>3150000</v>
      </c>
      <c r="P317" s="2" t="s">
        <v>828</v>
      </c>
    </row>
    <row r="318" spans="1:16" x14ac:dyDescent="0.25">
      <c r="A318" s="8" t="s">
        <v>187</v>
      </c>
      <c r="B318" s="8" t="s">
        <v>13</v>
      </c>
      <c r="C318" s="8">
        <v>45926</v>
      </c>
      <c r="D318" s="8">
        <v>46022</v>
      </c>
      <c r="E318" s="8" t="s">
        <v>735</v>
      </c>
      <c r="F318" s="8" t="s">
        <v>14</v>
      </c>
      <c r="G318" s="8">
        <v>27097745</v>
      </c>
      <c r="H318" s="8" t="s">
        <v>70</v>
      </c>
      <c r="I318" s="8">
        <v>98390119</v>
      </c>
      <c r="J318" s="8" t="s">
        <v>14</v>
      </c>
      <c r="K318" s="8" t="s">
        <v>63</v>
      </c>
      <c r="L318" s="9">
        <v>9450000</v>
      </c>
      <c r="M318" s="9">
        <v>22050000</v>
      </c>
      <c r="N318" s="8" t="s">
        <v>704</v>
      </c>
      <c r="O318" s="9">
        <f t="shared" si="4"/>
        <v>12600000</v>
      </c>
      <c r="P318" s="2" t="s">
        <v>828</v>
      </c>
    </row>
    <row r="319" spans="1:16" x14ac:dyDescent="0.25">
      <c r="A319" s="8" t="s">
        <v>234</v>
      </c>
      <c r="B319" s="8" t="s">
        <v>13</v>
      </c>
      <c r="C319" s="8">
        <v>45918</v>
      </c>
      <c r="D319" s="8">
        <v>46022</v>
      </c>
      <c r="E319" s="8" t="s">
        <v>711</v>
      </c>
      <c r="F319" s="8" t="s">
        <v>14</v>
      </c>
      <c r="G319" s="8">
        <v>27087122</v>
      </c>
      <c r="H319" s="8" t="s">
        <v>69</v>
      </c>
      <c r="I319" s="8">
        <v>43624414</v>
      </c>
      <c r="J319" s="8" t="s">
        <v>14</v>
      </c>
      <c r="K319" s="8" t="s">
        <v>18</v>
      </c>
      <c r="L319" s="9">
        <v>9450000</v>
      </c>
      <c r="M319" s="9">
        <v>11025000</v>
      </c>
      <c r="N319" s="8" t="s">
        <v>704</v>
      </c>
      <c r="O319" s="9">
        <f t="shared" si="4"/>
        <v>1575000</v>
      </c>
      <c r="P319" s="2" t="s">
        <v>828</v>
      </c>
    </row>
    <row r="320" spans="1:16" x14ac:dyDescent="0.25">
      <c r="A320" s="8" t="s">
        <v>296</v>
      </c>
      <c r="B320" s="8" t="s">
        <v>13</v>
      </c>
      <c r="C320" s="8">
        <v>45910</v>
      </c>
      <c r="D320" s="8">
        <v>46022</v>
      </c>
      <c r="E320" s="8" t="s">
        <v>711</v>
      </c>
      <c r="F320" s="8" t="s">
        <v>14</v>
      </c>
      <c r="G320" s="8">
        <v>27276869</v>
      </c>
      <c r="H320" s="8" t="s">
        <v>297</v>
      </c>
      <c r="I320" s="8">
        <v>98333941</v>
      </c>
      <c r="J320" s="8" t="s">
        <v>14</v>
      </c>
      <c r="K320" s="8" t="s">
        <v>15</v>
      </c>
      <c r="L320" s="9">
        <v>9450000</v>
      </c>
      <c r="M320" s="9">
        <v>12600000</v>
      </c>
      <c r="N320" s="8" t="s">
        <v>704</v>
      </c>
      <c r="O320" s="9">
        <f t="shared" si="4"/>
        <v>3150000</v>
      </c>
      <c r="P320" s="2" t="s">
        <v>828</v>
      </c>
    </row>
    <row r="321" spans="1:16" x14ac:dyDescent="0.25">
      <c r="A321" s="6" t="s">
        <v>530</v>
      </c>
      <c r="B321" s="6" t="s">
        <v>13</v>
      </c>
      <c r="C321" s="6">
        <v>45972</v>
      </c>
      <c r="D321" s="6">
        <v>46022</v>
      </c>
      <c r="E321" s="6" t="s">
        <v>793</v>
      </c>
      <c r="F321" s="6" t="s">
        <v>14</v>
      </c>
      <c r="G321" s="6">
        <v>1081274238</v>
      </c>
      <c r="H321" s="6" t="s">
        <v>531</v>
      </c>
      <c r="I321" s="6">
        <v>43624414</v>
      </c>
      <c r="J321" s="6" t="s">
        <v>14</v>
      </c>
      <c r="K321" s="6" t="s">
        <v>18</v>
      </c>
      <c r="L321" s="7">
        <v>0</v>
      </c>
      <c r="M321" s="7">
        <v>4000000</v>
      </c>
      <c r="N321" s="6" t="s">
        <v>704</v>
      </c>
      <c r="O321" s="7">
        <f t="shared" si="4"/>
        <v>4000000</v>
      </c>
      <c r="P321" s="2" t="s">
        <v>827</v>
      </c>
    </row>
    <row r="322" spans="1:16" x14ac:dyDescent="0.25">
      <c r="A322" s="8" t="s">
        <v>330</v>
      </c>
      <c r="B322" s="8" t="s">
        <v>13</v>
      </c>
      <c r="C322" s="8">
        <v>45930</v>
      </c>
      <c r="D322" s="8">
        <v>46022</v>
      </c>
      <c r="E322" s="8" t="s">
        <v>761</v>
      </c>
      <c r="F322" s="8" t="s">
        <v>14</v>
      </c>
      <c r="G322" s="8">
        <v>1080041553</v>
      </c>
      <c r="H322" s="8" t="s">
        <v>331</v>
      </c>
      <c r="I322" s="8">
        <v>98390119</v>
      </c>
      <c r="J322" s="8" t="s">
        <v>14</v>
      </c>
      <c r="K322" s="8" t="s">
        <v>63</v>
      </c>
      <c r="L322" s="9">
        <v>9450000</v>
      </c>
      <c r="M322" s="9">
        <v>11025000</v>
      </c>
      <c r="N322" s="8" t="s">
        <v>704</v>
      </c>
      <c r="O322" s="9">
        <f t="shared" ref="O322:O338" si="5">M322-L322</f>
        <v>1575000</v>
      </c>
      <c r="P322" s="2" t="s">
        <v>828</v>
      </c>
    </row>
    <row r="323" spans="1:16" x14ac:dyDescent="0.25">
      <c r="A323" s="8" t="s">
        <v>387</v>
      </c>
      <c r="B323" s="8" t="s">
        <v>13</v>
      </c>
      <c r="C323" s="8">
        <v>45905</v>
      </c>
      <c r="D323" s="8">
        <v>46022</v>
      </c>
      <c r="E323" s="8" t="s">
        <v>768</v>
      </c>
      <c r="F323" s="8" t="s">
        <v>14</v>
      </c>
      <c r="G323" s="8">
        <v>98382500</v>
      </c>
      <c r="H323" s="8" t="s">
        <v>45</v>
      </c>
      <c r="I323" s="8">
        <v>43624414</v>
      </c>
      <c r="J323" s="8" t="s">
        <v>14</v>
      </c>
      <c r="K323" s="8" t="s">
        <v>18</v>
      </c>
      <c r="L323" s="9">
        <v>9450000</v>
      </c>
      <c r="M323" s="9">
        <v>12600000</v>
      </c>
      <c r="N323" s="8" t="s">
        <v>704</v>
      </c>
      <c r="O323" s="9">
        <f t="shared" si="5"/>
        <v>3150000</v>
      </c>
      <c r="P323" s="2" t="s">
        <v>828</v>
      </c>
    </row>
    <row r="324" spans="1:16" x14ac:dyDescent="0.25">
      <c r="A324" s="8" t="s">
        <v>651</v>
      </c>
      <c r="B324" s="8" t="s">
        <v>13</v>
      </c>
      <c r="C324" s="8">
        <v>45930</v>
      </c>
      <c r="D324" s="8">
        <v>46022</v>
      </c>
      <c r="E324" s="8" t="s">
        <v>820</v>
      </c>
      <c r="F324" s="8" t="s">
        <v>14</v>
      </c>
      <c r="G324" s="8">
        <v>1081053820</v>
      </c>
      <c r="H324" s="8" t="s">
        <v>652</v>
      </c>
      <c r="I324" s="8">
        <v>98333941</v>
      </c>
      <c r="J324" s="8" t="s">
        <v>14</v>
      </c>
      <c r="K324" s="8" t="s">
        <v>15</v>
      </c>
      <c r="L324" s="9">
        <v>9450000</v>
      </c>
      <c r="M324" s="9">
        <v>11025000</v>
      </c>
      <c r="N324" s="8" t="s">
        <v>704</v>
      </c>
      <c r="O324" s="9">
        <f t="shared" si="5"/>
        <v>1575000</v>
      </c>
      <c r="P324" s="2" t="s">
        <v>828</v>
      </c>
    </row>
    <row r="325" spans="1:16" x14ac:dyDescent="0.25">
      <c r="A325" s="6" t="s">
        <v>549</v>
      </c>
      <c r="B325" s="6" t="s">
        <v>13</v>
      </c>
      <c r="C325" s="6">
        <v>45908</v>
      </c>
      <c r="D325" s="6">
        <v>46022</v>
      </c>
      <c r="E325" s="6" t="s">
        <v>710</v>
      </c>
      <c r="F325" s="6" t="s">
        <v>14</v>
      </c>
      <c r="G325" s="6">
        <v>1086224562</v>
      </c>
      <c r="H325" s="6" t="s">
        <v>550</v>
      </c>
      <c r="I325" s="6">
        <v>98333941</v>
      </c>
      <c r="J325" s="6" t="s">
        <v>14</v>
      </c>
      <c r="K325" s="6" t="s">
        <v>15</v>
      </c>
      <c r="L325" s="7">
        <v>0</v>
      </c>
      <c r="M325" s="7">
        <v>31200000</v>
      </c>
      <c r="N325" s="6" t="s">
        <v>704</v>
      </c>
      <c r="O325" s="7">
        <f t="shared" si="5"/>
        <v>31200000</v>
      </c>
      <c r="P325" s="2" t="s">
        <v>827</v>
      </c>
    </row>
    <row r="326" spans="1:16" x14ac:dyDescent="0.25">
      <c r="A326" s="8" t="s">
        <v>603</v>
      </c>
      <c r="B326" s="8" t="s">
        <v>13</v>
      </c>
      <c r="C326" s="8">
        <v>45911</v>
      </c>
      <c r="D326" s="8">
        <v>46022</v>
      </c>
      <c r="E326" s="8" t="s">
        <v>719</v>
      </c>
      <c r="F326" s="8" t="s">
        <v>14</v>
      </c>
      <c r="G326" s="8">
        <v>27090399</v>
      </c>
      <c r="H326" s="8" t="s">
        <v>604</v>
      </c>
      <c r="I326" s="8">
        <v>98333941</v>
      </c>
      <c r="J326" s="8" t="s">
        <v>14</v>
      </c>
      <c r="K326" s="8" t="s">
        <v>15</v>
      </c>
      <c r="L326" s="9">
        <v>12600000</v>
      </c>
      <c r="M326" s="9">
        <v>25200000</v>
      </c>
      <c r="N326" s="8" t="s">
        <v>704</v>
      </c>
      <c r="O326" s="9">
        <f t="shared" si="5"/>
        <v>12600000</v>
      </c>
      <c r="P326" s="2" t="s">
        <v>828</v>
      </c>
    </row>
    <row r="327" spans="1:16" x14ac:dyDescent="0.25">
      <c r="A327" s="8" t="s">
        <v>601</v>
      </c>
      <c r="B327" s="8" t="s">
        <v>13</v>
      </c>
      <c r="C327" s="8">
        <v>45931</v>
      </c>
      <c r="D327" s="8">
        <v>46022</v>
      </c>
      <c r="E327" s="8" t="s">
        <v>808</v>
      </c>
      <c r="F327" s="8" t="s">
        <v>14</v>
      </c>
      <c r="G327" s="8">
        <v>1085298800</v>
      </c>
      <c r="H327" s="8" t="s">
        <v>602</v>
      </c>
      <c r="I327" s="8">
        <v>98390119</v>
      </c>
      <c r="J327" s="8" t="s">
        <v>14</v>
      </c>
      <c r="K327" s="8" t="s">
        <v>63</v>
      </c>
      <c r="L327" s="9">
        <v>15600000</v>
      </c>
      <c r="M327" s="9">
        <v>23400000</v>
      </c>
      <c r="N327" s="8" t="s">
        <v>704</v>
      </c>
      <c r="O327" s="9">
        <f t="shared" si="5"/>
        <v>7800000</v>
      </c>
      <c r="P327" s="2" t="s">
        <v>828</v>
      </c>
    </row>
    <row r="328" spans="1:16" x14ac:dyDescent="0.25">
      <c r="A328" s="6" t="s">
        <v>580</v>
      </c>
      <c r="B328" s="6" t="s">
        <v>13</v>
      </c>
      <c r="C328" s="6">
        <v>45930</v>
      </c>
      <c r="D328" s="6">
        <v>46022</v>
      </c>
      <c r="E328" s="6" t="s">
        <v>806</v>
      </c>
      <c r="F328" s="6" t="s">
        <v>14</v>
      </c>
      <c r="G328" s="6">
        <v>1085310606</v>
      </c>
      <c r="H328" s="6" t="s">
        <v>581</v>
      </c>
      <c r="I328" s="6">
        <v>98390119</v>
      </c>
      <c r="J328" s="6" t="s">
        <v>14</v>
      </c>
      <c r="K328" s="6" t="s">
        <v>63</v>
      </c>
      <c r="L328" s="7">
        <v>0</v>
      </c>
      <c r="M328" s="7">
        <v>9450000</v>
      </c>
      <c r="N328" s="6" t="s">
        <v>704</v>
      </c>
      <c r="O328" s="7">
        <f t="shared" si="5"/>
        <v>9450000</v>
      </c>
      <c r="P328" s="2" t="s">
        <v>827</v>
      </c>
    </row>
    <row r="329" spans="1:16" x14ac:dyDescent="0.25">
      <c r="A329" s="8" t="s">
        <v>533</v>
      </c>
      <c r="B329" s="8" t="s">
        <v>13</v>
      </c>
      <c r="C329" s="8">
        <v>45903</v>
      </c>
      <c r="D329" s="8">
        <v>46022</v>
      </c>
      <c r="E329" s="8" t="s">
        <v>796</v>
      </c>
      <c r="F329" s="8" t="s">
        <v>14</v>
      </c>
      <c r="G329" s="8">
        <v>59312865</v>
      </c>
      <c r="H329" s="8" t="s">
        <v>534</v>
      </c>
      <c r="I329" s="8">
        <v>43624414</v>
      </c>
      <c r="J329" s="8" t="s">
        <v>14</v>
      </c>
      <c r="K329" s="8" t="s">
        <v>18</v>
      </c>
      <c r="L329" s="9">
        <v>16239333</v>
      </c>
      <c r="M329" s="9">
        <v>18920000</v>
      </c>
      <c r="N329" s="8" t="s">
        <v>704</v>
      </c>
      <c r="O329" s="9">
        <f t="shared" si="5"/>
        <v>2680667</v>
      </c>
      <c r="P329" s="2" t="s">
        <v>828</v>
      </c>
    </row>
    <row r="330" spans="1:16" x14ac:dyDescent="0.25">
      <c r="A330" s="8" t="s">
        <v>343</v>
      </c>
      <c r="B330" s="8" t="s">
        <v>13</v>
      </c>
      <c r="C330" s="8">
        <v>45909</v>
      </c>
      <c r="D330" s="8">
        <v>46022</v>
      </c>
      <c r="E330" s="8" t="s">
        <v>719</v>
      </c>
      <c r="F330" s="8" t="s">
        <v>14</v>
      </c>
      <c r="G330" s="8">
        <v>1014212900</v>
      </c>
      <c r="H330" s="8" t="s">
        <v>344</v>
      </c>
      <c r="I330" s="8">
        <v>98390119</v>
      </c>
      <c r="J330" s="8" t="s">
        <v>14</v>
      </c>
      <c r="K330" s="8" t="s">
        <v>63</v>
      </c>
      <c r="L330" s="9">
        <v>18900000</v>
      </c>
      <c r="M330" s="9">
        <v>25200000</v>
      </c>
      <c r="N330" s="8" t="s">
        <v>704</v>
      </c>
      <c r="O330" s="9">
        <f t="shared" si="5"/>
        <v>6300000</v>
      </c>
      <c r="P330" s="2" t="s">
        <v>828</v>
      </c>
    </row>
    <row r="331" spans="1:16" x14ac:dyDescent="0.25">
      <c r="A331" s="8" t="s">
        <v>493</v>
      </c>
      <c r="B331" s="8" t="s">
        <v>13</v>
      </c>
      <c r="C331" s="8">
        <v>45908</v>
      </c>
      <c r="D331" s="8">
        <v>46022</v>
      </c>
      <c r="E331" s="8" t="s">
        <v>792</v>
      </c>
      <c r="F331" s="8" t="s">
        <v>14</v>
      </c>
      <c r="G331" s="8">
        <v>1085284997</v>
      </c>
      <c r="H331" s="8" t="s">
        <v>494</v>
      </c>
      <c r="I331" s="8">
        <v>98333941</v>
      </c>
      <c r="J331" s="8" t="s">
        <v>14</v>
      </c>
      <c r="K331" s="8" t="s">
        <v>15</v>
      </c>
      <c r="L331" s="9">
        <v>18900000</v>
      </c>
      <c r="M331" s="9">
        <v>25200000</v>
      </c>
      <c r="N331" s="8" t="s">
        <v>704</v>
      </c>
      <c r="O331" s="9">
        <f t="shared" si="5"/>
        <v>6300000</v>
      </c>
      <c r="P331" s="2" t="s">
        <v>828</v>
      </c>
    </row>
    <row r="332" spans="1:16" x14ac:dyDescent="0.25">
      <c r="A332" s="6" t="s">
        <v>617</v>
      </c>
      <c r="B332" s="6" t="s">
        <v>13</v>
      </c>
      <c r="C332" s="6">
        <v>45923</v>
      </c>
      <c r="D332" s="6">
        <v>46022</v>
      </c>
      <c r="E332" s="6" t="s">
        <v>716</v>
      </c>
      <c r="F332" s="6" t="s">
        <v>14</v>
      </c>
      <c r="G332" s="6">
        <v>1004190710</v>
      </c>
      <c r="H332" s="6" t="s">
        <v>618</v>
      </c>
      <c r="I332" s="6">
        <v>98333941</v>
      </c>
      <c r="J332" s="6" t="s">
        <v>14</v>
      </c>
      <c r="K332" s="6" t="s">
        <v>15</v>
      </c>
      <c r="L332" s="7">
        <v>0</v>
      </c>
      <c r="M332" s="7">
        <v>11025000</v>
      </c>
      <c r="N332" s="6" t="s">
        <v>704</v>
      </c>
      <c r="O332" s="7">
        <f t="shared" si="5"/>
        <v>11025000</v>
      </c>
      <c r="P332" s="2" t="s">
        <v>827</v>
      </c>
    </row>
    <row r="333" spans="1:16" x14ac:dyDescent="0.25">
      <c r="A333" s="6" t="s">
        <v>644</v>
      </c>
      <c r="B333" s="6" t="s">
        <v>13</v>
      </c>
      <c r="C333" s="6">
        <v>45975</v>
      </c>
      <c r="D333" s="6">
        <v>46022</v>
      </c>
      <c r="E333" s="6" t="s">
        <v>775</v>
      </c>
      <c r="F333" s="6" t="s">
        <v>14</v>
      </c>
      <c r="G333" s="6">
        <v>1085321460</v>
      </c>
      <c r="H333" s="6" t="s">
        <v>645</v>
      </c>
      <c r="I333" s="6">
        <v>43624414</v>
      </c>
      <c r="J333" s="6" t="s">
        <v>14</v>
      </c>
      <c r="K333" s="6" t="s">
        <v>18</v>
      </c>
      <c r="L333" s="7">
        <v>0</v>
      </c>
      <c r="M333" s="7">
        <v>4725000</v>
      </c>
      <c r="N333" s="6" t="s">
        <v>704</v>
      </c>
      <c r="O333" s="7">
        <f t="shared" si="5"/>
        <v>4725000</v>
      </c>
      <c r="P333" s="2" t="s">
        <v>827</v>
      </c>
    </row>
    <row r="334" spans="1:16" x14ac:dyDescent="0.25">
      <c r="A334" s="8" t="s">
        <v>481</v>
      </c>
      <c r="B334" s="8" t="s">
        <v>13</v>
      </c>
      <c r="C334" s="8">
        <v>45904</v>
      </c>
      <c r="D334" s="8">
        <v>46022</v>
      </c>
      <c r="E334" s="8" t="s">
        <v>777</v>
      </c>
      <c r="F334" s="8" t="s">
        <v>14</v>
      </c>
      <c r="G334" s="8">
        <v>36757221</v>
      </c>
      <c r="H334" s="8" t="s">
        <v>482</v>
      </c>
      <c r="I334" s="8">
        <v>43624414</v>
      </c>
      <c r="J334" s="8" t="s">
        <v>14</v>
      </c>
      <c r="K334" s="8" t="s">
        <v>18</v>
      </c>
      <c r="L334" s="9">
        <v>21140000</v>
      </c>
      <c r="M334" s="9">
        <v>25200000</v>
      </c>
      <c r="N334" s="8" t="s">
        <v>704</v>
      </c>
      <c r="O334" s="9">
        <f t="shared" si="5"/>
        <v>4060000</v>
      </c>
      <c r="P334" s="2" t="s">
        <v>828</v>
      </c>
    </row>
    <row r="335" spans="1:16" x14ac:dyDescent="0.25">
      <c r="A335" s="8" t="s">
        <v>503</v>
      </c>
      <c r="B335" s="8" t="s">
        <v>13</v>
      </c>
      <c r="C335" s="8">
        <v>45911</v>
      </c>
      <c r="D335" s="8">
        <v>46022</v>
      </c>
      <c r="E335" s="8" t="s">
        <v>719</v>
      </c>
      <c r="F335" s="8" t="s">
        <v>14</v>
      </c>
      <c r="G335" s="8">
        <v>1084224761</v>
      </c>
      <c r="H335" s="8" t="s">
        <v>504</v>
      </c>
      <c r="I335" s="8">
        <v>98333941</v>
      </c>
      <c r="J335" s="8" t="s">
        <v>14</v>
      </c>
      <c r="K335" s="8" t="s">
        <v>15</v>
      </c>
      <c r="L335" s="9">
        <v>22050000</v>
      </c>
      <c r="M335" s="9">
        <v>25200000</v>
      </c>
      <c r="N335" s="8" t="s">
        <v>704</v>
      </c>
      <c r="O335" s="9">
        <f t="shared" si="5"/>
        <v>3150000</v>
      </c>
      <c r="P335" s="2" t="s">
        <v>828</v>
      </c>
    </row>
    <row r="336" spans="1:16" x14ac:dyDescent="0.25">
      <c r="A336" s="8" t="s">
        <v>701</v>
      </c>
      <c r="B336" s="8" t="s">
        <v>13</v>
      </c>
      <c r="C336" s="8">
        <v>45912</v>
      </c>
      <c r="D336" s="8">
        <v>46022</v>
      </c>
      <c r="E336" s="8" t="s">
        <v>826</v>
      </c>
      <c r="F336" s="8" t="s">
        <v>83</v>
      </c>
      <c r="G336" s="8">
        <v>805021222</v>
      </c>
      <c r="H336" s="8" t="s">
        <v>702</v>
      </c>
      <c r="I336" s="8">
        <v>17658216</v>
      </c>
      <c r="J336" s="8" t="s">
        <v>14</v>
      </c>
      <c r="K336" s="8" t="s">
        <v>82</v>
      </c>
      <c r="L336" s="9">
        <v>258316240</v>
      </c>
      <c r="M336" s="9">
        <v>270000000</v>
      </c>
      <c r="N336" s="8" t="s">
        <v>704</v>
      </c>
      <c r="O336" s="9">
        <f t="shared" si="5"/>
        <v>11683760</v>
      </c>
      <c r="P336" s="2" t="s">
        <v>828</v>
      </c>
    </row>
    <row r="337" spans="1:16" x14ac:dyDescent="0.25">
      <c r="A337" s="8" t="s">
        <v>211</v>
      </c>
      <c r="B337" s="8" t="s">
        <v>13</v>
      </c>
      <c r="C337" s="8">
        <v>45945</v>
      </c>
      <c r="D337" s="8">
        <v>46022</v>
      </c>
      <c r="E337" s="8" t="s">
        <v>212</v>
      </c>
      <c r="F337" s="8" t="s">
        <v>83</v>
      </c>
      <c r="G337" s="8">
        <v>805021222</v>
      </c>
      <c r="H337" s="8" t="s">
        <v>81</v>
      </c>
      <c r="I337" s="8">
        <v>17658216</v>
      </c>
      <c r="J337" s="8" t="s">
        <v>14</v>
      </c>
      <c r="K337" s="8" t="s">
        <v>108</v>
      </c>
      <c r="L337" s="9">
        <v>277798390</v>
      </c>
      <c r="M337" s="9">
        <v>280000000</v>
      </c>
      <c r="N337" s="8" t="s">
        <v>704</v>
      </c>
      <c r="O337" s="9">
        <f t="shared" si="5"/>
        <v>2201610</v>
      </c>
      <c r="P337" s="2" t="s">
        <v>828</v>
      </c>
    </row>
    <row r="338" spans="1:16" x14ac:dyDescent="0.25">
      <c r="A338" s="8" t="s">
        <v>696</v>
      </c>
      <c r="B338" s="8" t="s">
        <v>13</v>
      </c>
      <c r="C338" s="8">
        <v>45897</v>
      </c>
      <c r="D338" s="8">
        <v>46019</v>
      </c>
      <c r="E338" s="8" t="s">
        <v>824</v>
      </c>
      <c r="F338" s="8" t="s">
        <v>83</v>
      </c>
      <c r="G338" s="8">
        <v>900994364</v>
      </c>
      <c r="H338" s="8" t="s">
        <v>697</v>
      </c>
      <c r="I338" s="8">
        <v>13016581</v>
      </c>
      <c r="J338" s="8" t="s">
        <v>14</v>
      </c>
      <c r="K338" s="8" t="s">
        <v>698</v>
      </c>
      <c r="L338" s="9">
        <v>603185000</v>
      </c>
      <c r="M338" s="9">
        <v>605000000</v>
      </c>
      <c r="N338" s="8" t="s">
        <v>704</v>
      </c>
      <c r="O338" s="9">
        <f t="shared" si="5"/>
        <v>1815000</v>
      </c>
      <c r="P338" s="2" t="s">
        <v>828</v>
      </c>
    </row>
  </sheetData>
  <autoFilter ref="A1:P338" xr:uid="{3DA166E3-CC04-4B60-8A0B-BACCAE8B76B5}">
    <sortState xmlns:xlrd2="http://schemas.microsoft.com/office/spreadsheetml/2017/richdata2" ref="A2:P338">
      <sortCondition sortBy="cellColor" ref="L1:L338" dxfId="0"/>
    </sortState>
  </autoFilter>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E6D96-5A9C-43D5-B118-A1C54255F3A3}">
  <sheetPr codeName="Hoja2"/>
  <dimension ref="A1:O338"/>
  <sheetViews>
    <sheetView topLeftCell="A311" workbookViewId="0">
      <selection activeCell="L2" sqref="L2:L338"/>
    </sheetView>
  </sheetViews>
  <sheetFormatPr baseColWidth="10" defaultRowHeight="15" x14ac:dyDescent="0.25"/>
  <cols>
    <col min="7" max="7" width="21.7109375" bestFit="1" customWidth="1"/>
    <col min="8" max="8" width="42.5703125" bestFit="1" customWidth="1"/>
    <col min="9" max="9" width="19" bestFit="1" customWidth="1"/>
    <col min="11" max="11" width="33.7109375" bestFit="1" customWidth="1"/>
    <col min="12" max="13" width="15" bestFit="1" customWidth="1"/>
    <col min="14" max="14" width="15" customWidth="1"/>
    <col min="15" max="15" width="15" bestFit="1" customWidth="1"/>
    <col min="16" max="16" width="40.5703125" bestFit="1" customWidth="1"/>
  </cols>
  <sheetData>
    <row r="1" spans="1:15" ht="14.25" customHeight="1" x14ac:dyDescent="0.25">
      <c r="A1" t="s">
        <v>0</v>
      </c>
      <c r="B1" t="s">
        <v>1</v>
      </c>
      <c r="C1" t="s">
        <v>2</v>
      </c>
      <c r="D1" t="s">
        <v>3</v>
      </c>
      <c r="E1" t="s">
        <v>4</v>
      </c>
      <c r="F1" t="s">
        <v>5</v>
      </c>
      <c r="G1" t="s">
        <v>6</v>
      </c>
      <c r="H1" t="s">
        <v>7</v>
      </c>
      <c r="I1" t="s">
        <v>8</v>
      </c>
      <c r="J1" t="s">
        <v>9</v>
      </c>
      <c r="K1" t="s">
        <v>10</v>
      </c>
      <c r="L1" t="s">
        <v>11</v>
      </c>
      <c r="M1" t="s">
        <v>12</v>
      </c>
      <c r="N1" t="s">
        <v>84</v>
      </c>
      <c r="O1" t="s">
        <v>703</v>
      </c>
    </row>
    <row r="2" spans="1:15" x14ac:dyDescent="0.25">
      <c r="A2" t="s">
        <v>528</v>
      </c>
      <c r="B2" t="s">
        <v>13</v>
      </c>
      <c r="C2">
        <v>45939</v>
      </c>
      <c r="D2">
        <v>46022</v>
      </c>
      <c r="E2" t="s">
        <v>715</v>
      </c>
      <c r="F2" t="s">
        <v>14</v>
      </c>
      <c r="G2">
        <v>1081052090</v>
      </c>
      <c r="H2" t="s">
        <v>529</v>
      </c>
      <c r="I2">
        <v>98333941</v>
      </c>
      <c r="J2" t="s">
        <v>14</v>
      </c>
      <c r="K2" t="s">
        <v>15</v>
      </c>
      <c r="L2">
        <v>2000000</v>
      </c>
      <c r="M2">
        <v>6000000</v>
      </c>
      <c r="N2" t="s">
        <v>704</v>
      </c>
      <c r="O2">
        <v>4000000</v>
      </c>
    </row>
    <row r="3" spans="1:15" x14ac:dyDescent="0.25">
      <c r="A3" t="s">
        <v>647</v>
      </c>
      <c r="B3" t="s">
        <v>13</v>
      </c>
      <c r="C3">
        <v>45939</v>
      </c>
      <c r="D3">
        <v>46006</v>
      </c>
      <c r="E3" t="s">
        <v>819</v>
      </c>
      <c r="F3" t="s">
        <v>14</v>
      </c>
      <c r="G3">
        <v>1030606749</v>
      </c>
      <c r="H3" t="s">
        <v>86</v>
      </c>
      <c r="I3">
        <v>98390119</v>
      </c>
      <c r="J3" t="s">
        <v>14</v>
      </c>
      <c r="K3" t="s">
        <v>63</v>
      </c>
      <c r="L3">
        <v>3150000</v>
      </c>
      <c r="M3">
        <v>7875000</v>
      </c>
      <c r="N3" t="s">
        <v>704</v>
      </c>
      <c r="O3">
        <v>4725000</v>
      </c>
    </row>
    <row r="4" spans="1:15" x14ac:dyDescent="0.25">
      <c r="A4" t="s">
        <v>371</v>
      </c>
      <c r="B4" t="s">
        <v>13</v>
      </c>
      <c r="C4">
        <v>45938</v>
      </c>
      <c r="D4">
        <v>46022</v>
      </c>
      <c r="E4" t="s">
        <v>722</v>
      </c>
      <c r="F4" t="s">
        <v>14</v>
      </c>
      <c r="G4">
        <v>1123327071</v>
      </c>
      <c r="H4" t="s">
        <v>372</v>
      </c>
      <c r="I4">
        <v>43624414</v>
      </c>
      <c r="J4" t="s">
        <v>14</v>
      </c>
      <c r="K4" t="s">
        <v>18</v>
      </c>
      <c r="L4">
        <v>7800000</v>
      </c>
      <c r="M4">
        <v>23400000</v>
      </c>
      <c r="N4" t="s">
        <v>704</v>
      </c>
      <c r="O4">
        <v>15600000</v>
      </c>
    </row>
    <row r="5" spans="1:15" x14ac:dyDescent="0.25">
      <c r="A5" t="s">
        <v>423</v>
      </c>
      <c r="B5" t="s">
        <v>13</v>
      </c>
      <c r="C5">
        <v>45938</v>
      </c>
      <c r="D5">
        <v>46022</v>
      </c>
      <c r="E5" t="s">
        <v>777</v>
      </c>
      <c r="F5" t="s">
        <v>14</v>
      </c>
      <c r="G5">
        <v>1004213964</v>
      </c>
      <c r="H5" t="s">
        <v>72</v>
      </c>
      <c r="I5">
        <v>59836926</v>
      </c>
      <c r="J5" t="s">
        <v>14</v>
      </c>
      <c r="K5" t="s">
        <v>17</v>
      </c>
      <c r="L5">
        <v>6300000</v>
      </c>
      <c r="M5">
        <v>18900000</v>
      </c>
      <c r="N5" t="s">
        <v>704</v>
      </c>
      <c r="O5">
        <v>12600000</v>
      </c>
    </row>
    <row r="6" spans="1:15" x14ac:dyDescent="0.25">
      <c r="A6" t="s">
        <v>655</v>
      </c>
      <c r="B6" t="s">
        <v>13</v>
      </c>
      <c r="C6">
        <v>45938</v>
      </c>
      <c r="D6">
        <v>46022</v>
      </c>
      <c r="E6" t="s">
        <v>720</v>
      </c>
      <c r="F6" t="s">
        <v>14</v>
      </c>
      <c r="G6">
        <v>1081592742</v>
      </c>
      <c r="H6" t="s">
        <v>656</v>
      </c>
      <c r="I6">
        <v>98333941</v>
      </c>
      <c r="J6" t="s">
        <v>14</v>
      </c>
      <c r="K6" t="s">
        <v>15</v>
      </c>
      <c r="L6">
        <v>3150000</v>
      </c>
      <c r="M6">
        <v>9450000</v>
      </c>
      <c r="N6" t="s">
        <v>704</v>
      </c>
      <c r="O6">
        <v>6300000</v>
      </c>
    </row>
    <row r="7" spans="1:15" x14ac:dyDescent="0.25">
      <c r="A7" t="s">
        <v>309</v>
      </c>
      <c r="B7" t="s">
        <v>13</v>
      </c>
      <c r="C7">
        <v>45937</v>
      </c>
      <c r="D7">
        <v>46022</v>
      </c>
      <c r="E7" t="s">
        <v>755</v>
      </c>
      <c r="F7" t="s">
        <v>14</v>
      </c>
      <c r="G7">
        <v>1233190311</v>
      </c>
      <c r="H7" t="s">
        <v>310</v>
      </c>
      <c r="I7">
        <v>98390119</v>
      </c>
      <c r="J7" t="s">
        <v>14</v>
      </c>
      <c r="K7" t="s">
        <v>63</v>
      </c>
      <c r="L7">
        <v>4730000</v>
      </c>
      <c r="M7">
        <v>14190000</v>
      </c>
      <c r="N7" t="s">
        <v>704</v>
      </c>
      <c r="O7">
        <v>9460000</v>
      </c>
    </row>
    <row r="8" spans="1:15" x14ac:dyDescent="0.25">
      <c r="A8" t="s">
        <v>392</v>
      </c>
      <c r="B8" t="s">
        <v>13</v>
      </c>
      <c r="C8">
        <v>45937</v>
      </c>
      <c r="D8">
        <v>46022</v>
      </c>
      <c r="E8" t="s">
        <v>770</v>
      </c>
      <c r="F8" t="s">
        <v>14</v>
      </c>
      <c r="G8">
        <v>1081272318</v>
      </c>
      <c r="H8" t="s">
        <v>393</v>
      </c>
      <c r="I8">
        <v>43624414</v>
      </c>
      <c r="J8" t="s">
        <v>14</v>
      </c>
      <c r="K8" t="s">
        <v>18</v>
      </c>
      <c r="L8">
        <v>3150000</v>
      </c>
      <c r="M8">
        <v>9450000</v>
      </c>
      <c r="N8" t="s">
        <v>704</v>
      </c>
      <c r="O8">
        <v>6300000</v>
      </c>
    </row>
    <row r="9" spans="1:15" x14ac:dyDescent="0.25">
      <c r="A9" t="s">
        <v>669</v>
      </c>
      <c r="B9" t="s">
        <v>13</v>
      </c>
      <c r="C9">
        <v>45937</v>
      </c>
      <c r="D9">
        <v>46022</v>
      </c>
      <c r="E9" t="s">
        <v>724</v>
      </c>
      <c r="F9" t="s">
        <v>14</v>
      </c>
      <c r="G9">
        <v>27222016</v>
      </c>
      <c r="H9" t="s">
        <v>670</v>
      </c>
      <c r="I9">
        <v>59836926</v>
      </c>
      <c r="J9" t="s">
        <v>14</v>
      </c>
      <c r="K9" t="s">
        <v>17</v>
      </c>
      <c r="L9">
        <v>3150000</v>
      </c>
      <c r="M9">
        <v>9450000</v>
      </c>
      <c r="N9" t="s">
        <v>704</v>
      </c>
      <c r="O9">
        <v>6300000</v>
      </c>
    </row>
    <row r="10" spans="1:15" x14ac:dyDescent="0.25">
      <c r="A10" t="s">
        <v>577</v>
      </c>
      <c r="B10" t="s">
        <v>13</v>
      </c>
      <c r="C10">
        <v>45937</v>
      </c>
      <c r="D10">
        <v>46022</v>
      </c>
      <c r="E10" t="s">
        <v>805</v>
      </c>
      <c r="F10" t="s">
        <v>14</v>
      </c>
      <c r="G10">
        <v>1085317094</v>
      </c>
      <c r="H10" t="s">
        <v>578</v>
      </c>
      <c r="I10">
        <v>59836926</v>
      </c>
      <c r="J10" t="s">
        <v>14</v>
      </c>
      <c r="K10" t="s">
        <v>17</v>
      </c>
      <c r="L10">
        <v>6300000</v>
      </c>
      <c r="M10">
        <v>9450000</v>
      </c>
      <c r="N10" t="s">
        <v>704</v>
      </c>
      <c r="O10">
        <v>3150000</v>
      </c>
    </row>
    <row r="11" spans="1:15" x14ac:dyDescent="0.25">
      <c r="A11" t="s">
        <v>442</v>
      </c>
      <c r="B11" t="s">
        <v>13</v>
      </c>
      <c r="C11">
        <v>45936</v>
      </c>
      <c r="D11">
        <v>46022</v>
      </c>
      <c r="E11" t="s">
        <v>783</v>
      </c>
      <c r="F11" t="s">
        <v>14</v>
      </c>
      <c r="G11">
        <v>1085261053</v>
      </c>
      <c r="H11" t="s">
        <v>443</v>
      </c>
      <c r="I11">
        <v>98333941</v>
      </c>
      <c r="J11" t="s">
        <v>14</v>
      </c>
      <c r="K11" t="s">
        <v>15</v>
      </c>
      <c r="L11">
        <v>3150000</v>
      </c>
      <c r="M11">
        <v>9450000</v>
      </c>
      <c r="N11" t="s">
        <v>704</v>
      </c>
      <c r="O11">
        <v>6300000</v>
      </c>
    </row>
    <row r="12" spans="1:15" x14ac:dyDescent="0.25">
      <c r="A12" t="s">
        <v>477</v>
      </c>
      <c r="B12" t="s">
        <v>13</v>
      </c>
      <c r="C12">
        <v>45936</v>
      </c>
      <c r="D12">
        <v>46022</v>
      </c>
      <c r="E12" t="s">
        <v>731</v>
      </c>
      <c r="F12" t="s">
        <v>14</v>
      </c>
      <c r="G12">
        <v>1004190984</v>
      </c>
      <c r="H12" t="s">
        <v>478</v>
      </c>
      <c r="I12">
        <v>98333941</v>
      </c>
      <c r="J12" t="s">
        <v>14</v>
      </c>
      <c r="K12" t="s">
        <v>15</v>
      </c>
      <c r="L12">
        <v>3150000</v>
      </c>
      <c r="M12">
        <v>9450000</v>
      </c>
      <c r="N12" t="s">
        <v>704</v>
      </c>
      <c r="O12">
        <v>6300000</v>
      </c>
    </row>
    <row r="13" spans="1:15" x14ac:dyDescent="0.25">
      <c r="A13" t="s">
        <v>419</v>
      </c>
      <c r="B13" t="s">
        <v>13</v>
      </c>
      <c r="C13">
        <v>45932</v>
      </c>
      <c r="D13">
        <v>46022</v>
      </c>
      <c r="E13" t="s">
        <v>755</v>
      </c>
      <c r="F13" t="s">
        <v>14</v>
      </c>
      <c r="G13">
        <v>1085293619</v>
      </c>
      <c r="H13" t="s">
        <v>420</v>
      </c>
      <c r="I13">
        <v>43624414</v>
      </c>
      <c r="J13" t="s">
        <v>14</v>
      </c>
      <c r="K13" t="s">
        <v>18</v>
      </c>
      <c r="L13">
        <v>4730000</v>
      </c>
      <c r="M13">
        <v>14190000</v>
      </c>
      <c r="N13" t="s">
        <v>704</v>
      </c>
      <c r="O13">
        <v>9460000</v>
      </c>
    </row>
    <row r="14" spans="1:15" x14ac:dyDescent="0.25">
      <c r="A14" t="s">
        <v>437</v>
      </c>
      <c r="B14" t="s">
        <v>13</v>
      </c>
      <c r="C14">
        <v>45932</v>
      </c>
      <c r="D14">
        <v>46022</v>
      </c>
      <c r="E14" t="s">
        <v>781</v>
      </c>
      <c r="F14" t="s">
        <v>14</v>
      </c>
      <c r="G14">
        <v>37084258</v>
      </c>
      <c r="H14" t="s">
        <v>438</v>
      </c>
      <c r="I14">
        <v>43624414</v>
      </c>
      <c r="J14" t="s">
        <v>14</v>
      </c>
      <c r="K14" t="s">
        <v>18</v>
      </c>
      <c r="L14">
        <v>4730000</v>
      </c>
      <c r="M14">
        <v>14190000</v>
      </c>
      <c r="N14" t="s">
        <v>704</v>
      </c>
      <c r="O14">
        <v>9460000</v>
      </c>
    </row>
    <row r="15" spans="1:15" x14ac:dyDescent="0.25">
      <c r="A15" t="s">
        <v>672</v>
      </c>
      <c r="B15" t="s">
        <v>13</v>
      </c>
      <c r="C15">
        <v>45932</v>
      </c>
      <c r="D15">
        <v>46022</v>
      </c>
      <c r="E15" t="s">
        <v>744</v>
      </c>
      <c r="F15" t="s">
        <v>14</v>
      </c>
      <c r="G15">
        <v>1085331301</v>
      </c>
      <c r="H15" t="s">
        <v>673</v>
      </c>
      <c r="I15">
        <v>43624414</v>
      </c>
      <c r="J15" t="s">
        <v>14</v>
      </c>
      <c r="K15" t="s">
        <v>18</v>
      </c>
      <c r="L15">
        <v>4730000</v>
      </c>
      <c r="M15">
        <v>14190000</v>
      </c>
      <c r="N15" t="s">
        <v>704</v>
      </c>
      <c r="O15">
        <v>9460000</v>
      </c>
    </row>
    <row r="16" spans="1:15" x14ac:dyDescent="0.25">
      <c r="A16" t="s">
        <v>661</v>
      </c>
      <c r="B16" t="s">
        <v>13</v>
      </c>
      <c r="C16">
        <v>45932</v>
      </c>
      <c r="D16">
        <v>46022</v>
      </c>
      <c r="E16" t="s">
        <v>747</v>
      </c>
      <c r="F16" t="s">
        <v>14</v>
      </c>
      <c r="G16">
        <v>1081052779</v>
      </c>
      <c r="H16" t="s">
        <v>662</v>
      </c>
      <c r="I16">
        <v>98390119</v>
      </c>
      <c r="J16" t="s">
        <v>14</v>
      </c>
      <c r="K16" t="s">
        <v>63</v>
      </c>
      <c r="L16">
        <v>3150000</v>
      </c>
      <c r="M16">
        <v>9450000</v>
      </c>
      <c r="N16" t="s">
        <v>704</v>
      </c>
      <c r="O16">
        <v>6300000</v>
      </c>
    </row>
    <row r="17" spans="1:15" x14ac:dyDescent="0.25">
      <c r="A17" t="s">
        <v>448</v>
      </c>
      <c r="B17" t="s">
        <v>13</v>
      </c>
      <c r="C17">
        <v>45931</v>
      </c>
      <c r="D17">
        <v>46022</v>
      </c>
      <c r="E17" t="s">
        <v>785</v>
      </c>
      <c r="F17" t="s">
        <v>14</v>
      </c>
      <c r="G17">
        <v>1004592366</v>
      </c>
      <c r="H17" t="s">
        <v>449</v>
      </c>
      <c r="I17">
        <v>98390119</v>
      </c>
      <c r="J17" t="s">
        <v>14</v>
      </c>
      <c r="K17" t="s">
        <v>63</v>
      </c>
      <c r="L17">
        <v>3150000</v>
      </c>
      <c r="M17">
        <v>9450000</v>
      </c>
      <c r="N17" t="s">
        <v>704</v>
      </c>
      <c r="O17">
        <v>6300000</v>
      </c>
    </row>
    <row r="18" spans="1:15" x14ac:dyDescent="0.25">
      <c r="A18" t="s">
        <v>394</v>
      </c>
      <c r="B18" t="s">
        <v>13</v>
      </c>
      <c r="C18">
        <v>45931</v>
      </c>
      <c r="D18">
        <v>46022</v>
      </c>
      <c r="E18" t="s">
        <v>771</v>
      </c>
      <c r="F18" t="s">
        <v>14</v>
      </c>
      <c r="G18">
        <v>1233188033</v>
      </c>
      <c r="H18" t="s">
        <v>395</v>
      </c>
      <c r="I18">
        <v>98390119</v>
      </c>
      <c r="J18" t="s">
        <v>14</v>
      </c>
      <c r="K18" t="s">
        <v>63</v>
      </c>
      <c r="L18">
        <v>4730000</v>
      </c>
      <c r="M18">
        <v>14190000</v>
      </c>
      <c r="N18" t="s">
        <v>704</v>
      </c>
      <c r="O18">
        <v>9460000</v>
      </c>
    </row>
    <row r="19" spans="1:15" x14ac:dyDescent="0.25">
      <c r="A19" t="s">
        <v>675</v>
      </c>
      <c r="B19" t="s">
        <v>13</v>
      </c>
      <c r="C19">
        <v>45931</v>
      </c>
      <c r="D19">
        <v>46022</v>
      </c>
      <c r="E19" t="s">
        <v>815</v>
      </c>
      <c r="F19" t="s">
        <v>14</v>
      </c>
      <c r="G19">
        <v>1085304308</v>
      </c>
      <c r="H19" t="s">
        <v>68</v>
      </c>
      <c r="I19">
        <v>98333941</v>
      </c>
      <c r="J19" t="s">
        <v>14</v>
      </c>
      <c r="K19" t="s">
        <v>15</v>
      </c>
      <c r="L19">
        <v>3150000</v>
      </c>
      <c r="M19">
        <v>9450000</v>
      </c>
      <c r="N19" t="s">
        <v>704</v>
      </c>
      <c r="O19">
        <v>6300000</v>
      </c>
    </row>
    <row r="20" spans="1:15" x14ac:dyDescent="0.25">
      <c r="A20" t="s">
        <v>144</v>
      </c>
      <c r="B20" t="s">
        <v>13</v>
      </c>
      <c r="C20">
        <v>45931</v>
      </c>
      <c r="D20">
        <v>46022</v>
      </c>
      <c r="E20" t="s">
        <v>724</v>
      </c>
      <c r="F20" t="s">
        <v>14</v>
      </c>
      <c r="G20">
        <v>1085275400</v>
      </c>
      <c r="H20" t="s">
        <v>145</v>
      </c>
      <c r="I20">
        <v>43624414</v>
      </c>
      <c r="J20" t="s">
        <v>14</v>
      </c>
      <c r="K20" t="s">
        <v>18</v>
      </c>
      <c r="L20">
        <v>3150000</v>
      </c>
      <c r="M20">
        <v>9450000</v>
      </c>
      <c r="N20" t="s">
        <v>704</v>
      </c>
      <c r="O20">
        <v>6300000</v>
      </c>
    </row>
    <row r="21" spans="1:15" x14ac:dyDescent="0.25">
      <c r="A21" t="s">
        <v>255</v>
      </c>
      <c r="B21" t="s">
        <v>13</v>
      </c>
      <c r="C21">
        <v>45931</v>
      </c>
      <c r="D21">
        <v>46022</v>
      </c>
      <c r="E21" t="s">
        <v>747</v>
      </c>
      <c r="F21" t="s">
        <v>14</v>
      </c>
      <c r="G21">
        <v>36861874</v>
      </c>
      <c r="H21" t="s">
        <v>50</v>
      </c>
      <c r="I21">
        <v>98390119</v>
      </c>
      <c r="J21" t="s">
        <v>14</v>
      </c>
      <c r="K21" t="s">
        <v>63</v>
      </c>
      <c r="L21">
        <v>3150000</v>
      </c>
      <c r="M21">
        <v>9450000</v>
      </c>
      <c r="N21" t="s">
        <v>704</v>
      </c>
      <c r="O21">
        <v>6300000</v>
      </c>
    </row>
    <row r="22" spans="1:15" x14ac:dyDescent="0.25">
      <c r="A22" t="s">
        <v>115</v>
      </c>
      <c r="B22" t="s">
        <v>13</v>
      </c>
      <c r="C22">
        <v>45931</v>
      </c>
      <c r="D22">
        <v>46022</v>
      </c>
      <c r="E22" t="s">
        <v>716</v>
      </c>
      <c r="F22" t="s">
        <v>14</v>
      </c>
      <c r="G22">
        <v>1004217101</v>
      </c>
      <c r="H22" t="s">
        <v>116</v>
      </c>
      <c r="I22">
        <v>98390119</v>
      </c>
      <c r="J22" t="s">
        <v>14</v>
      </c>
      <c r="K22" t="s">
        <v>63</v>
      </c>
      <c r="L22">
        <v>0</v>
      </c>
      <c r="M22">
        <v>9450000</v>
      </c>
      <c r="N22" t="s">
        <v>704</v>
      </c>
      <c r="O22">
        <v>9450000</v>
      </c>
    </row>
    <row r="23" spans="1:15" x14ac:dyDescent="0.25">
      <c r="A23" t="s">
        <v>601</v>
      </c>
      <c r="B23" t="s">
        <v>13</v>
      </c>
      <c r="C23">
        <v>45931</v>
      </c>
      <c r="D23">
        <v>46022</v>
      </c>
      <c r="E23" t="s">
        <v>808</v>
      </c>
      <c r="F23" t="s">
        <v>14</v>
      </c>
      <c r="G23">
        <v>1085298800</v>
      </c>
      <c r="H23" t="s">
        <v>602</v>
      </c>
      <c r="I23">
        <v>98390119</v>
      </c>
      <c r="J23" t="s">
        <v>14</v>
      </c>
      <c r="K23" t="s">
        <v>63</v>
      </c>
      <c r="L23">
        <v>7800000</v>
      </c>
      <c r="M23">
        <v>23400000</v>
      </c>
      <c r="N23" t="s">
        <v>704</v>
      </c>
      <c r="O23">
        <v>15600000</v>
      </c>
    </row>
    <row r="24" spans="1:15" x14ac:dyDescent="0.25">
      <c r="A24" t="s">
        <v>220</v>
      </c>
      <c r="B24" t="s">
        <v>13</v>
      </c>
      <c r="C24">
        <v>45930</v>
      </c>
      <c r="D24">
        <v>46022</v>
      </c>
      <c r="E24" t="s">
        <v>744</v>
      </c>
      <c r="F24" t="s">
        <v>14</v>
      </c>
      <c r="G24">
        <v>27105277</v>
      </c>
      <c r="H24" t="s">
        <v>221</v>
      </c>
      <c r="I24">
        <v>59836926</v>
      </c>
      <c r="J24" t="s">
        <v>14</v>
      </c>
      <c r="K24" t="s">
        <v>17</v>
      </c>
      <c r="L24">
        <v>4730000</v>
      </c>
      <c r="M24">
        <v>14190000</v>
      </c>
      <c r="N24" t="s">
        <v>704</v>
      </c>
      <c r="O24">
        <v>9460000</v>
      </c>
    </row>
    <row r="25" spans="1:15" x14ac:dyDescent="0.25">
      <c r="A25" t="s">
        <v>651</v>
      </c>
      <c r="B25" t="s">
        <v>13</v>
      </c>
      <c r="C25">
        <v>45930</v>
      </c>
      <c r="D25">
        <v>46022</v>
      </c>
      <c r="E25" t="s">
        <v>820</v>
      </c>
      <c r="F25" t="s">
        <v>14</v>
      </c>
      <c r="G25">
        <v>1081053820</v>
      </c>
      <c r="H25" t="s">
        <v>652</v>
      </c>
      <c r="I25">
        <v>98333941</v>
      </c>
      <c r="J25" t="s">
        <v>14</v>
      </c>
      <c r="K25" t="s">
        <v>15</v>
      </c>
      <c r="L25">
        <v>3150000</v>
      </c>
      <c r="M25">
        <v>11025000</v>
      </c>
      <c r="N25" t="s">
        <v>704</v>
      </c>
      <c r="O25">
        <v>7875000</v>
      </c>
    </row>
    <row r="26" spans="1:15" x14ac:dyDescent="0.25">
      <c r="A26" t="s">
        <v>653</v>
      </c>
      <c r="B26" t="s">
        <v>13</v>
      </c>
      <c r="C26">
        <v>45930</v>
      </c>
      <c r="D26">
        <v>46022</v>
      </c>
      <c r="E26" t="s">
        <v>821</v>
      </c>
      <c r="F26" t="s">
        <v>14</v>
      </c>
      <c r="G26">
        <v>37085864</v>
      </c>
      <c r="H26" t="s">
        <v>654</v>
      </c>
      <c r="I26">
        <v>59836926</v>
      </c>
      <c r="J26" t="s">
        <v>14</v>
      </c>
      <c r="K26" t="s">
        <v>17</v>
      </c>
      <c r="L26">
        <v>6300000</v>
      </c>
      <c r="M26">
        <v>18900000</v>
      </c>
      <c r="N26" t="s">
        <v>704</v>
      </c>
      <c r="O26">
        <v>12600000</v>
      </c>
    </row>
    <row r="27" spans="1:15" x14ac:dyDescent="0.25">
      <c r="A27" t="s">
        <v>580</v>
      </c>
      <c r="B27" t="s">
        <v>13</v>
      </c>
      <c r="C27">
        <v>45930</v>
      </c>
      <c r="D27">
        <v>46022</v>
      </c>
      <c r="E27" t="s">
        <v>806</v>
      </c>
      <c r="F27" t="s">
        <v>14</v>
      </c>
      <c r="G27">
        <v>1085310606</v>
      </c>
      <c r="H27" t="s">
        <v>581</v>
      </c>
      <c r="I27">
        <v>98390119</v>
      </c>
      <c r="J27" t="s">
        <v>14</v>
      </c>
      <c r="K27" t="s">
        <v>63</v>
      </c>
      <c r="L27">
        <v>0</v>
      </c>
      <c r="M27">
        <v>9450000</v>
      </c>
      <c r="N27" t="s">
        <v>704</v>
      </c>
      <c r="O27">
        <v>9450000</v>
      </c>
    </row>
    <row r="28" spans="1:15" x14ac:dyDescent="0.25">
      <c r="A28" t="s">
        <v>315</v>
      </c>
      <c r="B28" t="s">
        <v>13</v>
      </c>
      <c r="C28">
        <v>45930</v>
      </c>
      <c r="D28">
        <v>46022</v>
      </c>
      <c r="E28" t="s">
        <v>754</v>
      </c>
      <c r="F28" t="s">
        <v>14</v>
      </c>
      <c r="G28">
        <v>1085253062</v>
      </c>
      <c r="H28" t="s">
        <v>316</v>
      </c>
      <c r="I28">
        <v>98390119</v>
      </c>
      <c r="J28" t="s">
        <v>14</v>
      </c>
      <c r="K28" t="s">
        <v>63</v>
      </c>
      <c r="L28">
        <v>6300000</v>
      </c>
      <c r="M28">
        <v>18900000</v>
      </c>
      <c r="N28" t="s">
        <v>704</v>
      </c>
      <c r="O28">
        <v>12600000</v>
      </c>
    </row>
    <row r="29" spans="1:15" x14ac:dyDescent="0.25">
      <c r="A29" t="s">
        <v>582</v>
      </c>
      <c r="B29" t="s">
        <v>13</v>
      </c>
      <c r="C29">
        <v>45930</v>
      </c>
      <c r="D29">
        <v>46022</v>
      </c>
      <c r="E29" t="s">
        <v>744</v>
      </c>
      <c r="F29" t="s">
        <v>14</v>
      </c>
      <c r="G29">
        <v>1085313870</v>
      </c>
      <c r="H29" t="s">
        <v>87</v>
      </c>
      <c r="I29">
        <v>43624414</v>
      </c>
      <c r="J29" t="s">
        <v>14</v>
      </c>
      <c r="K29" t="s">
        <v>18</v>
      </c>
      <c r="L29">
        <v>4730000</v>
      </c>
      <c r="M29">
        <v>14190000</v>
      </c>
      <c r="N29" t="s">
        <v>704</v>
      </c>
      <c r="O29">
        <v>9460000</v>
      </c>
    </row>
    <row r="30" spans="1:15" x14ac:dyDescent="0.25">
      <c r="A30" t="s">
        <v>367</v>
      </c>
      <c r="B30" t="s">
        <v>13</v>
      </c>
      <c r="C30">
        <v>45930</v>
      </c>
      <c r="D30">
        <v>46022</v>
      </c>
      <c r="E30" t="s">
        <v>765</v>
      </c>
      <c r="F30" t="s">
        <v>14</v>
      </c>
      <c r="G30">
        <v>1193035720</v>
      </c>
      <c r="H30" t="s">
        <v>368</v>
      </c>
      <c r="I30">
        <v>43624414</v>
      </c>
      <c r="J30" t="s">
        <v>14</v>
      </c>
      <c r="K30" t="s">
        <v>18</v>
      </c>
      <c r="L30">
        <v>0</v>
      </c>
      <c r="M30">
        <v>9450000</v>
      </c>
      <c r="N30" t="s">
        <v>704</v>
      </c>
      <c r="O30">
        <v>9450000</v>
      </c>
    </row>
    <row r="31" spans="1:15" x14ac:dyDescent="0.25">
      <c r="A31" t="s">
        <v>446</v>
      </c>
      <c r="B31" t="s">
        <v>13</v>
      </c>
      <c r="C31">
        <v>45930</v>
      </c>
      <c r="D31">
        <v>46022</v>
      </c>
      <c r="E31" t="s">
        <v>784</v>
      </c>
      <c r="F31" t="s">
        <v>14</v>
      </c>
      <c r="G31">
        <v>59816986</v>
      </c>
      <c r="H31" t="s">
        <v>447</v>
      </c>
      <c r="I31">
        <v>98390119</v>
      </c>
      <c r="J31" t="s">
        <v>14</v>
      </c>
      <c r="K31" t="s">
        <v>63</v>
      </c>
      <c r="L31">
        <v>4730000</v>
      </c>
      <c r="M31">
        <v>14190000</v>
      </c>
      <c r="N31" t="s">
        <v>704</v>
      </c>
      <c r="O31">
        <v>9460000</v>
      </c>
    </row>
    <row r="32" spans="1:15" x14ac:dyDescent="0.25">
      <c r="A32" t="s">
        <v>203</v>
      </c>
      <c r="B32" t="s">
        <v>13</v>
      </c>
      <c r="C32">
        <v>45930</v>
      </c>
      <c r="D32">
        <v>46022</v>
      </c>
      <c r="E32" t="s">
        <v>738</v>
      </c>
      <c r="F32" t="s">
        <v>14</v>
      </c>
      <c r="G32">
        <v>1193271485</v>
      </c>
      <c r="H32" t="s">
        <v>204</v>
      </c>
      <c r="I32">
        <v>98390119</v>
      </c>
      <c r="J32" t="s">
        <v>14</v>
      </c>
      <c r="K32" t="s">
        <v>63</v>
      </c>
      <c r="L32">
        <v>6300000</v>
      </c>
      <c r="M32">
        <v>18900000</v>
      </c>
      <c r="N32" t="s">
        <v>704</v>
      </c>
      <c r="O32">
        <v>12600000</v>
      </c>
    </row>
    <row r="33" spans="1:15" x14ac:dyDescent="0.25">
      <c r="A33" t="s">
        <v>472</v>
      </c>
      <c r="B33" t="s">
        <v>13</v>
      </c>
      <c r="C33">
        <v>45930</v>
      </c>
      <c r="D33">
        <v>46022</v>
      </c>
      <c r="E33" t="s">
        <v>789</v>
      </c>
      <c r="F33" t="s">
        <v>14</v>
      </c>
      <c r="G33">
        <v>12961407</v>
      </c>
      <c r="H33" t="s">
        <v>473</v>
      </c>
      <c r="I33">
        <v>59836926</v>
      </c>
      <c r="J33" t="s">
        <v>14</v>
      </c>
      <c r="K33" t="s">
        <v>17</v>
      </c>
      <c r="L33">
        <v>0</v>
      </c>
      <c r="M33">
        <v>23400000</v>
      </c>
      <c r="N33" t="s">
        <v>704</v>
      </c>
      <c r="O33">
        <v>23400000</v>
      </c>
    </row>
    <row r="34" spans="1:15" x14ac:dyDescent="0.25">
      <c r="A34" t="s">
        <v>330</v>
      </c>
      <c r="B34" t="s">
        <v>13</v>
      </c>
      <c r="C34">
        <v>45930</v>
      </c>
      <c r="D34">
        <v>46022</v>
      </c>
      <c r="E34" t="s">
        <v>761</v>
      </c>
      <c r="F34" t="s">
        <v>14</v>
      </c>
      <c r="G34">
        <v>1080041553</v>
      </c>
      <c r="H34" t="s">
        <v>331</v>
      </c>
      <c r="I34">
        <v>98390119</v>
      </c>
      <c r="J34" t="s">
        <v>14</v>
      </c>
      <c r="K34" t="s">
        <v>63</v>
      </c>
      <c r="L34">
        <v>0</v>
      </c>
      <c r="M34">
        <v>11025000</v>
      </c>
      <c r="N34" t="s">
        <v>704</v>
      </c>
      <c r="O34">
        <v>11025000</v>
      </c>
    </row>
    <row r="35" spans="1:15" x14ac:dyDescent="0.25">
      <c r="A35" t="s">
        <v>266</v>
      </c>
      <c r="B35" t="s">
        <v>13</v>
      </c>
      <c r="C35">
        <v>45929</v>
      </c>
      <c r="D35">
        <v>46022</v>
      </c>
      <c r="E35" t="s">
        <v>720</v>
      </c>
      <c r="F35" t="s">
        <v>14</v>
      </c>
      <c r="G35">
        <v>1086361622</v>
      </c>
      <c r="H35" t="s">
        <v>267</v>
      </c>
      <c r="I35">
        <v>98390119</v>
      </c>
      <c r="J35" t="s">
        <v>14</v>
      </c>
      <c r="K35" t="s">
        <v>63</v>
      </c>
      <c r="L35">
        <v>3150000</v>
      </c>
      <c r="M35">
        <v>9450000</v>
      </c>
      <c r="N35" t="s">
        <v>704</v>
      </c>
      <c r="O35">
        <v>6300000</v>
      </c>
    </row>
    <row r="36" spans="1:15" x14ac:dyDescent="0.25">
      <c r="A36" t="s">
        <v>640</v>
      </c>
      <c r="B36" t="s">
        <v>13</v>
      </c>
      <c r="C36">
        <v>45929</v>
      </c>
      <c r="D36">
        <v>46022</v>
      </c>
      <c r="E36" t="s">
        <v>818</v>
      </c>
      <c r="F36" t="s">
        <v>14</v>
      </c>
      <c r="G36">
        <v>1081572042</v>
      </c>
      <c r="H36" t="s">
        <v>641</v>
      </c>
      <c r="I36">
        <v>98390119</v>
      </c>
      <c r="J36" t="s">
        <v>14</v>
      </c>
      <c r="K36" t="s">
        <v>63</v>
      </c>
      <c r="L36">
        <v>3150000</v>
      </c>
      <c r="M36">
        <v>9450000</v>
      </c>
      <c r="N36" t="s">
        <v>704</v>
      </c>
      <c r="O36">
        <v>6300000</v>
      </c>
    </row>
    <row r="37" spans="1:15" x14ac:dyDescent="0.25">
      <c r="A37" t="s">
        <v>382</v>
      </c>
      <c r="B37" t="s">
        <v>13</v>
      </c>
      <c r="C37">
        <v>45929</v>
      </c>
      <c r="D37">
        <v>46022</v>
      </c>
      <c r="E37" t="s">
        <v>767</v>
      </c>
      <c r="F37" t="s">
        <v>14</v>
      </c>
      <c r="G37">
        <v>1085323338</v>
      </c>
      <c r="H37" t="s">
        <v>383</v>
      </c>
      <c r="I37">
        <v>98390119</v>
      </c>
      <c r="J37" t="s">
        <v>14</v>
      </c>
      <c r="K37" t="s">
        <v>63</v>
      </c>
      <c r="L37">
        <v>4730000</v>
      </c>
      <c r="M37">
        <v>14190000</v>
      </c>
      <c r="N37" t="s">
        <v>704</v>
      </c>
      <c r="O37">
        <v>9460000</v>
      </c>
    </row>
    <row r="38" spans="1:15" x14ac:dyDescent="0.25">
      <c r="A38" t="s">
        <v>547</v>
      </c>
      <c r="B38" t="s">
        <v>13</v>
      </c>
      <c r="C38">
        <v>45929</v>
      </c>
      <c r="D38">
        <v>46022</v>
      </c>
      <c r="E38" t="s">
        <v>800</v>
      </c>
      <c r="F38" t="s">
        <v>14</v>
      </c>
      <c r="G38">
        <v>1082748032</v>
      </c>
      <c r="H38" t="s">
        <v>548</v>
      </c>
      <c r="I38">
        <v>98333941</v>
      </c>
      <c r="J38" t="s">
        <v>14</v>
      </c>
      <c r="K38" t="s">
        <v>15</v>
      </c>
      <c r="L38">
        <v>3150000</v>
      </c>
      <c r="M38">
        <v>9450000</v>
      </c>
      <c r="N38" t="s">
        <v>704</v>
      </c>
      <c r="O38">
        <v>6300000</v>
      </c>
    </row>
    <row r="39" spans="1:15" x14ac:dyDescent="0.25">
      <c r="A39" t="s">
        <v>127</v>
      </c>
      <c r="B39" t="s">
        <v>13</v>
      </c>
      <c r="C39">
        <v>45929</v>
      </c>
      <c r="D39">
        <v>46022</v>
      </c>
      <c r="E39" t="s">
        <v>720</v>
      </c>
      <c r="F39" t="s">
        <v>14</v>
      </c>
      <c r="G39">
        <v>1004666616</v>
      </c>
      <c r="H39" t="s">
        <v>128</v>
      </c>
      <c r="I39">
        <v>98390119</v>
      </c>
      <c r="J39" t="s">
        <v>14</v>
      </c>
      <c r="K39" t="s">
        <v>63</v>
      </c>
      <c r="L39">
        <v>0</v>
      </c>
      <c r="M39">
        <v>9450000</v>
      </c>
      <c r="N39" t="s">
        <v>704</v>
      </c>
      <c r="O39">
        <v>9450000</v>
      </c>
    </row>
    <row r="40" spans="1:15" x14ac:dyDescent="0.25">
      <c r="A40" t="s">
        <v>384</v>
      </c>
      <c r="B40" t="s">
        <v>13</v>
      </c>
      <c r="C40">
        <v>45929</v>
      </c>
      <c r="D40">
        <v>46022</v>
      </c>
      <c r="E40" t="s">
        <v>724</v>
      </c>
      <c r="F40" t="s">
        <v>14</v>
      </c>
      <c r="G40">
        <v>1085346528</v>
      </c>
      <c r="H40" t="s">
        <v>385</v>
      </c>
      <c r="I40">
        <v>43624414</v>
      </c>
      <c r="J40" t="s">
        <v>14</v>
      </c>
      <c r="K40" t="s">
        <v>18</v>
      </c>
      <c r="L40">
        <v>3150000</v>
      </c>
      <c r="M40">
        <v>9450000</v>
      </c>
      <c r="N40" t="s">
        <v>704</v>
      </c>
      <c r="O40">
        <v>6300000</v>
      </c>
    </row>
    <row r="41" spans="1:15" x14ac:dyDescent="0.25">
      <c r="A41" t="s">
        <v>146</v>
      </c>
      <c r="B41" t="s">
        <v>13</v>
      </c>
      <c r="C41">
        <v>45929</v>
      </c>
      <c r="D41">
        <v>46022</v>
      </c>
      <c r="E41" t="s">
        <v>725</v>
      </c>
      <c r="F41" t="s">
        <v>14</v>
      </c>
      <c r="G41">
        <v>52381227</v>
      </c>
      <c r="H41" t="s">
        <v>147</v>
      </c>
      <c r="I41">
        <v>98390119</v>
      </c>
      <c r="J41" t="s">
        <v>14</v>
      </c>
      <c r="K41" t="s">
        <v>63</v>
      </c>
      <c r="L41">
        <v>4730000</v>
      </c>
      <c r="M41">
        <v>14190000</v>
      </c>
      <c r="N41" t="s">
        <v>704</v>
      </c>
      <c r="O41">
        <v>9460000</v>
      </c>
    </row>
    <row r="42" spans="1:15" x14ac:dyDescent="0.25">
      <c r="A42" t="s">
        <v>488</v>
      </c>
      <c r="B42" t="s">
        <v>13</v>
      </c>
      <c r="C42">
        <v>45929</v>
      </c>
      <c r="D42">
        <v>46022</v>
      </c>
      <c r="E42" t="s">
        <v>791</v>
      </c>
      <c r="F42" t="s">
        <v>14</v>
      </c>
      <c r="G42">
        <v>12754447</v>
      </c>
      <c r="H42" t="s">
        <v>489</v>
      </c>
      <c r="I42">
        <v>59836926</v>
      </c>
      <c r="J42" t="s">
        <v>14</v>
      </c>
      <c r="K42" t="s">
        <v>17</v>
      </c>
      <c r="L42">
        <v>0</v>
      </c>
      <c r="M42">
        <v>14190000</v>
      </c>
      <c r="N42" t="s">
        <v>704</v>
      </c>
      <c r="O42">
        <v>14190000</v>
      </c>
    </row>
    <row r="43" spans="1:15" x14ac:dyDescent="0.25">
      <c r="A43" t="s">
        <v>396</v>
      </c>
      <c r="B43" t="s">
        <v>13</v>
      </c>
      <c r="C43">
        <v>45929</v>
      </c>
      <c r="D43">
        <v>46022</v>
      </c>
      <c r="E43" t="s">
        <v>772</v>
      </c>
      <c r="F43" t="s">
        <v>14</v>
      </c>
      <c r="G43">
        <v>1086360087</v>
      </c>
      <c r="H43" t="s">
        <v>397</v>
      </c>
      <c r="I43">
        <v>98390119</v>
      </c>
      <c r="J43" t="s">
        <v>14</v>
      </c>
      <c r="K43" t="s">
        <v>63</v>
      </c>
      <c r="L43">
        <v>6300000</v>
      </c>
      <c r="M43">
        <v>18900000</v>
      </c>
      <c r="N43" t="s">
        <v>704</v>
      </c>
      <c r="O43">
        <v>12600000</v>
      </c>
    </row>
    <row r="44" spans="1:15" x14ac:dyDescent="0.25">
      <c r="A44" t="s">
        <v>187</v>
      </c>
      <c r="B44" t="s">
        <v>13</v>
      </c>
      <c r="C44">
        <v>45926</v>
      </c>
      <c r="D44">
        <v>46022</v>
      </c>
      <c r="E44" t="s">
        <v>735</v>
      </c>
      <c r="F44" t="s">
        <v>14</v>
      </c>
      <c r="G44">
        <v>27097745</v>
      </c>
      <c r="H44" t="s">
        <v>70</v>
      </c>
      <c r="I44">
        <v>98390119</v>
      </c>
      <c r="J44" t="s">
        <v>14</v>
      </c>
      <c r="K44" t="s">
        <v>63</v>
      </c>
      <c r="L44">
        <v>3150000</v>
      </c>
      <c r="M44">
        <v>22050000</v>
      </c>
      <c r="N44" t="s">
        <v>704</v>
      </c>
      <c r="O44">
        <v>18900000</v>
      </c>
    </row>
    <row r="45" spans="1:15" x14ac:dyDescent="0.25">
      <c r="A45" t="s">
        <v>357</v>
      </c>
      <c r="B45" t="s">
        <v>13</v>
      </c>
      <c r="C45">
        <v>45925</v>
      </c>
      <c r="D45">
        <v>46022</v>
      </c>
      <c r="E45" t="s">
        <v>722</v>
      </c>
      <c r="F45" t="s">
        <v>14</v>
      </c>
      <c r="G45">
        <v>1233188295</v>
      </c>
      <c r="H45" t="s">
        <v>358</v>
      </c>
      <c r="I45">
        <v>98390119</v>
      </c>
      <c r="J45" t="s">
        <v>14</v>
      </c>
      <c r="K45" t="s">
        <v>63</v>
      </c>
      <c r="L45">
        <v>11700000</v>
      </c>
      <c r="M45">
        <v>27300000</v>
      </c>
      <c r="N45" t="s">
        <v>704</v>
      </c>
      <c r="O45">
        <v>15600000</v>
      </c>
    </row>
    <row r="46" spans="1:15" x14ac:dyDescent="0.25">
      <c r="A46" t="s">
        <v>132</v>
      </c>
      <c r="B46" t="s">
        <v>13</v>
      </c>
      <c r="C46">
        <v>45925</v>
      </c>
      <c r="D46">
        <v>46022</v>
      </c>
      <c r="E46" t="s">
        <v>716</v>
      </c>
      <c r="F46" t="s">
        <v>14</v>
      </c>
      <c r="G46">
        <v>1005977438</v>
      </c>
      <c r="H46" t="s">
        <v>133</v>
      </c>
      <c r="I46">
        <v>98390119</v>
      </c>
      <c r="J46" t="s">
        <v>14</v>
      </c>
      <c r="K46" t="s">
        <v>63</v>
      </c>
      <c r="L46">
        <v>4725000</v>
      </c>
      <c r="M46">
        <v>11025000</v>
      </c>
      <c r="N46" t="s">
        <v>704</v>
      </c>
      <c r="O46">
        <v>6300000</v>
      </c>
    </row>
    <row r="47" spans="1:15" x14ac:dyDescent="0.25">
      <c r="A47" t="s">
        <v>279</v>
      </c>
      <c r="B47" t="s">
        <v>13</v>
      </c>
      <c r="C47">
        <v>45925</v>
      </c>
      <c r="D47">
        <v>46022</v>
      </c>
      <c r="E47" t="s">
        <v>722</v>
      </c>
      <c r="F47" t="s">
        <v>14</v>
      </c>
      <c r="G47">
        <v>1144172704</v>
      </c>
      <c r="H47" t="s">
        <v>280</v>
      </c>
      <c r="I47">
        <v>43624414</v>
      </c>
      <c r="J47" t="s">
        <v>14</v>
      </c>
      <c r="K47" t="s">
        <v>18</v>
      </c>
      <c r="L47">
        <v>11700000</v>
      </c>
      <c r="M47">
        <v>27300000</v>
      </c>
      <c r="N47" t="s">
        <v>704</v>
      </c>
      <c r="O47">
        <v>15600000</v>
      </c>
    </row>
    <row r="48" spans="1:15" x14ac:dyDescent="0.25">
      <c r="A48" t="s">
        <v>353</v>
      </c>
      <c r="B48" t="s">
        <v>13</v>
      </c>
      <c r="C48">
        <v>45925</v>
      </c>
      <c r="D48">
        <v>46022</v>
      </c>
      <c r="E48" t="s">
        <v>720</v>
      </c>
      <c r="F48" t="s">
        <v>14</v>
      </c>
      <c r="G48">
        <v>37083086</v>
      </c>
      <c r="H48" t="s">
        <v>354</v>
      </c>
      <c r="I48">
        <v>98333941</v>
      </c>
      <c r="J48" t="s">
        <v>14</v>
      </c>
      <c r="K48" t="s">
        <v>15</v>
      </c>
      <c r="L48">
        <v>4725000</v>
      </c>
      <c r="M48">
        <v>11025000</v>
      </c>
      <c r="N48" t="s">
        <v>704</v>
      </c>
      <c r="O48">
        <v>6300000</v>
      </c>
    </row>
    <row r="49" spans="1:15" x14ac:dyDescent="0.25">
      <c r="A49" t="s">
        <v>347</v>
      </c>
      <c r="B49" t="s">
        <v>13</v>
      </c>
      <c r="C49">
        <v>45924</v>
      </c>
      <c r="D49">
        <v>46022</v>
      </c>
      <c r="E49" t="s">
        <v>763</v>
      </c>
      <c r="F49" t="s">
        <v>14</v>
      </c>
      <c r="G49">
        <v>1086330124</v>
      </c>
      <c r="H49" t="s">
        <v>348</v>
      </c>
      <c r="I49">
        <v>98333941</v>
      </c>
      <c r="J49" t="s">
        <v>14</v>
      </c>
      <c r="K49" t="s">
        <v>15</v>
      </c>
      <c r="L49">
        <v>4725000</v>
      </c>
      <c r="M49">
        <v>11025000</v>
      </c>
      <c r="N49" t="s">
        <v>704</v>
      </c>
      <c r="O49">
        <v>6300000</v>
      </c>
    </row>
    <row r="50" spans="1:15" x14ac:dyDescent="0.25">
      <c r="A50" t="s">
        <v>380</v>
      </c>
      <c r="B50" t="s">
        <v>13</v>
      </c>
      <c r="C50">
        <v>45924</v>
      </c>
      <c r="D50">
        <v>46022</v>
      </c>
      <c r="E50" t="s">
        <v>720</v>
      </c>
      <c r="F50" t="s">
        <v>14</v>
      </c>
      <c r="G50">
        <v>1004437571</v>
      </c>
      <c r="H50" t="s">
        <v>381</v>
      </c>
      <c r="I50">
        <v>98390119</v>
      </c>
      <c r="J50" t="s">
        <v>14</v>
      </c>
      <c r="K50" t="s">
        <v>63</v>
      </c>
      <c r="L50">
        <v>4725000</v>
      </c>
      <c r="M50">
        <v>11025000</v>
      </c>
      <c r="N50" t="s">
        <v>704</v>
      </c>
      <c r="O50">
        <v>6300000</v>
      </c>
    </row>
    <row r="51" spans="1:15" x14ac:dyDescent="0.25">
      <c r="A51" t="s">
        <v>470</v>
      </c>
      <c r="B51" t="s">
        <v>13</v>
      </c>
      <c r="C51">
        <v>45924</v>
      </c>
      <c r="D51">
        <v>46022</v>
      </c>
      <c r="E51" t="s">
        <v>788</v>
      </c>
      <c r="F51" t="s">
        <v>14</v>
      </c>
      <c r="G51">
        <v>1004508406</v>
      </c>
      <c r="H51" t="s">
        <v>471</v>
      </c>
      <c r="I51">
        <v>43624414</v>
      </c>
      <c r="J51" t="s">
        <v>14</v>
      </c>
      <c r="K51" t="s">
        <v>18</v>
      </c>
      <c r="L51">
        <v>4725000</v>
      </c>
      <c r="M51">
        <v>11025000</v>
      </c>
      <c r="N51" t="s">
        <v>704</v>
      </c>
      <c r="O51">
        <v>6300000</v>
      </c>
    </row>
    <row r="52" spans="1:15" x14ac:dyDescent="0.25">
      <c r="A52" t="s">
        <v>607</v>
      </c>
      <c r="B52" t="s">
        <v>13</v>
      </c>
      <c r="C52">
        <v>45923</v>
      </c>
      <c r="D52">
        <v>46022</v>
      </c>
      <c r="E52" t="s">
        <v>745</v>
      </c>
      <c r="F52" t="s">
        <v>14</v>
      </c>
      <c r="G52">
        <v>27456421</v>
      </c>
      <c r="H52" t="s">
        <v>608</v>
      </c>
      <c r="I52">
        <v>98390119</v>
      </c>
      <c r="J52" t="s">
        <v>14</v>
      </c>
      <c r="K52" t="s">
        <v>63</v>
      </c>
      <c r="L52">
        <v>9450000</v>
      </c>
      <c r="M52">
        <v>22050000</v>
      </c>
      <c r="N52" t="s">
        <v>704</v>
      </c>
      <c r="O52">
        <v>12600000</v>
      </c>
    </row>
    <row r="53" spans="1:15" x14ac:dyDescent="0.25">
      <c r="A53" t="s">
        <v>253</v>
      </c>
      <c r="B53" t="s">
        <v>13</v>
      </c>
      <c r="C53">
        <v>45923</v>
      </c>
      <c r="D53">
        <v>46022</v>
      </c>
      <c r="E53" t="s">
        <v>750</v>
      </c>
      <c r="F53" t="s">
        <v>14</v>
      </c>
      <c r="G53">
        <v>36952916</v>
      </c>
      <c r="H53" t="s">
        <v>254</v>
      </c>
      <c r="I53">
        <v>59836926</v>
      </c>
      <c r="J53" t="s">
        <v>14</v>
      </c>
      <c r="K53" t="s">
        <v>17</v>
      </c>
      <c r="L53">
        <v>3150000</v>
      </c>
      <c r="M53">
        <v>22050000</v>
      </c>
      <c r="N53" t="s">
        <v>704</v>
      </c>
      <c r="O53">
        <v>18900000</v>
      </c>
    </row>
    <row r="54" spans="1:15" x14ac:dyDescent="0.25">
      <c r="A54" t="s">
        <v>632</v>
      </c>
      <c r="B54" t="s">
        <v>13</v>
      </c>
      <c r="C54">
        <v>45923</v>
      </c>
      <c r="D54">
        <v>46022</v>
      </c>
      <c r="E54" t="s">
        <v>814</v>
      </c>
      <c r="F54" t="s">
        <v>14</v>
      </c>
      <c r="G54">
        <v>1004134014</v>
      </c>
      <c r="H54" t="s">
        <v>633</v>
      </c>
      <c r="I54">
        <v>43624414</v>
      </c>
      <c r="J54" t="s">
        <v>14</v>
      </c>
      <c r="K54" t="s">
        <v>18</v>
      </c>
      <c r="L54">
        <v>4725000</v>
      </c>
      <c r="M54">
        <v>11025000</v>
      </c>
      <c r="N54" t="s">
        <v>704</v>
      </c>
      <c r="O54">
        <v>6300000</v>
      </c>
    </row>
    <row r="55" spans="1:15" x14ac:dyDescent="0.25">
      <c r="A55" t="s">
        <v>617</v>
      </c>
      <c r="B55" t="s">
        <v>13</v>
      </c>
      <c r="C55">
        <v>45923</v>
      </c>
      <c r="D55">
        <v>46022</v>
      </c>
      <c r="E55" t="s">
        <v>716</v>
      </c>
      <c r="F55" t="s">
        <v>14</v>
      </c>
      <c r="G55">
        <v>1004190710</v>
      </c>
      <c r="H55" t="s">
        <v>618</v>
      </c>
      <c r="I55">
        <v>98333941</v>
      </c>
      <c r="J55" t="s">
        <v>14</v>
      </c>
      <c r="K55" t="s">
        <v>15</v>
      </c>
      <c r="L55">
        <v>0</v>
      </c>
      <c r="M55">
        <v>11025000</v>
      </c>
      <c r="N55" t="s">
        <v>704</v>
      </c>
      <c r="O55">
        <v>11025000</v>
      </c>
    </row>
    <row r="56" spans="1:15" x14ac:dyDescent="0.25">
      <c r="A56" t="s">
        <v>559</v>
      </c>
      <c r="B56" t="s">
        <v>13</v>
      </c>
      <c r="C56">
        <v>45923</v>
      </c>
      <c r="D56">
        <v>46022</v>
      </c>
      <c r="E56" t="s">
        <v>716</v>
      </c>
      <c r="F56" t="s">
        <v>14</v>
      </c>
      <c r="G56">
        <v>1004726621</v>
      </c>
      <c r="H56" t="s">
        <v>560</v>
      </c>
      <c r="I56">
        <v>98390119</v>
      </c>
      <c r="J56" t="s">
        <v>14</v>
      </c>
      <c r="K56" t="s">
        <v>63</v>
      </c>
      <c r="L56">
        <v>4725000</v>
      </c>
      <c r="M56">
        <v>11025000</v>
      </c>
      <c r="N56" t="s">
        <v>704</v>
      </c>
      <c r="O56">
        <v>6300000</v>
      </c>
    </row>
    <row r="57" spans="1:15" x14ac:dyDescent="0.25">
      <c r="A57" t="s">
        <v>460</v>
      </c>
      <c r="B57" t="s">
        <v>13</v>
      </c>
      <c r="C57">
        <v>45923</v>
      </c>
      <c r="D57">
        <v>46022</v>
      </c>
      <c r="E57" t="s">
        <v>736</v>
      </c>
      <c r="F57" t="s">
        <v>14</v>
      </c>
      <c r="G57">
        <v>37082272</v>
      </c>
      <c r="H57" t="s">
        <v>461</v>
      </c>
      <c r="I57">
        <v>98390119</v>
      </c>
      <c r="J57" t="s">
        <v>14</v>
      </c>
      <c r="K57" t="s">
        <v>63</v>
      </c>
      <c r="L57">
        <v>4725000</v>
      </c>
      <c r="M57">
        <v>11025000</v>
      </c>
      <c r="N57" t="s">
        <v>704</v>
      </c>
      <c r="O57">
        <v>6300000</v>
      </c>
    </row>
    <row r="58" spans="1:15" x14ac:dyDescent="0.25">
      <c r="A58" t="s">
        <v>102</v>
      </c>
      <c r="B58" t="s">
        <v>13</v>
      </c>
      <c r="C58">
        <v>45923</v>
      </c>
      <c r="D58">
        <v>46022</v>
      </c>
      <c r="E58" t="s">
        <v>713</v>
      </c>
      <c r="F58" t="s">
        <v>14</v>
      </c>
      <c r="G58">
        <v>1089846684</v>
      </c>
      <c r="H58" t="s">
        <v>103</v>
      </c>
      <c r="I58">
        <v>98390119</v>
      </c>
      <c r="J58" t="s">
        <v>14</v>
      </c>
      <c r="K58" t="s">
        <v>63</v>
      </c>
      <c r="L58">
        <v>11700000</v>
      </c>
      <c r="M58">
        <v>27300000</v>
      </c>
      <c r="N58" t="s">
        <v>704</v>
      </c>
      <c r="O58">
        <v>15600000</v>
      </c>
    </row>
    <row r="59" spans="1:15" x14ac:dyDescent="0.25">
      <c r="A59" t="s">
        <v>597</v>
      </c>
      <c r="B59" t="s">
        <v>13</v>
      </c>
      <c r="C59">
        <v>45922</v>
      </c>
      <c r="D59">
        <v>46022</v>
      </c>
      <c r="E59" t="s">
        <v>720</v>
      </c>
      <c r="F59" t="s">
        <v>14</v>
      </c>
      <c r="G59">
        <v>1085323163</v>
      </c>
      <c r="H59" t="s">
        <v>598</v>
      </c>
      <c r="I59">
        <v>98390119</v>
      </c>
      <c r="J59" t="s">
        <v>14</v>
      </c>
      <c r="K59" t="s">
        <v>63</v>
      </c>
      <c r="L59">
        <v>4725000</v>
      </c>
      <c r="M59">
        <v>11025000</v>
      </c>
      <c r="N59" t="s">
        <v>704</v>
      </c>
      <c r="O59">
        <v>6300000</v>
      </c>
    </row>
    <row r="60" spans="1:15" x14ac:dyDescent="0.25">
      <c r="A60" t="s">
        <v>329</v>
      </c>
      <c r="B60" t="s">
        <v>13</v>
      </c>
      <c r="C60">
        <v>45922</v>
      </c>
      <c r="D60">
        <v>46022</v>
      </c>
      <c r="E60" t="s">
        <v>760</v>
      </c>
      <c r="F60" t="s">
        <v>14</v>
      </c>
      <c r="G60">
        <v>59314458</v>
      </c>
      <c r="H60" t="s">
        <v>25</v>
      </c>
      <c r="I60">
        <v>98390119</v>
      </c>
      <c r="J60" t="s">
        <v>14</v>
      </c>
      <c r="K60" t="s">
        <v>63</v>
      </c>
      <c r="L60">
        <v>9450000</v>
      </c>
      <c r="M60">
        <v>22050000</v>
      </c>
      <c r="N60" t="s">
        <v>704</v>
      </c>
      <c r="O60">
        <v>12600000</v>
      </c>
    </row>
    <row r="61" spans="1:15" x14ac:dyDescent="0.25">
      <c r="A61" t="s">
        <v>545</v>
      </c>
      <c r="B61" t="s">
        <v>13</v>
      </c>
      <c r="C61">
        <v>45922</v>
      </c>
      <c r="D61">
        <v>46022</v>
      </c>
      <c r="E61" t="s">
        <v>799</v>
      </c>
      <c r="F61" t="s">
        <v>14</v>
      </c>
      <c r="G61">
        <v>1004709928</v>
      </c>
      <c r="H61" t="s">
        <v>546</v>
      </c>
      <c r="I61">
        <v>98333941</v>
      </c>
      <c r="J61" t="s">
        <v>14</v>
      </c>
      <c r="K61" t="s">
        <v>15</v>
      </c>
      <c r="L61">
        <v>4725000</v>
      </c>
      <c r="M61">
        <v>11025000</v>
      </c>
      <c r="N61" t="s">
        <v>704</v>
      </c>
      <c r="O61">
        <v>6300000</v>
      </c>
    </row>
    <row r="62" spans="1:15" x14ac:dyDescent="0.25">
      <c r="A62" t="s">
        <v>121</v>
      </c>
      <c r="B62" t="s">
        <v>13</v>
      </c>
      <c r="C62">
        <v>45922</v>
      </c>
      <c r="D62">
        <v>46022</v>
      </c>
      <c r="E62" t="s">
        <v>718</v>
      </c>
      <c r="F62" t="s">
        <v>14</v>
      </c>
      <c r="G62">
        <v>1193383314</v>
      </c>
      <c r="H62" t="s">
        <v>122</v>
      </c>
      <c r="I62">
        <v>98390119</v>
      </c>
      <c r="J62" t="s">
        <v>14</v>
      </c>
      <c r="K62" t="s">
        <v>63</v>
      </c>
      <c r="L62">
        <v>9450000</v>
      </c>
      <c r="M62">
        <v>22050000</v>
      </c>
      <c r="N62" t="s">
        <v>704</v>
      </c>
      <c r="O62">
        <v>12600000</v>
      </c>
    </row>
    <row r="63" spans="1:15" x14ac:dyDescent="0.25">
      <c r="A63" t="s">
        <v>235</v>
      </c>
      <c r="B63" t="s">
        <v>13</v>
      </c>
      <c r="C63">
        <v>45922</v>
      </c>
      <c r="D63">
        <v>46022</v>
      </c>
      <c r="E63" t="s">
        <v>716</v>
      </c>
      <c r="F63" t="s">
        <v>14</v>
      </c>
      <c r="G63">
        <v>1081592303</v>
      </c>
      <c r="H63" t="s">
        <v>32</v>
      </c>
      <c r="I63">
        <v>43624414</v>
      </c>
      <c r="J63" t="s">
        <v>14</v>
      </c>
      <c r="K63" t="s">
        <v>18</v>
      </c>
      <c r="L63">
        <v>4725000</v>
      </c>
      <c r="M63">
        <v>11025000</v>
      </c>
      <c r="N63" t="s">
        <v>704</v>
      </c>
      <c r="O63">
        <v>6300000</v>
      </c>
    </row>
    <row r="64" spans="1:15" x14ac:dyDescent="0.25">
      <c r="A64" t="s">
        <v>363</v>
      </c>
      <c r="B64" t="s">
        <v>13</v>
      </c>
      <c r="C64">
        <v>45922</v>
      </c>
      <c r="D64">
        <v>46022</v>
      </c>
      <c r="E64" t="s">
        <v>749</v>
      </c>
      <c r="F64" t="s">
        <v>14</v>
      </c>
      <c r="G64">
        <v>1085274300</v>
      </c>
      <c r="H64" t="s">
        <v>364</v>
      </c>
      <c r="I64">
        <v>98390119</v>
      </c>
      <c r="J64" t="s">
        <v>14</v>
      </c>
      <c r="K64" t="s">
        <v>63</v>
      </c>
      <c r="L64">
        <v>11700000</v>
      </c>
      <c r="M64">
        <v>27300000</v>
      </c>
      <c r="N64" t="s">
        <v>704</v>
      </c>
      <c r="O64">
        <v>15600000</v>
      </c>
    </row>
    <row r="65" spans="1:15" x14ac:dyDescent="0.25">
      <c r="A65" t="s">
        <v>152</v>
      </c>
      <c r="B65" t="s">
        <v>13</v>
      </c>
      <c r="C65">
        <v>45919</v>
      </c>
      <c r="D65">
        <v>46022</v>
      </c>
      <c r="E65" t="s">
        <v>722</v>
      </c>
      <c r="F65" t="s">
        <v>14</v>
      </c>
      <c r="G65">
        <v>1087645723</v>
      </c>
      <c r="H65" t="s">
        <v>153</v>
      </c>
      <c r="I65">
        <v>98390119</v>
      </c>
      <c r="J65" t="s">
        <v>14</v>
      </c>
      <c r="K65" t="s">
        <v>63</v>
      </c>
      <c r="L65">
        <v>11700000</v>
      </c>
      <c r="M65">
        <v>27300000</v>
      </c>
      <c r="N65" t="s">
        <v>704</v>
      </c>
      <c r="O65">
        <v>15600000</v>
      </c>
    </row>
    <row r="66" spans="1:15" x14ac:dyDescent="0.25">
      <c r="A66" t="s">
        <v>671</v>
      </c>
      <c r="B66" t="s">
        <v>13</v>
      </c>
      <c r="C66">
        <v>45919</v>
      </c>
      <c r="D66">
        <v>46022</v>
      </c>
      <c r="E66" t="s">
        <v>822</v>
      </c>
      <c r="F66" t="s">
        <v>14</v>
      </c>
      <c r="G66">
        <v>59837608</v>
      </c>
      <c r="H66" t="s">
        <v>47</v>
      </c>
      <c r="I66">
        <v>98333941</v>
      </c>
      <c r="J66" t="s">
        <v>14</v>
      </c>
      <c r="K66" t="s">
        <v>15</v>
      </c>
      <c r="L66">
        <v>15750000</v>
      </c>
      <c r="M66">
        <v>22050000</v>
      </c>
      <c r="N66" t="s">
        <v>704</v>
      </c>
      <c r="O66">
        <v>6300000</v>
      </c>
    </row>
    <row r="67" spans="1:15" x14ac:dyDescent="0.25">
      <c r="A67" t="s">
        <v>621</v>
      </c>
      <c r="B67" t="s">
        <v>13</v>
      </c>
      <c r="C67">
        <v>45919</v>
      </c>
      <c r="D67">
        <v>46022</v>
      </c>
      <c r="E67" t="s">
        <v>711</v>
      </c>
      <c r="F67" t="s">
        <v>14</v>
      </c>
      <c r="G67">
        <v>1081594639</v>
      </c>
      <c r="H67" t="s">
        <v>39</v>
      </c>
      <c r="I67">
        <v>43624414</v>
      </c>
      <c r="J67" t="s">
        <v>14</v>
      </c>
      <c r="K67" t="s">
        <v>18</v>
      </c>
      <c r="L67">
        <v>4725000</v>
      </c>
      <c r="M67">
        <v>11025000</v>
      </c>
      <c r="N67" t="s">
        <v>704</v>
      </c>
      <c r="O67">
        <v>6300000</v>
      </c>
    </row>
    <row r="68" spans="1:15" x14ac:dyDescent="0.25">
      <c r="A68" t="s">
        <v>642</v>
      </c>
      <c r="B68" t="s">
        <v>13</v>
      </c>
      <c r="C68">
        <v>45919</v>
      </c>
      <c r="D68">
        <v>46022</v>
      </c>
      <c r="E68" t="s">
        <v>716</v>
      </c>
      <c r="F68" t="s">
        <v>14</v>
      </c>
      <c r="G68">
        <v>1085315209</v>
      </c>
      <c r="H68" t="s">
        <v>643</v>
      </c>
      <c r="I68">
        <v>43624414</v>
      </c>
      <c r="J68" t="s">
        <v>14</v>
      </c>
      <c r="K68" t="s">
        <v>18</v>
      </c>
      <c r="L68">
        <v>4725000</v>
      </c>
      <c r="M68">
        <v>11025000</v>
      </c>
      <c r="N68" t="s">
        <v>704</v>
      </c>
      <c r="O68">
        <v>6300000</v>
      </c>
    </row>
    <row r="69" spans="1:15" x14ac:dyDescent="0.25">
      <c r="A69" t="s">
        <v>245</v>
      </c>
      <c r="B69" t="s">
        <v>13</v>
      </c>
      <c r="C69">
        <v>45919</v>
      </c>
      <c r="D69">
        <v>46022</v>
      </c>
      <c r="E69" t="s">
        <v>749</v>
      </c>
      <c r="F69" t="s">
        <v>14</v>
      </c>
      <c r="G69">
        <v>1110594073</v>
      </c>
      <c r="H69" t="s">
        <v>246</v>
      </c>
      <c r="I69">
        <v>98390119</v>
      </c>
      <c r="J69" t="s">
        <v>14</v>
      </c>
      <c r="K69" t="s">
        <v>63</v>
      </c>
      <c r="L69">
        <v>11700000</v>
      </c>
      <c r="M69">
        <v>27300000</v>
      </c>
      <c r="N69" t="s">
        <v>704</v>
      </c>
      <c r="O69">
        <v>15600000</v>
      </c>
    </row>
    <row r="70" spans="1:15" x14ac:dyDescent="0.25">
      <c r="A70" t="s">
        <v>678</v>
      </c>
      <c r="B70" t="s">
        <v>13</v>
      </c>
      <c r="C70">
        <v>45919</v>
      </c>
      <c r="D70">
        <v>46022</v>
      </c>
      <c r="E70" t="s">
        <v>716</v>
      </c>
      <c r="F70" t="s">
        <v>14</v>
      </c>
      <c r="G70">
        <v>1085295583</v>
      </c>
      <c r="H70" t="s">
        <v>679</v>
      </c>
      <c r="I70">
        <v>98390119</v>
      </c>
      <c r="J70" t="s">
        <v>14</v>
      </c>
      <c r="K70" t="s">
        <v>63</v>
      </c>
      <c r="L70">
        <v>4725000</v>
      </c>
      <c r="M70">
        <v>11025000</v>
      </c>
      <c r="N70" t="s">
        <v>704</v>
      </c>
      <c r="O70">
        <v>6300000</v>
      </c>
    </row>
    <row r="71" spans="1:15" x14ac:dyDescent="0.25">
      <c r="A71" t="s">
        <v>638</v>
      </c>
      <c r="B71" t="s">
        <v>13</v>
      </c>
      <c r="C71">
        <v>45919</v>
      </c>
      <c r="D71">
        <v>46022</v>
      </c>
      <c r="E71" t="s">
        <v>817</v>
      </c>
      <c r="F71" t="s">
        <v>14</v>
      </c>
      <c r="G71">
        <v>1004564013</v>
      </c>
      <c r="H71" t="s">
        <v>639</v>
      </c>
      <c r="I71">
        <v>43624414</v>
      </c>
      <c r="J71" t="s">
        <v>14</v>
      </c>
      <c r="K71" t="s">
        <v>18</v>
      </c>
      <c r="L71">
        <v>9450000</v>
      </c>
      <c r="M71">
        <v>22050000</v>
      </c>
      <c r="N71" t="s">
        <v>704</v>
      </c>
      <c r="O71">
        <v>12600000</v>
      </c>
    </row>
    <row r="72" spans="1:15" x14ac:dyDescent="0.25">
      <c r="A72" t="s">
        <v>243</v>
      </c>
      <c r="B72" t="s">
        <v>13</v>
      </c>
      <c r="C72">
        <v>45919</v>
      </c>
      <c r="D72">
        <v>46022</v>
      </c>
      <c r="E72" t="s">
        <v>716</v>
      </c>
      <c r="F72" t="s">
        <v>14</v>
      </c>
      <c r="G72">
        <v>27444591</v>
      </c>
      <c r="H72" t="s">
        <v>244</v>
      </c>
      <c r="I72">
        <v>98390119</v>
      </c>
      <c r="J72" t="s">
        <v>14</v>
      </c>
      <c r="K72" t="s">
        <v>63</v>
      </c>
      <c r="L72">
        <v>4725000</v>
      </c>
      <c r="M72">
        <v>11025000</v>
      </c>
      <c r="N72" t="s">
        <v>704</v>
      </c>
      <c r="O72">
        <v>6300000</v>
      </c>
    </row>
    <row r="73" spans="1:15" x14ac:dyDescent="0.25">
      <c r="A73" t="s">
        <v>450</v>
      </c>
      <c r="B73" t="s">
        <v>13</v>
      </c>
      <c r="C73">
        <v>45918</v>
      </c>
      <c r="D73">
        <v>46022</v>
      </c>
      <c r="E73" t="s">
        <v>786</v>
      </c>
      <c r="F73" t="s">
        <v>14</v>
      </c>
      <c r="G73">
        <v>1086224204</v>
      </c>
      <c r="H73" t="s">
        <v>451</v>
      </c>
      <c r="I73">
        <v>98333941</v>
      </c>
      <c r="J73" t="s">
        <v>14</v>
      </c>
      <c r="K73" t="s">
        <v>15</v>
      </c>
      <c r="L73">
        <v>4725000</v>
      </c>
      <c r="M73">
        <v>11025000</v>
      </c>
      <c r="N73" t="s">
        <v>704</v>
      </c>
      <c r="O73">
        <v>6300000</v>
      </c>
    </row>
    <row r="74" spans="1:15" x14ac:dyDescent="0.25">
      <c r="A74" t="s">
        <v>234</v>
      </c>
      <c r="B74" t="s">
        <v>13</v>
      </c>
      <c r="C74">
        <v>45918</v>
      </c>
      <c r="D74">
        <v>46022</v>
      </c>
      <c r="E74" t="s">
        <v>711</v>
      </c>
      <c r="F74" t="s">
        <v>14</v>
      </c>
      <c r="G74">
        <v>27087122</v>
      </c>
      <c r="H74" t="s">
        <v>69</v>
      </c>
      <c r="I74">
        <v>43624414</v>
      </c>
      <c r="J74" t="s">
        <v>14</v>
      </c>
      <c r="K74" t="s">
        <v>18</v>
      </c>
      <c r="L74">
        <v>3150000</v>
      </c>
      <c r="M74">
        <v>11025000</v>
      </c>
      <c r="N74" t="s">
        <v>704</v>
      </c>
      <c r="O74">
        <v>7875000</v>
      </c>
    </row>
    <row r="75" spans="1:15" x14ac:dyDescent="0.25">
      <c r="A75" t="s">
        <v>627</v>
      </c>
      <c r="B75" t="s">
        <v>13</v>
      </c>
      <c r="C75">
        <v>45918</v>
      </c>
      <c r="D75">
        <v>46022</v>
      </c>
      <c r="E75" t="s">
        <v>716</v>
      </c>
      <c r="F75" t="s">
        <v>14</v>
      </c>
      <c r="G75">
        <v>1084552048</v>
      </c>
      <c r="H75" t="s">
        <v>66</v>
      </c>
      <c r="I75">
        <v>98333941</v>
      </c>
      <c r="J75" t="s">
        <v>14</v>
      </c>
      <c r="K75" t="s">
        <v>15</v>
      </c>
      <c r="L75">
        <v>4725000</v>
      </c>
      <c r="M75">
        <v>11025000</v>
      </c>
      <c r="N75" t="s">
        <v>704</v>
      </c>
      <c r="O75">
        <v>6300000</v>
      </c>
    </row>
    <row r="76" spans="1:15" x14ac:dyDescent="0.25">
      <c r="A76" t="s">
        <v>563</v>
      </c>
      <c r="B76" t="s">
        <v>13</v>
      </c>
      <c r="C76">
        <v>45917</v>
      </c>
      <c r="D76">
        <v>46022</v>
      </c>
      <c r="E76" t="s">
        <v>802</v>
      </c>
      <c r="F76" t="s">
        <v>14</v>
      </c>
      <c r="G76">
        <v>1085275879</v>
      </c>
      <c r="H76" t="s">
        <v>59</v>
      </c>
      <c r="I76">
        <v>98390119</v>
      </c>
      <c r="J76" t="s">
        <v>14</v>
      </c>
      <c r="K76" t="s">
        <v>63</v>
      </c>
      <c r="L76">
        <v>9450000</v>
      </c>
      <c r="M76">
        <v>22050000</v>
      </c>
      <c r="N76" t="s">
        <v>704</v>
      </c>
      <c r="O76">
        <v>12600000</v>
      </c>
    </row>
    <row r="77" spans="1:15" x14ac:dyDescent="0.25">
      <c r="A77" t="s">
        <v>369</v>
      </c>
      <c r="B77" t="s">
        <v>13</v>
      </c>
      <c r="C77">
        <v>45917</v>
      </c>
      <c r="D77">
        <v>46022</v>
      </c>
      <c r="E77" t="s">
        <v>716</v>
      </c>
      <c r="F77" t="s">
        <v>14</v>
      </c>
      <c r="G77">
        <v>5930737</v>
      </c>
      <c r="H77" t="s">
        <v>370</v>
      </c>
      <c r="I77">
        <v>98390119</v>
      </c>
      <c r="J77" t="s">
        <v>14</v>
      </c>
      <c r="K77" t="s">
        <v>63</v>
      </c>
      <c r="L77">
        <v>4725000</v>
      </c>
      <c r="M77">
        <v>11025000</v>
      </c>
      <c r="N77" t="s">
        <v>704</v>
      </c>
      <c r="O77">
        <v>6300000</v>
      </c>
    </row>
    <row r="78" spans="1:15" x14ac:dyDescent="0.25">
      <c r="A78" t="s">
        <v>337</v>
      </c>
      <c r="B78" t="s">
        <v>13</v>
      </c>
      <c r="C78">
        <v>45917</v>
      </c>
      <c r="D78">
        <v>46022</v>
      </c>
      <c r="E78" t="s">
        <v>749</v>
      </c>
      <c r="F78" t="s">
        <v>14</v>
      </c>
      <c r="G78">
        <v>1233193769</v>
      </c>
      <c r="H78" t="s">
        <v>338</v>
      </c>
      <c r="I78">
        <v>98390119</v>
      </c>
      <c r="J78" t="s">
        <v>14</v>
      </c>
      <c r="K78" t="s">
        <v>63</v>
      </c>
      <c r="L78">
        <v>11700000</v>
      </c>
      <c r="M78">
        <v>27300000</v>
      </c>
      <c r="N78" t="s">
        <v>704</v>
      </c>
      <c r="O78">
        <v>15600000</v>
      </c>
    </row>
    <row r="79" spans="1:15" x14ac:dyDescent="0.25">
      <c r="A79" t="s">
        <v>270</v>
      </c>
      <c r="B79" t="s">
        <v>13</v>
      </c>
      <c r="C79">
        <v>45917</v>
      </c>
      <c r="D79">
        <v>46022</v>
      </c>
      <c r="E79" t="s">
        <v>711</v>
      </c>
      <c r="F79" t="s">
        <v>14</v>
      </c>
      <c r="G79">
        <v>1085317226</v>
      </c>
      <c r="H79" t="s">
        <v>271</v>
      </c>
      <c r="I79">
        <v>98333941</v>
      </c>
      <c r="J79" t="s">
        <v>14</v>
      </c>
      <c r="K79" t="s">
        <v>15</v>
      </c>
      <c r="L79">
        <v>7875000</v>
      </c>
      <c r="M79">
        <v>11025000</v>
      </c>
      <c r="N79" t="s">
        <v>704</v>
      </c>
      <c r="O79">
        <v>3150000</v>
      </c>
    </row>
    <row r="80" spans="1:15" x14ac:dyDescent="0.25">
      <c r="A80" t="s">
        <v>537</v>
      </c>
      <c r="B80" t="s">
        <v>13</v>
      </c>
      <c r="C80">
        <v>45917</v>
      </c>
      <c r="D80">
        <v>46022</v>
      </c>
      <c r="E80" t="s">
        <v>711</v>
      </c>
      <c r="F80" t="s">
        <v>14</v>
      </c>
      <c r="G80">
        <v>1082749295</v>
      </c>
      <c r="H80" t="s">
        <v>538</v>
      </c>
      <c r="I80">
        <v>98333941</v>
      </c>
      <c r="J80" t="s">
        <v>14</v>
      </c>
      <c r="K80" t="s">
        <v>15</v>
      </c>
      <c r="L80">
        <v>7875000</v>
      </c>
      <c r="M80">
        <v>11025000</v>
      </c>
      <c r="N80" t="s">
        <v>704</v>
      </c>
      <c r="O80">
        <v>3150000</v>
      </c>
    </row>
    <row r="81" spans="1:15" x14ac:dyDescent="0.25">
      <c r="A81" t="s">
        <v>264</v>
      </c>
      <c r="B81" t="s">
        <v>13</v>
      </c>
      <c r="C81">
        <v>45917</v>
      </c>
      <c r="D81">
        <v>46022</v>
      </c>
      <c r="E81" t="s">
        <v>711</v>
      </c>
      <c r="F81" t="s">
        <v>14</v>
      </c>
      <c r="G81">
        <v>1086328063</v>
      </c>
      <c r="H81" t="s">
        <v>265</v>
      </c>
      <c r="I81">
        <v>98390119</v>
      </c>
      <c r="J81" t="s">
        <v>14</v>
      </c>
      <c r="K81" t="s">
        <v>63</v>
      </c>
      <c r="L81">
        <v>4725000</v>
      </c>
      <c r="M81">
        <v>11025000</v>
      </c>
      <c r="N81" t="s">
        <v>704</v>
      </c>
      <c r="O81">
        <v>6300000</v>
      </c>
    </row>
    <row r="82" spans="1:15" x14ac:dyDescent="0.25">
      <c r="A82" t="s">
        <v>109</v>
      </c>
      <c r="B82" t="s">
        <v>13</v>
      </c>
      <c r="C82">
        <v>45917</v>
      </c>
      <c r="D82">
        <v>46022</v>
      </c>
      <c r="E82" t="s">
        <v>711</v>
      </c>
      <c r="F82" t="s">
        <v>14</v>
      </c>
      <c r="G82">
        <v>1004547484</v>
      </c>
      <c r="H82" t="s">
        <v>110</v>
      </c>
      <c r="I82">
        <v>98333941</v>
      </c>
      <c r="J82" t="s">
        <v>14</v>
      </c>
      <c r="K82" t="s">
        <v>15</v>
      </c>
      <c r="L82">
        <v>6300000</v>
      </c>
      <c r="M82">
        <v>12600000</v>
      </c>
      <c r="N82" t="s">
        <v>704</v>
      </c>
      <c r="O82">
        <v>6300000</v>
      </c>
    </row>
    <row r="83" spans="1:15" x14ac:dyDescent="0.25">
      <c r="A83" t="s">
        <v>150</v>
      </c>
      <c r="B83" t="s">
        <v>13</v>
      </c>
      <c r="C83">
        <v>45915</v>
      </c>
      <c r="D83">
        <v>46022</v>
      </c>
      <c r="E83" t="s">
        <v>711</v>
      </c>
      <c r="F83" t="s">
        <v>14</v>
      </c>
      <c r="G83">
        <v>1087645341</v>
      </c>
      <c r="H83" t="s">
        <v>151</v>
      </c>
      <c r="I83">
        <v>98333941</v>
      </c>
      <c r="J83" t="s">
        <v>14</v>
      </c>
      <c r="K83" t="s">
        <v>15</v>
      </c>
      <c r="L83">
        <v>4725000</v>
      </c>
      <c r="M83">
        <v>12600000</v>
      </c>
      <c r="N83" t="s">
        <v>704</v>
      </c>
      <c r="O83">
        <v>7875000</v>
      </c>
    </row>
    <row r="84" spans="1:15" x14ac:dyDescent="0.25">
      <c r="A84" t="s">
        <v>277</v>
      </c>
      <c r="B84" t="s">
        <v>13</v>
      </c>
      <c r="C84">
        <v>45915</v>
      </c>
      <c r="D84">
        <v>46022</v>
      </c>
      <c r="E84" t="s">
        <v>711</v>
      </c>
      <c r="F84" t="s">
        <v>14</v>
      </c>
      <c r="G84">
        <v>1085265947</v>
      </c>
      <c r="H84" t="s">
        <v>278</v>
      </c>
      <c r="I84">
        <v>43624414</v>
      </c>
      <c r="J84" t="s">
        <v>14</v>
      </c>
      <c r="K84" t="s">
        <v>18</v>
      </c>
      <c r="L84">
        <v>6300000</v>
      </c>
      <c r="M84">
        <v>12600000</v>
      </c>
      <c r="N84" t="s">
        <v>704</v>
      </c>
      <c r="O84">
        <v>6300000</v>
      </c>
    </row>
    <row r="85" spans="1:15" x14ac:dyDescent="0.25">
      <c r="A85" t="s">
        <v>605</v>
      </c>
      <c r="B85" t="s">
        <v>13</v>
      </c>
      <c r="C85">
        <v>45915</v>
      </c>
      <c r="D85">
        <v>46022</v>
      </c>
      <c r="E85" t="s">
        <v>711</v>
      </c>
      <c r="F85" t="s">
        <v>14</v>
      </c>
      <c r="G85">
        <v>59311295</v>
      </c>
      <c r="H85" t="s">
        <v>606</v>
      </c>
      <c r="I85">
        <v>43624414</v>
      </c>
      <c r="J85" t="s">
        <v>14</v>
      </c>
      <c r="K85" t="s">
        <v>18</v>
      </c>
      <c r="L85">
        <v>6300000</v>
      </c>
      <c r="M85">
        <v>12600000</v>
      </c>
      <c r="N85" t="s">
        <v>704</v>
      </c>
      <c r="O85">
        <v>6300000</v>
      </c>
    </row>
    <row r="86" spans="1:15" x14ac:dyDescent="0.25">
      <c r="A86" t="s">
        <v>113</v>
      </c>
      <c r="B86" t="s">
        <v>13</v>
      </c>
      <c r="C86">
        <v>45915</v>
      </c>
      <c r="D86">
        <v>46022</v>
      </c>
      <c r="E86" t="s">
        <v>710</v>
      </c>
      <c r="F86" t="s">
        <v>14</v>
      </c>
      <c r="G86">
        <v>1086361969</v>
      </c>
      <c r="H86" t="s">
        <v>114</v>
      </c>
      <c r="I86">
        <v>98333941</v>
      </c>
      <c r="J86" t="s">
        <v>14</v>
      </c>
      <c r="K86" t="s">
        <v>15</v>
      </c>
      <c r="L86">
        <v>15600000</v>
      </c>
      <c r="M86">
        <v>31200000</v>
      </c>
      <c r="N86" t="s">
        <v>704</v>
      </c>
      <c r="O86">
        <v>15600000</v>
      </c>
    </row>
    <row r="87" spans="1:15" x14ac:dyDescent="0.25">
      <c r="A87" t="s">
        <v>701</v>
      </c>
      <c r="B87" t="s">
        <v>13</v>
      </c>
      <c r="C87">
        <v>45912</v>
      </c>
      <c r="D87">
        <v>46022</v>
      </c>
      <c r="E87" t="s">
        <v>826</v>
      </c>
      <c r="F87" t="s">
        <v>83</v>
      </c>
      <c r="G87">
        <v>805021222</v>
      </c>
      <c r="H87" t="s">
        <v>702</v>
      </c>
      <c r="I87">
        <v>17658216</v>
      </c>
      <c r="J87" t="s">
        <v>14</v>
      </c>
      <c r="K87" t="s">
        <v>82</v>
      </c>
      <c r="L87">
        <v>258316240</v>
      </c>
      <c r="M87">
        <v>270000000</v>
      </c>
      <c r="N87" t="s">
        <v>704</v>
      </c>
      <c r="O87">
        <f>M87-L87</f>
        <v>11683760</v>
      </c>
    </row>
    <row r="88" spans="1:15" x14ac:dyDescent="0.25">
      <c r="A88" t="s">
        <v>497</v>
      </c>
      <c r="B88" t="s">
        <v>13</v>
      </c>
      <c r="C88">
        <v>45912</v>
      </c>
      <c r="D88">
        <v>46022</v>
      </c>
      <c r="E88" t="s">
        <v>711</v>
      </c>
      <c r="F88" t="s">
        <v>14</v>
      </c>
      <c r="G88">
        <v>1085247449</v>
      </c>
      <c r="H88" t="s">
        <v>498</v>
      </c>
      <c r="I88">
        <v>98333941</v>
      </c>
      <c r="J88" t="s">
        <v>14</v>
      </c>
      <c r="K88" t="s">
        <v>15</v>
      </c>
      <c r="L88">
        <v>6300000</v>
      </c>
      <c r="M88">
        <v>12600000</v>
      </c>
      <c r="N88" t="s">
        <v>704</v>
      </c>
      <c r="O88">
        <v>6300000</v>
      </c>
    </row>
    <row r="89" spans="1:15" x14ac:dyDescent="0.25">
      <c r="A89" t="s">
        <v>462</v>
      </c>
      <c r="B89" t="s">
        <v>13</v>
      </c>
      <c r="C89">
        <v>45912</v>
      </c>
      <c r="D89">
        <v>46022</v>
      </c>
      <c r="E89" t="s">
        <v>711</v>
      </c>
      <c r="F89" t="s">
        <v>14</v>
      </c>
      <c r="G89">
        <v>59122805</v>
      </c>
      <c r="H89" t="s">
        <v>463</v>
      </c>
      <c r="I89">
        <v>98333941</v>
      </c>
      <c r="J89" t="s">
        <v>14</v>
      </c>
      <c r="K89" t="s">
        <v>15</v>
      </c>
      <c r="L89">
        <v>6300000</v>
      </c>
      <c r="M89">
        <v>12600000</v>
      </c>
      <c r="N89" t="s">
        <v>704</v>
      </c>
      <c r="O89">
        <v>6300000</v>
      </c>
    </row>
    <row r="90" spans="1:15" x14ac:dyDescent="0.25">
      <c r="A90" t="s">
        <v>226</v>
      </c>
      <c r="B90" t="s">
        <v>13</v>
      </c>
      <c r="C90">
        <v>45912</v>
      </c>
      <c r="D90">
        <v>46022</v>
      </c>
      <c r="E90" t="s">
        <v>711</v>
      </c>
      <c r="F90" t="s">
        <v>14</v>
      </c>
      <c r="G90">
        <v>27549931</v>
      </c>
      <c r="H90" t="s">
        <v>227</v>
      </c>
      <c r="I90">
        <v>98333941</v>
      </c>
      <c r="J90" t="s">
        <v>14</v>
      </c>
      <c r="K90" t="s">
        <v>15</v>
      </c>
      <c r="L90">
        <v>4725000</v>
      </c>
      <c r="M90">
        <v>12600000</v>
      </c>
      <c r="N90" t="s">
        <v>704</v>
      </c>
      <c r="O90">
        <v>7875000</v>
      </c>
    </row>
    <row r="91" spans="1:15" x14ac:dyDescent="0.25">
      <c r="A91" t="s">
        <v>543</v>
      </c>
      <c r="B91" t="s">
        <v>13</v>
      </c>
      <c r="C91">
        <v>45912</v>
      </c>
      <c r="D91">
        <v>46022</v>
      </c>
      <c r="E91" t="s">
        <v>711</v>
      </c>
      <c r="F91" t="s">
        <v>14</v>
      </c>
      <c r="G91">
        <v>1085252263</v>
      </c>
      <c r="H91" t="s">
        <v>544</v>
      </c>
      <c r="I91">
        <v>43624414</v>
      </c>
      <c r="J91" t="s">
        <v>14</v>
      </c>
      <c r="K91" t="s">
        <v>18</v>
      </c>
      <c r="L91">
        <v>6300000</v>
      </c>
      <c r="M91">
        <v>12600000</v>
      </c>
      <c r="N91" t="s">
        <v>704</v>
      </c>
      <c r="O91">
        <v>6300000</v>
      </c>
    </row>
    <row r="92" spans="1:15" x14ac:dyDescent="0.25">
      <c r="A92" t="s">
        <v>324</v>
      </c>
      <c r="B92" t="s">
        <v>13</v>
      </c>
      <c r="C92">
        <v>45912</v>
      </c>
      <c r="D92">
        <v>46022</v>
      </c>
      <c r="E92" t="s">
        <v>710</v>
      </c>
      <c r="F92" t="s">
        <v>14</v>
      </c>
      <c r="G92">
        <v>1089483067</v>
      </c>
      <c r="H92" t="s">
        <v>325</v>
      </c>
      <c r="I92">
        <v>43624414</v>
      </c>
      <c r="J92" t="s">
        <v>14</v>
      </c>
      <c r="K92" t="s">
        <v>18</v>
      </c>
      <c r="L92">
        <v>15600000</v>
      </c>
      <c r="M92">
        <v>31200000</v>
      </c>
      <c r="N92" t="s">
        <v>704</v>
      </c>
      <c r="O92">
        <v>15600000</v>
      </c>
    </row>
    <row r="93" spans="1:15" x14ac:dyDescent="0.25">
      <c r="A93" t="s">
        <v>596</v>
      </c>
      <c r="B93" t="s">
        <v>13</v>
      </c>
      <c r="C93">
        <v>45911</v>
      </c>
      <c r="D93">
        <v>46022</v>
      </c>
      <c r="E93" t="s">
        <v>719</v>
      </c>
      <c r="F93" t="s">
        <v>14</v>
      </c>
      <c r="G93">
        <v>59825948</v>
      </c>
      <c r="H93" t="s">
        <v>34</v>
      </c>
      <c r="I93">
        <v>43624414</v>
      </c>
      <c r="J93" t="s">
        <v>14</v>
      </c>
      <c r="K93" t="s">
        <v>18</v>
      </c>
      <c r="L93">
        <v>12600000</v>
      </c>
      <c r="M93">
        <v>25200000</v>
      </c>
      <c r="N93" t="s">
        <v>704</v>
      </c>
      <c r="O93">
        <v>12600000</v>
      </c>
    </row>
    <row r="94" spans="1:15" x14ac:dyDescent="0.25">
      <c r="A94" t="s">
        <v>417</v>
      </c>
      <c r="B94" t="s">
        <v>13</v>
      </c>
      <c r="C94">
        <v>45911</v>
      </c>
      <c r="D94">
        <v>46022</v>
      </c>
      <c r="E94" t="s">
        <v>711</v>
      </c>
      <c r="F94" t="s">
        <v>14</v>
      </c>
      <c r="G94">
        <v>1085267332</v>
      </c>
      <c r="H94" t="s">
        <v>418</v>
      </c>
      <c r="I94">
        <v>98333941</v>
      </c>
      <c r="J94" t="s">
        <v>14</v>
      </c>
      <c r="K94" t="s">
        <v>15</v>
      </c>
      <c r="L94">
        <v>6300000</v>
      </c>
      <c r="M94">
        <v>12600000</v>
      </c>
      <c r="N94" t="s">
        <v>704</v>
      </c>
      <c r="O94">
        <v>6300000</v>
      </c>
    </row>
    <row r="95" spans="1:15" x14ac:dyDescent="0.25">
      <c r="A95" t="s">
        <v>125</v>
      </c>
      <c r="B95" t="s">
        <v>13</v>
      </c>
      <c r="C95">
        <v>45911</v>
      </c>
      <c r="D95">
        <v>46022</v>
      </c>
      <c r="E95" t="s">
        <v>719</v>
      </c>
      <c r="F95" t="s">
        <v>14</v>
      </c>
      <c r="G95">
        <v>1085347312</v>
      </c>
      <c r="H95" t="s">
        <v>126</v>
      </c>
      <c r="I95">
        <v>98333941</v>
      </c>
      <c r="J95" t="s">
        <v>14</v>
      </c>
      <c r="K95" t="s">
        <v>15</v>
      </c>
      <c r="L95">
        <v>12600000</v>
      </c>
      <c r="M95">
        <v>25200000</v>
      </c>
      <c r="N95" t="s">
        <v>704</v>
      </c>
      <c r="O95">
        <v>12600000</v>
      </c>
    </row>
    <row r="96" spans="1:15" x14ac:dyDescent="0.25">
      <c r="A96" t="s">
        <v>415</v>
      </c>
      <c r="B96" t="s">
        <v>13</v>
      </c>
      <c r="C96">
        <v>45911</v>
      </c>
      <c r="D96">
        <v>46022</v>
      </c>
      <c r="E96" t="s">
        <v>710</v>
      </c>
      <c r="F96" t="s">
        <v>14</v>
      </c>
      <c r="G96">
        <v>1085246871</v>
      </c>
      <c r="H96" t="s">
        <v>416</v>
      </c>
      <c r="I96">
        <v>98333941</v>
      </c>
      <c r="J96" t="s">
        <v>14</v>
      </c>
      <c r="K96" t="s">
        <v>15</v>
      </c>
      <c r="L96">
        <v>7800000</v>
      </c>
      <c r="M96">
        <v>31200000</v>
      </c>
      <c r="N96" t="s">
        <v>704</v>
      </c>
      <c r="O96">
        <v>23400000</v>
      </c>
    </row>
    <row r="97" spans="1:15" x14ac:dyDescent="0.25">
      <c r="A97" t="s">
        <v>486</v>
      </c>
      <c r="B97" t="s">
        <v>13</v>
      </c>
      <c r="C97">
        <v>45911</v>
      </c>
      <c r="D97">
        <v>46022</v>
      </c>
      <c r="E97" t="s">
        <v>706</v>
      </c>
      <c r="F97" t="s">
        <v>14</v>
      </c>
      <c r="G97">
        <v>1005829176</v>
      </c>
      <c r="H97" t="s">
        <v>487</v>
      </c>
      <c r="I97">
        <v>59836926</v>
      </c>
      <c r="J97" t="s">
        <v>14</v>
      </c>
      <c r="K97" t="s">
        <v>17</v>
      </c>
      <c r="L97">
        <v>9460000</v>
      </c>
      <c r="M97">
        <v>18920000</v>
      </c>
      <c r="N97" t="s">
        <v>704</v>
      </c>
      <c r="O97">
        <v>9460000</v>
      </c>
    </row>
    <row r="98" spans="1:15" x14ac:dyDescent="0.25">
      <c r="A98" t="s">
        <v>268</v>
      </c>
      <c r="B98" t="s">
        <v>13</v>
      </c>
      <c r="C98">
        <v>45911</v>
      </c>
      <c r="D98">
        <v>46022</v>
      </c>
      <c r="E98" t="s">
        <v>711</v>
      </c>
      <c r="F98" t="s">
        <v>14</v>
      </c>
      <c r="G98">
        <v>1089458776</v>
      </c>
      <c r="H98" t="s">
        <v>269</v>
      </c>
      <c r="I98">
        <v>98333941</v>
      </c>
      <c r="J98" t="s">
        <v>14</v>
      </c>
      <c r="K98" t="s">
        <v>15</v>
      </c>
      <c r="L98">
        <v>6300000</v>
      </c>
      <c r="M98">
        <v>12600000</v>
      </c>
      <c r="N98" t="s">
        <v>704</v>
      </c>
      <c r="O98">
        <v>6300000</v>
      </c>
    </row>
    <row r="99" spans="1:15" x14ac:dyDescent="0.25">
      <c r="A99" t="s">
        <v>657</v>
      </c>
      <c r="B99" t="s">
        <v>13</v>
      </c>
      <c r="C99">
        <v>45911</v>
      </c>
      <c r="D99">
        <v>46022</v>
      </c>
      <c r="E99" t="s">
        <v>706</v>
      </c>
      <c r="F99" t="s">
        <v>14</v>
      </c>
      <c r="G99">
        <v>1086137686</v>
      </c>
      <c r="H99" t="s">
        <v>658</v>
      </c>
      <c r="I99">
        <v>98333941</v>
      </c>
      <c r="J99" t="s">
        <v>14</v>
      </c>
      <c r="K99" t="s">
        <v>15</v>
      </c>
      <c r="L99">
        <v>9460000</v>
      </c>
      <c r="M99">
        <v>18920000</v>
      </c>
      <c r="N99" t="s">
        <v>704</v>
      </c>
      <c r="O99">
        <v>9460000</v>
      </c>
    </row>
    <row r="100" spans="1:15" x14ac:dyDescent="0.25">
      <c r="A100" t="s">
        <v>503</v>
      </c>
      <c r="B100" t="s">
        <v>13</v>
      </c>
      <c r="C100">
        <v>45911</v>
      </c>
      <c r="D100">
        <v>46022</v>
      </c>
      <c r="E100" t="s">
        <v>719</v>
      </c>
      <c r="F100" t="s">
        <v>14</v>
      </c>
      <c r="G100">
        <v>1084224761</v>
      </c>
      <c r="H100" t="s">
        <v>504</v>
      </c>
      <c r="I100">
        <v>98333941</v>
      </c>
      <c r="J100" t="s">
        <v>14</v>
      </c>
      <c r="K100" t="s">
        <v>15</v>
      </c>
      <c r="L100">
        <v>12600000</v>
      </c>
      <c r="M100">
        <v>25200000</v>
      </c>
      <c r="N100" t="s">
        <v>704</v>
      </c>
      <c r="O100">
        <v>12600000</v>
      </c>
    </row>
    <row r="101" spans="1:15" x14ac:dyDescent="0.25">
      <c r="A101" t="s">
        <v>603</v>
      </c>
      <c r="B101" t="s">
        <v>13</v>
      </c>
      <c r="C101">
        <v>45911</v>
      </c>
      <c r="D101">
        <v>46022</v>
      </c>
      <c r="E101" t="s">
        <v>719</v>
      </c>
      <c r="F101" t="s">
        <v>14</v>
      </c>
      <c r="G101">
        <v>27090399</v>
      </c>
      <c r="H101" t="s">
        <v>604</v>
      </c>
      <c r="I101">
        <v>98333941</v>
      </c>
      <c r="J101" t="s">
        <v>14</v>
      </c>
      <c r="K101" t="s">
        <v>15</v>
      </c>
      <c r="L101">
        <v>12600000</v>
      </c>
      <c r="M101">
        <v>25200000</v>
      </c>
      <c r="N101" t="s">
        <v>704</v>
      </c>
      <c r="O101">
        <v>12600000</v>
      </c>
    </row>
    <row r="102" spans="1:15" x14ac:dyDescent="0.25">
      <c r="A102" t="s">
        <v>375</v>
      </c>
      <c r="B102" t="s">
        <v>13</v>
      </c>
      <c r="C102">
        <v>45911</v>
      </c>
      <c r="D102">
        <v>46022</v>
      </c>
      <c r="E102" t="s">
        <v>711</v>
      </c>
      <c r="F102" t="s">
        <v>14</v>
      </c>
      <c r="G102">
        <v>1081052746</v>
      </c>
      <c r="H102" t="s">
        <v>376</v>
      </c>
      <c r="I102">
        <v>98333941</v>
      </c>
      <c r="J102" t="s">
        <v>14</v>
      </c>
      <c r="K102" t="s">
        <v>15</v>
      </c>
      <c r="L102">
        <v>9450000</v>
      </c>
      <c r="M102">
        <v>12600000</v>
      </c>
      <c r="N102" t="s">
        <v>704</v>
      </c>
      <c r="O102">
        <v>3150000</v>
      </c>
    </row>
    <row r="103" spans="1:15" x14ac:dyDescent="0.25">
      <c r="A103" t="s">
        <v>175</v>
      </c>
      <c r="B103" t="s">
        <v>13</v>
      </c>
      <c r="C103">
        <v>45911</v>
      </c>
      <c r="D103">
        <v>46022</v>
      </c>
      <c r="E103" t="s">
        <v>711</v>
      </c>
      <c r="F103" t="s">
        <v>14</v>
      </c>
      <c r="G103">
        <v>1082747438</v>
      </c>
      <c r="H103" t="s">
        <v>61</v>
      </c>
      <c r="I103">
        <v>98333941</v>
      </c>
      <c r="J103" t="s">
        <v>14</v>
      </c>
      <c r="K103" t="s">
        <v>15</v>
      </c>
      <c r="L103">
        <v>6300000</v>
      </c>
      <c r="M103">
        <v>12600000</v>
      </c>
      <c r="N103" t="s">
        <v>704</v>
      </c>
      <c r="O103">
        <v>6300000</v>
      </c>
    </row>
    <row r="104" spans="1:15" x14ac:dyDescent="0.25">
      <c r="A104" t="s">
        <v>667</v>
      </c>
      <c r="B104" t="s">
        <v>13</v>
      </c>
      <c r="C104">
        <v>45911</v>
      </c>
      <c r="D104">
        <v>46022</v>
      </c>
      <c r="E104" t="s">
        <v>719</v>
      </c>
      <c r="F104" t="s">
        <v>14</v>
      </c>
      <c r="G104">
        <v>1084551863</v>
      </c>
      <c r="H104" t="s">
        <v>668</v>
      </c>
      <c r="I104">
        <v>98333941</v>
      </c>
      <c r="J104" t="s">
        <v>14</v>
      </c>
      <c r="K104" t="s">
        <v>15</v>
      </c>
      <c r="L104">
        <v>12600000</v>
      </c>
      <c r="M104">
        <v>25200000</v>
      </c>
      <c r="N104" t="s">
        <v>704</v>
      </c>
      <c r="O104">
        <v>12600000</v>
      </c>
    </row>
    <row r="105" spans="1:15" x14ac:dyDescent="0.25">
      <c r="A105" t="s">
        <v>566</v>
      </c>
      <c r="B105" t="s">
        <v>13</v>
      </c>
      <c r="C105">
        <v>45910</v>
      </c>
      <c r="D105">
        <v>46022</v>
      </c>
      <c r="E105" t="s">
        <v>706</v>
      </c>
      <c r="F105" t="s">
        <v>14</v>
      </c>
      <c r="G105">
        <v>1088730615</v>
      </c>
      <c r="H105" t="s">
        <v>567</v>
      </c>
      <c r="I105">
        <v>59836926</v>
      </c>
      <c r="J105" t="s">
        <v>14</v>
      </c>
      <c r="K105" t="s">
        <v>17</v>
      </c>
      <c r="L105">
        <v>4730000</v>
      </c>
      <c r="M105">
        <v>18920000</v>
      </c>
      <c r="N105" t="s">
        <v>704</v>
      </c>
      <c r="O105">
        <v>14190000</v>
      </c>
    </row>
    <row r="106" spans="1:15" x14ac:dyDescent="0.25">
      <c r="A106" t="s">
        <v>98</v>
      </c>
      <c r="B106" t="s">
        <v>13</v>
      </c>
      <c r="C106">
        <v>45910</v>
      </c>
      <c r="D106">
        <v>46022</v>
      </c>
      <c r="E106" t="s">
        <v>711</v>
      </c>
      <c r="F106" t="s">
        <v>14</v>
      </c>
      <c r="G106">
        <v>1004543161</v>
      </c>
      <c r="H106" t="s">
        <v>99</v>
      </c>
      <c r="I106">
        <v>98333941</v>
      </c>
      <c r="J106" t="s">
        <v>14</v>
      </c>
      <c r="K106" t="s">
        <v>15</v>
      </c>
      <c r="L106">
        <v>6300000</v>
      </c>
      <c r="M106">
        <v>12600000</v>
      </c>
      <c r="N106" t="s">
        <v>704</v>
      </c>
      <c r="O106">
        <v>6300000</v>
      </c>
    </row>
    <row r="107" spans="1:15" x14ac:dyDescent="0.25">
      <c r="A107" t="s">
        <v>476</v>
      </c>
      <c r="B107" t="s">
        <v>13</v>
      </c>
      <c r="C107">
        <v>45910</v>
      </c>
      <c r="D107">
        <v>46022</v>
      </c>
      <c r="E107" t="s">
        <v>719</v>
      </c>
      <c r="F107" t="s">
        <v>14</v>
      </c>
      <c r="G107">
        <v>97470681</v>
      </c>
      <c r="H107" t="s">
        <v>55</v>
      </c>
      <c r="I107">
        <v>98333941</v>
      </c>
      <c r="J107" t="s">
        <v>14</v>
      </c>
      <c r="K107" t="s">
        <v>15</v>
      </c>
      <c r="L107">
        <v>18900000</v>
      </c>
      <c r="M107">
        <v>25200000</v>
      </c>
      <c r="N107" t="s">
        <v>704</v>
      </c>
      <c r="O107">
        <v>6300000</v>
      </c>
    </row>
    <row r="108" spans="1:15" x14ac:dyDescent="0.25">
      <c r="A108" t="s">
        <v>123</v>
      </c>
      <c r="B108" t="s">
        <v>13</v>
      </c>
      <c r="C108">
        <v>45910</v>
      </c>
      <c r="D108">
        <v>46022</v>
      </c>
      <c r="E108" t="s">
        <v>711</v>
      </c>
      <c r="F108" t="s">
        <v>14</v>
      </c>
      <c r="G108">
        <v>1081572043</v>
      </c>
      <c r="H108" t="s">
        <v>54</v>
      </c>
      <c r="I108">
        <v>59836926</v>
      </c>
      <c r="J108" t="s">
        <v>14</v>
      </c>
      <c r="K108" t="s">
        <v>17</v>
      </c>
      <c r="L108">
        <v>6300000</v>
      </c>
      <c r="M108">
        <v>12600000</v>
      </c>
      <c r="N108" t="s">
        <v>704</v>
      </c>
      <c r="O108">
        <v>6300000</v>
      </c>
    </row>
    <row r="109" spans="1:15" x14ac:dyDescent="0.25">
      <c r="A109" t="s">
        <v>284</v>
      </c>
      <c r="B109" t="s">
        <v>13</v>
      </c>
      <c r="C109">
        <v>45910</v>
      </c>
      <c r="D109">
        <v>46022</v>
      </c>
      <c r="E109" t="s">
        <v>711</v>
      </c>
      <c r="F109" t="s">
        <v>14</v>
      </c>
      <c r="G109">
        <v>1080690337</v>
      </c>
      <c r="H109" t="s">
        <v>285</v>
      </c>
      <c r="I109">
        <v>59836926</v>
      </c>
      <c r="J109" t="s">
        <v>14</v>
      </c>
      <c r="K109" t="s">
        <v>17</v>
      </c>
      <c r="L109">
        <v>6300000</v>
      </c>
      <c r="M109">
        <v>12600000</v>
      </c>
      <c r="N109" t="s">
        <v>704</v>
      </c>
      <c r="O109">
        <v>6300000</v>
      </c>
    </row>
    <row r="110" spans="1:15" x14ac:dyDescent="0.25">
      <c r="A110" t="s">
        <v>89</v>
      </c>
      <c r="B110" t="s">
        <v>13</v>
      </c>
      <c r="C110">
        <v>45910</v>
      </c>
      <c r="D110">
        <v>46022</v>
      </c>
      <c r="E110" t="s">
        <v>706</v>
      </c>
      <c r="F110" t="s">
        <v>14</v>
      </c>
      <c r="G110">
        <v>1086360022</v>
      </c>
      <c r="H110" t="s">
        <v>90</v>
      </c>
      <c r="I110">
        <v>98333941</v>
      </c>
      <c r="J110" t="s">
        <v>14</v>
      </c>
      <c r="K110" t="s">
        <v>15</v>
      </c>
      <c r="L110">
        <v>9460000</v>
      </c>
      <c r="M110">
        <v>18920000</v>
      </c>
      <c r="N110" t="s">
        <v>704</v>
      </c>
      <c r="O110">
        <v>9460000</v>
      </c>
    </row>
    <row r="111" spans="1:15" x14ac:dyDescent="0.25">
      <c r="A111" t="s">
        <v>296</v>
      </c>
      <c r="B111" t="s">
        <v>13</v>
      </c>
      <c r="C111">
        <v>45910</v>
      </c>
      <c r="D111">
        <v>46022</v>
      </c>
      <c r="E111" t="s">
        <v>711</v>
      </c>
      <c r="F111" t="s">
        <v>14</v>
      </c>
      <c r="G111">
        <v>27276869</v>
      </c>
      <c r="H111" t="s">
        <v>297</v>
      </c>
      <c r="I111">
        <v>98333941</v>
      </c>
      <c r="J111" t="s">
        <v>14</v>
      </c>
      <c r="K111" t="s">
        <v>15</v>
      </c>
      <c r="L111">
        <v>6300000</v>
      </c>
      <c r="M111">
        <v>12600000</v>
      </c>
      <c r="N111" t="s">
        <v>704</v>
      </c>
      <c r="O111">
        <v>6300000</v>
      </c>
    </row>
    <row r="112" spans="1:15" x14ac:dyDescent="0.25">
      <c r="A112" t="s">
        <v>594</v>
      </c>
      <c r="B112" t="s">
        <v>13</v>
      </c>
      <c r="C112">
        <v>45910</v>
      </c>
      <c r="D112">
        <v>46022</v>
      </c>
      <c r="E112" t="s">
        <v>706</v>
      </c>
      <c r="F112" t="s">
        <v>14</v>
      </c>
      <c r="G112">
        <v>1085333467</v>
      </c>
      <c r="H112" t="s">
        <v>595</v>
      </c>
      <c r="I112">
        <v>98333941</v>
      </c>
      <c r="J112" t="s">
        <v>14</v>
      </c>
      <c r="K112" t="s">
        <v>15</v>
      </c>
      <c r="L112">
        <v>4572333</v>
      </c>
      <c r="M112">
        <v>18920000</v>
      </c>
      <c r="N112" t="s">
        <v>704</v>
      </c>
      <c r="O112">
        <v>14347667</v>
      </c>
    </row>
    <row r="113" spans="1:15" x14ac:dyDescent="0.25">
      <c r="A113" t="s">
        <v>136</v>
      </c>
      <c r="B113" t="s">
        <v>13</v>
      </c>
      <c r="C113">
        <v>45910</v>
      </c>
      <c r="D113">
        <v>46022</v>
      </c>
      <c r="E113" t="s">
        <v>711</v>
      </c>
      <c r="F113" t="s">
        <v>14</v>
      </c>
      <c r="G113">
        <v>1086016304</v>
      </c>
      <c r="H113" t="s">
        <v>137</v>
      </c>
      <c r="I113">
        <v>98333941</v>
      </c>
      <c r="J113" t="s">
        <v>14</v>
      </c>
      <c r="K113" t="s">
        <v>15</v>
      </c>
      <c r="L113">
        <v>3150000</v>
      </c>
      <c r="M113">
        <v>12600000</v>
      </c>
      <c r="N113" t="s">
        <v>704</v>
      </c>
      <c r="O113">
        <v>9450000</v>
      </c>
    </row>
    <row r="114" spans="1:15" x14ac:dyDescent="0.25">
      <c r="A114" t="s">
        <v>205</v>
      </c>
      <c r="B114" t="s">
        <v>13</v>
      </c>
      <c r="C114">
        <v>45910</v>
      </c>
      <c r="D114">
        <v>46022</v>
      </c>
      <c r="E114" t="s">
        <v>719</v>
      </c>
      <c r="F114" t="s">
        <v>14</v>
      </c>
      <c r="G114">
        <v>1082748420</v>
      </c>
      <c r="H114" t="s">
        <v>65</v>
      </c>
      <c r="I114">
        <v>98333941</v>
      </c>
      <c r="J114" t="s">
        <v>14</v>
      </c>
      <c r="K114" t="s">
        <v>15</v>
      </c>
      <c r="L114">
        <v>12600000</v>
      </c>
      <c r="M114">
        <v>25200000</v>
      </c>
      <c r="N114" t="s">
        <v>704</v>
      </c>
      <c r="O114">
        <v>12600000</v>
      </c>
    </row>
    <row r="115" spans="1:15" x14ac:dyDescent="0.25">
      <c r="A115" t="s">
        <v>194</v>
      </c>
      <c r="B115" t="s">
        <v>13</v>
      </c>
      <c r="C115">
        <v>45910</v>
      </c>
      <c r="D115">
        <v>46022</v>
      </c>
      <c r="E115" t="s">
        <v>711</v>
      </c>
      <c r="F115" t="s">
        <v>14</v>
      </c>
      <c r="G115">
        <v>1233193191</v>
      </c>
      <c r="H115" t="s">
        <v>195</v>
      </c>
      <c r="I115">
        <v>98333941</v>
      </c>
      <c r="J115" t="s">
        <v>14</v>
      </c>
      <c r="K115" t="s">
        <v>15</v>
      </c>
      <c r="L115">
        <v>6300000</v>
      </c>
      <c r="M115">
        <v>12600000</v>
      </c>
      <c r="N115" t="s">
        <v>704</v>
      </c>
      <c r="O115">
        <v>6300000</v>
      </c>
    </row>
    <row r="116" spans="1:15" x14ac:dyDescent="0.25">
      <c r="A116" t="s">
        <v>230</v>
      </c>
      <c r="B116" t="s">
        <v>13</v>
      </c>
      <c r="C116">
        <v>45910</v>
      </c>
      <c r="D116">
        <v>46022</v>
      </c>
      <c r="E116" t="s">
        <v>711</v>
      </c>
      <c r="F116" t="s">
        <v>14</v>
      </c>
      <c r="G116">
        <v>59313711</v>
      </c>
      <c r="H116" t="s">
        <v>231</v>
      </c>
      <c r="I116">
        <v>98333941</v>
      </c>
      <c r="J116" t="s">
        <v>14</v>
      </c>
      <c r="K116" t="s">
        <v>15</v>
      </c>
      <c r="L116">
        <v>6300000</v>
      </c>
      <c r="M116">
        <v>12600000</v>
      </c>
      <c r="N116" t="s">
        <v>704</v>
      </c>
      <c r="O116">
        <v>6300000</v>
      </c>
    </row>
    <row r="117" spans="1:15" x14ac:dyDescent="0.25">
      <c r="A117" t="s">
        <v>256</v>
      </c>
      <c r="B117" t="s">
        <v>13</v>
      </c>
      <c r="C117">
        <v>45910</v>
      </c>
      <c r="D117">
        <v>46022</v>
      </c>
      <c r="E117" t="s">
        <v>711</v>
      </c>
      <c r="F117" t="s">
        <v>14</v>
      </c>
      <c r="G117">
        <v>1085302942</v>
      </c>
      <c r="H117" t="s">
        <v>257</v>
      </c>
      <c r="I117">
        <v>98333941</v>
      </c>
      <c r="J117" t="s">
        <v>14</v>
      </c>
      <c r="K117" t="s">
        <v>15</v>
      </c>
      <c r="L117">
        <v>9450000</v>
      </c>
      <c r="M117">
        <v>12600000</v>
      </c>
      <c r="N117" t="s">
        <v>704</v>
      </c>
      <c r="O117">
        <v>3150000</v>
      </c>
    </row>
    <row r="118" spans="1:15" x14ac:dyDescent="0.25">
      <c r="A118" t="s">
        <v>341</v>
      </c>
      <c r="B118" t="s">
        <v>13</v>
      </c>
      <c r="C118">
        <v>45910</v>
      </c>
      <c r="D118">
        <v>46022</v>
      </c>
      <c r="E118" t="s">
        <v>711</v>
      </c>
      <c r="F118" t="s">
        <v>14</v>
      </c>
      <c r="G118">
        <v>1085275473</v>
      </c>
      <c r="H118" t="s">
        <v>342</v>
      </c>
      <c r="I118">
        <v>98390119</v>
      </c>
      <c r="J118" t="s">
        <v>14</v>
      </c>
      <c r="K118" t="s">
        <v>63</v>
      </c>
      <c r="L118">
        <v>6300000</v>
      </c>
      <c r="M118">
        <v>12600000</v>
      </c>
      <c r="N118" t="s">
        <v>704</v>
      </c>
      <c r="O118">
        <v>6300000</v>
      </c>
    </row>
    <row r="119" spans="1:15" x14ac:dyDescent="0.25">
      <c r="A119" t="s">
        <v>575</v>
      </c>
      <c r="B119" t="s">
        <v>13</v>
      </c>
      <c r="C119">
        <v>45910</v>
      </c>
      <c r="D119">
        <v>46022</v>
      </c>
      <c r="E119" t="s">
        <v>706</v>
      </c>
      <c r="F119" t="s">
        <v>14</v>
      </c>
      <c r="G119">
        <v>1087960287</v>
      </c>
      <c r="H119" t="s">
        <v>576</v>
      </c>
      <c r="I119">
        <v>59836926</v>
      </c>
      <c r="J119" t="s">
        <v>14</v>
      </c>
      <c r="K119" t="s">
        <v>17</v>
      </c>
      <c r="L119">
        <v>9460000</v>
      </c>
      <c r="M119">
        <v>18920000</v>
      </c>
      <c r="N119" t="s">
        <v>704</v>
      </c>
      <c r="O119">
        <v>9460000</v>
      </c>
    </row>
    <row r="120" spans="1:15" x14ac:dyDescent="0.25">
      <c r="A120" t="s">
        <v>298</v>
      </c>
      <c r="B120" t="s">
        <v>13</v>
      </c>
      <c r="C120">
        <v>45909</v>
      </c>
      <c r="D120">
        <v>46022</v>
      </c>
      <c r="E120" t="s">
        <v>711</v>
      </c>
      <c r="F120" t="s">
        <v>14</v>
      </c>
      <c r="G120">
        <v>59310853</v>
      </c>
      <c r="H120" t="s">
        <v>57</v>
      </c>
      <c r="I120">
        <v>43624414</v>
      </c>
      <c r="J120" t="s">
        <v>14</v>
      </c>
      <c r="K120" t="s">
        <v>18</v>
      </c>
      <c r="L120">
        <v>6300000</v>
      </c>
      <c r="M120">
        <v>12600000</v>
      </c>
      <c r="N120" t="s">
        <v>704</v>
      </c>
      <c r="O120">
        <v>6300000</v>
      </c>
    </row>
    <row r="121" spans="1:15" x14ac:dyDescent="0.25">
      <c r="A121" t="s">
        <v>196</v>
      </c>
      <c r="B121" t="s">
        <v>13</v>
      </c>
      <c r="C121">
        <v>45909</v>
      </c>
      <c r="D121">
        <v>46022</v>
      </c>
      <c r="E121" t="s">
        <v>711</v>
      </c>
      <c r="F121" t="s">
        <v>14</v>
      </c>
      <c r="G121">
        <v>37087117</v>
      </c>
      <c r="H121" t="s">
        <v>197</v>
      </c>
      <c r="I121">
        <v>98333941</v>
      </c>
      <c r="J121" t="s">
        <v>14</v>
      </c>
      <c r="K121" t="s">
        <v>15</v>
      </c>
      <c r="L121">
        <v>6300000</v>
      </c>
      <c r="M121">
        <v>12600000</v>
      </c>
      <c r="N121" t="s">
        <v>704</v>
      </c>
      <c r="O121">
        <v>6300000</v>
      </c>
    </row>
    <row r="122" spans="1:15" x14ac:dyDescent="0.25">
      <c r="A122" t="s">
        <v>665</v>
      </c>
      <c r="B122" t="s">
        <v>13</v>
      </c>
      <c r="C122">
        <v>45909</v>
      </c>
      <c r="D122">
        <v>46022</v>
      </c>
      <c r="E122" t="s">
        <v>710</v>
      </c>
      <c r="F122" t="s">
        <v>14</v>
      </c>
      <c r="G122">
        <v>1085244624</v>
      </c>
      <c r="H122" t="s">
        <v>666</v>
      </c>
      <c r="I122">
        <v>98333941</v>
      </c>
      <c r="J122" t="s">
        <v>14</v>
      </c>
      <c r="K122" t="s">
        <v>15</v>
      </c>
      <c r="L122">
        <v>3900000</v>
      </c>
      <c r="M122">
        <v>31200000</v>
      </c>
      <c r="N122" t="s">
        <v>704</v>
      </c>
      <c r="O122">
        <v>27300000</v>
      </c>
    </row>
    <row r="123" spans="1:15" x14ac:dyDescent="0.25">
      <c r="A123" t="s">
        <v>134</v>
      </c>
      <c r="B123" t="s">
        <v>13</v>
      </c>
      <c r="C123">
        <v>45909</v>
      </c>
      <c r="D123">
        <v>46022</v>
      </c>
      <c r="E123" t="s">
        <v>719</v>
      </c>
      <c r="F123" t="s">
        <v>14</v>
      </c>
      <c r="G123">
        <v>59310291</v>
      </c>
      <c r="H123" t="s">
        <v>135</v>
      </c>
      <c r="I123">
        <v>98333941</v>
      </c>
      <c r="J123" t="s">
        <v>14</v>
      </c>
      <c r="K123" t="s">
        <v>15</v>
      </c>
      <c r="L123">
        <v>12600000</v>
      </c>
      <c r="M123">
        <v>25200000</v>
      </c>
      <c r="N123" t="s">
        <v>704</v>
      </c>
      <c r="O123">
        <v>12600000</v>
      </c>
    </row>
    <row r="124" spans="1:15" x14ac:dyDescent="0.25">
      <c r="A124" t="s">
        <v>465</v>
      </c>
      <c r="B124" t="s">
        <v>13</v>
      </c>
      <c r="C124">
        <v>45909</v>
      </c>
      <c r="D124">
        <v>46022</v>
      </c>
      <c r="E124" t="s">
        <v>710</v>
      </c>
      <c r="F124" t="s">
        <v>14</v>
      </c>
      <c r="G124">
        <v>1233189066</v>
      </c>
      <c r="H124" t="s">
        <v>466</v>
      </c>
      <c r="I124">
        <v>98390119</v>
      </c>
      <c r="J124" t="s">
        <v>14</v>
      </c>
      <c r="K124" t="s">
        <v>63</v>
      </c>
      <c r="L124">
        <v>15600000</v>
      </c>
      <c r="M124">
        <v>31200000</v>
      </c>
      <c r="N124" t="s">
        <v>704</v>
      </c>
      <c r="O124">
        <v>15600000</v>
      </c>
    </row>
    <row r="125" spans="1:15" x14ac:dyDescent="0.25">
      <c r="A125" t="s">
        <v>541</v>
      </c>
      <c r="B125" t="s">
        <v>13</v>
      </c>
      <c r="C125">
        <v>45909</v>
      </c>
      <c r="D125">
        <v>46022</v>
      </c>
      <c r="E125" t="s">
        <v>711</v>
      </c>
      <c r="F125" t="s">
        <v>14</v>
      </c>
      <c r="G125">
        <v>36953590</v>
      </c>
      <c r="H125" t="s">
        <v>542</v>
      </c>
      <c r="I125">
        <v>98333941</v>
      </c>
      <c r="J125" t="s">
        <v>14</v>
      </c>
      <c r="K125" t="s">
        <v>15</v>
      </c>
      <c r="L125">
        <v>4200000</v>
      </c>
      <c r="M125">
        <v>12600000</v>
      </c>
      <c r="N125" t="s">
        <v>704</v>
      </c>
      <c r="O125">
        <v>8400000</v>
      </c>
    </row>
    <row r="126" spans="1:15" x14ac:dyDescent="0.25">
      <c r="A126" t="s">
        <v>326</v>
      </c>
      <c r="B126" t="s">
        <v>13</v>
      </c>
      <c r="C126">
        <v>45909</v>
      </c>
      <c r="D126">
        <v>46022</v>
      </c>
      <c r="E126" t="s">
        <v>710</v>
      </c>
      <c r="F126" t="s">
        <v>14</v>
      </c>
      <c r="G126">
        <v>1084552063</v>
      </c>
      <c r="H126" t="s">
        <v>327</v>
      </c>
      <c r="I126">
        <v>98333941</v>
      </c>
      <c r="J126" t="s">
        <v>14</v>
      </c>
      <c r="K126" t="s">
        <v>15</v>
      </c>
      <c r="L126">
        <v>23400000</v>
      </c>
      <c r="M126">
        <v>31200000</v>
      </c>
      <c r="N126" t="s">
        <v>704</v>
      </c>
      <c r="O126">
        <v>7800000</v>
      </c>
    </row>
    <row r="127" spans="1:15" x14ac:dyDescent="0.25">
      <c r="A127" t="s">
        <v>649</v>
      </c>
      <c r="B127" t="s">
        <v>13</v>
      </c>
      <c r="C127">
        <v>45909</v>
      </c>
      <c r="D127">
        <v>46022</v>
      </c>
      <c r="E127" t="s">
        <v>711</v>
      </c>
      <c r="F127" t="s">
        <v>14</v>
      </c>
      <c r="G127">
        <v>1085335033</v>
      </c>
      <c r="H127" t="s">
        <v>650</v>
      </c>
      <c r="I127">
        <v>98333941</v>
      </c>
      <c r="J127" t="s">
        <v>14</v>
      </c>
      <c r="K127" t="s">
        <v>15</v>
      </c>
      <c r="L127">
        <v>6300000</v>
      </c>
      <c r="M127">
        <v>12600000</v>
      </c>
      <c r="N127" t="s">
        <v>704</v>
      </c>
      <c r="O127">
        <v>6300000</v>
      </c>
    </row>
    <row r="128" spans="1:15" x14ac:dyDescent="0.25">
      <c r="A128" t="s">
        <v>301</v>
      </c>
      <c r="B128" t="s">
        <v>13</v>
      </c>
      <c r="C128">
        <v>45909</v>
      </c>
      <c r="D128">
        <v>46022</v>
      </c>
      <c r="E128" t="s">
        <v>711</v>
      </c>
      <c r="F128" t="s">
        <v>14</v>
      </c>
      <c r="G128">
        <v>1086329609</v>
      </c>
      <c r="H128" t="s">
        <v>64</v>
      </c>
      <c r="I128">
        <v>98333941</v>
      </c>
      <c r="J128" t="s">
        <v>14</v>
      </c>
      <c r="K128" t="s">
        <v>15</v>
      </c>
      <c r="L128">
        <v>9450000</v>
      </c>
      <c r="M128">
        <v>12600000</v>
      </c>
      <c r="N128" t="s">
        <v>704</v>
      </c>
      <c r="O128">
        <v>3150000</v>
      </c>
    </row>
    <row r="129" spans="1:15" x14ac:dyDescent="0.25">
      <c r="A129" t="s">
        <v>104</v>
      </c>
      <c r="B129" t="s">
        <v>13</v>
      </c>
      <c r="C129">
        <v>45909</v>
      </c>
      <c r="D129">
        <v>46022</v>
      </c>
      <c r="E129" t="s">
        <v>711</v>
      </c>
      <c r="F129" t="s">
        <v>14</v>
      </c>
      <c r="G129">
        <v>59310056</v>
      </c>
      <c r="H129" t="s">
        <v>105</v>
      </c>
      <c r="I129">
        <v>98333941</v>
      </c>
      <c r="J129" t="s">
        <v>14</v>
      </c>
      <c r="K129" t="s">
        <v>15</v>
      </c>
      <c r="L129">
        <v>6300000</v>
      </c>
      <c r="M129">
        <v>12600000</v>
      </c>
      <c r="N129" t="s">
        <v>704</v>
      </c>
      <c r="O129">
        <v>6300000</v>
      </c>
    </row>
    <row r="130" spans="1:15" x14ac:dyDescent="0.25">
      <c r="A130" t="s">
        <v>171</v>
      </c>
      <c r="B130" t="s">
        <v>13</v>
      </c>
      <c r="C130">
        <v>45909</v>
      </c>
      <c r="D130">
        <v>46022</v>
      </c>
      <c r="E130" t="s">
        <v>711</v>
      </c>
      <c r="F130" t="s">
        <v>14</v>
      </c>
      <c r="G130">
        <v>27088197</v>
      </c>
      <c r="H130" t="s">
        <v>62</v>
      </c>
      <c r="I130">
        <v>59836926</v>
      </c>
      <c r="J130" t="s">
        <v>14</v>
      </c>
      <c r="K130" t="s">
        <v>17</v>
      </c>
      <c r="L130">
        <v>6300000</v>
      </c>
      <c r="M130">
        <v>12600000</v>
      </c>
      <c r="N130" t="s">
        <v>704</v>
      </c>
      <c r="O130">
        <v>6300000</v>
      </c>
    </row>
    <row r="131" spans="1:15" x14ac:dyDescent="0.25">
      <c r="A131" t="s">
        <v>532</v>
      </c>
      <c r="B131" t="s">
        <v>13</v>
      </c>
      <c r="C131">
        <v>45909</v>
      </c>
      <c r="D131">
        <v>46022</v>
      </c>
      <c r="E131" t="s">
        <v>711</v>
      </c>
      <c r="F131" t="s">
        <v>14</v>
      </c>
      <c r="G131">
        <v>1085286725</v>
      </c>
      <c r="H131" t="s">
        <v>40</v>
      </c>
      <c r="I131">
        <v>98333941</v>
      </c>
      <c r="J131" t="s">
        <v>14</v>
      </c>
      <c r="K131" t="s">
        <v>15</v>
      </c>
      <c r="L131">
        <v>6300000</v>
      </c>
      <c r="M131">
        <v>12600000</v>
      </c>
      <c r="N131" t="s">
        <v>704</v>
      </c>
      <c r="O131">
        <v>6300000</v>
      </c>
    </row>
    <row r="132" spans="1:15" x14ac:dyDescent="0.25">
      <c r="A132" t="s">
        <v>238</v>
      </c>
      <c r="B132" t="s">
        <v>13</v>
      </c>
      <c r="C132">
        <v>45909</v>
      </c>
      <c r="D132">
        <v>46022</v>
      </c>
      <c r="E132" t="s">
        <v>711</v>
      </c>
      <c r="F132" t="s">
        <v>14</v>
      </c>
      <c r="G132">
        <v>59310524</v>
      </c>
      <c r="H132" t="s">
        <v>22</v>
      </c>
      <c r="I132">
        <v>98390119</v>
      </c>
      <c r="J132" t="s">
        <v>14</v>
      </c>
      <c r="K132" t="s">
        <v>63</v>
      </c>
      <c r="L132">
        <v>6300000</v>
      </c>
      <c r="M132">
        <v>12600000</v>
      </c>
      <c r="N132" t="s">
        <v>704</v>
      </c>
      <c r="O132">
        <v>6300000</v>
      </c>
    </row>
    <row r="133" spans="1:15" x14ac:dyDescent="0.25">
      <c r="A133" t="s">
        <v>343</v>
      </c>
      <c r="B133" t="s">
        <v>13</v>
      </c>
      <c r="C133">
        <v>45909</v>
      </c>
      <c r="D133">
        <v>46022</v>
      </c>
      <c r="E133" t="s">
        <v>719</v>
      </c>
      <c r="F133" t="s">
        <v>14</v>
      </c>
      <c r="G133">
        <v>1014212900</v>
      </c>
      <c r="H133" t="s">
        <v>344</v>
      </c>
      <c r="I133">
        <v>98390119</v>
      </c>
      <c r="J133" t="s">
        <v>14</v>
      </c>
      <c r="K133" t="s">
        <v>63</v>
      </c>
      <c r="L133">
        <v>12600000</v>
      </c>
      <c r="M133">
        <v>25200000</v>
      </c>
      <c r="N133" t="s">
        <v>704</v>
      </c>
      <c r="O133">
        <v>12600000</v>
      </c>
    </row>
    <row r="134" spans="1:15" x14ac:dyDescent="0.25">
      <c r="A134" t="s">
        <v>399</v>
      </c>
      <c r="B134" t="s">
        <v>13</v>
      </c>
      <c r="C134">
        <v>45909</v>
      </c>
      <c r="D134">
        <v>46022</v>
      </c>
      <c r="E134" t="s">
        <v>710</v>
      </c>
      <c r="F134" t="s">
        <v>14</v>
      </c>
      <c r="G134">
        <v>37087120</v>
      </c>
      <c r="H134" t="s">
        <v>51</v>
      </c>
      <c r="I134">
        <v>98333941</v>
      </c>
      <c r="J134" t="s">
        <v>14</v>
      </c>
      <c r="K134" t="s">
        <v>15</v>
      </c>
      <c r="L134">
        <v>15600000</v>
      </c>
      <c r="M134">
        <v>31200000</v>
      </c>
      <c r="N134" t="s">
        <v>704</v>
      </c>
      <c r="O134">
        <v>15600000</v>
      </c>
    </row>
    <row r="135" spans="1:15" x14ac:dyDescent="0.25">
      <c r="A135" t="s">
        <v>173</v>
      </c>
      <c r="B135" t="s">
        <v>13</v>
      </c>
      <c r="C135">
        <v>45909</v>
      </c>
      <c r="D135">
        <v>46022</v>
      </c>
      <c r="E135" t="s">
        <v>711</v>
      </c>
      <c r="F135" t="s">
        <v>14</v>
      </c>
      <c r="G135">
        <v>27082649</v>
      </c>
      <c r="H135" t="s">
        <v>174</v>
      </c>
      <c r="I135">
        <v>43624414</v>
      </c>
      <c r="J135" t="s">
        <v>14</v>
      </c>
      <c r="K135" t="s">
        <v>18</v>
      </c>
      <c r="L135">
        <v>6300000</v>
      </c>
      <c r="M135">
        <v>12600000</v>
      </c>
      <c r="N135" t="s">
        <v>704</v>
      </c>
      <c r="O135">
        <v>6300000</v>
      </c>
    </row>
    <row r="136" spans="1:15" x14ac:dyDescent="0.25">
      <c r="A136" t="s">
        <v>185</v>
      </c>
      <c r="B136" t="s">
        <v>13</v>
      </c>
      <c r="C136">
        <v>45909</v>
      </c>
      <c r="D136">
        <v>46022</v>
      </c>
      <c r="E136" t="s">
        <v>711</v>
      </c>
      <c r="F136" t="s">
        <v>14</v>
      </c>
      <c r="G136">
        <v>1087960258</v>
      </c>
      <c r="H136" t="s">
        <v>186</v>
      </c>
      <c r="I136">
        <v>98333941</v>
      </c>
      <c r="J136" t="s">
        <v>14</v>
      </c>
      <c r="K136" t="s">
        <v>15</v>
      </c>
      <c r="L136">
        <v>9450000</v>
      </c>
      <c r="M136">
        <v>12600000</v>
      </c>
      <c r="N136" t="s">
        <v>704</v>
      </c>
      <c r="O136">
        <v>3150000</v>
      </c>
    </row>
    <row r="137" spans="1:15" x14ac:dyDescent="0.25">
      <c r="A137" t="s">
        <v>411</v>
      </c>
      <c r="B137" t="s">
        <v>13</v>
      </c>
      <c r="C137">
        <v>45909</v>
      </c>
      <c r="D137">
        <v>46022</v>
      </c>
      <c r="E137" t="s">
        <v>719</v>
      </c>
      <c r="F137" t="s">
        <v>14</v>
      </c>
      <c r="G137">
        <v>1085272491</v>
      </c>
      <c r="H137" t="s">
        <v>412</v>
      </c>
      <c r="I137">
        <v>98390119</v>
      </c>
      <c r="J137" t="s">
        <v>14</v>
      </c>
      <c r="K137" t="s">
        <v>63</v>
      </c>
      <c r="L137">
        <v>12600000</v>
      </c>
      <c r="M137">
        <v>25200000</v>
      </c>
      <c r="N137" t="s">
        <v>704</v>
      </c>
      <c r="O137">
        <v>12600000</v>
      </c>
    </row>
    <row r="138" spans="1:15" x14ac:dyDescent="0.25">
      <c r="A138" t="s">
        <v>158</v>
      </c>
      <c r="B138" t="s">
        <v>13</v>
      </c>
      <c r="C138">
        <v>45908</v>
      </c>
      <c r="D138">
        <v>46022</v>
      </c>
      <c r="E138" t="s">
        <v>706</v>
      </c>
      <c r="F138" t="s">
        <v>14</v>
      </c>
      <c r="G138">
        <v>36756149</v>
      </c>
      <c r="H138" t="s">
        <v>159</v>
      </c>
      <c r="I138">
        <v>98333941</v>
      </c>
      <c r="J138" t="s">
        <v>14</v>
      </c>
      <c r="K138" t="s">
        <v>15</v>
      </c>
      <c r="L138">
        <v>9460000</v>
      </c>
      <c r="M138">
        <v>18920000</v>
      </c>
      <c r="N138" t="s">
        <v>704</v>
      </c>
      <c r="O138">
        <v>9460000</v>
      </c>
    </row>
    <row r="139" spans="1:15" x14ac:dyDescent="0.25">
      <c r="A139" t="s">
        <v>260</v>
      </c>
      <c r="B139" t="s">
        <v>13</v>
      </c>
      <c r="C139">
        <v>45908</v>
      </c>
      <c r="D139">
        <v>46022</v>
      </c>
      <c r="E139" t="s">
        <v>719</v>
      </c>
      <c r="F139" t="s">
        <v>14</v>
      </c>
      <c r="G139">
        <v>1053793750</v>
      </c>
      <c r="H139" t="s">
        <v>261</v>
      </c>
      <c r="I139">
        <v>98333941</v>
      </c>
      <c r="J139" t="s">
        <v>14</v>
      </c>
      <c r="K139" t="s">
        <v>15</v>
      </c>
      <c r="L139">
        <v>18900000</v>
      </c>
      <c r="M139">
        <v>25200000</v>
      </c>
      <c r="N139" t="s">
        <v>704</v>
      </c>
      <c r="O139">
        <v>6300000</v>
      </c>
    </row>
    <row r="140" spans="1:15" x14ac:dyDescent="0.25">
      <c r="A140" t="s">
        <v>345</v>
      </c>
      <c r="B140" t="s">
        <v>13</v>
      </c>
      <c r="C140">
        <v>45908</v>
      </c>
      <c r="D140">
        <v>46022</v>
      </c>
      <c r="E140" t="s">
        <v>711</v>
      </c>
      <c r="F140" t="s">
        <v>14</v>
      </c>
      <c r="G140">
        <v>1085339190</v>
      </c>
      <c r="H140" t="s">
        <v>346</v>
      </c>
      <c r="I140">
        <v>98390119</v>
      </c>
      <c r="J140" t="s">
        <v>14</v>
      </c>
      <c r="K140" t="s">
        <v>63</v>
      </c>
      <c r="L140">
        <v>6300000</v>
      </c>
      <c r="M140">
        <v>12600000</v>
      </c>
      <c r="N140" t="s">
        <v>704</v>
      </c>
      <c r="O140">
        <v>6300000</v>
      </c>
    </row>
    <row r="141" spans="1:15" x14ac:dyDescent="0.25">
      <c r="A141" t="s">
        <v>290</v>
      </c>
      <c r="B141" t="s">
        <v>13</v>
      </c>
      <c r="C141">
        <v>45908</v>
      </c>
      <c r="D141">
        <v>46022</v>
      </c>
      <c r="E141" t="s">
        <v>711</v>
      </c>
      <c r="F141" t="s">
        <v>14</v>
      </c>
      <c r="G141">
        <v>1004131976</v>
      </c>
      <c r="H141" t="s">
        <v>291</v>
      </c>
      <c r="I141">
        <v>98390119</v>
      </c>
      <c r="J141" t="s">
        <v>14</v>
      </c>
      <c r="K141" t="s">
        <v>63</v>
      </c>
      <c r="L141">
        <v>6300000</v>
      </c>
      <c r="M141">
        <v>12600000</v>
      </c>
      <c r="N141" t="s">
        <v>704</v>
      </c>
      <c r="O141">
        <v>6300000</v>
      </c>
    </row>
    <row r="142" spans="1:15" x14ac:dyDescent="0.25">
      <c r="A142" t="s">
        <v>549</v>
      </c>
      <c r="B142" t="s">
        <v>13</v>
      </c>
      <c r="C142">
        <v>45908</v>
      </c>
      <c r="D142">
        <v>46022</v>
      </c>
      <c r="E142" t="s">
        <v>710</v>
      </c>
      <c r="F142" t="s">
        <v>14</v>
      </c>
      <c r="G142">
        <v>1086224562</v>
      </c>
      <c r="H142" t="s">
        <v>550</v>
      </c>
      <c r="I142">
        <v>98333941</v>
      </c>
      <c r="J142" t="s">
        <v>14</v>
      </c>
      <c r="K142" t="s">
        <v>15</v>
      </c>
      <c r="L142">
        <v>0</v>
      </c>
      <c r="M142">
        <v>31200000</v>
      </c>
      <c r="N142" t="s">
        <v>704</v>
      </c>
      <c r="O142">
        <v>31200000</v>
      </c>
    </row>
    <row r="143" spans="1:15" x14ac:dyDescent="0.25">
      <c r="A143" t="s">
        <v>491</v>
      </c>
      <c r="B143" t="s">
        <v>13</v>
      </c>
      <c r="C143">
        <v>45908</v>
      </c>
      <c r="D143">
        <v>46022</v>
      </c>
      <c r="E143" t="s">
        <v>711</v>
      </c>
      <c r="F143" t="s">
        <v>14</v>
      </c>
      <c r="G143">
        <v>1089458048</v>
      </c>
      <c r="H143" t="s">
        <v>492</v>
      </c>
      <c r="I143">
        <v>98333941</v>
      </c>
      <c r="J143" t="s">
        <v>14</v>
      </c>
      <c r="K143" t="s">
        <v>15</v>
      </c>
      <c r="L143">
        <v>6300000</v>
      </c>
      <c r="M143">
        <v>12600000</v>
      </c>
      <c r="N143" t="s">
        <v>704</v>
      </c>
      <c r="O143">
        <v>6300000</v>
      </c>
    </row>
    <row r="144" spans="1:15" x14ac:dyDescent="0.25">
      <c r="A144" t="s">
        <v>579</v>
      </c>
      <c r="B144" t="s">
        <v>13</v>
      </c>
      <c r="C144">
        <v>45908</v>
      </c>
      <c r="D144">
        <v>46022</v>
      </c>
      <c r="E144" t="s">
        <v>711</v>
      </c>
      <c r="F144" t="s">
        <v>14</v>
      </c>
      <c r="G144">
        <v>1192717330</v>
      </c>
      <c r="H144" t="s">
        <v>58</v>
      </c>
      <c r="I144">
        <v>43624414</v>
      </c>
      <c r="J144" t="s">
        <v>14</v>
      </c>
      <c r="K144" t="s">
        <v>18</v>
      </c>
      <c r="L144">
        <v>6300000</v>
      </c>
      <c r="M144">
        <v>12600000</v>
      </c>
      <c r="N144" t="s">
        <v>704</v>
      </c>
      <c r="O144">
        <v>6300000</v>
      </c>
    </row>
    <row r="145" spans="1:15" x14ac:dyDescent="0.25">
      <c r="A145" t="s">
        <v>124</v>
      </c>
      <c r="B145" t="s">
        <v>13</v>
      </c>
      <c r="C145">
        <v>45908</v>
      </c>
      <c r="D145">
        <v>46022</v>
      </c>
      <c r="E145" t="s">
        <v>711</v>
      </c>
      <c r="F145" t="s">
        <v>14</v>
      </c>
      <c r="G145">
        <v>1004235479</v>
      </c>
      <c r="H145" t="s">
        <v>56</v>
      </c>
      <c r="I145">
        <v>98333941</v>
      </c>
      <c r="J145" t="s">
        <v>14</v>
      </c>
      <c r="K145" t="s">
        <v>15</v>
      </c>
      <c r="L145">
        <v>9450000</v>
      </c>
      <c r="M145">
        <v>12600000</v>
      </c>
      <c r="N145" t="s">
        <v>704</v>
      </c>
      <c r="O145">
        <v>3150000</v>
      </c>
    </row>
    <row r="146" spans="1:15" x14ac:dyDescent="0.25">
      <c r="A146" t="s">
        <v>377</v>
      </c>
      <c r="B146" t="s">
        <v>13</v>
      </c>
      <c r="C146">
        <v>45908</v>
      </c>
      <c r="D146">
        <v>46022</v>
      </c>
      <c r="E146" t="s">
        <v>711</v>
      </c>
      <c r="F146" t="s">
        <v>14</v>
      </c>
      <c r="G146">
        <v>37084285</v>
      </c>
      <c r="H146" t="s">
        <v>29</v>
      </c>
      <c r="I146">
        <v>98333941</v>
      </c>
      <c r="J146" t="s">
        <v>14</v>
      </c>
      <c r="K146" t="s">
        <v>15</v>
      </c>
      <c r="L146">
        <v>6300000</v>
      </c>
      <c r="M146">
        <v>12600000</v>
      </c>
      <c r="N146" t="s">
        <v>704</v>
      </c>
      <c r="O146">
        <v>6300000</v>
      </c>
    </row>
    <row r="147" spans="1:15" x14ac:dyDescent="0.25">
      <c r="A147" t="s">
        <v>201</v>
      </c>
      <c r="B147" t="s">
        <v>13</v>
      </c>
      <c r="C147">
        <v>45908</v>
      </c>
      <c r="D147">
        <v>46022</v>
      </c>
      <c r="E147" t="s">
        <v>711</v>
      </c>
      <c r="F147" t="s">
        <v>14</v>
      </c>
      <c r="G147">
        <v>1004236159</v>
      </c>
      <c r="H147" t="s">
        <v>202</v>
      </c>
      <c r="I147">
        <v>98333941</v>
      </c>
      <c r="J147" t="s">
        <v>14</v>
      </c>
      <c r="K147" t="s">
        <v>15</v>
      </c>
      <c r="L147">
        <v>6300000</v>
      </c>
      <c r="M147">
        <v>12600000</v>
      </c>
      <c r="N147" t="s">
        <v>704</v>
      </c>
      <c r="O147">
        <v>6300000</v>
      </c>
    </row>
    <row r="148" spans="1:15" x14ac:dyDescent="0.25">
      <c r="A148" t="s">
        <v>515</v>
      </c>
      <c r="B148" t="s">
        <v>13</v>
      </c>
      <c r="C148">
        <v>45908</v>
      </c>
      <c r="D148">
        <v>46022</v>
      </c>
      <c r="E148" t="s">
        <v>710</v>
      </c>
      <c r="F148" t="s">
        <v>14</v>
      </c>
      <c r="G148">
        <v>1233192708</v>
      </c>
      <c r="H148" t="s">
        <v>516</v>
      </c>
      <c r="I148">
        <v>43624414</v>
      </c>
      <c r="J148" t="s">
        <v>14</v>
      </c>
      <c r="K148" t="s">
        <v>18</v>
      </c>
      <c r="L148">
        <v>15600000</v>
      </c>
      <c r="M148">
        <v>31200000</v>
      </c>
      <c r="N148" t="s">
        <v>704</v>
      </c>
      <c r="O148">
        <v>15600000</v>
      </c>
    </row>
    <row r="149" spans="1:15" x14ac:dyDescent="0.25">
      <c r="A149" t="s">
        <v>474</v>
      </c>
      <c r="B149" t="s">
        <v>13</v>
      </c>
      <c r="C149">
        <v>45908</v>
      </c>
      <c r="D149">
        <v>46022</v>
      </c>
      <c r="E149" t="s">
        <v>710</v>
      </c>
      <c r="F149" t="s">
        <v>14</v>
      </c>
      <c r="G149">
        <v>80765093</v>
      </c>
      <c r="H149" t="s">
        <v>20</v>
      </c>
      <c r="I149">
        <v>59836926</v>
      </c>
      <c r="J149" t="s">
        <v>14</v>
      </c>
      <c r="K149" t="s">
        <v>17</v>
      </c>
      <c r="L149">
        <v>15600000</v>
      </c>
      <c r="M149">
        <v>31200000</v>
      </c>
      <c r="N149" t="s">
        <v>704</v>
      </c>
      <c r="O149">
        <v>15600000</v>
      </c>
    </row>
    <row r="150" spans="1:15" x14ac:dyDescent="0.25">
      <c r="A150" t="s">
        <v>286</v>
      </c>
      <c r="B150" t="s">
        <v>13</v>
      </c>
      <c r="C150">
        <v>45908</v>
      </c>
      <c r="D150">
        <v>46022</v>
      </c>
      <c r="E150" t="s">
        <v>719</v>
      </c>
      <c r="F150" t="s">
        <v>14</v>
      </c>
      <c r="G150">
        <v>1081053045</v>
      </c>
      <c r="H150" t="s">
        <v>287</v>
      </c>
      <c r="I150">
        <v>98333941</v>
      </c>
      <c r="J150" t="s">
        <v>14</v>
      </c>
      <c r="K150" t="s">
        <v>15</v>
      </c>
      <c r="L150">
        <v>6300000</v>
      </c>
      <c r="M150">
        <v>12600000</v>
      </c>
      <c r="N150" t="s">
        <v>704</v>
      </c>
      <c r="O150">
        <v>6300000</v>
      </c>
    </row>
    <row r="151" spans="1:15" x14ac:dyDescent="0.25">
      <c r="A151" t="s">
        <v>192</v>
      </c>
      <c r="B151" t="s">
        <v>13</v>
      </c>
      <c r="C151">
        <v>45908</v>
      </c>
      <c r="D151">
        <v>46022</v>
      </c>
      <c r="E151" t="s">
        <v>719</v>
      </c>
      <c r="F151" t="s">
        <v>14</v>
      </c>
      <c r="G151">
        <v>27146489</v>
      </c>
      <c r="H151" t="s">
        <v>193</v>
      </c>
      <c r="I151">
        <v>98390119</v>
      </c>
      <c r="J151" t="s">
        <v>14</v>
      </c>
      <c r="K151" t="s">
        <v>63</v>
      </c>
      <c r="L151">
        <v>12600000</v>
      </c>
      <c r="M151">
        <v>25200000</v>
      </c>
      <c r="N151" t="s">
        <v>704</v>
      </c>
      <c r="O151">
        <v>12600000</v>
      </c>
    </row>
    <row r="152" spans="1:15" x14ac:dyDescent="0.25">
      <c r="A152" t="s">
        <v>663</v>
      </c>
      <c r="B152" t="s">
        <v>13</v>
      </c>
      <c r="C152">
        <v>45908</v>
      </c>
      <c r="D152">
        <v>46022</v>
      </c>
      <c r="E152" t="s">
        <v>711</v>
      </c>
      <c r="F152" t="s">
        <v>14</v>
      </c>
      <c r="G152">
        <v>1081272656</v>
      </c>
      <c r="H152" t="s">
        <v>664</v>
      </c>
      <c r="I152">
        <v>59836926</v>
      </c>
      <c r="J152" t="s">
        <v>14</v>
      </c>
      <c r="K152" t="s">
        <v>17</v>
      </c>
      <c r="L152">
        <v>6300000</v>
      </c>
      <c r="M152">
        <v>12600000</v>
      </c>
      <c r="N152" t="s">
        <v>704</v>
      </c>
      <c r="O152">
        <v>6300000</v>
      </c>
    </row>
    <row r="153" spans="1:15" x14ac:dyDescent="0.25">
      <c r="A153" t="s">
        <v>511</v>
      </c>
      <c r="B153" t="s">
        <v>13</v>
      </c>
      <c r="C153">
        <v>45908</v>
      </c>
      <c r="D153">
        <v>46022</v>
      </c>
      <c r="E153" t="s">
        <v>711</v>
      </c>
      <c r="F153" t="s">
        <v>14</v>
      </c>
      <c r="G153">
        <v>1086358836</v>
      </c>
      <c r="H153" t="s">
        <v>512</v>
      </c>
      <c r="I153">
        <v>98333941</v>
      </c>
      <c r="J153" t="s">
        <v>14</v>
      </c>
      <c r="K153" t="s">
        <v>15</v>
      </c>
      <c r="L153">
        <v>6300000</v>
      </c>
      <c r="M153">
        <v>12600000</v>
      </c>
      <c r="N153" t="s">
        <v>704</v>
      </c>
      <c r="O153">
        <v>6300000</v>
      </c>
    </row>
    <row r="154" spans="1:15" x14ac:dyDescent="0.25">
      <c r="A154" t="s">
        <v>306</v>
      </c>
      <c r="B154" t="s">
        <v>13</v>
      </c>
      <c r="C154">
        <v>45908</v>
      </c>
      <c r="D154">
        <v>46022</v>
      </c>
      <c r="E154" t="s">
        <v>711</v>
      </c>
      <c r="F154" t="s">
        <v>14</v>
      </c>
      <c r="G154">
        <v>1085271641</v>
      </c>
      <c r="H154" t="s">
        <v>30</v>
      </c>
      <c r="I154">
        <v>43624414</v>
      </c>
      <c r="J154" t="s">
        <v>14</v>
      </c>
      <c r="K154" t="s">
        <v>18</v>
      </c>
      <c r="L154">
        <v>6300000</v>
      </c>
      <c r="M154">
        <v>12600000</v>
      </c>
      <c r="N154" t="s">
        <v>704</v>
      </c>
      <c r="O154">
        <v>6300000</v>
      </c>
    </row>
    <row r="155" spans="1:15" x14ac:dyDescent="0.25">
      <c r="A155" t="s">
        <v>599</v>
      </c>
      <c r="B155" t="s">
        <v>13</v>
      </c>
      <c r="C155">
        <v>45908</v>
      </c>
      <c r="D155">
        <v>46022</v>
      </c>
      <c r="E155" t="s">
        <v>711</v>
      </c>
      <c r="F155" t="s">
        <v>14</v>
      </c>
      <c r="G155">
        <v>1085343154</v>
      </c>
      <c r="H155" t="s">
        <v>600</v>
      </c>
      <c r="I155">
        <v>59836926</v>
      </c>
      <c r="J155" t="s">
        <v>14</v>
      </c>
      <c r="K155" t="s">
        <v>17</v>
      </c>
      <c r="L155">
        <v>6300000</v>
      </c>
      <c r="M155">
        <v>12600000</v>
      </c>
      <c r="N155" t="s">
        <v>704</v>
      </c>
      <c r="O155">
        <v>6300000</v>
      </c>
    </row>
    <row r="156" spans="1:15" x14ac:dyDescent="0.25">
      <c r="A156" t="s">
        <v>299</v>
      </c>
      <c r="B156" t="s">
        <v>13</v>
      </c>
      <c r="C156">
        <v>45908</v>
      </c>
      <c r="D156">
        <v>46022</v>
      </c>
      <c r="E156" t="s">
        <v>711</v>
      </c>
      <c r="F156" t="s">
        <v>14</v>
      </c>
      <c r="G156">
        <v>36758143</v>
      </c>
      <c r="H156" t="s">
        <v>300</v>
      </c>
      <c r="I156">
        <v>43624414</v>
      </c>
      <c r="J156" t="s">
        <v>14</v>
      </c>
      <c r="K156" t="s">
        <v>18</v>
      </c>
      <c r="L156">
        <v>6300000</v>
      </c>
      <c r="M156">
        <v>12600000</v>
      </c>
      <c r="N156" t="s">
        <v>704</v>
      </c>
      <c r="O156">
        <v>6300000</v>
      </c>
    </row>
    <row r="157" spans="1:15" x14ac:dyDescent="0.25">
      <c r="A157" t="s">
        <v>247</v>
      </c>
      <c r="B157" t="s">
        <v>13</v>
      </c>
      <c r="C157">
        <v>45908</v>
      </c>
      <c r="D157">
        <v>46022</v>
      </c>
      <c r="E157" t="s">
        <v>706</v>
      </c>
      <c r="F157" t="s">
        <v>14</v>
      </c>
      <c r="G157">
        <v>1085745772</v>
      </c>
      <c r="H157" t="s">
        <v>248</v>
      </c>
      <c r="I157">
        <v>59836926</v>
      </c>
      <c r="J157" t="s">
        <v>14</v>
      </c>
      <c r="K157" t="s">
        <v>17</v>
      </c>
      <c r="L157">
        <v>0</v>
      </c>
      <c r="M157">
        <v>18920000</v>
      </c>
      <c r="N157" t="s">
        <v>704</v>
      </c>
      <c r="O157">
        <v>18920000</v>
      </c>
    </row>
    <row r="158" spans="1:15" x14ac:dyDescent="0.25">
      <c r="A158" t="s">
        <v>674</v>
      </c>
      <c r="B158" t="s">
        <v>13</v>
      </c>
      <c r="C158">
        <v>45908</v>
      </c>
      <c r="D158">
        <v>46022</v>
      </c>
      <c r="E158" t="s">
        <v>711</v>
      </c>
      <c r="F158" t="s">
        <v>14</v>
      </c>
      <c r="G158">
        <v>1085300095</v>
      </c>
      <c r="H158" t="s">
        <v>27</v>
      </c>
      <c r="I158">
        <v>59836926</v>
      </c>
      <c r="J158" t="s">
        <v>14</v>
      </c>
      <c r="K158" t="s">
        <v>17</v>
      </c>
      <c r="L158">
        <v>9450000</v>
      </c>
      <c r="M158">
        <v>12600000</v>
      </c>
      <c r="N158" t="s">
        <v>704</v>
      </c>
      <c r="O158">
        <v>3150000</v>
      </c>
    </row>
    <row r="159" spans="1:15" x14ac:dyDescent="0.25">
      <c r="A159" t="s">
        <v>355</v>
      </c>
      <c r="B159" t="s">
        <v>13</v>
      </c>
      <c r="C159">
        <v>45908</v>
      </c>
      <c r="D159">
        <v>46022</v>
      </c>
      <c r="E159" t="s">
        <v>711</v>
      </c>
      <c r="F159" t="s">
        <v>14</v>
      </c>
      <c r="G159">
        <v>1137624011</v>
      </c>
      <c r="H159" t="s">
        <v>356</v>
      </c>
      <c r="I159">
        <v>98390119</v>
      </c>
      <c r="J159" t="s">
        <v>14</v>
      </c>
      <c r="K159" t="s">
        <v>63</v>
      </c>
      <c r="L159">
        <v>6300000</v>
      </c>
      <c r="M159">
        <v>12600000</v>
      </c>
      <c r="N159" t="s">
        <v>704</v>
      </c>
      <c r="O159">
        <v>6300000</v>
      </c>
    </row>
    <row r="160" spans="1:15" x14ac:dyDescent="0.25">
      <c r="A160" t="s">
        <v>518</v>
      </c>
      <c r="B160" t="s">
        <v>13</v>
      </c>
      <c r="C160">
        <v>45908</v>
      </c>
      <c r="D160">
        <v>46022</v>
      </c>
      <c r="E160" t="s">
        <v>716</v>
      </c>
      <c r="F160" t="s">
        <v>14</v>
      </c>
      <c r="G160">
        <v>1085288636</v>
      </c>
      <c r="H160" t="s">
        <v>519</v>
      </c>
      <c r="I160">
        <v>98390119</v>
      </c>
      <c r="J160" t="s">
        <v>14</v>
      </c>
      <c r="K160" t="s">
        <v>63</v>
      </c>
      <c r="L160">
        <v>6300000</v>
      </c>
      <c r="M160">
        <v>12600000</v>
      </c>
      <c r="N160" t="s">
        <v>704</v>
      </c>
      <c r="O160">
        <v>6300000</v>
      </c>
    </row>
    <row r="161" spans="1:15" x14ac:dyDescent="0.25">
      <c r="A161" t="s">
        <v>444</v>
      </c>
      <c r="B161" t="s">
        <v>13</v>
      </c>
      <c r="C161">
        <v>45908</v>
      </c>
      <c r="D161">
        <v>46022</v>
      </c>
      <c r="E161" t="s">
        <v>706</v>
      </c>
      <c r="F161" t="s">
        <v>14</v>
      </c>
      <c r="G161">
        <v>36950073</v>
      </c>
      <c r="H161" t="s">
        <v>445</v>
      </c>
      <c r="I161">
        <v>98333941</v>
      </c>
      <c r="J161" t="s">
        <v>14</v>
      </c>
      <c r="K161" t="s">
        <v>15</v>
      </c>
      <c r="L161">
        <v>9460000</v>
      </c>
      <c r="M161">
        <v>18920000</v>
      </c>
      <c r="N161" t="s">
        <v>704</v>
      </c>
      <c r="O161">
        <v>9460000</v>
      </c>
    </row>
    <row r="162" spans="1:15" x14ac:dyDescent="0.25">
      <c r="A162" t="s">
        <v>428</v>
      </c>
      <c r="B162" t="s">
        <v>13</v>
      </c>
      <c r="C162">
        <v>45908</v>
      </c>
      <c r="D162">
        <v>46022</v>
      </c>
      <c r="E162" t="s">
        <v>724</v>
      </c>
      <c r="F162" t="s">
        <v>14</v>
      </c>
      <c r="G162">
        <v>1089291166</v>
      </c>
      <c r="H162" t="s">
        <v>429</v>
      </c>
      <c r="I162">
        <v>98333941</v>
      </c>
      <c r="J162" t="s">
        <v>14</v>
      </c>
      <c r="K162" t="s">
        <v>15</v>
      </c>
      <c r="L162">
        <v>6300000</v>
      </c>
      <c r="M162">
        <v>12600000</v>
      </c>
      <c r="N162" t="s">
        <v>704</v>
      </c>
      <c r="O162">
        <v>6300000</v>
      </c>
    </row>
    <row r="163" spans="1:15" x14ac:dyDescent="0.25">
      <c r="A163" t="s">
        <v>435</v>
      </c>
      <c r="B163" t="s">
        <v>13</v>
      </c>
      <c r="C163">
        <v>45908</v>
      </c>
      <c r="D163">
        <v>46022</v>
      </c>
      <c r="E163" t="s">
        <v>780</v>
      </c>
      <c r="F163" t="s">
        <v>14</v>
      </c>
      <c r="G163">
        <v>30743783</v>
      </c>
      <c r="H163" t="s">
        <v>436</v>
      </c>
      <c r="I163">
        <v>59836926</v>
      </c>
      <c r="J163" t="s">
        <v>14</v>
      </c>
      <c r="K163" t="s">
        <v>17</v>
      </c>
      <c r="L163">
        <v>9450000</v>
      </c>
      <c r="M163">
        <v>12600000</v>
      </c>
      <c r="N163" t="s">
        <v>704</v>
      </c>
      <c r="O163">
        <v>3150000</v>
      </c>
    </row>
    <row r="164" spans="1:15" x14ac:dyDescent="0.25">
      <c r="A164" t="s">
        <v>180</v>
      </c>
      <c r="B164" t="s">
        <v>13</v>
      </c>
      <c r="C164">
        <v>45908</v>
      </c>
      <c r="D164">
        <v>46022</v>
      </c>
      <c r="E164" t="s">
        <v>719</v>
      </c>
      <c r="F164" t="s">
        <v>14</v>
      </c>
      <c r="G164">
        <v>59836480</v>
      </c>
      <c r="H164" t="s">
        <v>181</v>
      </c>
      <c r="I164">
        <v>43624414</v>
      </c>
      <c r="J164" t="s">
        <v>14</v>
      </c>
      <c r="K164" t="s">
        <v>18</v>
      </c>
      <c r="L164">
        <v>12600000</v>
      </c>
      <c r="M164">
        <v>25200000</v>
      </c>
      <c r="N164" t="s">
        <v>704</v>
      </c>
      <c r="O164">
        <v>12600000</v>
      </c>
    </row>
    <row r="165" spans="1:15" x14ac:dyDescent="0.25">
      <c r="A165" t="s">
        <v>334</v>
      </c>
      <c r="B165" t="s">
        <v>13</v>
      </c>
      <c r="C165">
        <v>45908</v>
      </c>
      <c r="D165">
        <v>46022</v>
      </c>
      <c r="E165" t="s">
        <v>735</v>
      </c>
      <c r="F165" t="s">
        <v>14</v>
      </c>
      <c r="G165">
        <v>37086513</v>
      </c>
      <c r="H165" t="s">
        <v>335</v>
      </c>
      <c r="I165">
        <v>98333941</v>
      </c>
      <c r="J165" t="s">
        <v>14</v>
      </c>
      <c r="K165" t="s">
        <v>15</v>
      </c>
      <c r="L165">
        <v>6300000</v>
      </c>
      <c r="M165">
        <v>25200000</v>
      </c>
      <c r="N165" t="s">
        <v>704</v>
      </c>
      <c r="O165">
        <v>18900000</v>
      </c>
    </row>
    <row r="166" spans="1:15" x14ac:dyDescent="0.25">
      <c r="A166" t="s">
        <v>568</v>
      </c>
      <c r="B166" t="s">
        <v>13</v>
      </c>
      <c r="C166">
        <v>45908</v>
      </c>
      <c r="D166">
        <v>46022</v>
      </c>
      <c r="E166" t="s">
        <v>803</v>
      </c>
      <c r="F166" t="s">
        <v>14</v>
      </c>
      <c r="G166">
        <v>1085343783</v>
      </c>
      <c r="H166" t="s">
        <v>19</v>
      </c>
      <c r="I166">
        <v>59836926</v>
      </c>
      <c r="J166" t="s">
        <v>14</v>
      </c>
      <c r="K166" t="s">
        <v>17</v>
      </c>
      <c r="L166">
        <v>14190000</v>
      </c>
      <c r="M166">
        <v>18920000</v>
      </c>
      <c r="N166" t="s">
        <v>704</v>
      </c>
      <c r="O166">
        <v>4730000</v>
      </c>
    </row>
    <row r="167" spans="1:15" x14ac:dyDescent="0.25">
      <c r="A167" t="s">
        <v>589</v>
      </c>
      <c r="B167" t="s">
        <v>13</v>
      </c>
      <c r="C167">
        <v>45908</v>
      </c>
      <c r="D167">
        <v>46022</v>
      </c>
      <c r="E167" t="s">
        <v>710</v>
      </c>
      <c r="F167" t="s">
        <v>14</v>
      </c>
      <c r="G167">
        <v>1083814276</v>
      </c>
      <c r="H167" t="s">
        <v>590</v>
      </c>
      <c r="I167">
        <v>98333941</v>
      </c>
      <c r="J167" t="s">
        <v>14</v>
      </c>
      <c r="K167" t="s">
        <v>15</v>
      </c>
      <c r="L167">
        <v>23400000</v>
      </c>
      <c r="M167">
        <v>31200000</v>
      </c>
      <c r="N167" t="s">
        <v>704</v>
      </c>
      <c r="O167">
        <v>7800000</v>
      </c>
    </row>
    <row r="168" spans="1:15" x14ac:dyDescent="0.25">
      <c r="A168" t="s">
        <v>493</v>
      </c>
      <c r="B168" t="s">
        <v>13</v>
      </c>
      <c r="C168">
        <v>45908</v>
      </c>
      <c r="D168">
        <v>46022</v>
      </c>
      <c r="E168" t="s">
        <v>792</v>
      </c>
      <c r="F168" t="s">
        <v>14</v>
      </c>
      <c r="G168">
        <v>1085284997</v>
      </c>
      <c r="H168" t="s">
        <v>494</v>
      </c>
      <c r="I168">
        <v>98333941</v>
      </c>
      <c r="J168" t="s">
        <v>14</v>
      </c>
      <c r="K168" t="s">
        <v>15</v>
      </c>
      <c r="L168">
        <v>18900000</v>
      </c>
      <c r="M168">
        <v>25200000</v>
      </c>
      <c r="N168" t="s">
        <v>704</v>
      </c>
      <c r="O168">
        <v>6300000</v>
      </c>
    </row>
    <row r="169" spans="1:15" x14ac:dyDescent="0.25">
      <c r="A169" t="s">
        <v>636</v>
      </c>
      <c r="B169" t="s">
        <v>13</v>
      </c>
      <c r="C169">
        <v>45908</v>
      </c>
      <c r="D169">
        <v>46022</v>
      </c>
      <c r="E169" t="s">
        <v>816</v>
      </c>
      <c r="F169" t="s">
        <v>14</v>
      </c>
      <c r="G169">
        <v>1081272025</v>
      </c>
      <c r="H169" t="s">
        <v>637</v>
      </c>
      <c r="I169">
        <v>59836926</v>
      </c>
      <c r="J169" t="s">
        <v>14</v>
      </c>
      <c r="K169" t="s">
        <v>17</v>
      </c>
      <c r="L169">
        <v>9450000</v>
      </c>
      <c r="M169">
        <v>12600000</v>
      </c>
      <c r="N169" t="s">
        <v>704</v>
      </c>
      <c r="O169">
        <v>3150000</v>
      </c>
    </row>
    <row r="170" spans="1:15" x14ac:dyDescent="0.25">
      <c r="A170" t="s">
        <v>483</v>
      </c>
      <c r="B170" t="s">
        <v>13</v>
      </c>
      <c r="C170">
        <v>45908</v>
      </c>
      <c r="D170">
        <v>46022</v>
      </c>
      <c r="E170" t="s">
        <v>716</v>
      </c>
      <c r="F170" t="s">
        <v>14</v>
      </c>
      <c r="G170">
        <v>1193224810</v>
      </c>
      <c r="H170" t="s">
        <v>31</v>
      </c>
      <c r="I170">
        <v>98333941</v>
      </c>
      <c r="J170" t="s">
        <v>14</v>
      </c>
      <c r="K170" t="s">
        <v>15</v>
      </c>
      <c r="L170">
        <v>6300000</v>
      </c>
      <c r="M170">
        <v>12600000</v>
      </c>
      <c r="N170" t="s">
        <v>704</v>
      </c>
      <c r="O170">
        <v>6300000</v>
      </c>
    </row>
    <row r="171" spans="1:15" x14ac:dyDescent="0.25">
      <c r="A171" t="s">
        <v>509</v>
      </c>
      <c r="B171" t="s">
        <v>13</v>
      </c>
      <c r="C171">
        <v>45908</v>
      </c>
      <c r="D171">
        <v>46022</v>
      </c>
      <c r="E171" t="s">
        <v>794</v>
      </c>
      <c r="F171" t="s">
        <v>14</v>
      </c>
      <c r="G171">
        <v>1087644986</v>
      </c>
      <c r="H171" t="s">
        <v>510</v>
      </c>
      <c r="I171">
        <v>98333941</v>
      </c>
      <c r="J171" t="s">
        <v>14</v>
      </c>
      <c r="K171" t="s">
        <v>15</v>
      </c>
      <c r="L171">
        <v>6300000</v>
      </c>
      <c r="M171">
        <v>12600000</v>
      </c>
      <c r="N171" t="s">
        <v>704</v>
      </c>
      <c r="O171">
        <v>6300000</v>
      </c>
    </row>
    <row r="172" spans="1:15" x14ac:dyDescent="0.25">
      <c r="A172" t="s">
        <v>378</v>
      </c>
      <c r="B172" t="s">
        <v>13</v>
      </c>
      <c r="C172">
        <v>45908</v>
      </c>
      <c r="D172">
        <v>46022</v>
      </c>
      <c r="E172" t="s">
        <v>766</v>
      </c>
      <c r="F172" t="s">
        <v>14</v>
      </c>
      <c r="G172">
        <v>1010010954</v>
      </c>
      <c r="H172" t="s">
        <v>379</v>
      </c>
      <c r="I172">
        <v>43624414</v>
      </c>
      <c r="J172" t="s">
        <v>14</v>
      </c>
      <c r="K172" t="s">
        <v>18</v>
      </c>
      <c r="L172">
        <v>12600000</v>
      </c>
      <c r="M172">
        <v>25200000</v>
      </c>
      <c r="N172" t="s">
        <v>704</v>
      </c>
      <c r="O172">
        <v>12600000</v>
      </c>
    </row>
    <row r="173" spans="1:15" x14ac:dyDescent="0.25">
      <c r="A173" t="s">
        <v>365</v>
      </c>
      <c r="B173" t="s">
        <v>13</v>
      </c>
      <c r="C173">
        <v>45905</v>
      </c>
      <c r="D173">
        <v>46022</v>
      </c>
      <c r="E173" t="s">
        <v>722</v>
      </c>
      <c r="F173" t="s">
        <v>14</v>
      </c>
      <c r="G173">
        <v>1022426162</v>
      </c>
      <c r="H173" t="s">
        <v>366</v>
      </c>
      <c r="I173">
        <v>98333941</v>
      </c>
      <c r="J173" t="s">
        <v>14</v>
      </c>
      <c r="K173" t="s">
        <v>15</v>
      </c>
      <c r="L173">
        <v>15600000</v>
      </c>
      <c r="M173">
        <v>31200000</v>
      </c>
      <c r="N173" t="s">
        <v>704</v>
      </c>
      <c r="O173">
        <v>15600000</v>
      </c>
    </row>
    <row r="174" spans="1:15" x14ac:dyDescent="0.25">
      <c r="A174" t="s">
        <v>564</v>
      </c>
      <c r="B174" t="s">
        <v>13</v>
      </c>
      <c r="C174">
        <v>45905</v>
      </c>
      <c r="D174">
        <v>46022</v>
      </c>
      <c r="E174" t="s">
        <v>749</v>
      </c>
      <c r="F174" t="s">
        <v>14</v>
      </c>
      <c r="G174">
        <v>1088734182</v>
      </c>
      <c r="H174" t="s">
        <v>565</v>
      </c>
      <c r="I174">
        <v>98333941</v>
      </c>
      <c r="J174" t="s">
        <v>14</v>
      </c>
      <c r="K174" t="s">
        <v>15</v>
      </c>
      <c r="L174">
        <v>23400000</v>
      </c>
      <c r="M174">
        <v>31200000</v>
      </c>
      <c r="N174" t="s">
        <v>704</v>
      </c>
      <c r="O174">
        <v>7800000</v>
      </c>
    </row>
    <row r="175" spans="1:15" x14ac:dyDescent="0.25">
      <c r="A175" t="s">
        <v>526</v>
      </c>
      <c r="B175" t="s">
        <v>13</v>
      </c>
      <c r="C175">
        <v>45905</v>
      </c>
      <c r="D175">
        <v>46022</v>
      </c>
      <c r="E175" t="s">
        <v>754</v>
      </c>
      <c r="F175" t="s">
        <v>14</v>
      </c>
      <c r="G175">
        <v>1085299577</v>
      </c>
      <c r="H175" t="s">
        <v>527</v>
      </c>
      <c r="I175">
        <v>98390119</v>
      </c>
      <c r="J175" t="s">
        <v>14</v>
      </c>
      <c r="K175" t="s">
        <v>63</v>
      </c>
      <c r="L175">
        <v>12600000</v>
      </c>
      <c r="M175">
        <v>25200000</v>
      </c>
      <c r="N175" t="s">
        <v>704</v>
      </c>
      <c r="O175">
        <v>12600000</v>
      </c>
    </row>
    <row r="176" spans="1:15" x14ac:dyDescent="0.25">
      <c r="A176" t="s">
        <v>281</v>
      </c>
      <c r="B176" t="s">
        <v>13</v>
      </c>
      <c r="C176">
        <v>45905</v>
      </c>
      <c r="D176">
        <v>46022</v>
      </c>
      <c r="E176" t="s">
        <v>720</v>
      </c>
      <c r="F176" t="s">
        <v>14</v>
      </c>
      <c r="G176">
        <v>69028150</v>
      </c>
      <c r="H176" t="s">
        <v>21</v>
      </c>
      <c r="I176">
        <v>59836926</v>
      </c>
      <c r="J176" t="s">
        <v>14</v>
      </c>
      <c r="K176" t="s">
        <v>17</v>
      </c>
      <c r="L176">
        <v>9450000</v>
      </c>
      <c r="M176">
        <v>12600000</v>
      </c>
      <c r="N176" t="s">
        <v>704</v>
      </c>
      <c r="O176">
        <v>3150000</v>
      </c>
    </row>
    <row r="177" spans="1:15" x14ac:dyDescent="0.25">
      <c r="A177" t="s">
        <v>430</v>
      </c>
      <c r="B177" t="s">
        <v>13</v>
      </c>
      <c r="C177">
        <v>45905</v>
      </c>
      <c r="D177">
        <v>46022</v>
      </c>
      <c r="E177" t="s">
        <v>744</v>
      </c>
      <c r="F177" t="s">
        <v>14</v>
      </c>
      <c r="G177">
        <v>1085318201</v>
      </c>
      <c r="H177" t="s">
        <v>431</v>
      </c>
      <c r="I177">
        <v>98333941</v>
      </c>
      <c r="J177" t="s">
        <v>14</v>
      </c>
      <c r="K177" t="s">
        <v>15</v>
      </c>
      <c r="L177">
        <v>9460000</v>
      </c>
      <c r="M177">
        <v>18920000</v>
      </c>
      <c r="N177" t="s">
        <v>704</v>
      </c>
      <c r="O177">
        <v>9460000</v>
      </c>
    </row>
    <row r="178" spans="1:15" x14ac:dyDescent="0.25">
      <c r="A178" t="s">
        <v>402</v>
      </c>
      <c r="B178" t="s">
        <v>13</v>
      </c>
      <c r="C178">
        <v>45905</v>
      </c>
      <c r="D178">
        <v>46022</v>
      </c>
      <c r="E178" t="s">
        <v>754</v>
      </c>
      <c r="F178" t="s">
        <v>14</v>
      </c>
      <c r="G178">
        <v>1084228089</v>
      </c>
      <c r="H178" t="s">
        <v>403</v>
      </c>
      <c r="I178">
        <v>98333941</v>
      </c>
      <c r="J178" t="s">
        <v>14</v>
      </c>
      <c r="K178" t="s">
        <v>15</v>
      </c>
      <c r="L178">
        <v>18900000</v>
      </c>
      <c r="M178">
        <v>25200000</v>
      </c>
      <c r="N178" t="s">
        <v>704</v>
      </c>
      <c r="O178">
        <v>6300000</v>
      </c>
    </row>
    <row r="179" spans="1:15" x14ac:dyDescent="0.25">
      <c r="A179" t="s">
        <v>660</v>
      </c>
      <c r="B179" t="s">
        <v>13</v>
      </c>
      <c r="C179">
        <v>45905</v>
      </c>
      <c r="D179">
        <v>46022</v>
      </c>
      <c r="E179" t="s">
        <v>716</v>
      </c>
      <c r="F179" t="s">
        <v>14</v>
      </c>
      <c r="G179">
        <v>1085315013</v>
      </c>
      <c r="H179" t="s">
        <v>60</v>
      </c>
      <c r="I179">
        <v>98390119</v>
      </c>
      <c r="J179" t="s">
        <v>14</v>
      </c>
      <c r="K179" t="s">
        <v>63</v>
      </c>
      <c r="L179">
        <v>6300000</v>
      </c>
      <c r="M179">
        <v>12600000</v>
      </c>
      <c r="N179" t="s">
        <v>704</v>
      </c>
      <c r="O179">
        <v>6300000</v>
      </c>
    </row>
    <row r="180" spans="1:15" x14ac:dyDescent="0.25">
      <c r="A180" t="s">
        <v>499</v>
      </c>
      <c r="B180" t="s">
        <v>13</v>
      </c>
      <c r="C180">
        <v>45905</v>
      </c>
      <c r="D180">
        <v>46022</v>
      </c>
      <c r="E180" t="s">
        <v>745</v>
      </c>
      <c r="F180" t="s">
        <v>14</v>
      </c>
      <c r="G180">
        <v>1085286476</v>
      </c>
      <c r="H180" t="s">
        <v>500</v>
      </c>
      <c r="I180">
        <v>59836926</v>
      </c>
      <c r="J180" t="s">
        <v>14</v>
      </c>
      <c r="K180" t="s">
        <v>17</v>
      </c>
      <c r="L180">
        <v>18900000</v>
      </c>
      <c r="M180">
        <v>25200000</v>
      </c>
      <c r="N180" t="s">
        <v>704</v>
      </c>
      <c r="O180">
        <v>6300000</v>
      </c>
    </row>
    <row r="181" spans="1:15" x14ac:dyDescent="0.25">
      <c r="A181" t="s">
        <v>630</v>
      </c>
      <c r="B181" t="s">
        <v>13</v>
      </c>
      <c r="C181">
        <v>45905</v>
      </c>
      <c r="D181">
        <v>46022</v>
      </c>
      <c r="E181" t="s">
        <v>722</v>
      </c>
      <c r="F181" t="s">
        <v>14</v>
      </c>
      <c r="G181">
        <v>1193292339</v>
      </c>
      <c r="H181" t="s">
        <v>631</v>
      </c>
      <c r="I181">
        <v>98333941</v>
      </c>
      <c r="J181" t="s">
        <v>14</v>
      </c>
      <c r="K181" t="s">
        <v>15</v>
      </c>
      <c r="L181">
        <v>23400000</v>
      </c>
      <c r="M181">
        <v>31200000</v>
      </c>
      <c r="N181" t="s">
        <v>704</v>
      </c>
      <c r="O181">
        <v>7800000</v>
      </c>
    </row>
    <row r="182" spans="1:15" x14ac:dyDescent="0.25">
      <c r="A182" t="s">
        <v>206</v>
      </c>
      <c r="B182" t="s">
        <v>13</v>
      </c>
      <c r="C182">
        <v>45905</v>
      </c>
      <c r="D182">
        <v>46022</v>
      </c>
      <c r="E182" t="s">
        <v>739</v>
      </c>
      <c r="F182" t="s">
        <v>14</v>
      </c>
      <c r="G182">
        <v>36953206</v>
      </c>
      <c r="H182" t="s">
        <v>46</v>
      </c>
      <c r="I182">
        <v>43624414</v>
      </c>
      <c r="J182" t="s">
        <v>14</v>
      </c>
      <c r="K182" t="s">
        <v>18</v>
      </c>
      <c r="L182">
        <v>4730000</v>
      </c>
      <c r="M182">
        <v>18920000</v>
      </c>
      <c r="N182" t="s">
        <v>704</v>
      </c>
      <c r="O182">
        <v>14190000</v>
      </c>
    </row>
    <row r="183" spans="1:15" x14ac:dyDescent="0.25">
      <c r="A183" t="s">
        <v>426</v>
      </c>
      <c r="B183" t="s">
        <v>13</v>
      </c>
      <c r="C183">
        <v>45905</v>
      </c>
      <c r="D183">
        <v>46022</v>
      </c>
      <c r="E183" t="s">
        <v>744</v>
      </c>
      <c r="F183" t="s">
        <v>14</v>
      </c>
      <c r="G183">
        <v>1085318684</v>
      </c>
      <c r="H183" t="s">
        <v>427</v>
      </c>
      <c r="I183">
        <v>98333941</v>
      </c>
      <c r="J183" t="s">
        <v>14</v>
      </c>
      <c r="K183" t="s">
        <v>15</v>
      </c>
      <c r="L183">
        <v>14190000</v>
      </c>
      <c r="M183">
        <v>18920000</v>
      </c>
      <c r="N183" t="s">
        <v>704</v>
      </c>
      <c r="O183">
        <v>4730000</v>
      </c>
    </row>
    <row r="184" spans="1:15" x14ac:dyDescent="0.25">
      <c r="A184" t="s">
        <v>439</v>
      </c>
      <c r="B184" t="s">
        <v>13</v>
      </c>
      <c r="C184">
        <v>45905</v>
      </c>
      <c r="D184">
        <v>46022</v>
      </c>
      <c r="E184" t="s">
        <v>782</v>
      </c>
      <c r="F184" t="s">
        <v>14</v>
      </c>
      <c r="G184">
        <v>27087475</v>
      </c>
      <c r="H184" t="s">
        <v>48</v>
      </c>
      <c r="I184">
        <v>43624414</v>
      </c>
      <c r="J184" t="s">
        <v>14</v>
      </c>
      <c r="K184" t="s">
        <v>18</v>
      </c>
      <c r="L184">
        <v>9460000</v>
      </c>
      <c r="M184">
        <v>18920000</v>
      </c>
      <c r="N184" t="s">
        <v>704</v>
      </c>
      <c r="O184">
        <v>9460000</v>
      </c>
    </row>
    <row r="185" spans="1:15" x14ac:dyDescent="0.25">
      <c r="A185" t="s">
        <v>561</v>
      </c>
      <c r="B185" t="s">
        <v>13</v>
      </c>
      <c r="C185">
        <v>45905</v>
      </c>
      <c r="D185">
        <v>46022</v>
      </c>
      <c r="E185" t="s">
        <v>755</v>
      </c>
      <c r="F185" t="s">
        <v>14</v>
      </c>
      <c r="G185">
        <v>1085264667</v>
      </c>
      <c r="H185" t="s">
        <v>562</v>
      </c>
      <c r="I185">
        <v>98333941</v>
      </c>
      <c r="J185" t="s">
        <v>14</v>
      </c>
      <c r="K185" t="s">
        <v>15</v>
      </c>
      <c r="L185">
        <v>9460000</v>
      </c>
      <c r="M185">
        <v>18920000</v>
      </c>
      <c r="N185" t="s">
        <v>704</v>
      </c>
      <c r="O185">
        <v>9460000</v>
      </c>
    </row>
    <row r="186" spans="1:15" x14ac:dyDescent="0.25">
      <c r="A186" t="s">
        <v>593</v>
      </c>
      <c r="B186" t="s">
        <v>13</v>
      </c>
      <c r="C186">
        <v>45905</v>
      </c>
      <c r="D186">
        <v>46022</v>
      </c>
      <c r="E186" t="s">
        <v>722</v>
      </c>
      <c r="F186" t="s">
        <v>14</v>
      </c>
      <c r="G186">
        <v>1085293105</v>
      </c>
      <c r="H186" t="s">
        <v>33</v>
      </c>
      <c r="I186">
        <v>43624414</v>
      </c>
      <c r="J186" t="s">
        <v>14</v>
      </c>
      <c r="K186" t="s">
        <v>18</v>
      </c>
      <c r="L186">
        <v>15600000</v>
      </c>
      <c r="M186">
        <v>31200000</v>
      </c>
      <c r="N186" t="s">
        <v>704</v>
      </c>
      <c r="O186">
        <v>15600000</v>
      </c>
    </row>
    <row r="187" spans="1:15" x14ac:dyDescent="0.25">
      <c r="A187" t="s">
        <v>94</v>
      </c>
      <c r="B187" t="s">
        <v>13</v>
      </c>
      <c r="C187">
        <v>45905</v>
      </c>
      <c r="D187">
        <v>46022</v>
      </c>
      <c r="E187" t="s">
        <v>709</v>
      </c>
      <c r="F187" t="s">
        <v>14</v>
      </c>
      <c r="G187">
        <v>1193424771</v>
      </c>
      <c r="H187" t="s">
        <v>95</v>
      </c>
      <c r="I187">
        <v>98333941</v>
      </c>
      <c r="J187" t="s">
        <v>14</v>
      </c>
      <c r="K187" t="s">
        <v>15</v>
      </c>
      <c r="L187">
        <v>9460000</v>
      </c>
      <c r="M187">
        <v>18920000</v>
      </c>
      <c r="N187" t="s">
        <v>704</v>
      </c>
      <c r="O187">
        <v>9460000</v>
      </c>
    </row>
    <row r="188" spans="1:15" x14ac:dyDescent="0.25">
      <c r="A188" t="s">
        <v>387</v>
      </c>
      <c r="B188" t="s">
        <v>13</v>
      </c>
      <c r="C188">
        <v>45905</v>
      </c>
      <c r="D188">
        <v>46022</v>
      </c>
      <c r="E188" t="s">
        <v>768</v>
      </c>
      <c r="F188" t="s">
        <v>14</v>
      </c>
      <c r="G188">
        <v>98382500</v>
      </c>
      <c r="H188" t="s">
        <v>45</v>
      </c>
      <c r="I188">
        <v>43624414</v>
      </c>
      <c r="J188" t="s">
        <v>14</v>
      </c>
      <c r="K188" t="s">
        <v>18</v>
      </c>
      <c r="L188">
        <v>6300000</v>
      </c>
      <c r="M188">
        <v>12600000</v>
      </c>
      <c r="N188" t="s">
        <v>704</v>
      </c>
      <c r="O188">
        <v>6300000</v>
      </c>
    </row>
    <row r="189" spans="1:15" x14ac:dyDescent="0.25">
      <c r="A189" t="s">
        <v>524</v>
      </c>
      <c r="B189" t="s">
        <v>13</v>
      </c>
      <c r="C189">
        <v>45905</v>
      </c>
      <c r="D189">
        <v>46022</v>
      </c>
      <c r="E189" t="s">
        <v>725</v>
      </c>
      <c r="F189" t="s">
        <v>14</v>
      </c>
      <c r="G189">
        <v>59651018</v>
      </c>
      <c r="H189" t="s">
        <v>525</v>
      </c>
      <c r="I189">
        <v>43624414</v>
      </c>
      <c r="J189" t="s">
        <v>14</v>
      </c>
      <c r="K189" t="s">
        <v>18</v>
      </c>
      <c r="L189">
        <v>9460000</v>
      </c>
      <c r="M189">
        <v>18920000</v>
      </c>
      <c r="N189" t="s">
        <v>704</v>
      </c>
      <c r="O189">
        <v>9460000</v>
      </c>
    </row>
    <row r="190" spans="1:15" x14ac:dyDescent="0.25">
      <c r="A190" t="s">
        <v>680</v>
      </c>
      <c r="B190" t="s">
        <v>13</v>
      </c>
      <c r="C190">
        <v>45904</v>
      </c>
      <c r="D190">
        <v>46022</v>
      </c>
      <c r="E190" t="s">
        <v>823</v>
      </c>
      <c r="F190" t="s">
        <v>14</v>
      </c>
      <c r="G190">
        <v>1085277976</v>
      </c>
      <c r="H190" t="s">
        <v>681</v>
      </c>
      <c r="I190">
        <v>43624414</v>
      </c>
      <c r="J190" t="s">
        <v>14</v>
      </c>
      <c r="K190" t="s">
        <v>18</v>
      </c>
      <c r="L190">
        <v>12600000</v>
      </c>
      <c r="M190">
        <v>25200000</v>
      </c>
      <c r="N190" t="s">
        <v>704</v>
      </c>
      <c r="O190">
        <v>12600000</v>
      </c>
    </row>
    <row r="191" spans="1:15" x14ac:dyDescent="0.25">
      <c r="A191" t="s">
        <v>275</v>
      </c>
      <c r="B191" t="s">
        <v>13</v>
      </c>
      <c r="C191">
        <v>45904</v>
      </c>
      <c r="D191">
        <v>46022</v>
      </c>
      <c r="E191" t="s">
        <v>722</v>
      </c>
      <c r="F191" t="s">
        <v>14</v>
      </c>
      <c r="G191">
        <v>1085329980</v>
      </c>
      <c r="H191" t="s">
        <v>276</v>
      </c>
      <c r="I191">
        <v>98333941</v>
      </c>
      <c r="J191" t="s">
        <v>14</v>
      </c>
      <c r="K191" t="s">
        <v>15</v>
      </c>
      <c r="L191">
        <v>23400000</v>
      </c>
      <c r="M191">
        <v>31200000</v>
      </c>
      <c r="N191" t="s">
        <v>704</v>
      </c>
      <c r="O191">
        <v>7800000</v>
      </c>
    </row>
    <row r="192" spans="1:15" x14ac:dyDescent="0.25">
      <c r="A192" t="s">
        <v>475</v>
      </c>
      <c r="B192" t="s">
        <v>13</v>
      </c>
      <c r="C192">
        <v>45904</v>
      </c>
      <c r="D192">
        <v>46022</v>
      </c>
      <c r="E192" t="s">
        <v>708</v>
      </c>
      <c r="F192" t="s">
        <v>14</v>
      </c>
      <c r="G192">
        <v>1085269090</v>
      </c>
      <c r="H192" t="s">
        <v>52</v>
      </c>
      <c r="I192">
        <v>98333941</v>
      </c>
      <c r="J192" t="s">
        <v>14</v>
      </c>
      <c r="K192" t="s">
        <v>15</v>
      </c>
      <c r="L192">
        <v>6300000</v>
      </c>
      <c r="M192">
        <v>12600000</v>
      </c>
      <c r="N192" t="s">
        <v>704</v>
      </c>
      <c r="O192">
        <v>6300000</v>
      </c>
    </row>
    <row r="193" spans="1:15" x14ac:dyDescent="0.25">
      <c r="A193" t="s">
        <v>413</v>
      </c>
      <c r="B193" t="s">
        <v>13</v>
      </c>
      <c r="C193">
        <v>45904</v>
      </c>
      <c r="D193">
        <v>46022</v>
      </c>
      <c r="E193" t="s">
        <v>777</v>
      </c>
      <c r="F193" t="s">
        <v>14</v>
      </c>
      <c r="G193">
        <v>1085283868</v>
      </c>
      <c r="H193" t="s">
        <v>414</v>
      </c>
      <c r="I193">
        <v>43624414</v>
      </c>
      <c r="J193" t="s">
        <v>14</v>
      </c>
      <c r="K193" t="s">
        <v>18</v>
      </c>
      <c r="L193">
        <v>12600000</v>
      </c>
      <c r="M193">
        <v>25200000</v>
      </c>
      <c r="N193" t="s">
        <v>704</v>
      </c>
      <c r="O193">
        <v>12600000</v>
      </c>
    </row>
    <row r="194" spans="1:15" x14ac:dyDescent="0.25">
      <c r="A194" t="s">
        <v>398</v>
      </c>
      <c r="B194" t="s">
        <v>13</v>
      </c>
      <c r="C194">
        <v>45904</v>
      </c>
      <c r="D194">
        <v>46022</v>
      </c>
      <c r="E194" t="s">
        <v>708</v>
      </c>
      <c r="F194" t="s">
        <v>14</v>
      </c>
      <c r="G194">
        <v>1085255829</v>
      </c>
      <c r="H194" t="s">
        <v>23</v>
      </c>
      <c r="I194">
        <v>98390119</v>
      </c>
      <c r="J194" t="s">
        <v>14</v>
      </c>
      <c r="K194" t="s">
        <v>63</v>
      </c>
      <c r="L194">
        <v>6300000</v>
      </c>
      <c r="M194">
        <v>12600000</v>
      </c>
      <c r="N194" t="s">
        <v>704</v>
      </c>
      <c r="O194">
        <v>6300000</v>
      </c>
    </row>
    <row r="195" spans="1:15" x14ac:dyDescent="0.25">
      <c r="A195" t="s">
        <v>553</v>
      </c>
      <c r="B195" t="s">
        <v>13</v>
      </c>
      <c r="C195">
        <v>45904</v>
      </c>
      <c r="D195">
        <v>46022</v>
      </c>
      <c r="E195" t="s">
        <v>777</v>
      </c>
      <c r="F195" t="s">
        <v>14</v>
      </c>
      <c r="G195">
        <v>1085296068</v>
      </c>
      <c r="H195" t="s">
        <v>554</v>
      </c>
      <c r="I195">
        <v>98333941</v>
      </c>
      <c r="J195" t="s">
        <v>14</v>
      </c>
      <c r="K195" t="s">
        <v>15</v>
      </c>
      <c r="L195">
        <v>18900000</v>
      </c>
      <c r="M195">
        <v>25200000</v>
      </c>
      <c r="N195" t="s">
        <v>704</v>
      </c>
      <c r="O195">
        <v>6300000</v>
      </c>
    </row>
    <row r="196" spans="1:15" x14ac:dyDescent="0.25">
      <c r="A196" t="s">
        <v>91</v>
      </c>
      <c r="B196" t="s">
        <v>13</v>
      </c>
      <c r="C196">
        <v>45904</v>
      </c>
      <c r="D196">
        <v>46022</v>
      </c>
      <c r="E196" t="s">
        <v>707</v>
      </c>
      <c r="F196" t="s">
        <v>14</v>
      </c>
      <c r="G196">
        <v>1087414586</v>
      </c>
      <c r="H196" t="s">
        <v>92</v>
      </c>
      <c r="I196">
        <v>43624414</v>
      </c>
      <c r="J196" t="s">
        <v>14</v>
      </c>
      <c r="K196" t="s">
        <v>18</v>
      </c>
      <c r="L196">
        <v>9460000</v>
      </c>
      <c r="M196">
        <v>18920000</v>
      </c>
      <c r="N196" t="s">
        <v>704</v>
      </c>
      <c r="O196">
        <v>9460000</v>
      </c>
    </row>
    <row r="197" spans="1:15" x14ac:dyDescent="0.25">
      <c r="A197" t="s">
        <v>456</v>
      </c>
      <c r="B197" t="s">
        <v>13</v>
      </c>
      <c r="C197">
        <v>45904</v>
      </c>
      <c r="D197">
        <v>46022</v>
      </c>
      <c r="E197" t="s">
        <v>710</v>
      </c>
      <c r="F197" t="s">
        <v>14</v>
      </c>
      <c r="G197">
        <v>1087006619</v>
      </c>
      <c r="H197" t="s">
        <v>457</v>
      </c>
      <c r="I197">
        <v>98333941</v>
      </c>
      <c r="J197" t="s">
        <v>14</v>
      </c>
      <c r="K197" t="s">
        <v>15</v>
      </c>
      <c r="L197">
        <v>23400000</v>
      </c>
      <c r="M197">
        <v>31200000</v>
      </c>
      <c r="N197" t="s">
        <v>704</v>
      </c>
      <c r="O197">
        <v>7800000</v>
      </c>
    </row>
    <row r="198" spans="1:15" x14ac:dyDescent="0.25">
      <c r="A198" t="s">
        <v>93</v>
      </c>
      <c r="B198" t="s">
        <v>13</v>
      </c>
      <c r="C198">
        <v>45904</v>
      </c>
      <c r="D198">
        <v>46022</v>
      </c>
      <c r="E198" t="s">
        <v>708</v>
      </c>
      <c r="F198" t="s">
        <v>14</v>
      </c>
      <c r="G198">
        <v>1233189234</v>
      </c>
      <c r="H198" t="s">
        <v>53</v>
      </c>
      <c r="I198">
        <v>59836926</v>
      </c>
      <c r="J198" t="s">
        <v>14</v>
      </c>
      <c r="K198" t="s">
        <v>17</v>
      </c>
      <c r="L198">
        <v>9450000</v>
      </c>
      <c r="M198">
        <v>12600000</v>
      </c>
      <c r="N198" t="s">
        <v>704</v>
      </c>
      <c r="O198">
        <v>3150000</v>
      </c>
    </row>
    <row r="199" spans="1:15" x14ac:dyDescent="0.25">
      <c r="A199" t="s">
        <v>294</v>
      </c>
      <c r="B199" t="s">
        <v>13</v>
      </c>
      <c r="C199">
        <v>45904</v>
      </c>
      <c r="D199">
        <v>46022</v>
      </c>
      <c r="E199" t="s">
        <v>707</v>
      </c>
      <c r="F199" t="s">
        <v>14</v>
      </c>
      <c r="G199">
        <v>1085263018</v>
      </c>
      <c r="H199" t="s">
        <v>295</v>
      </c>
      <c r="I199">
        <v>98333941</v>
      </c>
      <c r="J199" t="s">
        <v>14</v>
      </c>
      <c r="K199" t="s">
        <v>15</v>
      </c>
      <c r="L199">
        <v>14190000</v>
      </c>
      <c r="M199">
        <v>18920000</v>
      </c>
      <c r="N199" t="s">
        <v>704</v>
      </c>
      <c r="O199">
        <v>4730000</v>
      </c>
    </row>
    <row r="200" spans="1:15" x14ac:dyDescent="0.25">
      <c r="A200" t="s">
        <v>481</v>
      </c>
      <c r="B200" t="s">
        <v>13</v>
      </c>
      <c r="C200">
        <v>45904</v>
      </c>
      <c r="D200">
        <v>46022</v>
      </c>
      <c r="E200" t="s">
        <v>777</v>
      </c>
      <c r="F200" t="s">
        <v>14</v>
      </c>
      <c r="G200">
        <v>36757221</v>
      </c>
      <c r="H200" t="s">
        <v>482</v>
      </c>
      <c r="I200">
        <v>43624414</v>
      </c>
      <c r="J200" t="s">
        <v>14</v>
      </c>
      <c r="K200" t="s">
        <v>18</v>
      </c>
      <c r="L200">
        <v>12600000</v>
      </c>
      <c r="M200">
        <v>25200000</v>
      </c>
      <c r="N200" t="s">
        <v>704</v>
      </c>
      <c r="O200">
        <v>12600000</v>
      </c>
    </row>
    <row r="201" spans="1:15" x14ac:dyDescent="0.25">
      <c r="A201" t="s">
        <v>96</v>
      </c>
      <c r="B201" t="s">
        <v>13</v>
      </c>
      <c r="C201">
        <v>45904</v>
      </c>
      <c r="D201">
        <v>46022</v>
      </c>
      <c r="E201" t="s">
        <v>710</v>
      </c>
      <c r="F201" t="s">
        <v>14</v>
      </c>
      <c r="G201">
        <v>1233193882</v>
      </c>
      <c r="H201" t="s">
        <v>97</v>
      </c>
      <c r="I201">
        <v>98390119</v>
      </c>
      <c r="J201" t="s">
        <v>14</v>
      </c>
      <c r="K201" t="s">
        <v>63</v>
      </c>
      <c r="L201">
        <v>15600000</v>
      </c>
      <c r="M201">
        <v>31200000</v>
      </c>
      <c r="N201" t="s">
        <v>704</v>
      </c>
      <c r="O201">
        <v>15600000</v>
      </c>
    </row>
    <row r="202" spans="1:15" x14ac:dyDescent="0.25">
      <c r="A202" t="s">
        <v>163</v>
      </c>
      <c r="B202" t="s">
        <v>13</v>
      </c>
      <c r="C202">
        <v>45904</v>
      </c>
      <c r="D202">
        <v>46022</v>
      </c>
      <c r="E202" t="s">
        <v>707</v>
      </c>
      <c r="F202" t="s">
        <v>14</v>
      </c>
      <c r="G202">
        <v>36757491</v>
      </c>
      <c r="H202" t="s">
        <v>164</v>
      </c>
      <c r="I202">
        <v>98333941</v>
      </c>
      <c r="J202" t="s">
        <v>14</v>
      </c>
      <c r="K202" t="s">
        <v>15</v>
      </c>
      <c r="L202">
        <v>14190000</v>
      </c>
      <c r="M202">
        <v>18920000</v>
      </c>
      <c r="N202" t="s">
        <v>704</v>
      </c>
      <c r="O202">
        <v>4730000</v>
      </c>
    </row>
    <row r="203" spans="1:15" x14ac:dyDescent="0.25">
      <c r="A203" t="s">
        <v>388</v>
      </c>
      <c r="B203" t="s">
        <v>13</v>
      </c>
      <c r="C203">
        <v>45904</v>
      </c>
      <c r="D203">
        <v>46022</v>
      </c>
      <c r="E203" t="s">
        <v>707</v>
      </c>
      <c r="F203" t="s">
        <v>14</v>
      </c>
      <c r="G203">
        <v>1085260497</v>
      </c>
      <c r="H203" t="s">
        <v>389</v>
      </c>
      <c r="I203">
        <v>98333941</v>
      </c>
      <c r="J203" t="s">
        <v>14</v>
      </c>
      <c r="K203" t="s">
        <v>15</v>
      </c>
      <c r="L203">
        <v>9460000</v>
      </c>
      <c r="M203">
        <v>18920000</v>
      </c>
      <c r="N203" t="s">
        <v>704</v>
      </c>
      <c r="O203">
        <v>9460000</v>
      </c>
    </row>
    <row r="204" spans="1:15" x14ac:dyDescent="0.25">
      <c r="A204" t="s">
        <v>458</v>
      </c>
      <c r="B204" t="s">
        <v>13</v>
      </c>
      <c r="C204">
        <v>45904</v>
      </c>
      <c r="D204">
        <v>46022</v>
      </c>
      <c r="E204" t="s">
        <v>707</v>
      </c>
      <c r="F204" t="s">
        <v>14</v>
      </c>
      <c r="G204">
        <v>1082749648</v>
      </c>
      <c r="H204" t="s">
        <v>459</v>
      </c>
      <c r="I204">
        <v>98333941</v>
      </c>
      <c r="J204" t="s">
        <v>14</v>
      </c>
      <c r="K204" t="s">
        <v>15</v>
      </c>
      <c r="L204">
        <v>9460000</v>
      </c>
      <c r="M204">
        <v>18920000</v>
      </c>
      <c r="N204" t="s">
        <v>704</v>
      </c>
      <c r="O204">
        <v>9460000</v>
      </c>
    </row>
    <row r="205" spans="1:15" x14ac:dyDescent="0.25">
      <c r="A205" t="s">
        <v>336</v>
      </c>
      <c r="B205" t="s">
        <v>13</v>
      </c>
      <c r="C205">
        <v>45903</v>
      </c>
      <c r="D205">
        <v>46022</v>
      </c>
      <c r="E205" t="s">
        <v>707</v>
      </c>
      <c r="F205" t="s">
        <v>14</v>
      </c>
      <c r="G205">
        <v>36759759</v>
      </c>
      <c r="H205" t="s">
        <v>26</v>
      </c>
      <c r="I205">
        <v>98390119</v>
      </c>
      <c r="J205" t="s">
        <v>14</v>
      </c>
      <c r="K205" t="s">
        <v>63</v>
      </c>
      <c r="L205">
        <v>9460000</v>
      </c>
      <c r="M205">
        <v>18920000</v>
      </c>
      <c r="N205" t="s">
        <v>704</v>
      </c>
      <c r="O205">
        <v>9460000</v>
      </c>
    </row>
    <row r="206" spans="1:15" x14ac:dyDescent="0.25">
      <c r="A206" t="s">
        <v>557</v>
      </c>
      <c r="B206" t="s">
        <v>13</v>
      </c>
      <c r="C206">
        <v>45903</v>
      </c>
      <c r="D206">
        <v>46022</v>
      </c>
      <c r="E206" t="s">
        <v>710</v>
      </c>
      <c r="F206" t="s">
        <v>14</v>
      </c>
      <c r="G206">
        <v>1085334279</v>
      </c>
      <c r="H206" t="s">
        <v>558</v>
      </c>
      <c r="I206">
        <v>98333941</v>
      </c>
      <c r="J206" t="s">
        <v>14</v>
      </c>
      <c r="K206" t="s">
        <v>15</v>
      </c>
      <c r="L206">
        <v>23400000</v>
      </c>
      <c r="M206">
        <v>31200000</v>
      </c>
      <c r="N206" t="s">
        <v>704</v>
      </c>
      <c r="O206">
        <v>7800000</v>
      </c>
    </row>
    <row r="207" spans="1:15" x14ac:dyDescent="0.25">
      <c r="A207" t="s">
        <v>434</v>
      </c>
      <c r="B207" t="s">
        <v>13</v>
      </c>
      <c r="C207">
        <v>45903</v>
      </c>
      <c r="D207">
        <v>46022</v>
      </c>
      <c r="E207" t="s">
        <v>708</v>
      </c>
      <c r="F207" t="s">
        <v>14</v>
      </c>
      <c r="G207">
        <v>1010082397</v>
      </c>
      <c r="H207" t="s">
        <v>44</v>
      </c>
      <c r="I207">
        <v>98390119</v>
      </c>
      <c r="J207" t="s">
        <v>14</v>
      </c>
      <c r="K207" t="s">
        <v>63</v>
      </c>
      <c r="L207">
        <v>6300000</v>
      </c>
      <c r="M207">
        <v>12600000</v>
      </c>
      <c r="N207" t="s">
        <v>704</v>
      </c>
      <c r="O207">
        <v>6300000</v>
      </c>
    </row>
    <row r="208" spans="1:15" x14ac:dyDescent="0.25">
      <c r="A208" t="s">
        <v>699</v>
      </c>
      <c r="B208" t="s">
        <v>13</v>
      </c>
      <c r="C208">
        <v>45903</v>
      </c>
      <c r="D208">
        <v>46022</v>
      </c>
      <c r="E208" t="s">
        <v>825</v>
      </c>
      <c r="F208" t="s">
        <v>14</v>
      </c>
      <c r="G208">
        <v>1084227101</v>
      </c>
      <c r="H208" t="s">
        <v>700</v>
      </c>
      <c r="I208">
        <v>98333941</v>
      </c>
      <c r="J208" t="s">
        <v>14</v>
      </c>
      <c r="K208" t="s">
        <v>15</v>
      </c>
      <c r="L208">
        <v>9460000</v>
      </c>
      <c r="M208">
        <v>18920000</v>
      </c>
      <c r="N208" t="s">
        <v>704</v>
      </c>
      <c r="O208">
        <f>M208-L208</f>
        <v>9460000</v>
      </c>
    </row>
    <row r="209" spans="1:15" x14ac:dyDescent="0.25">
      <c r="A209" t="s">
        <v>583</v>
      </c>
      <c r="B209" t="s">
        <v>13</v>
      </c>
      <c r="C209">
        <v>45903</v>
      </c>
      <c r="D209">
        <v>46022</v>
      </c>
      <c r="E209" t="s">
        <v>777</v>
      </c>
      <c r="F209" t="s">
        <v>14</v>
      </c>
      <c r="G209">
        <v>59820414</v>
      </c>
      <c r="H209" t="s">
        <v>584</v>
      </c>
      <c r="I209">
        <v>43624414</v>
      </c>
      <c r="J209" t="s">
        <v>14</v>
      </c>
      <c r="K209" t="s">
        <v>18</v>
      </c>
      <c r="L209">
        <v>12600000</v>
      </c>
      <c r="M209">
        <v>25200000</v>
      </c>
      <c r="N209" t="s">
        <v>704</v>
      </c>
      <c r="O209">
        <v>12600000</v>
      </c>
    </row>
    <row r="210" spans="1:15" x14ac:dyDescent="0.25">
      <c r="A210" t="s">
        <v>479</v>
      </c>
      <c r="B210" t="s">
        <v>13</v>
      </c>
      <c r="C210">
        <v>45903</v>
      </c>
      <c r="D210">
        <v>46022</v>
      </c>
      <c r="E210" t="s">
        <v>790</v>
      </c>
      <c r="F210" t="s">
        <v>14</v>
      </c>
      <c r="G210">
        <v>59824313</v>
      </c>
      <c r="H210" t="s">
        <v>480</v>
      </c>
      <c r="I210">
        <v>98390119</v>
      </c>
      <c r="J210" t="s">
        <v>14</v>
      </c>
      <c r="K210" t="s">
        <v>63</v>
      </c>
      <c r="L210">
        <v>9460000</v>
      </c>
      <c r="M210">
        <v>18920000</v>
      </c>
      <c r="N210" t="s">
        <v>704</v>
      </c>
      <c r="O210">
        <v>9460000</v>
      </c>
    </row>
    <row r="211" spans="1:15" x14ac:dyDescent="0.25">
      <c r="A211" t="s">
        <v>533</v>
      </c>
      <c r="B211" t="s">
        <v>13</v>
      </c>
      <c r="C211">
        <v>45903</v>
      </c>
      <c r="D211">
        <v>46022</v>
      </c>
      <c r="E211" t="s">
        <v>796</v>
      </c>
      <c r="F211" t="s">
        <v>14</v>
      </c>
      <c r="G211">
        <v>59312865</v>
      </c>
      <c r="H211" t="s">
        <v>534</v>
      </c>
      <c r="I211">
        <v>43624414</v>
      </c>
      <c r="J211" t="s">
        <v>14</v>
      </c>
      <c r="K211" t="s">
        <v>18</v>
      </c>
      <c r="L211">
        <v>6779333</v>
      </c>
      <c r="M211">
        <v>18920000</v>
      </c>
      <c r="N211" t="s">
        <v>704</v>
      </c>
      <c r="O211">
        <v>12140667</v>
      </c>
    </row>
    <row r="212" spans="1:15" x14ac:dyDescent="0.25">
      <c r="A212" t="s">
        <v>215</v>
      </c>
      <c r="B212" t="s">
        <v>13</v>
      </c>
      <c r="C212">
        <v>45903</v>
      </c>
      <c r="D212">
        <v>46022</v>
      </c>
      <c r="E212" t="s">
        <v>708</v>
      </c>
      <c r="F212" t="s">
        <v>14</v>
      </c>
      <c r="G212">
        <v>1087006717</v>
      </c>
      <c r="H212" t="s">
        <v>42</v>
      </c>
      <c r="I212">
        <v>59836926</v>
      </c>
      <c r="J212" t="s">
        <v>14</v>
      </c>
      <c r="K212" t="s">
        <v>17</v>
      </c>
      <c r="L212">
        <v>9450000</v>
      </c>
      <c r="M212">
        <v>12600000</v>
      </c>
      <c r="N212" t="s">
        <v>704</v>
      </c>
      <c r="O212">
        <v>3150000</v>
      </c>
    </row>
    <row r="213" spans="1:15" x14ac:dyDescent="0.25">
      <c r="A213" t="s">
        <v>167</v>
      </c>
      <c r="B213" t="s">
        <v>13</v>
      </c>
      <c r="C213">
        <v>45902</v>
      </c>
      <c r="D213">
        <v>46022</v>
      </c>
      <c r="E213" t="s">
        <v>730</v>
      </c>
      <c r="F213" t="s">
        <v>14</v>
      </c>
      <c r="G213">
        <v>36752202</v>
      </c>
      <c r="H213" t="s">
        <v>168</v>
      </c>
      <c r="I213">
        <v>59836926</v>
      </c>
      <c r="J213" t="s">
        <v>14</v>
      </c>
      <c r="K213" t="s">
        <v>17</v>
      </c>
      <c r="L213">
        <v>9450000</v>
      </c>
      <c r="M213">
        <v>12600000</v>
      </c>
      <c r="N213" t="s">
        <v>704</v>
      </c>
      <c r="O213">
        <v>3150000</v>
      </c>
    </row>
    <row r="214" spans="1:15" x14ac:dyDescent="0.25">
      <c r="A214" t="s">
        <v>328</v>
      </c>
      <c r="B214" t="s">
        <v>13</v>
      </c>
      <c r="C214">
        <v>45902</v>
      </c>
      <c r="D214">
        <v>46022</v>
      </c>
      <c r="E214" t="s">
        <v>759</v>
      </c>
      <c r="F214" t="s">
        <v>14</v>
      </c>
      <c r="G214">
        <v>1085330309</v>
      </c>
      <c r="H214" t="s">
        <v>16</v>
      </c>
      <c r="I214">
        <v>43624414</v>
      </c>
      <c r="J214" t="s">
        <v>14</v>
      </c>
      <c r="K214" t="s">
        <v>18</v>
      </c>
      <c r="L214">
        <v>9460000</v>
      </c>
      <c r="M214">
        <v>18920000</v>
      </c>
      <c r="N214" t="s">
        <v>704</v>
      </c>
      <c r="O214">
        <v>9460000</v>
      </c>
    </row>
    <row r="215" spans="1:15" x14ac:dyDescent="0.25">
      <c r="A215" t="s">
        <v>218</v>
      </c>
      <c r="B215" t="s">
        <v>13</v>
      </c>
      <c r="C215">
        <v>45902</v>
      </c>
      <c r="D215">
        <v>46022</v>
      </c>
      <c r="E215" t="s">
        <v>743</v>
      </c>
      <c r="F215" t="s">
        <v>14</v>
      </c>
      <c r="G215">
        <v>1087413951</v>
      </c>
      <c r="H215" t="s">
        <v>219</v>
      </c>
      <c r="I215">
        <v>98333941</v>
      </c>
      <c r="J215" t="s">
        <v>14</v>
      </c>
      <c r="K215" t="s">
        <v>15</v>
      </c>
      <c r="L215">
        <v>14190000</v>
      </c>
      <c r="M215">
        <v>18920000</v>
      </c>
      <c r="N215" t="s">
        <v>704</v>
      </c>
      <c r="O215">
        <v>4730000</v>
      </c>
    </row>
    <row r="216" spans="1:15" x14ac:dyDescent="0.25">
      <c r="A216" t="s">
        <v>432</v>
      </c>
      <c r="B216" t="s">
        <v>13</v>
      </c>
      <c r="C216">
        <v>45902</v>
      </c>
      <c r="D216">
        <v>46022</v>
      </c>
      <c r="E216" t="s">
        <v>779</v>
      </c>
      <c r="F216" t="s">
        <v>14</v>
      </c>
      <c r="G216">
        <v>1085340885</v>
      </c>
      <c r="H216" t="s">
        <v>433</v>
      </c>
      <c r="I216">
        <v>98333941</v>
      </c>
      <c r="J216" t="s">
        <v>14</v>
      </c>
      <c r="K216" t="s">
        <v>15</v>
      </c>
      <c r="L216">
        <v>14190000</v>
      </c>
      <c r="M216">
        <v>18920000</v>
      </c>
      <c r="N216" t="s">
        <v>704</v>
      </c>
      <c r="O216">
        <v>4730000</v>
      </c>
    </row>
    <row r="217" spans="1:15" x14ac:dyDescent="0.25">
      <c r="A217" t="s">
        <v>302</v>
      </c>
      <c r="B217" t="s">
        <v>13</v>
      </c>
      <c r="C217">
        <v>45902</v>
      </c>
      <c r="D217">
        <v>46022</v>
      </c>
      <c r="E217" t="s">
        <v>710</v>
      </c>
      <c r="F217" t="s">
        <v>14</v>
      </c>
      <c r="G217">
        <v>1006946167</v>
      </c>
      <c r="H217" t="s">
        <v>303</v>
      </c>
      <c r="I217">
        <v>59836926</v>
      </c>
      <c r="J217" t="s">
        <v>14</v>
      </c>
      <c r="K217" t="s">
        <v>17</v>
      </c>
      <c r="L217">
        <v>23400000</v>
      </c>
      <c r="M217">
        <v>31200000</v>
      </c>
      <c r="N217" t="s">
        <v>704</v>
      </c>
      <c r="O217">
        <v>7800000</v>
      </c>
    </row>
    <row r="218" spans="1:15" x14ac:dyDescent="0.25">
      <c r="A218" t="s">
        <v>273</v>
      </c>
      <c r="B218" t="s">
        <v>13</v>
      </c>
      <c r="C218">
        <v>45901</v>
      </c>
      <c r="D218">
        <v>46022</v>
      </c>
      <c r="E218" t="s">
        <v>752</v>
      </c>
      <c r="F218" t="s">
        <v>14</v>
      </c>
      <c r="G218">
        <v>1193383306</v>
      </c>
      <c r="H218" t="s">
        <v>274</v>
      </c>
      <c r="I218">
        <v>59836926</v>
      </c>
      <c r="J218" t="s">
        <v>14</v>
      </c>
      <c r="K218" t="s">
        <v>17</v>
      </c>
      <c r="L218">
        <v>14190000</v>
      </c>
      <c r="M218">
        <v>18920000</v>
      </c>
      <c r="N218" t="s">
        <v>704</v>
      </c>
      <c r="O218">
        <v>4730000</v>
      </c>
    </row>
    <row r="219" spans="1:15" x14ac:dyDescent="0.25">
      <c r="A219" t="s">
        <v>131</v>
      </c>
      <c r="B219" t="s">
        <v>13</v>
      </c>
      <c r="C219">
        <v>45901</v>
      </c>
      <c r="D219">
        <v>46022</v>
      </c>
      <c r="E219" t="s">
        <v>722</v>
      </c>
      <c r="F219" t="s">
        <v>14</v>
      </c>
      <c r="G219">
        <v>1085336362</v>
      </c>
      <c r="H219" t="s">
        <v>49</v>
      </c>
      <c r="I219">
        <v>98333941</v>
      </c>
      <c r="J219" t="s">
        <v>14</v>
      </c>
      <c r="K219" t="s">
        <v>15</v>
      </c>
      <c r="L219">
        <v>23400000</v>
      </c>
      <c r="M219">
        <v>31200000</v>
      </c>
      <c r="N219" t="s">
        <v>704</v>
      </c>
      <c r="O219">
        <v>7800000</v>
      </c>
    </row>
    <row r="220" spans="1:15" x14ac:dyDescent="0.25">
      <c r="A220" t="s">
        <v>119</v>
      </c>
      <c r="B220" t="s">
        <v>13</v>
      </c>
      <c r="C220">
        <v>45901</v>
      </c>
      <c r="D220">
        <v>46022</v>
      </c>
      <c r="E220" t="s">
        <v>717</v>
      </c>
      <c r="F220" t="s">
        <v>14</v>
      </c>
      <c r="G220">
        <v>1193202097</v>
      </c>
      <c r="H220" t="s">
        <v>43</v>
      </c>
      <c r="I220">
        <v>43624414</v>
      </c>
      <c r="J220" t="s">
        <v>14</v>
      </c>
      <c r="K220" t="s">
        <v>18</v>
      </c>
      <c r="L220">
        <v>15600000</v>
      </c>
      <c r="M220">
        <v>31200000</v>
      </c>
      <c r="N220" t="s">
        <v>704</v>
      </c>
      <c r="O220">
        <v>15600000</v>
      </c>
    </row>
    <row r="221" spans="1:15" x14ac:dyDescent="0.25">
      <c r="A221" t="s">
        <v>696</v>
      </c>
      <c r="B221" t="s">
        <v>13</v>
      </c>
      <c r="C221">
        <v>45897</v>
      </c>
      <c r="D221">
        <v>46019</v>
      </c>
      <c r="E221" t="s">
        <v>824</v>
      </c>
      <c r="F221" t="s">
        <v>83</v>
      </c>
      <c r="G221">
        <v>900994364</v>
      </c>
      <c r="H221" t="s">
        <v>697</v>
      </c>
      <c r="I221">
        <v>13016581</v>
      </c>
      <c r="J221" t="s">
        <v>14</v>
      </c>
      <c r="K221" t="s">
        <v>698</v>
      </c>
      <c r="L221">
        <v>451935000</v>
      </c>
      <c r="M221">
        <v>605000000</v>
      </c>
      <c r="N221" t="s">
        <v>704</v>
      </c>
      <c r="O221">
        <f>M221-L221</f>
        <v>153065000</v>
      </c>
    </row>
    <row r="222" spans="1:15" x14ac:dyDescent="0.25">
      <c r="A222" t="s">
        <v>694</v>
      </c>
      <c r="B222" t="s">
        <v>13</v>
      </c>
      <c r="C222">
        <v>45982</v>
      </c>
      <c r="D222">
        <v>46022</v>
      </c>
      <c r="E222" t="s">
        <v>323</v>
      </c>
      <c r="F222" t="s">
        <v>14</v>
      </c>
      <c r="G222">
        <v>27436186</v>
      </c>
      <c r="H222" t="s">
        <v>695</v>
      </c>
      <c r="I222">
        <v>43624414</v>
      </c>
      <c r="J222" t="s">
        <v>14</v>
      </c>
      <c r="K222" t="s">
        <v>18</v>
      </c>
      <c r="L222">
        <v>0</v>
      </c>
      <c r="M222">
        <v>4200000</v>
      </c>
      <c r="N222" t="s">
        <v>704</v>
      </c>
      <c r="O222">
        <v>0</v>
      </c>
    </row>
    <row r="223" spans="1:15" x14ac:dyDescent="0.25">
      <c r="A223" t="s">
        <v>692</v>
      </c>
      <c r="B223" t="s">
        <v>13</v>
      </c>
      <c r="C223">
        <v>45982</v>
      </c>
      <c r="D223">
        <v>46022</v>
      </c>
      <c r="E223" t="s">
        <v>775</v>
      </c>
      <c r="F223" t="s">
        <v>14</v>
      </c>
      <c r="G223">
        <v>27549932</v>
      </c>
      <c r="H223" t="s">
        <v>693</v>
      </c>
      <c r="I223">
        <v>43624414</v>
      </c>
      <c r="J223" t="s">
        <v>14</v>
      </c>
      <c r="K223" t="s">
        <v>18</v>
      </c>
      <c r="L223">
        <v>0</v>
      </c>
      <c r="M223">
        <v>4200000</v>
      </c>
      <c r="N223" t="s">
        <v>704</v>
      </c>
      <c r="O223">
        <f>M223-L223</f>
        <v>4200000</v>
      </c>
    </row>
    <row r="224" spans="1:15" x14ac:dyDescent="0.25">
      <c r="A224" t="s">
        <v>690</v>
      </c>
      <c r="B224" t="s">
        <v>13</v>
      </c>
      <c r="C224">
        <v>45981</v>
      </c>
      <c r="D224">
        <v>46022</v>
      </c>
      <c r="E224" t="s">
        <v>323</v>
      </c>
      <c r="F224" t="s">
        <v>14</v>
      </c>
      <c r="G224">
        <v>1085246134</v>
      </c>
      <c r="H224" t="s">
        <v>691</v>
      </c>
      <c r="I224">
        <v>98390119</v>
      </c>
      <c r="J224" t="s">
        <v>14</v>
      </c>
      <c r="K224" t="s">
        <v>63</v>
      </c>
      <c r="L224">
        <v>0</v>
      </c>
      <c r="M224">
        <v>9450000</v>
      </c>
      <c r="N224" t="s">
        <v>704</v>
      </c>
      <c r="O224">
        <v>0</v>
      </c>
    </row>
    <row r="225" spans="1:15" x14ac:dyDescent="0.25">
      <c r="A225" t="s">
        <v>688</v>
      </c>
      <c r="B225" t="s">
        <v>13</v>
      </c>
      <c r="C225">
        <v>45982</v>
      </c>
      <c r="D225">
        <v>46022</v>
      </c>
      <c r="E225" t="s">
        <v>813</v>
      </c>
      <c r="F225" t="s">
        <v>14</v>
      </c>
      <c r="G225">
        <v>1086755989</v>
      </c>
      <c r="H225" t="s">
        <v>689</v>
      </c>
      <c r="I225">
        <v>43624414</v>
      </c>
      <c r="J225" t="s">
        <v>14</v>
      </c>
      <c r="K225" t="s">
        <v>18</v>
      </c>
      <c r="L225">
        <v>0</v>
      </c>
      <c r="M225">
        <v>4200000</v>
      </c>
      <c r="N225" t="s">
        <v>704</v>
      </c>
      <c r="O225">
        <f t="shared" ref="O225:O231" si="0">M225-L225</f>
        <v>4200000</v>
      </c>
    </row>
    <row r="226" spans="1:15" x14ac:dyDescent="0.25">
      <c r="A226" t="s">
        <v>686</v>
      </c>
      <c r="B226" t="s">
        <v>13</v>
      </c>
      <c r="C226">
        <v>45979</v>
      </c>
      <c r="D226">
        <v>46022</v>
      </c>
      <c r="E226" t="s">
        <v>775</v>
      </c>
      <c r="F226" t="s">
        <v>14</v>
      </c>
      <c r="G226">
        <v>1089243630</v>
      </c>
      <c r="H226" t="s">
        <v>687</v>
      </c>
      <c r="I226">
        <v>43624414</v>
      </c>
      <c r="J226" t="s">
        <v>14</v>
      </c>
      <c r="K226" t="s">
        <v>18</v>
      </c>
      <c r="L226">
        <v>0</v>
      </c>
      <c r="M226">
        <v>4725000</v>
      </c>
      <c r="N226" t="s">
        <v>704</v>
      </c>
      <c r="O226">
        <f t="shared" si="0"/>
        <v>4725000</v>
      </c>
    </row>
    <row r="227" spans="1:15" x14ac:dyDescent="0.25">
      <c r="A227" t="s">
        <v>676</v>
      </c>
      <c r="B227" t="s">
        <v>13</v>
      </c>
      <c r="C227">
        <v>45979</v>
      </c>
      <c r="D227">
        <v>46022</v>
      </c>
      <c r="E227" t="s">
        <v>775</v>
      </c>
      <c r="F227" t="s">
        <v>14</v>
      </c>
      <c r="G227">
        <v>36751255</v>
      </c>
      <c r="H227" t="s">
        <v>677</v>
      </c>
      <c r="I227">
        <v>43624414</v>
      </c>
      <c r="J227" t="s">
        <v>14</v>
      </c>
      <c r="K227" t="s">
        <v>18</v>
      </c>
      <c r="L227">
        <v>0</v>
      </c>
      <c r="M227">
        <v>4725000</v>
      </c>
      <c r="N227" t="s">
        <v>704</v>
      </c>
      <c r="O227">
        <f t="shared" si="0"/>
        <v>4725000</v>
      </c>
    </row>
    <row r="228" spans="1:15" x14ac:dyDescent="0.25">
      <c r="A228" t="s">
        <v>644</v>
      </c>
      <c r="B228" t="s">
        <v>13</v>
      </c>
      <c r="C228">
        <v>45975</v>
      </c>
      <c r="D228">
        <v>46022</v>
      </c>
      <c r="E228" t="s">
        <v>775</v>
      </c>
      <c r="F228" t="s">
        <v>14</v>
      </c>
      <c r="G228">
        <v>1085321460</v>
      </c>
      <c r="H228" t="s">
        <v>645</v>
      </c>
      <c r="I228">
        <v>43624414</v>
      </c>
      <c r="J228" t="s">
        <v>14</v>
      </c>
      <c r="K228" t="s">
        <v>18</v>
      </c>
      <c r="L228">
        <v>0</v>
      </c>
      <c r="M228">
        <v>4725000</v>
      </c>
      <c r="N228" t="s">
        <v>704</v>
      </c>
      <c r="O228">
        <f t="shared" si="0"/>
        <v>4725000</v>
      </c>
    </row>
    <row r="229" spans="1:15" x14ac:dyDescent="0.25">
      <c r="A229" t="s">
        <v>628</v>
      </c>
      <c r="B229" t="s">
        <v>13</v>
      </c>
      <c r="C229">
        <v>45975</v>
      </c>
      <c r="D229">
        <v>46022</v>
      </c>
      <c r="E229" t="s">
        <v>813</v>
      </c>
      <c r="F229" t="s">
        <v>14</v>
      </c>
      <c r="G229">
        <v>1193474724</v>
      </c>
      <c r="H229" t="s">
        <v>629</v>
      </c>
      <c r="I229">
        <v>98390119</v>
      </c>
      <c r="J229" t="s">
        <v>14</v>
      </c>
      <c r="K229" t="s">
        <v>63</v>
      </c>
      <c r="L229">
        <v>0</v>
      </c>
      <c r="M229">
        <v>9450000</v>
      </c>
      <c r="N229" t="s">
        <v>704</v>
      </c>
      <c r="O229">
        <f t="shared" si="0"/>
        <v>9450000</v>
      </c>
    </row>
    <row r="230" spans="1:15" x14ac:dyDescent="0.25">
      <c r="A230" t="s">
        <v>624</v>
      </c>
      <c r="B230" t="s">
        <v>13</v>
      </c>
      <c r="C230">
        <v>45972</v>
      </c>
      <c r="D230">
        <v>46022</v>
      </c>
      <c r="E230" t="s">
        <v>775</v>
      </c>
      <c r="F230" t="s">
        <v>14</v>
      </c>
      <c r="G230">
        <v>1085317833</v>
      </c>
      <c r="H230" t="s">
        <v>41</v>
      </c>
      <c r="I230">
        <v>59836926</v>
      </c>
      <c r="J230" t="s">
        <v>14</v>
      </c>
      <c r="K230" t="s">
        <v>17</v>
      </c>
      <c r="L230">
        <v>3150000</v>
      </c>
      <c r="M230">
        <v>6300000</v>
      </c>
      <c r="N230" t="s">
        <v>704</v>
      </c>
      <c r="O230">
        <f t="shared" si="0"/>
        <v>3150000</v>
      </c>
    </row>
    <row r="231" spans="1:15" x14ac:dyDescent="0.25">
      <c r="A231" t="s">
        <v>530</v>
      </c>
      <c r="B231" t="s">
        <v>13</v>
      </c>
      <c r="C231">
        <v>45972</v>
      </c>
      <c r="D231">
        <v>46022</v>
      </c>
      <c r="E231" t="s">
        <v>793</v>
      </c>
      <c r="F231" t="s">
        <v>14</v>
      </c>
      <c r="G231">
        <v>1081274238</v>
      </c>
      <c r="H231" t="s">
        <v>531</v>
      </c>
      <c r="I231">
        <v>43624414</v>
      </c>
      <c r="J231" t="s">
        <v>14</v>
      </c>
      <c r="K231" t="s">
        <v>18</v>
      </c>
      <c r="L231">
        <v>0</v>
      </c>
      <c r="M231">
        <v>4000000</v>
      </c>
      <c r="N231" t="s">
        <v>704</v>
      </c>
      <c r="O231">
        <f t="shared" si="0"/>
        <v>4000000</v>
      </c>
    </row>
    <row r="232" spans="1:15" x14ac:dyDescent="0.25">
      <c r="A232" t="s">
        <v>513</v>
      </c>
      <c r="B232" t="s">
        <v>13</v>
      </c>
      <c r="C232">
        <v>45972</v>
      </c>
      <c r="D232">
        <v>46022</v>
      </c>
      <c r="E232" t="s">
        <v>323</v>
      </c>
      <c r="F232" t="s">
        <v>14</v>
      </c>
      <c r="G232">
        <v>1233192104</v>
      </c>
      <c r="H232" t="s">
        <v>514</v>
      </c>
      <c r="I232">
        <v>59836926</v>
      </c>
      <c r="J232" t="s">
        <v>14</v>
      </c>
      <c r="K232" t="s">
        <v>17</v>
      </c>
      <c r="L232">
        <v>0</v>
      </c>
      <c r="M232">
        <v>6300000</v>
      </c>
      <c r="N232" t="s">
        <v>704</v>
      </c>
      <c r="O232">
        <v>0</v>
      </c>
    </row>
    <row r="233" spans="1:15" x14ac:dyDescent="0.25">
      <c r="A233" t="s">
        <v>495</v>
      </c>
      <c r="B233" t="s">
        <v>13</v>
      </c>
      <c r="C233">
        <v>45972</v>
      </c>
      <c r="D233">
        <v>46022</v>
      </c>
      <c r="E233" t="s">
        <v>793</v>
      </c>
      <c r="F233" t="s">
        <v>14</v>
      </c>
      <c r="G233">
        <v>1085287296</v>
      </c>
      <c r="H233" t="s">
        <v>496</v>
      </c>
      <c r="I233">
        <v>59836926</v>
      </c>
      <c r="J233" t="s">
        <v>14</v>
      </c>
      <c r="K233" t="s">
        <v>17</v>
      </c>
      <c r="L233">
        <v>2000000</v>
      </c>
      <c r="M233">
        <v>4000000</v>
      </c>
      <c r="N233" t="s">
        <v>704</v>
      </c>
      <c r="O233">
        <f>M233-L233</f>
        <v>2000000</v>
      </c>
    </row>
    <row r="234" spans="1:15" x14ac:dyDescent="0.25">
      <c r="A234" t="s">
        <v>464</v>
      </c>
      <c r="B234" t="s">
        <v>13</v>
      </c>
      <c r="C234">
        <v>45971</v>
      </c>
      <c r="D234">
        <v>46022</v>
      </c>
      <c r="E234" t="s">
        <v>323</v>
      </c>
      <c r="F234" t="s">
        <v>14</v>
      </c>
      <c r="G234">
        <v>1193223736</v>
      </c>
      <c r="H234" t="s">
        <v>75</v>
      </c>
      <c r="I234">
        <v>59836926</v>
      </c>
      <c r="J234" t="s">
        <v>14</v>
      </c>
      <c r="K234" t="s">
        <v>17</v>
      </c>
      <c r="L234">
        <v>0</v>
      </c>
      <c r="M234">
        <v>12600000</v>
      </c>
      <c r="N234" t="s">
        <v>704</v>
      </c>
      <c r="O234">
        <v>0</v>
      </c>
    </row>
    <row r="235" spans="1:15" x14ac:dyDescent="0.25">
      <c r="A235" t="s">
        <v>408</v>
      </c>
      <c r="B235" t="s">
        <v>13</v>
      </c>
      <c r="C235">
        <v>45971</v>
      </c>
      <c r="D235">
        <v>46022</v>
      </c>
      <c r="E235" t="s">
        <v>775</v>
      </c>
      <c r="F235" t="s">
        <v>14</v>
      </c>
      <c r="G235">
        <v>1086222689</v>
      </c>
      <c r="H235" t="s">
        <v>36</v>
      </c>
      <c r="I235">
        <v>59836926</v>
      </c>
      <c r="J235" t="s">
        <v>14</v>
      </c>
      <c r="K235" t="s">
        <v>17</v>
      </c>
      <c r="L235">
        <v>0</v>
      </c>
      <c r="M235">
        <v>6300000</v>
      </c>
      <c r="N235" t="s">
        <v>704</v>
      </c>
      <c r="O235">
        <f>M235-L235</f>
        <v>6300000</v>
      </c>
    </row>
    <row r="236" spans="1:15" x14ac:dyDescent="0.25">
      <c r="A236" t="s">
        <v>351</v>
      </c>
      <c r="B236" t="s">
        <v>13</v>
      </c>
      <c r="C236">
        <v>45971</v>
      </c>
      <c r="D236">
        <v>46022</v>
      </c>
      <c r="E236" t="s">
        <v>323</v>
      </c>
      <c r="F236" t="s">
        <v>14</v>
      </c>
      <c r="G236">
        <v>1085253512</v>
      </c>
      <c r="H236" t="s">
        <v>352</v>
      </c>
      <c r="I236">
        <v>98390119</v>
      </c>
      <c r="J236" t="s">
        <v>14</v>
      </c>
      <c r="K236" t="s">
        <v>63</v>
      </c>
      <c r="L236">
        <v>0</v>
      </c>
      <c r="M236">
        <v>4000000</v>
      </c>
      <c r="N236" t="s">
        <v>704</v>
      </c>
      <c r="O236">
        <v>0</v>
      </c>
    </row>
    <row r="237" spans="1:15" x14ac:dyDescent="0.25">
      <c r="A237" t="s">
        <v>440</v>
      </c>
      <c r="B237" t="s">
        <v>13</v>
      </c>
      <c r="C237">
        <v>45971</v>
      </c>
      <c r="D237">
        <v>46022</v>
      </c>
      <c r="E237" t="s">
        <v>749</v>
      </c>
      <c r="F237" t="s">
        <v>14</v>
      </c>
      <c r="G237">
        <v>1086018206</v>
      </c>
      <c r="H237" t="s">
        <v>441</v>
      </c>
      <c r="I237">
        <v>98390119</v>
      </c>
      <c r="J237" t="s">
        <v>14</v>
      </c>
      <c r="K237" t="s">
        <v>63</v>
      </c>
      <c r="L237">
        <v>0</v>
      </c>
      <c r="M237">
        <v>15600000</v>
      </c>
      <c r="N237" t="s">
        <v>704</v>
      </c>
      <c r="O237">
        <v>15600000</v>
      </c>
    </row>
    <row r="238" spans="1:15" x14ac:dyDescent="0.25">
      <c r="A238" t="s">
        <v>148</v>
      </c>
      <c r="B238" t="s">
        <v>13</v>
      </c>
      <c r="C238">
        <v>45971</v>
      </c>
      <c r="D238">
        <v>46022</v>
      </c>
      <c r="E238" t="s">
        <v>726</v>
      </c>
      <c r="F238" t="s">
        <v>14</v>
      </c>
      <c r="G238">
        <v>59312779</v>
      </c>
      <c r="H238" t="s">
        <v>149</v>
      </c>
      <c r="I238">
        <v>98390119</v>
      </c>
      <c r="J238" t="s">
        <v>14</v>
      </c>
      <c r="K238" t="s">
        <v>63</v>
      </c>
      <c r="L238">
        <v>0</v>
      </c>
      <c r="M238">
        <v>4000000</v>
      </c>
      <c r="N238" t="s">
        <v>704</v>
      </c>
      <c r="O238">
        <v>4000000</v>
      </c>
    </row>
    <row r="239" spans="1:15" x14ac:dyDescent="0.25">
      <c r="A239" t="s">
        <v>288</v>
      </c>
      <c r="B239" t="s">
        <v>13</v>
      </c>
      <c r="C239">
        <v>45971</v>
      </c>
      <c r="D239">
        <v>46022</v>
      </c>
      <c r="E239" t="s">
        <v>715</v>
      </c>
      <c r="F239" t="s">
        <v>14</v>
      </c>
      <c r="G239">
        <v>36756798</v>
      </c>
      <c r="H239" t="s">
        <v>289</v>
      </c>
      <c r="I239">
        <v>98390119</v>
      </c>
      <c r="J239" t="s">
        <v>14</v>
      </c>
      <c r="K239" t="s">
        <v>63</v>
      </c>
      <c r="L239">
        <v>0</v>
      </c>
      <c r="M239">
        <v>4000000</v>
      </c>
      <c r="N239" t="s">
        <v>704</v>
      </c>
      <c r="O239">
        <v>4000000</v>
      </c>
    </row>
    <row r="240" spans="1:15" x14ac:dyDescent="0.25">
      <c r="A240" t="s">
        <v>311</v>
      </c>
      <c r="B240" t="s">
        <v>13</v>
      </c>
      <c r="C240">
        <v>45971</v>
      </c>
      <c r="D240">
        <v>46022</v>
      </c>
      <c r="E240" t="s">
        <v>720</v>
      </c>
      <c r="F240" t="s">
        <v>14</v>
      </c>
      <c r="G240">
        <v>1085324685</v>
      </c>
      <c r="H240" t="s">
        <v>312</v>
      </c>
      <c r="I240">
        <v>43624414</v>
      </c>
      <c r="J240" t="s">
        <v>14</v>
      </c>
      <c r="K240" t="s">
        <v>18</v>
      </c>
      <c r="L240">
        <v>0</v>
      </c>
      <c r="M240">
        <v>6300000</v>
      </c>
      <c r="N240" t="s">
        <v>704</v>
      </c>
      <c r="O240">
        <v>6300000</v>
      </c>
    </row>
    <row r="241" spans="1:15" x14ac:dyDescent="0.25">
      <c r="A241" t="s">
        <v>573</v>
      </c>
      <c r="B241" t="s">
        <v>13</v>
      </c>
      <c r="C241">
        <v>45971</v>
      </c>
      <c r="D241">
        <v>46022</v>
      </c>
      <c r="E241" t="s">
        <v>722</v>
      </c>
      <c r="F241" t="s">
        <v>14</v>
      </c>
      <c r="G241">
        <v>1010141840</v>
      </c>
      <c r="H241" t="s">
        <v>574</v>
      </c>
      <c r="I241">
        <v>43624414</v>
      </c>
      <c r="J241" t="s">
        <v>14</v>
      </c>
      <c r="K241" t="s">
        <v>18</v>
      </c>
      <c r="L241">
        <v>0</v>
      </c>
      <c r="M241">
        <v>15600000</v>
      </c>
      <c r="N241" t="s">
        <v>704</v>
      </c>
      <c r="O241">
        <v>15600000</v>
      </c>
    </row>
    <row r="242" spans="1:15" x14ac:dyDescent="0.25">
      <c r="A242" t="s">
        <v>190</v>
      </c>
      <c r="B242" t="s">
        <v>13</v>
      </c>
      <c r="C242">
        <v>45971</v>
      </c>
      <c r="D242">
        <v>46022</v>
      </c>
      <c r="E242" t="s">
        <v>720</v>
      </c>
      <c r="F242" t="s">
        <v>14</v>
      </c>
      <c r="G242">
        <v>1085331508</v>
      </c>
      <c r="H242" t="s">
        <v>191</v>
      </c>
      <c r="I242">
        <v>59836926</v>
      </c>
      <c r="J242" t="s">
        <v>14</v>
      </c>
      <c r="K242" t="s">
        <v>17</v>
      </c>
      <c r="L242">
        <v>0</v>
      </c>
      <c r="M242">
        <v>6300000</v>
      </c>
      <c r="N242" t="s">
        <v>704</v>
      </c>
      <c r="O242">
        <v>6300000</v>
      </c>
    </row>
    <row r="243" spans="1:15" x14ac:dyDescent="0.25">
      <c r="A243" t="s">
        <v>320</v>
      </c>
      <c r="B243" t="s">
        <v>13</v>
      </c>
      <c r="C243">
        <v>45971</v>
      </c>
      <c r="D243">
        <v>46022</v>
      </c>
      <c r="E243" t="s">
        <v>758</v>
      </c>
      <c r="F243" t="s">
        <v>14</v>
      </c>
      <c r="G243">
        <v>1085312669</v>
      </c>
      <c r="H243" t="s">
        <v>321</v>
      </c>
      <c r="I243">
        <v>43624414</v>
      </c>
      <c r="J243" t="s">
        <v>14</v>
      </c>
      <c r="K243" t="s">
        <v>18</v>
      </c>
      <c r="L243">
        <v>0</v>
      </c>
      <c r="M243">
        <v>4000000</v>
      </c>
      <c r="N243" t="s">
        <v>704</v>
      </c>
      <c r="O243">
        <v>4000000</v>
      </c>
    </row>
    <row r="244" spans="1:15" x14ac:dyDescent="0.25">
      <c r="A244" t="s">
        <v>154</v>
      </c>
      <c r="B244" t="s">
        <v>13</v>
      </c>
      <c r="C244">
        <v>45971</v>
      </c>
      <c r="D244">
        <v>46022</v>
      </c>
      <c r="E244" t="s">
        <v>727</v>
      </c>
      <c r="F244" t="s">
        <v>14</v>
      </c>
      <c r="G244">
        <v>1086331521</v>
      </c>
      <c r="H244" t="s">
        <v>155</v>
      </c>
      <c r="I244">
        <v>98333941</v>
      </c>
      <c r="J244" t="s">
        <v>14</v>
      </c>
      <c r="K244" t="s">
        <v>15</v>
      </c>
      <c r="L244">
        <v>0</v>
      </c>
      <c r="M244">
        <v>15600000</v>
      </c>
      <c r="N244" t="s">
        <v>704</v>
      </c>
      <c r="O244">
        <v>15600000</v>
      </c>
    </row>
    <row r="245" spans="1:15" x14ac:dyDescent="0.25">
      <c r="A245" t="s">
        <v>421</v>
      </c>
      <c r="B245" t="s">
        <v>13</v>
      </c>
      <c r="C245">
        <v>45971</v>
      </c>
      <c r="D245">
        <v>46022</v>
      </c>
      <c r="E245" t="s">
        <v>778</v>
      </c>
      <c r="F245" t="s">
        <v>14</v>
      </c>
      <c r="G245">
        <v>1085310626</v>
      </c>
      <c r="H245" t="s">
        <v>422</v>
      </c>
      <c r="I245">
        <v>98390119</v>
      </c>
      <c r="J245" t="s">
        <v>14</v>
      </c>
      <c r="K245" t="s">
        <v>63</v>
      </c>
      <c r="L245">
        <v>0</v>
      </c>
      <c r="M245">
        <v>6300000</v>
      </c>
      <c r="N245" t="s">
        <v>704</v>
      </c>
      <c r="O245">
        <v>6300000</v>
      </c>
    </row>
    <row r="246" spans="1:15" x14ac:dyDescent="0.25">
      <c r="A246" t="s">
        <v>198</v>
      </c>
      <c r="B246" t="s">
        <v>13</v>
      </c>
      <c r="C246">
        <v>45968</v>
      </c>
      <c r="D246">
        <v>46022</v>
      </c>
      <c r="E246" t="s">
        <v>736</v>
      </c>
      <c r="F246" t="s">
        <v>14</v>
      </c>
      <c r="G246">
        <v>1085281002</v>
      </c>
      <c r="H246" t="s">
        <v>199</v>
      </c>
      <c r="I246">
        <v>59836926</v>
      </c>
      <c r="J246" t="s">
        <v>14</v>
      </c>
      <c r="K246" t="s">
        <v>17</v>
      </c>
      <c r="L246">
        <v>0</v>
      </c>
      <c r="M246">
        <v>6300000</v>
      </c>
      <c r="N246" t="s">
        <v>704</v>
      </c>
      <c r="O246">
        <v>6300000</v>
      </c>
    </row>
    <row r="247" spans="1:15" x14ac:dyDescent="0.25">
      <c r="A247" t="s">
        <v>239</v>
      </c>
      <c r="B247" t="s">
        <v>13</v>
      </c>
      <c r="C247">
        <v>45967</v>
      </c>
      <c r="D247">
        <v>46022</v>
      </c>
      <c r="E247" t="s">
        <v>720</v>
      </c>
      <c r="F247" t="s">
        <v>14</v>
      </c>
      <c r="G247">
        <v>1085246674</v>
      </c>
      <c r="H247" t="s">
        <v>240</v>
      </c>
      <c r="I247">
        <v>43624414</v>
      </c>
      <c r="J247" t="s">
        <v>14</v>
      </c>
      <c r="K247" t="s">
        <v>18</v>
      </c>
      <c r="L247">
        <v>0</v>
      </c>
      <c r="M247">
        <v>6300000</v>
      </c>
      <c r="N247" t="s">
        <v>704</v>
      </c>
      <c r="O247">
        <v>6300000</v>
      </c>
    </row>
    <row r="248" spans="1:15" x14ac:dyDescent="0.25">
      <c r="A248" t="s">
        <v>156</v>
      </c>
      <c r="B248" t="s">
        <v>13</v>
      </c>
      <c r="C248">
        <v>45967</v>
      </c>
      <c r="D248">
        <v>46022</v>
      </c>
      <c r="E248" t="s">
        <v>728</v>
      </c>
      <c r="F248" t="s">
        <v>14</v>
      </c>
      <c r="G248">
        <v>1088799080</v>
      </c>
      <c r="H248" t="s">
        <v>157</v>
      </c>
      <c r="I248">
        <v>43624414</v>
      </c>
      <c r="J248" t="s">
        <v>14</v>
      </c>
      <c r="K248" t="s">
        <v>18</v>
      </c>
      <c r="L248">
        <v>0</v>
      </c>
      <c r="M248">
        <v>6300000</v>
      </c>
      <c r="N248" t="s">
        <v>704</v>
      </c>
      <c r="O248">
        <v>6300000</v>
      </c>
    </row>
    <row r="249" spans="1:15" x14ac:dyDescent="0.25">
      <c r="A249" t="s">
        <v>569</v>
      </c>
      <c r="B249" t="s">
        <v>13</v>
      </c>
      <c r="C249">
        <v>45967</v>
      </c>
      <c r="D249">
        <v>46022</v>
      </c>
      <c r="E249" t="s">
        <v>804</v>
      </c>
      <c r="F249" t="s">
        <v>14</v>
      </c>
      <c r="G249">
        <v>1085307962</v>
      </c>
      <c r="H249" t="s">
        <v>570</v>
      </c>
      <c r="I249">
        <v>59836926</v>
      </c>
      <c r="J249" t="s">
        <v>14</v>
      </c>
      <c r="K249" t="s">
        <v>17</v>
      </c>
      <c r="L249">
        <v>0</v>
      </c>
      <c r="M249">
        <v>15600000</v>
      </c>
      <c r="N249" t="s">
        <v>704</v>
      </c>
      <c r="O249">
        <v>15600000</v>
      </c>
    </row>
    <row r="250" spans="1:15" x14ac:dyDescent="0.25">
      <c r="A250" t="s">
        <v>571</v>
      </c>
      <c r="B250" t="s">
        <v>13</v>
      </c>
      <c r="C250">
        <v>45967</v>
      </c>
      <c r="D250">
        <v>46022</v>
      </c>
      <c r="E250" t="s">
        <v>716</v>
      </c>
      <c r="F250" t="s">
        <v>14</v>
      </c>
      <c r="G250">
        <v>1233191133</v>
      </c>
      <c r="H250" t="s">
        <v>572</v>
      </c>
      <c r="I250">
        <v>59836926</v>
      </c>
      <c r="J250" t="s">
        <v>14</v>
      </c>
      <c r="K250" t="s">
        <v>17</v>
      </c>
      <c r="L250">
        <v>0</v>
      </c>
      <c r="M250">
        <v>6300000</v>
      </c>
      <c r="N250" t="s">
        <v>704</v>
      </c>
      <c r="O250">
        <v>6300000</v>
      </c>
    </row>
    <row r="251" spans="1:15" x14ac:dyDescent="0.25">
      <c r="A251" t="s">
        <v>213</v>
      </c>
      <c r="B251" t="s">
        <v>13</v>
      </c>
      <c r="C251">
        <v>45967</v>
      </c>
      <c r="D251">
        <v>46022</v>
      </c>
      <c r="E251" t="s">
        <v>741</v>
      </c>
      <c r="F251" t="s">
        <v>14</v>
      </c>
      <c r="G251">
        <v>1085927513</v>
      </c>
      <c r="H251" t="s">
        <v>214</v>
      </c>
      <c r="I251">
        <v>59836926</v>
      </c>
      <c r="J251" t="s">
        <v>14</v>
      </c>
      <c r="K251" t="s">
        <v>17</v>
      </c>
      <c r="L251">
        <v>0</v>
      </c>
      <c r="M251">
        <v>6300000</v>
      </c>
      <c r="N251" t="s">
        <v>704</v>
      </c>
      <c r="O251">
        <v>6300000</v>
      </c>
    </row>
    <row r="252" spans="1:15" x14ac:dyDescent="0.25">
      <c r="A252" t="s">
        <v>646</v>
      </c>
      <c r="B252" t="s">
        <v>13</v>
      </c>
      <c r="C252">
        <v>45967</v>
      </c>
      <c r="D252">
        <v>46022</v>
      </c>
      <c r="E252" t="s">
        <v>748</v>
      </c>
      <c r="F252" t="s">
        <v>14</v>
      </c>
      <c r="G252">
        <v>1085327836</v>
      </c>
      <c r="H252" t="s">
        <v>77</v>
      </c>
      <c r="I252">
        <v>43624414</v>
      </c>
      <c r="J252" t="s">
        <v>14</v>
      </c>
      <c r="K252" t="s">
        <v>18</v>
      </c>
      <c r="L252">
        <v>0</v>
      </c>
      <c r="M252">
        <v>4000000</v>
      </c>
      <c r="N252" t="s">
        <v>704</v>
      </c>
      <c r="O252">
        <v>4000000</v>
      </c>
    </row>
    <row r="253" spans="1:15" x14ac:dyDescent="0.25">
      <c r="A253" t="s">
        <v>609</v>
      </c>
      <c r="B253" t="s">
        <v>13</v>
      </c>
      <c r="C253">
        <v>45966</v>
      </c>
      <c r="D253">
        <v>46022</v>
      </c>
      <c r="E253" t="s">
        <v>716</v>
      </c>
      <c r="F253" t="s">
        <v>14</v>
      </c>
      <c r="G253">
        <v>1085325325</v>
      </c>
      <c r="H253" t="s">
        <v>610</v>
      </c>
      <c r="I253">
        <v>43624414</v>
      </c>
      <c r="J253" t="s">
        <v>14</v>
      </c>
      <c r="K253" t="s">
        <v>18</v>
      </c>
      <c r="L253">
        <v>0</v>
      </c>
      <c r="M253">
        <v>6300000</v>
      </c>
      <c r="N253" t="s">
        <v>704</v>
      </c>
      <c r="O253">
        <v>6300000</v>
      </c>
    </row>
    <row r="254" spans="1:15" x14ac:dyDescent="0.25">
      <c r="A254" t="s">
        <v>490</v>
      </c>
      <c r="B254" t="s">
        <v>13</v>
      </c>
      <c r="C254">
        <v>45966</v>
      </c>
      <c r="D254">
        <v>46022</v>
      </c>
      <c r="E254" t="s">
        <v>724</v>
      </c>
      <c r="F254" t="s">
        <v>14</v>
      </c>
      <c r="G254">
        <v>27091114</v>
      </c>
      <c r="H254" t="s">
        <v>80</v>
      </c>
      <c r="I254">
        <v>98390119</v>
      </c>
      <c r="J254" t="s">
        <v>14</v>
      </c>
      <c r="K254" t="s">
        <v>63</v>
      </c>
      <c r="L254">
        <v>0</v>
      </c>
      <c r="M254">
        <v>6300000</v>
      </c>
      <c r="N254" t="s">
        <v>704</v>
      </c>
      <c r="O254">
        <v>6300000</v>
      </c>
    </row>
    <row r="255" spans="1:15" x14ac:dyDescent="0.25">
      <c r="A255" t="s">
        <v>232</v>
      </c>
      <c r="B255" t="s">
        <v>13</v>
      </c>
      <c r="C255">
        <v>45966</v>
      </c>
      <c r="D255">
        <v>46022</v>
      </c>
      <c r="E255" t="s">
        <v>747</v>
      </c>
      <c r="F255" t="s">
        <v>14</v>
      </c>
      <c r="G255">
        <v>1004190751</v>
      </c>
      <c r="H255" t="s">
        <v>233</v>
      </c>
      <c r="I255">
        <v>43624414</v>
      </c>
      <c r="J255" t="s">
        <v>14</v>
      </c>
      <c r="K255" t="s">
        <v>18</v>
      </c>
      <c r="L255">
        <v>0</v>
      </c>
      <c r="M255">
        <v>6300000</v>
      </c>
      <c r="N255" t="s">
        <v>704</v>
      </c>
      <c r="O255">
        <v>6300000</v>
      </c>
    </row>
    <row r="256" spans="1:15" x14ac:dyDescent="0.25">
      <c r="A256" t="s">
        <v>322</v>
      </c>
      <c r="B256" t="s">
        <v>13</v>
      </c>
      <c r="C256">
        <v>45966</v>
      </c>
      <c r="D256">
        <v>46022</v>
      </c>
      <c r="E256" t="s">
        <v>323</v>
      </c>
      <c r="F256" t="s">
        <v>14</v>
      </c>
      <c r="G256">
        <v>1082748783</v>
      </c>
      <c r="H256" t="s">
        <v>67</v>
      </c>
      <c r="I256">
        <v>43624414</v>
      </c>
      <c r="J256" t="s">
        <v>14</v>
      </c>
      <c r="K256" t="s">
        <v>18</v>
      </c>
      <c r="L256">
        <v>0</v>
      </c>
      <c r="M256">
        <v>6300000</v>
      </c>
      <c r="N256" t="s">
        <v>704</v>
      </c>
      <c r="O256" t="e">
        <v>#N/A</v>
      </c>
    </row>
    <row r="257" spans="1:15" x14ac:dyDescent="0.25">
      <c r="A257" t="s">
        <v>648</v>
      </c>
      <c r="B257" t="s">
        <v>13</v>
      </c>
      <c r="C257">
        <v>45966</v>
      </c>
      <c r="D257">
        <v>46022</v>
      </c>
      <c r="E257" t="s">
        <v>716</v>
      </c>
      <c r="F257" t="s">
        <v>14</v>
      </c>
      <c r="G257">
        <v>59833899</v>
      </c>
      <c r="H257" t="s">
        <v>78</v>
      </c>
      <c r="I257">
        <v>43624414</v>
      </c>
      <c r="J257" t="s">
        <v>14</v>
      </c>
      <c r="K257" t="s">
        <v>18</v>
      </c>
      <c r="L257">
        <v>0</v>
      </c>
      <c r="M257">
        <v>6300000</v>
      </c>
      <c r="N257" t="s">
        <v>704</v>
      </c>
      <c r="O257">
        <v>6300000</v>
      </c>
    </row>
    <row r="258" spans="1:15" x14ac:dyDescent="0.25">
      <c r="A258" t="s">
        <v>162</v>
      </c>
      <c r="B258" t="s">
        <v>13</v>
      </c>
      <c r="C258">
        <v>45966</v>
      </c>
      <c r="D258">
        <v>46022</v>
      </c>
      <c r="E258" t="s">
        <v>729</v>
      </c>
      <c r="F258" t="s">
        <v>14</v>
      </c>
      <c r="G258">
        <v>59828916</v>
      </c>
      <c r="H258" t="s">
        <v>73</v>
      </c>
      <c r="I258">
        <v>98390119</v>
      </c>
      <c r="J258" t="s">
        <v>14</v>
      </c>
      <c r="K258" t="s">
        <v>63</v>
      </c>
      <c r="L258">
        <v>0</v>
      </c>
      <c r="M258">
        <v>6300000</v>
      </c>
      <c r="N258" t="s">
        <v>704</v>
      </c>
      <c r="O258">
        <v>6300000</v>
      </c>
    </row>
    <row r="259" spans="1:15" x14ac:dyDescent="0.25">
      <c r="A259" t="s">
        <v>400</v>
      </c>
      <c r="B259" t="s">
        <v>13</v>
      </c>
      <c r="C259">
        <v>45966</v>
      </c>
      <c r="D259">
        <v>46022</v>
      </c>
      <c r="E259" t="s">
        <v>749</v>
      </c>
      <c r="F259" t="s">
        <v>14</v>
      </c>
      <c r="G259">
        <v>12969231</v>
      </c>
      <c r="H259" t="s">
        <v>401</v>
      </c>
      <c r="I259">
        <v>43624414</v>
      </c>
      <c r="J259" t="s">
        <v>14</v>
      </c>
      <c r="K259" t="s">
        <v>18</v>
      </c>
      <c r="L259">
        <v>0</v>
      </c>
      <c r="M259">
        <v>15600000</v>
      </c>
      <c r="N259" t="s">
        <v>704</v>
      </c>
      <c r="O259">
        <v>15600000</v>
      </c>
    </row>
    <row r="260" spans="1:15" x14ac:dyDescent="0.25">
      <c r="A260" t="s">
        <v>505</v>
      </c>
      <c r="B260" t="s">
        <v>13</v>
      </c>
      <c r="C260">
        <v>45966</v>
      </c>
      <c r="D260">
        <v>46022</v>
      </c>
      <c r="E260" t="s">
        <v>744</v>
      </c>
      <c r="F260" t="s">
        <v>14</v>
      </c>
      <c r="G260">
        <v>13070247</v>
      </c>
      <c r="H260" t="s">
        <v>506</v>
      </c>
      <c r="I260">
        <v>98390119</v>
      </c>
      <c r="J260" t="s">
        <v>14</v>
      </c>
      <c r="K260" t="s">
        <v>63</v>
      </c>
      <c r="L260">
        <v>0</v>
      </c>
      <c r="M260">
        <v>9460000</v>
      </c>
      <c r="N260" t="s">
        <v>704</v>
      </c>
      <c r="O260">
        <v>9460000</v>
      </c>
    </row>
    <row r="261" spans="1:15" x14ac:dyDescent="0.25">
      <c r="A261" t="s">
        <v>634</v>
      </c>
      <c r="B261" t="s">
        <v>13</v>
      </c>
      <c r="C261">
        <v>45966</v>
      </c>
      <c r="D261">
        <v>46022</v>
      </c>
      <c r="E261" t="s">
        <v>815</v>
      </c>
      <c r="F261" t="s">
        <v>14</v>
      </c>
      <c r="G261">
        <v>1010099104</v>
      </c>
      <c r="H261" t="s">
        <v>635</v>
      </c>
      <c r="I261">
        <v>98390119</v>
      </c>
      <c r="J261" t="s">
        <v>14</v>
      </c>
      <c r="K261" t="s">
        <v>63</v>
      </c>
      <c r="L261">
        <v>0</v>
      </c>
      <c r="M261">
        <v>6300000</v>
      </c>
      <c r="N261" t="s">
        <v>704</v>
      </c>
      <c r="O261">
        <v>6300000</v>
      </c>
    </row>
    <row r="262" spans="1:15" x14ac:dyDescent="0.25">
      <c r="A262" t="s">
        <v>454</v>
      </c>
      <c r="B262" t="s">
        <v>13</v>
      </c>
      <c r="C262">
        <v>45966</v>
      </c>
      <c r="D262">
        <v>46022</v>
      </c>
      <c r="E262" t="s">
        <v>749</v>
      </c>
      <c r="F262" t="s">
        <v>14</v>
      </c>
      <c r="G262">
        <v>1233193848</v>
      </c>
      <c r="H262" t="s">
        <v>455</v>
      </c>
      <c r="I262">
        <v>43624414</v>
      </c>
      <c r="J262" t="s">
        <v>14</v>
      </c>
      <c r="K262" t="s">
        <v>18</v>
      </c>
      <c r="L262">
        <v>0</v>
      </c>
      <c r="M262">
        <v>15600000</v>
      </c>
      <c r="N262" t="s">
        <v>704</v>
      </c>
      <c r="O262">
        <v>15600000</v>
      </c>
    </row>
    <row r="263" spans="1:15" x14ac:dyDescent="0.25">
      <c r="A263" t="s">
        <v>332</v>
      </c>
      <c r="B263" t="s">
        <v>13</v>
      </c>
      <c r="C263">
        <v>45966</v>
      </c>
      <c r="D263">
        <v>46022</v>
      </c>
      <c r="E263" t="s">
        <v>762</v>
      </c>
      <c r="F263" t="s">
        <v>14</v>
      </c>
      <c r="G263">
        <v>1088216350</v>
      </c>
      <c r="H263" t="s">
        <v>333</v>
      </c>
      <c r="I263">
        <v>43624414</v>
      </c>
      <c r="J263" t="s">
        <v>14</v>
      </c>
      <c r="K263" t="s">
        <v>18</v>
      </c>
      <c r="L263">
        <v>0</v>
      </c>
      <c r="M263">
        <v>6300000</v>
      </c>
      <c r="N263" t="s">
        <v>704</v>
      </c>
      <c r="O263">
        <v>6300000</v>
      </c>
    </row>
    <row r="264" spans="1:15" x14ac:dyDescent="0.25">
      <c r="A264" t="s">
        <v>304</v>
      </c>
      <c r="B264" t="s">
        <v>13</v>
      </c>
      <c r="C264">
        <v>45966</v>
      </c>
      <c r="D264">
        <v>46022</v>
      </c>
      <c r="E264" t="s">
        <v>715</v>
      </c>
      <c r="F264" t="s">
        <v>14</v>
      </c>
      <c r="G264">
        <v>37083933</v>
      </c>
      <c r="H264" t="s">
        <v>305</v>
      </c>
      <c r="I264">
        <v>43624414</v>
      </c>
      <c r="J264" t="s">
        <v>14</v>
      </c>
      <c r="K264" t="s">
        <v>18</v>
      </c>
      <c r="L264">
        <v>0</v>
      </c>
      <c r="M264">
        <v>4000000</v>
      </c>
      <c r="N264" t="s">
        <v>704</v>
      </c>
      <c r="O264">
        <v>4000000</v>
      </c>
    </row>
    <row r="265" spans="1:15" x14ac:dyDescent="0.25">
      <c r="A265" t="s">
        <v>307</v>
      </c>
      <c r="B265" t="s">
        <v>13</v>
      </c>
      <c r="C265">
        <v>45966</v>
      </c>
      <c r="D265">
        <v>46022</v>
      </c>
      <c r="E265" t="s">
        <v>754</v>
      </c>
      <c r="F265" t="s">
        <v>14</v>
      </c>
      <c r="G265">
        <v>1085254153</v>
      </c>
      <c r="H265" t="s">
        <v>308</v>
      </c>
      <c r="I265">
        <v>59836926</v>
      </c>
      <c r="J265" t="s">
        <v>14</v>
      </c>
      <c r="K265" t="s">
        <v>17</v>
      </c>
      <c r="L265">
        <v>0</v>
      </c>
      <c r="M265">
        <v>12600000</v>
      </c>
      <c r="N265" t="s">
        <v>704</v>
      </c>
      <c r="O265">
        <v>12600000</v>
      </c>
    </row>
    <row r="266" spans="1:15" x14ac:dyDescent="0.25">
      <c r="A266" t="s">
        <v>520</v>
      </c>
      <c r="B266" t="s">
        <v>13</v>
      </c>
      <c r="C266">
        <v>45966</v>
      </c>
      <c r="D266">
        <v>46022</v>
      </c>
      <c r="E266" t="s">
        <v>795</v>
      </c>
      <c r="F266" t="s">
        <v>14</v>
      </c>
      <c r="G266">
        <v>1010113730</v>
      </c>
      <c r="H266" t="s">
        <v>521</v>
      </c>
      <c r="I266">
        <v>43624414</v>
      </c>
      <c r="J266" t="s">
        <v>14</v>
      </c>
      <c r="K266" t="s">
        <v>18</v>
      </c>
      <c r="L266">
        <v>0</v>
      </c>
      <c r="M266">
        <v>4000000</v>
      </c>
      <c r="N266" t="s">
        <v>704</v>
      </c>
      <c r="O266">
        <v>4000000</v>
      </c>
    </row>
    <row r="267" spans="1:15" x14ac:dyDescent="0.25">
      <c r="A267" t="s">
        <v>359</v>
      </c>
      <c r="B267" t="s">
        <v>13</v>
      </c>
      <c r="C267">
        <v>45965</v>
      </c>
      <c r="D267">
        <v>46022</v>
      </c>
      <c r="E267" t="s">
        <v>715</v>
      </c>
      <c r="F267" t="s">
        <v>14</v>
      </c>
      <c r="G267">
        <v>1085281545</v>
      </c>
      <c r="H267" t="s">
        <v>360</v>
      </c>
      <c r="I267">
        <v>98333941</v>
      </c>
      <c r="J267" t="s">
        <v>14</v>
      </c>
      <c r="K267" t="s">
        <v>15</v>
      </c>
      <c r="L267">
        <v>0</v>
      </c>
      <c r="M267">
        <v>4000000</v>
      </c>
      <c r="N267" t="s">
        <v>704</v>
      </c>
      <c r="O267">
        <v>4000000</v>
      </c>
    </row>
    <row r="268" spans="1:15" x14ac:dyDescent="0.25">
      <c r="A268" t="s">
        <v>539</v>
      </c>
      <c r="B268" t="s">
        <v>13</v>
      </c>
      <c r="C268">
        <v>45965</v>
      </c>
      <c r="D268">
        <v>46022</v>
      </c>
      <c r="E268" t="s">
        <v>798</v>
      </c>
      <c r="F268" t="s">
        <v>14</v>
      </c>
      <c r="G268">
        <v>1081274779</v>
      </c>
      <c r="H268" t="s">
        <v>540</v>
      </c>
      <c r="I268">
        <v>59836926</v>
      </c>
      <c r="J268" t="s">
        <v>14</v>
      </c>
      <c r="K268" t="s">
        <v>17</v>
      </c>
      <c r="L268">
        <v>2000000</v>
      </c>
      <c r="M268">
        <v>4000000</v>
      </c>
      <c r="N268" t="s">
        <v>704</v>
      </c>
      <c r="O268">
        <v>2000000</v>
      </c>
    </row>
    <row r="269" spans="1:15" x14ac:dyDescent="0.25">
      <c r="A269" t="s">
        <v>659</v>
      </c>
      <c r="B269" t="s">
        <v>13</v>
      </c>
      <c r="C269">
        <v>45965</v>
      </c>
      <c r="D269">
        <v>46022</v>
      </c>
      <c r="E269" t="s">
        <v>720</v>
      </c>
      <c r="F269" t="s">
        <v>14</v>
      </c>
      <c r="G269">
        <v>59830040</v>
      </c>
      <c r="H269" t="s">
        <v>76</v>
      </c>
      <c r="I269">
        <v>43624414</v>
      </c>
      <c r="J269" t="s">
        <v>14</v>
      </c>
      <c r="K269" t="s">
        <v>18</v>
      </c>
      <c r="L269">
        <v>0</v>
      </c>
      <c r="M269">
        <v>6300000</v>
      </c>
      <c r="N269" t="s">
        <v>704</v>
      </c>
      <c r="O269">
        <v>6300000</v>
      </c>
    </row>
    <row r="270" spans="1:15" x14ac:dyDescent="0.25">
      <c r="A270" t="s">
        <v>165</v>
      </c>
      <c r="B270" t="s">
        <v>13</v>
      </c>
      <c r="C270">
        <v>45965</v>
      </c>
      <c r="D270">
        <v>46022</v>
      </c>
      <c r="E270" t="s">
        <v>715</v>
      </c>
      <c r="F270" t="s">
        <v>14</v>
      </c>
      <c r="G270">
        <v>1085275445</v>
      </c>
      <c r="H270" t="s">
        <v>166</v>
      </c>
      <c r="I270">
        <v>98390119</v>
      </c>
      <c r="J270" t="s">
        <v>14</v>
      </c>
      <c r="K270" t="s">
        <v>63</v>
      </c>
      <c r="L270">
        <v>0</v>
      </c>
      <c r="M270">
        <v>4000000</v>
      </c>
      <c r="N270" t="s">
        <v>704</v>
      </c>
      <c r="O270">
        <v>4000000</v>
      </c>
    </row>
    <row r="271" spans="1:15" x14ac:dyDescent="0.25">
      <c r="A271" t="s">
        <v>207</v>
      </c>
      <c r="B271" t="s">
        <v>13</v>
      </c>
      <c r="C271">
        <v>45965</v>
      </c>
      <c r="D271">
        <v>46022</v>
      </c>
      <c r="E271" t="s">
        <v>715</v>
      </c>
      <c r="F271" t="s">
        <v>14</v>
      </c>
      <c r="G271">
        <v>1085268450</v>
      </c>
      <c r="H271" t="s">
        <v>208</v>
      </c>
      <c r="I271">
        <v>43624414</v>
      </c>
      <c r="J271" t="s">
        <v>14</v>
      </c>
      <c r="K271" t="s">
        <v>18</v>
      </c>
      <c r="L271">
        <v>0</v>
      </c>
      <c r="M271">
        <v>4000000</v>
      </c>
      <c r="N271" t="s">
        <v>704</v>
      </c>
      <c r="O271">
        <v>4000000</v>
      </c>
    </row>
    <row r="272" spans="1:15" x14ac:dyDescent="0.25">
      <c r="A272" t="s">
        <v>361</v>
      </c>
      <c r="B272" t="s">
        <v>13</v>
      </c>
      <c r="C272">
        <v>45965</v>
      </c>
      <c r="D272">
        <v>46022</v>
      </c>
      <c r="E272" t="s">
        <v>764</v>
      </c>
      <c r="F272" t="s">
        <v>14</v>
      </c>
      <c r="G272">
        <v>1085338921</v>
      </c>
      <c r="H272" t="s">
        <v>362</v>
      </c>
      <c r="I272">
        <v>98390119</v>
      </c>
      <c r="J272" t="s">
        <v>14</v>
      </c>
      <c r="K272" t="s">
        <v>63</v>
      </c>
      <c r="L272">
        <v>0</v>
      </c>
      <c r="M272">
        <v>6300000</v>
      </c>
      <c r="N272" t="s">
        <v>704</v>
      </c>
      <c r="O272">
        <v>6300000</v>
      </c>
    </row>
    <row r="273" spans="1:15" x14ac:dyDescent="0.25">
      <c r="A273" t="s">
        <v>88</v>
      </c>
      <c r="B273" t="s">
        <v>13</v>
      </c>
      <c r="C273">
        <v>45965</v>
      </c>
      <c r="D273">
        <v>46022</v>
      </c>
      <c r="E273" t="s">
        <v>705</v>
      </c>
      <c r="F273" t="s">
        <v>14</v>
      </c>
      <c r="G273">
        <v>1086328142</v>
      </c>
      <c r="H273" t="s">
        <v>85</v>
      </c>
      <c r="I273">
        <v>43624414</v>
      </c>
      <c r="J273" t="s">
        <v>14</v>
      </c>
      <c r="K273" t="s">
        <v>18</v>
      </c>
      <c r="L273">
        <v>0</v>
      </c>
      <c r="M273">
        <v>6300000</v>
      </c>
      <c r="N273" t="s">
        <v>704</v>
      </c>
      <c r="O273">
        <v>6300000</v>
      </c>
    </row>
    <row r="274" spans="1:15" x14ac:dyDescent="0.25">
      <c r="A274" t="s">
        <v>182</v>
      </c>
      <c r="B274" t="s">
        <v>13</v>
      </c>
      <c r="C274">
        <v>45965</v>
      </c>
      <c r="D274">
        <v>46022</v>
      </c>
      <c r="E274" t="s">
        <v>733</v>
      </c>
      <c r="F274" t="s">
        <v>14</v>
      </c>
      <c r="G274">
        <v>59815593</v>
      </c>
      <c r="H274" t="s">
        <v>183</v>
      </c>
      <c r="I274">
        <v>98333941</v>
      </c>
      <c r="J274" t="s">
        <v>14</v>
      </c>
      <c r="K274" t="s">
        <v>15</v>
      </c>
      <c r="L274">
        <v>0</v>
      </c>
      <c r="M274">
        <v>4000000</v>
      </c>
      <c r="N274" t="s">
        <v>704</v>
      </c>
      <c r="O274">
        <v>4000000</v>
      </c>
    </row>
    <row r="275" spans="1:15" x14ac:dyDescent="0.25">
      <c r="A275" t="s">
        <v>117</v>
      </c>
      <c r="B275" t="s">
        <v>13</v>
      </c>
      <c r="C275">
        <v>45965</v>
      </c>
      <c r="D275">
        <v>46022</v>
      </c>
      <c r="E275" t="s">
        <v>711</v>
      </c>
      <c r="F275" t="s">
        <v>14</v>
      </c>
      <c r="G275">
        <v>1084224968</v>
      </c>
      <c r="H275" t="s">
        <v>118</v>
      </c>
      <c r="I275">
        <v>98390119</v>
      </c>
      <c r="J275" t="s">
        <v>14</v>
      </c>
      <c r="K275" t="s">
        <v>63</v>
      </c>
      <c r="L275">
        <v>0</v>
      </c>
      <c r="M275">
        <v>6300000</v>
      </c>
      <c r="N275" t="s">
        <v>704</v>
      </c>
      <c r="O275">
        <v>6300000</v>
      </c>
    </row>
    <row r="276" spans="1:15" x14ac:dyDescent="0.25">
      <c r="A276" t="s">
        <v>517</v>
      </c>
      <c r="B276" t="s">
        <v>13</v>
      </c>
      <c r="C276">
        <v>45965</v>
      </c>
      <c r="D276">
        <v>46022</v>
      </c>
      <c r="E276" t="s">
        <v>720</v>
      </c>
      <c r="F276" t="s">
        <v>14</v>
      </c>
      <c r="G276">
        <v>1085344795</v>
      </c>
      <c r="H276" t="s">
        <v>79</v>
      </c>
      <c r="I276">
        <v>43624414</v>
      </c>
      <c r="J276" t="s">
        <v>14</v>
      </c>
      <c r="K276" t="s">
        <v>18</v>
      </c>
      <c r="L276">
        <v>0</v>
      </c>
      <c r="M276">
        <v>6300000</v>
      </c>
      <c r="N276" t="s">
        <v>704</v>
      </c>
      <c r="O276">
        <v>6300000</v>
      </c>
    </row>
    <row r="277" spans="1:15" x14ac:dyDescent="0.25">
      <c r="A277" t="s">
        <v>129</v>
      </c>
      <c r="B277" t="s">
        <v>13</v>
      </c>
      <c r="C277">
        <v>45965</v>
      </c>
      <c r="D277">
        <v>46022</v>
      </c>
      <c r="E277" t="s">
        <v>721</v>
      </c>
      <c r="F277" t="s">
        <v>14</v>
      </c>
      <c r="G277">
        <v>36757715</v>
      </c>
      <c r="H277" t="s">
        <v>130</v>
      </c>
      <c r="I277">
        <v>98390119</v>
      </c>
      <c r="J277" t="s">
        <v>14</v>
      </c>
      <c r="K277" t="s">
        <v>63</v>
      </c>
      <c r="L277">
        <v>0</v>
      </c>
      <c r="M277">
        <v>4000000</v>
      </c>
      <c r="N277" t="s">
        <v>704</v>
      </c>
      <c r="O277">
        <v>4000000</v>
      </c>
    </row>
    <row r="278" spans="1:15" x14ac:dyDescent="0.25">
      <c r="A278" t="s">
        <v>272</v>
      </c>
      <c r="B278" t="s">
        <v>13</v>
      </c>
      <c r="C278">
        <v>45965</v>
      </c>
      <c r="D278">
        <v>46022</v>
      </c>
      <c r="E278" t="s">
        <v>728</v>
      </c>
      <c r="F278" t="s">
        <v>14</v>
      </c>
      <c r="G278">
        <v>1085266584</v>
      </c>
      <c r="H278" t="s">
        <v>71</v>
      </c>
      <c r="I278">
        <v>59836926</v>
      </c>
      <c r="J278" t="s">
        <v>14</v>
      </c>
      <c r="K278" t="s">
        <v>17</v>
      </c>
      <c r="L278">
        <v>0</v>
      </c>
      <c r="M278">
        <v>6300000</v>
      </c>
      <c r="N278" t="s">
        <v>704</v>
      </c>
      <c r="O278">
        <v>6300000</v>
      </c>
    </row>
    <row r="279" spans="1:15" x14ac:dyDescent="0.25">
      <c r="A279" t="s">
        <v>452</v>
      </c>
      <c r="B279" t="s">
        <v>13</v>
      </c>
      <c r="C279">
        <v>45965</v>
      </c>
      <c r="D279">
        <v>46022</v>
      </c>
      <c r="E279" t="s">
        <v>787</v>
      </c>
      <c r="F279" t="s">
        <v>14</v>
      </c>
      <c r="G279">
        <v>98391531</v>
      </c>
      <c r="H279" t="s">
        <v>453</v>
      </c>
      <c r="I279">
        <v>43624414</v>
      </c>
      <c r="J279" t="s">
        <v>14</v>
      </c>
      <c r="K279" t="s">
        <v>18</v>
      </c>
      <c r="L279">
        <v>0</v>
      </c>
      <c r="M279">
        <v>6300000</v>
      </c>
      <c r="N279" t="s">
        <v>704</v>
      </c>
      <c r="O279">
        <v>6300000</v>
      </c>
    </row>
    <row r="280" spans="1:15" x14ac:dyDescent="0.25">
      <c r="A280" t="s">
        <v>684</v>
      </c>
      <c r="B280" t="s">
        <v>13</v>
      </c>
      <c r="C280">
        <v>45965</v>
      </c>
      <c r="D280">
        <v>46022</v>
      </c>
      <c r="E280" t="s">
        <v>716</v>
      </c>
      <c r="F280" t="s">
        <v>14</v>
      </c>
      <c r="G280">
        <v>1081592769</v>
      </c>
      <c r="H280" t="s">
        <v>685</v>
      </c>
      <c r="I280">
        <v>98390119</v>
      </c>
      <c r="J280" t="s">
        <v>14</v>
      </c>
      <c r="K280" t="s">
        <v>63</v>
      </c>
      <c r="L280">
        <v>0</v>
      </c>
      <c r="M280">
        <v>6300000</v>
      </c>
      <c r="N280" t="s">
        <v>704</v>
      </c>
      <c r="O280">
        <v>6300000</v>
      </c>
    </row>
    <row r="281" spans="1:15" x14ac:dyDescent="0.25">
      <c r="A281" t="s">
        <v>120</v>
      </c>
      <c r="B281" t="s">
        <v>13</v>
      </c>
      <c r="C281">
        <v>45965</v>
      </c>
      <c r="D281">
        <v>46022</v>
      </c>
      <c r="E281" t="s">
        <v>705</v>
      </c>
      <c r="F281" t="s">
        <v>14</v>
      </c>
      <c r="G281">
        <v>1085286742</v>
      </c>
      <c r="H281" t="s">
        <v>37</v>
      </c>
      <c r="I281">
        <v>98390119</v>
      </c>
      <c r="J281" t="s">
        <v>14</v>
      </c>
      <c r="K281" t="s">
        <v>63</v>
      </c>
      <c r="L281">
        <v>0</v>
      </c>
      <c r="M281">
        <v>6300000</v>
      </c>
      <c r="N281" t="s">
        <v>704</v>
      </c>
      <c r="O281">
        <v>6300000</v>
      </c>
    </row>
    <row r="282" spans="1:15" x14ac:dyDescent="0.25">
      <c r="A282" t="s">
        <v>313</v>
      </c>
      <c r="B282" t="s">
        <v>13</v>
      </c>
      <c r="C282">
        <v>45960</v>
      </c>
      <c r="D282">
        <v>46022</v>
      </c>
      <c r="E282" t="s">
        <v>756</v>
      </c>
      <c r="F282" t="s">
        <v>14</v>
      </c>
      <c r="G282">
        <v>1085331558</v>
      </c>
      <c r="H282" t="s">
        <v>314</v>
      </c>
      <c r="I282">
        <v>98390119</v>
      </c>
      <c r="J282" t="s">
        <v>14</v>
      </c>
      <c r="K282" t="s">
        <v>63</v>
      </c>
      <c r="L282">
        <v>0</v>
      </c>
      <c r="M282">
        <v>6300000</v>
      </c>
      <c r="N282" t="s">
        <v>704</v>
      </c>
      <c r="O282">
        <v>6300000</v>
      </c>
    </row>
    <row r="283" spans="1:15" x14ac:dyDescent="0.25">
      <c r="A283" t="s">
        <v>292</v>
      </c>
      <c r="B283" t="s">
        <v>13</v>
      </c>
      <c r="C283">
        <v>45960</v>
      </c>
      <c r="D283">
        <v>46022</v>
      </c>
      <c r="E283" t="s">
        <v>720</v>
      </c>
      <c r="F283" t="s">
        <v>14</v>
      </c>
      <c r="G283">
        <v>1233191359</v>
      </c>
      <c r="H283" t="s">
        <v>293</v>
      </c>
      <c r="I283">
        <v>98390119</v>
      </c>
      <c r="J283" t="s">
        <v>14</v>
      </c>
      <c r="K283" t="s">
        <v>63</v>
      </c>
      <c r="L283">
        <v>0</v>
      </c>
      <c r="M283">
        <v>6300000</v>
      </c>
      <c r="N283" t="s">
        <v>704</v>
      </c>
      <c r="O283">
        <v>6300000</v>
      </c>
    </row>
    <row r="284" spans="1:15" x14ac:dyDescent="0.25">
      <c r="A284" t="s">
        <v>160</v>
      </c>
      <c r="B284" t="s">
        <v>13</v>
      </c>
      <c r="C284">
        <v>45960</v>
      </c>
      <c r="D284">
        <v>46022</v>
      </c>
      <c r="E284" t="s">
        <v>720</v>
      </c>
      <c r="F284" t="s">
        <v>14</v>
      </c>
      <c r="G284">
        <v>1086018841</v>
      </c>
      <c r="H284" t="s">
        <v>161</v>
      </c>
      <c r="I284">
        <v>43624414</v>
      </c>
      <c r="J284" t="s">
        <v>14</v>
      </c>
      <c r="K284" t="s">
        <v>18</v>
      </c>
      <c r="L284">
        <v>0</v>
      </c>
      <c r="M284">
        <v>6300000</v>
      </c>
      <c r="N284" t="s">
        <v>704</v>
      </c>
      <c r="O284">
        <v>6300000</v>
      </c>
    </row>
    <row r="285" spans="1:15" x14ac:dyDescent="0.25">
      <c r="A285" t="s">
        <v>339</v>
      </c>
      <c r="B285" t="s">
        <v>13</v>
      </c>
      <c r="C285">
        <v>45960</v>
      </c>
      <c r="D285">
        <v>46022</v>
      </c>
      <c r="E285" t="s">
        <v>705</v>
      </c>
      <c r="F285" t="s">
        <v>14</v>
      </c>
      <c r="G285">
        <v>1085270448</v>
      </c>
      <c r="H285" t="s">
        <v>340</v>
      </c>
      <c r="I285">
        <v>98390119</v>
      </c>
      <c r="J285" t="s">
        <v>14</v>
      </c>
      <c r="K285" t="s">
        <v>63</v>
      </c>
      <c r="L285">
        <v>0</v>
      </c>
      <c r="M285">
        <v>6300000</v>
      </c>
      <c r="N285" t="s">
        <v>704</v>
      </c>
      <c r="O285">
        <v>6300000</v>
      </c>
    </row>
    <row r="286" spans="1:15" x14ac:dyDescent="0.25">
      <c r="A286" t="s">
        <v>317</v>
      </c>
      <c r="B286" t="s">
        <v>13</v>
      </c>
      <c r="C286">
        <v>45951</v>
      </c>
      <c r="D286">
        <v>45981</v>
      </c>
      <c r="E286" t="s">
        <v>757</v>
      </c>
      <c r="F286" t="s">
        <v>83</v>
      </c>
      <c r="G286">
        <v>901329717</v>
      </c>
      <c r="H286" t="s">
        <v>318</v>
      </c>
      <c r="I286">
        <v>36759470</v>
      </c>
      <c r="J286" t="s">
        <v>14</v>
      </c>
      <c r="K286" t="s">
        <v>319</v>
      </c>
      <c r="L286">
        <v>216656524.10000002</v>
      </c>
      <c r="M286">
        <v>144437683</v>
      </c>
      <c r="N286" t="s">
        <v>704</v>
      </c>
      <c r="O286">
        <f>M286-L286</f>
        <v>-72218841.100000024</v>
      </c>
    </row>
    <row r="287" spans="1:15" x14ac:dyDescent="0.25">
      <c r="A287" t="s">
        <v>386</v>
      </c>
      <c r="B287" t="s">
        <v>13</v>
      </c>
      <c r="C287">
        <v>45950</v>
      </c>
      <c r="D287">
        <v>46015</v>
      </c>
      <c r="E287" t="s">
        <v>720</v>
      </c>
      <c r="F287" t="s">
        <v>14</v>
      </c>
      <c r="G287">
        <v>1193271854</v>
      </c>
      <c r="H287" t="s">
        <v>24</v>
      </c>
      <c r="I287">
        <v>98390119</v>
      </c>
      <c r="J287" t="s">
        <v>14</v>
      </c>
      <c r="K287" t="s">
        <v>63</v>
      </c>
      <c r="L287">
        <v>0</v>
      </c>
      <c r="M287">
        <v>6720000</v>
      </c>
      <c r="N287" t="s">
        <v>704</v>
      </c>
      <c r="O287">
        <v>6720000</v>
      </c>
    </row>
    <row r="288" spans="1:15" x14ac:dyDescent="0.25">
      <c r="A288" t="s">
        <v>172</v>
      </c>
      <c r="B288" t="s">
        <v>13</v>
      </c>
      <c r="C288">
        <v>45947</v>
      </c>
      <c r="D288">
        <v>46022</v>
      </c>
      <c r="E288" t="s">
        <v>731</v>
      </c>
      <c r="F288" t="s">
        <v>14</v>
      </c>
      <c r="G288">
        <v>59834953</v>
      </c>
      <c r="H288" t="s">
        <v>35</v>
      </c>
      <c r="I288">
        <v>98390119</v>
      </c>
      <c r="J288" t="s">
        <v>14</v>
      </c>
      <c r="K288" t="s">
        <v>63</v>
      </c>
      <c r="L288">
        <v>1575000</v>
      </c>
      <c r="M288">
        <v>7875000</v>
      </c>
      <c r="N288" t="s">
        <v>704</v>
      </c>
      <c r="O288">
        <v>6300000</v>
      </c>
    </row>
    <row r="289" spans="1:15" x14ac:dyDescent="0.25">
      <c r="A289" t="s">
        <v>249</v>
      </c>
      <c r="B289" t="s">
        <v>13</v>
      </c>
      <c r="C289">
        <v>45947</v>
      </c>
      <c r="D289">
        <v>46022</v>
      </c>
      <c r="E289" t="s">
        <v>250</v>
      </c>
      <c r="F289" t="s">
        <v>83</v>
      </c>
      <c r="G289">
        <v>900991717</v>
      </c>
      <c r="H289" t="s">
        <v>251</v>
      </c>
      <c r="I289">
        <v>87248313</v>
      </c>
      <c r="J289" t="s">
        <v>14</v>
      </c>
      <c r="K289" t="s">
        <v>252</v>
      </c>
      <c r="L289">
        <v>0</v>
      </c>
      <c r="M289">
        <v>5357200</v>
      </c>
      <c r="N289" t="s">
        <v>704</v>
      </c>
      <c r="O289">
        <f>M289-L289</f>
        <v>5357200</v>
      </c>
    </row>
    <row r="290" spans="1:15" x14ac:dyDescent="0.25">
      <c r="A290" t="s">
        <v>469</v>
      </c>
      <c r="B290" t="s">
        <v>13</v>
      </c>
      <c r="C290">
        <v>45946</v>
      </c>
      <c r="D290">
        <v>46022</v>
      </c>
      <c r="E290" t="s">
        <v>720</v>
      </c>
      <c r="F290" t="s">
        <v>14</v>
      </c>
      <c r="G290">
        <v>59813323</v>
      </c>
      <c r="H290" t="s">
        <v>74</v>
      </c>
      <c r="I290">
        <v>59836926</v>
      </c>
      <c r="J290" t="s">
        <v>14</v>
      </c>
      <c r="K290" t="s">
        <v>17</v>
      </c>
      <c r="L290">
        <v>1575000</v>
      </c>
      <c r="M290">
        <v>7875000</v>
      </c>
      <c r="N290" t="s">
        <v>704</v>
      </c>
      <c r="O290">
        <v>6300000</v>
      </c>
    </row>
    <row r="291" spans="1:15" x14ac:dyDescent="0.25">
      <c r="A291" t="s">
        <v>209</v>
      </c>
      <c r="B291" t="s">
        <v>13</v>
      </c>
      <c r="C291">
        <v>45946</v>
      </c>
      <c r="D291">
        <v>46022</v>
      </c>
      <c r="E291" t="s">
        <v>740</v>
      </c>
      <c r="F291" t="s">
        <v>14</v>
      </c>
      <c r="G291">
        <v>27252200</v>
      </c>
      <c r="H291" t="s">
        <v>210</v>
      </c>
      <c r="I291">
        <v>59836926</v>
      </c>
      <c r="J291" t="s">
        <v>14</v>
      </c>
      <c r="K291" t="s">
        <v>17</v>
      </c>
      <c r="L291">
        <v>3150000</v>
      </c>
      <c r="M291">
        <v>15750000</v>
      </c>
      <c r="N291" t="s">
        <v>704</v>
      </c>
      <c r="O291">
        <v>12600000</v>
      </c>
    </row>
    <row r="292" spans="1:15" x14ac:dyDescent="0.25">
      <c r="A292" t="s">
        <v>484</v>
      </c>
      <c r="B292" t="s">
        <v>13</v>
      </c>
      <c r="C292">
        <v>45946</v>
      </c>
      <c r="D292">
        <v>46022</v>
      </c>
      <c r="E292" t="s">
        <v>764</v>
      </c>
      <c r="F292" t="s">
        <v>14</v>
      </c>
      <c r="G292">
        <v>1193405962</v>
      </c>
      <c r="H292" t="s">
        <v>485</v>
      </c>
      <c r="I292">
        <v>59836926</v>
      </c>
      <c r="J292" t="s">
        <v>14</v>
      </c>
      <c r="K292" t="s">
        <v>17</v>
      </c>
      <c r="L292">
        <v>4725000</v>
      </c>
      <c r="M292">
        <v>7875000</v>
      </c>
      <c r="N292" t="s">
        <v>704</v>
      </c>
      <c r="O292">
        <v>3150000</v>
      </c>
    </row>
    <row r="293" spans="1:15" x14ac:dyDescent="0.25">
      <c r="A293" t="s">
        <v>404</v>
      </c>
      <c r="B293" t="s">
        <v>13</v>
      </c>
      <c r="C293">
        <v>45946</v>
      </c>
      <c r="D293">
        <v>46022</v>
      </c>
      <c r="E293" t="s">
        <v>773</v>
      </c>
      <c r="F293" t="s">
        <v>14</v>
      </c>
      <c r="G293">
        <v>1085327677</v>
      </c>
      <c r="H293" t="s">
        <v>405</v>
      </c>
      <c r="I293">
        <v>43624414</v>
      </c>
      <c r="J293" t="s">
        <v>14</v>
      </c>
      <c r="K293" t="s">
        <v>18</v>
      </c>
      <c r="L293">
        <v>1575000</v>
      </c>
      <c r="M293">
        <v>7875000</v>
      </c>
      <c r="N293" t="s">
        <v>704</v>
      </c>
      <c r="O293">
        <v>6300000</v>
      </c>
    </row>
    <row r="294" spans="1:15" x14ac:dyDescent="0.25">
      <c r="A294" t="s">
        <v>682</v>
      </c>
      <c r="B294" t="s">
        <v>13</v>
      </c>
      <c r="C294">
        <v>45946</v>
      </c>
      <c r="D294">
        <v>46022</v>
      </c>
      <c r="E294" t="s">
        <v>716</v>
      </c>
      <c r="F294" t="s">
        <v>14</v>
      </c>
      <c r="G294">
        <v>36950892</v>
      </c>
      <c r="H294" t="s">
        <v>683</v>
      </c>
      <c r="I294">
        <v>59836926</v>
      </c>
      <c r="J294" t="s">
        <v>14</v>
      </c>
      <c r="K294" t="s">
        <v>17</v>
      </c>
      <c r="L294">
        <v>4725000</v>
      </c>
      <c r="M294">
        <v>7875000</v>
      </c>
      <c r="N294" t="s">
        <v>704</v>
      </c>
      <c r="O294">
        <v>3150000</v>
      </c>
    </row>
    <row r="295" spans="1:15" x14ac:dyDescent="0.25">
      <c r="A295" t="s">
        <v>591</v>
      </c>
      <c r="B295" t="s">
        <v>13</v>
      </c>
      <c r="C295">
        <v>45946</v>
      </c>
      <c r="D295">
        <v>46022</v>
      </c>
      <c r="E295" t="s">
        <v>784</v>
      </c>
      <c r="F295" t="s">
        <v>14</v>
      </c>
      <c r="G295">
        <v>1085335069</v>
      </c>
      <c r="H295" t="s">
        <v>592</v>
      </c>
      <c r="I295">
        <v>98390119</v>
      </c>
      <c r="J295" t="s">
        <v>14</v>
      </c>
      <c r="K295" t="s">
        <v>63</v>
      </c>
      <c r="L295">
        <v>2365000</v>
      </c>
      <c r="M295">
        <v>11825000</v>
      </c>
      <c r="N295" t="s">
        <v>704</v>
      </c>
      <c r="O295">
        <v>9460000</v>
      </c>
    </row>
    <row r="296" spans="1:15" x14ac:dyDescent="0.25">
      <c r="A296" t="s">
        <v>551</v>
      </c>
      <c r="B296" t="s">
        <v>13</v>
      </c>
      <c r="C296">
        <v>45946</v>
      </c>
      <c r="D296">
        <v>46022</v>
      </c>
      <c r="E296" t="s">
        <v>801</v>
      </c>
      <c r="F296" t="s">
        <v>14</v>
      </c>
      <c r="G296">
        <v>1086329800</v>
      </c>
      <c r="H296" t="s">
        <v>552</v>
      </c>
      <c r="I296">
        <v>59836926</v>
      </c>
      <c r="J296" t="s">
        <v>14</v>
      </c>
      <c r="K296" t="s">
        <v>17</v>
      </c>
      <c r="L296">
        <v>1575000</v>
      </c>
      <c r="M296">
        <v>7875000</v>
      </c>
      <c r="N296" t="s">
        <v>704</v>
      </c>
      <c r="O296">
        <v>6300000</v>
      </c>
    </row>
    <row r="297" spans="1:15" x14ac:dyDescent="0.25">
      <c r="A297" t="s">
        <v>467</v>
      </c>
      <c r="B297" t="s">
        <v>13</v>
      </c>
      <c r="C297">
        <v>45946</v>
      </c>
      <c r="D297">
        <v>46022</v>
      </c>
      <c r="E297" t="s">
        <v>716</v>
      </c>
      <c r="F297" t="s">
        <v>14</v>
      </c>
      <c r="G297">
        <v>27253636</v>
      </c>
      <c r="H297" t="s">
        <v>468</v>
      </c>
      <c r="I297">
        <v>98390119</v>
      </c>
      <c r="J297" t="s">
        <v>14</v>
      </c>
      <c r="K297" t="s">
        <v>63</v>
      </c>
      <c r="L297">
        <v>1575000</v>
      </c>
      <c r="M297">
        <v>7875000</v>
      </c>
      <c r="N297" t="s">
        <v>704</v>
      </c>
      <c r="O297">
        <v>6300000</v>
      </c>
    </row>
    <row r="298" spans="1:15" x14ac:dyDescent="0.25">
      <c r="A298" t="s">
        <v>222</v>
      </c>
      <c r="B298" t="s">
        <v>13</v>
      </c>
      <c r="C298">
        <v>45946</v>
      </c>
      <c r="D298">
        <v>46022</v>
      </c>
      <c r="E298" t="s">
        <v>745</v>
      </c>
      <c r="F298" t="s">
        <v>14</v>
      </c>
      <c r="G298">
        <v>1085278004</v>
      </c>
      <c r="H298" t="s">
        <v>223</v>
      </c>
      <c r="I298">
        <v>59836926</v>
      </c>
      <c r="J298" t="s">
        <v>14</v>
      </c>
      <c r="K298" t="s">
        <v>17</v>
      </c>
      <c r="L298">
        <v>3150000</v>
      </c>
      <c r="M298">
        <v>15750000</v>
      </c>
      <c r="N298" t="s">
        <v>704</v>
      </c>
      <c r="O298">
        <v>12600000</v>
      </c>
    </row>
    <row r="299" spans="1:15" x14ac:dyDescent="0.25">
      <c r="A299" t="s">
        <v>282</v>
      </c>
      <c r="B299" t="s">
        <v>13</v>
      </c>
      <c r="C299">
        <v>45946</v>
      </c>
      <c r="D299">
        <v>46022</v>
      </c>
      <c r="E299" t="s">
        <v>753</v>
      </c>
      <c r="F299" t="s">
        <v>14</v>
      </c>
      <c r="G299">
        <v>27285974</v>
      </c>
      <c r="H299" t="s">
        <v>283</v>
      </c>
      <c r="I299">
        <v>59836926</v>
      </c>
      <c r="J299" t="s">
        <v>14</v>
      </c>
      <c r="K299" t="s">
        <v>17</v>
      </c>
      <c r="L299">
        <v>1575000</v>
      </c>
      <c r="M299">
        <v>7875000</v>
      </c>
      <c r="N299" t="s">
        <v>704</v>
      </c>
      <c r="O299">
        <v>6300000</v>
      </c>
    </row>
    <row r="300" spans="1:15" x14ac:dyDescent="0.25">
      <c r="A300" t="s">
        <v>176</v>
      </c>
      <c r="B300" t="s">
        <v>13</v>
      </c>
      <c r="C300">
        <v>45946</v>
      </c>
      <c r="D300">
        <v>46022</v>
      </c>
      <c r="E300" t="s">
        <v>717</v>
      </c>
      <c r="F300" t="s">
        <v>14</v>
      </c>
      <c r="G300">
        <v>1061794455</v>
      </c>
      <c r="H300" t="s">
        <v>177</v>
      </c>
      <c r="I300">
        <v>59836926</v>
      </c>
      <c r="J300" t="s">
        <v>14</v>
      </c>
      <c r="K300" t="s">
        <v>17</v>
      </c>
      <c r="L300">
        <v>3900000</v>
      </c>
      <c r="M300">
        <v>19500000</v>
      </c>
      <c r="N300" t="s">
        <v>704</v>
      </c>
      <c r="O300">
        <v>15600000</v>
      </c>
    </row>
    <row r="301" spans="1:15" x14ac:dyDescent="0.25">
      <c r="A301" t="s">
        <v>619</v>
      </c>
      <c r="B301" t="s">
        <v>13</v>
      </c>
      <c r="C301">
        <v>45946</v>
      </c>
      <c r="D301">
        <v>46022</v>
      </c>
      <c r="E301" t="s">
        <v>811</v>
      </c>
      <c r="F301" t="s">
        <v>14</v>
      </c>
      <c r="G301">
        <v>1088975658</v>
      </c>
      <c r="H301" t="s">
        <v>620</v>
      </c>
      <c r="I301">
        <v>59836926</v>
      </c>
      <c r="J301" t="s">
        <v>14</v>
      </c>
      <c r="K301" t="s">
        <v>17</v>
      </c>
      <c r="L301">
        <v>1575000</v>
      </c>
      <c r="M301">
        <v>7875000</v>
      </c>
      <c r="N301" t="s">
        <v>704</v>
      </c>
      <c r="O301">
        <v>6300000</v>
      </c>
    </row>
    <row r="302" spans="1:15" x14ac:dyDescent="0.25">
      <c r="A302" t="s">
        <v>138</v>
      </c>
      <c r="B302" t="s">
        <v>13</v>
      </c>
      <c r="C302">
        <v>45946</v>
      </c>
      <c r="D302">
        <v>46022</v>
      </c>
      <c r="E302" t="s">
        <v>720</v>
      </c>
      <c r="F302" t="s">
        <v>14</v>
      </c>
      <c r="G302">
        <v>1080693240</v>
      </c>
      <c r="H302" t="s">
        <v>139</v>
      </c>
      <c r="I302">
        <v>59836926</v>
      </c>
      <c r="J302" t="s">
        <v>14</v>
      </c>
      <c r="K302" t="s">
        <v>17</v>
      </c>
      <c r="L302">
        <v>1575000</v>
      </c>
      <c r="M302">
        <v>7875000</v>
      </c>
      <c r="N302" t="s">
        <v>704</v>
      </c>
      <c r="O302">
        <v>6300000</v>
      </c>
    </row>
    <row r="303" spans="1:15" x14ac:dyDescent="0.25">
      <c r="A303" t="s">
        <v>622</v>
      </c>
      <c r="B303" t="s">
        <v>13</v>
      </c>
      <c r="C303">
        <v>45946</v>
      </c>
      <c r="D303">
        <v>46022</v>
      </c>
      <c r="E303" t="s">
        <v>705</v>
      </c>
      <c r="F303" t="s">
        <v>14</v>
      </c>
      <c r="G303">
        <v>1137089268</v>
      </c>
      <c r="H303" t="s">
        <v>623</v>
      </c>
      <c r="I303">
        <v>59836926</v>
      </c>
      <c r="J303" t="s">
        <v>14</v>
      </c>
      <c r="K303" t="s">
        <v>17</v>
      </c>
      <c r="L303">
        <v>1575000</v>
      </c>
      <c r="M303">
        <v>7875000</v>
      </c>
      <c r="N303" t="s">
        <v>704</v>
      </c>
      <c r="O303">
        <v>6300000</v>
      </c>
    </row>
    <row r="304" spans="1:15" x14ac:dyDescent="0.25">
      <c r="A304" t="s">
        <v>390</v>
      </c>
      <c r="B304" t="s">
        <v>13</v>
      </c>
      <c r="C304">
        <v>45946</v>
      </c>
      <c r="D304">
        <v>46022</v>
      </c>
      <c r="E304" t="s">
        <v>769</v>
      </c>
      <c r="F304" t="s">
        <v>14</v>
      </c>
      <c r="G304">
        <v>98398376</v>
      </c>
      <c r="H304" t="s">
        <v>391</v>
      </c>
      <c r="I304">
        <v>59836926</v>
      </c>
      <c r="J304" t="s">
        <v>14</v>
      </c>
      <c r="K304" t="s">
        <v>17</v>
      </c>
      <c r="L304">
        <v>11700000</v>
      </c>
      <c r="M304">
        <v>19500000</v>
      </c>
      <c r="N304" t="s">
        <v>704</v>
      </c>
      <c r="O304">
        <v>7800000</v>
      </c>
    </row>
    <row r="305" spans="1:15" x14ac:dyDescent="0.25">
      <c r="A305" t="s">
        <v>188</v>
      </c>
      <c r="B305" t="s">
        <v>13</v>
      </c>
      <c r="C305">
        <v>45945</v>
      </c>
      <c r="D305">
        <v>46022</v>
      </c>
      <c r="E305" t="s">
        <v>720</v>
      </c>
      <c r="F305" t="s">
        <v>14</v>
      </c>
      <c r="G305">
        <v>1004343043</v>
      </c>
      <c r="H305" t="s">
        <v>189</v>
      </c>
      <c r="I305">
        <v>98390119</v>
      </c>
      <c r="J305" t="s">
        <v>14</v>
      </c>
      <c r="K305" t="s">
        <v>63</v>
      </c>
      <c r="L305">
        <v>1575000</v>
      </c>
      <c r="M305">
        <v>7875000</v>
      </c>
      <c r="N305" t="s">
        <v>704</v>
      </c>
      <c r="O305">
        <v>6300000</v>
      </c>
    </row>
    <row r="306" spans="1:15" x14ac:dyDescent="0.25">
      <c r="A306" t="s">
        <v>100</v>
      </c>
      <c r="B306" t="s">
        <v>13</v>
      </c>
      <c r="C306">
        <v>45945</v>
      </c>
      <c r="D306">
        <v>46022</v>
      </c>
      <c r="E306" t="s">
        <v>712</v>
      </c>
      <c r="F306" t="s">
        <v>14</v>
      </c>
      <c r="G306">
        <v>87030128</v>
      </c>
      <c r="H306" t="s">
        <v>101</v>
      </c>
      <c r="I306">
        <v>98390119</v>
      </c>
      <c r="J306" t="s">
        <v>14</v>
      </c>
      <c r="K306" t="s">
        <v>63</v>
      </c>
      <c r="L306">
        <v>1575000</v>
      </c>
      <c r="M306">
        <v>7875000</v>
      </c>
      <c r="N306" t="s">
        <v>704</v>
      </c>
      <c r="O306">
        <v>6300000</v>
      </c>
    </row>
    <row r="307" spans="1:15" x14ac:dyDescent="0.25">
      <c r="A307" t="s">
        <v>211</v>
      </c>
      <c r="B307" t="s">
        <v>13</v>
      </c>
      <c r="C307">
        <v>45945</v>
      </c>
      <c r="D307">
        <v>46022</v>
      </c>
      <c r="E307" t="s">
        <v>212</v>
      </c>
      <c r="F307" t="s">
        <v>83</v>
      </c>
      <c r="G307">
        <v>805021222</v>
      </c>
      <c r="H307" t="s">
        <v>81</v>
      </c>
      <c r="I307">
        <v>17658216</v>
      </c>
      <c r="J307" t="s">
        <v>14</v>
      </c>
      <c r="K307" t="s">
        <v>108</v>
      </c>
      <c r="L307">
        <v>51028390</v>
      </c>
      <c r="M307">
        <v>280000000</v>
      </c>
      <c r="N307" t="s">
        <v>704</v>
      </c>
      <c r="O307">
        <f>M307-L307</f>
        <v>228971610</v>
      </c>
    </row>
    <row r="308" spans="1:15" x14ac:dyDescent="0.25">
      <c r="A308" t="s">
        <v>409</v>
      </c>
      <c r="B308" t="s">
        <v>13</v>
      </c>
      <c r="C308">
        <v>45945</v>
      </c>
      <c r="D308">
        <v>46022</v>
      </c>
      <c r="E308" t="s">
        <v>776</v>
      </c>
      <c r="F308" t="s">
        <v>14</v>
      </c>
      <c r="G308">
        <v>87065647</v>
      </c>
      <c r="H308" t="s">
        <v>410</v>
      </c>
      <c r="I308">
        <v>59836926</v>
      </c>
      <c r="J308" t="s">
        <v>14</v>
      </c>
      <c r="K308" t="s">
        <v>17</v>
      </c>
      <c r="L308">
        <v>3900000</v>
      </c>
      <c r="M308">
        <v>19500000</v>
      </c>
      <c r="N308" t="s">
        <v>704</v>
      </c>
      <c r="O308">
        <v>15600000</v>
      </c>
    </row>
    <row r="309" spans="1:15" x14ac:dyDescent="0.25">
      <c r="A309" t="s">
        <v>142</v>
      </c>
      <c r="B309" t="s">
        <v>13</v>
      </c>
      <c r="C309">
        <v>45945</v>
      </c>
      <c r="D309">
        <v>46022</v>
      </c>
      <c r="E309" t="s">
        <v>723</v>
      </c>
      <c r="F309" t="s">
        <v>14</v>
      </c>
      <c r="G309">
        <v>1080040525</v>
      </c>
      <c r="H309" t="s">
        <v>143</v>
      </c>
      <c r="I309">
        <v>98333941</v>
      </c>
      <c r="J309" t="s">
        <v>14</v>
      </c>
      <c r="K309" t="s">
        <v>15</v>
      </c>
      <c r="L309">
        <v>2000000</v>
      </c>
      <c r="M309">
        <v>6000000</v>
      </c>
      <c r="N309" t="s">
        <v>704</v>
      </c>
      <c r="O309">
        <v>4000000</v>
      </c>
    </row>
    <row r="310" spans="1:15" x14ac:dyDescent="0.25">
      <c r="A310" t="s">
        <v>184</v>
      </c>
      <c r="B310" t="s">
        <v>13</v>
      </c>
      <c r="C310">
        <v>45945</v>
      </c>
      <c r="D310">
        <v>46022</v>
      </c>
      <c r="E310" t="s">
        <v>734</v>
      </c>
      <c r="F310" t="s">
        <v>14</v>
      </c>
      <c r="G310">
        <v>27388522</v>
      </c>
      <c r="H310" t="s">
        <v>38</v>
      </c>
      <c r="I310">
        <v>98390119</v>
      </c>
      <c r="J310" t="s">
        <v>14</v>
      </c>
      <c r="K310" t="s">
        <v>63</v>
      </c>
      <c r="L310">
        <v>1575000</v>
      </c>
      <c r="M310">
        <v>7875000</v>
      </c>
      <c r="N310" t="s">
        <v>704</v>
      </c>
      <c r="O310">
        <v>6300000</v>
      </c>
    </row>
    <row r="311" spans="1:15" x14ac:dyDescent="0.25">
      <c r="A311" t="s">
        <v>615</v>
      </c>
      <c r="B311" t="s">
        <v>13</v>
      </c>
      <c r="C311">
        <v>45944</v>
      </c>
      <c r="D311">
        <v>46022</v>
      </c>
      <c r="E311" t="s">
        <v>810</v>
      </c>
      <c r="F311" t="s">
        <v>14</v>
      </c>
      <c r="G311">
        <v>59313273</v>
      </c>
      <c r="H311" t="s">
        <v>616</v>
      </c>
      <c r="I311">
        <v>59836926</v>
      </c>
      <c r="J311" t="s">
        <v>14</v>
      </c>
      <c r="K311" t="s">
        <v>17</v>
      </c>
      <c r="L311">
        <v>2000000</v>
      </c>
      <c r="M311">
        <v>6000000</v>
      </c>
      <c r="N311" t="s">
        <v>704</v>
      </c>
      <c r="O311">
        <v>4000000</v>
      </c>
    </row>
    <row r="312" spans="1:15" x14ac:dyDescent="0.25">
      <c r="A312" t="s">
        <v>522</v>
      </c>
      <c r="B312" t="s">
        <v>13</v>
      </c>
      <c r="C312">
        <v>45944</v>
      </c>
      <c r="D312">
        <v>46022</v>
      </c>
      <c r="E312" t="s">
        <v>742</v>
      </c>
      <c r="F312" t="s">
        <v>14</v>
      </c>
      <c r="G312">
        <v>1085313195</v>
      </c>
      <c r="H312" t="s">
        <v>523</v>
      </c>
      <c r="I312">
        <v>43624414</v>
      </c>
      <c r="J312" t="s">
        <v>14</v>
      </c>
      <c r="K312" t="s">
        <v>18</v>
      </c>
      <c r="L312">
        <v>2000000</v>
      </c>
      <c r="M312">
        <v>6000000</v>
      </c>
      <c r="N312" t="s">
        <v>704</v>
      </c>
      <c r="O312">
        <v>4000000</v>
      </c>
    </row>
    <row r="313" spans="1:15" x14ac:dyDescent="0.25">
      <c r="A313" t="s">
        <v>262</v>
      </c>
      <c r="B313" t="s">
        <v>13</v>
      </c>
      <c r="C313">
        <v>45944</v>
      </c>
      <c r="D313">
        <v>46022</v>
      </c>
      <c r="E313" t="s">
        <v>751</v>
      </c>
      <c r="F313" t="s">
        <v>14</v>
      </c>
      <c r="G313">
        <v>1085334752</v>
      </c>
      <c r="H313" t="s">
        <v>263</v>
      </c>
      <c r="I313">
        <v>98333941</v>
      </c>
      <c r="J313" t="s">
        <v>14</v>
      </c>
      <c r="K313" t="s">
        <v>15</v>
      </c>
      <c r="L313">
        <v>2000000</v>
      </c>
      <c r="M313">
        <v>6000000</v>
      </c>
      <c r="N313" t="s">
        <v>704</v>
      </c>
      <c r="O313">
        <v>4000000</v>
      </c>
    </row>
    <row r="314" spans="1:15" x14ac:dyDescent="0.25">
      <c r="A314" t="s">
        <v>555</v>
      </c>
      <c r="B314" t="s">
        <v>13</v>
      </c>
      <c r="C314">
        <v>45944</v>
      </c>
      <c r="D314">
        <v>46022</v>
      </c>
      <c r="E314" t="s">
        <v>715</v>
      </c>
      <c r="F314" t="s">
        <v>14</v>
      </c>
      <c r="G314">
        <v>87070742</v>
      </c>
      <c r="H314" t="s">
        <v>556</v>
      </c>
      <c r="I314">
        <v>98390119</v>
      </c>
      <c r="J314" t="s">
        <v>14</v>
      </c>
      <c r="K314" t="s">
        <v>63</v>
      </c>
      <c r="L314">
        <v>2000000</v>
      </c>
      <c r="M314">
        <v>6000000</v>
      </c>
      <c r="N314" t="s">
        <v>704</v>
      </c>
      <c r="O314">
        <v>4000000</v>
      </c>
    </row>
    <row r="315" spans="1:15" x14ac:dyDescent="0.25">
      <c r="A315" t="s">
        <v>406</v>
      </c>
      <c r="B315" t="s">
        <v>13</v>
      </c>
      <c r="C315">
        <v>45944</v>
      </c>
      <c r="D315">
        <v>46022</v>
      </c>
      <c r="E315" t="s">
        <v>774</v>
      </c>
      <c r="F315" t="s">
        <v>14</v>
      </c>
      <c r="G315">
        <v>87060188</v>
      </c>
      <c r="H315" t="s">
        <v>407</v>
      </c>
      <c r="I315">
        <v>43624414</v>
      </c>
      <c r="J315" t="s">
        <v>14</v>
      </c>
      <c r="K315" t="s">
        <v>18</v>
      </c>
      <c r="L315">
        <v>2000000</v>
      </c>
      <c r="M315">
        <v>6000000</v>
      </c>
      <c r="N315" t="s">
        <v>704</v>
      </c>
      <c r="O315">
        <v>4000000</v>
      </c>
    </row>
    <row r="316" spans="1:15" x14ac:dyDescent="0.25">
      <c r="A316" t="s">
        <v>200</v>
      </c>
      <c r="B316" t="s">
        <v>13</v>
      </c>
      <c r="C316">
        <v>45944</v>
      </c>
      <c r="D316">
        <v>46022</v>
      </c>
      <c r="E316" t="s">
        <v>737</v>
      </c>
      <c r="F316" t="s">
        <v>14</v>
      </c>
      <c r="G316">
        <v>1233191675</v>
      </c>
      <c r="H316" t="s">
        <v>28</v>
      </c>
      <c r="I316">
        <v>98390119</v>
      </c>
      <c r="J316" t="s">
        <v>14</v>
      </c>
      <c r="K316" t="s">
        <v>63</v>
      </c>
      <c r="L316">
        <v>3150000</v>
      </c>
      <c r="M316">
        <v>9450000</v>
      </c>
      <c r="N316" t="s">
        <v>704</v>
      </c>
      <c r="O316">
        <v>6300000</v>
      </c>
    </row>
    <row r="317" spans="1:15" x14ac:dyDescent="0.25">
      <c r="A317" t="s">
        <v>349</v>
      </c>
      <c r="B317" t="s">
        <v>13</v>
      </c>
      <c r="C317">
        <v>45944</v>
      </c>
      <c r="D317">
        <v>46022</v>
      </c>
      <c r="E317" t="s">
        <v>748</v>
      </c>
      <c r="F317" t="s">
        <v>14</v>
      </c>
      <c r="G317">
        <v>1137089036</v>
      </c>
      <c r="H317" t="s">
        <v>350</v>
      </c>
      <c r="I317">
        <v>59836926</v>
      </c>
      <c r="J317" t="s">
        <v>14</v>
      </c>
      <c r="K317" t="s">
        <v>17</v>
      </c>
      <c r="L317">
        <v>2000000</v>
      </c>
      <c r="M317">
        <v>6000000</v>
      </c>
      <c r="N317" t="s">
        <v>704</v>
      </c>
      <c r="O317">
        <v>4000000</v>
      </c>
    </row>
    <row r="318" spans="1:15" x14ac:dyDescent="0.25">
      <c r="A318" t="s">
        <v>424</v>
      </c>
      <c r="B318" t="s">
        <v>13</v>
      </c>
      <c r="C318">
        <v>45944</v>
      </c>
      <c r="D318">
        <v>46022</v>
      </c>
      <c r="E318" t="s">
        <v>715</v>
      </c>
      <c r="F318" t="s">
        <v>14</v>
      </c>
      <c r="G318">
        <v>1233188221</v>
      </c>
      <c r="H318" t="s">
        <v>425</v>
      </c>
      <c r="I318">
        <v>98333941</v>
      </c>
      <c r="J318" t="s">
        <v>14</v>
      </c>
      <c r="K318" t="s">
        <v>15</v>
      </c>
      <c r="L318">
        <v>2000000</v>
      </c>
      <c r="M318">
        <v>6000000</v>
      </c>
      <c r="N318" t="s">
        <v>704</v>
      </c>
      <c r="O318">
        <v>4000000</v>
      </c>
    </row>
    <row r="319" spans="1:15" x14ac:dyDescent="0.25">
      <c r="A319" t="s">
        <v>236</v>
      </c>
      <c r="B319" t="s">
        <v>13</v>
      </c>
      <c r="C319">
        <v>45944</v>
      </c>
      <c r="D319">
        <v>46022</v>
      </c>
      <c r="E319" t="s">
        <v>748</v>
      </c>
      <c r="F319" t="s">
        <v>14</v>
      </c>
      <c r="G319">
        <v>27082650</v>
      </c>
      <c r="H319" t="s">
        <v>237</v>
      </c>
      <c r="I319">
        <v>43624414</v>
      </c>
      <c r="J319" t="s">
        <v>14</v>
      </c>
      <c r="K319" t="s">
        <v>18</v>
      </c>
      <c r="L319">
        <v>2000000</v>
      </c>
      <c r="M319">
        <v>6000000</v>
      </c>
      <c r="N319" t="s">
        <v>704</v>
      </c>
      <c r="O319">
        <v>4000000</v>
      </c>
    </row>
    <row r="320" spans="1:15" x14ac:dyDescent="0.25">
      <c r="A320" t="s">
        <v>224</v>
      </c>
      <c r="B320" t="s">
        <v>13</v>
      </c>
      <c r="C320">
        <v>45944</v>
      </c>
      <c r="D320">
        <v>46022</v>
      </c>
      <c r="E320" t="s">
        <v>715</v>
      </c>
      <c r="F320" t="s">
        <v>14</v>
      </c>
      <c r="G320">
        <v>1085253462</v>
      </c>
      <c r="H320" t="s">
        <v>225</v>
      </c>
      <c r="I320">
        <v>59836926</v>
      </c>
      <c r="J320" t="s">
        <v>14</v>
      </c>
      <c r="K320" t="s">
        <v>17</v>
      </c>
      <c r="L320">
        <v>2000000</v>
      </c>
      <c r="M320">
        <v>6000000</v>
      </c>
      <c r="N320" t="s">
        <v>704</v>
      </c>
      <c r="O320">
        <v>4000000</v>
      </c>
    </row>
    <row r="321" spans="1:15" x14ac:dyDescent="0.25">
      <c r="A321" t="s">
        <v>241</v>
      </c>
      <c r="B321" t="s">
        <v>13</v>
      </c>
      <c r="C321">
        <v>45940</v>
      </c>
      <c r="D321">
        <v>46022</v>
      </c>
      <c r="E321" t="s">
        <v>715</v>
      </c>
      <c r="F321" t="s">
        <v>14</v>
      </c>
      <c r="G321">
        <v>1081282855</v>
      </c>
      <c r="H321" t="s">
        <v>242</v>
      </c>
      <c r="I321">
        <v>43624414</v>
      </c>
      <c r="J321" t="s">
        <v>14</v>
      </c>
      <c r="K321" t="s">
        <v>18</v>
      </c>
      <c r="L321">
        <v>2000000</v>
      </c>
      <c r="M321">
        <v>6000000</v>
      </c>
      <c r="N321" t="s">
        <v>704</v>
      </c>
      <c r="O321">
        <v>4000000</v>
      </c>
    </row>
    <row r="322" spans="1:15" x14ac:dyDescent="0.25">
      <c r="A322" t="s">
        <v>216</v>
      </c>
      <c r="B322" t="s">
        <v>13</v>
      </c>
      <c r="C322">
        <v>45940</v>
      </c>
      <c r="D322">
        <v>46022</v>
      </c>
      <c r="E322" t="s">
        <v>742</v>
      </c>
      <c r="F322" t="s">
        <v>14</v>
      </c>
      <c r="G322">
        <v>1004217048</v>
      </c>
      <c r="H322" t="s">
        <v>217</v>
      </c>
      <c r="I322">
        <v>98333941</v>
      </c>
      <c r="J322" t="s">
        <v>14</v>
      </c>
      <c r="K322" t="s">
        <v>15</v>
      </c>
      <c r="L322">
        <v>2000000</v>
      </c>
      <c r="M322">
        <v>6000000</v>
      </c>
      <c r="N322" t="s">
        <v>704</v>
      </c>
      <c r="O322">
        <v>4000000</v>
      </c>
    </row>
    <row r="323" spans="1:15" x14ac:dyDescent="0.25">
      <c r="A323" t="s">
        <v>535</v>
      </c>
      <c r="B323" t="s">
        <v>13</v>
      </c>
      <c r="C323">
        <v>45940</v>
      </c>
      <c r="D323">
        <v>46022</v>
      </c>
      <c r="E323" t="s">
        <v>797</v>
      </c>
      <c r="F323" t="s">
        <v>14</v>
      </c>
      <c r="G323">
        <v>1233190640</v>
      </c>
      <c r="H323" t="s">
        <v>536</v>
      </c>
      <c r="I323">
        <v>43624414</v>
      </c>
      <c r="J323" t="s">
        <v>14</v>
      </c>
      <c r="K323" t="s">
        <v>18</v>
      </c>
      <c r="L323">
        <v>2000000</v>
      </c>
      <c r="M323">
        <v>6000000</v>
      </c>
      <c r="N323" t="s">
        <v>704</v>
      </c>
      <c r="O323">
        <v>4000000</v>
      </c>
    </row>
    <row r="324" spans="1:15" x14ac:dyDescent="0.25">
      <c r="A324" t="s">
        <v>169</v>
      </c>
      <c r="B324" t="s">
        <v>13</v>
      </c>
      <c r="C324">
        <v>45940</v>
      </c>
      <c r="D324">
        <v>46022</v>
      </c>
      <c r="E324" t="s">
        <v>170</v>
      </c>
      <c r="F324" t="s">
        <v>83</v>
      </c>
      <c r="G324">
        <v>900752343</v>
      </c>
      <c r="H324" t="s">
        <v>107</v>
      </c>
      <c r="I324">
        <v>17658216</v>
      </c>
      <c r="J324" t="s">
        <v>14</v>
      </c>
      <c r="K324" t="s">
        <v>108</v>
      </c>
      <c r="L324">
        <v>0</v>
      </c>
      <c r="M324">
        <v>281000000</v>
      </c>
      <c r="N324" t="s">
        <v>704</v>
      </c>
      <c r="O324">
        <f>M324-L324</f>
        <v>281000000</v>
      </c>
    </row>
    <row r="325" spans="1:15" x14ac:dyDescent="0.25">
      <c r="A325" t="s">
        <v>140</v>
      </c>
      <c r="B325" t="s">
        <v>13</v>
      </c>
      <c r="C325">
        <v>45940</v>
      </c>
      <c r="D325">
        <v>46022</v>
      </c>
      <c r="E325" t="s">
        <v>141</v>
      </c>
      <c r="F325" t="s">
        <v>83</v>
      </c>
      <c r="G325">
        <v>900752343</v>
      </c>
      <c r="H325" t="s">
        <v>107</v>
      </c>
      <c r="I325">
        <v>17658216</v>
      </c>
      <c r="J325" t="s">
        <v>14</v>
      </c>
      <c r="K325" t="s">
        <v>108</v>
      </c>
      <c r="L325">
        <v>0</v>
      </c>
      <c r="M325">
        <v>283000000</v>
      </c>
      <c r="N325" t="s">
        <v>704</v>
      </c>
      <c r="O325">
        <f>M325-L325</f>
        <v>283000000</v>
      </c>
    </row>
    <row r="326" spans="1:15" x14ac:dyDescent="0.25">
      <c r="A326" t="s">
        <v>106</v>
      </c>
      <c r="B326" t="s">
        <v>13</v>
      </c>
      <c r="C326">
        <v>45940</v>
      </c>
      <c r="D326">
        <v>46022</v>
      </c>
      <c r="E326" t="s">
        <v>714</v>
      </c>
      <c r="F326" t="s">
        <v>83</v>
      </c>
      <c r="G326">
        <v>900752343</v>
      </c>
      <c r="H326" t="s">
        <v>107</v>
      </c>
      <c r="I326">
        <v>17658216</v>
      </c>
      <c r="J326" t="s">
        <v>14</v>
      </c>
      <c r="K326" t="s">
        <v>108</v>
      </c>
      <c r="L326">
        <v>0</v>
      </c>
      <c r="M326">
        <v>284000000</v>
      </c>
      <c r="N326" t="s">
        <v>704</v>
      </c>
      <c r="O326">
        <f>M326-L326</f>
        <v>284000000</v>
      </c>
    </row>
    <row r="327" spans="1:15" x14ac:dyDescent="0.25">
      <c r="A327" t="s">
        <v>258</v>
      </c>
      <c r="B327" t="s">
        <v>13</v>
      </c>
      <c r="C327">
        <v>45940</v>
      </c>
      <c r="D327">
        <v>46022</v>
      </c>
      <c r="E327" t="s">
        <v>715</v>
      </c>
      <c r="F327" t="s">
        <v>14</v>
      </c>
      <c r="G327">
        <v>59314118</v>
      </c>
      <c r="H327" t="s">
        <v>259</v>
      </c>
      <c r="I327">
        <v>43624414</v>
      </c>
      <c r="J327" t="s">
        <v>14</v>
      </c>
      <c r="K327" t="s">
        <v>18</v>
      </c>
      <c r="L327">
        <v>2000000</v>
      </c>
      <c r="M327">
        <v>6000000</v>
      </c>
      <c r="N327" t="s">
        <v>704</v>
      </c>
      <c r="O327">
        <v>4000000</v>
      </c>
    </row>
    <row r="328" spans="1:15" x14ac:dyDescent="0.25">
      <c r="A328" t="s">
        <v>111</v>
      </c>
      <c r="B328" t="s">
        <v>13</v>
      </c>
      <c r="C328">
        <v>45940</v>
      </c>
      <c r="D328">
        <v>46022</v>
      </c>
      <c r="E328" t="s">
        <v>715</v>
      </c>
      <c r="F328" t="s">
        <v>14</v>
      </c>
      <c r="G328">
        <v>1085310465</v>
      </c>
      <c r="H328" t="s">
        <v>112</v>
      </c>
      <c r="I328">
        <v>98390119</v>
      </c>
      <c r="J328" t="s">
        <v>14</v>
      </c>
      <c r="K328" t="s">
        <v>63</v>
      </c>
      <c r="L328">
        <v>2000000</v>
      </c>
      <c r="M328">
        <v>6000000</v>
      </c>
      <c r="N328" t="s">
        <v>704</v>
      </c>
      <c r="O328">
        <v>4000000</v>
      </c>
    </row>
    <row r="329" spans="1:15" x14ac:dyDescent="0.25">
      <c r="A329" t="s">
        <v>585</v>
      </c>
      <c r="B329" t="s">
        <v>13</v>
      </c>
      <c r="C329">
        <v>45940</v>
      </c>
      <c r="D329">
        <v>46022</v>
      </c>
      <c r="E329" t="s">
        <v>807</v>
      </c>
      <c r="F329" t="s">
        <v>14</v>
      </c>
      <c r="G329">
        <v>1085248939</v>
      </c>
      <c r="H329" t="s">
        <v>586</v>
      </c>
      <c r="I329">
        <v>98333941</v>
      </c>
      <c r="J329" t="s">
        <v>14</v>
      </c>
      <c r="K329" t="s">
        <v>15</v>
      </c>
      <c r="L329">
        <v>6300000</v>
      </c>
      <c r="M329">
        <v>18900000</v>
      </c>
      <c r="N329" t="s">
        <v>704</v>
      </c>
      <c r="O329">
        <v>12600000</v>
      </c>
    </row>
    <row r="330" spans="1:15" x14ac:dyDescent="0.25">
      <c r="A330" t="s">
        <v>228</v>
      </c>
      <c r="B330" t="s">
        <v>13</v>
      </c>
      <c r="C330">
        <v>45940</v>
      </c>
      <c r="D330">
        <v>46022</v>
      </c>
      <c r="E330" t="s">
        <v>746</v>
      </c>
      <c r="F330" t="s">
        <v>14</v>
      </c>
      <c r="G330">
        <v>59829440</v>
      </c>
      <c r="H330" t="s">
        <v>229</v>
      </c>
      <c r="I330">
        <v>98333941</v>
      </c>
      <c r="J330" t="s">
        <v>14</v>
      </c>
      <c r="K330" t="s">
        <v>15</v>
      </c>
      <c r="L330">
        <v>2000000</v>
      </c>
      <c r="M330">
        <v>6000000</v>
      </c>
      <c r="N330" t="s">
        <v>704</v>
      </c>
      <c r="O330">
        <v>4000000</v>
      </c>
    </row>
    <row r="331" spans="1:15" x14ac:dyDescent="0.25">
      <c r="A331" t="s">
        <v>613</v>
      </c>
      <c r="B331" t="s">
        <v>13</v>
      </c>
      <c r="C331">
        <v>45940</v>
      </c>
      <c r="D331">
        <v>46022</v>
      </c>
      <c r="E331" t="s">
        <v>809</v>
      </c>
      <c r="F331" t="s">
        <v>14</v>
      </c>
      <c r="G331">
        <v>59313415</v>
      </c>
      <c r="H331" t="s">
        <v>614</v>
      </c>
      <c r="I331">
        <v>98390119</v>
      </c>
      <c r="J331" t="s">
        <v>14</v>
      </c>
      <c r="K331" t="s">
        <v>63</v>
      </c>
      <c r="L331">
        <v>7800000</v>
      </c>
      <c r="M331">
        <v>23400000</v>
      </c>
      <c r="N331" t="s">
        <v>704</v>
      </c>
      <c r="O331">
        <v>15600000</v>
      </c>
    </row>
    <row r="332" spans="1:15" x14ac:dyDescent="0.25">
      <c r="A332" t="s">
        <v>587</v>
      </c>
      <c r="B332" t="s">
        <v>13</v>
      </c>
      <c r="C332">
        <v>45940</v>
      </c>
      <c r="D332">
        <v>46022</v>
      </c>
      <c r="E332" t="s">
        <v>715</v>
      </c>
      <c r="F332" t="s">
        <v>14</v>
      </c>
      <c r="G332">
        <v>27086745</v>
      </c>
      <c r="H332" t="s">
        <v>588</v>
      </c>
      <c r="I332">
        <v>59836926</v>
      </c>
      <c r="J332" t="s">
        <v>14</v>
      </c>
      <c r="K332" t="s">
        <v>17</v>
      </c>
      <c r="L332">
        <v>2000000</v>
      </c>
      <c r="M332">
        <v>6000000</v>
      </c>
      <c r="N332" t="s">
        <v>704</v>
      </c>
      <c r="O332">
        <v>4000000</v>
      </c>
    </row>
    <row r="333" spans="1:15" x14ac:dyDescent="0.25">
      <c r="A333" t="s">
        <v>373</v>
      </c>
      <c r="B333" t="s">
        <v>13</v>
      </c>
      <c r="C333">
        <v>45940</v>
      </c>
      <c r="D333">
        <v>46022</v>
      </c>
      <c r="E333" t="s">
        <v>744</v>
      </c>
      <c r="F333" t="s">
        <v>14</v>
      </c>
      <c r="G333">
        <v>98394849</v>
      </c>
      <c r="H333" t="s">
        <v>374</v>
      </c>
      <c r="I333">
        <v>43624414</v>
      </c>
      <c r="J333" t="s">
        <v>14</v>
      </c>
      <c r="K333" t="s">
        <v>18</v>
      </c>
      <c r="L333">
        <v>0</v>
      </c>
      <c r="M333">
        <v>14190000</v>
      </c>
      <c r="N333" t="s">
        <v>704</v>
      </c>
      <c r="O333">
        <v>14190000</v>
      </c>
    </row>
    <row r="334" spans="1:15" x14ac:dyDescent="0.25">
      <c r="A334" t="s">
        <v>625</v>
      </c>
      <c r="B334" t="s">
        <v>13</v>
      </c>
      <c r="C334">
        <v>45939</v>
      </c>
      <c r="D334">
        <v>46022</v>
      </c>
      <c r="E334" t="s">
        <v>812</v>
      </c>
      <c r="F334" t="s">
        <v>14</v>
      </c>
      <c r="G334">
        <v>1085334831</v>
      </c>
      <c r="H334" t="s">
        <v>626</v>
      </c>
      <c r="I334">
        <v>98390119</v>
      </c>
      <c r="J334" t="s">
        <v>14</v>
      </c>
      <c r="K334" t="s">
        <v>63</v>
      </c>
      <c r="L334">
        <v>2000000</v>
      </c>
      <c r="M334">
        <v>6000000</v>
      </c>
      <c r="N334" t="s">
        <v>704</v>
      </c>
      <c r="O334">
        <v>4000000</v>
      </c>
    </row>
    <row r="335" spans="1:15" x14ac:dyDescent="0.25">
      <c r="A335" t="s">
        <v>611</v>
      </c>
      <c r="B335" t="s">
        <v>13</v>
      </c>
      <c r="C335">
        <v>45939</v>
      </c>
      <c r="D335">
        <v>46022</v>
      </c>
      <c r="E335" t="s">
        <v>721</v>
      </c>
      <c r="F335" t="s">
        <v>14</v>
      </c>
      <c r="G335">
        <v>36933095</v>
      </c>
      <c r="H335" t="s">
        <v>612</v>
      </c>
      <c r="I335">
        <v>98333941</v>
      </c>
      <c r="J335" t="s">
        <v>14</v>
      </c>
      <c r="K335" t="s">
        <v>15</v>
      </c>
      <c r="L335">
        <v>2000000</v>
      </c>
      <c r="M335">
        <v>6000000</v>
      </c>
      <c r="N335" t="s">
        <v>704</v>
      </c>
      <c r="O335">
        <v>4000000</v>
      </c>
    </row>
    <row r="336" spans="1:15" x14ac:dyDescent="0.25">
      <c r="A336" t="s">
        <v>507</v>
      </c>
      <c r="B336" t="s">
        <v>13</v>
      </c>
      <c r="C336">
        <v>45939</v>
      </c>
      <c r="D336">
        <v>46022</v>
      </c>
      <c r="E336" t="s">
        <v>715</v>
      </c>
      <c r="F336" t="s">
        <v>14</v>
      </c>
      <c r="G336">
        <v>1085317085</v>
      </c>
      <c r="H336" t="s">
        <v>508</v>
      </c>
      <c r="I336">
        <v>59836926</v>
      </c>
      <c r="J336" t="s">
        <v>14</v>
      </c>
      <c r="K336" t="s">
        <v>17</v>
      </c>
      <c r="L336">
        <v>4000000</v>
      </c>
      <c r="M336">
        <v>6000000</v>
      </c>
      <c r="N336" t="s">
        <v>704</v>
      </c>
      <c r="O336">
        <v>2000000</v>
      </c>
    </row>
    <row r="337" spans="1:15" x14ac:dyDescent="0.25">
      <c r="A337" t="s">
        <v>501</v>
      </c>
      <c r="B337" t="s">
        <v>13</v>
      </c>
      <c r="C337">
        <v>45939</v>
      </c>
      <c r="D337">
        <v>46022</v>
      </c>
      <c r="E337" t="s">
        <v>751</v>
      </c>
      <c r="F337" t="s">
        <v>14</v>
      </c>
      <c r="G337">
        <v>12990231</v>
      </c>
      <c r="H337" t="s">
        <v>502</v>
      </c>
      <c r="I337">
        <v>59836926</v>
      </c>
      <c r="J337" t="s">
        <v>14</v>
      </c>
      <c r="K337" t="s">
        <v>17</v>
      </c>
      <c r="L337">
        <v>4000000</v>
      </c>
      <c r="M337">
        <v>6000000</v>
      </c>
      <c r="N337" t="s">
        <v>704</v>
      </c>
      <c r="O337">
        <v>2000000</v>
      </c>
    </row>
    <row r="338" spans="1:15" x14ac:dyDescent="0.25">
      <c r="A338" t="s">
        <v>178</v>
      </c>
      <c r="B338" t="s">
        <v>13</v>
      </c>
      <c r="C338">
        <v>45939</v>
      </c>
      <c r="D338">
        <v>46022</v>
      </c>
      <c r="E338" t="s">
        <v>732</v>
      </c>
      <c r="F338" t="s">
        <v>14</v>
      </c>
      <c r="G338">
        <v>12974849</v>
      </c>
      <c r="H338" t="s">
        <v>179</v>
      </c>
      <c r="I338">
        <v>43624414</v>
      </c>
      <c r="J338" t="s">
        <v>14</v>
      </c>
      <c r="K338" t="s">
        <v>18</v>
      </c>
      <c r="L338">
        <v>2000000</v>
      </c>
      <c r="M338">
        <v>6000000</v>
      </c>
      <c r="N338" t="s">
        <v>704</v>
      </c>
      <c r="O338">
        <v>4000000</v>
      </c>
    </row>
  </sheetData>
  <autoFilter ref="A1:O338" xr:uid="{21FE6D96-5A9C-43D5-B118-A1C54255F3A3}">
    <sortState xmlns:xlrd2="http://schemas.microsoft.com/office/spreadsheetml/2017/richdata2" ref="A2:O338">
      <sortCondition descending="1" ref="A1:A338"/>
    </sortState>
  </autoFilter>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ACTUALIZADO 2026 MAR C</vt:lpstr>
      <vt:lpstr>CARGADO</vt:lpstr>
      <vt:lpstr>ACTUALIZADO 2026 MAR</vt:lpstr>
      <vt:lpstr>ACTUALIZADO 2026 MAR ADICION PA</vt:lpstr>
      <vt:lpstr>ACTUALIZADO 2026 FEB</vt:lpstr>
      <vt:lpstr>Hoja1</vt:lpstr>
      <vt:lpstr>Hoja3</vt:lpstr>
      <vt:lpstr>ACTUALIZADO 2026</vt:lpstr>
      <vt:lpstr>A CARGAR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JEISSON GETIAL</cp:lastModifiedBy>
  <dcterms:created xsi:type="dcterms:W3CDTF">2025-12-15T22:51:06Z</dcterms:created>
  <dcterms:modified xsi:type="dcterms:W3CDTF">2026-04-17T03:50:10Z</dcterms:modified>
</cp:coreProperties>
</file>