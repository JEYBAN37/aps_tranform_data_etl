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E4D0473B-6BC3-416F-9661-4D9333368A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OS_ACTUALIZAR_2026" sheetId="3" r:id="rId1"/>
    <sheet name="CARGADOS 2025 DICIEMBRE CIERRE" sheetId="2" r:id="rId2"/>
    <sheet name="PAGO_873" sheetId="5" r:id="rId3"/>
    <sheet name="PAGO_SUMATORIA" sheetId="4" r:id="rId4"/>
  </sheets>
  <externalReferences>
    <externalReference r:id="rId5"/>
  </externalReferences>
  <definedNames>
    <definedName name="_xlnm._FilterDatabase" localSheetId="1" hidden="1">'CARGADOS 2025 DICIEMBRE CIERRE'!$A$1:$H$557</definedName>
    <definedName name="_xlnm._FilterDatabase" localSheetId="2" hidden="1">PAGO_873!$A$1:$I$1032</definedName>
    <definedName name="_xlnm._FilterDatabase" localSheetId="3" hidden="1">PAGO_SUMATORIA!$A$1:$C$326</definedName>
    <definedName name="_xlnm._FilterDatabase" localSheetId="0" hidden="1">PAGOS_ACTUALIZAR_2026!$M$1:$M$563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2" i="4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398" i="3"/>
  <c r="M399" i="3"/>
  <c r="M400" i="3"/>
  <c r="M401" i="3"/>
  <c r="M402" i="3"/>
  <c r="M403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2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2" i="3"/>
</calcChain>
</file>

<file path=xl/sharedStrings.xml><?xml version="1.0" encoding="utf-8"?>
<sst xmlns="http://schemas.openxmlformats.org/spreadsheetml/2006/main" count="12246" uniqueCount="1363">
  <si>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</si>
  <si>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</si>
  <si>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</si>
  <si>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</si>
  <si>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</si>
  <si>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</si>
  <si>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</si>
  <si>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</si>
  <si>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</si>
  <si>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</si>
  <si>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</si>
  <si>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</si>
  <si>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</si>
  <si>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</si>
  <si>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</si>
  <si>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</si>
  <si>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</si>
  <si>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</si>
  <si>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</si>
  <si>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</si>
  <si>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</si>
  <si>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</si>
  <si>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</si>
  <si>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</si>
  <si>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</si>
  <si>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</si>
  <si>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</si>
  <si>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</si>
  <si>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</si>
  <si>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</si>
  <si>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</si>
  <si>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</si>
  <si>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</si>
  <si>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</si>
  <si>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</si>
  <si>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</si>
  <si>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</si>
  <si>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</si>
  <si>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</si>
  <si>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</si>
  <si>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</si>
  <si>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</si>
  <si>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</si>
  <si>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</si>
  <si>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</si>
  <si>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</si>
  <si>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</si>
  <si>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</si>
  <si>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</si>
  <si>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</si>
  <si>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</si>
  <si>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</si>
  <si>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</si>
  <si>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</si>
  <si>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</si>
  <si>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</si>
  <si>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</si>
  <si>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</si>
  <si>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</si>
  <si>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</si>
  <si>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</si>
  <si>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</si>
  <si>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</si>
  <si>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</si>
  <si>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</si>
  <si>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</si>
  <si>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</si>
  <si>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</si>
  <si>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</si>
  <si>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</si>
  <si>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</si>
  <si>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</si>
  <si>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</si>
  <si>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</si>
  <si>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</si>
  <si>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</si>
  <si>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</si>
  <si>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</si>
  <si>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</si>
  <si>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</si>
  <si>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</si>
  <si>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</si>
  <si>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</si>
  <si>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</si>
  <si>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</si>
  <si>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</si>
  <si>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</si>
  <si>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</si>
  <si>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</si>
  <si>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</si>
  <si>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</si>
  <si>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</si>
  <si>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</si>
  <si>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</si>
  <si>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</si>
  <si>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</si>
  <si>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</si>
  <si>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</si>
  <si>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</si>
  <si>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</si>
  <si>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</si>
  <si>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</si>
  <si>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</si>
  <si>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</si>
  <si>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</si>
  <si>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</si>
  <si>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</si>
  <si>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</si>
  <si>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</si>
  <si>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</si>
  <si>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</si>
  <si>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</si>
  <si>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</si>
  <si>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</si>
  <si>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</si>
  <si>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</si>
  <si>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</si>
  <si>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</si>
  <si>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</si>
  <si>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</si>
  <si>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</si>
  <si>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</si>
  <si>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</si>
  <si>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</si>
  <si>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</si>
  <si>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</si>
  <si>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</si>
  <si>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</si>
  <si>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</si>
  <si>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</si>
  <si>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</si>
  <si>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</si>
  <si>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</si>
  <si>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</si>
  <si>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</si>
  <si>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</si>
  <si>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</si>
  <si>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</si>
  <si>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</si>
  <si>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</si>
  <si>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</si>
  <si>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</si>
  <si>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</si>
  <si>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</si>
  <si>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</si>
  <si>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</si>
  <si>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</si>
  <si>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</si>
  <si>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</si>
  <si>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</si>
  <si>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</si>
  <si>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</si>
  <si>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</si>
  <si>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</si>
  <si>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</si>
  <si>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</si>
  <si>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</si>
  <si>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</si>
  <si>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</si>
  <si>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</si>
  <si>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</si>
  <si>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</si>
  <si>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</si>
  <si>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</si>
  <si>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</si>
  <si>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</si>
  <si>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</si>
  <si>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</si>
  <si>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</si>
  <si>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</si>
  <si>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</si>
  <si>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</si>
  <si>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</si>
  <si>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</si>
  <si>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</si>
  <si>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</si>
  <si>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</si>
  <si>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</si>
  <si>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</si>
  <si>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</si>
  <si>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</si>
  <si>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</si>
  <si>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</si>
  <si>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</si>
  <si>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</si>
  <si>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</si>
  <si>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</si>
  <si>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</si>
  <si>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</si>
  <si>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</si>
  <si>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</si>
  <si>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</si>
  <si>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</si>
  <si>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</si>
  <si>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</si>
  <si>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</si>
  <si>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</si>
  <si>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</si>
  <si>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</si>
  <si>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</si>
  <si>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</si>
  <si>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</si>
  <si>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</si>
  <si>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</si>
  <si>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</si>
  <si>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</si>
  <si>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</si>
  <si>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</si>
  <si>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</si>
  <si>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</si>
  <si>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</si>
  <si>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</si>
  <si>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</si>
  <si>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</si>
  <si>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</si>
  <si>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</si>
  <si>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</si>
  <si>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</si>
  <si>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</si>
  <si>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</si>
  <si>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</si>
  <si>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</si>
  <si>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</si>
  <si>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</si>
  <si>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</si>
  <si>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</si>
  <si>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</si>
  <si>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</si>
  <si>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</si>
  <si>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</si>
  <si>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</si>
  <si>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</si>
  <si>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</si>
  <si>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</si>
  <si>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</si>
  <si>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</si>
  <si>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</si>
  <si>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</si>
  <si>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</si>
  <si>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</si>
  <si>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</si>
  <si>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</si>
  <si>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</si>
  <si>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</si>
  <si>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</si>
  <si>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</si>
  <si>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</si>
  <si>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</si>
  <si>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</si>
  <si>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</si>
  <si>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</si>
  <si>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</si>
  <si>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</si>
  <si>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</si>
  <si>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</si>
  <si>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</si>
  <si>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</si>
  <si>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</si>
  <si>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</si>
  <si>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</si>
  <si>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</si>
  <si>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</si>
  <si>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</si>
  <si>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</si>
  <si>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</si>
  <si>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</si>
  <si>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</si>
  <si>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</si>
  <si>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</si>
  <si>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</si>
  <si>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</si>
  <si>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</si>
  <si>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</si>
  <si>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</si>
  <si>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</si>
  <si>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</si>
  <si>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</si>
  <si>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</si>
  <si>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</si>
  <si>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</si>
  <si>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</si>
  <si>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</si>
  <si>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</si>
  <si>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</si>
  <si>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</si>
  <si>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</si>
  <si>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</si>
  <si>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</si>
  <si>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</si>
  <si>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</si>
  <si>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</si>
  <si>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</si>
  <si>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</si>
  <si>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</si>
  <si>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</si>
  <si>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</si>
  <si>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</si>
  <si>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</si>
  <si>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</si>
  <si>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</si>
  <si>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</si>
  <si>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</si>
  <si>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</si>
  <si>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</si>
  <si>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</si>
  <si>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</si>
  <si>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</si>
  <si>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</si>
  <si>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</si>
  <si>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</si>
  <si>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</si>
  <si>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</si>
  <si>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</si>
  <si>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</si>
  <si>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</si>
  <si>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</si>
  <si>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</si>
  <si>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</si>
  <si>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</si>
  <si>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</si>
  <si>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</si>
  <si>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</si>
  <si>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</si>
  <si>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</si>
  <si>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</si>
  <si>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</si>
  <si>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</si>
  <si>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</si>
  <si>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</si>
  <si>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</si>
  <si>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</si>
  <si>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</si>
  <si>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</si>
  <si>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</si>
  <si>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</si>
  <si>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</si>
  <si>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</si>
  <si>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</si>
  <si>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</si>
  <si>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</si>
  <si>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</si>
  <si>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</si>
  <si>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</si>
  <si>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</si>
  <si>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</si>
  <si>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</si>
  <si>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</si>
  <si>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</si>
  <si>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</si>
  <si>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</si>
  <si>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</si>
  <si>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</si>
  <si>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</si>
  <si>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</si>
  <si>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</si>
  <si>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</si>
  <si>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</si>
  <si>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</si>
  <si>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</si>
  <si>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</si>
  <si>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</si>
  <si>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</si>
  <si>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</si>
  <si>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</si>
  <si>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</si>
  <si>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</si>
  <si>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</si>
  <si>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</si>
  <si>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</si>
  <si>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</si>
  <si>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</si>
  <si>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</si>
  <si>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</si>
  <si>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</si>
  <si>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</si>
  <si>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</si>
  <si>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</si>
  <si>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</si>
  <si>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</si>
  <si>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</si>
  <si>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</si>
  <si>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</si>
  <si>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</si>
  <si>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</si>
  <si>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</si>
  <si>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</si>
  <si>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</si>
  <si>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</si>
  <si>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</si>
  <si>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</si>
  <si>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</si>
  <si>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</si>
  <si>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</si>
  <si>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</si>
  <si>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</si>
  <si>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</si>
  <si>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</si>
  <si>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</si>
  <si>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</si>
  <si>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</si>
  <si>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</si>
  <si>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</si>
  <si>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</si>
  <si>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</si>
  <si>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</si>
  <si>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</si>
  <si>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</si>
  <si>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</si>
  <si>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</si>
  <si>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</si>
  <si>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</si>
  <si>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</si>
  <si>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</si>
  <si>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</si>
  <si>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</si>
  <si>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</si>
  <si>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</si>
  <si>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</si>
  <si>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</si>
  <si>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</si>
  <si>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</si>
  <si>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</si>
  <si>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</si>
  <si>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</si>
  <si>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</si>
  <si>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</si>
  <si>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</si>
  <si>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</si>
  <si>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</si>
  <si>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</si>
  <si>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</si>
  <si>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</si>
  <si>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</si>
  <si>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</si>
  <si>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</si>
  <si>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</si>
  <si>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</si>
  <si>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</si>
  <si>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</si>
  <si>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</si>
  <si>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</si>
  <si>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</si>
  <si>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</si>
  <si>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</si>
  <si>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</si>
  <si>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</si>
  <si>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</si>
  <si>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</si>
  <si>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</si>
  <si>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</si>
  <si>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</si>
  <si>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</si>
  <si>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</si>
  <si>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</si>
  <si>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</si>
  <si>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</si>
  <si>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</si>
  <si>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</si>
  <si>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</si>
  <si>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</si>
  <si>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</si>
  <si>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</si>
  <si>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</si>
  <si>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</si>
  <si>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</si>
  <si>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</si>
  <si>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</si>
  <si>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</si>
  <si>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</si>
  <si>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</si>
  <si>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</si>
  <si>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</si>
  <si>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</si>
  <si>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</si>
  <si>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</si>
  <si>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</si>
  <si>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</si>
  <si>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</si>
  <si>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</si>
  <si>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</si>
  <si>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</si>
  <si>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</si>
  <si>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</si>
  <si>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</si>
  <si>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</si>
  <si>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</si>
  <si>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</si>
  <si>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</si>
  <si>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</si>
  <si>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</si>
  <si>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</si>
  <si>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</si>
  <si>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</si>
  <si>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</si>
  <si>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</si>
  <si>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</si>
  <si>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</si>
  <si>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</si>
  <si>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</si>
  <si>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</si>
  <si>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</si>
  <si>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</si>
  <si>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</si>
  <si>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</si>
  <si>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</si>
  <si>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</si>
  <si>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</si>
  <si>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</si>
  <si>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</si>
  <si>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</si>
  <si>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</si>
  <si>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</si>
  <si>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</si>
  <si>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</si>
  <si>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</si>
  <si>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</si>
  <si>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</si>
  <si>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</si>
  <si>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</si>
  <si>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</si>
  <si>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</si>
  <si>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</si>
  <si>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</si>
  <si>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</si>
  <si>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</si>
  <si>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</si>
  <si>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</si>
  <si>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</si>
  <si>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</si>
  <si>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</si>
  <si>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</si>
  <si>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</si>
  <si>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</si>
  <si>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</si>
  <si>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</si>
  <si>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</si>
  <si>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</si>
  <si>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</si>
  <si>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</si>
  <si>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</si>
  <si>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</si>
  <si>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</si>
  <si>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</si>
  <si>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</si>
  <si>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</si>
  <si>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</si>
  <si>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</si>
  <si>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</si>
  <si>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</si>
  <si>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</si>
  <si>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</si>
  <si>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</si>
  <si>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</si>
  <si>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</si>
  <si>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</si>
  <si>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</si>
  <si>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</si>
  <si>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</si>
  <si>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</si>
  <si>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</si>
  <si>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</si>
  <si>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</si>
  <si>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</si>
  <si>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</si>
  <si>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</si>
  <si>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</si>
  <si>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</si>
  <si>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</si>
  <si>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</si>
  <si>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</si>
  <si>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</si>
  <si>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</si>
  <si>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</si>
  <si>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</si>
  <si>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</si>
  <si>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</si>
  <si>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</si>
  <si>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</si>
  <si>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</si>
  <si>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</si>
  <si>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</si>
  <si>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</si>
  <si>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</si>
  <si>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</si>
  <si>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</si>
  <si>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</si>
  <si>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</si>
  <si>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</si>
  <si>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</si>
  <si>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</si>
  <si>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</si>
  <si>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</si>
  <si>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</si>
  <si>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</si>
  <si>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</si>
  <si>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</si>
  <si>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</si>
  <si>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</si>
  <si>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</si>
  <si>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</si>
  <si>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</si>
  <si>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</si>
  <si>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</si>
  <si>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</si>
  <si>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</si>
  <si>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</si>
  <si>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</si>
  <si>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</si>
  <si>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</si>
  <si>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</si>
  <si>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</si>
  <si>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</si>
  <si>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</si>
  <si>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</si>
  <si>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</si>
  <si>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</si>
  <si>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</si>
  <si>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</si>
  <si>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</si>
  <si>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</si>
  <si>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</si>
  <si>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</si>
  <si>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</si>
  <si>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</si>
  <si>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</si>
  <si>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</si>
  <si>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</si>
  <si>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</si>
  <si>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</si>
  <si>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</si>
  <si>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</si>
  <si>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</si>
  <si>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</si>
  <si>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</si>
  <si>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</si>
  <si>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</si>
  <si>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</si>
  <si>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</si>
  <si>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</si>
  <si>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</si>
  <si>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</si>
  <si>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</si>
  <si>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</si>
  <si>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</si>
  <si>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</si>
  <si>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</si>
  <si>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</si>
  <si>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</si>
  <si>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</si>
  <si>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</si>
  <si>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</si>
  <si>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</si>
  <si>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</si>
  <si>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</si>
  <si>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</si>
  <si>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</si>
  <si>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</si>
  <si>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</si>
  <si>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</si>
  <si>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</si>
  <si>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</si>
  <si>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</si>
  <si>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</si>
  <si>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</si>
  <si>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</si>
  <si>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</si>
  <si>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</si>
  <si>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</si>
  <si>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</si>
  <si>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</si>
  <si>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</si>
  <si>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</si>
  <si>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</si>
  <si>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</si>
  <si>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</si>
  <si>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</si>
  <si>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</si>
  <si>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</si>
  <si>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</si>
  <si>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</si>
  <si>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</si>
  <si>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</si>
  <si>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</si>
  <si>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</si>
  <si>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</si>
  <si>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</si>
  <si>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</si>
  <si>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</si>
  <si>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</si>
  <si>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</si>
  <si>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</si>
  <si>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</si>
  <si>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</si>
  <si>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</si>
  <si>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</si>
  <si>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</si>
  <si>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</si>
  <si>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</si>
  <si>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</si>
  <si>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</si>
  <si>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</si>
  <si>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</si>
  <si>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</si>
  <si>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</si>
  <si>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</si>
  <si>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</si>
  <si>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</si>
  <si>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</si>
  <si>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</si>
  <si>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</si>
  <si>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</si>
  <si>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</si>
  <si>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</si>
  <si>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</si>
  <si>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</si>
  <si>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</si>
  <si>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</si>
  <si>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</si>
  <si>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</si>
  <si>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</si>
  <si>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</si>
  <si>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</si>
  <si>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</si>
  <si>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</si>
  <si>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</si>
  <si>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</si>
  <si>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</si>
  <si>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</si>
  <si>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</si>
  <si>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</si>
  <si>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</si>
  <si>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</si>
  <si>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</si>
  <si>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</si>
  <si>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</si>
  <si>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</si>
  <si>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</si>
  <si>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</si>
  <si>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</si>
  <si>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</si>
  <si>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</si>
  <si>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</si>
  <si>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</si>
  <si>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</si>
  <si>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</si>
  <si>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</si>
  <si>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</si>
  <si>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</si>
  <si>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</si>
  <si>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</si>
  <si>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</si>
  <si>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</si>
  <si>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</si>
  <si>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</si>
  <si>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</si>
  <si>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</si>
  <si>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</si>
  <si>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</si>
  <si>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</si>
  <si>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</si>
  <si>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</si>
  <si>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</si>
  <si>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</si>
  <si>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</si>
  <si>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</si>
  <si>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</si>
  <si>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</si>
  <si>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</si>
  <si>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</si>
  <si>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</si>
  <si>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</si>
  <si>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</si>
  <si>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</si>
  <si>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</si>
  <si>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</si>
  <si>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</si>
  <si>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</si>
  <si>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</si>
  <si>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</si>
  <si>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</si>
  <si>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</si>
  <si>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</si>
  <si>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</si>
  <si>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</si>
  <si>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</si>
  <si>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</si>
  <si>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</si>
  <si>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</si>
  <si>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</si>
  <si>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</si>
  <si>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</si>
  <si>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</si>
  <si>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</si>
  <si>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</si>
  <si>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</si>
  <si>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</si>
  <si>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</si>
  <si>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</si>
  <si>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</si>
  <si>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</si>
  <si>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</si>
  <si>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</si>
  <si>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</si>
  <si>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</si>
  <si>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</si>
  <si>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</si>
  <si>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</si>
  <si>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</si>
  <si>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</si>
  <si>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</si>
  <si>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</si>
  <si>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</si>
  <si>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</si>
  <si>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</si>
  <si>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</si>
  <si>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</si>
  <si>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</si>
  <si>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</si>
  <si>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</si>
  <si>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</si>
  <si>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</si>
  <si>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</si>
  <si>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</si>
  <si>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</si>
  <si>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</si>
  <si>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</si>
  <si>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</si>
  <si>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</si>
  <si>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</si>
  <si>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</si>
  <si>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</si>
  <si>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</si>
  <si>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</si>
  <si>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</si>
  <si>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</si>
  <si>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</si>
  <si>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</si>
  <si>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</si>
  <si>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</si>
  <si>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</si>
  <si>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</si>
  <si>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</si>
  <si>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</si>
  <si>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</si>
  <si>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</si>
  <si>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</si>
  <si>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</si>
  <si>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</si>
  <si>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</si>
  <si>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</si>
  <si>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</si>
  <si>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</si>
  <si>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</si>
  <si>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</si>
  <si>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</si>
  <si>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</si>
  <si>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</si>
  <si>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</si>
  <si>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</si>
  <si>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</si>
  <si>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</si>
  <si>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</si>
  <si>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</si>
  <si>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</si>
  <si>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</si>
  <si>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</si>
  <si>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</si>
  <si>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</si>
  <si>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</si>
  <si>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</si>
  <si>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</si>
  <si>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</si>
  <si>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</si>
  <si>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</si>
  <si>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</si>
  <si>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</si>
  <si>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</si>
  <si>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</si>
  <si>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</si>
  <si>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</si>
  <si>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</si>
  <si>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</si>
  <si>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</si>
  <si>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</si>
  <si>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</si>
  <si>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</si>
  <si>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</si>
  <si>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</si>
  <si>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</si>
  <si>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</si>
  <si>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</si>
  <si>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</si>
  <si>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</si>
  <si>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</si>
  <si>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</si>
  <si>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</si>
  <si>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</si>
  <si>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</si>
  <si>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</si>
  <si>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</si>
  <si>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</si>
  <si>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</si>
  <si>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</si>
  <si>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</si>
  <si>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</si>
  <si>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</si>
  <si>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</si>
  <si>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</si>
  <si>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</si>
  <si>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</si>
  <si>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</si>
  <si>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</si>
  <si>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</si>
  <si>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</si>
  <si>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</si>
  <si>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</si>
  <si>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</si>
  <si>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</si>
  <si>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</si>
  <si>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</si>
  <si>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</si>
  <si>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</si>
  <si>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</si>
  <si>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</si>
  <si>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</si>
  <si>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</si>
  <si>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</si>
  <si>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</si>
  <si>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</si>
  <si>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</si>
  <si>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15/12/2025</t>
  </si>
  <si>
    <t>4.730.000,00</t>
  </si>
  <si>
    <t>3.150.000,00</t>
  </si>
  <si>
    <t>2.000.000,00</t>
  </si>
  <si>
    <t>6.300.000,00</t>
  </si>
  <si>
    <t>7.800.000,00</t>
  </si>
  <si>
    <t>DANIELA ALEJANDRA TOBAR GOMEZ</t>
  </si>
  <si>
    <t>ESTEFANIA CORREA GUERRERO</t>
  </si>
  <si>
    <t>LUZDARI JARAMILLO NOGUERA</t>
  </si>
  <si>
    <t>16/12/2025</t>
  </si>
  <si>
    <t>LUCIA PATRICIA URBANO VALLEJO</t>
  </si>
  <si>
    <t>LISSETH MARISOL CUASTUMAL CASTRO</t>
  </si>
  <si>
    <t>ALBA MONTENEGRO TERAN</t>
  </si>
  <si>
    <t>JANETH EMILSE DIAZ ARCINIEGAS</t>
  </si>
  <si>
    <t>ANDREA LILIANA LAGUNA RUALES</t>
  </si>
  <si>
    <t>1.575.000,00</t>
  </si>
  <si>
    <t>2.240.000,00</t>
  </si>
  <si>
    <t>TATIANA ANDREA CRIOLLO GENOY</t>
  </si>
  <si>
    <t>17/12/2025</t>
  </si>
  <si>
    <t>MARILYN ZAMBRANO OBANDO</t>
  </si>
  <si>
    <t>ANGELA ESTEFANYA NASPIRAN JOJOA</t>
  </si>
  <si>
    <t>MARILU CHAVEZ CHAVES</t>
  </si>
  <si>
    <t>1.050.000,00</t>
  </si>
  <si>
    <t>PATRICIA MARIBEL MARTINEZ</t>
  </si>
  <si>
    <t>JERALDINE BASTIDAS OCAÑA</t>
  </si>
  <si>
    <t>LILIAN SOLARTE GONZALEZ</t>
  </si>
  <si>
    <t>265.680.000,00</t>
  </si>
  <si>
    <t>144.210.000,00</t>
  </si>
  <si>
    <t>FRANCISCO RAFAEL ORTÍZ BENÌTEZ</t>
  </si>
  <si>
    <t>JENIFFER ARCOS GIL</t>
  </si>
  <si>
    <t>4.200.000,00</t>
  </si>
  <si>
    <t>15.600.000,00</t>
  </si>
  <si>
    <t>OBANDO CAICEDO EDNA LILIANA</t>
  </si>
  <si>
    <t>ESLENY ERASO ARTEAGA</t>
  </si>
  <si>
    <t>18/12/2025</t>
  </si>
  <si>
    <t>EVELYN FERNANDA ACOSTA CHICAIZA</t>
  </si>
  <si>
    <t>YULIANA RODRIGUEZ GUAITARILLA</t>
  </si>
  <si>
    <t>NORA VIVEROS BRAVO</t>
  </si>
  <si>
    <t>NATHALIA ROSERO RODRIGUEZ</t>
  </si>
  <si>
    <t>263.910.000,00</t>
  </si>
  <si>
    <t>ANA ALEJANDRA SALAZAR RAMIREZ</t>
  </si>
  <si>
    <t>JOHANA KATERINE GONZALEZ</t>
  </si>
  <si>
    <t>YADDY ALEJANDRA SOLARTE BASTIDAS</t>
  </si>
  <si>
    <t>JENIFER AREVALO CRIOLLO</t>
  </si>
  <si>
    <t>19/12/2025</t>
  </si>
  <si>
    <t>GINNA ALEJANDRA BENAVIDES</t>
  </si>
  <si>
    <t>INGRID RAQUEL MONCAYO NARVAEZ</t>
  </si>
  <si>
    <t>DAVID ALEJANDRO VILLACORTE BARCO</t>
  </si>
  <si>
    <t>SANDRA MARCELA DOMINGUEZ</t>
  </si>
  <si>
    <t>20/12/2025</t>
  </si>
  <si>
    <t>PATRICIA YOLANDA PAZ DELGADO</t>
  </si>
  <si>
    <t>MARIA FERNANDA NARVAEZ YEPEZ</t>
  </si>
  <si>
    <t>GERALDINE VIVIANA VILLOTA ARTEAGA</t>
  </si>
  <si>
    <t>LUZ ANGELICA CHILES CABRERA</t>
  </si>
  <si>
    <t>EMILY ROMERO MENDOZA</t>
  </si>
  <si>
    <t>CARMEN PATIÑO DE BENAVIDES</t>
  </si>
  <si>
    <t>ANA MILENA MUÑOZ</t>
  </si>
  <si>
    <t>MARIA CAMILA JURADO PAZ</t>
  </si>
  <si>
    <t>JAQUELINE MELO MOSQUERA</t>
  </si>
  <si>
    <t>MARTHA CECILIA ROA</t>
  </si>
  <si>
    <t>EDUARDO MAURICIO NARVAEZ GUERRA</t>
  </si>
  <si>
    <t>151.250.000,00</t>
  </si>
  <si>
    <t>ANDREA CATALINA CUASTUMAL ESCOBAR</t>
  </si>
  <si>
    <t>MARIA DE LOS ANGELES ACOSTA ROSERO</t>
  </si>
  <si>
    <t>22/12/2025</t>
  </si>
  <si>
    <t>MIRYAM ELIZABETH POPAYAN PASCUAZA</t>
  </si>
  <si>
    <t>LORENA DEL CARMEN OJEDA VAZQUEZ</t>
  </si>
  <si>
    <t>JULIANA BURBANO PAEZ</t>
  </si>
  <si>
    <t>MARLENI URBANO MARTINEZ</t>
  </si>
  <si>
    <t>ROCIO DEL PILAR RIVERA</t>
  </si>
  <si>
    <t>YONATAN MENA GRIJALBA</t>
  </si>
  <si>
    <t>16.920.000,00</t>
  </si>
  <si>
    <t>45.120.000,00</t>
  </si>
  <si>
    <t>17.040.000,00</t>
  </si>
  <si>
    <t>23/12/2025</t>
  </si>
  <si>
    <t>226.770.000,00</t>
  </si>
  <si>
    <t>9.450.000,00</t>
  </si>
  <si>
    <t>24/12/2025</t>
  </si>
  <si>
    <t>30/12/2025</t>
  </si>
  <si>
    <t>70.000.000,00</t>
  </si>
  <si>
    <t>93.670.000,00</t>
  </si>
  <si>
    <t>1256-2025</t>
  </si>
  <si>
    <t>1187-2025</t>
  </si>
  <si>
    <t>T</t>
  </si>
  <si>
    <t>832-2025</t>
  </si>
  <si>
    <t>DELGADO BUCHELY GENNY MILENA</t>
  </si>
  <si>
    <t>OLIVA ORTIZ LILIANA ANDREA</t>
  </si>
  <si>
    <t>856-2025</t>
  </si>
  <si>
    <t>BOLAÑOS BOTINA JULY ADRIANA</t>
  </si>
  <si>
    <t>788-2025</t>
  </si>
  <si>
    <t>LEIDY PAOLA CANCHALA LOPEZ</t>
  </si>
  <si>
    <t>785-2025</t>
  </si>
  <si>
    <t>ERIKA LIZETH CORDOBA ROSERO</t>
  </si>
  <si>
    <t>871-2025</t>
  </si>
  <si>
    <t xml:space="preserve">MARTHA CECILIA TELLO </t>
  </si>
  <si>
    <t>771-2025</t>
  </si>
  <si>
    <t>NATALIA ANDREA LATORRE RUANO</t>
  </si>
  <si>
    <t>844-2025</t>
  </si>
  <si>
    <t>SILVIA MARGENYS ENRIQUEZ RODRIGUEZ</t>
  </si>
  <si>
    <t>861-2025</t>
  </si>
  <si>
    <t>JESSICA ANDREA NARVAEZ NOGUERA</t>
  </si>
  <si>
    <t>878-2025</t>
  </si>
  <si>
    <t>SANDRA  JULIETH  GOMEZ GOMEZ</t>
  </si>
  <si>
    <t>835-2025</t>
  </si>
  <si>
    <t>ALEXANDER GEOVANNI YELA ENRIQUEZ</t>
  </si>
  <si>
    <t>1076-2025</t>
  </si>
  <si>
    <t>BIOPTICAS DE COLOMBIA SAS</t>
  </si>
  <si>
    <t>2025002555</t>
  </si>
  <si>
    <t>2025002631</t>
  </si>
  <si>
    <t>2025002677</t>
  </si>
  <si>
    <t>2025002687</t>
  </si>
  <si>
    <t>2025002688</t>
  </si>
  <si>
    <t>2025002689</t>
  </si>
  <si>
    <t>2025002690</t>
  </si>
  <si>
    <t>2025002691</t>
  </si>
  <si>
    <t>2025002692</t>
  </si>
  <si>
    <t>2025002699</t>
  </si>
  <si>
    <t>2025002700</t>
  </si>
  <si>
    <t>2025002703</t>
  </si>
  <si>
    <t>2025002704</t>
  </si>
  <si>
    <t>2025002706</t>
  </si>
  <si>
    <t>2025002707</t>
  </si>
  <si>
    <t>2025002708</t>
  </si>
  <si>
    <t>2025002709</t>
  </si>
  <si>
    <t>2025002710</t>
  </si>
  <si>
    <t>2025002711</t>
  </si>
  <si>
    <t>2025002712</t>
  </si>
  <si>
    <t>2025002714</t>
  </si>
  <si>
    <t>2025002715</t>
  </si>
  <si>
    <t>2025002728</t>
  </si>
  <si>
    <t>845-2025</t>
  </si>
  <si>
    <t>1085333467</t>
  </si>
  <si>
    <t>CAMILO ALBERTO BURGOS GOYES</t>
  </si>
  <si>
    <t>2025002729</t>
  </si>
  <si>
    <t>2025002731</t>
  </si>
  <si>
    <t>2025002732</t>
  </si>
  <si>
    <t>2025002733</t>
  </si>
  <si>
    <t>2025002734</t>
  </si>
  <si>
    <t>2025002735</t>
  </si>
  <si>
    <t>2025002736</t>
  </si>
  <si>
    <t>2025002737</t>
  </si>
  <si>
    <t>2025002738</t>
  </si>
  <si>
    <t>874-2025</t>
  </si>
  <si>
    <t>2025002742</t>
  </si>
  <si>
    <t>2025002743</t>
  </si>
  <si>
    <t>2025002744</t>
  </si>
  <si>
    <t>2025002745</t>
  </si>
  <si>
    <t>2025002746</t>
  </si>
  <si>
    <t>2025002747</t>
  </si>
  <si>
    <t>2025002748</t>
  </si>
  <si>
    <t>1087645341</t>
  </si>
  <si>
    <t>2025002749</t>
  </si>
  <si>
    <t>2025002750</t>
  </si>
  <si>
    <t>2025002751</t>
  </si>
  <si>
    <t>2025002768</t>
  </si>
  <si>
    <t>2025002773</t>
  </si>
  <si>
    <t>2025002774</t>
  </si>
  <si>
    <t>2025002778</t>
  </si>
  <si>
    <t>2025002779</t>
  </si>
  <si>
    <t>2025002780</t>
  </si>
  <si>
    <t>2025002781</t>
  </si>
  <si>
    <t>2025002782</t>
  </si>
  <si>
    <t>2025002783</t>
  </si>
  <si>
    <t>2025002784</t>
  </si>
  <si>
    <t>2025002785</t>
  </si>
  <si>
    <t>2025002786</t>
  </si>
  <si>
    <t>2025002787</t>
  </si>
  <si>
    <t>2025002789</t>
  </si>
  <si>
    <t>2025002790</t>
  </si>
  <si>
    <t>2025002791</t>
  </si>
  <si>
    <t>2025002792</t>
  </si>
  <si>
    <t>2025002793</t>
  </si>
  <si>
    <t>2025002794</t>
  </si>
  <si>
    <t>2025002795</t>
  </si>
  <si>
    <t>2025002799</t>
  </si>
  <si>
    <t>2025002800</t>
  </si>
  <si>
    <t>2025002802</t>
  </si>
  <si>
    <t>2025002803</t>
  </si>
  <si>
    <t>2025002804</t>
  </si>
  <si>
    <t>2025002805</t>
  </si>
  <si>
    <t>2025002806</t>
  </si>
  <si>
    <t>2025002807</t>
  </si>
  <si>
    <t>2025002808</t>
  </si>
  <si>
    <t>2025002809</t>
  </si>
  <si>
    <t>2025002810</t>
  </si>
  <si>
    <t>2025002811</t>
  </si>
  <si>
    <t>2025002812</t>
  </si>
  <si>
    <t>2025002813</t>
  </si>
  <si>
    <t>2025002814</t>
  </si>
  <si>
    <t>27090399</t>
  </si>
  <si>
    <t>2025002815</t>
  </si>
  <si>
    <t>2025002816</t>
  </si>
  <si>
    <t>2025002817</t>
  </si>
  <si>
    <t>2025002818</t>
  </si>
  <si>
    <t>2025002819</t>
  </si>
  <si>
    <t>2025002820</t>
  </si>
  <si>
    <t>2025002821</t>
  </si>
  <si>
    <t>2025002823</t>
  </si>
  <si>
    <t>2025002824</t>
  </si>
  <si>
    <t>2025002825</t>
  </si>
  <si>
    <t>2025002826</t>
  </si>
  <si>
    <t>2025002828</t>
  </si>
  <si>
    <t>2025002830</t>
  </si>
  <si>
    <t>2025002833</t>
  </si>
  <si>
    <t>2025002835</t>
  </si>
  <si>
    <t>2025002837</t>
  </si>
  <si>
    <t>2025002840</t>
  </si>
  <si>
    <t>2025002842</t>
  </si>
  <si>
    <t>1085284997</t>
  </si>
  <si>
    <t>2025002844</t>
  </si>
  <si>
    <t>2025002846</t>
  </si>
  <si>
    <t>2025002849</t>
  </si>
  <si>
    <t>2025002851</t>
  </si>
  <si>
    <t>2025002852</t>
  </si>
  <si>
    <t>2025002853</t>
  </si>
  <si>
    <t>2025002854</t>
  </si>
  <si>
    <t>2025002855</t>
  </si>
  <si>
    <t>2025002856</t>
  </si>
  <si>
    <t>2025002857</t>
  </si>
  <si>
    <t>2025002858</t>
  </si>
  <si>
    <t>2025002859</t>
  </si>
  <si>
    <t>2025002860</t>
  </si>
  <si>
    <t>2025002882</t>
  </si>
  <si>
    <t>2025002883</t>
  </si>
  <si>
    <t>2025002885</t>
  </si>
  <si>
    <t>2025002886</t>
  </si>
  <si>
    <t>2025002888</t>
  </si>
  <si>
    <t>2025002889</t>
  </si>
  <si>
    <t>2025002890</t>
  </si>
  <si>
    <t>2025002891</t>
  </si>
  <si>
    <t>2025002892</t>
  </si>
  <si>
    <t>2025002893</t>
  </si>
  <si>
    <t>2025002894</t>
  </si>
  <si>
    <t>2025002895</t>
  </si>
  <si>
    <t>2025002896</t>
  </si>
  <si>
    <t>2025002898</t>
  </si>
  <si>
    <t>2025002899</t>
  </si>
  <si>
    <t>2025002900</t>
  </si>
  <si>
    <t>2025002901</t>
  </si>
  <si>
    <t>2025002902</t>
  </si>
  <si>
    <t>36953590</t>
  </si>
  <si>
    <t>2025002903</t>
  </si>
  <si>
    <t>2025002904</t>
  </si>
  <si>
    <t>2025002905</t>
  </si>
  <si>
    <t>2025002906</t>
  </si>
  <si>
    <t>2025002907</t>
  </si>
  <si>
    <t>2025002909</t>
  </si>
  <si>
    <t>2025002910</t>
  </si>
  <si>
    <t>2025002911</t>
  </si>
  <si>
    <t>2025002912</t>
  </si>
  <si>
    <t>2025002913</t>
  </si>
  <si>
    <t>2025002914</t>
  </si>
  <si>
    <t>2025002915</t>
  </si>
  <si>
    <t>2025002916</t>
  </si>
  <si>
    <t>2025002917</t>
  </si>
  <si>
    <t>2025002918</t>
  </si>
  <si>
    <t>2025002919</t>
  </si>
  <si>
    <t>2025002920</t>
  </si>
  <si>
    <t>2025002921</t>
  </si>
  <si>
    <t>2025002922</t>
  </si>
  <si>
    <t>2025002923</t>
  </si>
  <si>
    <t>2025002924</t>
  </si>
  <si>
    <t>2025002926</t>
  </si>
  <si>
    <t>2025002927</t>
  </si>
  <si>
    <t>2025002928</t>
  </si>
  <si>
    <t>2025002929</t>
  </si>
  <si>
    <t>852-2025</t>
  </si>
  <si>
    <t>1088730615</t>
  </si>
  <si>
    <t>DANIELA CAROLINA NARVAEZ TORO</t>
  </si>
  <si>
    <t>2025002930</t>
  </si>
  <si>
    <t>2025002931</t>
  </si>
  <si>
    <t>2025002932</t>
  </si>
  <si>
    <t>2025002933</t>
  </si>
  <si>
    <t>2025002934</t>
  </si>
  <si>
    <t>2025002936</t>
  </si>
  <si>
    <t>2025002938</t>
  </si>
  <si>
    <t>2025002939</t>
  </si>
  <si>
    <t>2025002940</t>
  </si>
  <si>
    <t>2025002941</t>
  </si>
  <si>
    <t>2025002942</t>
  </si>
  <si>
    <t>2025002943</t>
  </si>
  <si>
    <t>2025002944</t>
  </si>
  <si>
    <t>2025002945</t>
  </si>
  <si>
    <t>2025002946</t>
  </si>
  <si>
    <t>2025002947</t>
  </si>
  <si>
    <t>2025002948</t>
  </si>
  <si>
    <t>2025002949</t>
  </si>
  <si>
    <t>2025002950</t>
  </si>
  <si>
    <t>2025002951</t>
  </si>
  <si>
    <t>2025002952</t>
  </si>
  <si>
    <t>2025002953</t>
  </si>
  <si>
    <t>2025002958</t>
  </si>
  <si>
    <t>2025002959</t>
  </si>
  <si>
    <t>2025002960</t>
  </si>
  <si>
    <t>2025002961</t>
  </si>
  <si>
    <t>2025002962</t>
  </si>
  <si>
    <t>2025002963</t>
  </si>
  <si>
    <t>2025002964</t>
  </si>
  <si>
    <t>2025002965</t>
  </si>
  <si>
    <t>2025002966</t>
  </si>
  <si>
    <t>2025002967</t>
  </si>
  <si>
    <t>2025002968</t>
  </si>
  <si>
    <t>2025002973</t>
  </si>
  <si>
    <t>2025002974</t>
  </si>
  <si>
    <t>2025002977</t>
  </si>
  <si>
    <t>2025002979</t>
  </si>
  <si>
    <t>2025002980</t>
  </si>
  <si>
    <t>2025002981</t>
  </si>
  <si>
    <t>2025002982</t>
  </si>
  <si>
    <t>2025002983</t>
  </si>
  <si>
    <t>2025002984</t>
  </si>
  <si>
    <t>2025002985</t>
  </si>
  <si>
    <t>2025002986</t>
  </si>
  <si>
    <t>2025002987</t>
  </si>
  <si>
    <t>2025002994</t>
  </si>
  <si>
    <t>2025002995</t>
  </si>
  <si>
    <t>2025002999</t>
  </si>
  <si>
    <t>2025003000</t>
  </si>
  <si>
    <t>2025003002</t>
  </si>
  <si>
    <t>2025003004</t>
  </si>
  <si>
    <t>2025003006</t>
  </si>
  <si>
    <t>2025003007</t>
  </si>
  <si>
    <t>2025003008</t>
  </si>
  <si>
    <t>2025003010</t>
  </si>
  <si>
    <t>2025003011</t>
  </si>
  <si>
    <t>2025003013</t>
  </si>
  <si>
    <t>2025003014</t>
  </si>
  <si>
    <t>2025003061</t>
  </si>
  <si>
    <t>2025003062</t>
  </si>
  <si>
    <t>2025003063</t>
  </si>
  <si>
    <t>2025003064</t>
  </si>
  <si>
    <t>2025003066</t>
  </si>
  <si>
    <t>2025003067</t>
  </si>
  <si>
    <t>2025003068</t>
  </si>
  <si>
    <t>2025003069</t>
  </si>
  <si>
    <t>2025003089</t>
  </si>
  <si>
    <t>27549931</t>
  </si>
  <si>
    <t>2025003144</t>
  </si>
  <si>
    <t>901329717</t>
  </si>
  <si>
    <t>2025003169</t>
  </si>
  <si>
    <t>2025003171</t>
  </si>
  <si>
    <t>2025003173</t>
  </si>
  <si>
    <t>2025003174</t>
  </si>
  <si>
    <t>2025003176</t>
  </si>
  <si>
    <t>2025003178</t>
  </si>
  <si>
    <t>2025003179</t>
  </si>
  <si>
    <t>2025003181</t>
  </si>
  <si>
    <t>2025003183</t>
  </si>
  <si>
    <t>1031-2025</t>
  </si>
  <si>
    <t>87070742</t>
  </si>
  <si>
    <t>DAVID ANDRES BOTINA CRIOLLO</t>
  </si>
  <si>
    <t>2025003184</t>
  </si>
  <si>
    <t>2025003185</t>
  </si>
  <si>
    <t>2025003188</t>
  </si>
  <si>
    <t>2025003189</t>
  </si>
  <si>
    <t>2025003191</t>
  </si>
  <si>
    <t>2025003193</t>
  </si>
  <si>
    <t>2025003195</t>
  </si>
  <si>
    <t>2025003197</t>
  </si>
  <si>
    <t>2025003199</t>
  </si>
  <si>
    <t>2025003201</t>
  </si>
  <si>
    <t>2025003204</t>
  </si>
  <si>
    <t>2025003206</t>
  </si>
  <si>
    <t>2025003246</t>
  </si>
  <si>
    <t>2025003247</t>
  </si>
  <si>
    <t>2025003249</t>
  </si>
  <si>
    <t>2025003252</t>
  </si>
  <si>
    <t>2025003254</t>
  </si>
  <si>
    <t>2025003255</t>
  </si>
  <si>
    <t>2025003256</t>
  </si>
  <si>
    <t>2025003257</t>
  </si>
  <si>
    <t>2025003258</t>
  </si>
  <si>
    <t>2025003261</t>
  </si>
  <si>
    <t>2025003262</t>
  </si>
  <si>
    <t>2025003263</t>
  </si>
  <si>
    <t>2025003264</t>
  </si>
  <si>
    <t>2025003265</t>
  </si>
  <si>
    <t>2025003266</t>
  </si>
  <si>
    <t>2025003267</t>
  </si>
  <si>
    <t>2025003268</t>
  </si>
  <si>
    <t>2025003269</t>
  </si>
  <si>
    <t>2025003270</t>
  </si>
  <si>
    <t>2025003272</t>
  </si>
  <si>
    <t>2025003273</t>
  </si>
  <si>
    <t>2025003275</t>
  </si>
  <si>
    <t>2025003276</t>
  </si>
  <si>
    <t>2025003278</t>
  </si>
  <si>
    <t>2025003279</t>
  </si>
  <si>
    <t>2025003280</t>
  </si>
  <si>
    <t>2025003282</t>
  </si>
  <si>
    <t>2025003283</t>
  </si>
  <si>
    <t>2025003284</t>
  </si>
  <si>
    <t>2025003285</t>
  </si>
  <si>
    <t>2025003286</t>
  </si>
  <si>
    <t>2025003290</t>
  </si>
  <si>
    <t>2025003291</t>
  </si>
  <si>
    <t>2025003292</t>
  </si>
  <si>
    <t>2025003293</t>
  </si>
  <si>
    <t>2025003294</t>
  </si>
  <si>
    <t>2025003295</t>
  </si>
  <si>
    <t>2025003296</t>
  </si>
  <si>
    <t>2025003297</t>
  </si>
  <si>
    <t>2025003298</t>
  </si>
  <si>
    <t>2025003299</t>
  </si>
  <si>
    <t>2025003300</t>
  </si>
  <si>
    <t>2025003301</t>
  </si>
  <si>
    <t>2025003302</t>
  </si>
  <si>
    <t>2025003304</t>
  </si>
  <si>
    <t>2025003305</t>
  </si>
  <si>
    <t>2025003306</t>
  </si>
  <si>
    <t>2025003308</t>
  </si>
  <si>
    <t>2025003309</t>
  </si>
  <si>
    <t>2025003310</t>
  </si>
  <si>
    <t>2025003311</t>
  </si>
  <si>
    <t>2025003312</t>
  </si>
  <si>
    <t>2025003314</t>
  </si>
  <si>
    <t>2025003316</t>
  </si>
  <si>
    <t>2025003318</t>
  </si>
  <si>
    <t>2025003320</t>
  </si>
  <si>
    <t>2025003322</t>
  </si>
  <si>
    <t>2025003323</t>
  </si>
  <si>
    <t>2025003324</t>
  </si>
  <si>
    <t>2025003325</t>
  </si>
  <si>
    <t>2025003326</t>
  </si>
  <si>
    <t>ID2087325713</t>
  </si>
  <si>
    <t>ID2087325714</t>
  </si>
  <si>
    <t>ID2087325715</t>
  </si>
  <si>
    <t>ID2087325716</t>
  </si>
  <si>
    <t>ID2087325717</t>
  </si>
  <si>
    <t>ID2087325718</t>
  </si>
  <si>
    <t>contrato</t>
  </si>
  <si>
    <t>suma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</si>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</sst>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0" borderId="0" xfId="0" applyNumberFormat="1" applyFont="1"/>
    <xf numFmtId="0" fontId="4" fillId="0" borderId="0" xfId="0" applyFont="1"/>
    <xf numFmtId="165" fontId="0" fillId="0" borderId="0" xfId="0" applyNumberFormat="1"/>
    <xf numFmtId="1" fontId="3" fillId="0" borderId="0" xfId="0" applyNumberFormat="1" applyFont="1"/>
    <xf numFmtId="1" fontId="0" fillId="0" borderId="0" xfId="0" applyNumberFormat="1"/>
    <xf numFmtId="0" fontId="2" fillId="0" borderId="0" xfId="0" applyFont="1"/>
    <xf numFmtId="2" fontId="4" fillId="0" borderId="0" xfId="0" applyNumberFormat="1" applyFont="1"/>
    <xf numFmtId="2" fontId="0" fillId="0" borderId="0" xfId="0" applyNumberFormat="1"/>
    <xf numFmtId="0" fontId="1" fillId="0" borderId="0" xfId="0" applyFont="1"/>
    <xf numFmtId="0" fontId="0" fillId="2" borderId="0" xfId="0" applyFill="1"/>
    <xf numFmtId="49" fontId="0" fillId="0" borderId="0" xfId="0" applyNumberFormat="1"/>
    <xf numFmtId="165" fontId="0" fillId="2" borderId="0" xfId="0" applyNumberFormat="1" applyFill="1"/>
    <xf numFmtId="165" fontId="1" fillId="2" borderId="0" xfId="0" applyNumberFormat="1" applyFont="1" applyFill="1"/>
    <xf numFmtId="166" fontId="3" fillId="0" borderId="0" xfId="0" applyNumberFormat="1" applyFont="1"/>
    <xf numFmtId="166" fontId="0" fillId="0" borderId="0" xfId="0" applyNumberFormat="1"/>
    <xf numFmtId="166" fontId="0" fillId="2" borderId="0" xfId="0" applyNumberFormat="1" applyFill="1"/>
    <xf numFmtId="166" fontId="1" fillId="2" borderId="0" xfId="0" applyNumberFormat="1" applyFont="1" applyFill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reporte_ser\RESOLUCION_873_TIPO_3.xlsx" TargetMode="External"/><Relationship Id="rId1" Type="http://schemas.openxmlformats.org/officeDocument/2006/relationships/externalLinkPath" Target="RESOLUCION_873_TIPO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 CARGAR"/>
      <sheetName val="ACTUALIZADO 2026"/>
    </sheetNames>
    <sheetDataSet>
      <sheetData sheetId="0"/>
      <sheetData sheetId="1">
        <row r="2">
          <cell r="A2" t="str">
            <v>1102-2025</v>
          </cell>
        </row>
        <row r="3">
          <cell r="A3" t="str">
            <v>847-2025</v>
          </cell>
        </row>
        <row r="4">
          <cell r="A4" t="str">
            <v>756-2025</v>
          </cell>
        </row>
        <row r="5">
          <cell r="A5" t="str">
            <v>754-2025</v>
          </cell>
        </row>
        <row r="6">
          <cell r="A6" t="str">
            <v>766-2025</v>
          </cell>
        </row>
        <row r="7">
          <cell r="A7" t="str">
            <v>750-2025</v>
          </cell>
        </row>
        <row r="8">
          <cell r="A8" t="str">
            <v>851-2025</v>
          </cell>
        </row>
        <row r="9">
          <cell r="A9" t="str">
            <v>1042-2025</v>
          </cell>
        </row>
        <row r="10">
          <cell r="A10" t="str">
            <v>913-2025</v>
          </cell>
        </row>
        <row r="11">
          <cell r="A11" t="str">
            <v>828-2025</v>
          </cell>
        </row>
        <row r="12">
          <cell r="A12" t="str">
            <v>883-2025</v>
          </cell>
        </row>
        <row r="13">
          <cell r="A13" t="str">
            <v>1013-2025</v>
          </cell>
        </row>
        <row r="14">
          <cell r="A14" t="str">
            <v>875-2025</v>
          </cell>
        </row>
        <row r="15">
          <cell r="A15" t="str">
            <v>1100-2025</v>
          </cell>
        </row>
        <row r="16">
          <cell r="A16" t="str">
            <v>706-2025</v>
          </cell>
        </row>
        <row r="17">
          <cell r="A17" t="str">
            <v>1092-2025</v>
          </cell>
        </row>
        <row r="18">
          <cell r="A18" t="str">
            <v>908-2025</v>
          </cell>
        </row>
        <row r="19">
          <cell r="A19" t="str">
            <v>849-2025</v>
          </cell>
        </row>
        <row r="20">
          <cell r="A20" t="str">
            <v>811-2025</v>
          </cell>
        </row>
        <row r="21">
          <cell r="A21" t="str">
            <v>862-2025</v>
          </cell>
        </row>
        <row r="22">
          <cell r="A22" t="str">
            <v>1098-2025</v>
          </cell>
        </row>
        <row r="23">
          <cell r="A23" t="str">
            <v>711-2025</v>
          </cell>
        </row>
        <row r="24">
          <cell r="A24" t="str">
            <v>928-2025</v>
          </cell>
        </row>
        <row r="25">
          <cell r="A25" t="str">
            <v>834-2025</v>
          </cell>
        </row>
        <row r="26">
          <cell r="A26" t="str">
            <v>1049-2025</v>
          </cell>
        </row>
        <row r="27">
          <cell r="A27" t="str">
            <v>1017-2025</v>
          </cell>
        </row>
        <row r="28">
          <cell r="A28" t="str">
            <v>1039-2025</v>
          </cell>
        </row>
        <row r="29">
          <cell r="A29" t="str">
            <v>959-2025</v>
          </cell>
        </row>
        <row r="30">
          <cell r="A30" t="str">
            <v>933-2025</v>
          </cell>
        </row>
        <row r="31">
          <cell r="A31" t="str">
            <v>1157-2025</v>
          </cell>
        </row>
        <row r="32">
          <cell r="A32" t="str">
            <v>905-2025</v>
          </cell>
        </row>
        <row r="33">
          <cell r="A33" t="str">
            <v>1148-2025</v>
          </cell>
        </row>
        <row r="34">
          <cell r="A34" t="str">
            <v>1142-2025</v>
          </cell>
        </row>
        <row r="35">
          <cell r="A35" t="str">
            <v>818-2025</v>
          </cell>
        </row>
        <row r="36">
          <cell r="A36" t="str">
            <v>1086-2025</v>
          </cell>
        </row>
        <row r="37">
          <cell r="A37" t="str">
            <v>1123-2025</v>
          </cell>
        </row>
        <row r="38">
          <cell r="A38" t="str">
            <v>749-2025</v>
          </cell>
        </row>
        <row r="39">
          <cell r="A39" t="str">
            <v>1105-2025</v>
          </cell>
        </row>
        <row r="40">
          <cell r="A40" t="str">
            <v>732-2025</v>
          </cell>
        </row>
        <row r="41">
          <cell r="A41" t="str">
            <v>827-2025</v>
          </cell>
        </row>
        <row r="42">
          <cell r="A42" t="str">
            <v>1069-2025</v>
          </cell>
        </row>
        <row r="43">
          <cell r="A43" t="str">
            <v>821-2025</v>
          </cell>
        </row>
        <row r="44">
          <cell r="A44" t="str">
            <v>854-2025</v>
          </cell>
        </row>
        <row r="45">
          <cell r="A45" t="str">
            <v>1053-2025</v>
          </cell>
        </row>
        <row r="46">
          <cell r="A46" t="str">
            <v>1000-2025</v>
          </cell>
        </row>
        <row r="47">
          <cell r="A47" t="str">
            <v>789-2025</v>
          </cell>
        </row>
        <row r="48">
          <cell r="A48" t="str">
            <v>1101-2025</v>
          </cell>
        </row>
        <row r="49">
          <cell r="A49" t="str">
            <v>1038-2025</v>
          </cell>
        </row>
        <row r="50">
          <cell r="A50" t="str">
            <v>820-2025</v>
          </cell>
        </row>
        <row r="51">
          <cell r="A51" t="str">
            <v>1043-2025</v>
          </cell>
        </row>
        <row r="52">
          <cell r="A52" t="str">
            <v>1150-2025</v>
          </cell>
        </row>
        <row r="53">
          <cell r="A53" t="str">
            <v>805-2025</v>
          </cell>
        </row>
        <row r="54">
          <cell r="A54" t="str">
            <v>842-2025</v>
          </cell>
        </row>
        <row r="55">
          <cell r="A55" t="str">
            <v>836-2025</v>
          </cell>
        </row>
        <row r="56">
          <cell r="A56" t="str">
            <v>1145-2025</v>
          </cell>
        </row>
        <row r="57">
          <cell r="A57" t="str">
            <v>1029-2025</v>
          </cell>
        </row>
        <row r="58">
          <cell r="A58" t="str">
            <v>809-2025</v>
          </cell>
        </row>
        <row r="59">
          <cell r="A59" t="str">
            <v>945-2025</v>
          </cell>
        </row>
        <row r="60">
          <cell r="A60" t="str">
            <v>843-2025</v>
          </cell>
        </row>
        <row r="61">
          <cell r="A61" t="str">
            <v>1104-2025</v>
          </cell>
        </row>
        <row r="62">
          <cell r="A62" t="str">
            <v>1066-2025</v>
          </cell>
        </row>
        <row r="63">
          <cell r="A63" t="str">
            <v>737-2025</v>
          </cell>
        </row>
        <row r="64">
          <cell r="A64" t="str">
            <v>1021-2025</v>
          </cell>
        </row>
        <row r="65">
          <cell r="A65" t="str">
            <v>730-2025</v>
          </cell>
        </row>
        <row r="66">
          <cell r="A66" t="str">
            <v>953-2025</v>
          </cell>
        </row>
        <row r="67">
          <cell r="A67" t="str">
            <v>1058-2025</v>
          </cell>
        </row>
        <row r="68">
          <cell r="A68" t="str">
            <v>1025-2025</v>
          </cell>
        </row>
        <row r="69">
          <cell r="A69" t="str">
            <v>1011-2025</v>
          </cell>
        </row>
        <row r="70">
          <cell r="A70" t="str">
            <v>841-2025</v>
          </cell>
        </row>
        <row r="71">
          <cell r="A71" t="str">
            <v>1126-2025</v>
          </cell>
        </row>
        <row r="72">
          <cell r="A72" t="str">
            <v>907-2025</v>
          </cell>
        </row>
        <row r="73">
          <cell r="A73" t="str">
            <v>1026-2025</v>
          </cell>
        </row>
        <row r="74">
          <cell r="A74" t="str">
            <v>824-2025</v>
          </cell>
        </row>
        <row r="75">
          <cell r="A75" t="str">
            <v>1143-2025</v>
          </cell>
        </row>
        <row r="76">
          <cell r="A76" t="str">
            <v>1022-2025</v>
          </cell>
        </row>
        <row r="77">
          <cell r="A77" t="str">
            <v>897-2025</v>
          </cell>
        </row>
        <row r="78">
          <cell r="A78" t="str">
            <v>900-2025</v>
          </cell>
        </row>
        <row r="79">
          <cell r="A79" t="str">
            <v>958-2025</v>
          </cell>
        </row>
        <row r="80">
          <cell r="A80" t="str">
            <v>840-2025</v>
          </cell>
        </row>
        <row r="81">
          <cell r="A81" t="str">
            <v>1015-2025</v>
          </cell>
        </row>
        <row r="82">
          <cell r="A82" t="str">
            <v>817-2025</v>
          </cell>
        </row>
        <row r="83">
          <cell r="A83" t="str">
            <v>1032-2025</v>
          </cell>
        </row>
        <row r="84">
          <cell r="A84" t="str">
            <v>885-2025</v>
          </cell>
        </row>
        <row r="85">
          <cell r="A85" t="str">
            <v>939-2025</v>
          </cell>
        </row>
        <row r="86">
          <cell r="A86" t="str">
            <v>859-2025</v>
          </cell>
        </row>
        <row r="87">
          <cell r="A87" t="str">
            <v>887-2025</v>
          </cell>
        </row>
        <row r="88">
          <cell r="A88" t="str">
            <v>1097-2025</v>
          </cell>
        </row>
        <row r="89">
          <cell r="A89" t="str">
            <v>714-2025</v>
          </cell>
        </row>
        <row r="90">
          <cell r="A90" t="str">
            <v>762-2025</v>
          </cell>
        </row>
        <row r="91">
          <cell r="A91" t="str">
            <v>877-2025</v>
          </cell>
        </row>
        <row r="92">
          <cell r="A92" t="str">
            <v>927-2025</v>
          </cell>
        </row>
        <row r="93">
          <cell r="A93" t="str">
            <v>777-2025</v>
          </cell>
        </row>
        <row r="94">
          <cell r="A94" t="str">
            <v>1055-2025</v>
          </cell>
        </row>
        <row r="95">
          <cell r="A95" t="str">
            <v>848-2025</v>
          </cell>
        </row>
        <row r="96">
          <cell r="A96" t="str">
            <v>806-2025</v>
          </cell>
        </row>
        <row r="97">
          <cell r="A97" t="str">
            <v>815-2025</v>
          </cell>
        </row>
        <row r="98">
          <cell r="A98" t="str">
            <v>752-2025</v>
          </cell>
        </row>
        <row r="99">
          <cell r="A99" t="str">
            <v>837-2025</v>
          </cell>
        </row>
        <row r="100">
          <cell r="A100" t="str">
            <v>797-2025</v>
          </cell>
        </row>
        <row r="101">
          <cell r="A101" t="str">
            <v>829-2025</v>
          </cell>
        </row>
        <row r="102">
          <cell r="A102" t="str">
            <v>723-2025</v>
          </cell>
        </row>
        <row r="103">
          <cell r="A103" t="str">
            <v>1113-2025</v>
          </cell>
        </row>
        <row r="104">
          <cell r="A104" t="str">
            <v>802-2025</v>
          </cell>
        </row>
        <row r="105">
          <cell r="A105" t="str">
            <v>1112-2025</v>
          </cell>
        </row>
        <row r="106">
          <cell r="A106" t="str">
            <v>987-2025</v>
          </cell>
        </row>
        <row r="107">
          <cell r="A107" t="str">
            <v>1155-2025</v>
          </cell>
        </row>
        <row r="108">
          <cell r="A108" t="str">
            <v>1088-2025</v>
          </cell>
        </row>
        <row r="109">
          <cell r="A109" t="str">
            <v>949-2025</v>
          </cell>
        </row>
        <row r="110">
          <cell r="A110" t="str">
            <v>1149-2025</v>
          </cell>
        </row>
        <row r="111">
          <cell r="A111" t="str">
            <v>1125-2025</v>
          </cell>
        </row>
        <row r="112">
          <cell r="A112" t="str">
            <v>868-2025</v>
          </cell>
        </row>
        <row r="113">
          <cell r="A113" t="str">
            <v>831-2025</v>
          </cell>
        </row>
        <row r="114">
          <cell r="A114" t="str">
            <v>731-2025</v>
          </cell>
        </row>
        <row r="115">
          <cell r="A115" t="str">
            <v>910-2025</v>
          </cell>
        </row>
        <row r="116">
          <cell r="A116" t="str">
            <v>1114-2025</v>
          </cell>
        </row>
        <row r="117">
          <cell r="A117" t="str">
            <v>745-2025</v>
          </cell>
        </row>
        <row r="118">
          <cell r="A118" t="str">
            <v>888-2025</v>
          </cell>
        </row>
        <row r="119">
          <cell r="A119" t="str">
            <v>1084-2025</v>
          </cell>
        </row>
        <row r="120">
          <cell r="A120" t="str">
            <v>839-2025</v>
          </cell>
        </row>
        <row r="121">
          <cell r="A121" t="str">
            <v>816-2025</v>
          </cell>
        </row>
        <row r="122">
          <cell r="A122" t="str">
            <v>925-2025</v>
          </cell>
        </row>
        <row r="123">
          <cell r="A123" t="str">
            <v>1028-2025</v>
          </cell>
        </row>
        <row r="124">
          <cell r="A124" t="str">
            <v>1159-2025</v>
          </cell>
        </row>
        <row r="125">
          <cell r="A125" t="str">
            <v>926-2025</v>
          </cell>
        </row>
        <row r="126">
          <cell r="A126" t="str">
            <v>794-2025</v>
          </cell>
        </row>
        <row r="127">
          <cell r="A127" t="str">
            <v>929-2025</v>
          </cell>
        </row>
        <row r="128">
          <cell r="A128" t="str">
            <v>1108-2025</v>
          </cell>
        </row>
        <row r="129">
          <cell r="A129" t="str">
            <v>1103-2025</v>
          </cell>
        </row>
        <row r="130">
          <cell r="A130" t="str">
            <v>906-2025</v>
          </cell>
        </row>
        <row r="131">
          <cell r="A131" t="str">
            <v>780-2025</v>
          </cell>
        </row>
        <row r="132">
          <cell r="A132" t="str">
            <v>889-2025</v>
          </cell>
        </row>
        <row r="133">
          <cell r="A133" t="str">
            <v>993-2025</v>
          </cell>
        </row>
        <row r="134">
          <cell r="A134" t="str">
            <v>855-2025</v>
          </cell>
        </row>
        <row r="135">
          <cell r="A135" t="str">
            <v>810-2025</v>
          </cell>
        </row>
        <row r="136">
          <cell r="A136" t="str">
            <v>781-2025</v>
          </cell>
        </row>
        <row r="137">
          <cell r="A137" t="str">
            <v>924-2025</v>
          </cell>
        </row>
        <row r="138">
          <cell r="A138" t="str">
            <v>937-2025</v>
          </cell>
        </row>
        <row r="139">
          <cell r="A139" t="str">
            <v>934-2025</v>
          </cell>
        </row>
        <row r="140">
          <cell r="A140" t="str">
            <v>748-2025</v>
          </cell>
        </row>
        <row r="141">
          <cell r="A141" t="str">
            <v>1047-2025</v>
          </cell>
        </row>
        <row r="142">
          <cell r="A142" t="str">
            <v>983-2025</v>
          </cell>
        </row>
        <row r="143">
          <cell r="A143" t="str">
            <v>962-2025</v>
          </cell>
        </row>
        <row r="144">
          <cell r="A144" t="str">
            <v>931-2025</v>
          </cell>
        </row>
        <row r="145">
          <cell r="A145" t="str">
            <v>759-2025</v>
          </cell>
        </row>
        <row r="146">
          <cell r="A146" t="str">
            <v>822-2025</v>
          </cell>
        </row>
        <row r="147">
          <cell r="A147" t="str">
            <v>1122-2025</v>
          </cell>
        </row>
        <row r="148">
          <cell r="A148" t="str">
            <v>775-2025</v>
          </cell>
        </row>
        <row r="149">
          <cell r="A149" t="str">
            <v>1064-2025</v>
          </cell>
        </row>
        <row r="150">
          <cell r="A150" t="str">
            <v>1030-2025</v>
          </cell>
        </row>
        <row r="151">
          <cell r="A151" t="str">
            <v>1160-2025</v>
          </cell>
        </row>
        <row r="152">
          <cell r="A152" t="str">
            <v>1040-2025</v>
          </cell>
        </row>
        <row r="153">
          <cell r="A153" t="str">
            <v>819-2025</v>
          </cell>
        </row>
        <row r="154">
          <cell r="A154" t="str">
            <v>760-2025</v>
          </cell>
        </row>
        <row r="155">
          <cell r="A155" t="str">
            <v>864-2025</v>
          </cell>
        </row>
        <row r="156">
          <cell r="A156" t="str">
            <v>970-2025</v>
          </cell>
        </row>
        <row r="157">
          <cell r="A157" t="str">
            <v>992-2025</v>
          </cell>
        </row>
        <row r="158">
          <cell r="A158" t="str">
            <v>1027-2025</v>
          </cell>
        </row>
        <row r="159">
          <cell r="A159" t="str">
            <v>770-2025</v>
          </cell>
        </row>
        <row r="160">
          <cell r="A160" t="str">
            <v>791-2025</v>
          </cell>
        </row>
        <row r="161">
          <cell r="A161" t="str">
            <v>776-2025</v>
          </cell>
        </row>
        <row r="162">
          <cell r="A162" t="str">
            <v>726-2025</v>
          </cell>
        </row>
        <row r="163">
          <cell r="A163" t="str">
            <v>743-2025</v>
          </cell>
        </row>
        <row r="164">
          <cell r="A164" t="str">
            <v>790-2025</v>
          </cell>
        </row>
        <row r="165">
          <cell r="A165" t="str">
            <v>968-2025</v>
          </cell>
        </row>
        <row r="166">
          <cell r="A166" t="str">
            <v>769-2025</v>
          </cell>
        </row>
        <row r="167">
          <cell r="A167" t="str">
            <v>1158-2025</v>
          </cell>
        </row>
        <row r="168">
          <cell r="A168" t="str">
            <v>977-2025</v>
          </cell>
        </row>
        <row r="169">
          <cell r="A169" t="str">
            <v>792-2025</v>
          </cell>
        </row>
        <row r="170">
          <cell r="A170" t="str">
            <v>946-2025</v>
          </cell>
        </row>
        <row r="171">
          <cell r="A171" t="str">
            <v>963-2025</v>
          </cell>
        </row>
        <row r="172">
          <cell r="A172" t="str">
            <v>896-2025</v>
          </cell>
        </row>
        <row r="173">
          <cell r="A173" t="str">
            <v>1095-2025</v>
          </cell>
        </row>
        <row r="174">
          <cell r="A174" t="str">
            <v>1115-2025</v>
          </cell>
        </row>
        <row r="175">
          <cell r="A175" t="str">
            <v>755-2025</v>
          </cell>
        </row>
        <row r="176">
          <cell r="A176" t="str">
            <v>747-2025</v>
          </cell>
        </row>
        <row r="177">
          <cell r="A177" t="str">
            <v>916-2025</v>
          </cell>
        </row>
        <row r="178">
          <cell r="A178" t="str">
            <v>872-2025</v>
          </cell>
        </row>
        <row r="179">
          <cell r="A179" t="str">
            <v>1162-2025</v>
          </cell>
        </row>
        <row r="180">
          <cell r="A180" t="str">
            <v>833-2025</v>
          </cell>
        </row>
        <row r="181">
          <cell r="A181" t="str">
            <v>1060-2025</v>
          </cell>
        </row>
        <row r="182">
          <cell r="A182" t="str">
            <v>1067-2025</v>
          </cell>
        </row>
        <row r="183">
          <cell r="A183" t="str">
            <v>944-2025</v>
          </cell>
        </row>
        <row r="184">
          <cell r="A184" t="str">
            <v>807-2025</v>
          </cell>
        </row>
        <row r="185">
          <cell r="A185" t="str">
            <v>761-2025</v>
          </cell>
        </row>
        <row r="186">
          <cell r="A186" t="str">
            <v>850-2025</v>
          </cell>
        </row>
        <row r="187">
          <cell r="A187" t="str">
            <v>976-2025</v>
          </cell>
        </row>
        <row r="188">
          <cell r="A188" t="str">
            <v>740-2025</v>
          </cell>
        </row>
        <row r="189">
          <cell r="A189" t="str">
            <v>783-2025</v>
          </cell>
        </row>
        <row r="190">
          <cell r="A190" t="str">
            <v>1065-2025</v>
          </cell>
        </row>
        <row r="191">
          <cell r="A191" t="str">
            <v>860-2025</v>
          </cell>
        </row>
        <row r="192">
          <cell r="A192" t="str">
            <v>1128-2025</v>
          </cell>
        </row>
        <row r="193">
          <cell r="A193" t="str">
            <v>813-2025</v>
          </cell>
        </row>
        <row r="194">
          <cell r="A194" t="str">
            <v>1164-2025</v>
          </cell>
        </row>
        <row r="195">
          <cell r="A195" t="str">
            <v>873-2025</v>
          </cell>
        </row>
        <row r="196">
          <cell r="A196" t="str">
            <v>773-2025</v>
          </cell>
        </row>
        <row r="197">
          <cell r="A197" t="str">
            <v>1003-2025</v>
          </cell>
        </row>
        <row r="198">
          <cell r="A198" t="str">
            <v>1121-2025</v>
          </cell>
        </row>
        <row r="199">
          <cell r="A199" t="str">
            <v>1004-2025</v>
          </cell>
        </row>
        <row r="200">
          <cell r="A200" t="str">
            <v>782-2025</v>
          </cell>
        </row>
        <row r="201">
          <cell r="A201" t="str">
            <v>803-2025</v>
          </cell>
        </row>
        <row r="202">
          <cell r="A202" t="str">
            <v>1165-2025</v>
          </cell>
        </row>
        <row r="203">
          <cell r="A203" t="str">
            <v>808-2025</v>
          </cell>
        </row>
        <row r="204">
          <cell r="A204" t="str">
            <v>1099-2025</v>
          </cell>
        </row>
        <row r="205">
          <cell r="A205" t="str">
            <v>793-2025</v>
          </cell>
        </row>
        <row r="206">
          <cell r="A206" t="str">
            <v>1111-2025</v>
          </cell>
        </row>
        <row r="207">
          <cell r="A207" t="str">
            <v>1033-2025</v>
          </cell>
        </row>
        <row r="208">
          <cell r="A208" t="str">
            <v>764-2025</v>
          </cell>
        </row>
        <row r="209">
          <cell r="A209" t="str">
            <v>778-2025</v>
          </cell>
        </row>
        <row r="210">
          <cell r="A210" t="str">
            <v>999-2025</v>
          </cell>
        </row>
        <row r="211">
          <cell r="A211" t="str">
            <v>826-2025</v>
          </cell>
        </row>
        <row r="212">
          <cell r="A212" t="str">
            <v>1020-2025</v>
          </cell>
        </row>
        <row r="213">
          <cell r="A213" t="str">
            <v>886-2025</v>
          </cell>
        </row>
        <row r="214">
          <cell r="A214" t="str">
            <v>1107-2025</v>
          </cell>
        </row>
        <row r="215">
          <cell r="A215" t="str">
            <v>869-2025</v>
          </cell>
        </row>
        <row r="216">
          <cell r="A216" t="str">
            <v>936-2025</v>
          </cell>
        </row>
        <row r="217">
          <cell r="A217" t="str">
            <v>1061-2025</v>
          </cell>
        </row>
        <row r="218">
          <cell r="A218" t="str">
            <v>757-2025</v>
          </cell>
        </row>
        <row r="219">
          <cell r="A219" t="str">
            <v>744-2025</v>
          </cell>
        </row>
        <row r="220">
          <cell r="A220" t="str">
            <v>917-2025</v>
          </cell>
        </row>
        <row r="221">
          <cell r="A221" t="str">
            <v>768-2025</v>
          </cell>
        </row>
        <row r="222">
          <cell r="A222" t="str">
            <v>890-2025</v>
          </cell>
        </row>
        <row r="223">
          <cell r="A223" t="str">
            <v>779-2025</v>
          </cell>
        </row>
        <row r="224">
          <cell r="A224" t="str">
            <v>787-2025</v>
          </cell>
        </row>
        <row r="225">
          <cell r="A225" t="str">
            <v>1140-2025</v>
          </cell>
        </row>
        <row r="226">
          <cell r="A226" t="str">
            <v>1139-2025</v>
          </cell>
        </row>
        <row r="227">
          <cell r="A227" t="str">
            <v>1151-2025</v>
          </cell>
        </row>
        <row r="228">
          <cell r="A228" t="str">
            <v>838-2025</v>
          </cell>
        </row>
        <row r="229">
          <cell r="A229" t="str">
            <v>980-2025</v>
          </cell>
        </row>
        <row r="230">
          <cell r="A230" t="str">
            <v>812-2025</v>
          </cell>
        </row>
        <row r="231">
          <cell r="A231" t="str">
            <v>948-2025</v>
          </cell>
        </row>
        <row r="232">
          <cell r="A232" t="str">
            <v>741-2025</v>
          </cell>
        </row>
        <row r="233">
          <cell r="A233" t="str">
            <v>1012-2025</v>
          </cell>
        </row>
        <row r="234">
          <cell r="A234" t="str">
            <v>1009-2025</v>
          </cell>
        </row>
        <row r="235">
          <cell r="A235" t="str">
            <v>786-2025</v>
          </cell>
        </row>
        <row r="236">
          <cell r="A236" t="str">
            <v>1062-2025</v>
          </cell>
        </row>
        <row r="237">
          <cell r="A237" t="str">
            <v>767-2025</v>
          </cell>
        </row>
        <row r="238">
          <cell r="A238" t="str">
            <v>865-2025</v>
          </cell>
        </row>
        <row r="239">
          <cell r="A239" t="str">
            <v>912-2025</v>
          </cell>
        </row>
        <row r="240">
          <cell r="A240" t="str">
            <v>798-2025</v>
          </cell>
        </row>
        <row r="241">
          <cell r="A241" t="str">
            <v>876-2025</v>
          </cell>
        </row>
        <row r="242">
          <cell r="A242" t="str">
            <v>921-2025</v>
          </cell>
        </row>
        <row r="243">
          <cell r="A243" t="str">
            <v>1129-2025</v>
          </cell>
        </row>
        <row r="244">
          <cell r="A244" t="str">
            <v>1005-2025</v>
          </cell>
        </row>
        <row r="245">
          <cell r="A245" t="str">
            <v>1010-2025</v>
          </cell>
        </row>
        <row r="246">
          <cell r="A246" t="str">
            <v>1034-2025</v>
          </cell>
        </row>
        <row r="247">
          <cell r="A247" t="str">
            <v>1050-2025</v>
          </cell>
        </row>
        <row r="248">
          <cell r="A248" t="str">
            <v>903-2025</v>
          </cell>
        </row>
        <row r="249">
          <cell r="A249" t="str">
            <v>1048-2025</v>
          </cell>
        </row>
        <row r="250">
          <cell r="A250" t="str">
            <v>1167-2025</v>
          </cell>
        </row>
        <row r="251">
          <cell r="A251" t="str">
            <v>1007-2025</v>
          </cell>
        </row>
        <row r="252">
          <cell r="A252" t="str">
            <v>894-2025</v>
          </cell>
        </row>
        <row r="253">
          <cell r="A253" t="str">
            <v>1179-2025</v>
          </cell>
        </row>
        <row r="254">
          <cell r="A254" t="str">
            <v>772-2025</v>
          </cell>
        </row>
        <row r="255">
          <cell r="A255" t="str">
            <v>919-2025</v>
          </cell>
        </row>
        <row r="256">
          <cell r="A256" t="str">
            <v>1119-2025</v>
          </cell>
        </row>
        <row r="257">
          <cell r="A257" t="str">
            <v>784-2025</v>
          </cell>
        </row>
        <row r="258">
          <cell r="A258" t="str">
            <v>898-2025</v>
          </cell>
        </row>
        <row r="259">
          <cell r="A259" t="str">
            <v>938-2025</v>
          </cell>
        </row>
        <row r="260">
          <cell r="A260" t="str">
            <v>901-2025</v>
          </cell>
        </row>
        <row r="261">
          <cell r="A261" t="str">
            <v>1133-2025</v>
          </cell>
        </row>
        <row r="262">
          <cell r="A262" t="str">
            <v>1124-2025</v>
          </cell>
        </row>
        <row r="263">
          <cell r="A263" t="str">
            <v>830-2025</v>
          </cell>
        </row>
        <row r="264">
          <cell r="A264" t="str">
            <v>951-2025</v>
          </cell>
        </row>
        <row r="265">
          <cell r="A265" t="str">
            <v>991-2025</v>
          </cell>
        </row>
        <row r="266">
          <cell r="A266" t="str">
            <v>858-2025</v>
          </cell>
        </row>
        <row r="267">
          <cell r="A267" t="str">
            <v>1106-2025</v>
          </cell>
        </row>
        <row r="268">
          <cell r="A268" t="str">
            <v>774-2025</v>
          </cell>
        </row>
        <row r="269">
          <cell r="A269" t="str">
            <v>965-2025</v>
          </cell>
        </row>
        <row r="270">
          <cell r="A270" t="str">
            <v>804-2025</v>
          </cell>
        </row>
        <row r="271">
          <cell r="A271" t="str">
            <v>853-2025</v>
          </cell>
        </row>
        <row r="272">
          <cell r="A272" t="str">
            <v>982-2025</v>
          </cell>
        </row>
        <row r="273">
          <cell r="A273" t="str">
            <v>904-2025</v>
          </cell>
        </row>
        <row r="274">
          <cell r="A274" t="str">
            <v>966-2025</v>
          </cell>
        </row>
        <row r="275">
          <cell r="A275" t="str">
            <v>795-2025</v>
          </cell>
        </row>
        <row r="276">
          <cell r="A276" t="str">
            <v>960-2025</v>
          </cell>
        </row>
        <row r="277">
          <cell r="A277" t="str">
            <v>1184-2025</v>
          </cell>
        </row>
        <row r="278">
          <cell r="A278" t="str">
            <v>899-2025</v>
          </cell>
        </row>
        <row r="279">
          <cell r="A279" t="str">
            <v>763-2025</v>
          </cell>
        </row>
        <row r="280">
          <cell r="A280" t="str">
            <v>1063-2025</v>
          </cell>
        </row>
        <row r="281">
          <cell r="A281" t="str">
            <v>1094-2025</v>
          </cell>
        </row>
        <row r="282">
          <cell r="A282" t="str">
            <v>1185-2025</v>
          </cell>
        </row>
        <row r="283">
          <cell r="A283" t="str">
            <v>1194-2025</v>
          </cell>
        </row>
        <row r="284">
          <cell r="A284" t="str">
            <v>1197-2025</v>
          </cell>
        </row>
        <row r="285">
          <cell r="A285" t="str">
            <v>1198-2025</v>
          </cell>
        </row>
        <row r="286">
          <cell r="A286" t="str">
            <v>742-2025</v>
          </cell>
        </row>
        <row r="287">
          <cell r="A287" t="str">
            <v>1016-2025</v>
          </cell>
        </row>
        <row r="288">
          <cell r="A288" t="str">
            <v>1018-2025</v>
          </cell>
        </row>
        <row r="289">
          <cell r="A289" t="str">
            <v>1076-2025</v>
          </cell>
        </row>
        <row r="290">
          <cell r="A290" t="str">
            <v>1187-2025</v>
          </cell>
        </row>
        <row r="291">
          <cell r="A291" t="str">
            <v>957-2025</v>
          </cell>
        </row>
        <row r="292">
          <cell r="A292" t="str">
            <v>935-2025</v>
          </cell>
        </row>
        <row r="293">
          <cell r="A293" t="str">
            <v>1031-2025</v>
          </cell>
        </row>
        <row r="294">
          <cell r="A294" t="str">
            <v>844-2025</v>
          </cell>
        </row>
        <row r="295">
          <cell r="A295" t="str">
            <v>1087-2025</v>
          </cell>
        </row>
        <row r="296">
          <cell r="A296" t="str">
            <v>1075-2025</v>
          </cell>
        </row>
        <row r="297">
          <cell r="A297" t="str">
            <v>835-2025</v>
          </cell>
        </row>
        <row r="298">
          <cell r="A298" t="str">
            <v>1138-2025</v>
          </cell>
        </row>
        <row r="299">
          <cell r="A299" t="str">
            <v>832-2025</v>
          </cell>
        </row>
        <row r="300">
          <cell r="A300" t="str">
            <v>998-2025</v>
          </cell>
        </row>
        <row r="301">
          <cell r="A301" t="str">
            <v>796-2025</v>
          </cell>
        </row>
        <row r="302">
          <cell r="A302" t="str">
            <v>1068-2025</v>
          </cell>
        </row>
        <row r="303">
          <cell r="A303" t="str">
            <v>845-2025</v>
          </cell>
        </row>
        <row r="304">
          <cell r="A304" t="str">
            <v>1156-2025</v>
          </cell>
        </row>
        <row r="305">
          <cell r="A305" t="str">
            <v>878-2025</v>
          </cell>
        </row>
        <row r="306">
          <cell r="A306" t="str">
            <v>871-2025</v>
          </cell>
        </row>
        <row r="307">
          <cell r="A307" t="str">
            <v>771-2025</v>
          </cell>
        </row>
        <row r="308">
          <cell r="A308" t="str">
            <v>932-2025</v>
          </cell>
        </row>
        <row r="309">
          <cell r="A309" t="str">
            <v>852-2025</v>
          </cell>
        </row>
        <row r="310">
          <cell r="A310" t="str">
            <v>788-2025</v>
          </cell>
        </row>
        <row r="311">
          <cell r="A311" t="str">
            <v>1008-2025</v>
          </cell>
        </row>
        <row r="312">
          <cell r="A312" t="str">
            <v>947-2025</v>
          </cell>
        </row>
        <row r="313">
          <cell r="A313" t="str">
            <v>920-2025</v>
          </cell>
        </row>
        <row r="314">
          <cell r="A314" t="str">
            <v>861-2025</v>
          </cell>
        </row>
        <row r="315">
          <cell r="A315" t="str">
            <v>1147-2025</v>
          </cell>
        </row>
        <row r="316">
          <cell r="A316" t="str">
            <v>923-2025</v>
          </cell>
        </row>
        <row r="317">
          <cell r="A317" t="str">
            <v>909-2025</v>
          </cell>
        </row>
        <row r="318">
          <cell r="A318" t="str">
            <v>930-2025</v>
          </cell>
        </row>
        <row r="319">
          <cell r="A319" t="str">
            <v>895-2025</v>
          </cell>
        </row>
        <row r="320">
          <cell r="A320" t="str">
            <v>846-2025</v>
          </cell>
        </row>
        <row r="321">
          <cell r="A321" t="str">
            <v>1166-2025</v>
          </cell>
        </row>
        <row r="322">
          <cell r="A322" t="str">
            <v>941-2025</v>
          </cell>
        </row>
        <row r="323">
          <cell r="A323" t="str">
            <v>765-2025</v>
          </cell>
        </row>
        <row r="324">
          <cell r="A324" t="str">
            <v>952-2025</v>
          </cell>
        </row>
        <row r="325">
          <cell r="A325" t="str">
            <v>814-2025</v>
          </cell>
        </row>
        <row r="326">
          <cell r="A326" t="str">
            <v>856-2025</v>
          </cell>
        </row>
        <row r="327">
          <cell r="A327" t="str">
            <v>955-2025</v>
          </cell>
        </row>
        <row r="328">
          <cell r="A328" t="str">
            <v>950-2025</v>
          </cell>
        </row>
        <row r="329">
          <cell r="A329" t="str">
            <v>739-2025</v>
          </cell>
        </row>
        <row r="330">
          <cell r="A330" t="str">
            <v>823-2025</v>
          </cell>
        </row>
        <row r="331">
          <cell r="A331" t="str">
            <v>785-2025</v>
          </cell>
        </row>
        <row r="332">
          <cell r="A332" t="str">
            <v>918-2025</v>
          </cell>
        </row>
        <row r="333">
          <cell r="A333" t="str">
            <v>1180-2025</v>
          </cell>
        </row>
        <row r="334">
          <cell r="A334" t="str">
            <v>751-2025</v>
          </cell>
        </row>
        <row r="335">
          <cell r="A335" t="str">
            <v>857-2025</v>
          </cell>
        </row>
        <row r="336">
          <cell r="A336" t="str">
            <v>874-2025</v>
          </cell>
        </row>
        <row r="337">
          <cell r="A337" t="str">
            <v>1041-2025</v>
          </cell>
        </row>
        <row r="338">
          <cell r="A338" t="str">
            <v>696-2025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3586-1F91-43CD-B3A0-0D876EF89216}">
  <sheetPr filterMode="1"/>
  <dimension ref="A1:M563"/>
  <sheetViews>
    <sheetView tabSelected="1" workbookViewId="0">
      <selection activeCell="D572" sqref="D572"/>
    </sheetView>
  </sheetViews>
  <sheetFormatPr baseColWidth="10" defaultRowHeight="15" x14ac:dyDescent="0.25"/>
  <cols>
    <col min="6" max="6" width="56.7109375" customWidth="1"/>
    <col min="11" max="11" width="13.7109375" bestFit="1" customWidth="1"/>
  </cols>
  <sheetData>
    <row r="1" spans="1:13" x14ac:dyDescent="0.25">
      <c r="M1" s="9" t="s">
        <v>1013</v>
      </c>
    </row>
    <row r="2" spans="1:13" hidden="1" x14ac:dyDescent="0.25">
      <c r="A2" t="s">
        <v>930</v>
      </c>
      <c r="B2">
        <v>2025003339</v>
      </c>
      <c r="C2" t="s">
        <v>607</v>
      </c>
      <c r="D2" t="s">
        <v>931</v>
      </c>
      <c r="E2">
        <v>27105277</v>
      </c>
      <c r="F2" t="s">
        <v>609</v>
      </c>
      <c r="G2">
        <v>873</v>
      </c>
      <c r="J2">
        <v>873</v>
      </c>
      <c r="K2" t="s">
        <v>931</v>
      </c>
      <c r="M2">
        <f>VLOOKUP(PAGOS_ACTUALIZAR_2026!B2,'CARGADOS 2025 DICIEMBRE CIERRE'!B2:B557,1,0)</f>
        <v>2025003339</v>
      </c>
    </row>
    <row r="3" spans="1:13" hidden="1" x14ac:dyDescent="0.25">
      <c r="A3" t="s">
        <v>930</v>
      </c>
      <c r="B3">
        <v>2025003340</v>
      </c>
      <c r="C3" t="s">
        <v>154</v>
      </c>
      <c r="D3" t="s">
        <v>932</v>
      </c>
      <c r="E3">
        <v>1085265947</v>
      </c>
      <c r="F3" t="s">
        <v>155</v>
      </c>
      <c r="G3">
        <v>873</v>
      </c>
      <c r="J3">
        <v>873</v>
      </c>
      <c r="K3" t="s">
        <v>932</v>
      </c>
      <c r="M3">
        <f>VLOOKUP(PAGOS_ACTUALIZAR_2026!B3,'CARGADOS 2025 DICIEMBRE CIERRE'!B3:B558,1,0)</f>
        <v>2025003340</v>
      </c>
    </row>
    <row r="4" spans="1:13" hidden="1" x14ac:dyDescent="0.25">
      <c r="A4" t="s">
        <v>930</v>
      </c>
      <c r="B4">
        <v>2025003341</v>
      </c>
      <c r="C4" t="s">
        <v>617</v>
      </c>
      <c r="D4" t="s">
        <v>932</v>
      </c>
      <c r="E4">
        <v>27222016</v>
      </c>
      <c r="F4" t="s">
        <v>619</v>
      </c>
      <c r="G4">
        <v>873</v>
      </c>
      <c r="J4">
        <v>873</v>
      </c>
      <c r="K4" t="s">
        <v>932</v>
      </c>
      <c r="M4">
        <f>VLOOKUP(PAGOS_ACTUALIZAR_2026!B4,'CARGADOS 2025 DICIEMBRE CIERRE'!B4:B559,1,0)</f>
        <v>2025003341</v>
      </c>
    </row>
    <row r="5" spans="1:13" hidden="1" x14ac:dyDescent="0.25">
      <c r="A5" t="s">
        <v>930</v>
      </c>
      <c r="B5">
        <v>2025003342</v>
      </c>
      <c r="C5" t="s">
        <v>666</v>
      </c>
      <c r="D5" t="s">
        <v>933</v>
      </c>
      <c r="E5">
        <v>59313273</v>
      </c>
      <c r="F5" t="s">
        <v>668</v>
      </c>
      <c r="G5">
        <v>873</v>
      </c>
      <c r="J5">
        <v>873</v>
      </c>
      <c r="K5" t="s">
        <v>933</v>
      </c>
      <c r="M5">
        <f>VLOOKUP(PAGOS_ACTUALIZAR_2026!B5,'CARGADOS 2025 DICIEMBRE CIERRE'!B5:B560,1,0)</f>
        <v>2025003342</v>
      </c>
    </row>
    <row r="6" spans="1:13" hidden="1" x14ac:dyDescent="0.25">
      <c r="A6" t="s">
        <v>930</v>
      </c>
      <c r="B6">
        <v>2025003343</v>
      </c>
      <c r="C6" t="s">
        <v>758</v>
      </c>
      <c r="D6" t="s">
        <v>932</v>
      </c>
      <c r="E6">
        <v>1085331508</v>
      </c>
      <c r="F6" t="s">
        <v>760</v>
      </c>
      <c r="G6">
        <v>873</v>
      </c>
      <c r="J6">
        <v>873</v>
      </c>
      <c r="K6" t="s">
        <v>932</v>
      </c>
      <c r="M6">
        <f>VLOOKUP(PAGOS_ACTUALIZAR_2026!B6,'CARGADOS 2025 DICIEMBRE CIERRE'!B6:B561,1,0)</f>
        <v>2025003343</v>
      </c>
    </row>
    <row r="7" spans="1:13" hidden="1" x14ac:dyDescent="0.25">
      <c r="A7" t="s">
        <v>930</v>
      </c>
      <c r="B7">
        <v>2025003344</v>
      </c>
      <c r="C7" t="s">
        <v>147</v>
      </c>
      <c r="D7" t="s">
        <v>932</v>
      </c>
      <c r="E7">
        <v>27088197</v>
      </c>
      <c r="F7" t="s">
        <v>83</v>
      </c>
      <c r="G7">
        <v>873</v>
      </c>
      <c r="J7">
        <v>873</v>
      </c>
      <c r="K7" t="s">
        <v>932</v>
      </c>
      <c r="M7">
        <f>VLOOKUP(PAGOS_ACTUALIZAR_2026!B7,'CARGADOS 2025 DICIEMBRE CIERRE'!B7:B562,1,0)</f>
        <v>2025003344</v>
      </c>
    </row>
    <row r="8" spans="1:13" hidden="1" x14ac:dyDescent="0.25">
      <c r="A8" t="s">
        <v>930</v>
      </c>
      <c r="B8">
        <v>2025003345</v>
      </c>
      <c r="C8" t="s">
        <v>660</v>
      </c>
      <c r="D8" t="s">
        <v>934</v>
      </c>
      <c r="E8">
        <v>37085864</v>
      </c>
      <c r="F8" t="s">
        <v>662</v>
      </c>
      <c r="G8">
        <v>873</v>
      </c>
      <c r="J8">
        <v>873</v>
      </c>
      <c r="K8" t="s">
        <v>934</v>
      </c>
      <c r="M8">
        <f>VLOOKUP(PAGOS_ACTUALIZAR_2026!B8,'CARGADOS 2025 DICIEMBRE CIERRE'!B8:B563,1,0)</f>
        <v>2025003345</v>
      </c>
    </row>
    <row r="9" spans="1:13" hidden="1" x14ac:dyDescent="0.25">
      <c r="A9" t="s">
        <v>930</v>
      </c>
      <c r="B9">
        <v>2025003346</v>
      </c>
      <c r="C9" t="s">
        <v>761</v>
      </c>
      <c r="D9" t="s">
        <v>934</v>
      </c>
      <c r="E9">
        <v>1085254153</v>
      </c>
      <c r="F9" t="s">
        <v>763</v>
      </c>
      <c r="G9">
        <v>873</v>
      </c>
      <c r="J9">
        <v>873</v>
      </c>
      <c r="K9" t="s">
        <v>934</v>
      </c>
      <c r="M9">
        <f>VLOOKUP(PAGOS_ACTUALIZAR_2026!B9,'CARGADOS 2025 DICIEMBRE CIERRE'!B9:B564,1,0)</f>
        <v>2025003346</v>
      </c>
    </row>
    <row r="10" spans="1:13" hidden="1" x14ac:dyDescent="0.25">
      <c r="A10" t="s">
        <v>930</v>
      </c>
      <c r="B10">
        <v>2025003347</v>
      </c>
      <c r="C10" t="s">
        <v>764</v>
      </c>
      <c r="D10" t="s">
        <v>932</v>
      </c>
      <c r="E10">
        <v>1233192104</v>
      </c>
      <c r="F10" t="s">
        <v>766</v>
      </c>
      <c r="G10">
        <v>873</v>
      </c>
      <c r="J10">
        <v>873</v>
      </c>
      <c r="K10" t="s">
        <v>932</v>
      </c>
      <c r="M10">
        <f>VLOOKUP(PAGOS_ACTUALIZAR_2026!B10,'CARGADOS 2025 DICIEMBRE CIERRE'!B10:B565,1,0)</f>
        <v>2025003347</v>
      </c>
    </row>
    <row r="11" spans="1:13" hidden="1" x14ac:dyDescent="0.25">
      <c r="A11" t="s">
        <v>930</v>
      </c>
      <c r="B11">
        <v>2025003348</v>
      </c>
      <c r="C11" t="s">
        <v>767</v>
      </c>
      <c r="D11" t="s">
        <v>935</v>
      </c>
      <c r="E11">
        <v>1085307962</v>
      </c>
      <c r="F11" t="s">
        <v>936</v>
      </c>
      <c r="G11">
        <v>873</v>
      </c>
      <c r="J11">
        <v>873</v>
      </c>
      <c r="K11" t="s">
        <v>935</v>
      </c>
      <c r="M11">
        <f>VLOOKUP(PAGOS_ACTUALIZAR_2026!B11,'CARGADOS 2025 DICIEMBRE CIERRE'!B11:B566,1,0)</f>
        <v>2025003348</v>
      </c>
    </row>
    <row r="12" spans="1:13" hidden="1" x14ac:dyDescent="0.25">
      <c r="A12" t="s">
        <v>930</v>
      </c>
      <c r="B12">
        <v>2025003349</v>
      </c>
      <c r="C12" t="s">
        <v>256</v>
      </c>
      <c r="D12" t="s">
        <v>931</v>
      </c>
      <c r="E12">
        <v>1005829176</v>
      </c>
      <c r="F12" t="s">
        <v>937</v>
      </c>
      <c r="G12">
        <v>873</v>
      </c>
      <c r="J12">
        <v>873</v>
      </c>
      <c r="K12" t="s">
        <v>931</v>
      </c>
      <c r="M12">
        <f>VLOOKUP(PAGOS_ACTUALIZAR_2026!B12,'CARGADOS 2025 DICIEMBRE CIERRE'!B12:B567,1,0)</f>
        <v>2025003349</v>
      </c>
    </row>
    <row r="13" spans="1:13" hidden="1" x14ac:dyDescent="0.25">
      <c r="A13" t="s">
        <v>930</v>
      </c>
      <c r="B13">
        <v>2025003350</v>
      </c>
      <c r="C13" t="s">
        <v>620</v>
      </c>
      <c r="D13" t="s">
        <v>935</v>
      </c>
      <c r="E13">
        <v>87065647</v>
      </c>
      <c r="F13" t="s">
        <v>622</v>
      </c>
      <c r="G13">
        <v>873</v>
      </c>
      <c r="J13">
        <v>873</v>
      </c>
      <c r="K13" t="s">
        <v>935</v>
      </c>
      <c r="M13">
        <f>VLOOKUP(PAGOS_ACTUALIZAR_2026!B13,'CARGADOS 2025 DICIEMBRE CIERRE'!B13:B568,1,0)</f>
        <v>2025003350</v>
      </c>
    </row>
    <row r="14" spans="1:13" hidden="1" x14ac:dyDescent="0.25">
      <c r="A14" t="s">
        <v>930</v>
      </c>
      <c r="B14">
        <v>2025003352</v>
      </c>
      <c r="C14" t="s">
        <v>604</v>
      </c>
      <c r="D14" t="s">
        <v>932</v>
      </c>
      <c r="E14">
        <v>27285974</v>
      </c>
      <c r="F14" t="s">
        <v>938</v>
      </c>
      <c r="G14">
        <v>873</v>
      </c>
      <c r="J14">
        <v>873</v>
      </c>
      <c r="K14" t="s">
        <v>932</v>
      </c>
      <c r="M14">
        <f>VLOOKUP(PAGOS_ACTUALIZAR_2026!B14,'CARGADOS 2025 DICIEMBRE CIERRE'!B14:B569,1,0)</f>
        <v>2025003352</v>
      </c>
    </row>
    <row r="15" spans="1:13" hidden="1" x14ac:dyDescent="0.25">
      <c r="A15" t="s">
        <v>930</v>
      </c>
      <c r="B15">
        <v>2025003353</v>
      </c>
      <c r="C15" t="s">
        <v>542</v>
      </c>
      <c r="D15" t="s">
        <v>933</v>
      </c>
      <c r="E15">
        <v>1085253462</v>
      </c>
      <c r="F15" t="s">
        <v>544</v>
      </c>
      <c r="G15">
        <v>873</v>
      </c>
      <c r="J15">
        <v>873</v>
      </c>
      <c r="K15" t="s">
        <v>933</v>
      </c>
      <c r="M15">
        <f>VLOOKUP(PAGOS_ACTUALIZAR_2026!B15,'CARGADOS 2025 DICIEMBRE CIERRE'!B15:B570,1,0)</f>
        <v>2025003353</v>
      </c>
    </row>
    <row r="16" spans="1:13" hidden="1" x14ac:dyDescent="0.25">
      <c r="A16" t="s">
        <v>930</v>
      </c>
      <c r="B16">
        <v>2025003355</v>
      </c>
      <c r="C16" t="s">
        <v>663</v>
      </c>
      <c r="D16" t="s">
        <v>932</v>
      </c>
      <c r="E16">
        <v>1088975658</v>
      </c>
      <c r="F16" t="s">
        <v>665</v>
      </c>
      <c r="G16">
        <v>873</v>
      </c>
      <c r="J16">
        <v>873</v>
      </c>
      <c r="K16" t="s">
        <v>932</v>
      </c>
      <c r="M16">
        <f>VLOOKUP(PAGOS_ACTUALIZAR_2026!B16,'CARGADOS 2025 DICIEMBRE CIERRE'!B16:B571,1,0)</f>
        <v>2025003355</v>
      </c>
    </row>
    <row r="17" spans="1:13" hidden="1" x14ac:dyDescent="0.25">
      <c r="A17" t="s">
        <v>930</v>
      </c>
      <c r="B17">
        <v>2025003356</v>
      </c>
      <c r="C17" t="s">
        <v>557</v>
      </c>
      <c r="D17" t="s">
        <v>932</v>
      </c>
      <c r="E17">
        <v>1137089268</v>
      </c>
      <c r="F17" t="s">
        <v>559</v>
      </c>
      <c r="G17">
        <v>873</v>
      </c>
      <c r="J17">
        <v>873</v>
      </c>
      <c r="K17" t="s">
        <v>932</v>
      </c>
      <c r="M17">
        <f>VLOOKUP(PAGOS_ACTUALIZAR_2026!B17,'CARGADOS 2025 DICIEMBRE CIERRE'!B17:B572,1,0)</f>
        <v>2025003356</v>
      </c>
    </row>
    <row r="18" spans="1:13" hidden="1" x14ac:dyDescent="0.25">
      <c r="A18" t="s">
        <v>930</v>
      </c>
      <c r="B18">
        <v>2025003357</v>
      </c>
      <c r="C18" t="s">
        <v>473</v>
      </c>
      <c r="D18" t="s">
        <v>933</v>
      </c>
      <c r="E18">
        <v>1137089036</v>
      </c>
      <c r="F18" t="s">
        <v>475</v>
      </c>
      <c r="G18">
        <v>873</v>
      </c>
      <c r="J18">
        <v>873</v>
      </c>
      <c r="K18" t="s">
        <v>933</v>
      </c>
      <c r="M18">
        <f>VLOOKUP(PAGOS_ACTUALIZAR_2026!B18,'CARGADOS 2025 DICIEMBRE CIERRE'!B18:B573,1,0)</f>
        <v>2025003357</v>
      </c>
    </row>
    <row r="19" spans="1:13" hidden="1" x14ac:dyDescent="0.25">
      <c r="A19" t="s">
        <v>930</v>
      </c>
      <c r="B19">
        <v>2025003358</v>
      </c>
      <c r="C19" t="s">
        <v>548</v>
      </c>
      <c r="D19" t="s">
        <v>934</v>
      </c>
      <c r="E19">
        <v>1085278004</v>
      </c>
      <c r="F19" t="s">
        <v>550</v>
      </c>
      <c r="G19">
        <v>873</v>
      </c>
      <c r="J19">
        <v>873</v>
      </c>
      <c r="K19" t="s">
        <v>934</v>
      </c>
      <c r="M19">
        <f>VLOOKUP(PAGOS_ACTUALIZAR_2026!B19,'CARGADOS 2025 DICIEMBRE CIERRE'!B19:B574,1,0)</f>
        <v>2025003358</v>
      </c>
    </row>
    <row r="20" spans="1:13" hidden="1" x14ac:dyDescent="0.25">
      <c r="A20" t="s">
        <v>930</v>
      </c>
      <c r="B20">
        <v>2025003359</v>
      </c>
      <c r="C20" t="s">
        <v>214</v>
      </c>
      <c r="D20" t="s">
        <v>931</v>
      </c>
      <c r="E20">
        <v>1087960287</v>
      </c>
      <c r="F20" t="s">
        <v>215</v>
      </c>
      <c r="G20">
        <v>873</v>
      </c>
      <c r="J20">
        <v>873</v>
      </c>
      <c r="K20" t="s">
        <v>931</v>
      </c>
      <c r="M20">
        <f>VLOOKUP(PAGOS_ACTUALIZAR_2026!B20,'CARGADOS 2025 DICIEMBRE CIERRE'!B20:B575,1,0)</f>
        <v>2025003359</v>
      </c>
    </row>
    <row r="21" spans="1:13" hidden="1" x14ac:dyDescent="0.25">
      <c r="A21" t="s">
        <v>930</v>
      </c>
      <c r="B21">
        <v>2025003361</v>
      </c>
      <c r="C21" t="s">
        <v>145</v>
      </c>
      <c r="D21" t="s">
        <v>932</v>
      </c>
      <c r="E21">
        <v>1081272656</v>
      </c>
      <c r="F21" t="s">
        <v>146</v>
      </c>
      <c r="G21">
        <v>873</v>
      </c>
      <c r="J21">
        <v>873</v>
      </c>
      <c r="K21" t="s">
        <v>932</v>
      </c>
      <c r="M21">
        <f>VLOOKUP(PAGOS_ACTUALIZAR_2026!B21,'CARGADOS 2025 DICIEMBRE CIERRE'!B21:B576,1,0)</f>
        <v>2025003361</v>
      </c>
    </row>
    <row r="22" spans="1:13" hidden="1" x14ac:dyDescent="0.25">
      <c r="A22" t="s">
        <v>939</v>
      </c>
      <c r="B22">
        <v>2025003387</v>
      </c>
      <c r="C22" t="s">
        <v>262</v>
      </c>
      <c r="D22" t="s">
        <v>932</v>
      </c>
      <c r="E22">
        <v>36758143</v>
      </c>
      <c r="F22" t="s">
        <v>263</v>
      </c>
      <c r="G22">
        <v>873</v>
      </c>
      <c r="J22">
        <v>873</v>
      </c>
      <c r="K22" t="s">
        <v>932</v>
      </c>
      <c r="M22">
        <f>VLOOKUP(PAGOS_ACTUALIZAR_2026!B22,'CARGADOS 2025 DICIEMBRE CIERRE'!B22:B577,1,0)</f>
        <v>2025003387</v>
      </c>
    </row>
    <row r="23" spans="1:13" hidden="1" x14ac:dyDescent="0.25">
      <c r="A23" t="s">
        <v>939</v>
      </c>
      <c r="B23">
        <v>2025003388</v>
      </c>
      <c r="C23" t="s">
        <v>268</v>
      </c>
      <c r="D23" t="s">
        <v>932</v>
      </c>
      <c r="E23">
        <v>59310853</v>
      </c>
      <c r="F23" t="s">
        <v>940</v>
      </c>
      <c r="G23">
        <v>873</v>
      </c>
      <c r="J23">
        <v>873</v>
      </c>
      <c r="K23" t="s">
        <v>932</v>
      </c>
      <c r="M23">
        <f>VLOOKUP(PAGOS_ACTUALIZAR_2026!B23,'CARGADOS 2025 DICIEMBRE CIERRE'!B23:B578,1,0)</f>
        <v>2025003388</v>
      </c>
    </row>
    <row r="24" spans="1:13" hidden="1" x14ac:dyDescent="0.25">
      <c r="A24" t="s">
        <v>939</v>
      </c>
      <c r="B24">
        <v>2025003389</v>
      </c>
      <c r="C24" t="s">
        <v>338</v>
      </c>
      <c r="D24" t="s">
        <v>934</v>
      </c>
      <c r="E24">
        <v>1085283868</v>
      </c>
      <c r="F24" t="s">
        <v>29</v>
      </c>
      <c r="G24">
        <v>873</v>
      </c>
      <c r="J24">
        <v>873</v>
      </c>
      <c r="K24" t="s">
        <v>934</v>
      </c>
      <c r="M24">
        <f>VLOOKUP(PAGOS_ACTUALIZAR_2026!B24,'CARGADOS 2025 DICIEMBRE CIERRE'!B24:B579,1,0)</f>
        <v>2025003389</v>
      </c>
    </row>
    <row r="25" spans="1:13" hidden="1" x14ac:dyDescent="0.25">
      <c r="A25" t="s">
        <v>939</v>
      </c>
      <c r="B25">
        <v>2025003390</v>
      </c>
      <c r="C25" t="s">
        <v>325</v>
      </c>
      <c r="D25" t="s">
        <v>935</v>
      </c>
      <c r="E25">
        <v>1144172704</v>
      </c>
      <c r="F25" t="s">
        <v>326</v>
      </c>
      <c r="G25">
        <v>873</v>
      </c>
      <c r="J25">
        <v>873</v>
      </c>
      <c r="K25" t="s">
        <v>935</v>
      </c>
      <c r="M25">
        <f>VLOOKUP(PAGOS_ACTUALIZAR_2026!B25,'CARGADOS 2025 DICIEMBRE CIERRE'!B25:B580,1,0)</f>
        <v>2025003390</v>
      </c>
    </row>
    <row r="26" spans="1:13" hidden="1" x14ac:dyDescent="0.25">
      <c r="A26" t="s">
        <v>939</v>
      </c>
      <c r="B26">
        <v>2025003391</v>
      </c>
      <c r="C26" t="s">
        <v>261</v>
      </c>
      <c r="D26" t="s">
        <v>935</v>
      </c>
      <c r="E26">
        <v>1085293105</v>
      </c>
      <c r="F26" t="s">
        <v>23</v>
      </c>
      <c r="G26">
        <v>873</v>
      </c>
      <c r="J26">
        <v>873</v>
      </c>
      <c r="K26" t="s">
        <v>935</v>
      </c>
      <c r="M26">
        <f>VLOOKUP(PAGOS_ACTUALIZAR_2026!B26,'CARGADOS 2025 DICIEMBRE CIERRE'!B26:B581,1,0)</f>
        <v>2025003391</v>
      </c>
    </row>
    <row r="27" spans="1:13" hidden="1" x14ac:dyDescent="0.25">
      <c r="A27" t="s">
        <v>939</v>
      </c>
      <c r="B27">
        <v>2025003392</v>
      </c>
      <c r="C27" t="s">
        <v>580</v>
      </c>
      <c r="D27" t="s">
        <v>931</v>
      </c>
      <c r="E27">
        <v>1085313870</v>
      </c>
      <c r="F27" t="s">
        <v>100</v>
      </c>
      <c r="G27">
        <v>873</v>
      </c>
      <c r="J27">
        <v>873</v>
      </c>
      <c r="K27" t="s">
        <v>931</v>
      </c>
      <c r="M27">
        <f>VLOOKUP(PAGOS_ACTUALIZAR_2026!B27,'CARGADOS 2025 DICIEMBRE CIERRE'!B27:B582,1,0)</f>
        <v>2025003392</v>
      </c>
    </row>
    <row r="28" spans="1:13" hidden="1" x14ac:dyDescent="0.25">
      <c r="A28" t="s">
        <v>939</v>
      </c>
      <c r="B28">
        <v>2025003393</v>
      </c>
      <c r="C28" t="s">
        <v>524</v>
      </c>
      <c r="D28" t="s">
        <v>933</v>
      </c>
      <c r="E28">
        <v>87060188</v>
      </c>
      <c r="F28" t="s">
        <v>526</v>
      </c>
      <c r="G28">
        <v>873</v>
      </c>
      <c r="J28">
        <v>873</v>
      </c>
      <c r="K28" t="s">
        <v>933</v>
      </c>
      <c r="M28">
        <f>VLOOKUP(PAGOS_ACTUALIZAR_2026!B28,'CARGADOS 2025 DICIEMBRE CIERRE'!B28:B583,1,0)</f>
        <v>2025003393</v>
      </c>
    </row>
    <row r="29" spans="1:13" hidden="1" x14ac:dyDescent="0.25">
      <c r="A29" t="s">
        <v>939</v>
      </c>
      <c r="B29">
        <v>2025003394</v>
      </c>
      <c r="C29" t="s">
        <v>534</v>
      </c>
      <c r="D29" t="s">
        <v>933</v>
      </c>
      <c r="E29">
        <v>1233190640</v>
      </c>
      <c r="F29" t="s">
        <v>536</v>
      </c>
      <c r="G29">
        <v>873</v>
      </c>
      <c r="J29">
        <v>873</v>
      </c>
      <c r="K29" t="s">
        <v>933</v>
      </c>
      <c r="M29">
        <f>VLOOKUP(PAGOS_ACTUALIZAR_2026!B29,'CARGADOS 2025 DICIEMBRE CIERRE'!B29:B584,1,0)</f>
        <v>2025003394</v>
      </c>
    </row>
    <row r="30" spans="1:13" hidden="1" x14ac:dyDescent="0.25">
      <c r="A30" t="s">
        <v>939</v>
      </c>
      <c r="B30">
        <v>2025003395</v>
      </c>
      <c r="C30" t="s">
        <v>267</v>
      </c>
      <c r="D30" t="s">
        <v>932</v>
      </c>
      <c r="E30">
        <v>1085271641</v>
      </c>
      <c r="F30" t="s">
        <v>941</v>
      </c>
      <c r="G30">
        <v>873</v>
      </c>
      <c r="J30">
        <v>873</v>
      </c>
      <c r="K30" t="s">
        <v>932</v>
      </c>
      <c r="M30">
        <f>VLOOKUP(PAGOS_ACTUALIZAR_2026!B30,'CARGADOS 2025 DICIEMBRE CIERRE'!B30:B585,1,0)</f>
        <v>2025003395</v>
      </c>
    </row>
    <row r="31" spans="1:13" hidden="1" x14ac:dyDescent="0.25">
      <c r="A31" t="s">
        <v>939</v>
      </c>
      <c r="B31">
        <v>2025003396</v>
      </c>
      <c r="C31" t="s">
        <v>359</v>
      </c>
      <c r="D31" t="s">
        <v>931</v>
      </c>
      <c r="E31">
        <v>1087414586</v>
      </c>
      <c r="F31" t="s">
        <v>99</v>
      </c>
      <c r="G31">
        <v>873</v>
      </c>
      <c r="J31">
        <v>873</v>
      </c>
      <c r="K31" t="s">
        <v>931</v>
      </c>
      <c r="M31">
        <f>VLOOKUP(PAGOS_ACTUALIZAR_2026!B31,'CARGADOS 2025 DICIEMBRE CIERRE'!B31:B586,1,0)</f>
        <v>2025003396</v>
      </c>
    </row>
    <row r="32" spans="1:13" hidden="1" x14ac:dyDescent="0.25">
      <c r="A32" t="s">
        <v>939</v>
      </c>
      <c r="B32">
        <v>2025003397</v>
      </c>
      <c r="C32" t="s">
        <v>587</v>
      </c>
      <c r="D32" t="s">
        <v>931</v>
      </c>
      <c r="E32">
        <v>1085331301</v>
      </c>
      <c r="F32" t="s">
        <v>942</v>
      </c>
      <c r="G32">
        <v>873</v>
      </c>
      <c r="J32">
        <v>873</v>
      </c>
      <c r="K32" t="s">
        <v>931</v>
      </c>
      <c r="M32">
        <f>VLOOKUP(PAGOS_ACTUALIZAR_2026!B32,'CARGADOS 2025 DICIEMBRE CIERRE'!B32:B587,1,0)</f>
        <v>2025003397</v>
      </c>
    </row>
    <row r="33" spans="1:13" hidden="1" x14ac:dyDescent="0.25">
      <c r="A33" t="s">
        <v>939</v>
      </c>
      <c r="B33">
        <v>2025003398</v>
      </c>
      <c r="C33" t="s">
        <v>520</v>
      </c>
      <c r="D33" t="s">
        <v>935</v>
      </c>
      <c r="E33">
        <v>1123327071</v>
      </c>
      <c r="F33" t="s">
        <v>522</v>
      </c>
      <c r="G33">
        <v>873</v>
      </c>
      <c r="J33">
        <v>873</v>
      </c>
      <c r="K33" t="s">
        <v>935</v>
      </c>
      <c r="M33">
        <f>VLOOKUP(PAGOS_ACTUALIZAR_2026!B33,'CARGADOS 2025 DICIEMBRE CIERRE'!B33:B588,1,0)</f>
        <v>2025003398</v>
      </c>
    </row>
    <row r="34" spans="1:13" hidden="1" x14ac:dyDescent="0.25">
      <c r="A34" t="s">
        <v>939</v>
      </c>
      <c r="B34">
        <v>2025003399</v>
      </c>
      <c r="C34" t="s">
        <v>569</v>
      </c>
      <c r="D34" t="s">
        <v>932</v>
      </c>
      <c r="E34">
        <v>1085275400</v>
      </c>
      <c r="F34" t="s">
        <v>571</v>
      </c>
      <c r="G34">
        <v>873</v>
      </c>
      <c r="J34">
        <v>873</v>
      </c>
      <c r="K34" t="s">
        <v>932</v>
      </c>
      <c r="M34">
        <f>VLOOKUP(PAGOS_ACTUALIZAR_2026!B34,'CARGADOS 2025 DICIEMBRE CIERRE'!B34:B589,1,0)</f>
        <v>2025003399</v>
      </c>
    </row>
    <row r="35" spans="1:13" hidden="1" x14ac:dyDescent="0.25">
      <c r="A35" t="s">
        <v>939</v>
      </c>
      <c r="B35">
        <v>2025003400</v>
      </c>
      <c r="C35" t="s">
        <v>770</v>
      </c>
      <c r="D35" t="s">
        <v>935</v>
      </c>
      <c r="E35">
        <v>1010141840</v>
      </c>
      <c r="F35" t="s">
        <v>772</v>
      </c>
      <c r="G35">
        <v>873</v>
      </c>
      <c r="J35">
        <v>873</v>
      </c>
      <c r="K35" t="s">
        <v>935</v>
      </c>
      <c r="M35">
        <f>VLOOKUP(PAGOS_ACTUALIZAR_2026!B35,'CARGADOS 2025 DICIEMBRE CIERRE'!B35:B590,1,0)</f>
        <v>2025003400</v>
      </c>
    </row>
    <row r="36" spans="1:13" hidden="1" x14ac:dyDescent="0.25">
      <c r="A36" t="s">
        <v>939</v>
      </c>
      <c r="B36">
        <v>2025003401</v>
      </c>
      <c r="C36" t="s">
        <v>527</v>
      </c>
      <c r="D36" t="s">
        <v>932</v>
      </c>
      <c r="E36">
        <v>1085346528</v>
      </c>
      <c r="F36" t="s">
        <v>529</v>
      </c>
      <c r="G36">
        <v>873</v>
      </c>
      <c r="J36">
        <v>873</v>
      </c>
      <c r="K36" t="s">
        <v>932</v>
      </c>
      <c r="M36">
        <f>VLOOKUP(PAGOS_ACTUALIZAR_2026!B36,'CARGADOS 2025 DICIEMBRE CIERRE'!B36:B591,1,0)</f>
        <v>2025003401</v>
      </c>
    </row>
    <row r="37" spans="1:13" hidden="1" x14ac:dyDescent="0.25">
      <c r="A37" t="s">
        <v>939</v>
      </c>
      <c r="B37">
        <v>2025003402</v>
      </c>
      <c r="C37" t="s">
        <v>773</v>
      </c>
      <c r="D37" t="s">
        <v>932</v>
      </c>
      <c r="E37">
        <v>1085344795</v>
      </c>
      <c r="F37" t="s">
        <v>84</v>
      </c>
      <c r="G37">
        <v>873</v>
      </c>
      <c r="J37">
        <v>873</v>
      </c>
      <c r="K37" t="s">
        <v>932</v>
      </c>
      <c r="M37">
        <f>VLOOKUP(PAGOS_ACTUALIZAR_2026!B37,'CARGADOS 2025 DICIEMBRE CIERRE'!B37:B592,1,0)</f>
        <v>2025003402</v>
      </c>
    </row>
    <row r="38" spans="1:13" hidden="1" x14ac:dyDescent="0.25">
      <c r="A38" t="s">
        <v>939</v>
      </c>
      <c r="B38">
        <v>2025003403</v>
      </c>
      <c r="C38" t="s">
        <v>336</v>
      </c>
      <c r="D38" t="s">
        <v>931</v>
      </c>
      <c r="E38">
        <v>27087475</v>
      </c>
      <c r="F38" t="s">
        <v>943</v>
      </c>
      <c r="G38">
        <v>873</v>
      </c>
      <c r="J38">
        <v>873</v>
      </c>
      <c r="K38" t="s">
        <v>931</v>
      </c>
      <c r="M38">
        <f>VLOOKUP(PAGOS_ACTUALIZAR_2026!B38,'CARGADOS 2025 DICIEMBRE CIERRE'!B38:B593,1,0)</f>
        <v>2025003403</v>
      </c>
    </row>
    <row r="39" spans="1:13" hidden="1" x14ac:dyDescent="0.25">
      <c r="A39" t="s">
        <v>939</v>
      </c>
      <c r="B39">
        <v>2025003404</v>
      </c>
      <c r="C39" t="s">
        <v>140</v>
      </c>
      <c r="D39" t="s">
        <v>934</v>
      </c>
      <c r="E39">
        <v>59825948</v>
      </c>
      <c r="F39" t="s">
        <v>62</v>
      </c>
      <c r="G39">
        <v>873</v>
      </c>
      <c r="J39">
        <v>873</v>
      </c>
      <c r="K39" t="s">
        <v>934</v>
      </c>
      <c r="M39">
        <f>VLOOKUP(PAGOS_ACTUALIZAR_2026!B39,'CARGADOS 2025 DICIEMBRE CIERRE'!B39:B594,1,0)</f>
        <v>2025003404</v>
      </c>
    </row>
    <row r="40" spans="1:13" hidden="1" x14ac:dyDescent="0.25">
      <c r="A40" t="s">
        <v>939</v>
      </c>
      <c r="B40">
        <v>2025003405</v>
      </c>
      <c r="C40" t="s">
        <v>141</v>
      </c>
      <c r="D40" t="s">
        <v>934</v>
      </c>
      <c r="E40">
        <v>1010010954</v>
      </c>
      <c r="F40" t="s">
        <v>142</v>
      </c>
      <c r="G40">
        <v>873</v>
      </c>
      <c r="J40">
        <v>873</v>
      </c>
      <c r="K40" t="s">
        <v>934</v>
      </c>
      <c r="M40">
        <f>VLOOKUP(PAGOS_ACTUALIZAR_2026!B40,'CARGADOS 2025 DICIEMBRE CIERRE'!B40:B595,1,0)</f>
        <v>2025003405</v>
      </c>
    </row>
    <row r="41" spans="1:13" hidden="1" x14ac:dyDescent="0.25">
      <c r="A41" t="s">
        <v>939</v>
      </c>
      <c r="B41">
        <v>2025003406</v>
      </c>
      <c r="C41" t="s">
        <v>775</v>
      </c>
      <c r="D41" t="s">
        <v>932</v>
      </c>
      <c r="E41">
        <v>59833899</v>
      </c>
      <c r="F41" t="s">
        <v>944</v>
      </c>
      <c r="G41">
        <v>873</v>
      </c>
      <c r="J41">
        <v>873</v>
      </c>
      <c r="K41" t="s">
        <v>932</v>
      </c>
      <c r="M41">
        <f>VLOOKUP(PAGOS_ACTUALIZAR_2026!B41,'CARGADOS 2025 DICIEMBRE CIERRE'!B41:B596,1,0)</f>
        <v>2025003406</v>
      </c>
    </row>
    <row r="42" spans="1:13" hidden="1" x14ac:dyDescent="0.25">
      <c r="A42" t="s">
        <v>939</v>
      </c>
      <c r="B42">
        <v>2025003407</v>
      </c>
      <c r="C42" t="s">
        <v>657</v>
      </c>
      <c r="D42" t="s">
        <v>933</v>
      </c>
      <c r="E42">
        <v>1081282855</v>
      </c>
      <c r="F42" t="s">
        <v>659</v>
      </c>
      <c r="G42">
        <v>873</v>
      </c>
      <c r="J42">
        <v>873</v>
      </c>
      <c r="K42" t="s">
        <v>933</v>
      </c>
      <c r="M42">
        <f>VLOOKUP(PAGOS_ACTUALIZAR_2026!B42,'CARGADOS 2025 DICIEMBRE CIERRE'!B42:B597,1,0)</f>
        <v>2025003407</v>
      </c>
    </row>
    <row r="43" spans="1:13" hidden="1" x14ac:dyDescent="0.25">
      <c r="A43" t="s">
        <v>939</v>
      </c>
      <c r="B43">
        <v>2025003408</v>
      </c>
      <c r="C43" t="s">
        <v>638</v>
      </c>
      <c r="D43" t="s">
        <v>932</v>
      </c>
      <c r="E43">
        <v>27087122</v>
      </c>
      <c r="F43" t="s">
        <v>85</v>
      </c>
      <c r="G43">
        <v>873</v>
      </c>
      <c r="J43">
        <v>873</v>
      </c>
      <c r="K43" t="s">
        <v>932</v>
      </c>
      <c r="M43">
        <f>VLOOKUP(PAGOS_ACTUALIZAR_2026!B43,'CARGADOS 2025 DICIEMBRE CIERRE'!B43:B598,1,0)</f>
        <v>2025003408</v>
      </c>
    </row>
    <row r="44" spans="1:13" hidden="1" x14ac:dyDescent="0.25">
      <c r="A44" t="s">
        <v>939</v>
      </c>
      <c r="B44">
        <v>2025003409</v>
      </c>
      <c r="C44" t="s">
        <v>516</v>
      </c>
      <c r="D44" t="s">
        <v>933</v>
      </c>
      <c r="E44">
        <v>12974849</v>
      </c>
      <c r="F44" t="s">
        <v>37</v>
      </c>
      <c r="G44">
        <v>873</v>
      </c>
      <c r="J44">
        <v>873</v>
      </c>
      <c r="K44" t="s">
        <v>933</v>
      </c>
      <c r="M44">
        <f>VLOOKUP(PAGOS_ACTUALIZAR_2026!B44,'CARGADOS 2025 DICIEMBRE CIERRE'!B44:B599,1,0)</f>
        <v>2025003409</v>
      </c>
    </row>
    <row r="45" spans="1:13" hidden="1" x14ac:dyDescent="0.25">
      <c r="A45" t="s">
        <v>939</v>
      </c>
      <c r="B45">
        <v>2025003410</v>
      </c>
      <c r="C45" t="s">
        <v>327</v>
      </c>
      <c r="D45" t="s">
        <v>932</v>
      </c>
      <c r="E45">
        <v>1085315209</v>
      </c>
      <c r="F45" t="s">
        <v>328</v>
      </c>
      <c r="G45">
        <v>873</v>
      </c>
      <c r="J45">
        <v>873</v>
      </c>
      <c r="K45" t="s">
        <v>932</v>
      </c>
      <c r="M45">
        <f>VLOOKUP(PAGOS_ACTUALIZAR_2026!B45,'CARGADOS 2025 DICIEMBRE CIERRE'!B45:B600,1,0)</f>
        <v>2025003410</v>
      </c>
    </row>
    <row r="46" spans="1:13" hidden="1" x14ac:dyDescent="0.25">
      <c r="A46" t="s">
        <v>939</v>
      </c>
      <c r="B46">
        <v>2025003411</v>
      </c>
      <c r="C46" t="s">
        <v>572</v>
      </c>
      <c r="D46" t="s">
        <v>931</v>
      </c>
      <c r="E46">
        <v>37084258</v>
      </c>
      <c r="F46" t="s">
        <v>574</v>
      </c>
      <c r="G46">
        <v>873</v>
      </c>
      <c r="J46">
        <v>873</v>
      </c>
      <c r="K46" t="s">
        <v>931</v>
      </c>
      <c r="M46">
        <f>VLOOKUP(PAGOS_ACTUALIZAR_2026!B46,'CARGADOS 2025 DICIEMBRE CIERRE'!B46:B601,1,0)</f>
        <v>2025003411</v>
      </c>
    </row>
    <row r="47" spans="1:13" hidden="1" x14ac:dyDescent="0.25">
      <c r="A47" t="s">
        <v>939</v>
      </c>
      <c r="B47">
        <v>2025003412</v>
      </c>
      <c r="C47" t="s">
        <v>613</v>
      </c>
      <c r="D47" t="s">
        <v>932</v>
      </c>
      <c r="E47">
        <v>1085327677</v>
      </c>
      <c r="F47" t="s">
        <v>615</v>
      </c>
      <c r="G47">
        <v>873</v>
      </c>
      <c r="J47">
        <v>873</v>
      </c>
      <c r="K47" t="s">
        <v>932</v>
      </c>
      <c r="M47">
        <f>VLOOKUP(PAGOS_ACTUALIZAR_2026!B47,'CARGADOS 2025 DICIEMBRE CIERRE'!B47:B602,1,0)</f>
        <v>2025003412</v>
      </c>
    </row>
    <row r="48" spans="1:13" hidden="1" x14ac:dyDescent="0.25">
      <c r="A48" t="s">
        <v>939</v>
      </c>
      <c r="B48">
        <v>2025003413</v>
      </c>
      <c r="C48" t="s">
        <v>777</v>
      </c>
      <c r="D48" t="s">
        <v>932</v>
      </c>
      <c r="E48">
        <v>98391531</v>
      </c>
      <c r="F48" t="s">
        <v>779</v>
      </c>
      <c r="G48">
        <v>873</v>
      </c>
      <c r="J48">
        <v>873</v>
      </c>
      <c r="K48" t="s">
        <v>932</v>
      </c>
      <c r="M48">
        <f>VLOOKUP(PAGOS_ACTUALIZAR_2026!B48,'CARGADOS 2025 DICIEMBRE CIERRE'!B48:B603,1,0)</f>
        <v>2025003413</v>
      </c>
    </row>
    <row r="49" spans="1:13" hidden="1" x14ac:dyDescent="0.25">
      <c r="A49" t="s">
        <v>939</v>
      </c>
      <c r="B49">
        <v>2025003414</v>
      </c>
      <c r="C49" t="s">
        <v>333</v>
      </c>
      <c r="D49" t="s">
        <v>932</v>
      </c>
      <c r="E49">
        <v>1081594639</v>
      </c>
      <c r="F49" t="s">
        <v>14</v>
      </c>
      <c r="G49">
        <v>873</v>
      </c>
      <c r="J49">
        <v>873</v>
      </c>
      <c r="K49" t="s">
        <v>932</v>
      </c>
      <c r="M49">
        <f>VLOOKUP(PAGOS_ACTUALIZAR_2026!B49,'CARGADOS 2025 DICIEMBRE CIERRE'!B49:B604,1,0)</f>
        <v>2025003414</v>
      </c>
    </row>
    <row r="50" spans="1:13" hidden="1" x14ac:dyDescent="0.25">
      <c r="A50" t="s">
        <v>939</v>
      </c>
      <c r="B50">
        <v>2025003415</v>
      </c>
      <c r="C50" t="s">
        <v>780</v>
      </c>
      <c r="D50" t="s">
        <v>945</v>
      </c>
      <c r="E50">
        <v>1089243630</v>
      </c>
      <c r="F50" t="s">
        <v>782</v>
      </c>
      <c r="G50">
        <v>873</v>
      </c>
      <c r="J50">
        <v>873</v>
      </c>
      <c r="K50" t="s">
        <v>945</v>
      </c>
      <c r="M50">
        <f>VLOOKUP(PAGOS_ACTUALIZAR_2026!B50,'CARGADOS 2025 DICIEMBRE CIERRE'!B50:B605,1,0)</f>
        <v>2025003415</v>
      </c>
    </row>
    <row r="51" spans="1:13" hidden="1" x14ac:dyDescent="0.25">
      <c r="A51" t="s">
        <v>939</v>
      </c>
      <c r="B51">
        <v>2025003416</v>
      </c>
      <c r="C51" t="s">
        <v>264</v>
      </c>
      <c r="D51" t="s">
        <v>935</v>
      </c>
      <c r="E51">
        <v>1193202097</v>
      </c>
      <c r="F51" t="s">
        <v>57</v>
      </c>
      <c r="G51">
        <v>873</v>
      </c>
      <c r="J51">
        <v>873</v>
      </c>
      <c r="K51" t="s">
        <v>935</v>
      </c>
      <c r="M51">
        <f>VLOOKUP(PAGOS_ACTUALIZAR_2026!B51,'CARGADOS 2025 DICIEMBRE CIERRE'!B51:B606,1,0)</f>
        <v>2025003416</v>
      </c>
    </row>
    <row r="52" spans="1:13" hidden="1" x14ac:dyDescent="0.25">
      <c r="A52" t="s">
        <v>939</v>
      </c>
      <c r="B52">
        <v>2025003417</v>
      </c>
      <c r="C52" t="s">
        <v>783</v>
      </c>
      <c r="D52" t="s">
        <v>932</v>
      </c>
      <c r="E52">
        <v>1085246674</v>
      </c>
      <c r="F52" t="s">
        <v>785</v>
      </c>
      <c r="G52">
        <v>873</v>
      </c>
      <c r="J52">
        <v>873</v>
      </c>
      <c r="K52" t="s">
        <v>932</v>
      </c>
      <c r="M52">
        <f>VLOOKUP(PAGOS_ACTUALIZAR_2026!B52,'CARGADOS 2025 DICIEMBRE CIERRE'!B52:B607,1,0)</f>
        <v>2025003417</v>
      </c>
    </row>
    <row r="53" spans="1:13" hidden="1" x14ac:dyDescent="0.25">
      <c r="A53" t="s">
        <v>939</v>
      </c>
      <c r="B53">
        <v>2025003418</v>
      </c>
      <c r="C53" t="s">
        <v>643</v>
      </c>
      <c r="D53" t="s">
        <v>933</v>
      </c>
      <c r="E53">
        <v>1085313195</v>
      </c>
      <c r="F53" t="s">
        <v>645</v>
      </c>
      <c r="G53">
        <v>873</v>
      </c>
      <c r="J53">
        <v>873</v>
      </c>
      <c r="K53" t="s">
        <v>933</v>
      </c>
      <c r="M53">
        <f>VLOOKUP(PAGOS_ACTUALIZAR_2026!B53,'CARGADOS 2025 DICIEMBRE CIERRE'!B53:B608,1,0)</f>
        <v>2025003418</v>
      </c>
    </row>
    <row r="54" spans="1:13" hidden="1" x14ac:dyDescent="0.25">
      <c r="A54" t="s">
        <v>939</v>
      </c>
      <c r="B54">
        <v>2025003419</v>
      </c>
      <c r="C54" t="s">
        <v>786</v>
      </c>
      <c r="D54" t="s">
        <v>932</v>
      </c>
      <c r="E54">
        <v>1086018841</v>
      </c>
      <c r="F54" t="s">
        <v>788</v>
      </c>
      <c r="G54">
        <v>873</v>
      </c>
      <c r="J54">
        <v>873</v>
      </c>
      <c r="K54" t="s">
        <v>932</v>
      </c>
      <c r="M54">
        <f>VLOOKUP(PAGOS_ACTUALIZAR_2026!B54,'CARGADOS 2025 DICIEMBRE CIERRE'!B54:B609,1,0)</f>
        <v>2025003419</v>
      </c>
    </row>
    <row r="55" spans="1:13" hidden="1" x14ac:dyDescent="0.25">
      <c r="A55" t="s">
        <v>939</v>
      </c>
      <c r="B55">
        <v>2025003420</v>
      </c>
      <c r="C55" t="s">
        <v>135</v>
      </c>
      <c r="D55" t="s">
        <v>934</v>
      </c>
      <c r="E55">
        <v>59836480</v>
      </c>
      <c r="F55" t="s">
        <v>789</v>
      </c>
      <c r="G55">
        <v>873</v>
      </c>
      <c r="J55">
        <v>873</v>
      </c>
      <c r="K55" t="s">
        <v>934</v>
      </c>
      <c r="M55">
        <f>VLOOKUP(PAGOS_ACTUALIZAR_2026!B55,'CARGADOS 2025 DICIEMBRE CIERRE'!B55:B610,1,0)</f>
        <v>2025003420</v>
      </c>
    </row>
    <row r="56" spans="1:13" hidden="1" x14ac:dyDescent="0.25">
      <c r="A56" t="s">
        <v>939</v>
      </c>
      <c r="B56">
        <v>2025003421</v>
      </c>
      <c r="C56" t="s">
        <v>331</v>
      </c>
      <c r="D56" t="s">
        <v>932</v>
      </c>
      <c r="E56">
        <v>1004508406</v>
      </c>
      <c r="F56" t="s">
        <v>332</v>
      </c>
      <c r="G56">
        <v>873</v>
      </c>
      <c r="J56">
        <v>873</v>
      </c>
      <c r="K56" t="s">
        <v>932</v>
      </c>
      <c r="M56">
        <f>VLOOKUP(PAGOS_ACTUALIZAR_2026!B56,'CARGADOS 2025 DICIEMBRE CIERRE'!B56:B611,1,0)</f>
        <v>2025003421</v>
      </c>
    </row>
    <row r="57" spans="1:13" hidden="1" x14ac:dyDescent="0.25">
      <c r="A57" t="s">
        <v>939</v>
      </c>
      <c r="B57">
        <v>2025003422</v>
      </c>
      <c r="C57" t="s">
        <v>335</v>
      </c>
      <c r="D57" t="s">
        <v>946</v>
      </c>
      <c r="E57">
        <v>36757221</v>
      </c>
      <c r="F57" t="s">
        <v>52</v>
      </c>
      <c r="G57">
        <v>873</v>
      </c>
      <c r="J57">
        <v>873</v>
      </c>
      <c r="K57" t="s">
        <v>946</v>
      </c>
      <c r="M57">
        <f>VLOOKUP(PAGOS_ACTUALIZAR_2026!B57,'CARGADOS 2025 DICIEMBRE CIERRE'!B57:B612,1,0)</f>
        <v>2025003422</v>
      </c>
    </row>
    <row r="58" spans="1:13" hidden="1" x14ac:dyDescent="0.25">
      <c r="A58" t="s">
        <v>939</v>
      </c>
      <c r="B58">
        <v>2025003423</v>
      </c>
      <c r="C58" t="s">
        <v>130</v>
      </c>
      <c r="D58" t="s">
        <v>932</v>
      </c>
      <c r="E58">
        <v>98382500</v>
      </c>
      <c r="F58" t="s">
        <v>30</v>
      </c>
      <c r="G58">
        <v>873</v>
      </c>
      <c r="J58">
        <v>873</v>
      </c>
      <c r="K58" t="s">
        <v>932</v>
      </c>
      <c r="M58">
        <f>VLOOKUP(PAGOS_ACTUALIZAR_2026!B58,'CARGADOS 2025 DICIEMBRE CIERRE'!B58:B613,1,0)</f>
        <v>2025003423</v>
      </c>
    </row>
    <row r="59" spans="1:13" hidden="1" x14ac:dyDescent="0.25">
      <c r="A59" t="s">
        <v>939</v>
      </c>
      <c r="B59">
        <v>2025003425</v>
      </c>
      <c r="C59" t="s">
        <v>790</v>
      </c>
      <c r="D59" t="s">
        <v>932</v>
      </c>
      <c r="E59">
        <v>59830040</v>
      </c>
      <c r="F59" t="s">
        <v>92</v>
      </c>
      <c r="G59">
        <v>873</v>
      </c>
      <c r="J59">
        <v>873</v>
      </c>
      <c r="K59" t="s">
        <v>932</v>
      </c>
      <c r="M59">
        <f>VLOOKUP(PAGOS_ACTUALIZAR_2026!B59,'CARGADOS 2025 DICIEMBRE CIERRE'!B59:B614,1,0)</f>
        <v>2025003425</v>
      </c>
    </row>
    <row r="60" spans="1:13" hidden="1" x14ac:dyDescent="0.25">
      <c r="A60" t="s">
        <v>939</v>
      </c>
      <c r="B60">
        <v>2025003437</v>
      </c>
      <c r="C60" t="s">
        <v>792</v>
      </c>
      <c r="D60" t="s">
        <v>932</v>
      </c>
      <c r="E60">
        <v>1085266584</v>
      </c>
      <c r="F60" t="s">
        <v>69</v>
      </c>
      <c r="G60">
        <v>873</v>
      </c>
      <c r="J60">
        <v>873</v>
      </c>
      <c r="K60" t="s">
        <v>932</v>
      </c>
      <c r="M60">
        <f>VLOOKUP(PAGOS_ACTUALIZAR_2026!B60,'CARGADOS 2025 DICIEMBRE CIERRE'!B60:B615,1,0)</f>
        <v>2025003437</v>
      </c>
    </row>
    <row r="61" spans="1:13" hidden="1" x14ac:dyDescent="0.25">
      <c r="A61" t="s">
        <v>939</v>
      </c>
      <c r="B61">
        <v>2025003442</v>
      </c>
      <c r="C61" t="s">
        <v>153</v>
      </c>
      <c r="D61" t="s">
        <v>932</v>
      </c>
      <c r="E61">
        <v>1081572043</v>
      </c>
      <c r="F61" t="s">
        <v>947</v>
      </c>
      <c r="G61">
        <v>873</v>
      </c>
      <c r="J61">
        <v>873</v>
      </c>
      <c r="K61" t="s">
        <v>932</v>
      </c>
      <c r="M61">
        <f>VLOOKUP(PAGOS_ACTUALIZAR_2026!B61,'CARGADOS 2025 DICIEMBRE CIERRE'!B61:B616,1,0)</f>
        <v>2025003442</v>
      </c>
    </row>
    <row r="62" spans="1:13" hidden="1" x14ac:dyDescent="0.25">
      <c r="A62" t="s">
        <v>948</v>
      </c>
      <c r="B62">
        <v>2025003446</v>
      </c>
      <c r="C62" t="s">
        <v>334</v>
      </c>
      <c r="D62" t="s">
        <v>932</v>
      </c>
      <c r="E62">
        <v>1081592303</v>
      </c>
      <c r="F62" t="s">
        <v>949</v>
      </c>
      <c r="G62">
        <v>873</v>
      </c>
      <c r="J62">
        <v>873</v>
      </c>
      <c r="K62" t="s">
        <v>932</v>
      </c>
      <c r="M62">
        <f>VLOOKUP(PAGOS_ACTUALIZAR_2026!B62,'CARGADOS 2025 DICIEMBRE CIERRE'!B62:B617,1,0)</f>
        <v>2025003446</v>
      </c>
    </row>
    <row r="63" spans="1:13" hidden="1" x14ac:dyDescent="0.25">
      <c r="A63" t="s">
        <v>948</v>
      </c>
      <c r="B63">
        <v>2025003447</v>
      </c>
      <c r="C63" t="s">
        <v>794</v>
      </c>
      <c r="D63" t="s">
        <v>935</v>
      </c>
      <c r="E63">
        <v>12969231</v>
      </c>
      <c r="F63" t="s">
        <v>796</v>
      </c>
      <c r="G63">
        <v>873</v>
      </c>
      <c r="J63">
        <v>873</v>
      </c>
      <c r="K63" t="s">
        <v>935</v>
      </c>
      <c r="M63">
        <f>VLOOKUP(PAGOS_ACTUALIZAR_2026!B63,'CARGADOS 2025 DICIEMBRE CIERRE'!B63:B618,1,0)</f>
        <v>2025003447</v>
      </c>
    </row>
    <row r="64" spans="1:13" hidden="1" x14ac:dyDescent="0.25">
      <c r="A64" t="s">
        <v>948</v>
      </c>
      <c r="B64">
        <v>2025003449</v>
      </c>
      <c r="C64" t="s">
        <v>797</v>
      </c>
      <c r="D64" t="s">
        <v>932</v>
      </c>
      <c r="E64">
        <v>1088799080</v>
      </c>
      <c r="F64" t="s">
        <v>799</v>
      </c>
      <c r="G64">
        <v>873</v>
      </c>
      <c r="J64">
        <v>873</v>
      </c>
      <c r="K64" t="s">
        <v>932</v>
      </c>
      <c r="M64">
        <f>VLOOKUP(PAGOS_ACTUALIZAR_2026!B64,'CARGADOS 2025 DICIEMBRE CIERRE'!B64:B619,1,0)</f>
        <v>2025003449</v>
      </c>
    </row>
    <row r="65" spans="1:13" hidden="1" x14ac:dyDescent="0.25">
      <c r="A65" t="s">
        <v>948</v>
      </c>
      <c r="B65">
        <v>2025003450</v>
      </c>
      <c r="C65" t="s">
        <v>299</v>
      </c>
      <c r="D65" t="s">
        <v>934</v>
      </c>
      <c r="E65">
        <v>1004564013</v>
      </c>
      <c r="F65" t="s">
        <v>300</v>
      </c>
      <c r="G65">
        <v>873</v>
      </c>
      <c r="J65">
        <v>873</v>
      </c>
      <c r="K65" t="s">
        <v>934</v>
      </c>
      <c r="M65">
        <f>VLOOKUP(PAGOS_ACTUALIZAR_2026!B65,'CARGADOS 2025 DICIEMBRE CIERRE'!B65:B620,1,0)</f>
        <v>2025003450</v>
      </c>
    </row>
    <row r="66" spans="1:13" hidden="1" x14ac:dyDescent="0.25">
      <c r="A66" t="s">
        <v>948</v>
      </c>
      <c r="B66">
        <v>2025003451</v>
      </c>
      <c r="C66" t="s">
        <v>259</v>
      </c>
      <c r="D66" t="s">
        <v>934</v>
      </c>
      <c r="E66">
        <v>1085277976</v>
      </c>
      <c r="F66" t="s">
        <v>260</v>
      </c>
      <c r="G66">
        <v>873</v>
      </c>
      <c r="J66">
        <v>873</v>
      </c>
      <c r="K66" t="s">
        <v>934</v>
      </c>
      <c r="M66">
        <f>VLOOKUP(PAGOS_ACTUALIZAR_2026!B66,'CARGADOS 2025 DICIEMBRE CIERRE'!B66:B621,1,0)</f>
        <v>2025003451</v>
      </c>
    </row>
    <row r="67" spans="1:13" hidden="1" x14ac:dyDescent="0.25">
      <c r="A67" t="s">
        <v>948</v>
      </c>
      <c r="B67">
        <v>2025003452</v>
      </c>
      <c r="C67" t="s">
        <v>800</v>
      </c>
      <c r="D67" t="s">
        <v>935</v>
      </c>
      <c r="E67">
        <v>1233193848</v>
      </c>
      <c r="F67" t="s">
        <v>802</v>
      </c>
      <c r="G67">
        <v>873</v>
      </c>
      <c r="J67">
        <v>873</v>
      </c>
      <c r="K67" t="s">
        <v>935</v>
      </c>
      <c r="M67">
        <f>VLOOKUP(PAGOS_ACTUALIZAR_2026!B67,'CARGADOS 2025 DICIEMBRE CIERRE'!B67:B622,1,0)</f>
        <v>2025003452</v>
      </c>
    </row>
    <row r="68" spans="1:13" hidden="1" x14ac:dyDescent="0.25">
      <c r="A68" t="s">
        <v>948</v>
      </c>
      <c r="B68">
        <v>2025003453</v>
      </c>
      <c r="C68" t="s">
        <v>803</v>
      </c>
      <c r="D68" t="s">
        <v>933</v>
      </c>
      <c r="E68">
        <v>1085327836</v>
      </c>
      <c r="F68" t="s">
        <v>950</v>
      </c>
      <c r="G68">
        <v>873</v>
      </c>
      <c r="J68">
        <v>873</v>
      </c>
      <c r="K68" t="s">
        <v>933</v>
      </c>
      <c r="M68">
        <f>VLOOKUP(PAGOS_ACTUALIZAR_2026!B68,'CARGADOS 2025 DICIEMBRE CIERRE'!B68:B623,1,0)</f>
        <v>2025003453</v>
      </c>
    </row>
    <row r="69" spans="1:13" hidden="1" x14ac:dyDescent="0.25">
      <c r="A69" t="s">
        <v>948</v>
      </c>
      <c r="B69">
        <v>2025003454</v>
      </c>
      <c r="C69" t="s">
        <v>650</v>
      </c>
      <c r="D69" t="s">
        <v>933</v>
      </c>
      <c r="E69">
        <v>27082650</v>
      </c>
      <c r="F69" t="s">
        <v>951</v>
      </c>
      <c r="G69">
        <v>873</v>
      </c>
      <c r="J69">
        <v>873</v>
      </c>
      <c r="K69" t="s">
        <v>933</v>
      </c>
      <c r="M69">
        <f>VLOOKUP(PAGOS_ACTUALIZAR_2026!B69,'CARGADOS 2025 DICIEMBRE CIERRE'!B69:B624,1,0)</f>
        <v>2025003454</v>
      </c>
    </row>
    <row r="70" spans="1:13" hidden="1" x14ac:dyDescent="0.25">
      <c r="A70" t="s">
        <v>948</v>
      </c>
      <c r="B70">
        <v>2025003455</v>
      </c>
      <c r="C70" t="s">
        <v>805</v>
      </c>
      <c r="D70" t="s">
        <v>952</v>
      </c>
      <c r="E70">
        <v>27436186</v>
      </c>
      <c r="F70" t="s">
        <v>103</v>
      </c>
      <c r="G70">
        <v>873</v>
      </c>
      <c r="J70">
        <v>873</v>
      </c>
      <c r="K70" t="s">
        <v>952</v>
      </c>
      <c r="M70">
        <f>VLOOKUP(PAGOS_ACTUALIZAR_2026!B70,'CARGADOS 2025 DICIEMBRE CIERRE'!B70:B625,1,0)</f>
        <v>2025003455</v>
      </c>
    </row>
    <row r="71" spans="1:13" hidden="1" x14ac:dyDescent="0.25">
      <c r="A71" t="s">
        <v>948</v>
      </c>
      <c r="B71">
        <v>2025003456</v>
      </c>
      <c r="C71" t="s">
        <v>137</v>
      </c>
      <c r="D71" t="s">
        <v>932</v>
      </c>
      <c r="E71">
        <v>27082649</v>
      </c>
      <c r="F71" t="s">
        <v>953</v>
      </c>
      <c r="G71">
        <v>873</v>
      </c>
      <c r="J71">
        <v>873</v>
      </c>
      <c r="K71" t="s">
        <v>932</v>
      </c>
      <c r="M71">
        <f>VLOOKUP(PAGOS_ACTUALIZAR_2026!B71,'CARGADOS 2025 DICIEMBRE CIERRE'!B71:B626,1,0)</f>
        <v>2025003456</v>
      </c>
    </row>
    <row r="72" spans="1:13" hidden="1" x14ac:dyDescent="0.25">
      <c r="A72" t="s">
        <v>948</v>
      </c>
      <c r="B72">
        <v>2025003457</v>
      </c>
      <c r="C72" t="s">
        <v>131</v>
      </c>
      <c r="D72" t="s">
        <v>932</v>
      </c>
      <c r="E72">
        <v>59311295</v>
      </c>
      <c r="F72" t="s">
        <v>132</v>
      </c>
      <c r="G72">
        <v>873</v>
      </c>
      <c r="J72">
        <v>873</v>
      </c>
      <c r="K72" t="s">
        <v>932</v>
      </c>
      <c r="M72">
        <f>VLOOKUP(PAGOS_ACTUALIZAR_2026!B72,'CARGADOS 2025 DICIEMBRE CIERRE'!B72:B627,1,0)</f>
        <v>2025003457</v>
      </c>
    </row>
    <row r="73" spans="1:13" hidden="1" x14ac:dyDescent="0.25">
      <c r="A73" t="s">
        <v>948</v>
      </c>
      <c r="B73">
        <v>2025003458</v>
      </c>
      <c r="C73" t="s">
        <v>807</v>
      </c>
      <c r="D73" t="s">
        <v>932</v>
      </c>
      <c r="E73">
        <v>1088216350</v>
      </c>
      <c r="F73" t="s">
        <v>809</v>
      </c>
      <c r="G73">
        <v>873</v>
      </c>
      <c r="J73">
        <v>873</v>
      </c>
      <c r="K73" t="s">
        <v>932</v>
      </c>
      <c r="M73">
        <f>VLOOKUP(PAGOS_ACTUALIZAR_2026!B73,'CARGADOS 2025 DICIEMBRE CIERRE'!B73:B628,1,0)</f>
        <v>2025003458</v>
      </c>
    </row>
    <row r="74" spans="1:13" hidden="1" x14ac:dyDescent="0.25">
      <c r="A74" t="s">
        <v>948</v>
      </c>
      <c r="B74">
        <v>2025003459</v>
      </c>
      <c r="C74" t="s">
        <v>810</v>
      </c>
      <c r="D74" t="s">
        <v>933</v>
      </c>
      <c r="E74">
        <v>1085268450</v>
      </c>
      <c r="F74" t="s">
        <v>812</v>
      </c>
      <c r="G74">
        <v>873</v>
      </c>
      <c r="J74">
        <v>873</v>
      </c>
      <c r="K74" t="s">
        <v>933</v>
      </c>
      <c r="M74">
        <f>VLOOKUP(PAGOS_ACTUALIZAR_2026!B74,'CARGADOS 2025 DICIEMBRE CIERRE'!B74:B629,1,0)</f>
        <v>2025003459</v>
      </c>
    </row>
    <row r="75" spans="1:13" hidden="1" x14ac:dyDescent="0.25">
      <c r="A75" t="s">
        <v>948</v>
      </c>
      <c r="B75">
        <v>2025003460</v>
      </c>
      <c r="C75" t="s">
        <v>813</v>
      </c>
      <c r="D75" t="s">
        <v>932</v>
      </c>
      <c r="E75">
        <v>1085324685</v>
      </c>
      <c r="F75" t="s">
        <v>815</v>
      </c>
      <c r="G75">
        <v>873</v>
      </c>
      <c r="J75">
        <v>873</v>
      </c>
      <c r="K75" t="s">
        <v>932</v>
      </c>
      <c r="M75">
        <f>VLOOKUP(PAGOS_ACTUALIZAR_2026!B75,'CARGADOS 2025 DICIEMBRE CIERRE'!B75:B630,1,0)</f>
        <v>2025003460</v>
      </c>
    </row>
    <row r="76" spans="1:13" hidden="1" x14ac:dyDescent="0.25">
      <c r="A76" t="s">
        <v>948</v>
      </c>
      <c r="B76">
        <v>2025003461</v>
      </c>
      <c r="C76" t="s">
        <v>816</v>
      </c>
      <c r="D76" t="s">
        <v>952</v>
      </c>
      <c r="E76">
        <v>27549932</v>
      </c>
      <c r="F76" t="s">
        <v>818</v>
      </c>
      <c r="G76">
        <v>873</v>
      </c>
      <c r="J76">
        <v>873</v>
      </c>
      <c r="K76" t="s">
        <v>952</v>
      </c>
      <c r="M76">
        <f>VLOOKUP(PAGOS_ACTUALIZAR_2026!B76,'CARGADOS 2025 DICIEMBRE CIERRE'!B76:B631,1,0)</f>
        <v>2025003461</v>
      </c>
    </row>
    <row r="77" spans="1:13" hidden="1" x14ac:dyDescent="0.25">
      <c r="A77" t="s">
        <v>948</v>
      </c>
      <c r="B77">
        <v>2025003462</v>
      </c>
      <c r="C77" t="s">
        <v>575</v>
      </c>
      <c r="D77" t="s">
        <v>931</v>
      </c>
      <c r="E77">
        <v>1085293619</v>
      </c>
      <c r="F77" t="s">
        <v>954</v>
      </c>
      <c r="G77">
        <v>873</v>
      </c>
      <c r="J77">
        <v>873</v>
      </c>
      <c r="K77" t="s">
        <v>931</v>
      </c>
      <c r="M77">
        <f>VLOOKUP(PAGOS_ACTUALIZAR_2026!B77,'CARGADOS 2025 DICIEMBRE CIERRE'!B77:B632,1,0)</f>
        <v>2025003462</v>
      </c>
    </row>
    <row r="78" spans="1:13" hidden="1" x14ac:dyDescent="0.25">
      <c r="A78" t="s">
        <v>948</v>
      </c>
      <c r="B78">
        <v>2025003463</v>
      </c>
      <c r="C78" t="s">
        <v>819</v>
      </c>
      <c r="D78" t="s">
        <v>932</v>
      </c>
      <c r="E78">
        <v>1082748783</v>
      </c>
      <c r="F78" t="s">
        <v>102</v>
      </c>
      <c r="G78">
        <v>873</v>
      </c>
      <c r="J78">
        <v>873</v>
      </c>
      <c r="K78" t="s">
        <v>932</v>
      </c>
      <c r="M78">
        <f>VLOOKUP(PAGOS_ACTUALIZAR_2026!B78,'CARGADOS 2025 DICIEMBRE CIERRE'!B78:B633,1,0)</f>
        <v>2025003463</v>
      </c>
    </row>
    <row r="79" spans="1:13" hidden="1" x14ac:dyDescent="0.25">
      <c r="A79" t="s">
        <v>948</v>
      </c>
      <c r="B79">
        <v>2025003464</v>
      </c>
      <c r="C79" t="s">
        <v>653</v>
      </c>
      <c r="D79" t="s">
        <v>933</v>
      </c>
      <c r="E79">
        <v>59314118</v>
      </c>
      <c r="F79" t="s">
        <v>655</v>
      </c>
      <c r="G79">
        <v>873</v>
      </c>
      <c r="J79">
        <v>873</v>
      </c>
      <c r="K79" t="s">
        <v>933</v>
      </c>
      <c r="M79">
        <f>VLOOKUP(PAGOS_ACTUALIZAR_2026!B79,'CARGADOS 2025 DICIEMBRE CIERRE'!B79:B634,1,0)</f>
        <v>2025003464</v>
      </c>
    </row>
    <row r="80" spans="1:13" hidden="1" x14ac:dyDescent="0.25">
      <c r="A80" t="s">
        <v>948</v>
      </c>
      <c r="B80">
        <v>2025003465</v>
      </c>
      <c r="C80" t="s">
        <v>266</v>
      </c>
      <c r="D80" t="s">
        <v>931</v>
      </c>
      <c r="E80">
        <v>59651018</v>
      </c>
      <c r="F80" t="s">
        <v>18</v>
      </c>
      <c r="G80">
        <v>873</v>
      </c>
      <c r="J80">
        <v>873</v>
      </c>
      <c r="K80" t="s">
        <v>931</v>
      </c>
      <c r="M80">
        <f>VLOOKUP(PAGOS_ACTUALIZAR_2026!B80,'CARGADOS 2025 DICIEMBRE CIERRE'!B80:B635,1,0)</f>
        <v>2025003465</v>
      </c>
    </row>
    <row r="81" spans="1:13" hidden="1" x14ac:dyDescent="0.25">
      <c r="A81" t="s">
        <v>948</v>
      </c>
      <c r="B81">
        <v>2025003466</v>
      </c>
      <c r="C81" t="s">
        <v>337</v>
      </c>
      <c r="D81" t="s">
        <v>931</v>
      </c>
      <c r="E81">
        <v>1085330309</v>
      </c>
      <c r="F81" t="s">
        <v>7</v>
      </c>
      <c r="G81">
        <v>873</v>
      </c>
      <c r="J81">
        <v>873</v>
      </c>
      <c r="K81" t="s">
        <v>931</v>
      </c>
      <c r="M81">
        <f>VLOOKUP(PAGOS_ACTUALIZAR_2026!B81,'CARGADOS 2025 DICIEMBRE CIERRE'!B81:B636,1,0)</f>
        <v>2025003466</v>
      </c>
    </row>
    <row r="82" spans="1:13" hidden="1" x14ac:dyDescent="0.25">
      <c r="A82" t="s">
        <v>948</v>
      </c>
      <c r="B82">
        <v>2025003467</v>
      </c>
      <c r="C82" t="s">
        <v>821</v>
      </c>
      <c r="D82" t="s">
        <v>932</v>
      </c>
      <c r="E82">
        <v>1193035720</v>
      </c>
      <c r="F82" t="s">
        <v>823</v>
      </c>
      <c r="G82">
        <v>873</v>
      </c>
      <c r="J82">
        <v>873</v>
      </c>
      <c r="K82" t="s">
        <v>932</v>
      </c>
      <c r="M82">
        <f>VLOOKUP(PAGOS_ACTUALIZAR_2026!B82,'CARGADOS 2025 DICIEMBRE CIERRE'!B82:B637,1,0)</f>
        <v>2025003467</v>
      </c>
    </row>
    <row r="83" spans="1:13" hidden="1" x14ac:dyDescent="0.25">
      <c r="A83" t="s">
        <v>948</v>
      </c>
      <c r="B83">
        <v>2025003468</v>
      </c>
      <c r="C83" t="s">
        <v>329</v>
      </c>
      <c r="D83" t="s">
        <v>932</v>
      </c>
      <c r="E83">
        <v>1004134014</v>
      </c>
      <c r="F83" t="s">
        <v>330</v>
      </c>
      <c r="G83">
        <v>873</v>
      </c>
      <c r="J83">
        <v>873</v>
      </c>
      <c r="K83" t="s">
        <v>932</v>
      </c>
      <c r="M83">
        <f>VLOOKUP(PAGOS_ACTUALIZAR_2026!B83,'CARGADOS 2025 DICIEMBRE CIERRE'!B83:B638,1,0)</f>
        <v>2025003468</v>
      </c>
    </row>
    <row r="84" spans="1:13" hidden="1" x14ac:dyDescent="0.25">
      <c r="A84" t="s">
        <v>948</v>
      </c>
      <c r="B84">
        <v>2025003469</v>
      </c>
      <c r="C84" t="s">
        <v>133</v>
      </c>
      <c r="D84" t="s">
        <v>935</v>
      </c>
      <c r="E84">
        <v>1233192708</v>
      </c>
      <c r="F84" t="s">
        <v>134</v>
      </c>
      <c r="G84">
        <v>873</v>
      </c>
      <c r="J84">
        <v>873</v>
      </c>
      <c r="K84" t="s">
        <v>935</v>
      </c>
      <c r="M84">
        <f>VLOOKUP(PAGOS_ACTUALIZAR_2026!B84,'CARGADOS 2025 DICIEMBRE CIERRE'!B84:B639,1,0)</f>
        <v>2025003469</v>
      </c>
    </row>
    <row r="85" spans="1:13" hidden="1" x14ac:dyDescent="0.25">
      <c r="A85" t="s">
        <v>948</v>
      </c>
      <c r="B85">
        <v>2025003470</v>
      </c>
      <c r="C85" t="s">
        <v>269</v>
      </c>
      <c r="D85" t="s">
        <v>935</v>
      </c>
      <c r="E85">
        <v>1089483067</v>
      </c>
      <c r="F85" t="s">
        <v>955</v>
      </c>
      <c r="G85">
        <v>873</v>
      </c>
      <c r="J85">
        <v>873</v>
      </c>
      <c r="K85" t="s">
        <v>935</v>
      </c>
      <c r="M85">
        <f>VLOOKUP(PAGOS_ACTUALIZAR_2026!B85,'CARGADOS 2025 DICIEMBRE CIERRE'!B85:B640,1,0)</f>
        <v>2025003470</v>
      </c>
    </row>
    <row r="86" spans="1:13" hidden="1" x14ac:dyDescent="0.25">
      <c r="A86" t="s">
        <v>948</v>
      </c>
      <c r="B86">
        <v>2025003471</v>
      </c>
      <c r="C86" t="s">
        <v>136</v>
      </c>
      <c r="D86" t="s">
        <v>932</v>
      </c>
      <c r="E86">
        <v>1192717330</v>
      </c>
      <c r="F86" t="s">
        <v>42</v>
      </c>
      <c r="G86">
        <v>873</v>
      </c>
      <c r="J86">
        <v>873</v>
      </c>
      <c r="K86" t="s">
        <v>932</v>
      </c>
      <c r="M86">
        <f>VLOOKUP(PAGOS_ACTUALIZAR_2026!B86,'CARGADOS 2025 DICIEMBRE CIERRE'!B86:B641,1,0)</f>
        <v>2025003471</v>
      </c>
    </row>
    <row r="87" spans="1:13" hidden="1" x14ac:dyDescent="0.25">
      <c r="A87" t="s">
        <v>948</v>
      </c>
      <c r="B87">
        <v>2025003472</v>
      </c>
      <c r="C87" t="s">
        <v>824</v>
      </c>
      <c r="D87" t="s">
        <v>932</v>
      </c>
      <c r="E87">
        <v>1004190751</v>
      </c>
      <c r="F87" t="s">
        <v>826</v>
      </c>
      <c r="G87">
        <v>873</v>
      </c>
      <c r="J87">
        <v>873</v>
      </c>
      <c r="K87" t="s">
        <v>932</v>
      </c>
      <c r="M87">
        <f>VLOOKUP(PAGOS_ACTUALIZAR_2026!B87,'CARGADOS 2025 DICIEMBRE CIERRE'!B87:B642,1,0)</f>
        <v>2025003472</v>
      </c>
    </row>
    <row r="88" spans="1:13" hidden="1" x14ac:dyDescent="0.25">
      <c r="A88" t="s">
        <v>948</v>
      </c>
      <c r="B88">
        <v>2025003473</v>
      </c>
      <c r="C88" t="s">
        <v>827</v>
      </c>
      <c r="D88" t="s">
        <v>933</v>
      </c>
      <c r="E88">
        <v>1085312669</v>
      </c>
      <c r="F88" t="s">
        <v>829</v>
      </c>
      <c r="G88">
        <v>873</v>
      </c>
      <c r="J88">
        <v>873</v>
      </c>
      <c r="K88" t="s">
        <v>933</v>
      </c>
      <c r="M88">
        <f>VLOOKUP(PAGOS_ACTUALIZAR_2026!B88,'CARGADOS 2025 DICIEMBRE CIERRE'!B88:B643,1,0)</f>
        <v>2025003473</v>
      </c>
    </row>
    <row r="89" spans="1:13" hidden="1" x14ac:dyDescent="0.25">
      <c r="A89" t="s">
        <v>948</v>
      </c>
      <c r="B89">
        <v>2025003474</v>
      </c>
      <c r="C89" t="s">
        <v>265</v>
      </c>
      <c r="D89" t="s">
        <v>934</v>
      </c>
      <c r="E89">
        <v>59820414</v>
      </c>
      <c r="F89" t="s">
        <v>54</v>
      </c>
      <c r="G89">
        <v>873</v>
      </c>
      <c r="J89">
        <v>873</v>
      </c>
      <c r="K89" t="s">
        <v>934</v>
      </c>
      <c r="M89">
        <f>VLOOKUP(PAGOS_ACTUALIZAR_2026!B89,'CARGADOS 2025 DICIEMBRE CIERRE'!B89:B644,1,0)</f>
        <v>2025003474</v>
      </c>
    </row>
    <row r="90" spans="1:13" hidden="1" x14ac:dyDescent="0.25">
      <c r="A90" t="s">
        <v>948</v>
      </c>
      <c r="B90">
        <v>2025003475</v>
      </c>
      <c r="C90" t="s">
        <v>830</v>
      </c>
      <c r="D90" t="s">
        <v>933</v>
      </c>
      <c r="E90">
        <v>37083933</v>
      </c>
      <c r="F90" t="s">
        <v>832</v>
      </c>
      <c r="G90">
        <v>873</v>
      </c>
      <c r="J90">
        <v>873</v>
      </c>
      <c r="K90" t="s">
        <v>933</v>
      </c>
      <c r="M90">
        <f>VLOOKUP(PAGOS_ACTUALIZAR_2026!B90,'CARGADOS 2025 DICIEMBRE CIERRE'!B90:B645,1,0)</f>
        <v>2025003475</v>
      </c>
    </row>
    <row r="91" spans="1:13" hidden="1" x14ac:dyDescent="0.25">
      <c r="A91" t="s">
        <v>948</v>
      </c>
      <c r="B91">
        <v>2025003476</v>
      </c>
      <c r="C91" t="s">
        <v>139</v>
      </c>
      <c r="D91" t="s">
        <v>932</v>
      </c>
      <c r="E91">
        <v>1085252263</v>
      </c>
      <c r="F91" t="s">
        <v>63</v>
      </c>
      <c r="G91">
        <v>873</v>
      </c>
      <c r="J91">
        <v>873</v>
      </c>
      <c r="K91" t="s">
        <v>932</v>
      </c>
      <c r="M91">
        <f>VLOOKUP(PAGOS_ACTUALIZAR_2026!B91,'CARGADOS 2025 DICIEMBRE CIERRE'!B91:B646,1,0)</f>
        <v>2025003476</v>
      </c>
    </row>
    <row r="92" spans="1:13" hidden="1" x14ac:dyDescent="0.25">
      <c r="A92" t="s">
        <v>948</v>
      </c>
      <c r="B92">
        <v>2025003477</v>
      </c>
      <c r="C92" t="s">
        <v>361</v>
      </c>
      <c r="D92" t="s">
        <v>931</v>
      </c>
      <c r="E92">
        <v>59312865</v>
      </c>
      <c r="F92" t="s">
        <v>363</v>
      </c>
      <c r="G92">
        <v>873</v>
      </c>
      <c r="J92">
        <v>873</v>
      </c>
      <c r="K92" t="s">
        <v>931</v>
      </c>
      <c r="M92">
        <f>VLOOKUP(PAGOS_ACTUALIZAR_2026!B92,'CARGADOS 2025 DICIEMBRE CIERRE'!B92:B647,1,0)</f>
        <v>2025003477</v>
      </c>
    </row>
    <row r="93" spans="1:13" hidden="1" x14ac:dyDescent="0.25">
      <c r="A93" t="s">
        <v>948</v>
      </c>
      <c r="B93">
        <v>2025003479</v>
      </c>
      <c r="C93" t="s">
        <v>833</v>
      </c>
      <c r="D93" t="s">
        <v>945</v>
      </c>
      <c r="E93">
        <v>36751255</v>
      </c>
      <c r="F93" t="s">
        <v>835</v>
      </c>
      <c r="G93">
        <v>873</v>
      </c>
      <c r="J93">
        <v>873</v>
      </c>
      <c r="K93" t="s">
        <v>945</v>
      </c>
      <c r="M93">
        <f>VLOOKUP(PAGOS_ACTUALIZAR_2026!B93,'CARGADOS 2025 DICIEMBRE CIERRE'!B93:B648,1,0)</f>
        <v>2025003479</v>
      </c>
    </row>
    <row r="94" spans="1:13" hidden="1" x14ac:dyDescent="0.25">
      <c r="A94" t="s">
        <v>948</v>
      </c>
      <c r="B94">
        <v>2025003483</v>
      </c>
      <c r="C94" t="s">
        <v>836</v>
      </c>
      <c r="D94" t="s">
        <v>956</v>
      </c>
      <c r="E94">
        <v>900752343</v>
      </c>
      <c r="F94" t="s">
        <v>838</v>
      </c>
      <c r="G94">
        <v>873</v>
      </c>
      <c r="J94">
        <v>873</v>
      </c>
      <c r="K94" t="s">
        <v>956</v>
      </c>
      <c r="M94">
        <f>VLOOKUP(PAGOS_ACTUALIZAR_2026!B94,'CARGADOS 2025 DICIEMBRE CIERRE'!B94:B649,1,0)</f>
        <v>2025003483</v>
      </c>
    </row>
    <row r="95" spans="1:13" hidden="1" x14ac:dyDescent="0.25">
      <c r="A95" t="s">
        <v>948</v>
      </c>
      <c r="B95">
        <v>2025003484</v>
      </c>
      <c r="C95" t="s">
        <v>839</v>
      </c>
      <c r="D95" t="s">
        <v>957</v>
      </c>
      <c r="E95">
        <v>900752343</v>
      </c>
      <c r="F95" t="s">
        <v>838</v>
      </c>
      <c r="G95">
        <v>873</v>
      </c>
      <c r="J95">
        <v>873</v>
      </c>
      <c r="K95" t="s">
        <v>957</v>
      </c>
      <c r="M95">
        <f>VLOOKUP(PAGOS_ACTUALIZAR_2026!B95,'CARGADOS 2025 DICIEMBRE CIERRE'!B95:B650,1,0)</f>
        <v>2025003484</v>
      </c>
    </row>
    <row r="96" spans="1:13" hidden="1" x14ac:dyDescent="0.25">
      <c r="A96" t="s">
        <v>948</v>
      </c>
      <c r="B96">
        <v>2025003485</v>
      </c>
      <c r="C96" t="s">
        <v>726</v>
      </c>
      <c r="D96" t="s">
        <v>934</v>
      </c>
      <c r="E96">
        <v>1086360087</v>
      </c>
      <c r="F96" t="s">
        <v>728</v>
      </c>
      <c r="G96">
        <v>873</v>
      </c>
      <c r="J96">
        <v>873</v>
      </c>
      <c r="K96" t="s">
        <v>934</v>
      </c>
      <c r="M96">
        <f>VLOOKUP(PAGOS_ACTUALIZAR_2026!B96,'CARGADOS 2025 DICIEMBRE CIERRE'!B96:B651,1,0)</f>
        <v>2025003485</v>
      </c>
    </row>
    <row r="97" spans="1:13" hidden="1" x14ac:dyDescent="0.25">
      <c r="A97" t="s">
        <v>948</v>
      </c>
      <c r="B97">
        <v>2025003486</v>
      </c>
      <c r="C97" t="s">
        <v>729</v>
      </c>
      <c r="D97" t="s">
        <v>932</v>
      </c>
      <c r="E97">
        <v>1086361622</v>
      </c>
      <c r="F97" t="s">
        <v>731</v>
      </c>
      <c r="G97">
        <v>873</v>
      </c>
      <c r="J97">
        <v>873</v>
      </c>
      <c r="K97" t="s">
        <v>932</v>
      </c>
      <c r="M97">
        <f>VLOOKUP(PAGOS_ACTUALIZAR_2026!B97,'CARGADOS 2025 DICIEMBRE CIERRE'!B97:B652,1,0)</f>
        <v>2025003486</v>
      </c>
    </row>
    <row r="98" spans="1:13" hidden="1" x14ac:dyDescent="0.25">
      <c r="A98" t="s">
        <v>948</v>
      </c>
      <c r="B98">
        <v>2025003487</v>
      </c>
      <c r="C98" t="s">
        <v>685</v>
      </c>
      <c r="D98" t="s">
        <v>933</v>
      </c>
      <c r="E98">
        <v>1085334831</v>
      </c>
      <c r="F98" t="s">
        <v>687</v>
      </c>
      <c r="G98">
        <v>873</v>
      </c>
      <c r="J98">
        <v>873</v>
      </c>
      <c r="K98" t="s">
        <v>933</v>
      </c>
      <c r="M98">
        <f>VLOOKUP(PAGOS_ACTUALIZAR_2026!B98,'CARGADOS 2025 DICIEMBRE CIERRE'!B98:B653,1,0)</f>
        <v>2025003487</v>
      </c>
    </row>
    <row r="99" spans="1:13" hidden="1" x14ac:dyDescent="0.25">
      <c r="A99" t="s">
        <v>948</v>
      </c>
      <c r="B99">
        <v>2025003490</v>
      </c>
      <c r="C99" t="s">
        <v>707</v>
      </c>
      <c r="D99" t="s">
        <v>933</v>
      </c>
      <c r="E99">
        <v>1085310465</v>
      </c>
      <c r="F99" t="s">
        <v>66</v>
      </c>
      <c r="G99">
        <v>873</v>
      </c>
      <c r="J99">
        <v>873</v>
      </c>
      <c r="K99" t="s">
        <v>933</v>
      </c>
      <c r="M99">
        <f>VLOOKUP(PAGOS_ACTUALIZAR_2026!B99,'CARGADOS 2025 DICIEMBRE CIERRE'!B99:B654,1,0)</f>
        <v>2025003490</v>
      </c>
    </row>
    <row r="100" spans="1:13" hidden="1" x14ac:dyDescent="0.25">
      <c r="A100" t="s">
        <v>948</v>
      </c>
      <c r="B100">
        <v>2025003491</v>
      </c>
      <c r="C100" t="s">
        <v>705</v>
      </c>
      <c r="D100" t="s">
        <v>934</v>
      </c>
      <c r="E100">
        <v>1085253062</v>
      </c>
      <c r="F100" t="s">
        <v>81</v>
      </c>
      <c r="G100">
        <v>873</v>
      </c>
      <c r="J100">
        <v>873</v>
      </c>
      <c r="K100" t="s">
        <v>934</v>
      </c>
      <c r="M100">
        <f>VLOOKUP(PAGOS_ACTUALIZAR_2026!B100,'CARGADOS 2025 DICIEMBRE CIERRE'!B100:B655,1,0)</f>
        <v>2025003491</v>
      </c>
    </row>
    <row r="101" spans="1:13" hidden="1" x14ac:dyDescent="0.25">
      <c r="A101" t="s">
        <v>948</v>
      </c>
      <c r="B101">
        <v>2025003492</v>
      </c>
      <c r="C101" t="s">
        <v>702</v>
      </c>
      <c r="D101" t="s">
        <v>931</v>
      </c>
      <c r="E101">
        <v>1233190311</v>
      </c>
      <c r="F101" t="s">
        <v>704</v>
      </c>
      <c r="G101">
        <v>873</v>
      </c>
      <c r="J101">
        <v>873</v>
      </c>
      <c r="K101" t="s">
        <v>931</v>
      </c>
      <c r="M101">
        <f>VLOOKUP(PAGOS_ACTUALIZAR_2026!B101,'CARGADOS 2025 DICIEMBRE CIERRE'!B101:B656,1,0)</f>
        <v>2025003492</v>
      </c>
    </row>
    <row r="102" spans="1:13" hidden="1" x14ac:dyDescent="0.25">
      <c r="A102" t="s">
        <v>948</v>
      </c>
      <c r="B102">
        <v>2025003493</v>
      </c>
      <c r="C102" t="s">
        <v>840</v>
      </c>
      <c r="D102" t="s">
        <v>932</v>
      </c>
      <c r="E102">
        <v>1085270448</v>
      </c>
      <c r="F102" t="s">
        <v>842</v>
      </c>
      <c r="G102">
        <v>873</v>
      </c>
      <c r="J102">
        <v>873</v>
      </c>
      <c r="K102" t="s">
        <v>932</v>
      </c>
      <c r="M102">
        <f>VLOOKUP(PAGOS_ACTUALIZAR_2026!B102,'CARGADOS 2025 DICIEMBRE CIERRE'!B102:B657,1,0)</f>
        <v>2025003493</v>
      </c>
    </row>
    <row r="103" spans="1:13" hidden="1" x14ac:dyDescent="0.25">
      <c r="A103" t="s">
        <v>948</v>
      </c>
      <c r="B103">
        <v>2025003494</v>
      </c>
      <c r="C103" t="s">
        <v>843</v>
      </c>
      <c r="D103" t="s">
        <v>932</v>
      </c>
      <c r="E103">
        <v>1084224968</v>
      </c>
      <c r="F103" t="s">
        <v>79</v>
      </c>
      <c r="G103">
        <v>873</v>
      </c>
      <c r="J103">
        <v>873</v>
      </c>
      <c r="K103" t="s">
        <v>932</v>
      </c>
      <c r="M103">
        <f>VLOOKUP(PAGOS_ACTUALIZAR_2026!B103,'CARGADOS 2025 DICIEMBRE CIERRE'!B103:B658,1,0)</f>
        <v>2025003494</v>
      </c>
    </row>
    <row r="104" spans="1:13" hidden="1" x14ac:dyDescent="0.25">
      <c r="A104" t="s">
        <v>948</v>
      </c>
      <c r="B104">
        <v>2025003495</v>
      </c>
      <c r="C104" t="s">
        <v>845</v>
      </c>
      <c r="D104" t="s">
        <v>932</v>
      </c>
      <c r="E104">
        <v>1010099104</v>
      </c>
      <c r="F104" t="s">
        <v>847</v>
      </c>
      <c r="G104">
        <v>873</v>
      </c>
      <c r="J104">
        <v>873</v>
      </c>
      <c r="K104" t="s">
        <v>932</v>
      </c>
      <c r="M104">
        <f>VLOOKUP(PAGOS_ACTUALIZAR_2026!B104,'CARGADOS 2025 DICIEMBRE CIERRE'!B104:B659,1,0)</f>
        <v>2025003495</v>
      </c>
    </row>
    <row r="105" spans="1:13" hidden="1" x14ac:dyDescent="0.25">
      <c r="A105" t="s">
        <v>948</v>
      </c>
      <c r="B105">
        <v>2025003496</v>
      </c>
      <c r="C105" t="s">
        <v>848</v>
      </c>
      <c r="D105" t="s">
        <v>932</v>
      </c>
      <c r="E105">
        <v>27091114</v>
      </c>
      <c r="F105" t="s">
        <v>850</v>
      </c>
      <c r="G105">
        <v>873</v>
      </c>
      <c r="J105">
        <v>873</v>
      </c>
      <c r="K105" t="s">
        <v>932</v>
      </c>
      <c r="M105">
        <f>VLOOKUP(PAGOS_ACTUALIZAR_2026!B105,'CARGADOS 2025 DICIEMBRE CIERRE'!B105:B660,1,0)</f>
        <v>2025003496</v>
      </c>
    </row>
    <row r="106" spans="1:13" hidden="1" x14ac:dyDescent="0.25">
      <c r="A106" t="s">
        <v>948</v>
      </c>
      <c r="B106">
        <v>2025003497</v>
      </c>
      <c r="C106" t="s">
        <v>851</v>
      </c>
      <c r="D106" t="s">
        <v>932</v>
      </c>
      <c r="E106">
        <v>1233191133</v>
      </c>
      <c r="F106" t="s">
        <v>853</v>
      </c>
      <c r="G106">
        <v>873</v>
      </c>
      <c r="J106">
        <v>873</v>
      </c>
      <c r="K106" t="s">
        <v>932</v>
      </c>
      <c r="M106">
        <f>VLOOKUP(PAGOS_ACTUALIZAR_2026!B106,'CARGADOS 2025 DICIEMBRE CIERRE'!B106:B661,1,0)</f>
        <v>2025003497</v>
      </c>
    </row>
    <row r="107" spans="1:13" hidden="1" x14ac:dyDescent="0.25">
      <c r="A107" t="s">
        <v>948</v>
      </c>
      <c r="B107">
        <v>2025003498</v>
      </c>
      <c r="C107" t="s">
        <v>467</v>
      </c>
      <c r="D107" t="s">
        <v>934</v>
      </c>
      <c r="E107">
        <v>27252200</v>
      </c>
      <c r="F107" t="s">
        <v>469</v>
      </c>
      <c r="G107">
        <v>873</v>
      </c>
      <c r="J107">
        <v>873</v>
      </c>
      <c r="K107" t="s">
        <v>934</v>
      </c>
      <c r="M107">
        <f>VLOOKUP(PAGOS_ACTUALIZAR_2026!B107,'CARGADOS 2025 DICIEMBRE CIERRE'!B107:B662,1,0)</f>
        <v>2025003498</v>
      </c>
    </row>
    <row r="108" spans="1:13" hidden="1" x14ac:dyDescent="0.25">
      <c r="A108" t="s">
        <v>948</v>
      </c>
      <c r="B108">
        <v>2025003500</v>
      </c>
      <c r="C108" t="s">
        <v>216</v>
      </c>
      <c r="D108" t="s">
        <v>935</v>
      </c>
      <c r="E108">
        <v>80765093</v>
      </c>
      <c r="F108" t="s">
        <v>958</v>
      </c>
      <c r="G108">
        <v>873</v>
      </c>
      <c r="J108">
        <v>873</v>
      </c>
      <c r="K108" t="s">
        <v>935</v>
      </c>
      <c r="M108">
        <f>VLOOKUP(PAGOS_ACTUALIZAR_2026!B108,'CARGADOS 2025 DICIEMBRE CIERRE'!B108:B663,1,0)</f>
        <v>2025003500</v>
      </c>
    </row>
    <row r="109" spans="1:13" hidden="1" x14ac:dyDescent="0.25">
      <c r="A109" t="s">
        <v>948</v>
      </c>
      <c r="B109">
        <v>2025003501</v>
      </c>
      <c r="C109" t="s">
        <v>540</v>
      </c>
      <c r="D109" t="s">
        <v>934</v>
      </c>
      <c r="E109">
        <v>1004213964</v>
      </c>
      <c r="F109" t="s">
        <v>959</v>
      </c>
      <c r="G109">
        <v>873</v>
      </c>
      <c r="J109">
        <v>873</v>
      </c>
      <c r="K109" t="s">
        <v>934</v>
      </c>
      <c r="M109">
        <f>VLOOKUP(PAGOS_ACTUALIZAR_2026!B109,'CARGADOS 2025 DICIEMBRE CIERRE'!B109:B664,1,0)</f>
        <v>2025003501</v>
      </c>
    </row>
    <row r="110" spans="1:13" hidden="1" x14ac:dyDescent="0.25">
      <c r="A110" t="s">
        <v>948</v>
      </c>
      <c r="B110">
        <v>2025003502</v>
      </c>
      <c r="C110" t="s">
        <v>551</v>
      </c>
      <c r="D110" t="s">
        <v>935</v>
      </c>
      <c r="E110">
        <v>1061794455</v>
      </c>
      <c r="F110" t="s">
        <v>553</v>
      </c>
      <c r="G110">
        <v>873</v>
      </c>
      <c r="J110">
        <v>873</v>
      </c>
      <c r="K110" t="s">
        <v>935</v>
      </c>
      <c r="M110">
        <f>VLOOKUP(PAGOS_ACTUALIZAR_2026!B110,'CARGADOS 2025 DICIEMBRE CIERRE'!B110:B665,1,0)</f>
        <v>2025003502</v>
      </c>
    </row>
    <row r="111" spans="1:13" hidden="1" x14ac:dyDescent="0.25">
      <c r="A111" t="s">
        <v>948</v>
      </c>
      <c r="B111">
        <v>2025003503</v>
      </c>
      <c r="C111" t="s">
        <v>854</v>
      </c>
      <c r="D111" t="s">
        <v>932</v>
      </c>
      <c r="E111">
        <v>1086222689</v>
      </c>
      <c r="F111" t="s">
        <v>16</v>
      </c>
      <c r="G111">
        <v>873</v>
      </c>
      <c r="J111">
        <v>873</v>
      </c>
      <c r="K111" t="s">
        <v>932</v>
      </c>
      <c r="M111">
        <f>VLOOKUP(PAGOS_ACTUALIZAR_2026!B111,'CARGADOS 2025 DICIEMBRE CIERRE'!B111:B666,1,0)</f>
        <v>2025003503</v>
      </c>
    </row>
    <row r="112" spans="1:13" hidden="1" x14ac:dyDescent="0.25">
      <c r="A112" t="s">
        <v>948</v>
      </c>
      <c r="B112">
        <v>2025003504</v>
      </c>
      <c r="C112" t="s">
        <v>545</v>
      </c>
      <c r="D112" t="s">
        <v>932</v>
      </c>
      <c r="E112">
        <v>1086329800</v>
      </c>
      <c r="F112" t="s">
        <v>547</v>
      </c>
      <c r="G112">
        <v>873</v>
      </c>
      <c r="J112">
        <v>873</v>
      </c>
      <c r="K112" t="s">
        <v>932</v>
      </c>
      <c r="M112">
        <f>VLOOKUP(PAGOS_ACTUALIZAR_2026!B112,'CARGADOS 2025 DICIEMBRE CIERRE'!B112:B667,1,0)</f>
        <v>2025003504</v>
      </c>
    </row>
    <row r="113" spans="1:13" hidden="1" x14ac:dyDescent="0.25">
      <c r="A113" t="s">
        <v>948</v>
      </c>
      <c r="B113">
        <v>2025003505</v>
      </c>
      <c r="C113" t="s">
        <v>856</v>
      </c>
      <c r="D113" t="s">
        <v>932</v>
      </c>
      <c r="E113">
        <v>1085281002</v>
      </c>
      <c r="F113" t="s">
        <v>858</v>
      </c>
      <c r="G113">
        <v>873</v>
      </c>
      <c r="J113">
        <v>873</v>
      </c>
      <c r="K113" t="s">
        <v>932</v>
      </c>
      <c r="M113">
        <f>VLOOKUP(PAGOS_ACTUALIZAR_2026!B113,'CARGADOS 2025 DICIEMBRE CIERRE'!B113:B668,1,0)</f>
        <v>2025003505</v>
      </c>
    </row>
    <row r="114" spans="1:13" hidden="1" x14ac:dyDescent="0.25">
      <c r="A114" t="s">
        <v>948</v>
      </c>
      <c r="B114">
        <v>2025003507</v>
      </c>
      <c r="C114" t="s">
        <v>149</v>
      </c>
      <c r="D114" t="s">
        <v>960</v>
      </c>
      <c r="E114">
        <v>36952916</v>
      </c>
      <c r="F114" t="s">
        <v>150</v>
      </c>
      <c r="G114">
        <v>873</v>
      </c>
      <c r="J114">
        <v>873</v>
      </c>
      <c r="K114" t="s">
        <v>960</v>
      </c>
      <c r="M114">
        <f>VLOOKUP(PAGOS_ACTUALIZAR_2026!B114,'CARGADOS 2025 DICIEMBRE CIERRE'!B114:B669,1,0)</f>
        <v>2025003507</v>
      </c>
    </row>
    <row r="115" spans="1:13" hidden="1" x14ac:dyDescent="0.25">
      <c r="A115" t="s">
        <v>948</v>
      </c>
      <c r="B115">
        <v>2025003508</v>
      </c>
      <c r="C115" t="s">
        <v>476</v>
      </c>
      <c r="D115" t="s">
        <v>932</v>
      </c>
      <c r="E115">
        <v>1080693240</v>
      </c>
      <c r="F115" t="s">
        <v>478</v>
      </c>
      <c r="G115">
        <v>873</v>
      </c>
      <c r="J115">
        <v>873</v>
      </c>
      <c r="K115" t="s">
        <v>932</v>
      </c>
      <c r="M115">
        <f>VLOOKUP(PAGOS_ACTUALIZAR_2026!B115,'CARGADOS 2025 DICIEMBRE CIERRE'!B115:B670,1,0)</f>
        <v>2025003508</v>
      </c>
    </row>
    <row r="116" spans="1:13" hidden="1" x14ac:dyDescent="0.25">
      <c r="A116" t="s">
        <v>948</v>
      </c>
      <c r="B116">
        <v>2025003509</v>
      </c>
      <c r="C116" t="s">
        <v>750</v>
      </c>
      <c r="D116" t="s">
        <v>932</v>
      </c>
      <c r="E116">
        <v>59813323</v>
      </c>
      <c r="F116" t="s">
        <v>87</v>
      </c>
      <c r="G116">
        <v>873</v>
      </c>
      <c r="J116">
        <v>873</v>
      </c>
      <c r="K116" t="s">
        <v>932</v>
      </c>
      <c r="M116">
        <f>VLOOKUP(PAGOS_ACTUALIZAR_2026!B116,'CARGADOS 2025 DICIEMBRE CIERRE'!B116:B671,1,0)</f>
        <v>2025003509</v>
      </c>
    </row>
    <row r="117" spans="1:13" hidden="1" x14ac:dyDescent="0.25">
      <c r="A117" t="s">
        <v>948</v>
      </c>
      <c r="B117">
        <v>2025003511</v>
      </c>
      <c r="C117" t="s">
        <v>860</v>
      </c>
      <c r="D117" t="s">
        <v>961</v>
      </c>
      <c r="E117">
        <v>12961407</v>
      </c>
      <c r="F117" t="s">
        <v>862</v>
      </c>
      <c r="G117">
        <v>873</v>
      </c>
      <c r="J117">
        <v>873</v>
      </c>
      <c r="K117" t="s">
        <v>961</v>
      </c>
      <c r="M117">
        <f>VLOOKUP(PAGOS_ACTUALIZAR_2026!B117,'CARGADOS 2025 DICIEMBRE CIERRE'!B117:B672,1,0)</f>
        <v>2025003511</v>
      </c>
    </row>
    <row r="118" spans="1:13" hidden="1" x14ac:dyDescent="0.25">
      <c r="A118" t="s">
        <v>948</v>
      </c>
      <c r="B118">
        <v>2025003514</v>
      </c>
      <c r="C118" t="s">
        <v>202</v>
      </c>
      <c r="D118" t="s">
        <v>935</v>
      </c>
      <c r="E118">
        <v>37087120</v>
      </c>
      <c r="F118" t="s">
        <v>61</v>
      </c>
      <c r="G118">
        <v>873</v>
      </c>
      <c r="J118">
        <v>873</v>
      </c>
      <c r="K118" t="s">
        <v>935</v>
      </c>
      <c r="M118">
        <f>VLOOKUP(PAGOS_ACTUALIZAR_2026!B118,'CARGADOS 2025 DICIEMBRE CIERRE'!B118:B673,1,0)</f>
        <v>2025003514</v>
      </c>
    </row>
    <row r="119" spans="1:13" hidden="1" x14ac:dyDescent="0.25">
      <c r="A119" t="s">
        <v>948</v>
      </c>
      <c r="B119">
        <v>2025003516</v>
      </c>
      <c r="C119" t="s">
        <v>233</v>
      </c>
      <c r="D119" t="s">
        <v>932</v>
      </c>
      <c r="E119">
        <v>1084552048</v>
      </c>
      <c r="F119" t="s">
        <v>80</v>
      </c>
      <c r="G119">
        <v>873</v>
      </c>
      <c r="J119">
        <v>873</v>
      </c>
      <c r="K119" t="s">
        <v>932</v>
      </c>
      <c r="M119">
        <f>VLOOKUP(PAGOS_ACTUALIZAR_2026!B119,'CARGADOS 2025 DICIEMBRE CIERRE'!B119:B674,1,0)</f>
        <v>2025003516</v>
      </c>
    </row>
    <row r="120" spans="1:13" hidden="1" x14ac:dyDescent="0.25">
      <c r="A120" t="s">
        <v>948</v>
      </c>
      <c r="B120">
        <v>2025003519</v>
      </c>
      <c r="C120" t="s">
        <v>244</v>
      </c>
      <c r="D120" t="s">
        <v>932</v>
      </c>
      <c r="E120">
        <v>1082747438</v>
      </c>
      <c r="F120" t="s">
        <v>86</v>
      </c>
      <c r="G120">
        <v>873</v>
      </c>
      <c r="J120">
        <v>873</v>
      </c>
      <c r="K120" t="s">
        <v>932</v>
      </c>
      <c r="M120">
        <f>VLOOKUP(PAGOS_ACTUALIZAR_2026!B120,'CARGADOS 2025 DICIEMBRE CIERRE'!B120:B675,1,0)</f>
        <v>2025003519</v>
      </c>
    </row>
    <row r="121" spans="1:13" hidden="1" x14ac:dyDescent="0.25">
      <c r="A121" t="s">
        <v>948</v>
      </c>
      <c r="B121">
        <v>2025003521</v>
      </c>
      <c r="C121" t="s">
        <v>119</v>
      </c>
      <c r="D121" t="s">
        <v>932</v>
      </c>
      <c r="E121">
        <v>37084285</v>
      </c>
      <c r="F121" t="s">
        <v>40</v>
      </c>
      <c r="G121">
        <v>873</v>
      </c>
      <c r="J121">
        <v>873</v>
      </c>
      <c r="K121" t="s">
        <v>932</v>
      </c>
      <c r="M121">
        <f>VLOOKUP(PAGOS_ACTUALIZAR_2026!B121,'CARGADOS 2025 DICIEMBRE CIERRE'!B121:B676,1,0)</f>
        <v>2025003521</v>
      </c>
    </row>
    <row r="122" spans="1:13" hidden="1" x14ac:dyDescent="0.25">
      <c r="A122" t="s">
        <v>948</v>
      </c>
      <c r="B122">
        <v>2025003523</v>
      </c>
      <c r="C122" t="s">
        <v>236</v>
      </c>
      <c r="D122" t="s">
        <v>932</v>
      </c>
      <c r="E122">
        <v>1085335033</v>
      </c>
      <c r="F122" t="s">
        <v>237</v>
      </c>
      <c r="G122">
        <v>873</v>
      </c>
      <c r="J122">
        <v>873</v>
      </c>
      <c r="K122" t="s">
        <v>932</v>
      </c>
      <c r="M122">
        <f>VLOOKUP(PAGOS_ACTUALIZAR_2026!B122,'CARGADOS 2025 DICIEMBRE CIERRE'!B122:B677,1,0)</f>
        <v>2025003523</v>
      </c>
    </row>
    <row r="123" spans="1:13" hidden="1" x14ac:dyDescent="0.25">
      <c r="A123" t="s">
        <v>948</v>
      </c>
      <c r="B123">
        <v>2025003525</v>
      </c>
      <c r="C123" t="s">
        <v>185</v>
      </c>
      <c r="D123" t="s">
        <v>932</v>
      </c>
      <c r="E123">
        <v>1086330124</v>
      </c>
      <c r="F123" t="s">
        <v>186</v>
      </c>
      <c r="G123">
        <v>873</v>
      </c>
      <c r="J123">
        <v>873</v>
      </c>
      <c r="K123" t="s">
        <v>932</v>
      </c>
      <c r="M123">
        <f>VLOOKUP(PAGOS_ACTUALIZAR_2026!B123,'CARGADOS 2025 DICIEMBRE CIERRE'!B123:B678,1,0)</f>
        <v>2025003525</v>
      </c>
    </row>
    <row r="124" spans="1:13" hidden="1" x14ac:dyDescent="0.25">
      <c r="A124" t="s">
        <v>948</v>
      </c>
      <c r="B124">
        <v>2025003528</v>
      </c>
      <c r="C124" t="s">
        <v>192</v>
      </c>
      <c r="D124" t="s">
        <v>932</v>
      </c>
      <c r="E124">
        <v>1085286725</v>
      </c>
      <c r="F124" t="s">
        <v>59</v>
      </c>
      <c r="G124">
        <v>873</v>
      </c>
      <c r="J124">
        <v>873</v>
      </c>
      <c r="K124" t="s">
        <v>932</v>
      </c>
      <c r="M124">
        <f>VLOOKUP(PAGOS_ACTUALIZAR_2026!B124,'CARGADOS 2025 DICIEMBRE CIERRE'!B124:B679,1,0)</f>
        <v>2025003528</v>
      </c>
    </row>
    <row r="125" spans="1:13" hidden="1" x14ac:dyDescent="0.25">
      <c r="A125" t="s">
        <v>948</v>
      </c>
      <c r="B125">
        <v>2025003529</v>
      </c>
      <c r="C125" t="s">
        <v>190</v>
      </c>
      <c r="D125" t="s">
        <v>934</v>
      </c>
      <c r="E125">
        <v>59310291</v>
      </c>
      <c r="F125" t="s">
        <v>191</v>
      </c>
      <c r="G125">
        <v>873</v>
      </c>
      <c r="J125">
        <v>873</v>
      </c>
      <c r="K125" t="s">
        <v>934</v>
      </c>
      <c r="M125">
        <f>VLOOKUP(PAGOS_ACTUALIZAR_2026!B125,'CARGADOS 2025 DICIEMBRE CIERRE'!B125:B680,1,0)</f>
        <v>2025003529</v>
      </c>
    </row>
    <row r="126" spans="1:13" hidden="1" x14ac:dyDescent="0.25">
      <c r="A126" t="s">
        <v>948</v>
      </c>
      <c r="B126">
        <v>2025003530</v>
      </c>
      <c r="C126" t="s">
        <v>396</v>
      </c>
      <c r="D126" t="s">
        <v>933</v>
      </c>
      <c r="E126">
        <v>1004217048</v>
      </c>
      <c r="F126" t="s">
        <v>398</v>
      </c>
      <c r="G126">
        <v>873</v>
      </c>
      <c r="J126">
        <v>873</v>
      </c>
      <c r="K126" t="s">
        <v>933</v>
      </c>
      <c r="M126">
        <f>VLOOKUP(PAGOS_ACTUALIZAR_2026!B126,'CARGADOS 2025 DICIEMBRE CIERRE'!B126:B681,1,0)</f>
        <v>2025003530</v>
      </c>
    </row>
    <row r="127" spans="1:13" hidden="1" x14ac:dyDescent="0.25">
      <c r="A127" t="s">
        <v>948</v>
      </c>
      <c r="B127">
        <v>2025003531</v>
      </c>
      <c r="C127" t="s">
        <v>863</v>
      </c>
      <c r="D127" t="s">
        <v>933</v>
      </c>
      <c r="E127">
        <v>59815593</v>
      </c>
      <c r="F127" t="s">
        <v>962</v>
      </c>
      <c r="G127">
        <v>873</v>
      </c>
      <c r="J127">
        <v>873</v>
      </c>
      <c r="K127" t="s">
        <v>933</v>
      </c>
      <c r="M127">
        <f>VLOOKUP(PAGOS_ACTUALIZAR_2026!B127,'CARGADOS 2025 DICIEMBRE CIERRE'!B127:B682,1,0)</f>
        <v>2025003531</v>
      </c>
    </row>
    <row r="128" spans="1:13" hidden="1" x14ac:dyDescent="0.25">
      <c r="A128" t="s">
        <v>948</v>
      </c>
      <c r="B128">
        <v>2025003532</v>
      </c>
      <c r="C128" t="s">
        <v>228</v>
      </c>
      <c r="D128" t="s">
        <v>932</v>
      </c>
      <c r="E128">
        <v>1087644986</v>
      </c>
      <c r="F128" t="s">
        <v>229</v>
      </c>
      <c r="G128">
        <v>873</v>
      </c>
      <c r="J128">
        <v>873</v>
      </c>
      <c r="K128" t="s">
        <v>932</v>
      </c>
      <c r="M128">
        <f>VLOOKUP(PAGOS_ACTUALIZAR_2026!B128,'CARGADOS 2025 DICIEMBRE CIERRE'!B128:B683,1,0)</f>
        <v>2025003532</v>
      </c>
    </row>
    <row r="129" spans="1:13" hidden="1" x14ac:dyDescent="0.25">
      <c r="A129" t="s">
        <v>948</v>
      </c>
      <c r="B129">
        <v>2025003533</v>
      </c>
      <c r="C129" t="s">
        <v>107</v>
      </c>
      <c r="D129" t="s">
        <v>932</v>
      </c>
      <c r="E129">
        <v>1081053045</v>
      </c>
      <c r="F129" t="s">
        <v>108</v>
      </c>
      <c r="G129">
        <v>873</v>
      </c>
      <c r="J129">
        <v>873</v>
      </c>
      <c r="K129" t="s">
        <v>932</v>
      </c>
      <c r="M129">
        <f>VLOOKUP(PAGOS_ACTUALIZAR_2026!B129,'CARGADOS 2025 DICIEMBRE CIERRE'!B129:B684,1,0)</f>
        <v>2025003533</v>
      </c>
    </row>
    <row r="130" spans="1:13" hidden="1" x14ac:dyDescent="0.25">
      <c r="A130" t="s">
        <v>948</v>
      </c>
      <c r="B130">
        <v>2025003534</v>
      </c>
      <c r="C130" t="s">
        <v>128</v>
      </c>
      <c r="D130" t="s">
        <v>932</v>
      </c>
      <c r="E130">
        <v>1085343154</v>
      </c>
      <c r="F130" t="s">
        <v>129</v>
      </c>
      <c r="G130">
        <v>873</v>
      </c>
      <c r="J130">
        <v>873</v>
      </c>
      <c r="K130" t="s">
        <v>932</v>
      </c>
      <c r="M130">
        <f>VLOOKUP(PAGOS_ACTUALIZAR_2026!B130,'CARGADOS 2025 DICIEMBRE CIERRE'!B130:B685,1,0)</f>
        <v>2025003534</v>
      </c>
    </row>
    <row r="131" spans="1:13" hidden="1" x14ac:dyDescent="0.25">
      <c r="A131" t="s">
        <v>948</v>
      </c>
      <c r="B131">
        <v>2025003535</v>
      </c>
      <c r="C131" t="s">
        <v>313</v>
      </c>
      <c r="D131" t="s">
        <v>932</v>
      </c>
      <c r="E131">
        <v>1004547484</v>
      </c>
      <c r="F131" t="s">
        <v>314</v>
      </c>
      <c r="G131">
        <v>873</v>
      </c>
      <c r="J131">
        <v>873</v>
      </c>
      <c r="K131" t="s">
        <v>932</v>
      </c>
      <c r="M131">
        <f>VLOOKUP(PAGOS_ACTUALIZAR_2026!B131,'CARGADOS 2025 DICIEMBRE CIERRE'!B131:B686,1,0)</f>
        <v>2025003535</v>
      </c>
    </row>
    <row r="132" spans="1:13" hidden="1" x14ac:dyDescent="0.25">
      <c r="A132" t="s">
        <v>948</v>
      </c>
      <c r="B132">
        <v>2025003536</v>
      </c>
      <c r="C132" t="s">
        <v>866</v>
      </c>
      <c r="D132" t="s">
        <v>935</v>
      </c>
      <c r="E132">
        <v>1086331521</v>
      </c>
      <c r="F132" t="s">
        <v>868</v>
      </c>
      <c r="G132">
        <v>873</v>
      </c>
      <c r="J132">
        <v>873</v>
      </c>
      <c r="K132" t="s">
        <v>935</v>
      </c>
      <c r="M132">
        <f>VLOOKUP(PAGOS_ACTUALIZAR_2026!B132,'CARGADOS 2025 DICIEMBRE CIERRE'!B132:B687,1,0)</f>
        <v>2025003536</v>
      </c>
    </row>
    <row r="133" spans="1:13" hidden="1" x14ac:dyDescent="0.25">
      <c r="A133" t="s">
        <v>948</v>
      </c>
      <c r="B133">
        <v>2025003537</v>
      </c>
      <c r="C133" t="s">
        <v>220</v>
      </c>
      <c r="D133" t="s">
        <v>932</v>
      </c>
      <c r="E133">
        <v>1086358836</v>
      </c>
      <c r="F133" t="s">
        <v>221</v>
      </c>
      <c r="G133">
        <v>873</v>
      </c>
      <c r="J133">
        <v>873</v>
      </c>
      <c r="K133" t="s">
        <v>932</v>
      </c>
      <c r="M133">
        <f>VLOOKUP(PAGOS_ACTUALIZAR_2026!B133,'CARGADOS 2025 DICIEMBRE CIERRE'!B133:B688,1,0)</f>
        <v>2025003537</v>
      </c>
    </row>
    <row r="134" spans="1:13" hidden="1" x14ac:dyDescent="0.25">
      <c r="A134" t="s">
        <v>948</v>
      </c>
      <c r="B134">
        <v>2025003539</v>
      </c>
      <c r="C134" t="s">
        <v>339</v>
      </c>
      <c r="D134" t="s">
        <v>932</v>
      </c>
      <c r="E134">
        <v>37083086</v>
      </c>
      <c r="F134" t="s">
        <v>340</v>
      </c>
      <c r="G134">
        <v>873</v>
      </c>
      <c r="J134">
        <v>873</v>
      </c>
      <c r="K134" t="s">
        <v>932</v>
      </c>
      <c r="M134">
        <f>VLOOKUP(PAGOS_ACTUALIZAR_2026!B134,'CARGADOS 2025 DICIEMBRE CIERRE'!B134:B689,1,0)</f>
        <v>2025003539</v>
      </c>
    </row>
    <row r="135" spans="1:13" hidden="1" x14ac:dyDescent="0.25">
      <c r="A135" t="s">
        <v>948</v>
      </c>
      <c r="B135">
        <v>2025003540</v>
      </c>
      <c r="C135" t="s">
        <v>218</v>
      </c>
      <c r="D135" t="s">
        <v>932</v>
      </c>
      <c r="E135">
        <v>1089458048</v>
      </c>
      <c r="F135" t="s">
        <v>963</v>
      </c>
      <c r="G135">
        <v>873</v>
      </c>
      <c r="J135">
        <v>873</v>
      </c>
      <c r="K135" t="s">
        <v>932</v>
      </c>
      <c r="M135">
        <f>VLOOKUP(PAGOS_ACTUALIZAR_2026!B135,'CARGADOS 2025 DICIEMBRE CIERRE'!B135:B690,1,0)</f>
        <v>2025003540</v>
      </c>
    </row>
    <row r="136" spans="1:13" hidden="1" x14ac:dyDescent="0.25">
      <c r="A136" t="s">
        <v>964</v>
      </c>
      <c r="B136">
        <v>2025003541</v>
      </c>
      <c r="C136" t="s">
        <v>125</v>
      </c>
      <c r="D136" t="s">
        <v>932</v>
      </c>
      <c r="E136">
        <v>1193224810</v>
      </c>
      <c r="F136" t="s">
        <v>965</v>
      </c>
      <c r="G136">
        <v>873</v>
      </c>
      <c r="J136">
        <v>873</v>
      </c>
      <c r="K136" t="s">
        <v>932</v>
      </c>
      <c r="M136">
        <f>VLOOKUP(PAGOS_ACTUALIZAR_2026!B136,'CARGADOS 2025 DICIEMBRE CIERRE'!B136:B691,1,0)</f>
        <v>2025003541</v>
      </c>
    </row>
    <row r="137" spans="1:13" hidden="1" x14ac:dyDescent="0.25">
      <c r="A137" t="s">
        <v>964</v>
      </c>
      <c r="B137">
        <v>2025003542</v>
      </c>
      <c r="C137" t="s">
        <v>249</v>
      </c>
      <c r="D137" t="s">
        <v>932</v>
      </c>
      <c r="E137">
        <v>27276869</v>
      </c>
      <c r="F137" t="s">
        <v>250</v>
      </c>
      <c r="G137">
        <v>873</v>
      </c>
      <c r="J137">
        <v>873</v>
      </c>
      <c r="K137" t="s">
        <v>932</v>
      </c>
      <c r="M137">
        <f>VLOOKUP(PAGOS_ACTUALIZAR_2026!B137,'CARGADOS 2025 DICIEMBRE CIERRE'!B137:B692,1,0)</f>
        <v>2025003542</v>
      </c>
    </row>
    <row r="138" spans="1:13" hidden="1" x14ac:dyDescent="0.25">
      <c r="A138" t="s">
        <v>964</v>
      </c>
      <c r="B138">
        <v>2025003543</v>
      </c>
      <c r="C138" t="s">
        <v>869</v>
      </c>
      <c r="D138" t="s">
        <v>933</v>
      </c>
      <c r="E138">
        <v>1010113730</v>
      </c>
      <c r="F138" t="s">
        <v>871</v>
      </c>
      <c r="G138">
        <v>873</v>
      </c>
      <c r="J138">
        <v>873</v>
      </c>
      <c r="K138" t="s">
        <v>933</v>
      </c>
      <c r="M138">
        <f>VLOOKUP(PAGOS_ACTUALIZAR_2026!B138,'CARGADOS 2025 DICIEMBRE CIERRE'!B138:B693,1,0)</f>
        <v>2025003543</v>
      </c>
    </row>
    <row r="139" spans="1:13" hidden="1" x14ac:dyDescent="0.25">
      <c r="A139" t="s">
        <v>964</v>
      </c>
      <c r="B139">
        <v>2025003544</v>
      </c>
      <c r="C139" t="s">
        <v>200</v>
      </c>
      <c r="D139" t="s">
        <v>932</v>
      </c>
      <c r="E139">
        <v>1089458776</v>
      </c>
      <c r="F139" t="s">
        <v>201</v>
      </c>
      <c r="G139">
        <v>873</v>
      </c>
      <c r="J139">
        <v>873</v>
      </c>
      <c r="K139" t="s">
        <v>932</v>
      </c>
      <c r="M139">
        <f>VLOOKUP(PAGOS_ACTUALIZAR_2026!B139,'CARGADOS 2025 DICIEMBRE CIERRE'!B139:B694,1,0)</f>
        <v>2025003544</v>
      </c>
    </row>
    <row r="140" spans="1:13" hidden="1" x14ac:dyDescent="0.25">
      <c r="A140" t="s">
        <v>964</v>
      </c>
      <c r="B140">
        <v>2025003545</v>
      </c>
      <c r="C140" t="s">
        <v>309</v>
      </c>
      <c r="D140" t="s">
        <v>932</v>
      </c>
      <c r="E140">
        <v>1233193191</v>
      </c>
      <c r="F140" t="s">
        <v>310</v>
      </c>
      <c r="G140">
        <v>873</v>
      </c>
      <c r="J140">
        <v>873</v>
      </c>
      <c r="K140" t="s">
        <v>932</v>
      </c>
      <c r="M140">
        <f>VLOOKUP(PAGOS_ACTUALIZAR_2026!B140,'CARGADOS 2025 DICIEMBRE CIERRE'!B140:B695,1,0)</f>
        <v>2025003545</v>
      </c>
    </row>
    <row r="141" spans="1:13" hidden="1" x14ac:dyDescent="0.25">
      <c r="A141" t="s">
        <v>964</v>
      </c>
      <c r="B141">
        <v>2025003546</v>
      </c>
      <c r="C141" t="s">
        <v>632</v>
      </c>
      <c r="D141" t="s">
        <v>932</v>
      </c>
      <c r="E141">
        <v>1004190984</v>
      </c>
      <c r="F141" t="s">
        <v>634</v>
      </c>
      <c r="G141">
        <v>873</v>
      </c>
      <c r="J141">
        <v>873</v>
      </c>
      <c r="K141" t="s">
        <v>932</v>
      </c>
      <c r="M141">
        <f>VLOOKUP(PAGOS_ACTUALIZAR_2026!B141,'CARGADOS 2025 DICIEMBRE CIERRE'!B141:B696,1,0)</f>
        <v>2025003546</v>
      </c>
    </row>
    <row r="142" spans="1:13" hidden="1" x14ac:dyDescent="0.25">
      <c r="A142" t="s">
        <v>964</v>
      </c>
      <c r="B142">
        <v>2025003547</v>
      </c>
      <c r="C142" t="s">
        <v>238</v>
      </c>
      <c r="D142" t="s">
        <v>932</v>
      </c>
      <c r="E142">
        <v>1085267332</v>
      </c>
      <c r="F142" t="s">
        <v>239</v>
      </c>
      <c r="G142">
        <v>873</v>
      </c>
      <c r="J142">
        <v>873</v>
      </c>
      <c r="K142" t="s">
        <v>932</v>
      </c>
      <c r="M142">
        <f>VLOOKUP(PAGOS_ACTUALIZAR_2026!B142,'CARGADOS 2025 DICIEMBRE CIERRE'!B142:B697,1,0)</f>
        <v>2025003547</v>
      </c>
    </row>
    <row r="143" spans="1:13" hidden="1" x14ac:dyDescent="0.25">
      <c r="A143" t="s">
        <v>964</v>
      </c>
      <c r="B143">
        <v>2025003548</v>
      </c>
      <c r="C143" t="s">
        <v>307</v>
      </c>
      <c r="D143" t="s">
        <v>931</v>
      </c>
      <c r="E143">
        <v>1193424771</v>
      </c>
      <c r="F143" t="s">
        <v>966</v>
      </c>
      <c r="G143">
        <v>873</v>
      </c>
      <c r="J143">
        <v>873</v>
      </c>
      <c r="K143" t="s">
        <v>931</v>
      </c>
      <c r="M143">
        <f>VLOOKUP(PAGOS_ACTUALIZAR_2026!B143,'CARGADOS 2025 DICIEMBRE CIERRE'!B143:B698,1,0)</f>
        <v>2025003548</v>
      </c>
    </row>
    <row r="144" spans="1:13" hidden="1" x14ac:dyDescent="0.25">
      <c r="A144" t="s">
        <v>964</v>
      </c>
      <c r="B144">
        <v>2025003549</v>
      </c>
      <c r="C144" t="s">
        <v>353</v>
      </c>
      <c r="D144" t="s">
        <v>931</v>
      </c>
      <c r="E144">
        <v>1085318201</v>
      </c>
      <c r="F144" t="s">
        <v>354</v>
      </c>
      <c r="G144">
        <v>873</v>
      </c>
      <c r="J144">
        <v>873</v>
      </c>
      <c r="K144" t="s">
        <v>931</v>
      </c>
      <c r="M144">
        <f>VLOOKUP(PAGOS_ACTUALIZAR_2026!B144,'CARGADOS 2025 DICIEMBRE CIERRE'!B144:B699,1,0)</f>
        <v>2025003549</v>
      </c>
    </row>
    <row r="145" spans="1:13" hidden="1" x14ac:dyDescent="0.25">
      <c r="A145" t="s">
        <v>964</v>
      </c>
      <c r="B145">
        <v>2025003551</v>
      </c>
      <c r="C145" t="s">
        <v>347</v>
      </c>
      <c r="D145" t="s">
        <v>932</v>
      </c>
      <c r="E145">
        <v>1004543161</v>
      </c>
      <c r="F145" t="s">
        <v>348</v>
      </c>
      <c r="G145">
        <v>873</v>
      </c>
      <c r="J145">
        <v>873</v>
      </c>
      <c r="K145" t="s">
        <v>932</v>
      </c>
      <c r="M145">
        <f>VLOOKUP(PAGOS_ACTUALIZAR_2026!B145,'CARGADOS 2025 DICIEMBRE CIERRE'!B145:B700,1,0)</f>
        <v>2025003551</v>
      </c>
    </row>
    <row r="146" spans="1:13" hidden="1" x14ac:dyDescent="0.25">
      <c r="A146" t="s">
        <v>964</v>
      </c>
      <c r="B146">
        <v>2025003552</v>
      </c>
      <c r="C146" t="s">
        <v>451</v>
      </c>
      <c r="D146" t="s">
        <v>933</v>
      </c>
      <c r="E146">
        <v>1080040525</v>
      </c>
      <c r="F146" t="s">
        <v>453</v>
      </c>
      <c r="G146">
        <v>873</v>
      </c>
      <c r="J146">
        <v>873</v>
      </c>
      <c r="K146" t="s">
        <v>933</v>
      </c>
      <c r="M146">
        <f>VLOOKUP(PAGOS_ACTUALIZAR_2026!B146,'CARGADOS 2025 DICIEMBRE CIERRE'!B146:B701,1,0)</f>
        <v>2025003552</v>
      </c>
    </row>
    <row r="147" spans="1:13" hidden="1" x14ac:dyDescent="0.25">
      <c r="A147" t="s">
        <v>964</v>
      </c>
      <c r="B147">
        <v>2025003553</v>
      </c>
      <c r="C147" t="s">
        <v>457</v>
      </c>
      <c r="D147" t="s">
        <v>933</v>
      </c>
      <c r="E147">
        <v>1085334752</v>
      </c>
      <c r="F147" t="s">
        <v>459</v>
      </c>
      <c r="G147">
        <v>873</v>
      </c>
      <c r="J147">
        <v>873</v>
      </c>
      <c r="K147" t="s">
        <v>933</v>
      </c>
      <c r="M147">
        <f>VLOOKUP(PAGOS_ACTUALIZAR_2026!B147,'CARGADOS 2025 DICIEMBRE CIERRE'!B147:B702,1,0)</f>
        <v>2025003553</v>
      </c>
    </row>
    <row r="148" spans="1:13" hidden="1" x14ac:dyDescent="0.25">
      <c r="A148" t="s">
        <v>964</v>
      </c>
      <c r="B148">
        <v>2025003556</v>
      </c>
      <c r="C148" t="s">
        <v>692</v>
      </c>
      <c r="D148" t="s">
        <v>932</v>
      </c>
      <c r="E148">
        <v>1233191675</v>
      </c>
      <c r="F148" t="s">
        <v>39</v>
      </c>
      <c r="G148">
        <v>873</v>
      </c>
      <c r="J148">
        <v>873</v>
      </c>
      <c r="K148" t="s">
        <v>932</v>
      </c>
      <c r="M148">
        <f>VLOOKUP(PAGOS_ACTUALIZAR_2026!B148,'CARGADOS 2025 DICIEMBRE CIERRE'!B148:B703,1,0)</f>
        <v>2025003556</v>
      </c>
    </row>
    <row r="149" spans="1:13" hidden="1" x14ac:dyDescent="0.25">
      <c r="A149" t="s">
        <v>964</v>
      </c>
      <c r="B149">
        <v>2025003557</v>
      </c>
      <c r="C149" t="s">
        <v>714</v>
      </c>
      <c r="D149" t="s">
        <v>932</v>
      </c>
      <c r="E149">
        <v>27253636</v>
      </c>
      <c r="F149" t="s">
        <v>716</v>
      </c>
      <c r="G149">
        <v>873</v>
      </c>
      <c r="J149">
        <v>873</v>
      </c>
      <c r="K149" t="s">
        <v>932</v>
      </c>
      <c r="M149">
        <f>VLOOKUP(PAGOS_ACTUALIZAR_2026!B149,'CARGADOS 2025 DICIEMBRE CIERRE'!B149:B704,1,0)</f>
        <v>2025003557</v>
      </c>
    </row>
    <row r="150" spans="1:13" hidden="1" x14ac:dyDescent="0.25">
      <c r="A150" t="s">
        <v>964</v>
      </c>
      <c r="B150">
        <v>2025003558</v>
      </c>
      <c r="C150" t="s">
        <v>271</v>
      </c>
      <c r="D150" t="s">
        <v>932</v>
      </c>
      <c r="E150">
        <v>59310524</v>
      </c>
      <c r="F150" t="s">
        <v>22</v>
      </c>
      <c r="G150">
        <v>873</v>
      </c>
      <c r="J150">
        <v>873</v>
      </c>
      <c r="K150" t="s">
        <v>932</v>
      </c>
      <c r="M150">
        <f>VLOOKUP(PAGOS_ACTUALIZAR_2026!B150,'CARGADOS 2025 DICIEMBRE CIERRE'!B150:B705,1,0)</f>
        <v>2025003558</v>
      </c>
    </row>
    <row r="151" spans="1:13" hidden="1" x14ac:dyDescent="0.25">
      <c r="A151" t="s">
        <v>964</v>
      </c>
      <c r="B151">
        <v>2025003559</v>
      </c>
      <c r="C151" t="s">
        <v>302</v>
      </c>
      <c r="D151" t="s">
        <v>934</v>
      </c>
      <c r="E151">
        <v>27456421</v>
      </c>
      <c r="F151" t="s">
        <v>303</v>
      </c>
      <c r="G151">
        <v>873</v>
      </c>
      <c r="J151">
        <v>873</v>
      </c>
      <c r="K151" t="s">
        <v>934</v>
      </c>
      <c r="M151">
        <f>VLOOKUP(PAGOS_ACTUALIZAR_2026!B151,'CARGADOS 2025 DICIEMBRE CIERRE'!B151:B706,1,0)</f>
        <v>2025003559</v>
      </c>
    </row>
    <row r="152" spans="1:13" hidden="1" x14ac:dyDescent="0.25">
      <c r="A152" t="s">
        <v>964</v>
      </c>
      <c r="B152">
        <v>2025003561</v>
      </c>
      <c r="C152" t="s">
        <v>690</v>
      </c>
      <c r="D152" t="s">
        <v>934</v>
      </c>
      <c r="E152">
        <v>27097745</v>
      </c>
      <c r="F152" t="s">
        <v>967</v>
      </c>
      <c r="G152">
        <v>873</v>
      </c>
      <c r="J152">
        <v>873</v>
      </c>
      <c r="K152" t="s">
        <v>934</v>
      </c>
      <c r="M152">
        <f>VLOOKUP(PAGOS_ACTUALIZAR_2026!B152,'CARGADOS 2025 DICIEMBRE CIERRE'!B152:B707,1,0)</f>
        <v>2025003561</v>
      </c>
    </row>
    <row r="153" spans="1:13" hidden="1" x14ac:dyDescent="0.25">
      <c r="A153" t="s">
        <v>964</v>
      </c>
      <c r="B153">
        <v>2025003562</v>
      </c>
      <c r="C153" t="s">
        <v>355</v>
      </c>
      <c r="D153" t="s">
        <v>932</v>
      </c>
      <c r="E153">
        <v>1004726621</v>
      </c>
      <c r="F153" t="s">
        <v>356</v>
      </c>
      <c r="G153">
        <v>873</v>
      </c>
      <c r="J153">
        <v>873</v>
      </c>
      <c r="K153" t="s">
        <v>932</v>
      </c>
      <c r="M153">
        <f>VLOOKUP(PAGOS_ACTUALIZAR_2026!B153,'CARGADOS 2025 DICIEMBRE CIERRE'!B153:B708,1,0)</f>
        <v>2025003562</v>
      </c>
    </row>
    <row r="154" spans="1:13" hidden="1" x14ac:dyDescent="0.25">
      <c r="A154" t="s">
        <v>964</v>
      </c>
      <c r="B154">
        <v>2025003563</v>
      </c>
      <c r="C154" t="s">
        <v>872</v>
      </c>
      <c r="D154" t="s">
        <v>933</v>
      </c>
      <c r="E154">
        <v>36757715</v>
      </c>
      <c r="F154" t="s">
        <v>874</v>
      </c>
      <c r="G154">
        <v>873</v>
      </c>
      <c r="J154">
        <v>873</v>
      </c>
      <c r="K154" t="s">
        <v>933</v>
      </c>
      <c r="M154">
        <f>VLOOKUP(PAGOS_ACTUALIZAR_2026!B154,'CARGADOS 2025 DICIEMBRE CIERRE'!B154:B709,1,0)</f>
        <v>2025003563</v>
      </c>
    </row>
    <row r="155" spans="1:13" hidden="1" x14ac:dyDescent="0.25">
      <c r="A155" t="s">
        <v>964</v>
      </c>
      <c r="B155">
        <v>2025003564</v>
      </c>
      <c r="C155" t="s">
        <v>488</v>
      </c>
      <c r="D155" t="s">
        <v>932</v>
      </c>
      <c r="E155">
        <v>1004343043</v>
      </c>
      <c r="F155" t="s">
        <v>490</v>
      </c>
      <c r="G155">
        <v>873</v>
      </c>
      <c r="J155">
        <v>873</v>
      </c>
      <c r="K155" t="s">
        <v>932</v>
      </c>
      <c r="M155">
        <f>VLOOKUP(PAGOS_ACTUALIZAR_2026!B155,'CARGADOS 2025 DICIEMBRE CIERRE'!B155:B710,1,0)</f>
        <v>2025003564</v>
      </c>
    </row>
    <row r="156" spans="1:13" hidden="1" x14ac:dyDescent="0.25">
      <c r="A156" t="s">
        <v>964</v>
      </c>
      <c r="B156">
        <v>2025003565</v>
      </c>
      <c r="C156" t="s">
        <v>156</v>
      </c>
      <c r="D156" t="s">
        <v>932</v>
      </c>
      <c r="E156">
        <v>1085339190</v>
      </c>
      <c r="F156" t="s">
        <v>49</v>
      </c>
      <c r="G156">
        <v>873</v>
      </c>
      <c r="J156">
        <v>873</v>
      </c>
      <c r="K156" t="s">
        <v>932</v>
      </c>
      <c r="M156">
        <f>VLOOKUP(PAGOS_ACTUALIZAR_2026!B156,'CARGADOS 2025 DICIEMBRE CIERRE'!B156:B711,1,0)</f>
        <v>2025003565</v>
      </c>
    </row>
    <row r="157" spans="1:13" hidden="1" x14ac:dyDescent="0.25">
      <c r="A157" t="s">
        <v>964</v>
      </c>
      <c r="B157">
        <v>2025003566</v>
      </c>
      <c r="C157" t="s">
        <v>282</v>
      </c>
      <c r="D157" t="s">
        <v>931</v>
      </c>
      <c r="E157">
        <v>1086360022</v>
      </c>
      <c r="F157" t="s">
        <v>283</v>
      </c>
      <c r="G157">
        <v>873</v>
      </c>
      <c r="J157">
        <v>873</v>
      </c>
      <c r="K157" t="s">
        <v>931</v>
      </c>
      <c r="M157">
        <f>VLOOKUP(PAGOS_ACTUALIZAR_2026!B157,'CARGADOS 2025 DICIEMBRE CIERRE'!B157:B712,1,0)</f>
        <v>2025003566</v>
      </c>
    </row>
    <row r="158" spans="1:13" hidden="1" x14ac:dyDescent="0.25">
      <c r="A158" t="s">
        <v>964</v>
      </c>
      <c r="B158">
        <v>2025003567</v>
      </c>
      <c r="C158" t="s">
        <v>117</v>
      </c>
      <c r="D158" t="s">
        <v>934</v>
      </c>
      <c r="E158">
        <v>1085347312</v>
      </c>
      <c r="F158" t="s">
        <v>118</v>
      </c>
      <c r="G158">
        <v>873</v>
      </c>
      <c r="J158">
        <v>873</v>
      </c>
      <c r="K158" t="s">
        <v>934</v>
      </c>
      <c r="M158">
        <f>VLOOKUP(PAGOS_ACTUALIZAR_2026!B158,'CARGADOS 2025 DICIEMBRE CIERRE'!B158:B713,1,0)</f>
        <v>2025003567</v>
      </c>
    </row>
    <row r="159" spans="1:13" hidden="1" x14ac:dyDescent="0.25">
      <c r="A159" t="s">
        <v>964</v>
      </c>
      <c r="B159">
        <v>2025003568</v>
      </c>
      <c r="C159" t="s">
        <v>255</v>
      </c>
      <c r="D159" t="s">
        <v>934</v>
      </c>
      <c r="E159">
        <v>1082748420</v>
      </c>
      <c r="F159" t="s">
        <v>968</v>
      </c>
      <c r="G159">
        <v>873</v>
      </c>
      <c r="J159">
        <v>873</v>
      </c>
      <c r="K159" t="s">
        <v>934</v>
      </c>
      <c r="M159">
        <f>VLOOKUP(PAGOS_ACTUALIZAR_2026!B159,'CARGADOS 2025 DICIEMBRE CIERRE'!B159:B714,1,0)</f>
        <v>2025003568</v>
      </c>
    </row>
    <row r="160" spans="1:13" hidden="1" x14ac:dyDescent="0.25">
      <c r="A160" t="s">
        <v>964</v>
      </c>
      <c r="B160">
        <v>2025003569</v>
      </c>
      <c r="C160" t="s">
        <v>315</v>
      </c>
      <c r="D160" t="s">
        <v>932</v>
      </c>
      <c r="E160">
        <v>59313711</v>
      </c>
      <c r="F160" t="s">
        <v>316</v>
      </c>
      <c r="G160">
        <v>873</v>
      </c>
      <c r="J160">
        <v>873</v>
      </c>
      <c r="K160" t="s">
        <v>932</v>
      </c>
      <c r="M160">
        <f>VLOOKUP(PAGOS_ACTUALIZAR_2026!B160,'CARGADOS 2025 DICIEMBRE CIERRE'!B160:B715,1,0)</f>
        <v>2025003569</v>
      </c>
    </row>
    <row r="161" spans="1:13" hidden="1" x14ac:dyDescent="0.25">
      <c r="A161" t="s">
        <v>964</v>
      </c>
      <c r="B161">
        <v>2025003570</v>
      </c>
      <c r="C161" t="s">
        <v>245</v>
      </c>
      <c r="D161" t="s">
        <v>931</v>
      </c>
      <c r="E161">
        <v>1082749648</v>
      </c>
      <c r="F161" t="s">
        <v>246</v>
      </c>
      <c r="G161">
        <v>873</v>
      </c>
      <c r="J161">
        <v>873</v>
      </c>
      <c r="K161" t="s">
        <v>931</v>
      </c>
      <c r="M161">
        <f>VLOOKUP(PAGOS_ACTUALIZAR_2026!B161,'CARGADOS 2025 DICIEMBRE CIERRE'!B161:B716,1,0)</f>
        <v>2025003570</v>
      </c>
    </row>
    <row r="162" spans="1:13" hidden="1" x14ac:dyDescent="0.25">
      <c r="A162" t="s">
        <v>964</v>
      </c>
      <c r="B162">
        <v>2025003571</v>
      </c>
      <c r="C162" t="s">
        <v>203</v>
      </c>
      <c r="D162" t="s">
        <v>934</v>
      </c>
      <c r="E162">
        <v>1084551863</v>
      </c>
      <c r="F162" t="s">
        <v>204</v>
      </c>
      <c r="G162">
        <v>873</v>
      </c>
      <c r="J162">
        <v>873</v>
      </c>
      <c r="K162" t="s">
        <v>934</v>
      </c>
      <c r="M162">
        <f>VLOOKUP(PAGOS_ACTUALIZAR_2026!B162,'CARGADOS 2025 DICIEMBRE CIERRE'!B162:B717,1,0)</f>
        <v>2025003571</v>
      </c>
    </row>
    <row r="163" spans="1:13" hidden="1" x14ac:dyDescent="0.25">
      <c r="A163" t="s">
        <v>964</v>
      </c>
      <c r="B163">
        <v>2025003572</v>
      </c>
      <c r="C163" t="s">
        <v>247</v>
      </c>
      <c r="D163" t="s">
        <v>932</v>
      </c>
      <c r="E163">
        <v>37087117</v>
      </c>
      <c r="F163" t="s">
        <v>248</v>
      </c>
      <c r="G163">
        <v>873</v>
      </c>
      <c r="J163">
        <v>873</v>
      </c>
      <c r="K163" t="s">
        <v>932</v>
      </c>
      <c r="M163">
        <f>VLOOKUP(PAGOS_ACTUALIZAR_2026!B163,'CARGADOS 2025 DICIEMBRE CIERRE'!B163:B718,1,0)</f>
        <v>2025003572</v>
      </c>
    </row>
    <row r="164" spans="1:13" hidden="1" x14ac:dyDescent="0.25">
      <c r="A164" t="s">
        <v>964</v>
      </c>
      <c r="B164">
        <v>2025003573</v>
      </c>
      <c r="C164" t="s">
        <v>454</v>
      </c>
      <c r="D164" t="s">
        <v>933</v>
      </c>
      <c r="E164">
        <v>1233188221</v>
      </c>
      <c r="F164" t="s">
        <v>456</v>
      </c>
      <c r="G164">
        <v>873</v>
      </c>
      <c r="J164">
        <v>873</v>
      </c>
      <c r="K164" t="s">
        <v>933</v>
      </c>
      <c r="M164">
        <f>VLOOKUP(PAGOS_ACTUALIZAR_2026!B164,'CARGADOS 2025 DICIEMBRE CIERRE'!B164:B719,1,0)</f>
        <v>2025003573</v>
      </c>
    </row>
    <row r="165" spans="1:13" hidden="1" x14ac:dyDescent="0.25">
      <c r="A165" t="s">
        <v>964</v>
      </c>
      <c r="B165">
        <v>2025003574</v>
      </c>
      <c r="C165" t="s">
        <v>311</v>
      </c>
      <c r="D165" t="s">
        <v>932</v>
      </c>
      <c r="E165">
        <v>1085247449</v>
      </c>
      <c r="F165" t="s">
        <v>312</v>
      </c>
      <c r="G165">
        <v>873</v>
      </c>
      <c r="J165">
        <v>873</v>
      </c>
      <c r="K165" t="s">
        <v>932</v>
      </c>
      <c r="M165">
        <f>VLOOKUP(PAGOS_ACTUALIZAR_2026!B165,'CARGADOS 2025 DICIEMBRE CIERRE'!B165:B720,1,0)</f>
        <v>2025003574</v>
      </c>
    </row>
    <row r="166" spans="1:13" hidden="1" x14ac:dyDescent="0.25">
      <c r="A166" t="s">
        <v>964</v>
      </c>
      <c r="B166">
        <v>2025003575</v>
      </c>
      <c r="C166" t="s">
        <v>628</v>
      </c>
      <c r="D166" t="s">
        <v>932</v>
      </c>
      <c r="E166">
        <v>1085261053</v>
      </c>
      <c r="F166" t="s">
        <v>71</v>
      </c>
      <c r="G166">
        <v>873</v>
      </c>
      <c r="J166">
        <v>873</v>
      </c>
      <c r="K166" t="s">
        <v>932</v>
      </c>
      <c r="M166">
        <f>VLOOKUP(PAGOS_ACTUALIZAR_2026!B166,'CARGADOS 2025 DICIEMBRE CIERRE'!B166:B721,1,0)</f>
        <v>2025003575</v>
      </c>
    </row>
    <row r="167" spans="1:13" hidden="1" x14ac:dyDescent="0.25">
      <c r="A167" t="s">
        <v>964</v>
      </c>
      <c r="B167">
        <v>2025003576</v>
      </c>
      <c r="C167" t="s">
        <v>301</v>
      </c>
      <c r="D167" t="s">
        <v>932</v>
      </c>
      <c r="E167">
        <v>1010082397</v>
      </c>
      <c r="F167" t="s">
        <v>32</v>
      </c>
      <c r="G167">
        <v>873</v>
      </c>
      <c r="J167">
        <v>873</v>
      </c>
      <c r="K167" t="s">
        <v>932</v>
      </c>
      <c r="M167">
        <f>VLOOKUP(PAGOS_ACTUALIZAR_2026!B167,'CARGADOS 2025 DICIEMBRE CIERRE'!B167:B722,1,0)</f>
        <v>2025003576</v>
      </c>
    </row>
    <row r="168" spans="1:13" hidden="1" x14ac:dyDescent="0.25">
      <c r="A168" t="s">
        <v>964</v>
      </c>
      <c r="B168">
        <v>2025003577</v>
      </c>
      <c r="C168" t="s">
        <v>875</v>
      </c>
      <c r="D168" t="s">
        <v>969</v>
      </c>
      <c r="E168">
        <v>900752343</v>
      </c>
      <c r="F168" t="s">
        <v>838</v>
      </c>
      <c r="G168">
        <v>873</v>
      </c>
      <c r="J168">
        <v>873</v>
      </c>
      <c r="K168" t="s">
        <v>969</v>
      </c>
      <c r="M168">
        <f>VLOOKUP(PAGOS_ACTUALIZAR_2026!B168,'CARGADOS 2025 DICIEMBRE CIERRE'!B168:B723,1,0)</f>
        <v>2025003577</v>
      </c>
    </row>
    <row r="169" spans="1:13" hidden="1" x14ac:dyDescent="0.25">
      <c r="A169" t="s">
        <v>964</v>
      </c>
      <c r="B169">
        <v>2025003578</v>
      </c>
      <c r="C169" t="s">
        <v>290</v>
      </c>
      <c r="D169" t="s">
        <v>935</v>
      </c>
      <c r="E169">
        <v>1233193882</v>
      </c>
      <c r="F169" t="s">
        <v>291</v>
      </c>
      <c r="G169">
        <v>873</v>
      </c>
      <c r="J169">
        <v>873</v>
      </c>
      <c r="K169" t="s">
        <v>935</v>
      </c>
      <c r="M169">
        <f>VLOOKUP(PAGOS_ACTUALIZAR_2026!B169,'CARGADOS 2025 DICIEMBRE CIERRE'!B169:B724,1,0)</f>
        <v>2025003578</v>
      </c>
    </row>
    <row r="170" spans="1:13" hidden="1" x14ac:dyDescent="0.25">
      <c r="A170" t="s">
        <v>964</v>
      </c>
      <c r="B170">
        <v>2025003580</v>
      </c>
      <c r="C170" t="s">
        <v>270</v>
      </c>
      <c r="D170" t="s">
        <v>934</v>
      </c>
      <c r="E170">
        <v>1085299577</v>
      </c>
      <c r="F170" t="s">
        <v>56</v>
      </c>
      <c r="G170">
        <v>873</v>
      </c>
      <c r="J170">
        <v>873</v>
      </c>
      <c r="K170" t="s">
        <v>934</v>
      </c>
      <c r="M170">
        <f>VLOOKUP(PAGOS_ACTUALIZAR_2026!B170,'CARGADOS 2025 DICIEMBRE CIERRE'!B170:B725,1,0)</f>
        <v>2025003580</v>
      </c>
    </row>
    <row r="171" spans="1:13" hidden="1" x14ac:dyDescent="0.25">
      <c r="A171" t="s">
        <v>964</v>
      </c>
      <c r="B171">
        <v>2025003581</v>
      </c>
      <c r="C171" t="s">
        <v>158</v>
      </c>
      <c r="D171" t="s">
        <v>932</v>
      </c>
      <c r="E171">
        <v>1085315013</v>
      </c>
      <c r="F171" t="s">
        <v>970</v>
      </c>
      <c r="G171">
        <v>873</v>
      </c>
      <c r="J171">
        <v>873</v>
      </c>
      <c r="K171" t="s">
        <v>932</v>
      </c>
      <c r="M171">
        <f>VLOOKUP(PAGOS_ACTUALIZAR_2026!B171,'CARGADOS 2025 DICIEMBRE CIERRE'!B171:B726,1,0)</f>
        <v>2025003581</v>
      </c>
    </row>
    <row r="172" spans="1:13" hidden="1" x14ac:dyDescent="0.25">
      <c r="A172" t="s">
        <v>964</v>
      </c>
      <c r="B172">
        <v>2025003582</v>
      </c>
      <c r="C172" t="s">
        <v>175</v>
      </c>
      <c r="D172" t="s">
        <v>932</v>
      </c>
      <c r="E172">
        <v>1085255829</v>
      </c>
      <c r="F172" t="s">
        <v>971</v>
      </c>
      <c r="G172">
        <v>873</v>
      </c>
      <c r="J172">
        <v>873</v>
      </c>
      <c r="K172" t="s">
        <v>932</v>
      </c>
      <c r="M172">
        <f>VLOOKUP(PAGOS_ACTUALIZAR_2026!B172,'CARGADOS 2025 DICIEMBRE CIERRE'!B172:B727,1,0)</f>
        <v>2025003582</v>
      </c>
    </row>
    <row r="173" spans="1:13" hidden="1" x14ac:dyDescent="0.25">
      <c r="A173" t="s">
        <v>964</v>
      </c>
      <c r="B173">
        <v>2025003583</v>
      </c>
      <c r="C173" t="s">
        <v>173</v>
      </c>
      <c r="D173" t="s">
        <v>932</v>
      </c>
      <c r="E173">
        <v>1085288636</v>
      </c>
      <c r="F173" t="s">
        <v>174</v>
      </c>
      <c r="G173">
        <v>873</v>
      </c>
      <c r="J173">
        <v>873</v>
      </c>
      <c r="K173" t="s">
        <v>932</v>
      </c>
      <c r="M173">
        <f>VLOOKUP(PAGOS_ACTUALIZAR_2026!B173,'CARGADOS 2025 DICIEMBRE CIERRE'!B173:B728,1,0)</f>
        <v>2025003583</v>
      </c>
    </row>
    <row r="174" spans="1:13" hidden="1" x14ac:dyDescent="0.25">
      <c r="A174" t="s">
        <v>964</v>
      </c>
      <c r="B174">
        <v>2025003585</v>
      </c>
      <c r="C174" t="s">
        <v>184</v>
      </c>
      <c r="D174" t="s">
        <v>932</v>
      </c>
      <c r="E174">
        <v>1137624011</v>
      </c>
      <c r="F174" t="s">
        <v>27</v>
      </c>
      <c r="G174">
        <v>873</v>
      </c>
      <c r="J174">
        <v>873</v>
      </c>
      <c r="K174" t="s">
        <v>932</v>
      </c>
      <c r="M174">
        <f>VLOOKUP(PAGOS_ACTUALIZAR_2026!B174,'CARGADOS 2025 DICIEMBRE CIERRE'!B174:B729,1,0)</f>
        <v>2025003585</v>
      </c>
    </row>
    <row r="175" spans="1:13" hidden="1" x14ac:dyDescent="0.25">
      <c r="A175" t="s">
        <v>964</v>
      </c>
      <c r="B175">
        <v>2025003587</v>
      </c>
      <c r="C175" t="s">
        <v>180</v>
      </c>
      <c r="D175" t="s">
        <v>931</v>
      </c>
      <c r="E175">
        <v>36756149</v>
      </c>
      <c r="F175" t="s">
        <v>181</v>
      </c>
      <c r="G175">
        <v>873</v>
      </c>
      <c r="J175">
        <v>873</v>
      </c>
      <c r="K175" t="s">
        <v>931</v>
      </c>
      <c r="M175">
        <f>VLOOKUP(PAGOS_ACTUALIZAR_2026!B175,'CARGADOS 2025 DICIEMBRE CIERRE'!B175:B730,1,0)</f>
        <v>2025003587</v>
      </c>
    </row>
    <row r="176" spans="1:13" hidden="1" x14ac:dyDescent="0.25">
      <c r="A176" t="s">
        <v>964</v>
      </c>
      <c r="B176">
        <v>2025003588</v>
      </c>
      <c r="C176" t="s">
        <v>286</v>
      </c>
      <c r="D176" t="s">
        <v>934</v>
      </c>
      <c r="E176">
        <v>1085272491</v>
      </c>
      <c r="F176" t="s">
        <v>287</v>
      </c>
      <c r="G176">
        <v>873</v>
      </c>
      <c r="J176">
        <v>873</v>
      </c>
      <c r="K176" t="s">
        <v>934</v>
      </c>
      <c r="M176">
        <f>VLOOKUP(PAGOS_ACTUALIZAR_2026!B176,'CARGADOS 2025 DICIEMBRE CIERRE'!B176:B731,1,0)</f>
        <v>2025003588</v>
      </c>
    </row>
    <row r="177" spans="1:13" hidden="1" x14ac:dyDescent="0.25">
      <c r="A177" t="s">
        <v>964</v>
      </c>
      <c r="B177">
        <v>2025003589</v>
      </c>
      <c r="C177" t="s">
        <v>277</v>
      </c>
      <c r="D177" t="s">
        <v>931</v>
      </c>
      <c r="E177">
        <v>1086137686</v>
      </c>
      <c r="F177" t="s">
        <v>278</v>
      </c>
      <c r="G177">
        <v>873</v>
      </c>
      <c r="J177">
        <v>873</v>
      </c>
      <c r="K177" t="s">
        <v>931</v>
      </c>
      <c r="M177">
        <f>VLOOKUP(PAGOS_ACTUALIZAR_2026!B177,'CARGADOS 2025 DICIEMBRE CIERRE'!B177:B732,1,0)</f>
        <v>2025003589</v>
      </c>
    </row>
    <row r="178" spans="1:13" hidden="1" x14ac:dyDescent="0.25">
      <c r="A178" t="s">
        <v>964</v>
      </c>
      <c r="B178">
        <v>2025003590</v>
      </c>
      <c r="C178" t="s">
        <v>143</v>
      </c>
      <c r="D178" t="s">
        <v>931</v>
      </c>
      <c r="E178">
        <v>1085343783</v>
      </c>
      <c r="F178" t="s">
        <v>20</v>
      </c>
      <c r="G178">
        <v>873</v>
      </c>
      <c r="J178">
        <v>873</v>
      </c>
      <c r="K178" t="s">
        <v>931</v>
      </c>
      <c r="M178">
        <f>VLOOKUP(PAGOS_ACTUALIZAR_2026!B178,'CARGADOS 2025 DICIEMBRE CIERRE'!B178:B733,1,0)</f>
        <v>2025003590</v>
      </c>
    </row>
    <row r="179" spans="1:13" hidden="1" x14ac:dyDescent="0.25">
      <c r="A179" t="s">
        <v>964</v>
      </c>
      <c r="B179">
        <v>2025003591</v>
      </c>
      <c r="C179" t="s">
        <v>222</v>
      </c>
      <c r="D179" t="s">
        <v>932</v>
      </c>
      <c r="E179">
        <v>36752202</v>
      </c>
      <c r="F179" t="s">
        <v>15</v>
      </c>
      <c r="G179">
        <v>873</v>
      </c>
      <c r="J179">
        <v>873</v>
      </c>
      <c r="K179" t="s">
        <v>932</v>
      </c>
      <c r="M179">
        <f>VLOOKUP(PAGOS_ACTUALIZAR_2026!B179,'CARGADOS 2025 DICIEMBRE CIERRE'!B179:B734,1,0)</f>
        <v>2025003591</v>
      </c>
    </row>
    <row r="180" spans="1:13" hidden="1" x14ac:dyDescent="0.25">
      <c r="A180" t="s">
        <v>964</v>
      </c>
      <c r="B180">
        <v>2025003592</v>
      </c>
      <c r="C180" t="s">
        <v>279</v>
      </c>
      <c r="D180" t="s">
        <v>935</v>
      </c>
      <c r="E180">
        <v>1086361969</v>
      </c>
      <c r="F180" t="s">
        <v>972</v>
      </c>
      <c r="G180">
        <v>873</v>
      </c>
      <c r="J180">
        <v>873</v>
      </c>
      <c r="K180" t="s">
        <v>935</v>
      </c>
      <c r="M180">
        <f>VLOOKUP(PAGOS_ACTUALIZAR_2026!B180,'CARGADOS 2025 DICIEMBRE CIERRE'!B180:B735,1,0)</f>
        <v>2025003592</v>
      </c>
    </row>
    <row r="181" spans="1:13" hidden="1" x14ac:dyDescent="0.25">
      <c r="A181" t="s">
        <v>964</v>
      </c>
      <c r="B181">
        <v>2025003593</v>
      </c>
      <c r="C181" t="s">
        <v>660</v>
      </c>
      <c r="D181" t="s">
        <v>934</v>
      </c>
      <c r="E181">
        <v>37085864</v>
      </c>
      <c r="F181" t="s">
        <v>662</v>
      </c>
      <c r="G181">
        <v>873</v>
      </c>
      <c r="J181">
        <v>873</v>
      </c>
      <c r="K181" t="s">
        <v>934</v>
      </c>
      <c r="M181">
        <f>VLOOKUP(PAGOS_ACTUALIZAR_2026!B181,'CARGADOS 2025 DICIEMBRE CIERRE'!B181:B736,1,0)</f>
        <v>2025003593</v>
      </c>
    </row>
    <row r="182" spans="1:13" hidden="1" x14ac:dyDescent="0.25">
      <c r="A182" t="s">
        <v>964</v>
      </c>
      <c r="B182">
        <v>2025003594</v>
      </c>
      <c r="C182" t="s">
        <v>213</v>
      </c>
      <c r="D182" t="s">
        <v>932</v>
      </c>
      <c r="E182">
        <v>1233189234</v>
      </c>
      <c r="F182" t="s">
        <v>21</v>
      </c>
      <c r="G182">
        <v>873</v>
      </c>
      <c r="J182">
        <v>873</v>
      </c>
      <c r="K182" t="s">
        <v>932</v>
      </c>
      <c r="M182">
        <f>VLOOKUP(PAGOS_ACTUALIZAR_2026!B182,'CARGADOS 2025 DICIEMBRE CIERRE'!B182:B737,1,0)</f>
        <v>2025003594</v>
      </c>
    </row>
    <row r="183" spans="1:13" hidden="1" x14ac:dyDescent="0.25">
      <c r="A183" t="s">
        <v>964</v>
      </c>
      <c r="B183">
        <v>2025003595</v>
      </c>
      <c r="C183" t="s">
        <v>272</v>
      </c>
      <c r="D183" t="s">
        <v>934</v>
      </c>
      <c r="E183">
        <v>1085275879</v>
      </c>
      <c r="F183" t="s">
        <v>43</v>
      </c>
      <c r="G183">
        <v>873</v>
      </c>
      <c r="J183">
        <v>873</v>
      </c>
      <c r="K183" t="s">
        <v>934</v>
      </c>
      <c r="M183">
        <f>VLOOKUP(PAGOS_ACTUALIZAR_2026!B183,'CARGADOS 2025 DICIEMBRE CIERRE'!B183:B738,1,0)</f>
        <v>2025003595</v>
      </c>
    </row>
    <row r="184" spans="1:13" hidden="1" x14ac:dyDescent="0.25">
      <c r="A184" t="s">
        <v>964</v>
      </c>
      <c r="B184">
        <v>2025003596</v>
      </c>
      <c r="C184" t="s">
        <v>214</v>
      </c>
      <c r="D184" t="s">
        <v>931</v>
      </c>
      <c r="E184">
        <v>1087960287</v>
      </c>
      <c r="F184" t="s">
        <v>215</v>
      </c>
      <c r="G184">
        <v>873</v>
      </c>
      <c r="J184">
        <v>873</v>
      </c>
      <c r="K184" t="s">
        <v>931</v>
      </c>
      <c r="M184">
        <f>VLOOKUP(PAGOS_ACTUALIZAR_2026!B184,'CARGADOS 2025 DICIEMBRE CIERRE'!B184:B739,1,0)</f>
        <v>2025003596</v>
      </c>
    </row>
    <row r="185" spans="1:13" hidden="1" x14ac:dyDescent="0.25">
      <c r="A185" t="s">
        <v>964</v>
      </c>
      <c r="B185">
        <v>2025003597</v>
      </c>
      <c r="C185" t="s">
        <v>351</v>
      </c>
      <c r="D185" t="s">
        <v>932</v>
      </c>
      <c r="E185">
        <v>1005977438</v>
      </c>
      <c r="F185" t="s">
        <v>352</v>
      </c>
      <c r="G185">
        <v>873</v>
      </c>
      <c r="J185">
        <v>873</v>
      </c>
      <c r="K185" t="s">
        <v>932</v>
      </c>
      <c r="M185">
        <f>VLOOKUP(PAGOS_ACTUALIZAR_2026!B185,'CARGADOS 2025 DICIEMBRE CIERRE'!B185:B740,1,0)</f>
        <v>2025003597</v>
      </c>
    </row>
    <row r="186" spans="1:13" hidden="1" x14ac:dyDescent="0.25">
      <c r="A186" t="s">
        <v>964</v>
      </c>
      <c r="B186">
        <v>2025003598</v>
      </c>
      <c r="C186" t="s">
        <v>169</v>
      </c>
      <c r="D186" t="s">
        <v>932</v>
      </c>
      <c r="E186">
        <v>37082272</v>
      </c>
      <c r="F186" t="s">
        <v>170</v>
      </c>
      <c r="G186">
        <v>873</v>
      </c>
      <c r="J186">
        <v>873</v>
      </c>
      <c r="K186" t="s">
        <v>932</v>
      </c>
      <c r="M186">
        <f>VLOOKUP(PAGOS_ACTUALIZAR_2026!B186,'CARGADOS 2025 DICIEMBRE CIERRE'!B186:B741,1,0)</f>
        <v>2025003598</v>
      </c>
    </row>
    <row r="187" spans="1:13" hidden="1" x14ac:dyDescent="0.25">
      <c r="A187" t="s">
        <v>964</v>
      </c>
      <c r="B187">
        <v>2025003599</v>
      </c>
      <c r="C187" t="s">
        <v>171</v>
      </c>
      <c r="D187" t="s">
        <v>932</v>
      </c>
      <c r="E187">
        <v>1085323163</v>
      </c>
      <c r="F187" t="s">
        <v>172</v>
      </c>
      <c r="G187">
        <v>873</v>
      </c>
      <c r="J187">
        <v>873</v>
      </c>
      <c r="K187" t="s">
        <v>932</v>
      </c>
      <c r="M187">
        <f>VLOOKUP(PAGOS_ACTUALIZAR_2026!B187,'CARGADOS 2025 DICIEMBRE CIERRE'!B187:B742,1,0)</f>
        <v>2025003599</v>
      </c>
    </row>
    <row r="188" spans="1:13" hidden="1" x14ac:dyDescent="0.25">
      <c r="A188" t="s">
        <v>964</v>
      </c>
      <c r="B188">
        <v>2025003600</v>
      </c>
      <c r="C188" t="s">
        <v>792</v>
      </c>
      <c r="D188" t="s">
        <v>932</v>
      </c>
      <c r="E188">
        <v>1085266584</v>
      </c>
      <c r="F188" t="s">
        <v>69</v>
      </c>
      <c r="G188">
        <v>873</v>
      </c>
      <c r="J188">
        <v>873</v>
      </c>
      <c r="K188" t="s">
        <v>932</v>
      </c>
      <c r="M188">
        <f>VLOOKUP(PAGOS_ACTUALIZAR_2026!B188,'CARGADOS 2025 DICIEMBRE CIERRE'!B188:B743,1,0)</f>
        <v>2025003600</v>
      </c>
    </row>
    <row r="189" spans="1:13" hidden="1" x14ac:dyDescent="0.25">
      <c r="A189" t="s">
        <v>964</v>
      </c>
      <c r="B189">
        <v>2025003601</v>
      </c>
      <c r="C189" t="s">
        <v>161</v>
      </c>
      <c r="D189" t="s">
        <v>935</v>
      </c>
      <c r="E189">
        <v>1085274300</v>
      </c>
      <c r="F189" t="s">
        <v>162</v>
      </c>
      <c r="G189">
        <v>873</v>
      </c>
      <c r="J189">
        <v>873</v>
      </c>
      <c r="K189" t="s">
        <v>935</v>
      </c>
      <c r="M189">
        <f>VLOOKUP(PAGOS_ACTUALIZAR_2026!B189,'CARGADOS 2025 DICIEMBRE CIERRE'!B189:B744,1,0)</f>
        <v>2025003601</v>
      </c>
    </row>
    <row r="190" spans="1:13" hidden="1" x14ac:dyDescent="0.25">
      <c r="A190" t="s">
        <v>964</v>
      </c>
      <c r="B190">
        <v>2025003602</v>
      </c>
      <c r="C190" t="s">
        <v>604</v>
      </c>
      <c r="D190" t="s">
        <v>932</v>
      </c>
      <c r="E190">
        <v>27285974</v>
      </c>
      <c r="F190" t="s">
        <v>938</v>
      </c>
      <c r="G190">
        <v>873</v>
      </c>
      <c r="J190">
        <v>873</v>
      </c>
      <c r="K190" t="s">
        <v>932</v>
      </c>
      <c r="M190">
        <f>VLOOKUP(PAGOS_ACTUALIZAR_2026!B190,'CARGADOS 2025 DICIEMBRE CIERRE'!B190:B745,1,0)</f>
        <v>2025003602</v>
      </c>
    </row>
    <row r="191" spans="1:13" hidden="1" x14ac:dyDescent="0.25">
      <c r="A191" t="s">
        <v>964</v>
      </c>
      <c r="B191">
        <v>2025003603</v>
      </c>
      <c r="C191" t="s">
        <v>163</v>
      </c>
      <c r="D191" t="s">
        <v>935</v>
      </c>
      <c r="E191">
        <v>1233188295</v>
      </c>
      <c r="F191" t="s">
        <v>164</v>
      </c>
      <c r="G191">
        <v>873</v>
      </c>
      <c r="J191">
        <v>873</v>
      </c>
      <c r="K191" t="s">
        <v>935</v>
      </c>
      <c r="M191">
        <f>VLOOKUP(PAGOS_ACTUALIZAR_2026!B191,'CARGADOS 2025 DICIEMBRE CIERRE'!B191:B746,1,0)</f>
        <v>2025003603</v>
      </c>
    </row>
    <row r="192" spans="1:13" hidden="1" x14ac:dyDescent="0.25">
      <c r="A192" t="s">
        <v>964</v>
      </c>
      <c r="B192">
        <v>2025003604</v>
      </c>
      <c r="C192" t="s">
        <v>610</v>
      </c>
      <c r="D192" t="s">
        <v>933</v>
      </c>
      <c r="E192">
        <v>1085317085</v>
      </c>
      <c r="F192" t="s">
        <v>612</v>
      </c>
      <c r="G192">
        <v>873</v>
      </c>
      <c r="J192">
        <v>873</v>
      </c>
      <c r="K192" t="s">
        <v>933</v>
      </c>
      <c r="M192">
        <f>VLOOKUP(PAGOS_ACTUALIZAR_2026!B192,'CARGADOS 2025 DICIEMBRE CIERRE'!B192:B747,1,0)</f>
        <v>2025003604</v>
      </c>
    </row>
    <row r="193" spans="1:13" hidden="1" x14ac:dyDescent="0.25">
      <c r="A193" t="s">
        <v>964</v>
      </c>
      <c r="B193">
        <v>2025003605</v>
      </c>
      <c r="C193" t="s">
        <v>666</v>
      </c>
      <c r="D193" t="s">
        <v>933</v>
      </c>
      <c r="E193">
        <v>59313273</v>
      </c>
      <c r="F193" t="s">
        <v>668</v>
      </c>
      <c r="G193">
        <v>873</v>
      </c>
      <c r="J193">
        <v>873</v>
      </c>
      <c r="K193" t="s">
        <v>933</v>
      </c>
      <c r="M193">
        <f>VLOOKUP(PAGOS_ACTUALIZAR_2026!B193,'CARGADOS 2025 DICIEMBRE CIERRE'!B193:B748,1,0)</f>
        <v>2025003605</v>
      </c>
    </row>
    <row r="194" spans="1:13" hidden="1" x14ac:dyDescent="0.25">
      <c r="A194" t="s">
        <v>964</v>
      </c>
      <c r="B194">
        <v>2025003606</v>
      </c>
      <c r="C194" t="s">
        <v>147</v>
      </c>
      <c r="D194" t="s">
        <v>932</v>
      </c>
      <c r="E194">
        <v>27088197</v>
      </c>
      <c r="F194" t="s">
        <v>83</v>
      </c>
      <c r="G194">
        <v>873</v>
      </c>
      <c r="J194">
        <v>873</v>
      </c>
      <c r="K194" t="s">
        <v>932</v>
      </c>
      <c r="M194">
        <f>VLOOKUP(PAGOS_ACTUALIZAR_2026!B194,'CARGADOS 2025 DICIEMBRE CIERRE'!B194:B749,1,0)</f>
        <v>2025003606</v>
      </c>
    </row>
    <row r="195" spans="1:13" hidden="1" x14ac:dyDescent="0.25">
      <c r="A195" t="s">
        <v>964</v>
      </c>
      <c r="B195">
        <v>2025003607</v>
      </c>
      <c r="C195" t="s">
        <v>107</v>
      </c>
      <c r="D195" t="s">
        <v>932</v>
      </c>
      <c r="E195">
        <v>1081053045</v>
      </c>
      <c r="F195" t="s">
        <v>108</v>
      </c>
      <c r="G195">
        <v>873</v>
      </c>
      <c r="J195">
        <v>873</v>
      </c>
      <c r="K195" t="s">
        <v>932</v>
      </c>
      <c r="M195">
        <f>VLOOKUP(PAGOS_ACTUALIZAR_2026!B195,'CARGADOS 2025 DICIEMBRE CIERRE'!B195:B750,1,0)</f>
        <v>2025003607</v>
      </c>
    </row>
    <row r="196" spans="1:13" hidden="1" x14ac:dyDescent="0.25">
      <c r="A196" t="s">
        <v>964</v>
      </c>
      <c r="B196">
        <v>2025003608</v>
      </c>
      <c r="C196" t="s">
        <v>113</v>
      </c>
      <c r="D196" t="s">
        <v>934</v>
      </c>
      <c r="E196">
        <v>59837608</v>
      </c>
      <c r="F196" t="s">
        <v>33</v>
      </c>
      <c r="G196">
        <v>873</v>
      </c>
      <c r="J196">
        <v>873</v>
      </c>
      <c r="K196" t="s">
        <v>934</v>
      </c>
      <c r="M196">
        <f>VLOOKUP(PAGOS_ACTUALIZAR_2026!B196,'CARGADOS 2025 DICIEMBRE CIERRE'!B196:B751,1,0)</f>
        <v>2025003608</v>
      </c>
    </row>
    <row r="197" spans="1:13" hidden="1" x14ac:dyDescent="0.25">
      <c r="A197" t="s">
        <v>964</v>
      </c>
      <c r="B197">
        <v>2025003609</v>
      </c>
      <c r="C197" t="s">
        <v>119</v>
      </c>
      <c r="D197" t="s">
        <v>932</v>
      </c>
      <c r="E197">
        <v>37084285</v>
      </c>
      <c r="F197" t="s">
        <v>40</v>
      </c>
      <c r="G197">
        <v>873</v>
      </c>
      <c r="J197">
        <v>873</v>
      </c>
      <c r="K197" t="s">
        <v>932</v>
      </c>
      <c r="M197">
        <f>VLOOKUP(PAGOS_ACTUALIZAR_2026!B197,'CARGADOS 2025 DICIEMBRE CIERRE'!B197:B752,1,0)</f>
        <v>2025003609</v>
      </c>
    </row>
    <row r="198" spans="1:13" hidden="1" x14ac:dyDescent="0.25">
      <c r="A198" t="s">
        <v>964</v>
      </c>
      <c r="B198">
        <v>2025003610</v>
      </c>
      <c r="C198" t="s">
        <v>210</v>
      </c>
      <c r="D198" t="s">
        <v>931</v>
      </c>
      <c r="E198">
        <v>1085318684</v>
      </c>
      <c r="F198" t="s">
        <v>973</v>
      </c>
      <c r="G198">
        <v>873</v>
      </c>
      <c r="J198">
        <v>873</v>
      </c>
      <c r="K198" t="s">
        <v>931</v>
      </c>
      <c r="M198">
        <f>VLOOKUP(PAGOS_ACTUALIZAR_2026!B198,'CARGADOS 2025 DICIEMBRE CIERRE'!B198:B753,1,0)</f>
        <v>2025003610</v>
      </c>
    </row>
    <row r="199" spans="1:13" hidden="1" x14ac:dyDescent="0.25">
      <c r="A199" t="s">
        <v>964</v>
      </c>
      <c r="B199">
        <v>2025003611</v>
      </c>
      <c r="C199" t="s">
        <v>347</v>
      </c>
      <c r="D199" t="s">
        <v>932</v>
      </c>
      <c r="E199">
        <v>1004543161</v>
      </c>
      <c r="F199" t="s">
        <v>348</v>
      </c>
      <c r="G199">
        <v>873</v>
      </c>
      <c r="J199">
        <v>873</v>
      </c>
      <c r="K199" t="s">
        <v>932</v>
      </c>
      <c r="M199">
        <f>VLOOKUP(PAGOS_ACTUALIZAR_2026!B199,'CARGADOS 2025 DICIEMBRE CIERRE'!B199:B754,1,0)</f>
        <v>2025003611</v>
      </c>
    </row>
    <row r="200" spans="1:13" hidden="1" x14ac:dyDescent="0.25">
      <c r="A200" t="s">
        <v>964</v>
      </c>
      <c r="B200">
        <v>2025003612</v>
      </c>
      <c r="C200" t="s">
        <v>220</v>
      </c>
      <c r="D200" t="s">
        <v>932</v>
      </c>
      <c r="E200">
        <v>1086358836</v>
      </c>
      <c r="F200" t="s">
        <v>221</v>
      </c>
      <c r="G200">
        <v>873</v>
      </c>
      <c r="J200">
        <v>873</v>
      </c>
      <c r="K200" t="s">
        <v>932</v>
      </c>
      <c r="M200">
        <f>VLOOKUP(PAGOS_ACTUALIZAR_2026!B200,'CARGADOS 2025 DICIEMBRE CIERRE'!B200:B755,1,0)</f>
        <v>2025003612</v>
      </c>
    </row>
    <row r="201" spans="1:13" hidden="1" x14ac:dyDescent="0.25">
      <c r="A201" t="s">
        <v>964</v>
      </c>
      <c r="B201">
        <v>2025003614</v>
      </c>
      <c r="C201" t="s">
        <v>240</v>
      </c>
      <c r="D201" t="s">
        <v>934</v>
      </c>
      <c r="E201">
        <v>1085296068</v>
      </c>
      <c r="F201" t="s">
        <v>241</v>
      </c>
      <c r="G201">
        <v>873</v>
      </c>
      <c r="J201">
        <v>873</v>
      </c>
      <c r="K201" t="s">
        <v>934</v>
      </c>
      <c r="M201">
        <f>VLOOKUP(PAGOS_ACTUALIZAR_2026!B201,'CARGADOS 2025 DICIEMBRE CIERRE'!B201:B756,1,0)</f>
        <v>2025003614</v>
      </c>
    </row>
    <row r="202" spans="1:13" hidden="1" x14ac:dyDescent="0.25">
      <c r="A202" t="s">
        <v>964</v>
      </c>
      <c r="B202">
        <v>2025003616</v>
      </c>
      <c r="C202" t="s">
        <v>109</v>
      </c>
      <c r="D202" t="s">
        <v>932</v>
      </c>
      <c r="E202">
        <v>1085317226</v>
      </c>
      <c r="F202" t="s">
        <v>110</v>
      </c>
      <c r="G202">
        <v>873</v>
      </c>
      <c r="J202">
        <v>873</v>
      </c>
      <c r="K202" t="s">
        <v>932</v>
      </c>
      <c r="M202">
        <f>VLOOKUP(PAGOS_ACTUALIZAR_2026!B202,'CARGADOS 2025 DICIEMBRE CIERRE'!B202:B757,1,0)</f>
        <v>2025003616</v>
      </c>
    </row>
    <row r="203" spans="1:13" hidden="1" x14ac:dyDescent="0.25">
      <c r="A203" t="s">
        <v>964</v>
      </c>
      <c r="B203">
        <v>2025003617</v>
      </c>
      <c r="C203" t="s">
        <v>126</v>
      </c>
      <c r="D203" t="s">
        <v>932</v>
      </c>
      <c r="E203">
        <v>1082749295</v>
      </c>
      <c r="F203" t="s">
        <v>127</v>
      </c>
      <c r="G203">
        <v>873</v>
      </c>
      <c r="J203">
        <v>873</v>
      </c>
      <c r="K203" t="s">
        <v>932</v>
      </c>
      <c r="M203">
        <f>VLOOKUP(PAGOS_ACTUALIZAR_2026!B203,'CARGADOS 2025 DICIEMBRE CIERRE'!B203:B758,1,0)</f>
        <v>2025003617</v>
      </c>
    </row>
    <row r="204" spans="1:13" hidden="1" x14ac:dyDescent="0.25">
      <c r="A204" t="s">
        <v>964</v>
      </c>
      <c r="B204">
        <v>2025003618</v>
      </c>
      <c r="C204" t="s">
        <v>224</v>
      </c>
      <c r="D204" t="s">
        <v>931</v>
      </c>
      <c r="E204">
        <v>1087413951</v>
      </c>
      <c r="F204" t="s">
        <v>225</v>
      </c>
      <c r="G204">
        <v>873</v>
      </c>
      <c r="J204">
        <v>873</v>
      </c>
      <c r="K204" t="s">
        <v>931</v>
      </c>
      <c r="M204">
        <f>VLOOKUP(PAGOS_ACTUALIZAR_2026!B204,'CARGADOS 2025 DICIEMBRE CIERRE'!B204:B759,1,0)</f>
        <v>2025003618</v>
      </c>
    </row>
    <row r="205" spans="1:13" hidden="1" x14ac:dyDescent="0.25">
      <c r="A205" t="s">
        <v>964</v>
      </c>
      <c r="B205">
        <v>2025003620</v>
      </c>
      <c r="C205" t="s">
        <v>123</v>
      </c>
      <c r="D205" t="s">
        <v>934</v>
      </c>
      <c r="E205">
        <v>1053793750</v>
      </c>
      <c r="F205" t="s">
        <v>124</v>
      </c>
      <c r="G205">
        <v>873</v>
      </c>
      <c r="J205">
        <v>873</v>
      </c>
      <c r="K205" t="s">
        <v>934</v>
      </c>
      <c r="M205">
        <f>VLOOKUP(PAGOS_ACTUALIZAR_2026!B205,'CARGADOS 2025 DICIEMBRE CIERRE'!B205:B760,1,0)</f>
        <v>2025003620</v>
      </c>
    </row>
    <row r="206" spans="1:13" hidden="1" x14ac:dyDescent="0.25">
      <c r="A206" t="s">
        <v>964</v>
      </c>
      <c r="B206">
        <v>2025003621</v>
      </c>
      <c r="C206" t="s">
        <v>128</v>
      </c>
      <c r="D206" t="s">
        <v>932</v>
      </c>
      <c r="E206">
        <v>1085343154</v>
      </c>
      <c r="F206" t="s">
        <v>129</v>
      </c>
      <c r="G206">
        <v>873</v>
      </c>
      <c r="J206">
        <v>873</v>
      </c>
      <c r="K206" t="s">
        <v>932</v>
      </c>
      <c r="M206">
        <f>VLOOKUP(PAGOS_ACTUALIZAR_2026!B206,'CARGADOS 2025 DICIEMBRE CIERRE'!B206:B761,1,0)</f>
        <v>2025003621</v>
      </c>
    </row>
    <row r="207" spans="1:13" hidden="1" x14ac:dyDescent="0.25">
      <c r="A207" t="s">
        <v>964</v>
      </c>
      <c r="B207">
        <v>2025003623</v>
      </c>
      <c r="C207" t="s">
        <v>869</v>
      </c>
      <c r="D207" t="s">
        <v>933</v>
      </c>
      <c r="E207">
        <v>1010113730</v>
      </c>
      <c r="F207" t="s">
        <v>871</v>
      </c>
      <c r="G207">
        <v>873</v>
      </c>
      <c r="J207">
        <v>873</v>
      </c>
      <c r="K207" t="s">
        <v>933</v>
      </c>
      <c r="M207">
        <f>VLOOKUP(PAGOS_ACTUALIZAR_2026!B207,'CARGADOS 2025 DICIEMBRE CIERRE'!B207:B762,1,0)</f>
        <v>2025003623</v>
      </c>
    </row>
    <row r="208" spans="1:13" hidden="1" x14ac:dyDescent="0.25">
      <c r="A208" t="s">
        <v>964</v>
      </c>
      <c r="B208">
        <v>2025003624</v>
      </c>
      <c r="C208" t="s">
        <v>628</v>
      </c>
      <c r="D208" t="s">
        <v>932</v>
      </c>
      <c r="E208">
        <v>1085261053</v>
      </c>
      <c r="F208" t="s">
        <v>71</v>
      </c>
      <c r="G208">
        <v>873</v>
      </c>
      <c r="J208">
        <v>873</v>
      </c>
      <c r="K208" t="s">
        <v>932</v>
      </c>
      <c r="M208">
        <f>VLOOKUP(PAGOS_ACTUALIZAR_2026!B208,'CARGADOS 2025 DICIEMBRE CIERRE'!B208:B763,1,0)</f>
        <v>2025003624</v>
      </c>
    </row>
    <row r="209" spans="1:13" hidden="1" x14ac:dyDescent="0.25">
      <c r="A209" t="s">
        <v>974</v>
      </c>
      <c r="B209">
        <v>2025003625</v>
      </c>
      <c r="C209" t="s">
        <v>650</v>
      </c>
      <c r="D209" t="s">
        <v>933</v>
      </c>
      <c r="E209">
        <v>27082650</v>
      </c>
      <c r="F209" t="s">
        <v>951</v>
      </c>
      <c r="G209">
        <v>873</v>
      </c>
      <c r="J209">
        <v>873</v>
      </c>
      <c r="K209" t="s">
        <v>933</v>
      </c>
      <c r="M209">
        <f>VLOOKUP(PAGOS_ACTUALIZAR_2026!B209,'CARGADOS 2025 DICIEMBRE CIERRE'!B209:B764,1,0)</f>
        <v>2025003625</v>
      </c>
    </row>
    <row r="210" spans="1:13" hidden="1" x14ac:dyDescent="0.25">
      <c r="A210" t="s">
        <v>974</v>
      </c>
      <c r="B210">
        <v>2025003626</v>
      </c>
      <c r="C210" t="s">
        <v>790</v>
      </c>
      <c r="D210" t="s">
        <v>932</v>
      </c>
      <c r="E210">
        <v>59830040</v>
      </c>
      <c r="F210" t="s">
        <v>92</v>
      </c>
      <c r="G210">
        <v>873</v>
      </c>
      <c r="J210">
        <v>873</v>
      </c>
      <c r="K210" t="s">
        <v>932</v>
      </c>
      <c r="M210">
        <f>VLOOKUP(PAGOS_ACTUALIZAR_2026!B210,'CARGADOS 2025 DICIEMBRE CIERRE'!B210:B765,1,0)</f>
        <v>2025003626</v>
      </c>
    </row>
    <row r="211" spans="1:13" hidden="1" x14ac:dyDescent="0.25">
      <c r="A211" t="s">
        <v>974</v>
      </c>
      <c r="B211">
        <v>2025003628</v>
      </c>
      <c r="C211" t="s">
        <v>569</v>
      </c>
      <c r="D211" t="s">
        <v>932</v>
      </c>
      <c r="E211">
        <v>1085275400</v>
      </c>
      <c r="F211" t="s">
        <v>571</v>
      </c>
      <c r="G211">
        <v>873</v>
      </c>
      <c r="J211">
        <v>873</v>
      </c>
      <c r="K211" t="s">
        <v>932</v>
      </c>
      <c r="M211">
        <f>VLOOKUP(PAGOS_ACTUALIZAR_2026!B211,'CARGADOS 2025 DICIEMBRE CIERRE'!B211:B766,1,0)</f>
        <v>2025003628</v>
      </c>
    </row>
    <row r="212" spans="1:13" hidden="1" x14ac:dyDescent="0.25">
      <c r="A212" t="s">
        <v>974</v>
      </c>
      <c r="B212">
        <v>2025003629</v>
      </c>
      <c r="C212" t="s">
        <v>821</v>
      </c>
      <c r="D212" t="s">
        <v>932</v>
      </c>
      <c r="E212">
        <v>1193035720</v>
      </c>
      <c r="F212" t="s">
        <v>823</v>
      </c>
      <c r="G212">
        <v>873</v>
      </c>
      <c r="J212">
        <v>873</v>
      </c>
      <c r="K212" t="s">
        <v>932</v>
      </c>
      <c r="M212">
        <f>VLOOKUP(PAGOS_ACTUALIZAR_2026!B212,'CARGADOS 2025 DICIEMBRE CIERRE'!B212:B767,1,0)</f>
        <v>2025003629</v>
      </c>
    </row>
    <row r="213" spans="1:13" hidden="1" x14ac:dyDescent="0.25">
      <c r="A213" t="s">
        <v>974</v>
      </c>
      <c r="B213">
        <v>2025003630</v>
      </c>
      <c r="C213" t="s">
        <v>824</v>
      </c>
      <c r="D213" t="s">
        <v>932</v>
      </c>
      <c r="E213">
        <v>1004190751</v>
      </c>
      <c r="F213" t="s">
        <v>826</v>
      </c>
      <c r="G213">
        <v>873</v>
      </c>
      <c r="J213">
        <v>873</v>
      </c>
      <c r="K213" t="s">
        <v>932</v>
      </c>
      <c r="M213">
        <f>VLOOKUP(PAGOS_ACTUALIZAR_2026!B213,'CARGADOS 2025 DICIEMBRE CIERRE'!B213:B768,1,0)</f>
        <v>2025003630</v>
      </c>
    </row>
    <row r="214" spans="1:13" hidden="1" x14ac:dyDescent="0.25">
      <c r="A214" t="s">
        <v>974</v>
      </c>
      <c r="B214">
        <v>2025003632</v>
      </c>
      <c r="C214" t="s">
        <v>805</v>
      </c>
      <c r="D214" t="s">
        <v>932</v>
      </c>
      <c r="E214">
        <v>27436186</v>
      </c>
      <c r="F214" t="s">
        <v>103</v>
      </c>
      <c r="G214">
        <v>873</v>
      </c>
      <c r="J214">
        <v>873</v>
      </c>
      <c r="K214" t="s">
        <v>932</v>
      </c>
      <c r="M214">
        <f>VLOOKUP(PAGOS_ACTUALIZAR_2026!B214,'CARGADOS 2025 DICIEMBRE CIERRE'!B214:B769,1,0)</f>
        <v>2025003632</v>
      </c>
    </row>
    <row r="215" spans="1:13" hidden="1" x14ac:dyDescent="0.25">
      <c r="A215" t="s">
        <v>974</v>
      </c>
      <c r="B215">
        <v>2025003633</v>
      </c>
      <c r="C215" t="s">
        <v>527</v>
      </c>
      <c r="D215" t="s">
        <v>932</v>
      </c>
      <c r="E215">
        <v>1085346528</v>
      </c>
      <c r="F215" t="s">
        <v>529</v>
      </c>
      <c r="G215">
        <v>873</v>
      </c>
      <c r="J215">
        <v>873</v>
      </c>
      <c r="K215" t="s">
        <v>932</v>
      </c>
      <c r="M215">
        <f>VLOOKUP(PAGOS_ACTUALIZAR_2026!B215,'CARGADOS 2025 DICIEMBRE CIERRE'!B215:B770,1,0)</f>
        <v>2025003633</v>
      </c>
    </row>
    <row r="216" spans="1:13" hidden="1" x14ac:dyDescent="0.25">
      <c r="A216" t="s">
        <v>974</v>
      </c>
      <c r="B216">
        <v>2025003635</v>
      </c>
      <c r="C216" t="s">
        <v>205</v>
      </c>
      <c r="D216" t="s">
        <v>935</v>
      </c>
      <c r="E216">
        <v>1085336362</v>
      </c>
      <c r="F216" t="s">
        <v>24</v>
      </c>
      <c r="G216">
        <v>873</v>
      </c>
      <c r="J216">
        <v>873</v>
      </c>
      <c r="K216" t="s">
        <v>935</v>
      </c>
      <c r="M216">
        <f>VLOOKUP(PAGOS_ACTUALIZAR_2026!B216,'CARGADOS 2025 DICIEMBRE CIERRE'!B216:B771,1,0)</f>
        <v>2025003635</v>
      </c>
    </row>
    <row r="217" spans="1:13" hidden="1" x14ac:dyDescent="0.25">
      <c r="A217" t="s">
        <v>974</v>
      </c>
      <c r="B217">
        <v>2025003636</v>
      </c>
      <c r="C217" t="s">
        <v>230</v>
      </c>
      <c r="D217" t="s">
        <v>935</v>
      </c>
      <c r="E217">
        <v>1087006619</v>
      </c>
      <c r="F217" t="s">
        <v>75</v>
      </c>
      <c r="G217">
        <v>873</v>
      </c>
      <c r="J217">
        <v>873</v>
      </c>
      <c r="K217" t="s">
        <v>935</v>
      </c>
      <c r="M217">
        <f>VLOOKUP(PAGOS_ACTUALIZAR_2026!B217,'CARGADOS 2025 DICIEMBRE CIERRE'!B217:B772,1,0)</f>
        <v>2025003636</v>
      </c>
    </row>
    <row r="218" spans="1:13" hidden="1" x14ac:dyDescent="0.25">
      <c r="A218" t="s">
        <v>974</v>
      </c>
      <c r="B218">
        <v>2025003637</v>
      </c>
      <c r="C218" t="s">
        <v>653</v>
      </c>
      <c r="D218" t="s">
        <v>933</v>
      </c>
      <c r="E218">
        <v>59314118</v>
      </c>
      <c r="F218" t="s">
        <v>655</v>
      </c>
      <c r="G218">
        <v>873</v>
      </c>
      <c r="J218">
        <v>873</v>
      </c>
      <c r="K218" t="s">
        <v>933</v>
      </c>
      <c r="M218">
        <f>VLOOKUP(PAGOS_ACTUALIZAR_2026!B218,'CARGADOS 2025 DICIEMBRE CIERRE'!B218:B773,1,0)</f>
        <v>2025003637</v>
      </c>
    </row>
    <row r="219" spans="1:13" hidden="1" x14ac:dyDescent="0.25">
      <c r="A219" t="s">
        <v>974</v>
      </c>
      <c r="B219">
        <v>2025003638</v>
      </c>
      <c r="C219" t="s">
        <v>261</v>
      </c>
      <c r="D219" t="s">
        <v>935</v>
      </c>
      <c r="E219">
        <v>1085293105</v>
      </c>
      <c r="F219" t="s">
        <v>23</v>
      </c>
      <c r="G219">
        <v>873</v>
      </c>
      <c r="J219">
        <v>873</v>
      </c>
      <c r="K219" t="s">
        <v>935</v>
      </c>
      <c r="M219">
        <f>VLOOKUP(PAGOS_ACTUALIZAR_2026!B219,'CARGADOS 2025 DICIEMBRE CIERRE'!B219:B774,1,0)</f>
        <v>2025003638</v>
      </c>
    </row>
    <row r="220" spans="1:13" hidden="1" x14ac:dyDescent="0.25">
      <c r="A220" t="s">
        <v>974</v>
      </c>
      <c r="B220">
        <v>2025003641</v>
      </c>
      <c r="C220" t="s">
        <v>325</v>
      </c>
      <c r="D220" t="s">
        <v>935</v>
      </c>
      <c r="E220">
        <v>1144172704</v>
      </c>
      <c r="F220" t="s">
        <v>326</v>
      </c>
      <c r="G220">
        <v>873</v>
      </c>
      <c r="J220">
        <v>873</v>
      </c>
      <c r="K220" t="s">
        <v>935</v>
      </c>
      <c r="M220">
        <f>VLOOKUP(PAGOS_ACTUALIZAR_2026!B220,'CARGADOS 2025 DICIEMBRE CIERRE'!B220:B775,1,0)</f>
        <v>2025003641</v>
      </c>
    </row>
    <row r="221" spans="1:13" hidden="1" x14ac:dyDescent="0.25">
      <c r="A221" t="s">
        <v>974</v>
      </c>
      <c r="B221">
        <v>2025003642</v>
      </c>
      <c r="C221" t="s">
        <v>876</v>
      </c>
      <c r="D221" t="s">
        <v>933</v>
      </c>
      <c r="E221">
        <v>1085253512</v>
      </c>
      <c r="F221" t="s">
        <v>975</v>
      </c>
      <c r="G221">
        <v>873</v>
      </c>
      <c r="J221">
        <v>873</v>
      </c>
      <c r="K221" t="s">
        <v>933</v>
      </c>
      <c r="M221">
        <f>VLOOKUP(PAGOS_ACTUALIZAR_2026!B221,'CARGADOS 2025 DICIEMBRE CIERRE'!B221:B776,1,0)</f>
        <v>2025003642</v>
      </c>
    </row>
    <row r="222" spans="1:13" hidden="1" x14ac:dyDescent="0.25">
      <c r="A222" t="s">
        <v>974</v>
      </c>
      <c r="B222">
        <v>2025003644</v>
      </c>
      <c r="C222" t="s">
        <v>879</v>
      </c>
      <c r="D222" t="s">
        <v>932</v>
      </c>
      <c r="E222">
        <v>1086328142</v>
      </c>
      <c r="F222" t="s">
        <v>96</v>
      </c>
      <c r="G222">
        <v>873</v>
      </c>
      <c r="J222">
        <v>873</v>
      </c>
      <c r="K222" t="s">
        <v>932</v>
      </c>
      <c r="M222">
        <f>VLOOKUP(PAGOS_ACTUALIZAR_2026!B222,'CARGADOS 2025 DICIEMBRE CIERRE'!B222:B777,1,0)</f>
        <v>2025003644</v>
      </c>
    </row>
    <row r="223" spans="1:13" hidden="1" x14ac:dyDescent="0.25">
      <c r="A223" t="s">
        <v>974</v>
      </c>
      <c r="B223">
        <v>2025003650</v>
      </c>
      <c r="C223" t="s">
        <v>881</v>
      </c>
      <c r="D223" t="s">
        <v>932</v>
      </c>
      <c r="E223">
        <v>1085325325</v>
      </c>
      <c r="F223" t="s">
        <v>91</v>
      </c>
      <c r="G223">
        <v>873</v>
      </c>
      <c r="J223">
        <v>873</v>
      </c>
      <c r="K223" t="s">
        <v>932</v>
      </c>
      <c r="M223">
        <f>VLOOKUP(PAGOS_ACTUALIZAR_2026!B223,'CARGADOS 2025 DICIEMBRE CIERRE'!B223:B778,1,0)</f>
        <v>2025003650</v>
      </c>
    </row>
    <row r="224" spans="1:13" hidden="1" x14ac:dyDescent="0.25">
      <c r="A224" t="s">
        <v>974</v>
      </c>
      <c r="B224">
        <v>2025003652</v>
      </c>
      <c r="C224" t="s">
        <v>565</v>
      </c>
      <c r="D224" t="s">
        <v>932</v>
      </c>
      <c r="E224">
        <v>1081272318</v>
      </c>
      <c r="F224" t="s">
        <v>567</v>
      </c>
      <c r="G224">
        <v>873</v>
      </c>
      <c r="J224">
        <v>873</v>
      </c>
      <c r="K224" t="s">
        <v>932</v>
      </c>
      <c r="M224">
        <f>VLOOKUP(PAGOS_ACTUALIZAR_2026!B224,'CARGADOS 2025 DICIEMBRE CIERRE'!B224:B779,1,0)</f>
        <v>2025003652</v>
      </c>
    </row>
    <row r="225" spans="1:13" hidden="1" x14ac:dyDescent="0.25">
      <c r="A225" t="s">
        <v>974</v>
      </c>
      <c r="B225">
        <v>2025003661</v>
      </c>
      <c r="C225" t="s">
        <v>275</v>
      </c>
      <c r="D225" t="s">
        <v>931</v>
      </c>
      <c r="E225">
        <v>36950073</v>
      </c>
      <c r="F225" t="s">
        <v>976</v>
      </c>
      <c r="G225">
        <v>873</v>
      </c>
      <c r="J225">
        <v>873</v>
      </c>
      <c r="K225" t="s">
        <v>931</v>
      </c>
      <c r="M225">
        <f>VLOOKUP(PAGOS_ACTUALIZAR_2026!B225,'CARGADOS 2025 DICIEMBRE CIERRE'!B225:B780,1,0)</f>
        <v>2025003661</v>
      </c>
    </row>
    <row r="226" spans="1:13" hidden="1" x14ac:dyDescent="0.25">
      <c r="A226" t="s">
        <v>974</v>
      </c>
      <c r="B226">
        <v>2025003662</v>
      </c>
      <c r="C226" t="s">
        <v>334</v>
      </c>
      <c r="D226" t="s">
        <v>932</v>
      </c>
      <c r="E226">
        <v>1081592303</v>
      </c>
      <c r="F226" t="s">
        <v>949</v>
      </c>
      <c r="G226">
        <v>873</v>
      </c>
      <c r="J226">
        <v>873</v>
      </c>
      <c r="K226" t="s">
        <v>932</v>
      </c>
      <c r="M226">
        <f>VLOOKUP(PAGOS_ACTUALIZAR_2026!B226,'CARGADOS 2025 DICIEMBRE CIERRE'!B226:B781,1,0)</f>
        <v>2025003662</v>
      </c>
    </row>
    <row r="227" spans="1:13" hidden="1" x14ac:dyDescent="0.25">
      <c r="A227" t="s">
        <v>974</v>
      </c>
      <c r="B227">
        <v>2025003663</v>
      </c>
      <c r="C227" t="s">
        <v>198</v>
      </c>
      <c r="D227" t="s">
        <v>935</v>
      </c>
      <c r="E227">
        <v>1085334279</v>
      </c>
      <c r="F227" t="s">
        <v>977</v>
      </c>
      <c r="G227">
        <v>873</v>
      </c>
      <c r="J227">
        <v>873</v>
      </c>
      <c r="K227" t="s">
        <v>935</v>
      </c>
      <c r="M227">
        <f>VLOOKUP(PAGOS_ACTUALIZAR_2026!B227,'CARGADOS 2025 DICIEMBRE CIERRE'!B227:B782,1,0)</f>
        <v>2025003663</v>
      </c>
    </row>
    <row r="228" spans="1:13" hidden="1" x14ac:dyDescent="0.25">
      <c r="A228" t="s">
        <v>974</v>
      </c>
      <c r="B228">
        <v>2025003664</v>
      </c>
      <c r="C228" t="s">
        <v>189</v>
      </c>
      <c r="D228" t="s">
        <v>932</v>
      </c>
      <c r="E228">
        <v>1004235479</v>
      </c>
      <c r="F228" t="s">
        <v>67</v>
      </c>
      <c r="G228">
        <v>873</v>
      </c>
      <c r="J228">
        <v>873</v>
      </c>
      <c r="K228" t="s">
        <v>932</v>
      </c>
      <c r="M228">
        <f>VLOOKUP(PAGOS_ACTUALIZAR_2026!B228,'CARGADOS 2025 DICIEMBRE CIERRE'!B228:B783,1,0)</f>
        <v>2025003664</v>
      </c>
    </row>
    <row r="229" spans="1:13" hidden="1" x14ac:dyDescent="0.25">
      <c r="A229" t="s">
        <v>974</v>
      </c>
      <c r="B229">
        <v>2025003665</v>
      </c>
      <c r="C229" t="s">
        <v>251</v>
      </c>
      <c r="D229" t="s">
        <v>932</v>
      </c>
      <c r="E229">
        <v>1086224204</v>
      </c>
      <c r="F229" t="s">
        <v>252</v>
      </c>
      <c r="G229">
        <v>873</v>
      </c>
      <c r="J229">
        <v>873</v>
      </c>
      <c r="K229" t="s">
        <v>932</v>
      </c>
      <c r="M229">
        <f>VLOOKUP(PAGOS_ACTUALIZAR_2026!B229,'CARGADOS 2025 DICIEMBRE CIERRE'!B229:B784,1,0)</f>
        <v>2025003665</v>
      </c>
    </row>
    <row r="230" spans="1:13" hidden="1" x14ac:dyDescent="0.25">
      <c r="A230" t="s">
        <v>974</v>
      </c>
      <c r="B230">
        <v>2025003666</v>
      </c>
      <c r="C230" t="s">
        <v>267</v>
      </c>
      <c r="D230" t="s">
        <v>932</v>
      </c>
      <c r="E230">
        <v>1085271641</v>
      </c>
      <c r="F230" t="s">
        <v>941</v>
      </c>
      <c r="G230">
        <v>873</v>
      </c>
      <c r="J230">
        <v>873</v>
      </c>
      <c r="K230" t="s">
        <v>932</v>
      </c>
      <c r="M230">
        <f>VLOOKUP(PAGOS_ACTUALIZAR_2026!B230,'CARGADOS 2025 DICIEMBRE CIERRE'!B230:B785,1,0)</f>
        <v>2025003666</v>
      </c>
    </row>
    <row r="231" spans="1:13" hidden="1" x14ac:dyDescent="0.25">
      <c r="A231" t="s">
        <v>974</v>
      </c>
      <c r="B231">
        <v>2025003667</v>
      </c>
      <c r="C231" t="s">
        <v>317</v>
      </c>
      <c r="D231" t="s">
        <v>931</v>
      </c>
      <c r="E231">
        <v>1085263018</v>
      </c>
      <c r="F231" t="s">
        <v>318</v>
      </c>
      <c r="G231">
        <v>873</v>
      </c>
      <c r="J231">
        <v>873</v>
      </c>
      <c r="K231" t="s">
        <v>931</v>
      </c>
      <c r="M231">
        <f>VLOOKUP(PAGOS_ACTUALIZAR_2026!B231,'CARGADOS 2025 DICIEMBRE CIERRE'!B231:B786,1,0)</f>
        <v>2025003667</v>
      </c>
    </row>
    <row r="232" spans="1:13" hidden="1" x14ac:dyDescent="0.25">
      <c r="A232" t="s">
        <v>974</v>
      </c>
      <c r="B232">
        <v>2025003668</v>
      </c>
      <c r="C232" t="s">
        <v>780</v>
      </c>
      <c r="D232" t="s">
        <v>932</v>
      </c>
      <c r="E232">
        <v>1089243630</v>
      </c>
      <c r="F232" t="s">
        <v>782</v>
      </c>
      <c r="G232">
        <v>873</v>
      </c>
      <c r="J232">
        <v>873</v>
      </c>
      <c r="K232" t="s">
        <v>932</v>
      </c>
      <c r="M232">
        <f>VLOOKUP(PAGOS_ACTUALIZAR_2026!B232,'CARGADOS 2025 DICIEMBRE CIERRE'!B232:B787,1,0)</f>
        <v>2025003668</v>
      </c>
    </row>
    <row r="233" spans="1:13" hidden="1" x14ac:dyDescent="0.25">
      <c r="A233" t="s">
        <v>974</v>
      </c>
      <c r="B233">
        <v>2025003669</v>
      </c>
      <c r="C233" t="s">
        <v>233</v>
      </c>
      <c r="D233" t="s">
        <v>932</v>
      </c>
      <c r="E233">
        <v>1084552048</v>
      </c>
      <c r="F233" t="s">
        <v>80</v>
      </c>
      <c r="G233">
        <v>873</v>
      </c>
      <c r="J233">
        <v>873</v>
      </c>
      <c r="K233" t="s">
        <v>932</v>
      </c>
      <c r="M233">
        <f>VLOOKUP(PAGOS_ACTUALIZAR_2026!B233,'CARGADOS 2025 DICIEMBRE CIERRE'!B233:B788,1,0)</f>
        <v>2025003669</v>
      </c>
    </row>
    <row r="234" spans="1:13" hidden="1" x14ac:dyDescent="0.25">
      <c r="A234" t="s">
        <v>974</v>
      </c>
      <c r="B234">
        <v>2025003670</v>
      </c>
      <c r="C234" t="s">
        <v>327</v>
      </c>
      <c r="D234" t="s">
        <v>932</v>
      </c>
      <c r="E234">
        <v>1085315209</v>
      </c>
      <c r="F234" t="s">
        <v>328</v>
      </c>
      <c r="G234">
        <v>873</v>
      </c>
      <c r="J234">
        <v>873</v>
      </c>
      <c r="K234" t="s">
        <v>932</v>
      </c>
      <c r="M234">
        <f>VLOOKUP(PAGOS_ACTUALIZAR_2026!B234,'CARGADOS 2025 DICIEMBRE CIERRE'!B234:B789,1,0)</f>
        <v>2025003670</v>
      </c>
    </row>
    <row r="235" spans="1:13" hidden="1" x14ac:dyDescent="0.25">
      <c r="A235" t="s">
        <v>974</v>
      </c>
      <c r="B235">
        <v>2025003671</v>
      </c>
      <c r="C235" t="s">
        <v>881</v>
      </c>
      <c r="D235" t="s">
        <v>932</v>
      </c>
      <c r="E235">
        <v>1085325325</v>
      </c>
      <c r="F235" t="s">
        <v>91</v>
      </c>
      <c r="G235">
        <v>873</v>
      </c>
      <c r="J235">
        <v>873</v>
      </c>
      <c r="K235" t="s">
        <v>932</v>
      </c>
      <c r="M235">
        <f>VLOOKUP(PAGOS_ACTUALIZAR_2026!B235,'CARGADOS 2025 DICIEMBRE CIERRE'!B235:B790,1,0)</f>
        <v>2025003671</v>
      </c>
    </row>
    <row r="236" spans="1:13" hidden="1" x14ac:dyDescent="0.25">
      <c r="A236" t="s">
        <v>974</v>
      </c>
      <c r="B236">
        <v>2025003672</v>
      </c>
      <c r="C236" t="s">
        <v>534</v>
      </c>
      <c r="D236" t="s">
        <v>933</v>
      </c>
      <c r="E236">
        <v>1233190640</v>
      </c>
      <c r="F236" t="s">
        <v>536</v>
      </c>
      <c r="G236">
        <v>873</v>
      </c>
      <c r="J236">
        <v>873</v>
      </c>
      <c r="K236" t="s">
        <v>933</v>
      </c>
      <c r="M236">
        <f>VLOOKUP(PAGOS_ACTUALIZAR_2026!B236,'CARGADOS 2025 DICIEMBRE CIERRE'!B236:B791,1,0)</f>
        <v>2025003672</v>
      </c>
    </row>
    <row r="237" spans="1:13" hidden="1" x14ac:dyDescent="0.25">
      <c r="A237" t="s">
        <v>974</v>
      </c>
      <c r="B237">
        <v>2025003673</v>
      </c>
      <c r="C237" t="s">
        <v>803</v>
      </c>
      <c r="D237" t="s">
        <v>933</v>
      </c>
      <c r="E237">
        <v>1085327836</v>
      </c>
      <c r="F237" t="s">
        <v>950</v>
      </c>
      <c r="G237">
        <v>873</v>
      </c>
      <c r="J237">
        <v>873</v>
      </c>
      <c r="K237" t="s">
        <v>933</v>
      </c>
      <c r="M237">
        <f>VLOOKUP(PAGOS_ACTUALIZAR_2026!B237,'CARGADOS 2025 DICIEMBRE CIERRE'!B237:B792,1,0)</f>
        <v>2025003673</v>
      </c>
    </row>
    <row r="238" spans="1:13" hidden="1" x14ac:dyDescent="0.25">
      <c r="A238" t="s">
        <v>974</v>
      </c>
      <c r="B238">
        <v>2025003674</v>
      </c>
      <c r="C238" t="s">
        <v>565</v>
      </c>
      <c r="D238" t="s">
        <v>932</v>
      </c>
      <c r="E238">
        <v>1081272318</v>
      </c>
      <c r="F238" t="s">
        <v>567</v>
      </c>
      <c r="G238">
        <v>873</v>
      </c>
      <c r="J238">
        <v>873</v>
      </c>
      <c r="K238" t="s">
        <v>932</v>
      </c>
      <c r="M238">
        <f>VLOOKUP(PAGOS_ACTUALIZAR_2026!B238,'CARGADOS 2025 DICIEMBRE CIERRE'!B238:B793,1,0)</f>
        <v>2025003674</v>
      </c>
    </row>
    <row r="239" spans="1:13" hidden="1" x14ac:dyDescent="0.25">
      <c r="A239" t="s">
        <v>974</v>
      </c>
      <c r="B239">
        <v>2025003675</v>
      </c>
      <c r="C239" t="s">
        <v>775</v>
      </c>
      <c r="D239" t="s">
        <v>932</v>
      </c>
      <c r="E239">
        <v>59833899</v>
      </c>
      <c r="F239" t="s">
        <v>944</v>
      </c>
      <c r="G239">
        <v>873</v>
      </c>
      <c r="J239">
        <v>873</v>
      </c>
      <c r="K239" t="s">
        <v>932</v>
      </c>
      <c r="M239">
        <f>VLOOKUP(PAGOS_ACTUALIZAR_2026!B239,'CARGADOS 2025 DICIEMBRE CIERRE'!B239:B794,1,0)</f>
        <v>2025003675</v>
      </c>
    </row>
    <row r="240" spans="1:13" hidden="1" x14ac:dyDescent="0.25">
      <c r="A240" t="s">
        <v>974</v>
      </c>
      <c r="B240">
        <v>2025003676</v>
      </c>
      <c r="C240">
        <v>8952025</v>
      </c>
      <c r="D240" t="s">
        <v>932</v>
      </c>
      <c r="E240">
        <v>27087122</v>
      </c>
      <c r="F240" t="s">
        <v>85</v>
      </c>
      <c r="G240">
        <v>873</v>
      </c>
      <c r="J240">
        <v>873</v>
      </c>
      <c r="K240" t="s">
        <v>932</v>
      </c>
      <c r="M240">
        <f>VLOOKUP(PAGOS_ACTUALIZAR_2026!B240,'CARGADOS 2025 DICIEMBRE CIERRE'!B240:B795,1,0)</f>
        <v>2025003676</v>
      </c>
    </row>
    <row r="241" spans="1:13" hidden="1" x14ac:dyDescent="0.25">
      <c r="A241" t="s">
        <v>974</v>
      </c>
      <c r="B241">
        <v>2025003677</v>
      </c>
      <c r="C241" t="s">
        <v>810</v>
      </c>
      <c r="D241" t="s">
        <v>933</v>
      </c>
      <c r="E241">
        <v>1085268450</v>
      </c>
      <c r="F241" t="s">
        <v>812</v>
      </c>
      <c r="G241">
        <v>873</v>
      </c>
      <c r="J241">
        <v>873</v>
      </c>
      <c r="K241" t="s">
        <v>933</v>
      </c>
      <c r="M241">
        <f>VLOOKUP(PAGOS_ACTUALIZAR_2026!B241,'CARGADOS 2025 DICIEMBRE CIERRE'!B241:B796,1,0)</f>
        <v>2025003677</v>
      </c>
    </row>
    <row r="242" spans="1:13" hidden="1" x14ac:dyDescent="0.25">
      <c r="A242" t="s">
        <v>974</v>
      </c>
      <c r="B242">
        <v>2025003678</v>
      </c>
      <c r="C242" t="s">
        <v>797</v>
      </c>
      <c r="D242" t="s">
        <v>932</v>
      </c>
      <c r="E242">
        <v>1088799080</v>
      </c>
      <c r="F242" t="s">
        <v>799</v>
      </c>
      <c r="G242">
        <v>873</v>
      </c>
      <c r="J242">
        <v>873</v>
      </c>
      <c r="K242" t="s">
        <v>932</v>
      </c>
      <c r="M242">
        <f>VLOOKUP(PAGOS_ACTUALIZAR_2026!B242,'CARGADOS 2025 DICIEMBRE CIERRE'!B242:B797,1,0)</f>
        <v>2025003678</v>
      </c>
    </row>
    <row r="243" spans="1:13" hidden="1" x14ac:dyDescent="0.25">
      <c r="A243" t="s">
        <v>974</v>
      </c>
      <c r="B243">
        <v>2025003679</v>
      </c>
      <c r="C243" t="s">
        <v>259</v>
      </c>
      <c r="D243" t="s">
        <v>934</v>
      </c>
      <c r="E243">
        <v>1085277976</v>
      </c>
      <c r="F243" t="s">
        <v>260</v>
      </c>
      <c r="G243">
        <v>873</v>
      </c>
      <c r="J243">
        <v>873</v>
      </c>
      <c r="K243" t="s">
        <v>934</v>
      </c>
      <c r="M243">
        <f>VLOOKUP(PAGOS_ACTUALIZAR_2026!B243,'CARGADOS 2025 DICIEMBRE CIERRE'!B243:B798,1,0)</f>
        <v>2025003679</v>
      </c>
    </row>
    <row r="244" spans="1:13" hidden="1" x14ac:dyDescent="0.25">
      <c r="A244" t="s">
        <v>974</v>
      </c>
      <c r="B244">
        <v>2025003680</v>
      </c>
      <c r="C244" t="s">
        <v>643</v>
      </c>
      <c r="D244" t="s">
        <v>933</v>
      </c>
      <c r="E244">
        <v>1085313195</v>
      </c>
      <c r="F244" t="s">
        <v>645</v>
      </c>
      <c r="G244">
        <v>873</v>
      </c>
      <c r="J244">
        <v>873</v>
      </c>
      <c r="K244" t="s">
        <v>933</v>
      </c>
      <c r="M244">
        <f>VLOOKUP(PAGOS_ACTUALIZAR_2026!B244,'CARGADOS 2025 DICIEMBRE CIERRE'!B244:B799,1,0)</f>
        <v>2025003680</v>
      </c>
    </row>
    <row r="245" spans="1:13" hidden="1" x14ac:dyDescent="0.25">
      <c r="A245" t="s">
        <v>974</v>
      </c>
      <c r="B245">
        <v>2025003682</v>
      </c>
      <c r="C245" t="s">
        <v>830</v>
      </c>
      <c r="D245" t="s">
        <v>933</v>
      </c>
      <c r="E245">
        <v>37083933</v>
      </c>
      <c r="F245" t="s">
        <v>832</v>
      </c>
      <c r="G245">
        <v>873</v>
      </c>
      <c r="J245">
        <v>873</v>
      </c>
      <c r="K245" t="s">
        <v>933</v>
      </c>
      <c r="M245">
        <f>VLOOKUP(PAGOS_ACTUALIZAR_2026!B245,'CARGADOS 2025 DICIEMBRE CIERRE'!B245:B800,1,0)</f>
        <v>2025003682</v>
      </c>
    </row>
    <row r="246" spans="1:13" hidden="1" x14ac:dyDescent="0.25">
      <c r="A246" t="s">
        <v>974</v>
      </c>
      <c r="B246">
        <v>2025003683</v>
      </c>
      <c r="C246" t="s">
        <v>777</v>
      </c>
      <c r="D246" t="s">
        <v>932</v>
      </c>
      <c r="E246">
        <v>98391531</v>
      </c>
      <c r="F246" t="s">
        <v>779</v>
      </c>
      <c r="G246">
        <v>873</v>
      </c>
      <c r="J246">
        <v>873</v>
      </c>
      <c r="K246" t="s">
        <v>932</v>
      </c>
      <c r="M246">
        <f>VLOOKUP(PAGOS_ACTUALIZAR_2026!B246,'CARGADOS 2025 DICIEMBRE CIERRE'!B246:B801,1,0)</f>
        <v>2025003683</v>
      </c>
    </row>
    <row r="247" spans="1:13" hidden="1" x14ac:dyDescent="0.25">
      <c r="A247" t="s">
        <v>974</v>
      </c>
      <c r="B247">
        <v>2025003684</v>
      </c>
      <c r="C247" t="s">
        <v>827</v>
      </c>
      <c r="D247" t="s">
        <v>933</v>
      </c>
      <c r="E247">
        <v>1085312669</v>
      </c>
      <c r="F247" t="s">
        <v>829</v>
      </c>
      <c r="G247">
        <v>873</v>
      </c>
      <c r="J247">
        <v>873</v>
      </c>
      <c r="K247" t="s">
        <v>933</v>
      </c>
      <c r="M247">
        <f>VLOOKUP(PAGOS_ACTUALIZAR_2026!B247,'CARGADOS 2025 DICIEMBRE CIERRE'!B247:B802,1,0)</f>
        <v>2025003684</v>
      </c>
    </row>
    <row r="248" spans="1:13" hidden="1" x14ac:dyDescent="0.25">
      <c r="A248" t="s">
        <v>974</v>
      </c>
      <c r="B248">
        <v>2025003685</v>
      </c>
      <c r="C248" t="s">
        <v>141</v>
      </c>
      <c r="D248" t="s">
        <v>934</v>
      </c>
      <c r="E248">
        <v>1010010954</v>
      </c>
      <c r="F248" t="s">
        <v>142</v>
      </c>
      <c r="G248">
        <v>873</v>
      </c>
      <c r="J248">
        <v>873</v>
      </c>
      <c r="K248" t="s">
        <v>934</v>
      </c>
      <c r="M248">
        <f>VLOOKUP(PAGOS_ACTUALIZAR_2026!B248,'CARGADOS 2025 DICIEMBRE CIERRE'!B248:B803,1,0)</f>
        <v>2025003685</v>
      </c>
    </row>
    <row r="249" spans="1:13" hidden="1" x14ac:dyDescent="0.25">
      <c r="A249" t="s">
        <v>974</v>
      </c>
      <c r="B249">
        <v>2025003686</v>
      </c>
      <c r="C249" t="s">
        <v>657</v>
      </c>
      <c r="D249" t="s">
        <v>933</v>
      </c>
      <c r="E249">
        <v>1081282855</v>
      </c>
      <c r="F249" t="s">
        <v>659</v>
      </c>
      <c r="G249">
        <v>873</v>
      </c>
      <c r="J249">
        <v>873</v>
      </c>
      <c r="K249" t="s">
        <v>933</v>
      </c>
      <c r="M249">
        <f>VLOOKUP(PAGOS_ACTUALIZAR_2026!B249,'CARGADOS 2025 DICIEMBRE CIERRE'!B249:B804,1,0)</f>
        <v>2025003686</v>
      </c>
    </row>
    <row r="250" spans="1:13" hidden="1" x14ac:dyDescent="0.25">
      <c r="A250" t="s">
        <v>974</v>
      </c>
      <c r="B250">
        <v>2025003687</v>
      </c>
      <c r="C250" t="s">
        <v>333</v>
      </c>
      <c r="D250" t="s">
        <v>932</v>
      </c>
      <c r="E250">
        <v>1081594639</v>
      </c>
      <c r="F250" t="s">
        <v>14</v>
      </c>
      <c r="G250">
        <v>873</v>
      </c>
      <c r="J250">
        <v>873</v>
      </c>
      <c r="K250" t="s">
        <v>932</v>
      </c>
      <c r="M250">
        <f>VLOOKUP(PAGOS_ACTUALIZAR_2026!B250,'CARGADOS 2025 DICIEMBRE CIERRE'!B250:B805,1,0)</f>
        <v>2025003687</v>
      </c>
    </row>
    <row r="251" spans="1:13" hidden="1" x14ac:dyDescent="0.25">
      <c r="A251" t="s">
        <v>974</v>
      </c>
      <c r="B251">
        <v>2025003688</v>
      </c>
      <c r="C251" t="s">
        <v>819</v>
      </c>
      <c r="D251" t="s">
        <v>932</v>
      </c>
      <c r="E251">
        <v>1082748783</v>
      </c>
      <c r="F251" t="s">
        <v>102</v>
      </c>
      <c r="G251">
        <v>873</v>
      </c>
      <c r="J251">
        <v>873</v>
      </c>
      <c r="K251" t="s">
        <v>932</v>
      </c>
      <c r="M251">
        <f>VLOOKUP(PAGOS_ACTUALIZAR_2026!B251,'CARGADOS 2025 DICIEMBRE CIERRE'!B251:B806,1,0)</f>
        <v>2025003688</v>
      </c>
    </row>
    <row r="252" spans="1:13" hidden="1" x14ac:dyDescent="0.25">
      <c r="A252" t="s">
        <v>974</v>
      </c>
      <c r="B252">
        <v>2025003689</v>
      </c>
      <c r="C252" t="s">
        <v>319</v>
      </c>
      <c r="D252" t="s">
        <v>935</v>
      </c>
      <c r="E252">
        <v>1022426162</v>
      </c>
      <c r="F252" t="s">
        <v>320</v>
      </c>
      <c r="G252">
        <v>873</v>
      </c>
      <c r="J252">
        <v>873</v>
      </c>
      <c r="K252" t="s">
        <v>935</v>
      </c>
      <c r="M252">
        <f>VLOOKUP(PAGOS_ACTUALIZAR_2026!B252,'CARGADOS 2025 DICIEMBRE CIERRE'!B252:B807,1,0)</f>
        <v>2025003689</v>
      </c>
    </row>
    <row r="253" spans="1:13" hidden="1" x14ac:dyDescent="0.25">
      <c r="A253" t="s">
        <v>974</v>
      </c>
      <c r="B253">
        <v>2025003690</v>
      </c>
      <c r="C253" t="s">
        <v>139</v>
      </c>
      <c r="D253" t="s">
        <v>932</v>
      </c>
      <c r="E253">
        <v>1085252263</v>
      </c>
      <c r="F253" t="s">
        <v>63</v>
      </c>
      <c r="G253">
        <v>873</v>
      </c>
      <c r="J253">
        <v>873</v>
      </c>
      <c r="K253" t="s">
        <v>932</v>
      </c>
      <c r="M253">
        <f>VLOOKUP(PAGOS_ACTUALIZAR_2026!B253,'CARGADOS 2025 DICIEMBRE CIERRE'!B253:B808,1,0)</f>
        <v>2025003690</v>
      </c>
    </row>
    <row r="254" spans="1:13" hidden="1" x14ac:dyDescent="0.25">
      <c r="A254" t="s">
        <v>974</v>
      </c>
      <c r="B254">
        <v>2025003691</v>
      </c>
      <c r="C254" t="s">
        <v>299</v>
      </c>
      <c r="D254" t="s">
        <v>934</v>
      </c>
      <c r="E254">
        <v>1004564013</v>
      </c>
      <c r="F254" t="s">
        <v>300</v>
      </c>
      <c r="G254">
        <v>873</v>
      </c>
      <c r="J254">
        <v>873</v>
      </c>
      <c r="K254" t="s">
        <v>934</v>
      </c>
      <c r="M254">
        <f>VLOOKUP(PAGOS_ACTUALIZAR_2026!B254,'CARGADOS 2025 DICIEMBRE CIERRE'!B254:B809,1,0)</f>
        <v>2025003691</v>
      </c>
    </row>
    <row r="255" spans="1:13" hidden="1" x14ac:dyDescent="0.25">
      <c r="A255" t="s">
        <v>974</v>
      </c>
      <c r="B255">
        <v>2025003692</v>
      </c>
      <c r="C255" t="s">
        <v>783</v>
      </c>
      <c r="D255" t="s">
        <v>932</v>
      </c>
      <c r="E255">
        <v>1085246674</v>
      </c>
      <c r="F255" t="s">
        <v>785</v>
      </c>
      <c r="G255">
        <v>873</v>
      </c>
      <c r="J255">
        <v>873</v>
      </c>
      <c r="K255" t="s">
        <v>932</v>
      </c>
      <c r="M255">
        <f>VLOOKUP(PAGOS_ACTUALIZAR_2026!B255,'CARGADOS 2025 DICIEMBRE CIERRE'!B255:B810,1,0)</f>
        <v>2025003692</v>
      </c>
    </row>
    <row r="256" spans="1:13" hidden="1" x14ac:dyDescent="0.25">
      <c r="A256" t="s">
        <v>974</v>
      </c>
      <c r="B256">
        <v>2025003693</v>
      </c>
      <c r="C256" t="s">
        <v>516</v>
      </c>
      <c r="D256" t="s">
        <v>933</v>
      </c>
      <c r="E256">
        <v>12974849</v>
      </c>
      <c r="F256" t="s">
        <v>37</v>
      </c>
      <c r="G256">
        <v>873</v>
      </c>
      <c r="J256">
        <v>873</v>
      </c>
      <c r="K256" t="s">
        <v>933</v>
      </c>
      <c r="M256">
        <f>VLOOKUP(PAGOS_ACTUALIZAR_2026!B256,'CARGADOS 2025 DICIEMBRE CIERRE'!B256:B811,1,0)</f>
        <v>2025003693</v>
      </c>
    </row>
    <row r="257" spans="1:13" hidden="1" x14ac:dyDescent="0.25">
      <c r="A257" t="s">
        <v>974</v>
      </c>
      <c r="B257">
        <v>2025003694</v>
      </c>
      <c r="C257" t="s">
        <v>524</v>
      </c>
      <c r="D257" t="s">
        <v>933</v>
      </c>
      <c r="E257">
        <v>87060188</v>
      </c>
      <c r="F257" t="s">
        <v>526</v>
      </c>
      <c r="G257">
        <v>873</v>
      </c>
      <c r="J257">
        <v>873</v>
      </c>
      <c r="K257" t="s">
        <v>933</v>
      </c>
      <c r="M257">
        <f>VLOOKUP(PAGOS_ACTUALIZAR_2026!B257,'CARGADOS 2025 DICIEMBRE CIERRE'!B257:B812,1,0)</f>
        <v>2025003694</v>
      </c>
    </row>
    <row r="258" spans="1:13" hidden="1" x14ac:dyDescent="0.25">
      <c r="A258" t="s">
        <v>974</v>
      </c>
      <c r="B258">
        <v>2025003695</v>
      </c>
      <c r="C258" t="s">
        <v>268</v>
      </c>
      <c r="D258" t="s">
        <v>932</v>
      </c>
      <c r="E258">
        <v>59310853</v>
      </c>
      <c r="F258" t="s">
        <v>940</v>
      </c>
      <c r="G258">
        <v>873</v>
      </c>
      <c r="J258">
        <v>873</v>
      </c>
      <c r="K258" t="s">
        <v>932</v>
      </c>
      <c r="M258">
        <f>VLOOKUP(PAGOS_ACTUALIZAR_2026!B258,'CARGADOS 2025 DICIEMBRE CIERRE'!B258:B813,1,0)</f>
        <v>2025003695</v>
      </c>
    </row>
    <row r="259" spans="1:13" hidden="1" x14ac:dyDescent="0.25">
      <c r="A259" t="s">
        <v>974</v>
      </c>
      <c r="B259">
        <v>2025003697</v>
      </c>
      <c r="C259" t="s">
        <v>833</v>
      </c>
      <c r="D259" t="s">
        <v>932</v>
      </c>
      <c r="E259">
        <v>36751255</v>
      </c>
      <c r="F259" t="s">
        <v>835</v>
      </c>
      <c r="G259">
        <v>873</v>
      </c>
      <c r="J259">
        <v>873</v>
      </c>
      <c r="K259" t="s">
        <v>932</v>
      </c>
      <c r="M259">
        <f>VLOOKUP(PAGOS_ACTUALIZAR_2026!B259,'CARGADOS 2025 DICIEMBRE CIERRE'!B259:B814,1,0)</f>
        <v>2025003697</v>
      </c>
    </row>
    <row r="260" spans="1:13" hidden="1" x14ac:dyDescent="0.25">
      <c r="A260" t="s">
        <v>974</v>
      </c>
      <c r="B260">
        <v>2025003698</v>
      </c>
      <c r="C260" t="s">
        <v>335</v>
      </c>
      <c r="D260" t="s">
        <v>934</v>
      </c>
      <c r="E260">
        <v>36757221</v>
      </c>
      <c r="F260" t="s">
        <v>52</v>
      </c>
      <c r="G260">
        <v>873</v>
      </c>
      <c r="J260">
        <v>873</v>
      </c>
      <c r="K260" t="s">
        <v>934</v>
      </c>
      <c r="M260">
        <f>VLOOKUP(PAGOS_ACTUALIZAR_2026!B260,'CARGADOS 2025 DICIEMBRE CIERRE'!B260:B815,1,0)</f>
        <v>2025003698</v>
      </c>
    </row>
    <row r="261" spans="1:13" hidden="1" x14ac:dyDescent="0.25">
      <c r="A261" t="s">
        <v>974</v>
      </c>
      <c r="B261">
        <v>2025003699</v>
      </c>
      <c r="C261" t="s">
        <v>879</v>
      </c>
      <c r="D261" t="s">
        <v>932</v>
      </c>
      <c r="E261">
        <v>1086328142</v>
      </c>
      <c r="F261" t="s">
        <v>96</v>
      </c>
      <c r="G261">
        <v>873</v>
      </c>
      <c r="J261">
        <v>873</v>
      </c>
      <c r="K261" t="s">
        <v>932</v>
      </c>
      <c r="M261">
        <f>VLOOKUP(PAGOS_ACTUALIZAR_2026!B261,'CARGADOS 2025 DICIEMBRE CIERRE'!B261:B816,1,0)</f>
        <v>2025003699</v>
      </c>
    </row>
    <row r="262" spans="1:13" hidden="1" x14ac:dyDescent="0.25">
      <c r="A262" t="s">
        <v>974</v>
      </c>
      <c r="B262">
        <v>2025003700</v>
      </c>
      <c r="C262" t="s">
        <v>786</v>
      </c>
      <c r="D262" t="s">
        <v>932</v>
      </c>
      <c r="E262">
        <v>1086018841</v>
      </c>
      <c r="F262" t="s">
        <v>788</v>
      </c>
      <c r="G262">
        <v>873</v>
      </c>
      <c r="J262">
        <v>873</v>
      </c>
      <c r="K262" t="s">
        <v>932</v>
      </c>
      <c r="M262">
        <f>VLOOKUP(PAGOS_ACTUALIZAR_2026!B262,'CARGADOS 2025 DICIEMBRE CIERRE'!B262:B817,1,0)</f>
        <v>2025003700</v>
      </c>
    </row>
    <row r="263" spans="1:13" hidden="1" x14ac:dyDescent="0.25">
      <c r="A263" t="s">
        <v>974</v>
      </c>
      <c r="B263">
        <v>2025003701</v>
      </c>
      <c r="C263" t="s">
        <v>773</v>
      </c>
      <c r="D263" t="s">
        <v>932</v>
      </c>
      <c r="E263">
        <v>1085344795</v>
      </c>
      <c r="F263" t="s">
        <v>84</v>
      </c>
      <c r="G263">
        <v>873</v>
      </c>
      <c r="J263">
        <v>873</v>
      </c>
      <c r="K263" t="s">
        <v>932</v>
      </c>
      <c r="M263">
        <f>VLOOKUP(PAGOS_ACTUALIZAR_2026!B263,'CARGADOS 2025 DICIEMBRE CIERRE'!B263:B818,1,0)</f>
        <v>2025003701</v>
      </c>
    </row>
    <row r="264" spans="1:13" hidden="1" x14ac:dyDescent="0.25">
      <c r="A264" t="s">
        <v>974</v>
      </c>
      <c r="B264">
        <v>2025003702</v>
      </c>
      <c r="C264" t="s">
        <v>336</v>
      </c>
      <c r="D264" t="s">
        <v>931</v>
      </c>
      <c r="E264">
        <v>27087475</v>
      </c>
      <c r="F264" t="s">
        <v>943</v>
      </c>
      <c r="G264">
        <v>873</v>
      </c>
      <c r="J264">
        <v>873</v>
      </c>
      <c r="K264" t="s">
        <v>931</v>
      </c>
      <c r="M264">
        <f>VLOOKUP(PAGOS_ACTUALIZAR_2026!B264,'CARGADOS 2025 DICIEMBRE CIERRE'!B264:B819,1,0)</f>
        <v>2025003702</v>
      </c>
    </row>
    <row r="265" spans="1:13" hidden="1" x14ac:dyDescent="0.25">
      <c r="A265" t="s">
        <v>974</v>
      </c>
      <c r="B265">
        <v>2025003703</v>
      </c>
      <c r="C265" t="s">
        <v>359</v>
      </c>
      <c r="D265" t="s">
        <v>931</v>
      </c>
      <c r="E265">
        <v>1087414586</v>
      </c>
      <c r="F265" t="s">
        <v>99</v>
      </c>
      <c r="G265">
        <v>873</v>
      </c>
      <c r="J265">
        <v>873</v>
      </c>
      <c r="K265" t="s">
        <v>931</v>
      </c>
      <c r="M265">
        <f>VLOOKUP(PAGOS_ACTUALIZAR_2026!B265,'CARGADOS 2025 DICIEMBRE CIERRE'!B265:B820,1,0)</f>
        <v>2025003703</v>
      </c>
    </row>
    <row r="266" spans="1:13" hidden="1" x14ac:dyDescent="0.25">
      <c r="A266" t="s">
        <v>974</v>
      </c>
      <c r="B266">
        <v>2025003704</v>
      </c>
      <c r="C266" t="s">
        <v>572</v>
      </c>
      <c r="D266" t="s">
        <v>931</v>
      </c>
      <c r="E266">
        <v>37084258</v>
      </c>
      <c r="F266" t="s">
        <v>574</v>
      </c>
      <c r="G266">
        <v>873</v>
      </c>
      <c r="J266">
        <v>873</v>
      </c>
      <c r="K266" t="s">
        <v>931</v>
      </c>
      <c r="M266">
        <f>VLOOKUP(PAGOS_ACTUALIZAR_2026!B266,'CARGADOS 2025 DICIEMBRE CIERRE'!B266:B821,1,0)</f>
        <v>2025003704</v>
      </c>
    </row>
    <row r="267" spans="1:13" hidden="1" x14ac:dyDescent="0.25">
      <c r="A267" t="s">
        <v>974</v>
      </c>
      <c r="B267">
        <v>2025003705</v>
      </c>
      <c r="C267" t="s">
        <v>140</v>
      </c>
      <c r="D267" t="s">
        <v>934</v>
      </c>
      <c r="E267">
        <v>59825948</v>
      </c>
      <c r="F267" t="s">
        <v>62</v>
      </c>
      <c r="G267">
        <v>873</v>
      </c>
      <c r="J267">
        <v>873</v>
      </c>
      <c r="K267" t="s">
        <v>934</v>
      </c>
      <c r="M267">
        <f>VLOOKUP(PAGOS_ACTUALIZAR_2026!B267,'CARGADOS 2025 DICIEMBRE CIERRE'!B267:B822,1,0)</f>
        <v>2025003705</v>
      </c>
    </row>
    <row r="268" spans="1:13" hidden="1" x14ac:dyDescent="0.25">
      <c r="A268" t="s">
        <v>974</v>
      </c>
      <c r="B268">
        <v>2025003706</v>
      </c>
      <c r="C268" t="s">
        <v>575</v>
      </c>
      <c r="D268" t="s">
        <v>931</v>
      </c>
      <c r="E268">
        <v>1085293619</v>
      </c>
      <c r="F268" t="s">
        <v>954</v>
      </c>
      <c r="G268">
        <v>873</v>
      </c>
      <c r="J268">
        <v>873</v>
      </c>
      <c r="K268" t="s">
        <v>931</v>
      </c>
      <c r="M268">
        <f>VLOOKUP(PAGOS_ACTUALIZAR_2026!B268,'CARGADOS 2025 DICIEMBRE CIERRE'!B268:B823,1,0)</f>
        <v>2025003706</v>
      </c>
    </row>
    <row r="269" spans="1:13" hidden="1" x14ac:dyDescent="0.25">
      <c r="A269" t="s">
        <v>974</v>
      </c>
      <c r="B269">
        <v>2025003707</v>
      </c>
      <c r="C269" t="s">
        <v>613</v>
      </c>
      <c r="D269" t="s">
        <v>932</v>
      </c>
      <c r="E269">
        <v>1085327677</v>
      </c>
      <c r="F269" t="s">
        <v>615</v>
      </c>
      <c r="G269">
        <v>873</v>
      </c>
      <c r="J269">
        <v>873</v>
      </c>
      <c r="K269" t="s">
        <v>932</v>
      </c>
      <c r="M269">
        <f>VLOOKUP(PAGOS_ACTUALIZAR_2026!B269,'CARGADOS 2025 DICIEMBRE CIERRE'!B269:B824,1,0)</f>
        <v>2025003707</v>
      </c>
    </row>
    <row r="270" spans="1:13" hidden="1" x14ac:dyDescent="0.25">
      <c r="A270" t="s">
        <v>974</v>
      </c>
      <c r="B270">
        <v>2025003708</v>
      </c>
      <c r="C270" t="s">
        <v>137</v>
      </c>
      <c r="D270" t="s">
        <v>932</v>
      </c>
      <c r="E270">
        <v>27082649</v>
      </c>
      <c r="F270" t="s">
        <v>953</v>
      </c>
      <c r="G270">
        <v>873</v>
      </c>
      <c r="J270">
        <v>873</v>
      </c>
      <c r="K270" t="s">
        <v>932</v>
      </c>
      <c r="M270">
        <f>VLOOKUP(PAGOS_ACTUALIZAR_2026!B270,'CARGADOS 2025 DICIEMBRE CIERRE'!B270:B825,1,0)</f>
        <v>2025003708</v>
      </c>
    </row>
    <row r="271" spans="1:13" hidden="1" x14ac:dyDescent="0.25">
      <c r="A271" t="s">
        <v>974</v>
      </c>
      <c r="B271">
        <v>2025003709</v>
      </c>
      <c r="C271" t="s">
        <v>329</v>
      </c>
      <c r="D271" t="s">
        <v>932</v>
      </c>
      <c r="E271">
        <v>1004134014</v>
      </c>
      <c r="F271" t="s">
        <v>330</v>
      </c>
      <c r="G271">
        <v>873</v>
      </c>
      <c r="J271">
        <v>873</v>
      </c>
      <c r="K271" t="s">
        <v>932</v>
      </c>
      <c r="M271">
        <f>VLOOKUP(PAGOS_ACTUALIZAR_2026!B271,'CARGADOS 2025 DICIEMBRE CIERRE'!B271:B826,1,0)</f>
        <v>2025003709</v>
      </c>
    </row>
    <row r="272" spans="1:13" hidden="1" x14ac:dyDescent="0.25">
      <c r="A272" t="s">
        <v>974</v>
      </c>
      <c r="B272">
        <v>2025003710</v>
      </c>
      <c r="C272" t="s">
        <v>131</v>
      </c>
      <c r="D272" t="s">
        <v>932</v>
      </c>
      <c r="E272">
        <v>59311295</v>
      </c>
      <c r="F272" t="s">
        <v>132</v>
      </c>
      <c r="G272">
        <v>873</v>
      </c>
      <c r="J272">
        <v>873</v>
      </c>
      <c r="K272" t="s">
        <v>932</v>
      </c>
      <c r="M272">
        <f>VLOOKUP(PAGOS_ACTUALIZAR_2026!B272,'CARGADOS 2025 DICIEMBRE CIERRE'!B272:B827,1,0)</f>
        <v>2025003710</v>
      </c>
    </row>
    <row r="273" spans="1:13" hidden="1" x14ac:dyDescent="0.25">
      <c r="A273" t="s">
        <v>974</v>
      </c>
      <c r="B273">
        <v>2025003711</v>
      </c>
      <c r="C273" t="s">
        <v>813</v>
      </c>
      <c r="D273" t="s">
        <v>932</v>
      </c>
      <c r="E273">
        <v>1085324685</v>
      </c>
      <c r="F273" t="s">
        <v>815</v>
      </c>
      <c r="G273">
        <v>873</v>
      </c>
      <c r="J273">
        <v>873</v>
      </c>
      <c r="K273" t="s">
        <v>932</v>
      </c>
      <c r="M273">
        <f>VLOOKUP(PAGOS_ACTUALIZAR_2026!B273,'CARGADOS 2025 DICIEMBRE CIERRE'!B273:B828,1,0)</f>
        <v>2025003711</v>
      </c>
    </row>
    <row r="274" spans="1:13" hidden="1" x14ac:dyDescent="0.25">
      <c r="A274" t="s">
        <v>974</v>
      </c>
      <c r="B274">
        <v>2025003712</v>
      </c>
      <c r="C274" t="s">
        <v>807</v>
      </c>
      <c r="D274" t="s">
        <v>932</v>
      </c>
      <c r="E274">
        <v>1088216350</v>
      </c>
      <c r="F274" t="s">
        <v>809</v>
      </c>
      <c r="G274">
        <v>873</v>
      </c>
      <c r="J274">
        <v>873</v>
      </c>
      <c r="K274" t="s">
        <v>932</v>
      </c>
      <c r="M274">
        <f>VLOOKUP(PAGOS_ACTUALIZAR_2026!B274,'CARGADOS 2025 DICIEMBRE CIERRE'!B274:B829,1,0)</f>
        <v>2025003712</v>
      </c>
    </row>
    <row r="275" spans="1:13" hidden="1" x14ac:dyDescent="0.25">
      <c r="A275" t="s">
        <v>974</v>
      </c>
      <c r="B275">
        <v>2025003713</v>
      </c>
      <c r="C275" t="s">
        <v>136</v>
      </c>
      <c r="D275" t="s">
        <v>932</v>
      </c>
      <c r="E275">
        <v>1192717330</v>
      </c>
      <c r="F275" t="s">
        <v>42</v>
      </c>
      <c r="G275">
        <v>873</v>
      </c>
      <c r="J275">
        <v>873</v>
      </c>
      <c r="K275" t="s">
        <v>932</v>
      </c>
      <c r="M275">
        <f>VLOOKUP(PAGOS_ACTUALIZAR_2026!B275,'CARGADOS 2025 DICIEMBRE CIERRE'!B275:B830,1,0)</f>
        <v>2025003713</v>
      </c>
    </row>
    <row r="276" spans="1:13" hidden="1" x14ac:dyDescent="0.25">
      <c r="A276" t="s">
        <v>974</v>
      </c>
      <c r="B276">
        <v>2025003714</v>
      </c>
      <c r="C276" t="s">
        <v>816</v>
      </c>
      <c r="D276" t="s">
        <v>932</v>
      </c>
      <c r="E276">
        <v>27549932</v>
      </c>
      <c r="F276" t="s">
        <v>818</v>
      </c>
      <c r="G276">
        <v>873</v>
      </c>
      <c r="J276">
        <v>873</v>
      </c>
      <c r="K276" t="s">
        <v>932</v>
      </c>
      <c r="M276">
        <f>VLOOKUP(PAGOS_ACTUALIZAR_2026!B276,'CARGADOS 2025 DICIEMBRE CIERRE'!B276:B831,1,0)</f>
        <v>2025003714</v>
      </c>
    </row>
    <row r="277" spans="1:13" hidden="1" x14ac:dyDescent="0.25">
      <c r="A277" t="s">
        <v>974</v>
      </c>
      <c r="B277">
        <v>2025003715</v>
      </c>
      <c r="C277" t="s">
        <v>262</v>
      </c>
      <c r="D277" t="s">
        <v>932</v>
      </c>
      <c r="E277">
        <v>36758143</v>
      </c>
      <c r="F277" t="s">
        <v>263</v>
      </c>
      <c r="G277">
        <v>873</v>
      </c>
      <c r="J277">
        <v>873</v>
      </c>
      <c r="K277" t="s">
        <v>932</v>
      </c>
      <c r="M277">
        <f>VLOOKUP(PAGOS_ACTUALIZAR_2026!B277,'CARGADOS 2025 DICIEMBRE CIERRE'!B277:B832,1,0)</f>
        <v>2025003715</v>
      </c>
    </row>
    <row r="278" spans="1:13" hidden="1" x14ac:dyDescent="0.25">
      <c r="A278" t="s">
        <v>974</v>
      </c>
      <c r="B278">
        <v>2025003716</v>
      </c>
      <c r="C278" t="s">
        <v>135</v>
      </c>
      <c r="D278" t="s">
        <v>934</v>
      </c>
      <c r="E278">
        <v>59836480</v>
      </c>
      <c r="F278" t="s">
        <v>789</v>
      </c>
      <c r="G278">
        <v>873</v>
      </c>
      <c r="J278">
        <v>873</v>
      </c>
      <c r="K278" t="s">
        <v>934</v>
      </c>
      <c r="M278">
        <f>VLOOKUP(PAGOS_ACTUALIZAR_2026!B278,'CARGADOS 2025 DICIEMBRE CIERRE'!B278:B833,1,0)</f>
        <v>2025003716</v>
      </c>
    </row>
    <row r="279" spans="1:13" hidden="1" x14ac:dyDescent="0.25">
      <c r="A279" t="s">
        <v>974</v>
      </c>
      <c r="B279">
        <v>2025003717</v>
      </c>
      <c r="C279" t="s">
        <v>580</v>
      </c>
      <c r="D279" t="s">
        <v>931</v>
      </c>
      <c r="E279">
        <v>1085313870</v>
      </c>
      <c r="F279" t="s">
        <v>100</v>
      </c>
      <c r="G279">
        <v>873</v>
      </c>
      <c r="J279">
        <v>873</v>
      </c>
      <c r="K279" t="s">
        <v>931</v>
      </c>
      <c r="M279">
        <f>VLOOKUP(PAGOS_ACTUALIZAR_2026!B279,'CARGADOS 2025 DICIEMBRE CIERRE'!B279:B834,1,0)</f>
        <v>2025003717</v>
      </c>
    </row>
    <row r="280" spans="1:13" hidden="1" x14ac:dyDescent="0.25">
      <c r="A280" t="s">
        <v>974</v>
      </c>
      <c r="B280">
        <v>2025003718</v>
      </c>
      <c r="C280" t="s">
        <v>587</v>
      </c>
      <c r="D280" t="s">
        <v>931</v>
      </c>
      <c r="E280">
        <v>1085331301</v>
      </c>
      <c r="F280" t="s">
        <v>942</v>
      </c>
      <c r="G280">
        <v>873</v>
      </c>
      <c r="J280">
        <v>873</v>
      </c>
      <c r="K280" t="s">
        <v>931</v>
      </c>
      <c r="M280">
        <f>VLOOKUP(PAGOS_ACTUALIZAR_2026!B280,'CARGADOS 2025 DICIEMBRE CIERRE'!B280:B835,1,0)</f>
        <v>2025003718</v>
      </c>
    </row>
    <row r="281" spans="1:13" hidden="1" x14ac:dyDescent="0.25">
      <c r="A281" t="s">
        <v>974</v>
      </c>
      <c r="B281">
        <v>2025003719</v>
      </c>
      <c r="C281" t="s">
        <v>266</v>
      </c>
      <c r="D281" t="s">
        <v>931</v>
      </c>
      <c r="E281">
        <v>59651018</v>
      </c>
      <c r="F281" t="s">
        <v>18</v>
      </c>
      <c r="G281">
        <v>873</v>
      </c>
      <c r="J281">
        <v>873</v>
      </c>
      <c r="K281" t="s">
        <v>931</v>
      </c>
      <c r="M281">
        <f>VLOOKUP(PAGOS_ACTUALIZAR_2026!B281,'CARGADOS 2025 DICIEMBRE CIERRE'!B281:B836,1,0)</f>
        <v>2025003719</v>
      </c>
    </row>
    <row r="282" spans="1:13" hidden="1" x14ac:dyDescent="0.25">
      <c r="A282" t="s">
        <v>974</v>
      </c>
      <c r="B282">
        <v>2025003720</v>
      </c>
      <c r="C282" t="s">
        <v>337</v>
      </c>
      <c r="D282" t="s">
        <v>931</v>
      </c>
      <c r="E282">
        <v>1085330309</v>
      </c>
      <c r="F282" t="s">
        <v>7</v>
      </c>
      <c r="G282">
        <v>873</v>
      </c>
      <c r="J282">
        <v>873</v>
      </c>
      <c r="K282" t="s">
        <v>931</v>
      </c>
      <c r="M282">
        <f>VLOOKUP(PAGOS_ACTUALIZAR_2026!B282,'CARGADOS 2025 DICIEMBRE CIERRE'!B282:B837,1,0)</f>
        <v>2025003720</v>
      </c>
    </row>
    <row r="283" spans="1:13" hidden="1" x14ac:dyDescent="0.25">
      <c r="A283" t="s">
        <v>974</v>
      </c>
      <c r="B283">
        <v>2025003721</v>
      </c>
      <c r="C283" t="s">
        <v>520</v>
      </c>
      <c r="D283" t="s">
        <v>935</v>
      </c>
      <c r="E283">
        <v>1123327071</v>
      </c>
      <c r="F283" t="s">
        <v>522</v>
      </c>
      <c r="G283">
        <v>873</v>
      </c>
      <c r="J283">
        <v>873</v>
      </c>
      <c r="K283" t="s">
        <v>935</v>
      </c>
      <c r="M283">
        <f>VLOOKUP(PAGOS_ACTUALIZAR_2026!B283,'CARGADOS 2025 DICIEMBRE CIERRE'!B283:B838,1,0)</f>
        <v>2025003721</v>
      </c>
    </row>
    <row r="284" spans="1:13" hidden="1" x14ac:dyDescent="0.25">
      <c r="A284" t="s">
        <v>974</v>
      </c>
      <c r="B284">
        <v>2025003722</v>
      </c>
      <c r="C284" t="s">
        <v>794</v>
      </c>
      <c r="D284" t="s">
        <v>935</v>
      </c>
      <c r="E284">
        <v>12969231</v>
      </c>
      <c r="F284" t="s">
        <v>796</v>
      </c>
      <c r="G284">
        <v>873</v>
      </c>
      <c r="J284">
        <v>873</v>
      </c>
      <c r="K284" t="s">
        <v>935</v>
      </c>
      <c r="M284">
        <f>VLOOKUP(PAGOS_ACTUALIZAR_2026!B284,'CARGADOS 2025 DICIEMBRE CIERRE'!B284:B839,1,0)</f>
        <v>2025003722</v>
      </c>
    </row>
    <row r="285" spans="1:13" hidden="1" x14ac:dyDescent="0.25">
      <c r="A285" t="s">
        <v>974</v>
      </c>
      <c r="B285">
        <v>2025003723</v>
      </c>
      <c r="C285" t="s">
        <v>265</v>
      </c>
      <c r="D285" t="s">
        <v>934</v>
      </c>
      <c r="E285">
        <v>59820414</v>
      </c>
      <c r="F285" t="s">
        <v>54</v>
      </c>
      <c r="G285">
        <v>873</v>
      </c>
      <c r="J285">
        <v>873</v>
      </c>
      <c r="K285" t="s">
        <v>934</v>
      </c>
      <c r="M285">
        <f>VLOOKUP(PAGOS_ACTUALIZAR_2026!B285,'CARGADOS 2025 DICIEMBRE CIERRE'!B285:B840,1,0)</f>
        <v>2025003723</v>
      </c>
    </row>
    <row r="286" spans="1:13" hidden="1" x14ac:dyDescent="0.25">
      <c r="A286" t="s">
        <v>974</v>
      </c>
      <c r="B286">
        <v>2025003724</v>
      </c>
      <c r="C286" t="s">
        <v>338</v>
      </c>
      <c r="D286" t="s">
        <v>934</v>
      </c>
      <c r="E286">
        <v>1085283868</v>
      </c>
      <c r="F286" t="s">
        <v>29</v>
      </c>
      <c r="G286">
        <v>873</v>
      </c>
      <c r="J286">
        <v>873</v>
      </c>
      <c r="K286" t="s">
        <v>934</v>
      </c>
      <c r="M286">
        <f>VLOOKUP(PAGOS_ACTUALIZAR_2026!B286,'CARGADOS 2025 DICIEMBRE CIERRE'!B286:B841,1,0)</f>
        <v>2025003724</v>
      </c>
    </row>
    <row r="287" spans="1:13" hidden="1" x14ac:dyDescent="0.25">
      <c r="A287" t="s">
        <v>974</v>
      </c>
      <c r="B287">
        <v>2025003725</v>
      </c>
      <c r="C287" t="s">
        <v>800</v>
      </c>
      <c r="D287" t="s">
        <v>935</v>
      </c>
      <c r="E287">
        <v>1233193848</v>
      </c>
      <c r="F287" t="s">
        <v>802</v>
      </c>
      <c r="G287">
        <v>873</v>
      </c>
      <c r="J287">
        <v>873</v>
      </c>
      <c r="K287" t="s">
        <v>935</v>
      </c>
      <c r="M287">
        <f>VLOOKUP(PAGOS_ACTUALIZAR_2026!B287,'CARGADOS 2025 DICIEMBRE CIERRE'!B287:B842,1,0)</f>
        <v>2025003725</v>
      </c>
    </row>
    <row r="288" spans="1:13" hidden="1" x14ac:dyDescent="0.25">
      <c r="A288" t="s">
        <v>974</v>
      </c>
      <c r="B288">
        <v>2025003727</v>
      </c>
      <c r="C288" t="s">
        <v>770</v>
      </c>
      <c r="D288" t="s">
        <v>935</v>
      </c>
      <c r="E288">
        <v>1010141840</v>
      </c>
      <c r="F288" t="s">
        <v>772</v>
      </c>
      <c r="G288">
        <v>873</v>
      </c>
      <c r="J288">
        <v>873</v>
      </c>
      <c r="K288" t="s">
        <v>935</v>
      </c>
      <c r="M288">
        <f>VLOOKUP(PAGOS_ACTUALIZAR_2026!B288,'CARGADOS 2025 DICIEMBRE CIERRE'!B288:B843,1,0)</f>
        <v>2025003727</v>
      </c>
    </row>
    <row r="289" spans="1:13" hidden="1" x14ac:dyDescent="0.25">
      <c r="A289" t="s">
        <v>974</v>
      </c>
      <c r="B289">
        <v>2025003729</v>
      </c>
      <c r="C289" t="s">
        <v>264</v>
      </c>
      <c r="D289" t="s">
        <v>935</v>
      </c>
      <c r="E289">
        <v>1193202097</v>
      </c>
      <c r="F289" t="s">
        <v>57</v>
      </c>
      <c r="G289">
        <v>873</v>
      </c>
      <c r="J289">
        <v>873</v>
      </c>
      <c r="K289" t="s">
        <v>935</v>
      </c>
      <c r="M289">
        <f>VLOOKUP(PAGOS_ACTUALIZAR_2026!B289,'CARGADOS 2025 DICIEMBRE CIERRE'!B289:B844,1,0)</f>
        <v>2025003729</v>
      </c>
    </row>
    <row r="290" spans="1:13" hidden="1" x14ac:dyDescent="0.25">
      <c r="A290" t="s">
        <v>974</v>
      </c>
      <c r="B290">
        <v>2025003730</v>
      </c>
      <c r="C290" t="s">
        <v>883</v>
      </c>
      <c r="D290" t="s">
        <v>932</v>
      </c>
      <c r="E290">
        <v>1085331558</v>
      </c>
      <c r="F290" t="s">
        <v>885</v>
      </c>
      <c r="G290">
        <v>873</v>
      </c>
      <c r="J290">
        <v>873</v>
      </c>
      <c r="K290" t="s">
        <v>932</v>
      </c>
      <c r="M290">
        <f>VLOOKUP(PAGOS_ACTUALIZAR_2026!B290,'CARGADOS 2025 DICIEMBRE CIERRE'!B290:B845,1,0)</f>
        <v>2025003730</v>
      </c>
    </row>
    <row r="291" spans="1:13" hidden="1" x14ac:dyDescent="0.25">
      <c r="A291" t="s">
        <v>974</v>
      </c>
      <c r="B291">
        <v>2025003731</v>
      </c>
      <c r="C291" t="s">
        <v>886</v>
      </c>
      <c r="D291" t="s">
        <v>933</v>
      </c>
      <c r="E291">
        <v>59312779</v>
      </c>
      <c r="F291" t="s">
        <v>888</v>
      </c>
      <c r="G291">
        <v>873</v>
      </c>
      <c r="J291">
        <v>873</v>
      </c>
      <c r="K291" t="s">
        <v>933</v>
      </c>
      <c r="M291">
        <f>VLOOKUP(PAGOS_ACTUALIZAR_2026!B291,'CARGADOS 2025 DICIEMBRE CIERRE'!B291:B846,1,0)</f>
        <v>2025003731</v>
      </c>
    </row>
    <row r="292" spans="1:13" hidden="1" x14ac:dyDescent="0.25">
      <c r="A292" t="s">
        <v>974</v>
      </c>
      <c r="B292">
        <v>2025003732</v>
      </c>
      <c r="C292" t="s">
        <v>889</v>
      </c>
      <c r="D292" t="s">
        <v>935</v>
      </c>
      <c r="E292">
        <v>1086018206</v>
      </c>
      <c r="F292" t="s">
        <v>891</v>
      </c>
      <c r="G292">
        <v>873</v>
      </c>
      <c r="J292">
        <v>873</v>
      </c>
      <c r="K292" t="s">
        <v>935</v>
      </c>
      <c r="M292">
        <f>VLOOKUP(PAGOS_ACTUALIZAR_2026!B292,'CARGADOS 2025 DICIEMBRE CIERRE'!B292:B847,1,0)</f>
        <v>2025003732</v>
      </c>
    </row>
    <row r="293" spans="1:13" hidden="1" x14ac:dyDescent="0.25">
      <c r="A293" t="s">
        <v>974</v>
      </c>
      <c r="B293">
        <v>2025003733</v>
      </c>
      <c r="C293" t="s">
        <v>178</v>
      </c>
      <c r="D293" t="s">
        <v>932</v>
      </c>
      <c r="E293">
        <v>1085275473</v>
      </c>
      <c r="F293" t="s">
        <v>179</v>
      </c>
      <c r="G293">
        <v>873</v>
      </c>
      <c r="J293">
        <v>873</v>
      </c>
      <c r="K293" t="s">
        <v>932</v>
      </c>
      <c r="M293">
        <f>VLOOKUP(PAGOS_ACTUALIZAR_2026!B293,'CARGADOS 2025 DICIEMBRE CIERRE'!B293:B848,1,0)</f>
        <v>2025003733</v>
      </c>
    </row>
    <row r="294" spans="1:13" hidden="1" x14ac:dyDescent="0.25">
      <c r="A294" t="s">
        <v>974</v>
      </c>
      <c r="B294">
        <v>2025003734</v>
      </c>
      <c r="C294" t="s">
        <v>699</v>
      </c>
      <c r="D294" t="s">
        <v>931</v>
      </c>
      <c r="E294">
        <v>1085335069</v>
      </c>
      <c r="F294" t="s">
        <v>701</v>
      </c>
      <c r="G294">
        <v>873</v>
      </c>
      <c r="J294">
        <v>873</v>
      </c>
      <c r="K294" t="s">
        <v>931</v>
      </c>
      <c r="M294">
        <f>VLOOKUP(PAGOS_ACTUALIZAR_2026!B294,'CARGADOS 2025 DICIEMBRE CIERRE'!B294:B849,1,0)</f>
        <v>2025003734</v>
      </c>
    </row>
    <row r="295" spans="1:13" hidden="1" x14ac:dyDescent="0.25">
      <c r="A295" t="s">
        <v>974</v>
      </c>
      <c r="B295">
        <v>2025003735</v>
      </c>
      <c r="C295" t="s">
        <v>284</v>
      </c>
      <c r="D295" t="s">
        <v>932</v>
      </c>
      <c r="E295">
        <v>1085295583</v>
      </c>
      <c r="F295" t="s">
        <v>285</v>
      </c>
      <c r="G295">
        <v>873</v>
      </c>
      <c r="J295">
        <v>873</v>
      </c>
      <c r="K295" t="s">
        <v>932</v>
      </c>
      <c r="M295">
        <f>VLOOKUP(PAGOS_ACTUALIZAR_2026!B295,'CARGADOS 2025 DICIEMBRE CIERRE'!B295:B850,1,0)</f>
        <v>2025003735</v>
      </c>
    </row>
    <row r="296" spans="1:13" hidden="1" x14ac:dyDescent="0.25">
      <c r="A296" t="s">
        <v>974</v>
      </c>
      <c r="B296">
        <v>2025003736</v>
      </c>
      <c r="C296" t="s">
        <v>678</v>
      </c>
      <c r="D296" t="s">
        <v>932</v>
      </c>
      <c r="E296">
        <v>27388522</v>
      </c>
      <c r="F296" t="s">
        <v>60</v>
      </c>
      <c r="G296">
        <v>873</v>
      </c>
      <c r="J296">
        <v>873</v>
      </c>
      <c r="K296" t="s">
        <v>932</v>
      </c>
      <c r="M296">
        <f>VLOOKUP(PAGOS_ACTUALIZAR_2026!B296,'CARGADOS 2025 DICIEMBRE CIERRE'!B296:B851,1,0)</f>
        <v>2025003736</v>
      </c>
    </row>
    <row r="297" spans="1:13" hidden="1" x14ac:dyDescent="0.25">
      <c r="A297" t="s">
        <v>974</v>
      </c>
      <c r="B297">
        <v>2025003737</v>
      </c>
      <c r="C297" t="s">
        <v>712</v>
      </c>
      <c r="D297" t="s">
        <v>952</v>
      </c>
      <c r="E297">
        <v>1030606749</v>
      </c>
      <c r="F297" t="s">
        <v>58</v>
      </c>
      <c r="G297">
        <v>873</v>
      </c>
      <c r="J297">
        <v>873</v>
      </c>
      <c r="K297" t="s">
        <v>952</v>
      </c>
      <c r="M297">
        <f>VLOOKUP(PAGOS_ACTUALIZAR_2026!B297,'CARGADOS 2025 DICIEMBRE CIERRE'!B297:B852,1,0)</f>
        <v>2025003737</v>
      </c>
    </row>
    <row r="298" spans="1:13" hidden="1" x14ac:dyDescent="0.25">
      <c r="A298" t="s">
        <v>974</v>
      </c>
      <c r="B298">
        <v>2025003738</v>
      </c>
      <c r="C298" t="s">
        <v>133</v>
      </c>
      <c r="D298" t="s">
        <v>935</v>
      </c>
      <c r="E298">
        <v>1233192708</v>
      </c>
      <c r="F298" t="s">
        <v>134</v>
      </c>
      <c r="G298">
        <v>873</v>
      </c>
      <c r="J298">
        <v>873</v>
      </c>
      <c r="K298" t="s">
        <v>935</v>
      </c>
      <c r="M298">
        <f>VLOOKUP(PAGOS_ACTUALIZAR_2026!B298,'CARGADOS 2025 DICIEMBRE CIERRE'!B298:B853,1,0)</f>
        <v>2025003738</v>
      </c>
    </row>
    <row r="299" spans="1:13" hidden="1" x14ac:dyDescent="0.25">
      <c r="A299" t="s">
        <v>974</v>
      </c>
      <c r="B299">
        <v>2025003739</v>
      </c>
      <c r="C299" t="s">
        <v>709</v>
      </c>
      <c r="D299" t="s">
        <v>932</v>
      </c>
      <c r="E299">
        <v>1081572042</v>
      </c>
      <c r="F299" t="s">
        <v>711</v>
      </c>
      <c r="G299">
        <v>873</v>
      </c>
      <c r="J299">
        <v>873</v>
      </c>
      <c r="K299" t="s">
        <v>932</v>
      </c>
      <c r="M299">
        <f>VLOOKUP(PAGOS_ACTUALIZAR_2026!B299,'CARGADOS 2025 DICIEMBRE CIERRE'!B299:B854,1,0)</f>
        <v>2025003739</v>
      </c>
    </row>
    <row r="300" spans="1:13" hidden="1" x14ac:dyDescent="0.25">
      <c r="A300" t="s">
        <v>974</v>
      </c>
      <c r="B300">
        <v>2025003740</v>
      </c>
      <c r="C300" t="s">
        <v>288</v>
      </c>
      <c r="D300" t="s">
        <v>932</v>
      </c>
      <c r="E300">
        <v>1086328063</v>
      </c>
      <c r="F300" t="s">
        <v>289</v>
      </c>
      <c r="G300">
        <v>873</v>
      </c>
      <c r="J300">
        <v>873</v>
      </c>
      <c r="K300" t="s">
        <v>932</v>
      </c>
      <c r="M300">
        <f>VLOOKUP(PAGOS_ACTUALIZAR_2026!B300,'CARGADOS 2025 DICIEMBRE CIERRE'!B300:B855,1,0)</f>
        <v>2025003740</v>
      </c>
    </row>
    <row r="301" spans="1:13" hidden="1" x14ac:dyDescent="0.25">
      <c r="A301" t="s">
        <v>974</v>
      </c>
      <c r="B301">
        <v>2025003741</v>
      </c>
      <c r="C301" t="s">
        <v>159</v>
      </c>
      <c r="D301" t="s">
        <v>935</v>
      </c>
      <c r="E301">
        <v>1233193769</v>
      </c>
      <c r="F301" t="s">
        <v>160</v>
      </c>
      <c r="G301">
        <v>873</v>
      </c>
      <c r="J301">
        <v>873</v>
      </c>
      <c r="K301" t="s">
        <v>935</v>
      </c>
      <c r="M301">
        <f>VLOOKUP(PAGOS_ACTUALIZAR_2026!B301,'CARGADOS 2025 DICIEMBRE CIERRE'!B301:B856,1,0)</f>
        <v>2025003741</v>
      </c>
    </row>
    <row r="302" spans="1:13" hidden="1" x14ac:dyDescent="0.25">
      <c r="A302" t="s">
        <v>974</v>
      </c>
      <c r="B302">
        <v>2025003743</v>
      </c>
      <c r="C302" t="s">
        <v>297</v>
      </c>
      <c r="D302" t="s">
        <v>931</v>
      </c>
      <c r="E302">
        <v>59824313</v>
      </c>
      <c r="F302" t="s">
        <v>298</v>
      </c>
      <c r="G302">
        <v>873</v>
      </c>
      <c r="J302">
        <v>873</v>
      </c>
      <c r="K302" t="s">
        <v>931</v>
      </c>
      <c r="M302">
        <f>VLOOKUP(PAGOS_ACTUALIZAR_2026!B302,'CARGADOS 2025 DICIEMBRE CIERRE'!B302:B857,1,0)</f>
        <v>2025003743</v>
      </c>
    </row>
    <row r="303" spans="1:13" hidden="1" x14ac:dyDescent="0.25">
      <c r="A303" t="s">
        <v>974</v>
      </c>
      <c r="B303">
        <v>2025003744</v>
      </c>
      <c r="C303" t="s">
        <v>292</v>
      </c>
      <c r="D303" t="s">
        <v>931</v>
      </c>
      <c r="E303">
        <v>36759759</v>
      </c>
      <c r="F303" t="s">
        <v>28</v>
      </c>
      <c r="G303">
        <v>873</v>
      </c>
      <c r="J303">
        <v>873</v>
      </c>
      <c r="K303" t="s">
        <v>931</v>
      </c>
      <c r="M303">
        <f>VLOOKUP(PAGOS_ACTUALIZAR_2026!B303,'CARGADOS 2025 DICIEMBRE CIERRE'!B303:B858,1,0)</f>
        <v>2025003744</v>
      </c>
    </row>
    <row r="304" spans="1:13" hidden="1" x14ac:dyDescent="0.25">
      <c r="A304" t="s">
        <v>974</v>
      </c>
      <c r="B304">
        <v>2025003745</v>
      </c>
      <c r="C304" t="s">
        <v>281</v>
      </c>
      <c r="D304" t="s">
        <v>934</v>
      </c>
      <c r="E304">
        <v>27146489</v>
      </c>
      <c r="F304" t="s">
        <v>9</v>
      </c>
      <c r="G304">
        <v>873</v>
      </c>
      <c r="J304">
        <v>873</v>
      </c>
      <c r="K304" t="s">
        <v>934</v>
      </c>
      <c r="M304">
        <f>VLOOKUP(PAGOS_ACTUALIZAR_2026!B304,'CARGADOS 2025 DICIEMBRE CIERRE'!B304:B859,1,0)</f>
        <v>2025003745</v>
      </c>
    </row>
    <row r="305" spans="1:13" hidden="1" x14ac:dyDescent="0.25">
      <c r="A305" t="s">
        <v>974</v>
      </c>
      <c r="B305">
        <v>2025003746</v>
      </c>
      <c r="C305" t="s">
        <v>295</v>
      </c>
      <c r="D305" t="s">
        <v>932</v>
      </c>
      <c r="E305">
        <v>27444591</v>
      </c>
      <c r="F305" t="s">
        <v>296</v>
      </c>
      <c r="G305">
        <v>873</v>
      </c>
      <c r="J305">
        <v>873</v>
      </c>
      <c r="K305" t="s">
        <v>932</v>
      </c>
      <c r="M305">
        <f>VLOOKUP(PAGOS_ACTUALIZAR_2026!B305,'CARGADOS 2025 DICIEMBRE CIERRE'!B305:B860,1,0)</f>
        <v>2025003746</v>
      </c>
    </row>
    <row r="306" spans="1:13" hidden="1" x14ac:dyDescent="0.25">
      <c r="A306" t="s">
        <v>974</v>
      </c>
      <c r="B306">
        <v>2025003747</v>
      </c>
      <c r="C306" t="s">
        <v>157</v>
      </c>
      <c r="D306" t="s">
        <v>934</v>
      </c>
      <c r="E306">
        <v>59314458</v>
      </c>
      <c r="F306" t="s">
        <v>82</v>
      </c>
      <c r="G306">
        <v>873</v>
      </c>
      <c r="J306">
        <v>873</v>
      </c>
      <c r="K306" t="s">
        <v>934</v>
      </c>
      <c r="M306">
        <f>VLOOKUP(PAGOS_ACTUALIZAR_2026!B306,'CARGADOS 2025 DICIEMBRE CIERRE'!B306:B861,1,0)</f>
        <v>2025003747</v>
      </c>
    </row>
    <row r="307" spans="1:13" hidden="1" x14ac:dyDescent="0.25">
      <c r="A307" t="s">
        <v>974</v>
      </c>
      <c r="B307">
        <v>2025003748</v>
      </c>
      <c r="C307" t="s">
        <v>165</v>
      </c>
      <c r="D307" t="s">
        <v>935</v>
      </c>
      <c r="E307">
        <v>1089846684</v>
      </c>
      <c r="F307" t="s">
        <v>166</v>
      </c>
      <c r="G307">
        <v>873</v>
      </c>
      <c r="J307">
        <v>873</v>
      </c>
      <c r="K307" t="s">
        <v>935</v>
      </c>
      <c r="M307">
        <f>VLOOKUP(PAGOS_ACTUALIZAR_2026!B307,'CARGADOS 2025 DICIEMBRE CIERRE'!B307:B862,1,0)</f>
        <v>2025003748</v>
      </c>
    </row>
    <row r="308" spans="1:13" hidden="1" x14ac:dyDescent="0.25">
      <c r="A308" t="s">
        <v>974</v>
      </c>
      <c r="B308">
        <v>2025003749</v>
      </c>
      <c r="C308" t="s">
        <v>720</v>
      </c>
      <c r="D308" t="s">
        <v>931</v>
      </c>
      <c r="E308">
        <v>52381227</v>
      </c>
      <c r="F308" t="s">
        <v>978</v>
      </c>
      <c r="G308">
        <v>873</v>
      </c>
      <c r="J308">
        <v>873</v>
      </c>
      <c r="K308" t="s">
        <v>931</v>
      </c>
      <c r="M308">
        <f>VLOOKUP(PAGOS_ACTUALIZAR_2026!B308,'CARGADOS 2025 DICIEMBRE CIERRE'!B308:B863,1,0)</f>
        <v>2025003749</v>
      </c>
    </row>
    <row r="309" spans="1:13" hidden="1" x14ac:dyDescent="0.25">
      <c r="A309" t="s">
        <v>974</v>
      </c>
      <c r="B309">
        <v>2025003750</v>
      </c>
      <c r="C309" t="s">
        <v>590</v>
      </c>
      <c r="D309" t="s">
        <v>934</v>
      </c>
      <c r="E309">
        <v>1193271485</v>
      </c>
      <c r="F309" t="s">
        <v>592</v>
      </c>
      <c r="G309">
        <v>873</v>
      </c>
      <c r="J309">
        <v>873</v>
      </c>
      <c r="K309" t="s">
        <v>934</v>
      </c>
      <c r="M309">
        <f>VLOOKUP(PAGOS_ACTUALIZAR_2026!B309,'CARGADOS 2025 DICIEMBRE CIERRE'!B309:B864,1,0)</f>
        <v>2025003750</v>
      </c>
    </row>
    <row r="310" spans="1:13" hidden="1" x14ac:dyDescent="0.25">
      <c r="A310" t="s">
        <v>974</v>
      </c>
      <c r="B310">
        <v>2025003751</v>
      </c>
      <c r="C310" t="s">
        <v>742</v>
      </c>
      <c r="D310" t="s">
        <v>935</v>
      </c>
      <c r="E310">
        <v>1085298800</v>
      </c>
      <c r="F310" t="s">
        <v>744</v>
      </c>
      <c r="G310">
        <v>873</v>
      </c>
      <c r="J310">
        <v>873</v>
      </c>
      <c r="K310" t="s">
        <v>935</v>
      </c>
      <c r="M310">
        <f>VLOOKUP(PAGOS_ACTUALIZAR_2026!B310,'CARGADOS 2025 DICIEMBRE CIERRE'!B310:B865,1,0)</f>
        <v>2025003751</v>
      </c>
    </row>
    <row r="311" spans="1:13" hidden="1" x14ac:dyDescent="0.25">
      <c r="A311" t="s">
        <v>974</v>
      </c>
      <c r="B311">
        <v>2025003752</v>
      </c>
      <c r="C311" t="s">
        <v>697</v>
      </c>
      <c r="D311" t="s">
        <v>932</v>
      </c>
      <c r="E311">
        <v>36861874</v>
      </c>
      <c r="F311" t="s">
        <v>72</v>
      </c>
      <c r="G311">
        <v>873</v>
      </c>
      <c r="J311">
        <v>873</v>
      </c>
      <c r="K311" t="s">
        <v>932</v>
      </c>
      <c r="M311">
        <f>VLOOKUP(PAGOS_ACTUALIZAR_2026!B311,'CARGADOS 2025 DICIEMBRE CIERRE'!B311:B866,1,0)</f>
        <v>2025003752</v>
      </c>
    </row>
    <row r="312" spans="1:13" hidden="1" x14ac:dyDescent="0.25">
      <c r="A312" t="s">
        <v>974</v>
      </c>
      <c r="B312">
        <v>2025003753</v>
      </c>
      <c r="C312" t="s">
        <v>735</v>
      </c>
      <c r="D312" t="s">
        <v>931</v>
      </c>
      <c r="E312">
        <v>1233188033</v>
      </c>
      <c r="F312" t="s">
        <v>737</v>
      </c>
      <c r="G312">
        <v>873</v>
      </c>
      <c r="J312">
        <v>873</v>
      </c>
      <c r="K312" t="s">
        <v>931</v>
      </c>
      <c r="M312">
        <f>VLOOKUP(PAGOS_ACTUALIZAR_2026!B312,'CARGADOS 2025 DICIEMBRE CIERRE'!B312:B867,1,0)</f>
        <v>2025003753</v>
      </c>
    </row>
    <row r="313" spans="1:13" hidden="1" x14ac:dyDescent="0.25">
      <c r="A313" t="s">
        <v>974</v>
      </c>
      <c r="B313">
        <v>2025003754</v>
      </c>
      <c r="C313" t="s">
        <v>688</v>
      </c>
      <c r="D313" t="s">
        <v>932</v>
      </c>
      <c r="E313">
        <v>1004592366</v>
      </c>
      <c r="F313" t="s">
        <v>68</v>
      </c>
      <c r="G313">
        <v>873</v>
      </c>
      <c r="J313">
        <v>873</v>
      </c>
      <c r="K313" t="s">
        <v>932</v>
      </c>
      <c r="M313">
        <f>VLOOKUP(PAGOS_ACTUALIZAR_2026!B313,'CARGADOS 2025 DICIEMBRE CIERRE'!B313:B868,1,0)</f>
        <v>2025003754</v>
      </c>
    </row>
    <row r="314" spans="1:13" hidden="1" x14ac:dyDescent="0.25">
      <c r="A314" t="s">
        <v>974</v>
      </c>
      <c r="B314">
        <v>2025003755</v>
      </c>
      <c r="C314" t="s">
        <v>670</v>
      </c>
      <c r="D314" t="s">
        <v>932</v>
      </c>
      <c r="E314">
        <v>1081052779</v>
      </c>
      <c r="F314" t="s">
        <v>672</v>
      </c>
      <c r="G314">
        <v>873</v>
      </c>
      <c r="J314">
        <v>873</v>
      </c>
      <c r="K314" t="s">
        <v>932</v>
      </c>
      <c r="M314">
        <f>VLOOKUP(PAGOS_ACTUALIZAR_2026!B314,'CARGADOS 2025 DICIEMBRE CIERRE'!B314:B869,1,0)</f>
        <v>2025003755</v>
      </c>
    </row>
    <row r="315" spans="1:13" hidden="1" x14ac:dyDescent="0.25">
      <c r="A315" t="s">
        <v>979</v>
      </c>
      <c r="B315">
        <v>2025003756</v>
      </c>
      <c r="C315" t="s">
        <v>732</v>
      </c>
      <c r="D315" t="s">
        <v>935</v>
      </c>
      <c r="E315">
        <v>59313415</v>
      </c>
      <c r="F315" t="s">
        <v>734</v>
      </c>
      <c r="G315">
        <v>873</v>
      </c>
      <c r="J315">
        <v>873</v>
      </c>
      <c r="K315" t="s">
        <v>935</v>
      </c>
      <c r="M315">
        <f>VLOOKUP(PAGOS_ACTUALIZAR_2026!B315,'CARGADOS 2025 DICIEMBRE CIERRE'!B315:B870,1,0)</f>
        <v>2025003756</v>
      </c>
    </row>
    <row r="316" spans="1:13" hidden="1" x14ac:dyDescent="0.25">
      <c r="A316" t="s">
        <v>979</v>
      </c>
      <c r="B316">
        <v>2025003757</v>
      </c>
      <c r="C316" t="s">
        <v>683</v>
      </c>
      <c r="D316" t="s">
        <v>932</v>
      </c>
      <c r="E316">
        <v>59834953</v>
      </c>
      <c r="F316" t="s">
        <v>980</v>
      </c>
      <c r="G316">
        <v>873</v>
      </c>
      <c r="J316">
        <v>873</v>
      </c>
      <c r="K316" t="s">
        <v>932</v>
      </c>
      <c r="M316">
        <f>VLOOKUP(PAGOS_ACTUALIZAR_2026!B316,'CARGADOS 2025 DICIEMBRE CIERRE'!B316:B871,1,0)</f>
        <v>2025003757</v>
      </c>
    </row>
    <row r="317" spans="1:13" hidden="1" x14ac:dyDescent="0.25">
      <c r="A317" t="s">
        <v>979</v>
      </c>
      <c r="B317">
        <v>2025003758</v>
      </c>
      <c r="C317" t="s">
        <v>892</v>
      </c>
      <c r="D317" t="s">
        <v>932</v>
      </c>
      <c r="E317">
        <v>1193271854</v>
      </c>
      <c r="F317" t="s">
        <v>17</v>
      </c>
      <c r="G317">
        <v>873</v>
      </c>
      <c r="J317">
        <v>873</v>
      </c>
      <c r="K317" t="s">
        <v>932</v>
      </c>
      <c r="M317">
        <f>VLOOKUP(PAGOS_ACTUALIZAR_2026!B317,'CARGADOS 2025 DICIEMBRE CIERRE'!B317:B872,1,0)</f>
        <v>2025003758</v>
      </c>
    </row>
    <row r="318" spans="1:13" hidden="1" x14ac:dyDescent="0.25">
      <c r="A318" t="s">
        <v>979</v>
      </c>
      <c r="B318">
        <v>2025003759</v>
      </c>
      <c r="C318" t="s">
        <v>894</v>
      </c>
      <c r="D318" t="s">
        <v>932</v>
      </c>
      <c r="E318">
        <v>1085338921</v>
      </c>
      <c r="F318" t="s">
        <v>896</v>
      </c>
      <c r="G318">
        <v>873</v>
      </c>
      <c r="J318">
        <v>873</v>
      </c>
      <c r="K318" t="s">
        <v>932</v>
      </c>
      <c r="M318">
        <f>VLOOKUP(PAGOS_ACTUALIZAR_2026!B318,'CARGADOS 2025 DICIEMBRE CIERRE'!B318:B873,1,0)</f>
        <v>2025003759</v>
      </c>
    </row>
    <row r="319" spans="1:13" hidden="1" x14ac:dyDescent="0.25">
      <c r="A319" t="s">
        <v>979</v>
      </c>
      <c r="B319">
        <v>2025003760</v>
      </c>
      <c r="C319" t="s">
        <v>897</v>
      </c>
      <c r="D319" t="s">
        <v>933</v>
      </c>
      <c r="E319">
        <v>1085275445</v>
      </c>
      <c r="F319" t="s">
        <v>899</v>
      </c>
      <c r="G319">
        <v>873</v>
      </c>
      <c r="J319">
        <v>873</v>
      </c>
      <c r="K319" t="s">
        <v>933</v>
      </c>
      <c r="M319">
        <f>VLOOKUP(PAGOS_ACTUALIZAR_2026!B319,'CARGADOS 2025 DICIEMBRE CIERRE'!B319:B874,1,0)</f>
        <v>2025003760</v>
      </c>
    </row>
    <row r="320" spans="1:13" hidden="1" x14ac:dyDescent="0.25">
      <c r="A320" t="s">
        <v>979</v>
      </c>
      <c r="B320">
        <v>2025003761</v>
      </c>
      <c r="C320" t="s">
        <v>900</v>
      </c>
      <c r="D320" t="s">
        <v>931</v>
      </c>
      <c r="E320">
        <v>13070247</v>
      </c>
      <c r="F320" t="s">
        <v>902</v>
      </c>
      <c r="G320">
        <v>873</v>
      </c>
      <c r="J320">
        <v>873</v>
      </c>
      <c r="K320" t="s">
        <v>931</v>
      </c>
      <c r="M320">
        <f>VLOOKUP(PAGOS_ACTUALIZAR_2026!B320,'CARGADOS 2025 DICIEMBRE CIERRE'!B320:B875,1,0)</f>
        <v>2025003761</v>
      </c>
    </row>
    <row r="321" spans="1:13" s="10" customFormat="1" x14ac:dyDescent="0.25">
      <c r="A321" s="10" t="s">
        <v>979</v>
      </c>
      <c r="B321" s="10">
        <v>2025003762</v>
      </c>
      <c r="C321" s="10" t="s">
        <v>1012</v>
      </c>
      <c r="D321" s="10" t="s">
        <v>932</v>
      </c>
      <c r="E321" s="10">
        <v>1086755989</v>
      </c>
      <c r="F321" s="10" t="s">
        <v>981</v>
      </c>
      <c r="G321" s="10">
        <v>873</v>
      </c>
      <c r="J321" s="10">
        <v>873</v>
      </c>
      <c r="K321" s="10" t="s">
        <v>932</v>
      </c>
      <c r="M321" s="10" t="e">
        <f>VLOOKUP(PAGOS_ACTUALIZAR_2026!B321,'CARGADOS 2025 DICIEMBRE CIERRE'!B321:B876,1,0)</f>
        <v>#N/A</v>
      </c>
    </row>
    <row r="322" spans="1:13" hidden="1" x14ac:dyDescent="0.25">
      <c r="A322" t="s">
        <v>979</v>
      </c>
      <c r="B322">
        <v>2025003763</v>
      </c>
      <c r="C322" t="s">
        <v>903</v>
      </c>
      <c r="D322" t="s">
        <v>932</v>
      </c>
      <c r="E322">
        <v>1085246134</v>
      </c>
      <c r="F322" t="s">
        <v>905</v>
      </c>
      <c r="G322">
        <v>873</v>
      </c>
      <c r="J322">
        <v>873</v>
      </c>
      <c r="K322" t="s">
        <v>932</v>
      </c>
      <c r="M322">
        <f>VLOOKUP(B322,'CARGADOS 2025 DICIEMBRE CIERRE'!B2:B557,1,0)</f>
        <v>2025003763</v>
      </c>
    </row>
    <row r="323" spans="1:13" hidden="1" x14ac:dyDescent="0.25">
      <c r="A323" t="s">
        <v>979</v>
      </c>
      <c r="B323">
        <v>2025003765</v>
      </c>
      <c r="C323" t="s">
        <v>293</v>
      </c>
      <c r="D323" t="s">
        <v>931</v>
      </c>
      <c r="E323">
        <v>1085264667</v>
      </c>
      <c r="F323" t="s">
        <v>294</v>
      </c>
      <c r="G323">
        <v>873</v>
      </c>
      <c r="J323">
        <v>873</v>
      </c>
      <c r="K323" t="s">
        <v>931</v>
      </c>
      <c r="M323">
        <f>VLOOKUP(B323,'CARGADOS 2025 DICIEMBRE CIERRE'!B3:B558,1,0)</f>
        <v>2025003765</v>
      </c>
    </row>
    <row r="324" spans="1:13" hidden="1" x14ac:dyDescent="0.25">
      <c r="A324" t="s">
        <v>979</v>
      </c>
      <c r="B324">
        <v>2025003767</v>
      </c>
      <c r="C324" t="s">
        <v>182</v>
      </c>
      <c r="D324" t="s">
        <v>935</v>
      </c>
      <c r="E324">
        <v>1233189066</v>
      </c>
      <c r="F324" t="s">
        <v>982</v>
      </c>
      <c r="G324">
        <v>873</v>
      </c>
      <c r="J324">
        <v>873</v>
      </c>
      <c r="K324" t="s">
        <v>935</v>
      </c>
      <c r="M324">
        <f>VLOOKUP(B324,'CARGADOS 2025 DICIEMBRE CIERRE'!B4:B559,1,0)</f>
        <v>2025003767</v>
      </c>
    </row>
    <row r="325" spans="1:13" hidden="1" x14ac:dyDescent="0.25">
      <c r="A325" t="s">
        <v>979</v>
      </c>
      <c r="B325">
        <v>2025003771</v>
      </c>
      <c r="C325" t="s">
        <v>176</v>
      </c>
      <c r="D325" t="s">
        <v>932</v>
      </c>
      <c r="E325">
        <v>1004131976</v>
      </c>
      <c r="F325" t="s">
        <v>177</v>
      </c>
      <c r="G325">
        <v>873</v>
      </c>
      <c r="J325">
        <v>873</v>
      </c>
      <c r="K325" t="s">
        <v>932</v>
      </c>
      <c r="M325">
        <f>VLOOKUP(B325,'CARGADOS 2025 DICIEMBRE CIERRE'!B5:B560,1,0)</f>
        <v>2025003771</v>
      </c>
    </row>
    <row r="326" spans="1:13" hidden="1" x14ac:dyDescent="0.25">
      <c r="A326" t="s">
        <v>979</v>
      </c>
      <c r="B326">
        <v>2025003773</v>
      </c>
      <c r="C326" t="s">
        <v>120</v>
      </c>
      <c r="D326" t="s">
        <v>932</v>
      </c>
      <c r="E326">
        <v>59122805</v>
      </c>
      <c r="F326" t="s">
        <v>121</v>
      </c>
      <c r="G326">
        <v>873</v>
      </c>
      <c r="J326">
        <v>873</v>
      </c>
      <c r="K326" t="s">
        <v>932</v>
      </c>
      <c r="M326">
        <f>VLOOKUP(B326,'CARGADOS 2025 DICIEMBRE CIERRE'!B6:B561,1,0)</f>
        <v>2025003773</v>
      </c>
    </row>
    <row r="327" spans="1:13" hidden="1" x14ac:dyDescent="0.25">
      <c r="A327" t="s">
        <v>979</v>
      </c>
      <c r="B327">
        <v>2025003776</v>
      </c>
      <c r="C327" t="s">
        <v>345</v>
      </c>
      <c r="D327" t="s">
        <v>932</v>
      </c>
      <c r="E327">
        <v>1004709928</v>
      </c>
      <c r="F327" t="s">
        <v>346</v>
      </c>
      <c r="G327">
        <v>873</v>
      </c>
      <c r="J327">
        <v>873</v>
      </c>
      <c r="K327" t="s">
        <v>932</v>
      </c>
      <c r="M327">
        <f>VLOOKUP(B327,'CARGADOS 2025 DICIEMBRE CIERRE'!B7:B562,1,0)</f>
        <v>2025003776</v>
      </c>
    </row>
    <row r="328" spans="1:13" hidden="1" x14ac:dyDescent="0.25">
      <c r="A328" t="s">
        <v>979</v>
      </c>
      <c r="B328">
        <v>2025003780</v>
      </c>
      <c r="C328" t="s">
        <v>148</v>
      </c>
      <c r="D328" t="s">
        <v>934</v>
      </c>
      <c r="E328">
        <v>1085286476</v>
      </c>
      <c r="F328" t="s">
        <v>11</v>
      </c>
      <c r="G328">
        <v>873</v>
      </c>
      <c r="J328">
        <v>873</v>
      </c>
      <c r="K328" t="s">
        <v>934</v>
      </c>
      <c r="M328">
        <f>VLOOKUP(B328,'CARGADOS 2025 DICIEMBRE CIERRE'!B8:B563,1,0)</f>
        <v>2025003780</v>
      </c>
    </row>
    <row r="329" spans="1:13" hidden="1" x14ac:dyDescent="0.25">
      <c r="A329" t="s">
        <v>979</v>
      </c>
      <c r="B329">
        <v>2025003781</v>
      </c>
      <c r="C329" t="s">
        <v>152</v>
      </c>
      <c r="D329" t="s">
        <v>932</v>
      </c>
      <c r="E329">
        <v>1080690337</v>
      </c>
      <c r="F329" t="s">
        <v>983</v>
      </c>
      <c r="G329">
        <v>873</v>
      </c>
      <c r="J329">
        <v>873</v>
      </c>
      <c r="K329" t="s">
        <v>932</v>
      </c>
      <c r="M329">
        <f>VLOOKUP(B329,'CARGADOS 2025 DICIEMBRE CIERRE'!B9:B564,1,0)</f>
        <v>2025003781</v>
      </c>
    </row>
    <row r="330" spans="1:13" hidden="1" x14ac:dyDescent="0.25">
      <c r="A330" t="s">
        <v>979</v>
      </c>
      <c r="B330">
        <v>2025003782</v>
      </c>
      <c r="C330" t="s">
        <v>217</v>
      </c>
      <c r="D330" t="s">
        <v>935</v>
      </c>
      <c r="E330">
        <v>1006946167</v>
      </c>
      <c r="F330" t="s">
        <v>25</v>
      </c>
      <c r="G330">
        <v>873</v>
      </c>
      <c r="J330">
        <v>873</v>
      </c>
      <c r="K330" t="s">
        <v>935</v>
      </c>
      <c r="M330">
        <f>VLOOKUP(B330,'CARGADOS 2025 DICIEMBRE CIERRE'!B10:B565,1,0)</f>
        <v>2025003782</v>
      </c>
    </row>
    <row r="331" spans="1:13" hidden="1" x14ac:dyDescent="0.25">
      <c r="A331" t="s">
        <v>979</v>
      </c>
      <c r="B331">
        <v>2025003786</v>
      </c>
      <c r="C331" t="s">
        <v>906</v>
      </c>
      <c r="D331" t="s">
        <v>934</v>
      </c>
      <c r="E331">
        <v>1193223736</v>
      </c>
      <c r="F331" t="s">
        <v>984</v>
      </c>
      <c r="G331">
        <v>873</v>
      </c>
      <c r="J331">
        <v>873</v>
      </c>
      <c r="K331" t="s">
        <v>934</v>
      </c>
      <c r="M331">
        <f>VLOOKUP(B331,'CARGADOS 2025 DICIEMBRE CIERRE'!B11:B566,1,0)</f>
        <v>2025003786</v>
      </c>
    </row>
    <row r="332" spans="1:13" hidden="1" x14ac:dyDescent="0.25">
      <c r="A332" t="s">
        <v>979</v>
      </c>
      <c r="B332">
        <v>2025003788</v>
      </c>
      <c r="C332" t="s">
        <v>321</v>
      </c>
      <c r="D332" t="s">
        <v>932</v>
      </c>
      <c r="E332">
        <v>1084224761</v>
      </c>
      <c r="F332" t="s">
        <v>322</v>
      </c>
      <c r="G332">
        <v>873</v>
      </c>
      <c r="J332">
        <v>873</v>
      </c>
      <c r="K332" t="s">
        <v>932</v>
      </c>
      <c r="M332">
        <f>VLOOKUP(B332,'CARGADOS 2025 DICIEMBRE CIERRE'!B12:B567,1,0)</f>
        <v>2025003788</v>
      </c>
    </row>
    <row r="333" spans="1:13" hidden="1" x14ac:dyDescent="0.25">
      <c r="A333" t="s">
        <v>979</v>
      </c>
      <c r="B333">
        <v>2025003789</v>
      </c>
      <c r="C333" t="s">
        <v>500</v>
      </c>
      <c r="D333" t="s">
        <v>933</v>
      </c>
      <c r="E333">
        <v>36933095</v>
      </c>
      <c r="F333" t="s">
        <v>502</v>
      </c>
      <c r="G333">
        <v>873</v>
      </c>
      <c r="J333">
        <v>873</v>
      </c>
      <c r="K333" t="s">
        <v>933</v>
      </c>
      <c r="M333">
        <f>VLOOKUP(B333,'CARGADOS 2025 DICIEMBRE CIERRE'!B13:B568,1,0)</f>
        <v>2025003789</v>
      </c>
    </row>
    <row r="334" spans="1:13" hidden="1" x14ac:dyDescent="0.25">
      <c r="A334" t="s">
        <v>979</v>
      </c>
      <c r="B334">
        <v>2025003792</v>
      </c>
      <c r="C334" t="s">
        <v>908</v>
      </c>
      <c r="D334" t="s">
        <v>931</v>
      </c>
      <c r="E334">
        <v>12754447</v>
      </c>
      <c r="F334" t="s">
        <v>910</v>
      </c>
      <c r="G334">
        <v>873</v>
      </c>
      <c r="J334">
        <v>873</v>
      </c>
      <c r="K334" t="s">
        <v>931</v>
      </c>
      <c r="M334">
        <f>VLOOKUP(B334,'CARGADOS 2025 DICIEMBRE CIERRE'!B14:B569,1,0)</f>
        <v>2025003792</v>
      </c>
    </row>
    <row r="335" spans="1:13" hidden="1" x14ac:dyDescent="0.25">
      <c r="A335" t="s">
        <v>979</v>
      </c>
      <c r="B335">
        <v>2025003793</v>
      </c>
      <c r="C335" t="s">
        <v>911</v>
      </c>
      <c r="D335" t="s">
        <v>933</v>
      </c>
      <c r="E335">
        <v>1085281545</v>
      </c>
      <c r="F335" t="s">
        <v>913</v>
      </c>
      <c r="G335">
        <v>873</v>
      </c>
      <c r="J335">
        <v>873</v>
      </c>
      <c r="K335" t="s">
        <v>933</v>
      </c>
      <c r="M335">
        <f>VLOOKUP(B335,'CARGADOS 2025 DICIEMBRE CIERRE'!B15:B570,1,0)</f>
        <v>2025003793</v>
      </c>
    </row>
    <row r="336" spans="1:13" hidden="1" x14ac:dyDescent="0.25">
      <c r="A336" t="s">
        <v>979</v>
      </c>
      <c r="B336">
        <v>2025003794</v>
      </c>
      <c r="C336" t="s">
        <v>151</v>
      </c>
      <c r="D336" t="s">
        <v>932</v>
      </c>
      <c r="E336">
        <v>1081272025</v>
      </c>
      <c r="F336" t="s">
        <v>46</v>
      </c>
      <c r="G336">
        <v>873</v>
      </c>
      <c r="J336">
        <v>873</v>
      </c>
      <c r="K336" t="s">
        <v>932</v>
      </c>
      <c r="M336">
        <f>VLOOKUP(B336,'CARGADOS 2025 DICIEMBRE CIERRE'!B16:B571,1,0)</f>
        <v>2025003794</v>
      </c>
    </row>
    <row r="337" spans="1:13" hidden="1" x14ac:dyDescent="0.25">
      <c r="A337" t="s">
        <v>979</v>
      </c>
      <c r="B337">
        <v>2025003796</v>
      </c>
      <c r="C337" t="s">
        <v>545</v>
      </c>
      <c r="D337" t="s">
        <v>932</v>
      </c>
      <c r="E337">
        <v>1086329800</v>
      </c>
      <c r="F337" t="s">
        <v>547</v>
      </c>
      <c r="G337">
        <v>873</v>
      </c>
      <c r="J337">
        <v>873</v>
      </c>
      <c r="K337" t="s">
        <v>932</v>
      </c>
      <c r="M337">
        <f>VLOOKUP(B337,'CARGADOS 2025 DICIEMBRE CIERRE'!B17:B572,1,0)</f>
        <v>2025003796</v>
      </c>
    </row>
    <row r="338" spans="1:13" hidden="1" x14ac:dyDescent="0.25">
      <c r="A338" t="s">
        <v>979</v>
      </c>
      <c r="B338">
        <v>2025003798</v>
      </c>
      <c r="C338" t="s">
        <v>752</v>
      </c>
      <c r="D338" t="s">
        <v>933</v>
      </c>
      <c r="E338">
        <v>27086745</v>
      </c>
      <c r="F338" t="s">
        <v>985</v>
      </c>
      <c r="G338">
        <v>873</v>
      </c>
      <c r="J338">
        <v>873</v>
      </c>
      <c r="K338" t="s">
        <v>933</v>
      </c>
      <c r="M338">
        <f>VLOOKUP(B338,'CARGADOS 2025 DICIEMBRE CIERRE'!B18:B573,1,0)</f>
        <v>2025003798</v>
      </c>
    </row>
    <row r="339" spans="1:13" hidden="1" x14ac:dyDescent="0.25">
      <c r="A339" t="s">
        <v>979</v>
      </c>
      <c r="B339">
        <v>2025003799</v>
      </c>
      <c r="C339" t="s">
        <v>540</v>
      </c>
      <c r="D339" t="s">
        <v>934</v>
      </c>
      <c r="E339">
        <v>1004213964</v>
      </c>
      <c r="F339" t="s">
        <v>959</v>
      </c>
      <c r="G339">
        <v>873</v>
      </c>
      <c r="J339">
        <v>873</v>
      </c>
      <c r="K339" t="s">
        <v>934</v>
      </c>
      <c r="M339">
        <f>VLOOKUP(B339,'CARGADOS 2025 DICIEMBRE CIERRE'!B19:B574,1,0)</f>
        <v>2025003799</v>
      </c>
    </row>
    <row r="340" spans="1:13" hidden="1" x14ac:dyDescent="0.25">
      <c r="A340" t="s">
        <v>979</v>
      </c>
      <c r="B340">
        <v>2025003800</v>
      </c>
      <c r="C340" t="s">
        <v>247</v>
      </c>
      <c r="D340" t="s">
        <v>932</v>
      </c>
      <c r="E340">
        <v>37087117</v>
      </c>
      <c r="F340" t="s">
        <v>248</v>
      </c>
      <c r="G340">
        <v>873</v>
      </c>
      <c r="J340">
        <v>873</v>
      </c>
      <c r="K340" t="s">
        <v>932</v>
      </c>
      <c r="M340">
        <f>VLOOKUP(B340,'CARGADOS 2025 DICIEMBRE CIERRE'!B20:B575,1,0)</f>
        <v>2025003800</v>
      </c>
    </row>
    <row r="341" spans="1:13" hidden="1" x14ac:dyDescent="0.25">
      <c r="A341" t="s">
        <v>979</v>
      </c>
      <c r="B341">
        <v>2025003801</v>
      </c>
      <c r="C341" t="s">
        <v>851</v>
      </c>
      <c r="D341" t="s">
        <v>932</v>
      </c>
      <c r="E341">
        <v>1233191133</v>
      </c>
      <c r="F341" t="s">
        <v>853</v>
      </c>
      <c r="G341">
        <v>873</v>
      </c>
      <c r="J341">
        <v>873</v>
      </c>
      <c r="K341" t="s">
        <v>932</v>
      </c>
      <c r="M341">
        <f>VLOOKUP(B341,'CARGADOS 2025 DICIEMBRE CIERRE'!B21:B576,1,0)</f>
        <v>2025003801</v>
      </c>
    </row>
    <row r="342" spans="1:13" hidden="1" x14ac:dyDescent="0.25">
      <c r="A342" t="s">
        <v>979</v>
      </c>
      <c r="B342">
        <v>2025003802</v>
      </c>
      <c r="C342" t="s">
        <v>323</v>
      </c>
      <c r="D342" t="s">
        <v>932</v>
      </c>
      <c r="E342">
        <v>1089291166</v>
      </c>
      <c r="F342" t="s">
        <v>324</v>
      </c>
      <c r="G342">
        <v>873</v>
      </c>
      <c r="J342">
        <v>873</v>
      </c>
      <c r="K342" t="s">
        <v>932</v>
      </c>
      <c r="M342">
        <f>VLOOKUP(B342,'CARGADOS 2025 DICIEMBRE CIERRE'!B22:B577,1,0)</f>
        <v>2025003802</v>
      </c>
    </row>
    <row r="343" spans="1:13" hidden="1" x14ac:dyDescent="0.25">
      <c r="A343" t="s">
        <v>979</v>
      </c>
      <c r="B343">
        <v>2025003803</v>
      </c>
      <c r="C343" t="s">
        <v>309</v>
      </c>
      <c r="D343" t="s">
        <v>932</v>
      </c>
      <c r="E343">
        <v>1233193191</v>
      </c>
      <c r="F343" t="s">
        <v>310</v>
      </c>
      <c r="G343">
        <v>873</v>
      </c>
      <c r="J343">
        <v>873</v>
      </c>
      <c r="K343" t="s">
        <v>932</v>
      </c>
      <c r="M343">
        <f>VLOOKUP(B343,'CARGADOS 2025 DICIEMBRE CIERRE'!B23:B578,1,0)</f>
        <v>2025003803</v>
      </c>
    </row>
    <row r="344" spans="1:13" hidden="1" x14ac:dyDescent="0.25">
      <c r="A344" t="s">
        <v>979</v>
      </c>
      <c r="B344">
        <v>2025003804</v>
      </c>
      <c r="C344" t="s">
        <v>739</v>
      </c>
      <c r="D344" t="s">
        <v>932</v>
      </c>
      <c r="E344">
        <v>1085317094</v>
      </c>
      <c r="F344" t="s">
        <v>741</v>
      </c>
      <c r="G344">
        <v>873</v>
      </c>
      <c r="J344">
        <v>873</v>
      </c>
      <c r="K344" t="s">
        <v>932</v>
      </c>
      <c r="M344">
        <f>VLOOKUP(B344,'CARGADOS 2025 DICIEMBRE CIERRE'!B24:B579,1,0)</f>
        <v>2025003804</v>
      </c>
    </row>
    <row r="345" spans="1:13" hidden="1" x14ac:dyDescent="0.25">
      <c r="A345" t="s">
        <v>979</v>
      </c>
      <c r="B345">
        <v>2025003805</v>
      </c>
      <c r="C345" t="s">
        <v>625</v>
      </c>
      <c r="D345" t="s">
        <v>933</v>
      </c>
      <c r="E345">
        <v>1081052090</v>
      </c>
      <c r="F345" t="s">
        <v>627</v>
      </c>
      <c r="G345">
        <v>873</v>
      </c>
      <c r="J345">
        <v>873</v>
      </c>
      <c r="K345" t="s">
        <v>933</v>
      </c>
      <c r="M345">
        <f>VLOOKUP(B345,'CARGADOS 2025 DICIEMBRE CIERRE'!B25:B580,1,0)</f>
        <v>2025003805</v>
      </c>
    </row>
    <row r="346" spans="1:13" hidden="1" x14ac:dyDescent="0.25">
      <c r="A346" t="s">
        <v>979</v>
      </c>
      <c r="B346">
        <v>2025003806</v>
      </c>
      <c r="C346" t="s">
        <v>255</v>
      </c>
      <c r="D346" t="s">
        <v>934</v>
      </c>
      <c r="E346">
        <v>1082748420</v>
      </c>
      <c r="F346" t="s">
        <v>968</v>
      </c>
      <c r="G346">
        <v>873</v>
      </c>
      <c r="J346">
        <v>873</v>
      </c>
      <c r="K346" t="s">
        <v>934</v>
      </c>
      <c r="M346">
        <f>VLOOKUP(B346,'CARGADOS 2025 DICIEMBRE CIERRE'!B26:B581,1,0)</f>
        <v>2025003806</v>
      </c>
    </row>
    <row r="347" spans="1:13" hidden="1" x14ac:dyDescent="0.25">
      <c r="A347" t="s">
        <v>979</v>
      </c>
      <c r="B347">
        <v>2025003807</v>
      </c>
      <c r="C347" t="s">
        <v>125</v>
      </c>
      <c r="D347" t="s">
        <v>932</v>
      </c>
      <c r="E347">
        <v>1193224810</v>
      </c>
      <c r="F347" t="s">
        <v>965</v>
      </c>
      <c r="G347">
        <v>873</v>
      </c>
      <c r="J347">
        <v>873</v>
      </c>
      <c r="K347" t="s">
        <v>932</v>
      </c>
      <c r="M347">
        <f>VLOOKUP(B347,'CARGADOS 2025 DICIEMBRE CIERRE'!B27:B582,1,0)</f>
        <v>2025003807</v>
      </c>
    </row>
    <row r="348" spans="1:13" hidden="1" x14ac:dyDescent="0.25">
      <c r="A348" t="s">
        <v>979</v>
      </c>
      <c r="B348">
        <v>2025003808</v>
      </c>
      <c r="C348" t="s">
        <v>510</v>
      </c>
      <c r="D348" t="s">
        <v>932</v>
      </c>
      <c r="E348">
        <v>1081592742</v>
      </c>
      <c r="F348" t="s">
        <v>986</v>
      </c>
      <c r="G348">
        <v>873</v>
      </c>
      <c r="J348">
        <v>873</v>
      </c>
      <c r="K348" t="s">
        <v>932</v>
      </c>
      <c r="M348">
        <f>VLOOKUP(B348,'CARGADOS 2025 DICIEMBRE CIERRE'!B28:B583,1,0)</f>
        <v>2025003808</v>
      </c>
    </row>
    <row r="349" spans="1:13" hidden="1" x14ac:dyDescent="0.25">
      <c r="A349" t="s">
        <v>979</v>
      </c>
      <c r="B349">
        <v>2025003809</v>
      </c>
      <c r="C349" t="s">
        <v>111</v>
      </c>
      <c r="D349" t="s">
        <v>932</v>
      </c>
      <c r="E349">
        <v>1085269090</v>
      </c>
      <c r="F349" t="s">
        <v>44</v>
      </c>
      <c r="G349">
        <v>873</v>
      </c>
      <c r="J349">
        <v>873</v>
      </c>
      <c r="K349" t="s">
        <v>932</v>
      </c>
      <c r="M349">
        <f>VLOOKUP(B349,'CARGADOS 2025 DICIEMBRE CIERRE'!B29:B584,1,0)</f>
        <v>2025003809</v>
      </c>
    </row>
    <row r="350" spans="1:13" hidden="1" x14ac:dyDescent="0.25">
      <c r="A350" t="s">
        <v>979</v>
      </c>
      <c r="B350">
        <v>2025003811</v>
      </c>
      <c r="C350" t="s">
        <v>185</v>
      </c>
      <c r="D350" t="s">
        <v>932</v>
      </c>
      <c r="E350">
        <v>1086330124</v>
      </c>
      <c r="F350" t="s">
        <v>186</v>
      </c>
      <c r="G350">
        <v>873</v>
      </c>
      <c r="J350">
        <v>873</v>
      </c>
      <c r="K350" t="s">
        <v>932</v>
      </c>
      <c r="M350">
        <f>VLOOKUP(B350,'CARGADOS 2025 DICIEMBRE CIERRE'!B30:B585,1,0)</f>
        <v>2025003811</v>
      </c>
    </row>
    <row r="351" spans="1:13" hidden="1" x14ac:dyDescent="0.25">
      <c r="A351" t="s">
        <v>979</v>
      </c>
      <c r="B351">
        <v>2025003812</v>
      </c>
      <c r="C351" t="s">
        <v>200</v>
      </c>
      <c r="D351" t="s">
        <v>932</v>
      </c>
      <c r="E351">
        <v>1089458776</v>
      </c>
      <c r="F351" t="s">
        <v>201</v>
      </c>
      <c r="G351">
        <v>873</v>
      </c>
      <c r="J351">
        <v>873</v>
      </c>
      <c r="K351" t="s">
        <v>932</v>
      </c>
      <c r="M351">
        <f>VLOOKUP(B351,'CARGADOS 2025 DICIEMBRE CIERRE'!B31:B586,1,0)</f>
        <v>2025003812</v>
      </c>
    </row>
    <row r="352" spans="1:13" hidden="1" x14ac:dyDescent="0.25">
      <c r="A352" t="s">
        <v>979</v>
      </c>
      <c r="B352">
        <v>2025003814</v>
      </c>
      <c r="C352" t="s">
        <v>192</v>
      </c>
      <c r="D352" t="s">
        <v>932</v>
      </c>
      <c r="E352">
        <v>1085286725</v>
      </c>
      <c r="F352" t="s">
        <v>59</v>
      </c>
      <c r="G352">
        <v>873</v>
      </c>
      <c r="J352">
        <v>873</v>
      </c>
      <c r="K352" t="s">
        <v>932</v>
      </c>
      <c r="M352">
        <f>VLOOKUP(B352,'CARGADOS 2025 DICIEMBRE CIERRE'!B32:B587,1,0)</f>
        <v>2025003814</v>
      </c>
    </row>
    <row r="353" spans="1:13" hidden="1" x14ac:dyDescent="0.25">
      <c r="A353" t="s">
        <v>979</v>
      </c>
      <c r="B353">
        <v>2025003815</v>
      </c>
      <c r="C353" t="s">
        <v>203</v>
      </c>
      <c r="D353" t="s">
        <v>934</v>
      </c>
      <c r="E353">
        <v>1084551863</v>
      </c>
      <c r="F353" t="s">
        <v>204</v>
      </c>
      <c r="G353">
        <v>873</v>
      </c>
      <c r="J353">
        <v>873</v>
      </c>
      <c r="K353" t="s">
        <v>934</v>
      </c>
      <c r="M353">
        <f>VLOOKUP(B353,'CARGADOS 2025 DICIEMBRE CIERRE'!B33:B588,1,0)</f>
        <v>2025003815</v>
      </c>
    </row>
    <row r="354" spans="1:13" hidden="1" x14ac:dyDescent="0.25">
      <c r="A354" t="s">
        <v>979</v>
      </c>
      <c r="B354">
        <v>2025003816</v>
      </c>
      <c r="C354" t="s">
        <v>117</v>
      </c>
      <c r="D354" t="s">
        <v>934</v>
      </c>
      <c r="E354">
        <v>1085347312</v>
      </c>
      <c r="F354" t="s">
        <v>118</v>
      </c>
      <c r="G354">
        <v>873</v>
      </c>
      <c r="J354">
        <v>873</v>
      </c>
      <c r="K354" t="s">
        <v>934</v>
      </c>
      <c r="M354">
        <f>VLOOKUP(B354,'CARGADOS 2025 DICIEMBRE CIERRE'!B34:B589,1,0)</f>
        <v>2025003816</v>
      </c>
    </row>
    <row r="355" spans="1:13" hidden="1" x14ac:dyDescent="0.25">
      <c r="A355" t="s">
        <v>979</v>
      </c>
      <c r="B355">
        <v>2025003818</v>
      </c>
      <c r="C355" t="s">
        <v>282</v>
      </c>
      <c r="D355" t="s">
        <v>931</v>
      </c>
      <c r="E355">
        <v>1086360022</v>
      </c>
      <c r="F355" t="s">
        <v>283</v>
      </c>
      <c r="G355">
        <v>873</v>
      </c>
      <c r="J355">
        <v>873</v>
      </c>
      <c r="K355" t="s">
        <v>931</v>
      </c>
      <c r="M355">
        <f>VLOOKUP(B355,'CARGADOS 2025 DICIEMBRE CIERRE'!B35:B590,1,0)</f>
        <v>2025003818</v>
      </c>
    </row>
    <row r="356" spans="1:13" hidden="1" x14ac:dyDescent="0.25">
      <c r="A356" t="s">
        <v>979</v>
      </c>
      <c r="B356">
        <v>2025003819</v>
      </c>
      <c r="C356">
        <v>9362025</v>
      </c>
      <c r="D356" t="s">
        <v>932</v>
      </c>
      <c r="E356">
        <v>1082748032</v>
      </c>
      <c r="F356" t="s">
        <v>637</v>
      </c>
      <c r="G356">
        <v>873</v>
      </c>
      <c r="J356">
        <v>873</v>
      </c>
      <c r="K356" t="s">
        <v>932</v>
      </c>
      <c r="M356">
        <f>VLOOKUP(B356,'CARGADOS 2025 DICIEMBRE CIERRE'!B36:B591,1,0)</f>
        <v>2025003819</v>
      </c>
    </row>
    <row r="357" spans="1:13" hidden="1" x14ac:dyDescent="0.25">
      <c r="A357" t="s">
        <v>979</v>
      </c>
      <c r="B357">
        <v>2025003820</v>
      </c>
      <c r="C357" t="s">
        <v>245</v>
      </c>
      <c r="D357" t="s">
        <v>931</v>
      </c>
      <c r="E357">
        <v>1082749648</v>
      </c>
      <c r="F357" t="s">
        <v>246</v>
      </c>
      <c r="G357">
        <v>873</v>
      </c>
      <c r="J357">
        <v>873</v>
      </c>
      <c r="K357" t="s">
        <v>931</v>
      </c>
      <c r="M357">
        <f>VLOOKUP(B357,'CARGADOS 2025 DICIEMBRE CIERRE'!B37:B592,1,0)</f>
        <v>2025003820</v>
      </c>
    </row>
    <row r="358" spans="1:13" hidden="1" x14ac:dyDescent="0.25">
      <c r="A358" t="s">
        <v>979</v>
      </c>
      <c r="B358">
        <v>2025003822</v>
      </c>
      <c r="C358" t="s">
        <v>206</v>
      </c>
      <c r="D358" t="s">
        <v>931</v>
      </c>
      <c r="E358">
        <v>1085260497</v>
      </c>
      <c r="F358" t="s">
        <v>207</v>
      </c>
      <c r="G358">
        <v>873</v>
      </c>
      <c r="J358">
        <v>873</v>
      </c>
      <c r="K358" t="s">
        <v>931</v>
      </c>
      <c r="M358">
        <f>VLOOKUP(B358,'CARGADOS 2025 DICIEMBRE CIERRE'!B38:B593,1,0)</f>
        <v>2025003822</v>
      </c>
    </row>
    <row r="359" spans="1:13" hidden="1" x14ac:dyDescent="0.25">
      <c r="A359" t="s">
        <v>979</v>
      </c>
      <c r="B359">
        <v>2025003823</v>
      </c>
      <c r="C359" t="s">
        <v>311</v>
      </c>
      <c r="D359" t="s">
        <v>932</v>
      </c>
      <c r="E359">
        <v>1085247449</v>
      </c>
      <c r="F359" t="s">
        <v>312</v>
      </c>
      <c r="G359">
        <v>873</v>
      </c>
      <c r="J359">
        <v>873</v>
      </c>
      <c r="K359" t="s">
        <v>932</v>
      </c>
      <c r="M359">
        <f>VLOOKUP(B359,'CARGADOS 2025 DICIEMBRE CIERRE'!B39:B594,1,0)</f>
        <v>2025003823</v>
      </c>
    </row>
    <row r="360" spans="1:13" hidden="1" x14ac:dyDescent="0.25">
      <c r="A360" t="s">
        <v>979</v>
      </c>
      <c r="B360">
        <v>2025003825</v>
      </c>
      <c r="C360" t="s">
        <v>195</v>
      </c>
      <c r="D360" t="s">
        <v>934</v>
      </c>
      <c r="E360">
        <v>1084228089</v>
      </c>
      <c r="F360" t="s">
        <v>196</v>
      </c>
      <c r="G360">
        <v>873</v>
      </c>
      <c r="J360">
        <v>873</v>
      </c>
      <c r="K360" t="s">
        <v>934</v>
      </c>
      <c r="M360">
        <f>VLOOKUP(B360,'CARGADOS 2025 DICIEMBRE CIERRE'!B40:B595,1,0)</f>
        <v>2025003825</v>
      </c>
    </row>
    <row r="361" spans="1:13" hidden="1" x14ac:dyDescent="0.25">
      <c r="A361" t="s">
        <v>979</v>
      </c>
      <c r="B361">
        <v>2025003828</v>
      </c>
      <c r="C361" t="s">
        <v>495</v>
      </c>
      <c r="D361" t="s">
        <v>934</v>
      </c>
      <c r="E361">
        <v>1085248939</v>
      </c>
      <c r="F361" t="s">
        <v>94</v>
      </c>
      <c r="G361">
        <v>873</v>
      </c>
      <c r="J361">
        <v>873</v>
      </c>
      <c r="K361" t="s">
        <v>934</v>
      </c>
      <c r="M361">
        <f>VLOOKUP(B361,'CARGADOS 2025 DICIEMBRE CIERRE'!B41:B596,1,0)</f>
        <v>2025003828</v>
      </c>
    </row>
    <row r="362" spans="1:13" hidden="1" x14ac:dyDescent="0.25">
      <c r="A362" t="s">
        <v>979</v>
      </c>
      <c r="B362">
        <v>2025003829</v>
      </c>
      <c r="C362" t="s">
        <v>305</v>
      </c>
      <c r="D362" t="s">
        <v>932</v>
      </c>
      <c r="E362">
        <v>1004236159</v>
      </c>
      <c r="F362" t="s">
        <v>306</v>
      </c>
      <c r="G362">
        <v>873</v>
      </c>
      <c r="J362">
        <v>873</v>
      </c>
      <c r="K362" t="s">
        <v>932</v>
      </c>
      <c r="M362">
        <f>VLOOKUP(B362,'CARGADOS 2025 DICIEMBRE CIERRE'!B42:B597,1,0)</f>
        <v>2025003829</v>
      </c>
    </row>
    <row r="363" spans="1:13" hidden="1" x14ac:dyDescent="0.25">
      <c r="A363" t="s">
        <v>979</v>
      </c>
      <c r="B363">
        <v>2025003831</v>
      </c>
      <c r="C363" t="s">
        <v>339</v>
      </c>
      <c r="D363" t="s">
        <v>932</v>
      </c>
      <c r="E363">
        <v>37083086</v>
      </c>
      <c r="F363" t="s">
        <v>340</v>
      </c>
      <c r="G363">
        <v>873</v>
      </c>
      <c r="J363">
        <v>873</v>
      </c>
      <c r="K363" t="s">
        <v>932</v>
      </c>
      <c r="M363">
        <f>VLOOKUP(B363,'CARGADOS 2025 DICIEMBRE CIERRE'!B43:B598,1,0)</f>
        <v>2025003831</v>
      </c>
    </row>
    <row r="364" spans="1:13" hidden="1" x14ac:dyDescent="0.25">
      <c r="A364" t="s">
        <v>979</v>
      </c>
      <c r="B364">
        <v>2025003833</v>
      </c>
      <c r="C364" t="s">
        <v>228</v>
      </c>
      <c r="D364" t="s">
        <v>932</v>
      </c>
      <c r="E364">
        <v>1087644986</v>
      </c>
      <c r="F364" t="s">
        <v>229</v>
      </c>
      <c r="G364">
        <v>873</v>
      </c>
      <c r="J364">
        <v>873</v>
      </c>
      <c r="K364" t="s">
        <v>932</v>
      </c>
      <c r="M364">
        <f>VLOOKUP(B364,'CARGADOS 2025 DICIEMBRE CIERRE'!B44:B599,1,0)</f>
        <v>2025003833</v>
      </c>
    </row>
    <row r="365" spans="1:13" hidden="1" x14ac:dyDescent="0.25">
      <c r="A365" t="s">
        <v>979</v>
      </c>
      <c r="B365">
        <v>2025003834</v>
      </c>
      <c r="C365" t="s">
        <v>187</v>
      </c>
      <c r="D365" t="s">
        <v>935</v>
      </c>
      <c r="E365">
        <v>1084552063</v>
      </c>
      <c r="F365" t="s">
        <v>188</v>
      </c>
      <c r="G365">
        <v>873</v>
      </c>
      <c r="J365">
        <v>873</v>
      </c>
      <c r="K365" t="s">
        <v>935</v>
      </c>
      <c r="M365">
        <f>VLOOKUP(B365,'CARGADOS 2025 DICIEMBRE CIERRE'!B45:B600,1,0)</f>
        <v>2025003834</v>
      </c>
    </row>
    <row r="366" spans="1:13" hidden="1" x14ac:dyDescent="0.25">
      <c r="A366" t="s">
        <v>979</v>
      </c>
      <c r="B366">
        <v>2025003836</v>
      </c>
      <c r="C366" t="s">
        <v>223</v>
      </c>
      <c r="D366" t="s">
        <v>935</v>
      </c>
      <c r="E366">
        <v>1085329980</v>
      </c>
      <c r="F366" t="s">
        <v>987</v>
      </c>
      <c r="G366">
        <v>873</v>
      </c>
      <c r="J366">
        <v>873</v>
      </c>
      <c r="K366" t="s">
        <v>935</v>
      </c>
      <c r="M366">
        <f>VLOOKUP(B366,'CARGADOS 2025 DICIEMBRE CIERRE'!B46:B601,1,0)</f>
        <v>2025003836</v>
      </c>
    </row>
    <row r="367" spans="1:13" hidden="1" x14ac:dyDescent="0.25">
      <c r="A367" t="s">
        <v>979</v>
      </c>
      <c r="B367">
        <v>2025003837</v>
      </c>
      <c r="C367" t="s">
        <v>236</v>
      </c>
      <c r="D367" t="s">
        <v>932</v>
      </c>
      <c r="E367">
        <v>1085335033</v>
      </c>
      <c r="F367" t="s">
        <v>237</v>
      </c>
      <c r="G367">
        <v>873</v>
      </c>
      <c r="J367">
        <v>873</v>
      </c>
      <c r="K367" t="s">
        <v>932</v>
      </c>
      <c r="M367">
        <f>VLOOKUP(B367,'CARGADOS 2025 DICIEMBRE CIERRE'!B47:B602,1,0)</f>
        <v>2025003837</v>
      </c>
    </row>
    <row r="368" spans="1:13" hidden="1" x14ac:dyDescent="0.25">
      <c r="A368" t="s">
        <v>979</v>
      </c>
      <c r="B368">
        <v>2025003838</v>
      </c>
      <c r="C368" t="s">
        <v>253</v>
      </c>
      <c r="D368" t="s">
        <v>932</v>
      </c>
      <c r="E368">
        <v>59310056</v>
      </c>
      <c r="F368" t="s">
        <v>254</v>
      </c>
      <c r="G368">
        <v>873</v>
      </c>
      <c r="J368">
        <v>873</v>
      </c>
      <c r="K368" t="s">
        <v>932</v>
      </c>
      <c r="M368">
        <f>VLOOKUP(B368,'CARGADOS 2025 DICIEMBRE CIERRE'!B48:B603,1,0)</f>
        <v>2025003838</v>
      </c>
    </row>
    <row r="369" spans="1:13" hidden="1" x14ac:dyDescent="0.25">
      <c r="A369" t="s">
        <v>979</v>
      </c>
      <c r="B369">
        <v>2025003840</v>
      </c>
      <c r="C369" t="s">
        <v>548</v>
      </c>
      <c r="D369" t="s">
        <v>934</v>
      </c>
      <c r="E369">
        <v>1085278004</v>
      </c>
      <c r="F369" t="s">
        <v>550</v>
      </c>
      <c r="G369">
        <v>873</v>
      </c>
      <c r="J369">
        <v>873</v>
      </c>
      <c r="K369" t="s">
        <v>934</v>
      </c>
      <c r="M369">
        <f>VLOOKUP(B369,'CARGADOS 2025 DICIEMBRE CIERRE'!B49:B604,1,0)</f>
        <v>2025003840</v>
      </c>
    </row>
    <row r="370" spans="1:13" hidden="1" x14ac:dyDescent="0.25">
      <c r="A370" t="s">
        <v>979</v>
      </c>
      <c r="B370">
        <v>2025003841</v>
      </c>
      <c r="C370" t="s">
        <v>120</v>
      </c>
      <c r="D370" t="s">
        <v>932</v>
      </c>
      <c r="E370">
        <v>59122805</v>
      </c>
      <c r="F370" t="s">
        <v>121</v>
      </c>
      <c r="G370">
        <v>873</v>
      </c>
      <c r="J370">
        <v>873</v>
      </c>
      <c r="K370" t="s">
        <v>932</v>
      </c>
      <c r="M370">
        <f>VLOOKUP(B370,'CARGADOS 2025 DICIEMBRE CIERRE'!B50:B605,1,0)</f>
        <v>2025003841</v>
      </c>
    </row>
    <row r="371" spans="1:13" hidden="1" x14ac:dyDescent="0.25">
      <c r="A371" t="s">
        <v>979</v>
      </c>
      <c r="B371">
        <v>2025003842</v>
      </c>
      <c r="C371" t="s">
        <v>856</v>
      </c>
      <c r="D371" t="s">
        <v>932</v>
      </c>
      <c r="E371">
        <v>1085281002</v>
      </c>
      <c r="F371" t="s">
        <v>858</v>
      </c>
      <c r="G371">
        <v>873</v>
      </c>
      <c r="J371">
        <v>873</v>
      </c>
      <c r="K371" t="s">
        <v>932</v>
      </c>
      <c r="M371">
        <f>VLOOKUP(B371,'CARGADOS 2025 DICIEMBRE CIERRE'!B51:B606,1,0)</f>
        <v>2025003842</v>
      </c>
    </row>
    <row r="372" spans="1:13" hidden="1" x14ac:dyDescent="0.25">
      <c r="A372" t="s">
        <v>979</v>
      </c>
      <c r="B372">
        <v>2025003843</v>
      </c>
      <c r="C372" t="s">
        <v>863</v>
      </c>
      <c r="D372" t="s">
        <v>933</v>
      </c>
      <c r="E372">
        <v>59815593</v>
      </c>
      <c r="F372" t="s">
        <v>962</v>
      </c>
      <c r="G372">
        <v>873</v>
      </c>
      <c r="J372">
        <v>873</v>
      </c>
      <c r="K372" t="s">
        <v>933</v>
      </c>
      <c r="M372">
        <f>VLOOKUP(B372,'CARGADOS 2025 DICIEMBRE CIERRE'!B52:B607,1,0)</f>
        <v>2025003843</v>
      </c>
    </row>
    <row r="373" spans="1:13" hidden="1" x14ac:dyDescent="0.25">
      <c r="A373" t="s">
        <v>979</v>
      </c>
      <c r="B373">
        <v>2025003844</v>
      </c>
      <c r="C373" t="s">
        <v>457</v>
      </c>
      <c r="D373" t="s">
        <v>933</v>
      </c>
      <c r="E373">
        <v>1085334752</v>
      </c>
      <c r="F373" t="s">
        <v>459</v>
      </c>
      <c r="G373">
        <v>873</v>
      </c>
      <c r="J373">
        <v>873</v>
      </c>
      <c r="K373" t="s">
        <v>933</v>
      </c>
      <c r="M373">
        <f>VLOOKUP(B373,'CARGADOS 2025 DICIEMBRE CIERRE'!B53:B608,1,0)</f>
        <v>2025003844</v>
      </c>
    </row>
    <row r="374" spans="1:13" hidden="1" x14ac:dyDescent="0.25">
      <c r="A374" t="s">
        <v>979</v>
      </c>
      <c r="B374">
        <v>2025003845</v>
      </c>
      <c r="C374" t="s">
        <v>481</v>
      </c>
      <c r="D374" t="s">
        <v>932</v>
      </c>
      <c r="E374">
        <v>36950892</v>
      </c>
      <c r="F374" t="s">
        <v>483</v>
      </c>
      <c r="G374">
        <v>873</v>
      </c>
      <c r="J374">
        <v>873</v>
      </c>
      <c r="K374" t="s">
        <v>932</v>
      </c>
      <c r="M374">
        <f>VLOOKUP(B374,'CARGADOS 2025 DICIEMBRE CIERRE'!B54:B609,1,0)</f>
        <v>2025003845</v>
      </c>
    </row>
    <row r="375" spans="1:13" hidden="1" x14ac:dyDescent="0.25">
      <c r="A375" t="s">
        <v>979</v>
      </c>
      <c r="B375">
        <v>2025003846</v>
      </c>
      <c r="C375" t="s">
        <v>554</v>
      </c>
      <c r="D375" t="s">
        <v>935</v>
      </c>
      <c r="E375">
        <v>98398376</v>
      </c>
      <c r="F375" t="s">
        <v>556</v>
      </c>
      <c r="G375">
        <v>873</v>
      </c>
      <c r="J375">
        <v>873</v>
      </c>
      <c r="K375" t="s">
        <v>935</v>
      </c>
      <c r="M375">
        <f>VLOOKUP(B375,'CARGADOS 2025 DICIEMBRE CIERRE'!B55:B610,1,0)</f>
        <v>2025003846</v>
      </c>
    </row>
    <row r="376" spans="1:13" hidden="1" x14ac:dyDescent="0.25">
      <c r="A376" t="s">
        <v>979</v>
      </c>
      <c r="B376">
        <v>2025003847</v>
      </c>
      <c r="C376" t="s">
        <v>906</v>
      </c>
      <c r="D376" t="s">
        <v>934</v>
      </c>
      <c r="E376">
        <v>1193223736</v>
      </c>
      <c r="F376" t="s">
        <v>984</v>
      </c>
      <c r="G376">
        <v>873</v>
      </c>
      <c r="J376">
        <v>873</v>
      </c>
      <c r="K376" t="s">
        <v>934</v>
      </c>
      <c r="M376">
        <f>VLOOKUP(B376,'CARGADOS 2025 DICIEMBRE CIERRE'!B56:B611,1,0)</f>
        <v>2025003847</v>
      </c>
    </row>
    <row r="377" spans="1:13" hidden="1" x14ac:dyDescent="0.25">
      <c r="A377" t="s">
        <v>979</v>
      </c>
      <c r="B377">
        <v>2025003848</v>
      </c>
      <c r="C377" t="s">
        <v>253</v>
      </c>
      <c r="D377" t="s">
        <v>932</v>
      </c>
      <c r="E377">
        <v>59310056</v>
      </c>
      <c r="F377" t="s">
        <v>254</v>
      </c>
      <c r="G377">
        <v>873</v>
      </c>
      <c r="J377">
        <v>873</v>
      </c>
      <c r="K377" t="s">
        <v>932</v>
      </c>
      <c r="M377">
        <f>VLOOKUP(B377,'CARGADOS 2025 DICIEMBRE CIERRE'!B57:B612,1,0)</f>
        <v>2025003848</v>
      </c>
    </row>
    <row r="378" spans="1:13" hidden="1" x14ac:dyDescent="0.25">
      <c r="A378" t="s">
        <v>979</v>
      </c>
      <c r="B378">
        <v>2025003849</v>
      </c>
      <c r="C378" t="s">
        <v>206</v>
      </c>
      <c r="D378" t="s">
        <v>931</v>
      </c>
      <c r="E378">
        <v>1085260497</v>
      </c>
      <c r="F378" t="s">
        <v>207</v>
      </c>
      <c r="G378">
        <v>873</v>
      </c>
      <c r="J378">
        <v>873</v>
      </c>
      <c r="K378" t="s">
        <v>931</v>
      </c>
      <c r="M378">
        <f>VLOOKUP(B378,'CARGADOS 2025 DICIEMBRE CIERRE'!B58:B613,1,0)</f>
        <v>2025003849</v>
      </c>
    </row>
    <row r="379" spans="1:13" hidden="1" x14ac:dyDescent="0.25">
      <c r="A379" t="s">
        <v>979</v>
      </c>
      <c r="B379">
        <v>2025003850</v>
      </c>
      <c r="C379" t="s">
        <v>305</v>
      </c>
      <c r="D379" t="s">
        <v>932</v>
      </c>
      <c r="E379">
        <v>1004236159</v>
      </c>
      <c r="F379" t="s">
        <v>306</v>
      </c>
      <c r="G379">
        <v>873</v>
      </c>
      <c r="J379">
        <v>873</v>
      </c>
      <c r="K379" t="s">
        <v>932</v>
      </c>
      <c r="M379">
        <f>VLOOKUP(B379,'CARGADOS 2025 DICIEMBRE CIERRE'!B59:B614,1,0)</f>
        <v>2025003850</v>
      </c>
    </row>
    <row r="380" spans="1:13" hidden="1" x14ac:dyDescent="0.25">
      <c r="A380" t="s">
        <v>979</v>
      </c>
      <c r="B380">
        <v>2025003851</v>
      </c>
      <c r="C380" t="s">
        <v>510</v>
      </c>
      <c r="D380" t="s">
        <v>932</v>
      </c>
      <c r="E380">
        <v>1081592742</v>
      </c>
      <c r="F380" t="s">
        <v>986</v>
      </c>
      <c r="G380">
        <v>873</v>
      </c>
      <c r="J380">
        <v>873</v>
      </c>
      <c r="K380" t="s">
        <v>932</v>
      </c>
      <c r="M380">
        <f>VLOOKUP(B380,'CARGADOS 2025 DICIEMBRE CIERRE'!B60:B615,1,0)</f>
        <v>2025003851</v>
      </c>
    </row>
    <row r="381" spans="1:13" hidden="1" x14ac:dyDescent="0.25">
      <c r="A381" t="s">
        <v>979</v>
      </c>
      <c r="B381">
        <v>2025003852</v>
      </c>
      <c r="C381" t="s">
        <v>242</v>
      </c>
      <c r="D381" t="s">
        <v>931</v>
      </c>
      <c r="E381">
        <v>1084227101</v>
      </c>
      <c r="F381" t="s">
        <v>243</v>
      </c>
      <c r="G381">
        <v>873</v>
      </c>
      <c r="J381">
        <v>873</v>
      </c>
      <c r="K381" t="s">
        <v>931</v>
      </c>
      <c r="M381">
        <f>VLOOKUP(B381,'CARGADOS 2025 DICIEMBRE CIERRE'!B61:B616,1,0)</f>
        <v>2025003852</v>
      </c>
    </row>
    <row r="382" spans="1:13" hidden="1" x14ac:dyDescent="0.25">
      <c r="A382" t="s">
        <v>979</v>
      </c>
      <c r="B382">
        <v>2025003853</v>
      </c>
      <c r="C382" t="s">
        <v>854</v>
      </c>
      <c r="D382" t="s">
        <v>932</v>
      </c>
      <c r="E382">
        <v>1086222689</v>
      </c>
      <c r="F382" t="s">
        <v>16</v>
      </c>
      <c r="G382">
        <v>873</v>
      </c>
      <c r="J382">
        <v>873</v>
      </c>
      <c r="K382" t="s">
        <v>932</v>
      </c>
      <c r="M382">
        <f>VLOOKUP(B382,'CARGADOS 2025 DICIEMBRE CIERRE'!B62:B617,1,0)</f>
        <v>2025003853</v>
      </c>
    </row>
    <row r="383" spans="1:13" hidden="1" x14ac:dyDescent="0.25">
      <c r="A383" t="s">
        <v>979</v>
      </c>
      <c r="B383">
        <v>2025003854</v>
      </c>
      <c r="C383" t="s">
        <v>635</v>
      </c>
      <c r="D383" t="s">
        <v>932</v>
      </c>
      <c r="E383">
        <v>1082748032</v>
      </c>
      <c r="F383" t="s">
        <v>637</v>
      </c>
      <c r="G383">
        <v>873</v>
      </c>
      <c r="J383">
        <v>873</v>
      </c>
      <c r="K383" t="s">
        <v>932</v>
      </c>
      <c r="M383">
        <f>VLOOKUP(B383,'CARGADOS 2025 DICIEMBRE CIERRE'!B63:B618,1,0)</f>
        <v>2025003854</v>
      </c>
    </row>
    <row r="384" spans="1:13" hidden="1" x14ac:dyDescent="0.25">
      <c r="A384" t="s">
        <v>979</v>
      </c>
      <c r="B384">
        <v>2025003855</v>
      </c>
      <c r="C384" t="s">
        <v>251</v>
      </c>
      <c r="D384" t="s">
        <v>932</v>
      </c>
      <c r="E384">
        <v>1086224204</v>
      </c>
      <c r="F384" t="s">
        <v>252</v>
      </c>
      <c r="G384">
        <v>873</v>
      </c>
      <c r="J384">
        <v>873</v>
      </c>
      <c r="K384" t="s">
        <v>932</v>
      </c>
      <c r="M384">
        <f>VLOOKUP(B384,'CARGADOS 2025 DICIEMBRE CIERRE'!B64:B619,1,0)</f>
        <v>2025003855</v>
      </c>
    </row>
    <row r="385" spans="1:13" hidden="1" x14ac:dyDescent="0.25">
      <c r="A385" t="s">
        <v>979</v>
      </c>
      <c r="B385">
        <v>2025003856</v>
      </c>
      <c r="C385" t="s">
        <v>111</v>
      </c>
      <c r="D385" t="s">
        <v>932</v>
      </c>
      <c r="E385">
        <v>1085269090</v>
      </c>
      <c r="F385" t="s">
        <v>44</v>
      </c>
      <c r="G385">
        <v>873</v>
      </c>
      <c r="J385">
        <v>873</v>
      </c>
      <c r="K385" t="s">
        <v>932</v>
      </c>
      <c r="M385">
        <f>VLOOKUP(B385,'CARGADOS 2025 DICIEMBRE CIERRE'!B65:B620,1,0)</f>
        <v>2025003856</v>
      </c>
    </row>
    <row r="386" spans="1:13" hidden="1" x14ac:dyDescent="0.25">
      <c r="A386" t="s">
        <v>979</v>
      </c>
      <c r="B386">
        <v>2025003858</v>
      </c>
      <c r="C386" t="s">
        <v>275</v>
      </c>
      <c r="D386" t="s">
        <v>931</v>
      </c>
      <c r="E386">
        <v>36950073</v>
      </c>
      <c r="F386" t="s">
        <v>976</v>
      </c>
      <c r="G386">
        <v>873</v>
      </c>
      <c r="J386">
        <v>873</v>
      </c>
      <c r="K386" t="s">
        <v>931</v>
      </c>
      <c r="M386">
        <f>VLOOKUP(B386,'CARGADOS 2025 DICIEMBRE CIERRE'!B66:B621,1,0)</f>
        <v>2025003858</v>
      </c>
    </row>
    <row r="387" spans="1:13" hidden="1" x14ac:dyDescent="0.25">
      <c r="A387" t="s">
        <v>979</v>
      </c>
      <c r="B387">
        <v>2025003859</v>
      </c>
      <c r="C387" t="s">
        <v>399</v>
      </c>
      <c r="D387" t="s">
        <v>932</v>
      </c>
      <c r="E387">
        <v>1085304308</v>
      </c>
      <c r="F387" t="s">
        <v>77</v>
      </c>
      <c r="G387">
        <v>873</v>
      </c>
      <c r="J387">
        <v>873</v>
      </c>
      <c r="K387" t="s">
        <v>932</v>
      </c>
      <c r="M387">
        <f>VLOOKUP(B387,'CARGADOS 2025 DICIEMBRE CIERRE'!B67:B622,1,0)</f>
        <v>2025003859</v>
      </c>
    </row>
    <row r="388" spans="1:13" hidden="1" x14ac:dyDescent="0.25">
      <c r="A388" t="s">
        <v>979</v>
      </c>
      <c r="B388">
        <v>2025003860</v>
      </c>
      <c r="C388" t="s">
        <v>361</v>
      </c>
      <c r="D388" t="s">
        <v>931</v>
      </c>
      <c r="E388">
        <v>59312865</v>
      </c>
      <c r="F388" t="s">
        <v>363</v>
      </c>
      <c r="G388">
        <v>873</v>
      </c>
      <c r="J388">
        <v>873</v>
      </c>
      <c r="K388" t="s">
        <v>931</v>
      </c>
      <c r="M388">
        <f>VLOOKUP(B388,'CARGADOS 2025 DICIEMBRE CIERRE'!B68:B623,1,0)</f>
        <v>2025003860</v>
      </c>
    </row>
    <row r="389" spans="1:13" hidden="1" x14ac:dyDescent="0.25">
      <c r="A389" t="s">
        <v>979</v>
      </c>
      <c r="B389">
        <v>2025003861</v>
      </c>
      <c r="C389" t="s">
        <v>495</v>
      </c>
      <c r="D389" t="s">
        <v>934</v>
      </c>
      <c r="E389">
        <v>1085248939</v>
      </c>
      <c r="F389" t="s">
        <v>94</v>
      </c>
      <c r="G389">
        <v>873</v>
      </c>
      <c r="J389">
        <v>873</v>
      </c>
      <c r="K389" t="s">
        <v>934</v>
      </c>
      <c r="M389">
        <f>VLOOKUP(B389,'CARGADOS 2025 DICIEMBRE CIERRE'!B69:B624,1,0)</f>
        <v>2025003861</v>
      </c>
    </row>
    <row r="390" spans="1:13" hidden="1" x14ac:dyDescent="0.25">
      <c r="A390" t="s">
        <v>979</v>
      </c>
      <c r="B390">
        <v>2025003862</v>
      </c>
      <c r="C390" t="s">
        <v>244</v>
      </c>
      <c r="D390" t="s">
        <v>932</v>
      </c>
      <c r="E390">
        <v>1082747438</v>
      </c>
      <c r="F390" t="s">
        <v>86</v>
      </c>
      <c r="G390">
        <v>873</v>
      </c>
      <c r="J390">
        <v>873</v>
      </c>
      <c r="K390" t="s">
        <v>932</v>
      </c>
      <c r="M390">
        <f>VLOOKUP(B390,'CARGADOS 2025 DICIEMBRE CIERRE'!B70:B625,1,0)</f>
        <v>2025003862</v>
      </c>
    </row>
    <row r="391" spans="1:13" hidden="1" x14ac:dyDescent="0.25">
      <c r="A391" t="s">
        <v>979</v>
      </c>
      <c r="B391">
        <v>2025003864</v>
      </c>
      <c r="C391" t="s">
        <v>226</v>
      </c>
      <c r="D391" t="s">
        <v>935</v>
      </c>
      <c r="E391">
        <v>1083814276</v>
      </c>
      <c r="F391" t="s">
        <v>227</v>
      </c>
      <c r="G391">
        <v>873</v>
      </c>
      <c r="J391">
        <v>873</v>
      </c>
      <c r="K391" t="s">
        <v>935</v>
      </c>
      <c r="M391">
        <f>VLOOKUP(B391,'CARGADOS 2025 DICIEMBRE CIERRE'!B71:B626,1,0)</f>
        <v>2025003864</v>
      </c>
    </row>
    <row r="392" spans="1:13" hidden="1" x14ac:dyDescent="0.25">
      <c r="A392" t="s">
        <v>979</v>
      </c>
      <c r="B392">
        <v>2025003865</v>
      </c>
      <c r="C392" t="s">
        <v>104</v>
      </c>
      <c r="D392" t="s">
        <v>932</v>
      </c>
      <c r="E392">
        <v>30743783</v>
      </c>
      <c r="F392" t="s">
        <v>988</v>
      </c>
      <c r="G392">
        <v>873</v>
      </c>
      <c r="J392">
        <v>873</v>
      </c>
      <c r="K392" t="s">
        <v>932</v>
      </c>
      <c r="M392">
        <f>VLOOKUP(B392,'CARGADOS 2025 DICIEMBRE CIERRE'!B72:B627,1,0)</f>
        <v>2025003865</v>
      </c>
    </row>
    <row r="393" spans="1:13" hidden="1" x14ac:dyDescent="0.25">
      <c r="A393" t="s">
        <v>979</v>
      </c>
      <c r="B393">
        <v>2025003866</v>
      </c>
      <c r="C393" t="s">
        <v>193</v>
      </c>
      <c r="D393" t="s">
        <v>931</v>
      </c>
      <c r="E393">
        <v>36757491</v>
      </c>
      <c r="F393" t="s">
        <v>194</v>
      </c>
      <c r="G393">
        <v>873</v>
      </c>
      <c r="J393">
        <v>873</v>
      </c>
      <c r="K393" t="s">
        <v>931</v>
      </c>
      <c r="M393">
        <f>VLOOKUP(B393,'CARGADOS 2025 DICIEMBRE CIERRE'!B73:B628,1,0)</f>
        <v>2025003866</v>
      </c>
    </row>
    <row r="394" spans="1:13" hidden="1" x14ac:dyDescent="0.25">
      <c r="A394" t="s">
        <v>979</v>
      </c>
      <c r="B394">
        <v>2025003867</v>
      </c>
      <c r="C394" t="s">
        <v>625</v>
      </c>
      <c r="D394" t="s">
        <v>933</v>
      </c>
      <c r="E394">
        <v>1081052090</v>
      </c>
      <c r="F394" t="s">
        <v>627</v>
      </c>
      <c r="G394">
        <v>873</v>
      </c>
      <c r="J394">
        <v>873</v>
      </c>
      <c r="K394" t="s">
        <v>933</v>
      </c>
      <c r="M394">
        <f>VLOOKUP(B394,'CARGADOS 2025 DICIEMBRE CIERRE'!B74:B629,1,0)</f>
        <v>2025003867</v>
      </c>
    </row>
    <row r="395" spans="1:13" hidden="1" x14ac:dyDescent="0.25">
      <c r="A395" t="s">
        <v>979</v>
      </c>
      <c r="B395">
        <v>2025003868</v>
      </c>
      <c r="C395" t="s">
        <v>399</v>
      </c>
      <c r="D395" t="s">
        <v>932</v>
      </c>
      <c r="E395">
        <v>1085304308</v>
      </c>
      <c r="F395" t="s">
        <v>77</v>
      </c>
      <c r="G395">
        <v>873</v>
      </c>
      <c r="J395">
        <v>873</v>
      </c>
      <c r="K395" t="s">
        <v>932</v>
      </c>
      <c r="M395">
        <f>VLOOKUP(B395,'CARGADOS 2025 DICIEMBRE CIERRE'!B75:B630,1,0)</f>
        <v>2025003868</v>
      </c>
    </row>
    <row r="396" spans="1:13" hidden="1" x14ac:dyDescent="0.25">
      <c r="A396" t="s">
        <v>979</v>
      </c>
      <c r="B396">
        <v>2025003869</v>
      </c>
      <c r="C396" t="s">
        <v>256</v>
      </c>
      <c r="D396" t="s">
        <v>931</v>
      </c>
      <c r="E396">
        <v>1005829176</v>
      </c>
      <c r="F396" t="s">
        <v>937</v>
      </c>
      <c r="G396">
        <v>873</v>
      </c>
      <c r="J396">
        <v>873</v>
      </c>
      <c r="K396" t="s">
        <v>931</v>
      </c>
      <c r="M396">
        <f>VLOOKUP(B396,'CARGADOS 2025 DICIEMBRE CIERRE'!B76:B631,1,0)</f>
        <v>2025003869</v>
      </c>
    </row>
    <row r="397" spans="1:13" hidden="1" x14ac:dyDescent="0.25">
      <c r="A397" t="s">
        <v>979</v>
      </c>
      <c r="B397">
        <v>2025003870</v>
      </c>
      <c r="C397" t="s">
        <v>497</v>
      </c>
      <c r="D397" t="s">
        <v>933</v>
      </c>
      <c r="E397">
        <v>59829440</v>
      </c>
      <c r="F397" t="s">
        <v>989</v>
      </c>
      <c r="G397">
        <v>873</v>
      </c>
      <c r="J397">
        <v>873</v>
      </c>
      <c r="K397" t="s">
        <v>933</v>
      </c>
      <c r="M397">
        <f>VLOOKUP(B397,'CARGADOS 2025 DICIEMBRE CIERRE'!B77:B632,1,0)</f>
        <v>2025003870</v>
      </c>
    </row>
    <row r="398" spans="1:13" hidden="1" x14ac:dyDescent="0.25">
      <c r="A398" t="s">
        <v>979</v>
      </c>
      <c r="B398">
        <v>2025003871</v>
      </c>
      <c r="C398" t="s">
        <v>202</v>
      </c>
      <c r="D398" t="s">
        <v>935</v>
      </c>
      <c r="E398">
        <v>37087120</v>
      </c>
      <c r="F398" t="s">
        <v>61</v>
      </c>
      <c r="G398">
        <v>873</v>
      </c>
      <c r="J398">
        <v>873</v>
      </c>
      <c r="K398" t="s">
        <v>935</v>
      </c>
      <c r="M398">
        <f>VLOOKUP(B398,'CARGADOS 2025 DICIEMBRE CIERRE'!B78:B633,1,0)</f>
        <v>2025003871</v>
      </c>
    </row>
    <row r="399" spans="1:13" hidden="1" x14ac:dyDescent="0.25">
      <c r="A399" t="s">
        <v>979</v>
      </c>
      <c r="B399">
        <v>2025003872</v>
      </c>
      <c r="C399" t="s">
        <v>323</v>
      </c>
      <c r="D399" t="s">
        <v>932</v>
      </c>
      <c r="E399">
        <v>1089291166</v>
      </c>
      <c r="F399" t="s">
        <v>324</v>
      </c>
      <c r="G399">
        <v>873</v>
      </c>
      <c r="J399">
        <v>873</v>
      </c>
      <c r="K399" t="s">
        <v>932</v>
      </c>
      <c r="M399">
        <f>VLOOKUP(B399,'CARGADOS 2025 DICIEMBRE CIERRE'!B79:B634,1,0)</f>
        <v>2025003872</v>
      </c>
    </row>
    <row r="400" spans="1:13" hidden="1" x14ac:dyDescent="0.25">
      <c r="A400" t="s">
        <v>979</v>
      </c>
      <c r="B400">
        <v>2025003873</v>
      </c>
      <c r="C400" t="s">
        <v>396</v>
      </c>
      <c r="D400" t="s">
        <v>933</v>
      </c>
      <c r="E400">
        <v>1004217048</v>
      </c>
      <c r="F400" t="s">
        <v>398</v>
      </c>
      <c r="G400">
        <v>873</v>
      </c>
      <c r="J400">
        <v>873</v>
      </c>
      <c r="K400" t="s">
        <v>933</v>
      </c>
      <c r="M400">
        <f>VLOOKUP(B400,'CARGADOS 2025 DICIEMBRE CIERRE'!B80:B635,1,0)</f>
        <v>2025003873</v>
      </c>
    </row>
    <row r="401" spans="1:13" hidden="1" x14ac:dyDescent="0.25">
      <c r="A401" t="s">
        <v>979</v>
      </c>
      <c r="B401">
        <v>2025003874</v>
      </c>
      <c r="C401" t="s">
        <v>748</v>
      </c>
      <c r="D401" t="s">
        <v>932</v>
      </c>
      <c r="E401">
        <v>1085317833</v>
      </c>
      <c r="F401" t="s">
        <v>26</v>
      </c>
      <c r="G401">
        <v>873</v>
      </c>
      <c r="J401">
        <v>873</v>
      </c>
      <c r="K401" t="s">
        <v>932</v>
      </c>
      <c r="M401">
        <f>VLOOKUP(B401,'CARGADOS 2025 DICIEMBRE CIERRE'!B81:B636,1,0)</f>
        <v>2025003874</v>
      </c>
    </row>
    <row r="402" spans="1:13" hidden="1" x14ac:dyDescent="0.25">
      <c r="A402" t="s">
        <v>979</v>
      </c>
      <c r="B402">
        <v>2025003875</v>
      </c>
      <c r="C402" t="s">
        <v>866</v>
      </c>
      <c r="D402" t="s">
        <v>935</v>
      </c>
      <c r="E402">
        <v>1086331521</v>
      </c>
      <c r="F402" t="s">
        <v>868</v>
      </c>
      <c r="G402">
        <v>873</v>
      </c>
      <c r="J402">
        <v>873</v>
      </c>
      <c r="K402" t="s">
        <v>935</v>
      </c>
      <c r="M402">
        <f>VLOOKUP(B402,'CARGADOS 2025 DICIEMBRE CIERRE'!B82:B637,1,0)</f>
        <v>2025003875</v>
      </c>
    </row>
    <row r="403" spans="1:13" hidden="1" x14ac:dyDescent="0.25">
      <c r="A403" t="s">
        <v>979</v>
      </c>
      <c r="B403">
        <v>2025003876</v>
      </c>
      <c r="C403" t="s">
        <v>451</v>
      </c>
      <c r="D403" t="s">
        <v>933</v>
      </c>
      <c r="E403">
        <v>1080040525</v>
      </c>
      <c r="F403" t="s">
        <v>453</v>
      </c>
      <c r="G403">
        <v>873</v>
      </c>
      <c r="J403">
        <v>873</v>
      </c>
      <c r="K403" t="s">
        <v>933</v>
      </c>
      <c r="M403">
        <f>VLOOKUP(B403,'CARGADOS 2025 DICIEMBRE CIERRE'!B83:B638,1,0)</f>
        <v>2025003876</v>
      </c>
    </row>
    <row r="404" spans="1:13" hidden="1" x14ac:dyDescent="0.25">
      <c r="A404" t="s">
        <v>979</v>
      </c>
      <c r="B404">
        <v>2025003878</v>
      </c>
      <c r="C404" t="s">
        <v>755</v>
      </c>
      <c r="D404" t="s">
        <v>933</v>
      </c>
      <c r="E404">
        <v>1085287296</v>
      </c>
      <c r="F404" t="s">
        <v>757</v>
      </c>
      <c r="G404">
        <v>873</v>
      </c>
      <c r="J404">
        <v>873</v>
      </c>
      <c r="K404" t="s">
        <v>933</v>
      </c>
      <c r="M404">
        <f>VLOOKUP(B404,'CARGADOS 2025 DICIEMBRE CIERRE'!B84:B639,1,0)</f>
        <v>2025003878</v>
      </c>
    </row>
    <row r="405" spans="1:13" hidden="1" x14ac:dyDescent="0.25">
      <c r="A405" t="s">
        <v>979</v>
      </c>
      <c r="B405">
        <v>2025003879</v>
      </c>
      <c r="C405" t="s">
        <v>122</v>
      </c>
      <c r="D405" t="s">
        <v>934</v>
      </c>
      <c r="E405">
        <v>97470681</v>
      </c>
      <c r="F405" t="s">
        <v>51</v>
      </c>
      <c r="G405">
        <v>873</v>
      </c>
      <c r="J405">
        <v>873</v>
      </c>
      <c r="K405" t="s">
        <v>934</v>
      </c>
      <c r="M405">
        <f>VLOOKUP(B405,'CARGADOS 2025 DICIEMBRE CIERRE'!B85:B640,1,0)</f>
        <v>2025003879</v>
      </c>
    </row>
    <row r="406" spans="1:13" hidden="1" x14ac:dyDescent="0.25">
      <c r="A406" t="s">
        <v>979</v>
      </c>
      <c r="B406">
        <v>2025003880</v>
      </c>
      <c r="C406" t="s">
        <v>343</v>
      </c>
      <c r="D406" t="s">
        <v>932</v>
      </c>
      <c r="E406">
        <v>1087960258</v>
      </c>
      <c r="F406" t="s">
        <v>344</v>
      </c>
      <c r="G406">
        <v>873</v>
      </c>
      <c r="J406">
        <v>873</v>
      </c>
      <c r="K406" t="s">
        <v>932</v>
      </c>
      <c r="M406">
        <f>VLOOKUP(B406,'CARGADOS 2025 DICIEMBRE CIERRE'!B86:B641,1,0)</f>
        <v>2025003880</v>
      </c>
    </row>
    <row r="407" spans="1:13" hidden="1" x14ac:dyDescent="0.25">
      <c r="A407" t="s">
        <v>979</v>
      </c>
      <c r="B407">
        <v>2025003881</v>
      </c>
      <c r="C407" t="s">
        <v>208</v>
      </c>
      <c r="D407" t="s">
        <v>935</v>
      </c>
      <c r="E407">
        <v>1193292339</v>
      </c>
      <c r="F407" t="s">
        <v>209</v>
      </c>
      <c r="G407">
        <v>873</v>
      </c>
      <c r="J407">
        <v>873</v>
      </c>
      <c r="K407" t="s">
        <v>935</v>
      </c>
      <c r="M407">
        <f>VLOOKUP(B407,'CARGADOS 2025 DICIEMBRE CIERRE'!B87:B642,1,0)</f>
        <v>2025003881</v>
      </c>
    </row>
    <row r="408" spans="1:13" hidden="1" x14ac:dyDescent="0.25">
      <c r="A408" t="s">
        <v>979</v>
      </c>
      <c r="B408">
        <v>2025003882</v>
      </c>
      <c r="C408" t="s">
        <v>454</v>
      </c>
      <c r="D408" t="s">
        <v>933</v>
      </c>
      <c r="E408">
        <v>1233188221</v>
      </c>
      <c r="F408" t="s">
        <v>456</v>
      </c>
      <c r="G408">
        <v>873</v>
      </c>
      <c r="J408">
        <v>873</v>
      </c>
      <c r="K408" t="s">
        <v>933</v>
      </c>
      <c r="M408">
        <f>VLOOKUP(B408,'CARGADOS 2025 DICIEMBRE CIERRE'!B88:B643,1,0)</f>
        <v>2025003882</v>
      </c>
    </row>
    <row r="409" spans="1:13" hidden="1" x14ac:dyDescent="0.25">
      <c r="A409" t="s">
        <v>979</v>
      </c>
      <c r="B409">
        <v>2025003883</v>
      </c>
      <c r="C409" t="s">
        <v>319</v>
      </c>
      <c r="D409" t="s">
        <v>935</v>
      </c>
      <c r="E409">
        <v>1022426162</v>
      </c>
      <c r="F409" t="s">
        <v>320</v>
      </c>
      <c r="G409">
        <v>873</v>
      </c>
      <c r="J409">
        <v>873</v>
      </c>
      <c r="K409" t="s">
        <v>935</v>
      </c>
      <c r="M409">
        <f>VLOOKUP(B409,'CARGADOS 2025 DICIEMBRE CIERRE'!B89:B644,1,0)</f>
        <v>2025003883</v>
      </c>
    </row>
    <row r="410" spans="1:13" hidden="1" x14ac:dyDescent="0.25">
      <c r="A410" t="s">
        <v>979</v>
      </c>
      <c r="B410">
        <v>2025003884</v>
      </c>
      <c r="C410" t="s">
        <v>190</v>
      </c>
      <c r="D410" t="s">
        <v>934</v>
      </c>
      <c r="E410">
        <v>59310291</v>
      </c>
      <c r="F410" t="s">
        <v>191</v>
      </c>
      <c r="G410">
        <v>873</v>
      </c>
      <c r="J410">
        <v>873</v>
      </c>
      <c r="K410" t="s">
        <v>934</v>
      </c>
      <c r="M410">
        <f>VLOOKUP(B410,'CARGADOS 2025 DICIEMBRE CIERRE'!B90:B645,1,0)</f>
        <v>2025003884</v>
      </c>
    </row>
    <row r="411" spans="1:13" hidden="1" x14ac:dyDescent="0.25">
      <c r="A411" t="s">
        <v>979</v>
      </c>
      <c r="B411">
        <v>2025003885</v>
      </c>
      <c r="C411" t="s">
        <v>216</v>
      </c>
      <c r="D411" t="s">
        <v>935</v>
      </c>
      <c r="E411">
        <v>80765093</v>
      </c>
      <c r="F411" t="s">
        <v>958</v>
      </c>
      <c r="G411">
        <v>873</v>
      </c>
      <c r="J411">
        <v>873</v>
      </c>
      <c r="K411" t="s">
        <v>935</v>
      </c>
      <c r="M411">
        <f>VLOOKUP(B411,'CARGADOS 2025 DICIEMBRE CIERRE'!B91:B646,1,0)</f>
        <v>2025003885</v>
      </c>
    </row>
    <row r="412" spans="1:13" hidden="1" x14ac:dyDescent="0.25">
      <c r="A412" t="s">
        <v>979</v>
      </c>
      <c r="B412">
        <v>2025003886</v>
      </c>
      <c r="C412" t="s">
        <v>500</v>
      </c>
      <c r="D412" t="s">
        <v>933</v>
      </c>
      <c r="E412">
        <v>36933095</v>
      </c>
      <c r="F412" t="s">
        <v>502</v>
      </c>
      <c r="G412">
        <v>873</v>
      </c>
      <c r="J412">
        <v>873</v>
      </c>
      <c r="K412" t="s">
        <v>933</v>
      </c>
      <c r="M412">
        <f>VLOOKUP(B412,'CARGADOS 2025 DICIEMBRE CIERRE'!B92:B647,1,0)</f>
        <v>2025003886</v>
      </c>
    </row>
    <row r="413" spans="1:13" hidden="1" x14ac:dyDescent="0.25">
      <c r="A413" t="s">
        <v>979</v>
      </c>
      <c r="B413">
        <v>2025003887</v>
      </c>
      <c r="C413" t="s">
        <v>632</v>
      </c>
      <c r="D413" t="s">
        <v>932</v>
      </c>
      <c r="E413">
        <v>1004190984</v>
      </c>
      <c r="F413" t="s">
        <v>634</v>
      </c>
      <c r="G413">
        <v>873</v>
      </c>
      <c r="J413">
        <v>873</v>
      </c>
      <c r="K413" t="s">
        <v>932</v>
      </c>
      <c r="M413">
        <f>VLOOKUP(B413,'CARGADOS 2025 DICIEMBRE CIERRE'!B93:B648,1,0)</f>
        <v>2025003887</v>
      </c>
    </row>
    <row r="414" spans="1:13" hidden="1" x14ac:dyDescent="0.25">
      <c r="A414" t="s">
        <v>979</v>
      </c>
      <c r="B414">
        <v>2025003889</v>
      </c>
      <c r="C414" t="s">
        <v>307</v>
      </c>
      <c r="D414" t="s">
        <v>931</v>
      </c>
      <c r="E414">
        <v>1193424771</v>
      </c>
      <c r="F414" t="s">
        <v>966</v>
      </c>
      <c r="G414">
        <v>873</v>
      </c>
      <c r="J414">
        <v>873</v>
      </c>
      <c r="K414" t="s">
        <v>931</v>
      </c>
      <c r="M414">
        <f>VLOOKUP(B414,'CARGADOS 2025 DICIEMBRE CIERRE'!B94:B649,1,0)</f>
        <v>2025003889</v>
      </c>
    </row>
    <row r="415" spans="1:13" hidden="1" x14ac:dyDescent="0.25">
      <c r="A415" t="s">
        <v>979</v>
      </c>
      <c r="B415">
        <v>2025003890</v>
      </c>
      <c r="C415" t="s">
        <v>234</v>
      </c>
      <c r="D415" t="s">
        <v>932</v>
      </c>
      <c r="E415">
        <v>1085302942</v>
      </c>
      <c r="F415" t="s">
        <v>235</v>
      </c>
      <c r="G415">
        <v>873</v>
      </c>
      <c r="J415">
        <v>873</v>
      </c>
      <c r="K415" t="s">
        <v>932</v>
      </c>
      <c r="M415">
        <f>VLOOKUP(B415,'CARGADOS 2025 DICIEMBRE CIERRE'!B95:B650,1,0)</f>
        <v>2025003890</v>
      </c>
    </row>
    <row r="416" spans="1:13" hidden="1" x14ac:dyDescent="0.25">
      <c r="A416" t="s">
        <v>979</v>
      </c>
      <c r="B416">
        <v>2025003892</v>
      </c>
      <c r="C416" t="s">
        <v>620</v>
      </c>
      <c r="D416" t="s">
        <v>935</v>
      </c>
      <c r="E416">
        <v>87065647</v>
      </c>
      <c r="F416" t="s">
        <v>622</v>
      </c>
      <c r="G416">
        <v>873</v>
      </c>
      <c r="J416">
        <v>873</v>
      </c>
      <c r="K416" t="s">
        <v>935</v>
      </c>
      <c r="M416">
        <f>VLOOKUP(B416,'CARGADOS 2025 DICIEMBRE CIERRE'!B96:B651,1,0)</f>
        <v>2025003892</v>
      </c>
    </row>
    <row r="417" spans="1:13" hidden="1" x14ac:dyDescent="0.25">
      <c r="A417" t="s">
        <v>979</v>
      </c>
      <c r="B417">
        <v>2025003893</v>
      </c>
      <c r="C417" t="s">
        <v>315</v>
      </c>
      <c r="D417" t="s">
        <v>932</v>
      </c>
      <c r="E417">
        <v>59313711</v>
      </c>
      <c r="F417" t="s">
        <v>316</v>
      </c>
      <c r="G417">
        <v>873</v>
      </c>
      <c r="J417">
        <v>873</v>
      </c>
      <c r="K417" t="s">
        <v>932</v>
      </c>
      <c r="M417">
        <f>VLOOKUP(B417,'CARGADOS 2025 DICIEMBRE CIERRE'!B97:B652,1,0)</f>
        <v>2025003893</v>
      </c>
    </row>
    <row r="418" spans="1:13" hidden="1" x14ac:dyDescent="0.25">
      <c r="A418" t="s">
        <v>979</v>
      </c>
      <c r="B418">
        <v>2025003895</v>
      </c>
      <c r="C418" t="s">
        <v>764</v>
      </c>
      <c r="D418" t="s">
        <v>932</v>
      </c>
      <c r="E418">
        <v>1233192104</v>
      </c>
      <c r="F418" t="s">
        <v>766</v>
      </c>
      <c r="G418">
        <v>873</v>
      </c>
      <c r="J418">
        <v>873</v>
      </c>
      <c r="K418" t="s">
        <v>932</v>
      </c>
      <c r="M418">
        <f>VLOOKUP(B418,'CARGADOS 2025 DICIEMBRE CIERRE'!B98:B653,1,0)</f>
        <v>2025003895</v>
      </c>
    </row>
    <row r="419" spans="1:13" hidden="1" x14ac:dyDescent="0.25">
      <c r="A419" t="s">
        <v>979</v>
      </c>
      <c r="B419">
        <v>2025003897</v>
      </c>
      <c r="C419" t="s">
        <v>557</v>
      </c>
      <c r="D419" t="s">
        <v>932</v>
      </c>
      <c r="E419">
        <v>1137089268</v>
      </c>
      <c r="F419" t="s">
        <v>559</v>
      </c>
      <c r="G419">
        <v>873</v>
      </c>
      <c r="J419">
        <v>873</v>
      </c>
      <c r="K419" t="s">
        <v>932</v>
      </c>
      <c r="M419">
        <f>VLOOKUP(B419,'CARGADOS 2025 DICIEMBRE CIERRE'!B99:B654,1,0)</f>
        <v>2025003897</v>
      </c>
    </row>
    <row r="420" spans="1:13" hidden="1" x14ac:dyDescent="0.25">
      <c r="A420" t="s">
        <v>979</v>
      </c>
      <c r="B420">
        <v>2025003899</v>
      </c>
      <c r="C420" t="s">
        <v>752</v>
      </c>
      <c r="D420" t="s">
        <v>933</v>
      </c>
      <c r="E420">
        <v>27086745</v>
      </c>
      <c r="F420" t="s">
        <v>985</v>
      </c>
      <c r="G420">
        <v>873</v>
      </c>
      <c r="J420">
        <v>873</v>
      </c>
      <c r="K420" t="s">
        <v>933</v>
      </c>
      <c r="M420">
        <f>VLOOKUP(B420,'CARGADOS 2025 DICIEMBRE CIERRE'!B100:B655,1,0)</f>
        <v>2025003899</v>
      </c>
    </row>
    <row r="421" spans="1:13" hidden="1" x14ac:dyDescent="0.25">
      <c r="A421" t="s">
        <v>979</v>
      </c>
      <c r="B421">
        <v>2025003900</v>
      </c>
      <c r="C421" t="s">
        <v>473</v>
      </c>
      <c r="D421" t="s">
        <v>933</v>
      </c>
      <c r="E421">
        <v>1137089036</v>
      </c>
      <c r="F421" t="s">
        <v>475</v>
      </c>
      <c r="G421">
        <v>873</v>
      </c>
      <c r="J421">
        <v>873</v>
      </c>
      <c r="K421" t="s">
        <v>933</v>
      </c>
      <c r="M421">
        <f>VLOOKUP(B421,'CARGADOS 2025 DICIEMBRE CIERRE'!B101:B656,1,0)</f>
        <v>2025003900</v>
      </c>
    </row>
    <row r="422" spans="1:13" hidden="1" x14ac:dyDescent="0.25">
      <c r="A422" t="s">
        <v>979</v>
      </c>
      <c r="B422">
        <v>2025003901</v>
      </c>
      <c r="C422" t="s">
        <v>152</v>
      </c>
      <c r="D422" t="s">
        <v>932</v>
      </c>
      <c r="E422">
        <v>1080690337</v>
      </c>
      <c r="F422" t="s">
        <v>983</v>
      </c>
      <c r="G422">
        <v>873</v>
      </c>
      <c r="J422">
        <v>873</v>
      </c>
      <c r="K422" t="s">
        <v>932</v>
      </c>
      <c r="M422">
        <f>VLOOKUP(B422,'CARGADOS 2025 DICIEMBRE CIERRE'!B102:B657,1,0)</f>
        <v>2025003901</v>
      </c>
    </row>
    <row r="423" spans="1:13" hidden="1" x14ac:dyDescent="0.25">
      <c r="A423" t="s">
        <v>979</v>
      </c>
      <c r="B423">
        <v>2025003902</v>
      </c>
      <c r="C423" t="s">
        <v>560</v>
      </c>
      <c r="D423" t="s">
        <v>932</v>
      </c>
      <c r="E423">
        <v>1193405962</v>
      </c>
      <c r="F423" t="s">
        <v>562</v>
      </c>
      <c r="G423">
        <v>873</v>
      </c>
      <c r="J423">
        <v>873</v>
      </c>
      <c r="K423" t="s">
        <v>932</v>
      </c>
      <c r="M423">
        <f>VLOOKUP(B423,'CARGADOS 2025 DICIEMBRE CIERRE'!B103:B658,1,0)</f>
        <v>2025003902</v>
      </c>
    </row>
    <row r="424" spans="1:13" hidden="1" x14ac:dyDescent="0.25">
      <c r="A424" t="s">
        <v>979</v>
      </c>
      <c r="B424">
        <v>2025003903</v>
      </c>
      <c r="C424" t="s">
        <v>497</v>
      </c>
      <c r="D424" t="s">
        <v>933</v>
      </c>
      <c r="E424">
        <v>59829440</v>
      </c>
      <c r="F424" t="s">
        <v>989</v>
      </c>
      <c r="G424">
        <v>873</v>
      </c>
      <c r="J424">
        <v>873</v>
      </c>
      <c r="K424" t="s">
        <v>933</v>
      </c>
      <c r="M424">
        <f>VLOOKUP(B424,'CARGADOS 2025 DICIEMBRE CIERRE'!B104:B659,1,0)</f>
        <v>2025003903</v>
      </c>
    </row>
    <row r="425" spans="1:13" hidden="1" x14ac:dyDescent="0.25">
      <c r="A425" t="s">
        <v>979</v>
      </c>
      <c r="B425">
        <v>2025003904</v>
      </c>
      <c r="C425" t="s">
        <v>269</v>
      </c>
      <c r="D425" t="s">
        <v>935</v>
      </c>
      <c r="E425">
        <v>1089483067</v>
      </c>
      <c r="F425" t="s">
        <v>955</v>
      </c>
      <c r="G425">
        <v>873</v>
      </c>
      <c r="J425">
        <v>873</v>
      </c>
      <c r="K425" t="s">
        <v>935</v>
      </c>
      <c r="M425">
        <f>VLOOKUP(B425,'CARGADOS 2025 DICIEMBRE CIERRE'!B105:B660,1,0)</f>
        <v>2025003904</v>
      </c>
    </row>
    <row r="426" spans="1:13" hidden="1" x14ac:dyDescent="0.25">
      <c r="A426" t="s">
        <v>979</v>
      </c>
      <c r="B426">
        <v>2025003906</v>
      </c>
      <c r="C426" t="s">
        <v>353</v>
      </c>
      <c r="D426" t="s">
        <v>931</v>
      </c>
      <c r="E426">
        <v>1085318201</v>
      </c>
      <c r="F426" t="s">
        <v>354</v>
      </c>
      <c r="G426">
        <v>873</v>
      </c>
      <c r="J426">
        <v>873</v>
      </c>
      <c r="K426" t="s">
        <v>931</v>
      </c>
      <c r="M426">
        <f>VLOOKUP(B426,'CARGADOS 2025 DICIEMBRE CIERRE'!B106:B661,1,0)</f>
        <v>2025003906</v>
      </c>
    </row>
    <row r="427" spans="1:13" hidden="1" x14ac:dyDescent="0.25">
      <c r="A427" t="s">
        <v>979</v>
      </c>
      <c r="B427">
        <v>2025003907</v>
      </c>
      <c r="C427" t="s">
        <v>911</v>
      </c>
      <c r="D427" t="s">
        <v>933</v>
      </c>
      <c r="E427">
        <v>1085281545</v>
      </c>
      <c r="F427" t="s">
        <v>913</v>
      </c>
      <c r="G427">
        <v>873</v>
      </c>
      <c r="J427">
        <v>873</v>
      </c>
      <c r="K427" t="s">
        <v>933</v>
      </c>
      <c r="M427">
        <f>VLOOKUP(B427,'CARGADOS 2025 DICIEMBRE CIERRE'!B107:B662,1,0)</f>
        <v>2025003907</v>
      </c>
    </row>
    <row r="428" spans="1:13" hidden="1" x14ac:dyDescent="0.25">
      <c r="A428" t="s">
        <v>979</v>
      </c>
      <c r="B428">
        <v>2025003910</v>
      </c>
      <c r="C428" t="s">
        <v>304</v>
      </c>
      <c r="D428" t="s">
        <v>932</v>
      </c>
      <c r="E428">
        <v>69028150</v>
      </c>
      <c r="F428" t="s">
        <v>12</v>
      </c>
      <c r="G428">
        <v>873</v>
      </c>
      <c r="J428">
        <v>873</v>
      </c>
      <c r="K428" t="s">
        <v>932</v>
      </c>
      <c r="M428">
        <f>VLOOKUP(B428,'CARGADOS 2025 DICIEMBRE CIERRE'!B108:B663,1,0)</f>
        <v>2025003910</v>
      </c>
    </row>
    <row r="429" spans="1:13" hidden="1" x14ac:dyDescent="0.25">
      <c r="A429" t="s">
        <v>979</v>
      </c>
      <c r="B429">
        <v>2025003914</v>
      </c>
      <c r="C429" t="s">
        <v>144</v>
      </c>
      <c r="D429" t="s">
        <v>932</v>
      </c>
      <c r="E429">
        <v>1085300095</v>
      </c>
      <c r="F429" t="s">
        <v>64</v>
      </c>
      <c r="G429">
        <v>873</v>
      </c>
      <c r="J429">
        <v>873</v>
      </c>
      <c r="K429" t="s">
        <v>932</v>
      </c>
      <c r="M429">
        <f>VLOOKUP(B429,'CARGADOS 2025 DICIEMBRE CIERRE'!B109:B664,1,0)</f>
        <v>2025003914</v>
      </c>
    </row>
    <row r="430" spans="1:13" hidden="1" x14ac:dyDescent="0.25">
      <c r="A430" t="s">
        <v>979</v>
      </c>
      <c r="B430">
        <v>2025003917</v>
      </c>
      <c r="C430" t="s">
        <v>542</v>
      </c>
      <c r="D430" t="s">
        <v>933</v>
      </c>
      <c r="E430">
        <v>1085253462</v>
      </c>
      <c r="F430" t="s">
        <v>544</v>
      </c>
      <c r="G430">
        <v>873</v>
      </c>
      <c r="J430">
        <v>873</v>
      </c>
      <c r="K430" t="s">
        <v>933</v>
      </c>
      <c r="M430">
        <f>VLOOKUP(B430,'CARGADOS 2025 DICIEMBRE CIERRE'!B110:B665,1,0)</f>
        <v>2025003917</v>
      </c>
    </row>
    <row r="431" spans="1:13" hidden="1" x14ac:dyDescent="0.25">
      <c r="A431" t="s">
        <v>979</v>
      </c>
      <c r="B431">
        <v>2025003918</v>
      </c>
      <c r="C431" t="s">
        <v>464</v>
      </c>
      <c r="D431" t="s">
        <v>933</v>
      </c>
      <c r="E431">
        <v>12990231</v>
      </c>
      <c r="F431" t="s">
        <v>990</v>
      </c>
      <c r="G431">
        <v>873</v>
      </c>
      <c r="J431">
        <v>873</v>
      </c>
      <c r="K431" t="s">
        <v>933</v>
      </c>
      <c r="M431">
        <f>VLOOKUP(B431,'CARGADOS 2025 DICIEMBRE CIERRE'!B111:B666,1,0)</f>
        <v>2025003918</v>
      </c>
    </row>
    <row r="432" spans="1:13" hidden="1" x14ac:dyDescent="0.25">
      <c r="A432" t="s">
        <v>979</v>
      </c>
      <c r="B432">
        <v>2025003919</v>
      </c>
      <c r="C432" t="s">
        <v>476</v>
      </c>
      <c r="D432" t="s">
        <v>932</v>
      </c>
      <c r="E432">
        <v>1080693240</v>
      </c>
      <c r="F432" t="s">
        <v>478</v>
      </c>
      <c r="G432">
        <v>873</v>
      </c>
      <c r="J432">
        <v>873</v>
      </c>
      <c r="K432" t="s">
        <v>932</v>
      </c>
      <c r="M432">
        <f>VLOOKUP(B432,'CARGADOS 2025 DICIEMBRE CIERRE'!B112:B667,1,0)</f>
        <v>2025003919</v>
      </c>
    </row>
    <row r="433" spans="1:13" hidden="1" x14ac:dyDescent="0.25">
      <c r="A433" t="s">
        <v>979</v>
      </c>
      <c r="B433">
        <v>2025003920</v>
      </c>
      <c r="C433" t="s">
        <v>116</v>
      </c>
      <c r="D433" t="s">
        <v>991</v>
      </c>
      <c r="E433">
        <v>900994364</v>
      </c>
      <c r="F433" t="s">
        <v>10</v>
      </c>
      <c r="G433">
        <v>873</v>
      </c>
      <c r="J433">
        <v>873</v>
      </c>
      <c r="K433" t="s">
        <v>991</v>
      </c>
      <c r="M433">
        <f>VLOOKUP(B433,'CARGADOS 2025 DICIEMBRE CIERRE'!B113:B668,1,0)</f>
        <v>2025003920</v>
      </c>
    </row>
    <row r="434" spans="1:13" hidden="1" x14ac:dyDescent="0.25">
      <c r="A434" t="s">
        <v>979</v>
      </c>
      <c r="B434">
        <v>2025003921</v>
      </c>
      <c r="C434" t="s">
        <v>758</v>
      </c>
      <c r="D434" t="s">
        <v>932</v>
      </c>
      <c r="E434">
        <v>1085331508</v>
      </c>
      <c r="F434" t="s">
        <v>760</v>
      </c>
      <c r="G434">
        <v>873</v>
      </c>
      <c r="J434">
        <v>873</v>
      </c>
      <c r="K434" t="s">
        <v>932</v>
      </c>
      <c r="M434">
        <f>VLOOKUP(B434,'CARGADOS 2025 DICIEMBRE CIERRE'!B114:B669,1,0)</f>
        <v>2025003921</v>
      </c>
    </row>
    <row r="435" spans="1:13" hidden="1" x14ac:dyDescent="0.25">
      <c r="A435" t="s">
        <v>979</v>
      </c>
      <c r="B435">
        <v>2025003922</v>
      </c>
      <c r="C435" t="s">
        <v>745</v>
      </c>
      <c r="D435" t="s">
        <v>933</v>
      </c>
      <c r="E435">
        <v>1081274779</v>
      </c>
      <c r="F435" t="s">
        <v>747</v>
      </c>
      <c r="G435">
        <v>873</v>
      </c>
      <c r="J435">
        <v>873</v>
      </c>
      <c r="K435" t="s">
        <v>933</v>
      </c>
      <c r="M435">
        <f>VLOOKUP(B435,'CARGADOS 2025 DICIEMBRE CIERRE'!B115:B670,1,0)</f>
        <v>2025003922</v>
      </c>
    </row>
    <row r="436" spans="1:13" hidden="1" x14ac:dyDescent="0.25">
      <c r="A436" t="s">
        <v>979</v>
      </c>
      <c r="B436">
        <v>2025003924</v>
      </c>
      <c r="C436" t="s">
        <v>321</v>
      </c>
      <c r="D436" t="s">
        <v>934</v>
      </c>
      <c r="E436">
        <v>1084224761</v>
      </c>
      <c r="F436" t="s">
        <v>322</v>
      </c>
      <c r="G436">
        <v>873</v>
      </c>
      <c r="J436">
        <v>873</v>
      </c>
      <c r="K436" t="s">
        <v>934</v>
      </c>
      <c r="M436">
        <f>VLOOKUP(B436,'CARGADOS 2025 DICIEMBRE CIERRE'!B116:B671,1,0)</f>
        <v>2025003924</v>
      </c>
    </row>
    <row r="437" spans="1:13" hidden="1" x14ac:dyDescent="0.25">
      <c r="A437" t="s">
        <v>979</v>
      </c>
      <c r="B437">
        <v>2025003925</v>
      </c>
      <c r="C437" t="s">
        <v>607</v>
      </c>
      <c r="D437" t="s">
        <v>931</v>
      </c>
      <c r="E437">
        <v>27105277</v>
      </c>
      <c r="F437" t="s">
        <v>609</v>
      </c>
      <c r="G437">
        <v>873</v>
      </c>
      <c r="J437">
        <v>873</v>
      </c>
      <c r="K437" t="s">
        <v>931</v>
      </c>
      <c r="M437">
        <f>VLOOKUP(B437,'CARGADOS 2025 DICIEMBRE CIERRE'!B117:B672,1,0)</f>
        <v>2025003925</v>
      </c>
    </row>
    <row r="438" spans="1:13" hidden="1" x14ac:dyDescent="0.25">
      <c r="A438" t="s">
        <v>979</v>
      </c>
      <c r="B438">
        <v>2025003927</v>
      </c>
      <c r="C438" t="s">
        <v>617</v>
      </c>
      <c r="D438" t="s">
        <v>932</v>
      </c>
      <c r="E438">
        <v>27222016</v>
      </c>
      <c r="F438" t="s">
        <v>619</v>
      </c>
      <c r="G438">
        <v>873</v>
      </c>
      <c r="J438">
        <v>873</v>
      </c>
      <c r="K438" t="s">
        <v>932</v>
      </c>
      <c r="M438">
        <f>VLOOKUP(B438,'CARGADOS 2025 DICIEMBRE CIERRE'!B118:B673,1,0)</f>
        <v>2025003927</v>
      </c>
    </row>
    <row r="439" spans="1:13" hidden="1" x14ac:dyDescent="0.25">
      <c r="A439" t="s">
        <v>979</v>
      </c>
      <c r="B439">
        <v>2025003930</v>
      </c>
      <c r="C439" t="s">
        <v>647</v>
      </c>
      <c r="D439" t="s">
        <v>932</v>
      </c>
      <c r="E439">
        <v>1081053820</v>
      </c>
      <c r="F439" t="s">
        <v>992</v>
      </c>
      <c r="G439">
        <v>873</v>
      </c>
      <c r="J439">
        <v>873</v>
      </c>
      <c r="K439" t="s">
        <v>932</v>
      </c>
      <c r="M439">
        <f>VLOOKUP(B439,'CARGADOS 2025 DICIEMBRE CIERRE'!B119:B674,1,0)</f>
        <v>2025003930</v>
      </c>
    </row>
    <row r="440" spans="1:13" hidden="1" x14ac:dyDescent="0.25">
      <c r="A440" t="s">
        <v>979</v>
      </c>
      <c r="B440">
        <v>2025003931</v>
      </c>
      <c r="C440" t="s">
        <v>761</v>
      </c>
      <c r="D440" t="s">
        <v>934</v>
      </c>
      <c r="E440">
        <v>1085254153</v>
      </c>
      <c r="F440" t="s">
        <v>763</v>
      </c>
      <c r="G440">
        <v>873</v>
      </c>
      <c r="J440">
        <v>873</v>
      </c>
      <c r="K440" t="s">
        <v>934</v>
      </c>
      <c r="M440">
        <f>VLOOKUP(B440,'CARGADOS 2025 DICIEMBRE CIERRE'!B120:B675,1,0)</f>
        <v>2025003931</v>
      </c>
    </row>
    <row r="441" spans="1:13" hidden="1" x14ac:dyDescent="0.25">
      <c r="A441" t="s">
        <v>979</v>
      </c>
      <c r="B441">
        <v>2025003934</v>
      </c>
      <c r="C441" t="s">
        <v>154</v>
      </c>
      <c r="D441" t="s">
        <v>932</v>
      </c>
      <c r="E441">
        <v>1085265947</v>
      </c>
      <c r="F441" t="s">
        <v>155</v>
      </c>
      <c r="G441">
        <v>873</v>
      </c>
      <c r="J441">
        <v>873</v>
      </c>
      <c r="K441" t="s">
        <v>932</v>
      </c>
      <c r="M441">
        <f>VLOOKUP(B441,'CARGADOS 2025 DICIEMBRE CIERRE'!B121:B676,1,0)</f>
        <v>2025003934</v>
      </c>
    </row>
    <row r="442" spans="1:13" hidden="1" x14ac:dyDescent="0.25">
      <c r="A442" t="s">
        <v>979</v>
      </c>
      <c r="B442">
        <v>2025003938</v>
      </c>
      <c r="C442" t="s">
        <v>551</v>
      </c>
      <c r="D442" t="s">
        <v>935</v>
      </c>
      <c r="E442">
        <v>1061794455</v>
      </c>
      <c r="F442" t="s">
        <v>553</v>
      </c>
      <c r="G442">
        <v>873</v>
      </c>
      <c r="J442">
        <v>873</v>
      </c>
      <c r="K442" t="s">
        <v>935</v>
      </c>
      <c r="M442">
        <f>VLOOKUP(B442,'CARGADOS 2025 DICIEMBRE CIERRE'!B122:B677,1,0)</f>
        <v>2025003938</v>
      </c>
    </row>
    <row r="443" spans="1:13" hidden="1" x14ac:dyDescent="0.25">
      <c r="A443" t="s">
        <v>979</v>
      </c>
      <c r="B443">
        <v>2025003942</v>
      </c>
      <c r="C443" t="s">
        <v>114</v>
      </c>
      <c r="D443" t="s">
        <v>931</v>
      </c>
      <c r="E443">
        <v>1193383306</v>
      </c>
      <c r="F443" t="s">
        <v>993</v>
      </c>
      <c r="G443">
        <v>873</v>
      </c>
      <c r="J443">
        <v>873</v>
      </c>
      <c r="K443" t="s">
        <v>931</v>
      </c>
      <c r="M443">
        <f>VLOOKUP(B443,'CARGADOS 2025 DICIEMBRE CIERRE'!B123:B678,1,0)</f>
        <v>2025003942</v>
      </c>
    </row>
    <row r="444" spans="1:13" hidden="1" x14ac:dyDescent="0.25">
      <c r="A444" t="s">
        <v>979</v>
      </c>
      <c r="B444">
        <v>2025003945</v>
      </c>
      <c r="C444" t="s">
        <v>767</v>
      </c>
      <c r="D444" t="s">
        <v>935</v>
      </c>
      <c r="E444">
        <v>1085307962</v>
      </c>
      <c r="F444" t="s">
        <v>936</v>
      </c>
      <c r="G444">
        <v>873</v>
      </c>
      <c r="J444">
        <v>873</v>
      </c>
      <c r="K444" t="s">
        <v>935</v>
      </c>
      <c r="M444">
        <f>VLOOKUP(B444,'CARGADOS 2025 DICIEMBRE CIERRE'!B124:B679,1,0)</f>
        <v>2025003945</v>
      </c>
    </row>
    <row r="445" spans="1:13" hidden="1" x14ac:dyDescent="0.25">
      <c r="A445" t="s">
        <v>979</v>
      </c>
      <c r="B445">
        <v>2025003947</v>
      </c>
      <c r="C445" t="s">
        <v>750</v>
      </c>
      <c r="D445" t="s">
        <v>932</v>
      </c>
      <c r="E445">
        <v>59813323</v>
      </c>
      <c r="F445" t="s">
        <v>87</v>
      </c>
      <c r="G445">
        <v>873</v>
      </c>
      <c r="J445">
        <v>873</v>
      </c>
      <c r="K445" t="s">
        <v>932</v>
      </c>
      <c r="M445">
        <f>VLOOKUP(B445,'CARGADOS 2025 DICIEMBRE CIERRE'!B125:B680,1,0)</f>
        <v>2025003947</v>
      </c>
    </row>
    <row r="446" spans="1:13" hidden="1" x14ac:dyDescent="0.25">
      <c r="A446" t="s">
        <v>979</v>
      </c>
      <c r="B446">
        <v>2025003949</v>
      </c>
      <c r="C446" t="s">
        <v>860</v>
      </c>
      <c r="D446" t="s">
        <v>935</v>
      </c>
      <c r="E446">
        <v>12961407</v>
      </c>
      <c r="F446" t="s">
        <v>862</v>
      </c>
      <c r="G446">
        <v>873</v>
      </c>
      <c r="J446">
        <v>873</v>
      </c>
      <c r="K446" t="s">
        <v>935</v>
      </c>
      <c r="M446">
        <f>VLOOKUP(B446,'CARGADOS 2025 DICIEMBRE CIERRE'!B126:B681,1,0)</f>
        <v>2025003949</v>
      </c>
    </row>
    <row r="447" spans="1:13" hidden="1" x14ac:dyDescent="0.25">
      <c r="A447" t="s">
        <v>979</v>
      </c>
      <c r="B447">
        <v>2025003953</v>
      </c>
      <c r="C447" t="s">
        <v>153</v>
      </c>
      <c r="D447" t="s">
        <v>932</v>
      </c>
      <c r="E447">
        <v>1081572043</v>
      </c>
      <c r="F447" t="s">
        <v>947</v>
      </c>
      <c r="G447">
        <v>873</v>
      </c>
      <c r="J447">
        <v>873</v>
      </c>
      <c r="K447" t="s">
        <v>932</v>
      </c>
      <c r="M447">
        <f>VLOOKUP(B447,'CARGADOS 2025 DICIEMBRE CIERRE'!B127:B682,1,0)</f>
        <v>2025003953</v>
      </c>
    </row>
    <row r="448" spans="1:13" hidden="1" x14ac:dyDescent="0.25">
      <c r="A448" t="s">
        <v>979</v>
      </c>
      <c r="B448">
        <v>2025003956</v>
      </c>
      <c r="C448" t="s">
        <v>663</v>
      </c>
      <c r="D448" t="s">
        <v>932</v>
      </c>
      <c r="E448">
        <v>1088975658</v>
      </c>
      <c r="F448" t="s">
        <v>665</v>
      </c>
      <c r="G448">
        <v>873</v>
      </c>
      <c r="J448">
        <v>873</v>
      </c>
      <c r="K448" t="s">
        <v>932</v>
      </c>
      <c r="M448">
        <f>VLOOKUP(B448,'CARGADOS 2025 DICIEMBRE CIERRE'!B128:B683,1,0)</f>
        <v>2025003956</v>
      </c>
    </row>
    <row r="449" spans="1:13" hidden="1" x14ac:dyDescent="0.25">
      <c r="A449" t="s">
        <v>979</v>
      </c>
      <c r="B449">
        <v>2025003957</v>
      </c>
      <c r="C449" t="s">
        <v>467</v>
      </c>
      <c r="D449" t="s">
        <v>934</v>
      </c>
      <c r="E449">
        <v>27252200</v>
      </c>
      <c r="F449" t="s">
        <v>469</v>
      </c>
      <c r="G449">
        <v>873</v>
      </c>
      <c r="J449">
        <v>873</v>
      </c>
      <c r="K449" t="s">
        <v>934</v>
      </c>
      <c r="M449">
        <f>VLOOKUP(B449,'CARGADOS 2025 DICIEMBRE CIERRE'!B129:B684,1,0)</f>
        <v>2025003957</v>
      </c>
    </row>
    <row r="450" spans="1:13" hidden="1" x14ac:dyDescent="0.25">
      <c r="A450" t="s">
        <v>979</v>
      </c>
      <c r="B450">
        <v>2025003959</v>
      </c>
      <c r="C450" t="s">
        <v>341</v>
      </c>
      <c r="D450" t="s">
        <v>935</v>
      </c>
      <c r="E450">
        <v>1088734182</v>
      </c>
      <c r="F450" t="s">
        <v>342</v>
      </c>
      <c r="G450">
        <v>873</v>
      </c>
      <c r="J450">
        <v>873</v>
      </c>
      <c r="K450" t="s">
        <v>935</v>
      </c>
      <c r="M450">
        <f>VLOOKUP(B450,'CARGADOS 2025 DICIEMBRE CIERRE'!B130:B685,1,0)</f>
        <v>2025003959</v>
      </c>
    </row>
    <row r="451" spans="1:13" hidden="1" x14ac:dyDescent="0.25">
      <c r="A451" t="s">
        <v>979</v>
      </c>
      <c r="B451">
        <v>2025003961</v>
      </c>
      <c r="C451" t="s">
        <v>218</v>
      </c>
      <c r="D451" t="s">
        <v>932</v>
      </c>
      <c r="E451">
        <v>1089458048</v>
      </c>
      <c r="F451" t="s">
        <v>963</v>
      </c>
      <c r="G451">
        <v>873</v>
      </c>
      <c r="J451">
        <v>873</v>
      </c>
      <c r="K451" t="s">
        <v>932</v>
      </c>
      <c r="M451">
        <f>VLOOKUP(B451,'CARGADOS 2025 DICIEMBRE CIERRE'!B131:B686,1,0)</f>
        <v>2025003961</v>
      </c>
    </row>
    <row r="452" spans="1:13" hidden="1" x14ac:dyDescent="0.25">
      <c r="A452" t="s">
        <v>979</v>
      </c>
      <c r="B452">
        <v>2025003963</v>
      </c>
      <c r="C452" t="s">
        <v>145</v>
      </c>
      <c r="D452" t="s">
        <v>932</v>
      </c>
      <c r="E452">
        <v>1081272656</v>
      </c>
      <c r="F452" t="s">
        <v>146</v>
      </c>
      <c r="G452">
        <v>873</v>
      </c>
      <c r="J452">
        <v>873</v>
      </c>
      <c r="K452" t="s">
        <v>932</v>
      </c>
      <c r="M452">
        <f>VLOOKUP(B452,'CARGADOS 2025 DICIEMBRE CIERRE'!B132:B687,1,0)</f>
        <v>2025003963</v>
      </c>
    </row>
    <row r="453" spans="1:13" hidden="1" x14ac:dyDescent="0.25">
      <c r="A453" t="s">
        <v>979</v>
      </c>
      <c r="B453">
        <v>2025003964</v>
      </c>
      <c r="C453" t="s">
        <v>231</v>
      </c>
      <c r="D453" t="s">
        <v>932</v>
      </c>
      <c r="E453">
        <v>1081052746</v>
      </c>
      <c r="F453" t="s">
        <v>232</v>
      </c>
      <c r="G453">
        <v>873</v>
      </c>
      <c r="J453">
        <v>873</v>
      </c>
      <c r="K453" t="s">
        <v>932</v>
      </c>
      <c r="M453">
        <f>VLOOKUP(B453,'CARGADOS 2025 DICIEMBRE CIERRE'!B133:B688,1,0)</f>
        <v>2025003964</v>
      </c>
    </row>
    <row r="454" spans="1:13" hidden="1" x14ac:dyDescent="0.25">
      <c r="A454" t="s">
        <v>994</v>
      </c>
      <c r="B454">
        <v>2025003966</v>
      </c>
      <c r="C454" t="s">
        <v>683</v>
      </c>
      <c r="D454" t="s">
        <v>932</v>
      </c>
      <c r="E454">
        <v>59834953</v>
      </c>
      <c r="F454" t="s">
        <v>980</v>
      </c>
      <c r="G454">
        <v>873</v>
      </c>
      <c r="J454">
        <v>873</v>
      </c>
      <c r="K454" t="s">
        <v>932</v>
      </c>
      <c r="M454">
        <f>VLOOKUP(B454,'CARGADOS 2025 DICIEMBRE CIERRE'!B134:B689,1,0)</f>
        <v>2025003966</v>
      </c>
    </row>
    <row r="455" spans="1:13" hidden="1" x14ac:dyDescent="0.25">
      <c r="A455" t="s">
        <v>994</v>
      </c>
      <c r="B455">
        <v>2025003967</v>
      </c>
      <c r="C455" t="s">
        <v>707</v>
      </c>
      <c r="D455" t="s">
        <v>933</v>
      </c>
      <c r="E455">
        <v>1085310465</v>
      </c>
      <c r="F455" t="s">
        <v>66</v>
      </c>
      <c r="G455">
        <v>873</v>
      </c>
      <c r="J455">
        <v>873</v>
      </c>
      <c r="K455" t="s">
        <v>933</v>
      </c>
      <c r="M455">
        <f>VLOOKUP(B455,'CARGADOS 2025 DICIEMBRE CIERRE'!B135:B690,1,0)</f>
        <v>2025003967</v>
      </c>
    </row>
    <row r="456" spans="1:13" hidden="1" x14ac:dyDescent="0.25">
      <c r="A456" t="s">
        <v>994</v>
      </c>
      <c r="B456">
        <v>2025003969</v>
      </c>
      <c r="C456" t="s">
        <v>845</v>
      </c>
      <c r="D456" t="s">
        <v>932</v>
      </c>
      <c r="E456">
        <v>1010099104</v>
      </c>
      <c r="F456" t="s">
        <v>847</v>
      </c>
      <c r="G456">
        <v>873</v>
      </c>
      <c r="J456">
        <v>873</v>
      </c>
      <c r="K456" t="s">
        <v>932</v>
      </c>
      <c r="M456">
        <f>VLOOKUP(B456,'CARGADOS 2025 DICIEMBRE CIERRE'!B136:B691,1,0)</f>
        <v>2025003969</v>
      </c>
    </row>
    <row r="457" spans="1:13" hidden="1" x14ac:dyDescent="0.25">
      <c r="A457" t="s">
        <v>994</v>
      </c>
      <c r="B457">
        <v>2025003970</v>
      </c>
      <c r="C457" t="s">
        <v>165</v>
      </c>
      <c r="D457" t="s">
        <v>935</v>
      </c>
      <c r="E457">
        <v>1089846684</v>
      </c>
      <c r="F457" t="s">
        <v>166</v>
      </c>
      <c r="G457">
        <v>873</v>
      </c>
      <c r="J457">
        <v>873</v>
      </c>
      <c r="K457" t="s">
        <v>935</v>
      </c>
      <c r="M457">
        <f>VLOOKUP(B457,'CARGADOS 2025 DICIEMBRE CIERRE'!B137:B692,1,0)</f>
        <v>2025003970</v>
      </c>
    </row>
    <row r="458" spans="1:13" hidden="1" x14ac:dyDescent="0.25">
      <c r="A458" t="s">
        <v>994</v>
      </c>
      <c r="B458">
        <v>2025003973</v>
      </c>
      <c r="C458" t="s">
        <v>349</v>
      </c>
      <c r="D458" t="s">
        <v>932</v>
      </c>
      <c r="E458">
        <v>1004437571</v>
      </c>
      <c r="F458" t="s">
        <v>350</v>
      </c>
      <c r="G458">
        <v>873</v>
      </c>
      <c r="J458">
        <v>873</v>
      </c>
      <c r="K458" t="s">
        <v>932</v>
      </c>
      <c r="M458">
        <f>VLOOKUP(B458,'CARGADOS 2025 DICIEMBRE CIERRE'!B138:B693,1,0)</f>
        <v>2025003973</v>
      </c>
    </row>
    <row r="459" spans="1:13" hidden="1" x14ac:dyDescent="0.25">
      <c r="A459" t="s">
        <v>994</v>
      </c>
      <c r="B459">
        <v>2025003980</v>
      </c>
      <c r="C459" t="s">
        <v>197</v>
      </c>
      <c r="D459" t="s">
        <v>931</v>
      </c>
      <c r="E459">
        <v>1085340885</v>
      </c>
      <c r="F459" t="s">
        <v>36</v>
      </c>
      <c r="G459">
        <v>873</v>
      </c>
      <c r="J459">
        <v>873</v>
      </c>
      <c r="K459" t="s">
        <v>931</v>
      </c>
      <c r="M459">
        <f>VLOOKUP(B459,'CARGADOS 2025 DICIEMBRE CIERRE'!B139:B694,1,0)</f>
        <v>2025003980</v>
      </c>
    </row>
    <row r="460" spans="1:13" hidden="1" x14ac:dyDescent="0.25">
      <c r="A460" t="s">
        <v>994</v>
      </c>
      <c r="B460">
        <v>2025003981</v>
      </c>
      <c r="C460" t="s">
        <v>212</v>
      </c>
      <c r="D460" t="s">
        <v>932</v>
      </c>
      <c r="E460">
        <v>1087006717</v>
      </c>
      <c r="F460" t="s">
        <v>995</v>
      </c>
      <c r="G460">
        <v>873</v>
      </c>
      <c r="J460">
        <v>873</v>
      </c>
      <c r="K460" t="s">
        <v>932</v>
      </c>
      <c r="M460">
        <f>VLOOKUP(B460,'CARGADOS 2025 DICIEMBRE CIERRE'!B140:B695,1,0)</f>
        <v>2025003981</v>
      </c>
    </row>
    <row r="461" spans="1:13" hidden="1" x14ac:dyDescent="0.25">
      <c r="A461" t="s">
        <v>994</v>
      </c>
      <c r="B461">
        <v>2025003983</v>
      </c>
      <c r="C461" t="s">
        <v>242</v>
      </c>
      <c r="D461" t="s">
        <v>931</v>
      </c>
      <c r="E461">
        <v>1084227101</v>
      </c>
      <c r="F461" t="s">
        <v>243</v>
      </c>
      <c r="G461">
        <v>873</v>
      </c>
      <c r="J461">
        <v>873</v>
      </c>
      <c r="K461" t="s">
        <v>931</v>
      </c>
      <c r="M461">
        <f>VLOOKUP(B461,'CARGADOS 2025 DICIEMBRE CIERRE'!B141:B696,1,0)</f>
        <v>2025003983</v>
      </c>
    </row>
    <row r="462" spans="1:13" hidden="1" x14ac:dyDescent="0.25">
      <c r="A462" t="s">
        <v>994</v>
      </c>
      <c r="B462">
        <v>2025003985</v>
      </c>
      <c r="C462" t="s">
        <v>238</v>
      </c>
      <c r="D462" t="s">
        <v>932</v>
      </c>
      <c r="E462">
        <v>1085267332</v>
      </c>
      <c r="F462" t="s">
        <v>239</v>
      </c>
      <c r="G462">
        <v>873</v>
      </c>
      <c r="J462">
        <v>873</v>
      </c>
      <c r="K462" t="s">
        <v>932</v>
      </c>
      <c r="M462">
        <f>VLOOKUP(B462,'CARGADOS 2025 DICIEMBRE CIERRE'!B142:B697,1,0)</f>
        <v>2025003985</v>
      </c>
    </row>
    <row r="463" spans="1:13" hidden="1" x14ac:dyDescent="0.25">
      <c r="A463" t="s">
        <v>994</v>
      </c>
      <c r="B463">
        <v>2025003988</v>
      </c>
      <c r="C463" t="s">
        <v>112</v>
      </c>
      <c r="D463" t="s">
        <v>932</v>
      </c>
      <c r="E463">
        <v>1086329609</v>
      </c>
      <c r="F463" t="s">
        <v>996</v>
      </c>
      <c r="G463">
        <v>873</v>
      </c>
      <c r="J463">
        <v>873</v>
      </c>
      <c r="K463" t="s">
        <v>932</v>
      </c>
      <c r="M463">
        <f>VLOOKUP(B463,'CARGADOS 2025 DICIEMBRE CIERRE'!B143:B698,1,0)</f>
        <v>2025003988</v>
      </c>
    </row>
    <row r="464" spans="1:13" hidden="1" x14ac:dyDescent="0.25">
      <c r="A464" t="s">
        <v>994</v>
      </c>
      <c r="B464">
        <v>2025003989</v>
      </c>
      <c r="C464" t="s">
        <v>313</v>
      </c>
      <c r="D464" t="s">
        <v>932</v>
      </c>
      <c r="E464">
        <v>1004547484</v>
      </c>
      <c r="F464" t="s">
        <v>314</v>
      </c>
      <c r="G464">
        <v>873</v>
      </c>
      <c r="J464">
        <v>873</v>
      </c>
      <c r="K464" t="s">
        <v>932</v>
      </c>
      <c r="M464">
        <f>VLOOKUP(B464,'CARGADOS 2025 DICIEMBRE CIERRE'!B144:B699,1,0)</f>
        <v>2025003989</v>
      </c>
    </row>
    <row r="465" spans="1:13" hidden="1" x14ac:dyDescent="0.25">
      <c r="A465" t="s">
        <v>994</v>
      </c>
      <c r="B465">
        <v>2025003993</v>
      </c>
      <c r="C465" t="s">
        <v>726</v>
      </c>
      <c r="D465" t="s">
        <v>934</v>
      </c>
      <c r="E465">
        <v>1086360087</v>
      </c>
      <c r="F465" t="s">
        <v>728</v>
      </c>
      <c r="G465">
        <v>873</v>
      </c>
      <c r="J465">
        <v>873</v>
      </c>
      <c r="K465" t="s">
        <v>934</v>
      </c>
      <c r="M465">
        <f>VLOOKUP(B465,'CARGADOS 2025 DICIEMBRE CIERRE'!B145:B700,1,0)</f>
        <v>2025003993</v>
      </c>
    </row>
    <row r="466" spans="1:13" hidden="1" x14ac:dyDescent="0.25">
      <c r="A466" t="s">
        <v>994</v>
      </c>
      <c r="B466">
        <v>2025003994</v>
      </c>
      <c r="C466" t="s">
        <v>286</v>
      </c>
      <c r="D466" t="s">
        <v>934</v>
      </c>
      <c r="E466">
        <v>1085272491</v>
      </c>
      <c r="F466" t="s">
        <v>287</v>
      </c>
      <c r="G466">
        <v>873</v>
      </c>
      <c r="J466">
        <v>873</v>
      </c>
      <c r="K466" t="s">
        <v>934</v>
      </c>
      <c r="M466">
        <f>VLOOKUP(B466,'CARGADOS 2025 DICIEMBRE CIERRE'!B146:B701,1,0)</f>
        <v>2025003994</v>
      </c>
    </row>
    <row r="467" spans="1:13" hidden="1" x14ac:dyDescent="0.25">
      <c r="A467" t="s">
        <v>994</v>
      </c>
      <c r="B467">
        <v>2025003995</v>
      </c>
      <c r="C467" t="s">
        <v>840</v>
      </c>
      <c r="D467" t="s">
        <v>932</v>
      </c>
      <c r="E467">
        <v>1085270448</v>
      </c>
      <c r="F467" t="s">
        <v>842</v>
      </c>
      <c r="G467">
        <v>873</v>
      </c>
      <c r="J467">
        <v>873</v>
      </c>
      <c r="K467" t="s">
        <v>932</v>
      </c>
      <c r="M467">
        <f>VLOOKUP(B467,'CARGADOS 2025 DICIEMBRE CIERRE'!B147:B702,1,0)</f>
        <v>2025003995</v>
      </c>
    </row>
    <row r="468" spans="1:13" hidden="1" x14ac:dyDescent="0.25">
      <c r="A468" t="s">
        <v>994</v>
      </c>
      <c r="B468">
        <v>2025003996</v>
      </c>
      <c r="C468" t="s">
        <v>914</v>
      </c>
      <c r="D468" t="s">
        <v>932</v>
      </c>
      <c r="E468">
        <v>1085286742</v>
      </c>
      <c r="F468" t="s">
        <v>50</v>
      </c>
      <c r="G468">
        <v>873</v>
      </c>
      <c r="J468">
        <v>873</v>
      </c>
      <c r="K468" t="s">
        <v>932</v>
      </c>
      <c r="M468">
        <f>VLOOKUP(B468,'CARGADOS 2025 DICIEMBRE CIERRE'!B148:B703,1,0)</f>
        <v>2025003996</v>
      </c>
    </row>
    <row r="469" spans="1:13" hidden="1" x14ac:dyDescent="0.25">
      <c r="A469" t="s">
        <v>994</v>
      </c>
      <c r="B469">
        <v>2025003998</v>
      </c>
      <c r="C469" t="s">
        <v>720</v>
      </c>
      <c r="D469" t="s">
        <v>931</v>
      </c>
      <c r="E469">
        <v>52381227</v>
      </c>
      <c r="F469" t="s">
        <v>978</v>
      </c>
      <c r="G469">
        <v>873</v>
      </c>
      <c r="J469">
        <v>873</v>
      </c>
      <c r="K469" t="s">
        <v>931</v>
      </c>
      <c r="M469">
        <f>VLOOKUP(B469,'CARGADOS 2025 DICIEMBRE CIERRE'!B149:B704,1,0)</f>
        <v>2025003998</v>
      </c>
    </row>
    <row r="470" spans="1:13" hidden="1" x14ac:dyDescent="0.25">
      <c r="A470" t="s">
        <v>994</v>
      </c>
      <c r="B470">
        <v>2025003999</v>
      </c>
      <c r="C470" t="s">
        <v>705</v>
      </c>
      <c r="D470" t="s">
        <v>934</v>
      </c>
      <c r="E470">
        <v>1085253062</v>
      </c>
      <c r="F470" t="s">
        <v>81</v>
      </c>
      <c r="G470">
        <v>873</v>
      </c>
      <c r="J470">
        <v>873</v>
      </c>
      <c r="K470" t="s">
        <v>934</v>
      </c>
      <c r="M470">
        <f>VLOOKUP(B470,'CARGADOS 2025 DICIEMBRE CIERRE'!B150:B705,1,0)</f>
        <v>2025003999</v>
      </c>
    </row>
    <row r="471" spans="1:13" hidden="1" x14ac:dyDescent="0.25">
      <c r="A471" t="s">
        <v>994</v>
      </c>
      <c r="B471">
        <v>2025004002</v>
      </c>
      <c r="C471" t="s">
        <v>273</v>
      </c>
      <c r="D471" t="s">
        <v>935</v>
      </c>
      <c r="E471">
        <v>1087645723</v>
      </c>
      <c r="F471" t="s">
        <v>274</v>
      </c>
      <c r="G471">
        <v>873</v>
      </c>
      <c r="J471">
        <v>873</v>
      </c>
      <c r="K471" t="s">
        <v>935</v>
      </c>
      <c r="M471">
        <f>VLOOKUP(B471,'CARGADOS 2025 DICIEMBRE CIERRE'!B151:B706,1,0)</f>
        <v>2025004002</v>
      </c>
    </row>
    <row r="472" spans="1:13" hidden="1" x14ac:dyDescent="0.25">
      <c r="A472" t="s">
        <v>994</v>
      </c>
      <c r="B472">
        <v>2025004004</v>
      </c>
      <c r="C472" t="s">
        <v>900</v>
      </c>
      <c r="D472" t="s">
        <v>931</v>
      </c>
      <c r="E472">
        <v>13070247</v>
      </c>
      <c r="F472" t="s">
        <v>902</v>
      </c>
      <c r="G472">
        <v>873</v>
      </c>
      <c r="J472">
        <v>873</v>
      </c>
      <c r="K472" t="s">
        <v>931</v>
      </c>
      <c r="M472">
        <f>VLOOKUP(B472,'CARGADOS 2025 DICIEMBRE CIERRE'!B152:B707,1,0)</f>
        <v>2025004004</v>
      </c>
    </row>
    <row r="473" spans="1:13" hidden="1" x14ac:dyDescent="0.25">
      <c r="A473" t="s">
        <v>994</v>
      </c>
      <c r="B473">
        <v>2025004008</v>
      </c>
      <c r="C473" t="s">
        <v>723</v>
      </c>
      <c r="D473" t="s">
        <v>931</v>
      </c>
      <c r="E473">
        <v>1085323338</v>
      </c>
      <c r="F473" t="s">
        <v>997</v>
      </c>
      <c r="G473">
        <v>873</v>
      </c>
      <c r="J473">
        <v>873</v>
      </c>
      <c r="K473" t="s">
        <v>931</v>
      </c>
      <c r="M473">
        <f>VLOOKUP(B473,'CARGADOS 2025 DICIEMBRE CIERRE'!B153:B708,1,0)</f>
        <v>2025004008</v>
      </c>
    </row>
    <row r="474" spans="1:13" x14ac:dyDescent="0.25">
      <c r="A474" t="s">
        <v>994</v>
      </c>
      <c r="B474">
        <v>2025004011</v>
      </c>
      <c r="C474" t="s">
        <v>1011</v>
      </c>
      <c r="D474" t="s">
        <v>933</v>
      </c>
      <c r="E474">
        <v>66958357</v>
      </c>
      <c r="F474" t="s">
        <v>998</v>
      </c>
      <c r="G474">
        <v>873</v>
      </c>
      <c r="J474">
        <v>873</v>
      </c>
      <c r="K474" t="s">
        <v>933</v>
      </c>
      <c r="M474" t="e">
        <f>VLOOKUP(B474,'CARGADOS 2025 DICIEMBRE CIERRE'!B154:B709,1,0)</f>
        <v>#N/A</v>
      </c>
    </row>
    <row r="475" spans="1:13" hidden="1" x14ac:dyDescent="0.25">
      <c r="A475" t="s">
        <v>994</v>
      </c>
      <c r="B475">
        <v>2025004016</v>
      </c>
      <c r="C475" t="s">
        <v>157</v>
      </c>
      <c r="D475" t="s">
        <v>934</v>
      </c>
      <c r="E475">
        <v>59314458</v>
      </c>
      <c r="F475" t="s">
        <v>82</v>
      </c>
      <c r="G475">
        <v>873</v>
      </c>
      <c r="J475">
        <v>873</v>
      </c>
      <c r="K475" t="s">
        <v>934</v>
      </c>
      <c r="M475">
        <f>VLOOKUP(B475,'CARGADOS 2025 DICIEMBRE CIERRE'!B155:B710,1,0)</f>
        <v>2025004016</v>
      </c>
    </row>
    <row r="476" spans="1:13" hidden="1" x14ac:dyDescent="0.25">
      <c r="A476" t="s">
        <v>994</v>
      </c>
      <c r="B476">
        <v>2025004018</v>
      </c>
      <c r="C476" t="s">
        <v>872</v>
      </c>
      <c r="D476" t="s">
        <v>933</v>
      </c>
      <c r="E476">
        <v>36757715</v>
      </c>
      <c r="F476" t="s">
        <v>874</v>
      </c>
      <c r="G476">
        <v>873</v>
      </c>
      <c r="J476">
        <v>873</v>
      </c>
      <c r="K476" t="s">
        <v>933</v>
      </c>
      <c r="M476">
        <f>VLOOKUP(B476,'CARGADOS 2025 DICIEMBRE CIERRE'!B156:B711,1,0)</f>
        <v>2025004018</v>
      </c>
    </row>
    <row r="477" spans="1:13" hidden="1" x14ac:dyDescent="0.25">
      <c r="A477" t="s">
        <v>994</v>
      </c>
      <c r="B477">
        <v>2025004019</v>
      </c>
      <c r="C477" t="s">
        <v>159</v>
      </c>
      <c r="D477" t="s">
        <v>935</v>
      </c>
      <c r="E477">
        <v>1233193769</v>
      </c>
      <c r="F477" t="s">
        <v>160</v>
      </c>
      <c r="G477">
        <v>873</v>
      </c>
      <c r="J477">
        <v>873</v>
      </c>
      <c r="K477" t="s">
        <v>935</v>
      </c>
      <c r="M477">
        <f>VLOOKUP(B477,'CARGADOS 2025 DICIEMBRE CIERRE'!B157:B712,1,0)</f>
        <v>2025004019</v>
      </c>
    </row>
    <row r="478" spans="1:13" hidden="1" x14ac:dyDescent="0.25">
      <c r="A478" t="s">
        <v>994</v>
      </c>
      <c r="B478">
        <v>2025004023</v>
      </c>
      <c r="C478" t="s">
        <v>916</v>
      </c>
      <c r="D478" t="s">
        <v>932</v>
      </c>
      <c r="E478">
        <v>59828916</v>
      </c>
      <c r="F478" t="s">
        <v>999</v>
      </c>
      <c r="G478">
        <v>873</v>
      </c>
      <c r="J478">
        <v>873</v>
      </c>
      <c r="K478" t="s">
        <v>932</v>
      </c>
      <c r="M478">
        <f>VLOOKUP(B478,'CARGADOS 2025 DICIEMBRE CIERRE'!B158:B713,1,0)</f>
        <v>2025004023</v>
      </c>
    </row>
    <row r="479" spans="1:13" hidden="1" x14ac:dyDescent="0.25">
      <c r="A479" t="s">
        <v>994</v>
      </c>
      <c r="B479">
        <v>2025004026</v>
      </c>
      <c r="C479" t="s">
        <v>355</v>
      </c>
      <c r="D479" t="s">
        <v>932</v>
      </c>
      <c r="E479">
        <v>1004726621</v>
      </c>
      <c r="F479" t="s">
        <v>356</v>
      </c>
      <c r="G479">
        <v>873</v>
      </c>
      <c r="J479">
        <v>873</v>
      </c>
      <c r="K479" t="s">
        <v>932</v>
      </c>
      <c r="M479">
        <f>VLOOKUP(B479,'CARGADOS 2025 DICIEMBRE CIERRE'!B159:B714,1,0)</f>
        <v>2025004026</v>
      </c>
    </row>
    <row r="480" spans="1:13" hidden="1" x14ac:dyDescent="0.25">
      <c r="A480" t="s">
        <v>994</v>
      </c>
      <c r="B480">
        <v>2025004033</v>
      </c>
      <c r="C480" t="s">
        <v>897</v>
      </c>
      <c r="D480" t="s">
        <v>933</v>
      </c>
      <c r="E480">
        <v>1085275445</v>
      </c>
      <c r="F480" t="s">
        <v>899</v>
      </c>
      <c r="G480">
        <v>873</v>
      </c>
      <c r="J480">
        <v>873</v>
      </c>
      <c r="K480" t="s">
        <v>933</v>
      </c>
      <c r="M480">
        <f>VLOOKUP(B480,'CARGADOS 2025 DICIEMBRE CIERRE'!B160:B715,1,0)</f>
        <v>2025004033</v>
      </c>
    </row>
    <row r="481" spans="1:13" hidden="1" x14ac:dyDescent="0.25">
      <c r="A481" t="s">
        <v>994</v>
      </c>
      <c r="B481">
        <v>2025004034</v>
      </c>
      <c r="C481" t="s">
        <v>270</v>
      </c>
      <c r="D481" t="s">
        <v>934</v>
      </c>
      <c r="E481">
        <v>1085299577</v>
      </c>
      <c r="F481" t="s">
        <v>56</v>
      </c>
      <c r="G481">
        <v>873</v>
      </c>
      <c r="J481">
        <v>873</v>
      </c>
      <c r="K481" t="s">
        <v>934</v>
      </c>
      <c r="M481">
        <f>VLOOKUP(B481,'CARGADOS 2025 DICIEMBRE CIERRE'!B161:B716,1,0)</f>
        <v>2025004034</v>
      </c>
    </row>
    <row r="482" spans="1:13" hidden="1" x14ac:dyDescent="0.25">
      <c r="A482" t="s">
        <v>994</v>
      </c>
      <c r="B482">
        <v>2025004035</v>
      </c>
      <c r="C482" t="s">
        <v>732</v>
      </c>
      <c r="D482" t="s">
        <v>935</v>
      </c>
      <c r="E482">
        <v>59313415</v>
      </c>
      <c r="F482" t="s">
        <v>734</v>
      </c>
      <c r="G482">
        <v>873</v>
      </c>
      <c r="J482">
        <v>873</v>
      </c>
      <c r="K482" t="s">
        <v>935</v>
      </c>
      <c r="M482">
        <f>VLOOKUP(B482,'CARGADOS 2025 DICIEMBRE CIERRE'!B162:B717,1,0)</f>
        <v>2025004035</v>
      </c>
    </row>
    <row r="483" spans="1:13" hidden="1" x14ac:dyDescent="0.25">
      <c r="A483" t="s">
        <v>994</v>
      </c>
      <c r="B483">
        <v>2025004037</v>
      </c>
      <c r="C483" t="s">
        <v>292</v>
      </c>
      <c r="D483" t="s">
        <v>931</v>
      </c>
      <c r="E483">
        <v>36759759</v>
      </c>
      <c r="F483" t="s">
        <v>28</v>
      </c>
      <c r="G483">
        <v>873</v>
      </c>
      <c r="J483">
        <v>873</v>
      </c>
      <c r="K483" t="s">
        <v>931</v>
      </c>
      <c r="M483">
        <f>VLOOKUP(B483,'CARGADOS 2025 DICIEMBRE CIERRE'!B163:B718,1,0)</f>
        <v>2025004037</v>
      </c>
    </row>
    <row r="484" spans="1:13" hidden="1" x14ac:dyDescent="0.25">
      <c r="A484" t="s">
        <v>994</v>
      </c>
      <c r="B484">
        <v>2025004039</v>
      </c>
      <c r="C484" t="s">
        <v>673</v>
      </c>
      <c r="D484" t="s">
        <v>931</v>
      </c>
      <c r="E484">
        <v>59816986</v>
      </c>
      <c r="F484" t="s">
        <v>675</v>
      </c>
      <c r="G484">
        <v>873</v>
      </c>
      <c r="J484">
        <v>873</v>
      </c>
      <c r="K484" t="s">
        <v>931</v>
      </c>
      <c r="M484">
        <f>VLOOKUP(B484,'CARGADOS 2025 DICIEMBRE CIERRE'!B164:B719,1,0)</f>
        <v>2025004039</v>
      </c>
    </row>
    <row r="485" spans="1:13" hidden="1" x14ac:dyDescent="0.25">
      <c r="A485" t="s">
        <v>994</v>
      </c>
      <c r="B485">
        <v>2025004041</v>
      </c>
      <c r="C485" t="s">
        <v>670</v>
      </c>
      <c r="D485" t="s">
        <v>932</v>
      </c>
      <c r="E485">
        <v>1081052779</v>
      </c>
      <c r="F485" t="s">
        <v>672</v>
      </c>
      <c r="G485">
        <v>873</v>
      </c>
      <c r="J485">
        <v>873</v>
      </c>
      <c r="K485" t="s">
        <v>932</v>
      </c>
      <c r="M485">
        <f>VLOOKUP(B485,'CARGADOS 2025 DICIEMBRE CIERRE'!B165:B720,1,0)</f>
        <v>2025004041</v>
      </c>
    </row>
    <row r="486" spans="1:13" hidden="1" x14ac:dyDescent="0.25">
      <c r="A486" t="s">
        <v>994</v>
      </c>
      <c r="B486">
        <v>2025004042</v>
      </c>
      <c r="C486" t="s">
        <v>685</v>
      </c>
      <c r="D486" t="s">
        <v>933</v>
      </c>
      <c r="E486">
        <v>1085334831</v>
      </c>
      <c r="F486" t="s">
        <v>687</v>
      </c>
      <c r="G486">
        <v>873</v>
      </c>
      <c r="J486">
        <v>873</v>
      </c>
      <c r="K486" t="s">
        <v>933</v>
      </c>
      <c r="M486">
        <f>VLOOKUP(B486,'CARGADOS 2025 DICIEMBRE CIERRE'!B166:B721,1,0)</f>
        <v>2025004042</v>
      </c>
    </row>
    <row r="487" spans="1:13" hidden="1" x14ac:dyDescent="0.25">
      <c r="A487" t="s">
        <v>994</v>
      </c>
      <c r="B487">
        <v>2025004046</v>
      </c>
      <c r="C487" t="s">
        <v>180</v>
      </c>
      <c r="D487" t="s">
        <v>931</v>
      </c>
      <c r="E487">
        <v>36756149</v>
      </c>
      <c r="F487" t="s">
        <v>181</v>
      </c>
      <c r="G487">
        <v>873</v>
      </c>
      <c r="J487">
        <v>873</v>
      </c>
      <c r="K487" t="s">
        <v>931</v>
      </c>
      <c r="M487">
        <f>VLOOKUP(B487,'CARGADOS 2025 DICIEMBRE CIERRE'!B167:B722,1,0)</f>
        <v>2025004046</v>
      </c>
    </row>
    <row r="488" spans="1:13" hidden="1" x14ac:dyDescent="0.25">
      <c r="A488" t="s">
        <v>994</v>
      </c>
      <c r="B488">
        <v>2025004047</v>
      </c>
      <c r="C488" t="s">
        <v>277</v>
      </c>
      <c r="D488" t="s">
        <v>931</v>
      </c>
      <c r="E488">
        <v>1086137686</v>
      </c>
      <c r="F488" t="s">
        <v>278</v>
      </c>
      <c r="G488">
        <v>873</v>
      </c>
      <c r="J488">
        <v>873</v>
      </c>
      <c r="K488" t="s">
        <v>931</v>
      </c>
      <c r="M488">
        <f>VLOOKUP(B488,'CARGADOS 2025 DICIEMBRE CIERRE'!B168:B723,1,0)</f>
        <v>2025004047</v>
      </c>
    </row>
    <row r="489" spans="1:13" hidden="1" x14ac:dyDescent="0.25">
      <c r="A489" t="s">
        <v>994</v>
      </c>
      <c r="B489">
        <v>2025004048</v>
      </c>
      <c r="C489" t="s">
        <v>279</v>
      </c>
      <c r="D489" t="s">
        <v>935</v>
      </c>
      <c r="E489">
        <v>1086361969</v>
      </c>
      <c r="F489" t="s">
        <v>972</v>
      </c>
      <c r="G489">
        <v>873</v>
      </c>
      <c r="J489">
        <v>873</v>
      </c>
      <c r="K489" t="s">
        <v>935</v>
      </c>
      <c r="M489">
        <f>VLOOKUP(B489,'CARGADOS 2025 DICIEMBRE CIERRE'!B169:B724,1,0)</f>
        <v>2025004048</v>
      </c>
    </row>
    <row r="490" spans="1:13" hidden="1" x14ac:dyDescent="0.25">
      <c r="A490" t="s">
        <v>994</v>
      </c>
      <c r="B490">
        <v>2025004050</v>
      </c>
      <c r="C490" t="s">
        <v>182</v>
      </c>
      <c r="D490" t="s">
        <v>935</v>
      </c>
      <c r="E490">
        <v>1233189066</v>
      </c>
      <c r="F490" t="s">
        <v>982</v>
      </c>
      <c r="G490">
        <v>873</v>
      </c>
      <c r="J490">
        <v>873</v>
      </c>
      <c r="K490" t="s">
        <v>935</v>
      </c>
      <c r="M490">
        <f>VLOOKUP(B490,'CARGADOS 2025 DICIEMBRE CIERRE'!B170:B725,1,0)</f>
        <v>2025004050</v>
      </c>
    </row>
    <row r="491" spans="1:13" hidden="1" x14ac:dyDescent="0.25">
      <c r="A491" t="s">
        <v>994</v>
      </c>
      <c r="B491">
        <v>2025004051</v>
      </c>
      <c r="C491" t="s">
        <v>167</v>
      </c>
      <c r="D491" t="s">
        <v>934</v>
      </c>
      <c r="E491">
        <v>1193383314</v>
      </c>
      <c r="F491" t="s">
        <v>168</v>
      </c>
      <c r="G491">
        <v>873</v>
      </c>
      <c r="J491">
        <v>873</v>
      </c>
      <c r="K491" t="s">
        <v>934</v>
      </c>
      <c r="M491">
        <f>VLOOKUP(B491,'CARGADOS 2025 DICIEMBRE CIERRE'!B171:B726,1,0)</f>
        <v>2025004051</v>
      </c>
    </row>
    <row r="492" spans="1:13" hidden="1" x14ac:dyDescent="0.25">
      <c r="A492" t="s">
        <v>994</v>
      </c>
      <c r="B492">
        <v>2025004056</v>
      </c>
      <c r="C492" t="s">
        <v>351</v>
      </c>
      <c r="D492" t="s">
        <v>932</v>
      </c>
      <c r="E492">
        <v>1005977438</v>
      </c>
      <c r="F492" t="s">
        <v>352</v>
      </c>
      <c r="G492">
        <v>873</v>
      </c>
      <c r="J492">
        <v>873</v>
      </c>
      <c r="K492" t="s">
        <v>932</v>
      </c>
      <c r="M492">
        <f>VLOOKUP(B492,'CARGADOS 2025 DICIEMBRE CIERRE'!B172:B727,1,0)</f>
        <v>2025004056</v>
      </c>
    </row>
    <row r="493" spans="1:13" hidden="1" x14ac:dyDescent="0.25">
      <c r="A493" t="s">
        <v>994</v>
      </c>
      <c r="B493">
        <v>2025004059</v>
      </c>
      <c r="C493" t="s">
        <v>735</v>
      </c>
      <c r="D493" t="s">
        <v>931</v>
      </c>
      <c r="E493">
        <v>1233188033</v>
      </c>
      <c r="F493" t="s">
        <v>737</v>
      </c>
      <c r="G493">
        <v>873</v>
      </c>
      <c r="J493">
        <v>873</v>
      </c>
      <c r="K493" t="s">
        <v>931</v>
      </c>
      <c r="M493">
        <f>VLOOKUP(B493,'CARGADOS 2025 DICIEMBRE CIERRE'!B173:B728,1,0)</f>
        <v>2025004059</v>
      </c>
    </row>
    <row r="494" spans="1:13" hidden="1" x14ac:dyDescent="0.25">
      <c r="A494" t="s">
        <v>994</v>
      </c>
      <c r="B494">
        <v>2025004060</v>
      </c>
      <c r="C494" t="s">
        <v>702</v>
      </c>
      <c r="D494" t="s">
        <v>931</v>
      </c>
      <c r="E494">
        <v>1233190311</v>
      </c>
      <c r="F494" t="s">
        <v>704</v>
      </c>
      <c r="G494">
        <v>873</v>
      </c>
      <c r="J494">
        <v>873</v>
      </c>
      <c r="K494" t="s">
        <v>931</v>
      </c>
      <c r="M494">
        <f>VLOOKUP(B494,'CARGADOS 2025 DICIEMBRE CIERRE'!B174:B729,1,0)</f>
        <v>2025004060</v>
      </c>
    </row>
    <row r="495" spans="1:13" hidden="1" x14ac:dyDescent="0.25">
      <c r="A495" t="s">
        <v>994</v>
      </c>
      <c r="B495">
        <v>2025004061</v>
      </c>
      <c r="C495" t="s">
        <v>883</v>
      </c>
      <c r="D495" t="s">
        <v>932</v>
      </c>
      <c r="E495">
        <v>1085331558</v>
      </c>
      <c r="F495" t="s">
        <v>885</v>
      </c>
      <c r="G495">
        <v>873</v>
      </c>
      <c r="J495">
        <v>873</v>
      </c>
      <c r="K495" t="s">
        <v>932</v>
      </c>
      <c r="M495">
        <f>VLOOKUP(B495,'CARGADOS 2025 DICIEMBRE CIERRE'!B175:B730,1,0)</f>
        <v>2025004061</v>
      </c>
    </row>
    <row r="496" spans="1:13" hidden="1" x14ac:dyDescent="0.25">
      <c r="A496" t="s">
        <v>994</v>
      </c>
      <c r="B496">
        <v>2025004062</v>
      </c>
      <c r="C496" t="s">
        <v>161</v>
      </c>
      <c r="D496" t="s">
        <v>935</v>
      </c>
      <c r="E496">
        <v>1085274300</v>
      </c>
      <c r="F496" t="s">
        <v>162</v>
      </c>
      <c r="G496">
        <v>873</v>
      </c>
      <c r="J496">
        <v>873</v>
      </c>
      <c r="K496" t="s">
        <v>935</v>
      </c>
      <c r="M496">
        <f>VLOOKUP(B496,'CARGADOS 2025 DICIEMBRE CIERRE'!B176:B731,1,0)</f>
        <v>2025004062</v>
      </c>
    </row>
    <row r="497" spans="1:13" hidden="1" x14ac:dyDescent="0.25">
      <c r="A497" t="s">
        <v>994</v>
      </c>
      <c r="B497">
        <v>2025004063</v>
      </c>
      <c r="C497" t="s">
        <v>714</v>
      </c>
      <c r="D497" t="s">
        <v>932</v>
      </c>
      <c r="E497">
        <v>27253636</v>
      </c>
      <c r="F497" t="s">
        <v>716</v>
      </c>
      <c r="G497">
        <v>873</v>
      </c>
      <c r="J497">
        <v>873</v>
      </c>
      <c r="K497" t="s">
        <v>932</v>
      </c>
      <c r="M497">
        <f>VLOOKUP(B497,'CARGADOS 2025 DICIEMBRE CIERRE'!B177:B732,1,0)</f>
        <v>2025004063</v>
      </c>
    </row>
    <row r="498" spans="1:13" hidden="1" x14ac:dyDescent="0.25">
      <c r="A498" t="s">
        <v>994</v>
      </c>
      <c r="B498">
        <v>2025004064</v>
      </c>
      <c r="C498" t="s">
        <v>272</v>
      </c>
      <c r="D498" t="s">
        <v>934</v>
      </c>
      <c r="E498">
        <v>1085275879</v>
      </c>
      <c r="F498" t="s">
        <v>43</v>
      </c>
      <c r="G498">
        <v>873</v>
      </c>
      <c r="J498">
        <v>873</v>
      </c>
      <c r="K498" t="s">
        <v>934</v>
      </c>
      <c r="M498">
        <f>VLOOKUP(B498,'CARGADOS 2025 DICIEMBRE CIERRE'!B178:B733,1,0)</f>
        <v>2025004064</v>
      </c>
    </row>
    <row r="499" spans="1:13" hidden="1" x14ac:dyDescent="0.25">
      <c r="A499" t="s">
        <v>994</v>
      </c>
      <c r="B499">
        <v>2025004065</v>
      </c>
      <c r="C499" t="s">
        <v>175</v>
      </c>
      <c r="D499" t="s">
        <v>932</v>
      </c>
      <c r="E499">
        <v>1085255829</v>
      </c>
      <c r="F499" t="s">
        <v>971</v>
      </c>
      <c r="G499">
        <v>873</v>
      </c>
      <c r="J499">
        <v>873</v>
      </c>
      <c r="K499" t="s">
        <v>932</v>
      </c>
      <c r="M499">
        <f>VLOOKUP(B499,'CARGADOS 2025 DICIEMBRE CIERRE'!B179:B734,1,0)</f>
        <v>2025004065</v>
      </c>
    </row>
    <row r="500" spans="1:13" hidden="1" x14ac:dyDescent="0.25">
      <c r="A500" t="s">
        <v>994</v>
      </c>
      <c r="B500">
        <v>2025004066</v>
      </c>
      <c r="C500" t="s">
        <v>694</v>
      </c>
      <c r="D500" t="s">
        <v>932</v>
      </c>
      <c r="E500">
        <v>5930737</v>
      </c>
      <c r="F500" t="s">
        <v>696</v>
      </c>
      <c r="G500">
        <v>873</v>
      </c>
      <c r="J500">
        <v>873</v>
      </c>
      <c r="K500" t="s">
        <v>932</v>
      </c>
      <c r="M500">
        <f>VLOOKUP(B500,'CARGADOS 2025 DICIEMBRE CIERRE'!B180:B735,1,0)</f>
        <v>2025004066</v>
      </c>
    </row>
    <row r="501" spans="1:13" hidden="1" x14ac:dyDescent="0.25">
      <c r="A501" t="s">
        <v>994</v>
      </c>
      <c r="B501">
        <v>2025004067</v>
      </c>
      <c r="C501" t="s">
        <v>876</v>
      </c>
      <c r="D501" t="s">
        <v>933</v>
      </c>
      <c r="E501">
        <v>1085253512</v>
      </c>
      <c r="F501" t="s">
        <v>975</v>
      </c>
      <c r="G501">
        <v>873</v>
      </c>
      <c r="J501">
        <v>873</v>
      </c>
      <c r="K501" t="s">
        <v>933</v>
      </c>
      <c r="M501">
        <f>VLOOKUP(B501,'CARGADOS 2025 DICIEMBRE CIERRE'!B181:B736,1,0)</f>
        <v>2025004067</v>
      </c>
    </row>
    <row r="502" spans="1:13" hidden="1" x14ac:dyDescent="0.25">
      <c r="A502" t="s">
        <v>994</v>
      </c>
      <c r="B502">
        <v>2025004070</v>
      </c>
      <c r="C502" t="s">
        <v>284</v>
      </c>
      <c r="D502" t="s">
        <v>932</v>
      </c>
      <c r="E502">
        <v>1085295583</v>
      </c>
      <c r="F502" t="s">
        <v>285</v>
      </c>
      <c r="G502">
        <v>873</v>
      </c>
      <c r="J502">
        <v>873</v>
      </c>
      <c r="K502" t="s">
        <v>932</v>
      </c>
      <c r="M502">
        <f>VLOOKUP(B502,'CARGADOS 2025 DICIEMBRE CIERRE'!B182:B737,1,0)</f>
        <v>2025004070</v>
      </c>
    </row>
    <row r="503" spans="1:13" hidden="1" x14ac:dyDescent="0.25">
      <c r="A503" t="s">
        <v>994</v>
      </c>
      <c r="B503">
        <v>2025004071</v>
      </c>
      <c r="C503" t="s">
        <v>680</v>
      </c>
      <c r="D503" t="s">
        <v>932</v>
      </c>
      <c r="E503">
        <v>87030128</v>
      </c>
      <c r="F503" t="s">
        <v>1000</v>
      </c>
      <c r="G503">
        <v>873</v>
      </c>
      <c r="J503">
        <v>873</v>
      </c>
      <c r="K503" t="s">
        <v>932</v>
      </c>
      <c r="M503">
        <f>VLOOKUP(B503,'CARGADOS 2025 DICIEMBRE CIERRE'!B183:B738,1,0)</f>
        <v>2025004071</v>
      </c>
    </row>
    <row r="504" spans="1:13" hidden="1" x14ac:dyDescent="0.25">
      <c r="A504" t="s">
        <v>994</v>
      </c>
      <c r="B504">
        <v>2025004072</v>
      </c>
      <c r="C504" t="s">
        <v>271</v>
      </c>
      <c r="D504" t="s">
        <v>932</v>
      </c>
      <c r="E504">
        <v>59310524</v>
      </c>
      <c r="F504" t="s">
        <v>22</v>
      </c>
      <c r="G504">
        <v>873</v>
      </c>
      <c r="J504">
        <v>873</v>
      </c>
      <c r="K504" t="s">
        <v>932</v>
      </c>
      <c r="M504">
        <f>VLOOKUP(B504,'CARGADOS 2025 DICIEMBRE CIERRE'!B184:B739,1,0)</f>
        <v>2025004072</v>
      </c>
    </row>
    <row r="505" spans="1:13" hidden="1" x14ac:dyDescent="0.25">
      <c r="A505" t="s">
        <v>994</v>
      </c>
      <c r="B505">
        <v>2025004073</v>
      </c>
      <c r="C505" t="s">
        <v>894</v>
      </c>
      <c r="D505" t="s">
        <v>932</v>
      </c>
      <c r="E505">
        <v>1085338921</v>
      </c>
      <c r="F505" t="s">
        <v>896</v>
      </c>
      <c r="G505">
        <v>873</v>
      </c>
      <c r="J505">
        <v>873</v>
      </c>
      <c r="K505" t="s">
        <v>932</v>
      </c>
      <c r="M505">
        <f>VLOOKUP(B505,'CARGADOS 2025 DICIEMBRE CIERRE'!B185:B740,1,0)</f>
        <v>2025004073</v>
      </c>
    </row>
    <row r="506" spans="1:13" hidden="1" x14ac:dyDescent="0.25">
      <c r="A506" t="s">
        <v>994</v>
      </c>
      <c r="B506">
        <v>2025004074</v>
      </c>
      <c r="C506" t="s">
        <v>171</v>
      </c>
      <c r="D506" t="s">
        <v>932</v>
      </c>
      <c r="E506">
        <v>1085323163</v>
      </c>
      <c r="F506" t="s">
        <v>172</v>
      </c>
      <c r="G506">
        <v>873</v>
      </c>
      <c r="J506">
        <v>873</v>
      </c>
      <c r="K506" t="s">
        <v>932</v>
      </c>
      <c r="M506">
        <f>VLOOKUP(B506,'CARGADOS 2025 DICIEMBRE CIERRE'!B186:B741,1,0)</f>
        <v>2025004074</v>
      </c>
    </row>
    <row r="507" spans="1:13" hidden="1" x14ac:dyDescent="0.25">
      <c r="A507" t="s">
        <v>994</v>
      </c>
      <c r="B507">
        <v>2025004075</v>
      </c>
      <c r="C507" t="s">
        <v>293</v>
      </c>
      <c r="D507" t="s">
        <v>931</v>
      </c>
      <c r="E507">
        <v>1085264667</v>
      </c>
      <c r="F507" t="s">
        <v>294</v>
      </c>
      <c r="G507">
        <v>873</v>
      </c>
      <c r="J507">
        <v>873</v>
      </c>
      <c r="K507" t="s">
        <v>931</v>
      </c>
      <c r="M507">
        <f>VLOOKUP(B507,'CARGADOS 2025 DICIEMBRE CIERRE'!B187:B742,1,0)</f>
        <v>2025004075</v>
      </c>
    </row>
    <row r="508" spans="1:13" hidden="1" x14ac:dyDescent="0.25">
      <c r="A508" t="s">
        <v>994</v>
      </c>
      <c r="B508">
        <v>2025004076</v>
      </c>
      <c r="C508" t="s">
        <v>173</v>
      </c>
      <c r="D508" t="s">
        <v>932</v>
      </c>
      <c r="E508">
        <v>1085288636</v>
      </c>
      <c r="F508" t="s">
        <v>174</v>
      </c>
      <c r="G508">
        <v>873</v>
      </c>
      <c r="J508">
        <v>873</v>
      </c>
      <c r="K508" t="s">
        <v>932</v>
      </c>
      <c r="M508">
        <f>VLOOKUP(B508,'CARGADOS 2025 DICIEMBRE CIERRE'!B188:B743,1,0)</f>
        <v>2025004076</v>
      </c>
    </row>
    <row r="509" spans="1:13" hidden="1" x14ac:dyDescent="0.25">
      <c r="A509" t="s">
        <v>994</v>
      </c>
      <c r="B509">
        <v>2025004077</v>
      </c>
      <c r="C509" t="s">
        <v>697</v>
      </c>
      <c r="D509" t="s">
        <v>932</v>
      </c>
      <c r="E509">
        <v>36861874</v>
      </c>
      <c r="F509" t="s">
        <v>72</v>
      </c>
      <c r="G509">
        <v>873</v>
      </c>
      <c r="J509">
        <v>873</v>
      </c>
      <c r="K509" t="s">
        <v>932</v>
      </c>
      <c r="M509">
        <f>VLOOKUP(B509,'CARGADOS 2025 DICIEMBRE CIERRE'!B189:B744,1,0)</f>
        <v>2025004077</v>
      </c>
    </row>
    <row r="510" spans="1:13" hidden="1" x14ac:dyDescent="0.25">
      <c r="A510" t="s">
        <v>994</v>
      </c>
      <c r="B510">
        <v>2025004078</v>
      </c>
      <c r="C510" t="s">
        <v>903</v>
      </c>
      <c r="D510" t="s">
        <v>934</v>
      </c>
      <c r="E510">
        <v>1085246134</v>
      </c>
      <c r="F510" t="s">
        <v>905</v>
      </c>
      <c r="G510">
        <v>873</v>
      </c>
      <c r="J510">
        <v>873</v>
      </c>
      <c r="K510" t="s">
        <v>934</v>
      </c>
      <c r="M510">
        <f>VLOOKUP(B510,'CARGADOS 2025 DICIEMBRE CIERRE'!B190:B745,1,0)</f>
        <v>2025004078</v>
      </c>
    </row>
    <row r="511" spans="1:13" hidden="1" x14ac:dyDescent="0.25">
      <c r="A511" t="s">
        <v>994</v>
      </c>
      <c r="B511">
        <v>2025004079</v>
      </c>
      <c r="C511" t="s">
        <v>281</v>
      </c>
      <c r="D511" t="s">
        <v>934</v>
      </c>
      <c r="E511">
        <v>27146489</v>
      </c>
      <c r="F511" t="s">
        <v>9</v>
      </c>
      <c r="G511">
        <v>873</v>
      </c>
      <c r="J511">
        <v>873</v>
      </c>
      <c r="K511" t="s">
        <v>934</v>
      </c>
      <c r="M511">
        <f>VLOOKUP(B511,'CARGADOS 2025 DICIEMBRE CIERRE'!B191:B746,1,0)</f>
        <v>2025004079</v>
      </c>
    </row>
    <row r="512" spans="1:13" hidden="1" x14ac:dyDescent="0.25">
      <c r="A512" t="s">
        <v>994</v>
      </c>
      <c r="B512">
        <v>2025004080</v>
      </c>
      <c r="C512" t="s">
        <v>302</v>
      </c>
      <c r="D512" t="s">
        <v>934</v>
      </c>
      <c r="E512">
        <v>27456421</v>
      </c>
      <c r="F512" t="s">
        <v>303</v>
      </c>
      <c r="G512">
        <v>873</v>
      </c>
      <c r="J512">
        <v>873</v>
      </c>
      <c r="K512" t="s">
        <v>934</v>
      </c>
      <c r="M512">
        <f>VLOOKUP(B512,'CARGADOS 2025 DICIEMBRE CIERRE'!B192:B747,1,0)</f>
        <v>2025004080</v>
      </c>
    </row>
    <row r="513" spans="1:13" hidden="1" x14ac:dyDescent="0.25">
      <c r="A513" t="s">
        <v>994</v>
      </c>
      <c r="B513">
        <v>2025004081</v>
      </c>
      <c r="C513" t="s">
        <v>163</v>
      </c>
      <c r="D513" t="s">
        <v>935</v>
      </c>
      <c r="E513">
        <v>1233188295</v>
      </c>
      <c r="F513" t="s">
        <v>164</v>
      </c>
      <c r="G513">
        <v>873</v>
      </c>
      <c r="J513">
        <v>873</v>
      </c>
      <c r="K513" t="s">
        <v>935</v>
      </c>
      <c r="M513">
        <f>VLOOKUP(B513,'CARGADOS 2025 DICIEMBRE CIERRE'!B193:B748,1,0)</f>
        <v>2025004081</v>
      </c>
    </row>
    <row r="514" spans="1:13" hidden="1" x14ac:dyDescent="0.25">
      <c r="A514" t="s">
        <v>994</v>
      </c>
      <c r="B514">
        <v>2025004082</v>
      </c>
      <c r="C514" t="s">
        <v>357</v>
      </c>
      <c r="D514" t="s">
        <v>935</v>
      </c>
      <c r="E514">
        <v>1110594073</v>
      </c>
      <c r="F514" t="s">
        <v>358</v>
      </c>
      <c r="G514">
        <v>873</v>
      </c>
      <c r="J514">
        <v>873</v>
      </c>
      <c r="K514" t="s">
        <v>935</v>
      </c>
      <c r="M514">
        <f>VLOOKUP(B514,'CARGADOS 2025 DICIEMBRE CIERRE'!B194:B749,1,0)</f>
        <v>2025004082</v>
      </c>
    </row>
    <row r="515" spans="1:13" hidden="1" x14ac:dyDescent="0.25">
      <c r="A515" t="s">
        <v>994</v>
      </c>
      <c r="B515">
        <v>2025004083</v>
      </c>
      <c r="C515" t="s">
        <v>699</v>
      </c>
      <c r="D515" t="s">
        <v>931</v>
      </c>
      <c r="E515">
        <v>1085335069</v>
      </c>
      <c r="F515" t="s">
        <v>701</v>
      </c>
      <c r="G515">
        <v>873</v>
      </c>
      <c r="J515">
        <v>873</v>
      </c>
      <c r="K515" t="s">
        <v>931</v>
      </c>
      <c r="M515">
        <f>VLOOKUP(B515,'CARGADOS 2025 DICIEMBRE CIERRE'!B195:B750,1,0)</f>
        <v>2025004083</v>
      </c>
    </row>
    <row r="516" spans="1:13" hidden="1" x14ac:dyDescent="0.25">
      <c r="A516" t="s">
        <v>994</v>
      </c>
      <c r="B516">
        <v>2025004085</v>
      </c>
      <c r="C516" t="s">
        <v>918</v>
      </c>
      <c r="D516" t="s">
        <v>934</v>
      </c>
      <c r="E516">
        <v>1193474724</v>
      </c>
      <c r="F516" t="s">
        <v>920</v>
      </c>
      <c r="G516">
        <v>873</v>
      </c>
      <c r="J516">
        <v>873</v>
      </c>
      <c r="K516" t="s">
        <v>934</v>
      </c>
      <c r="M516">
        <f>VLOOKUP(B516,'CARGADOS 2025 DICIEMBRE CIERRE'!B196:B751,1,0)</f>
        <v>2025004085</v>
      </c>
    </row>
    <row r="517" spans="1:13" hidden="1" x14ac:dyDescent="0.25">
      <c r="A517" t="s">
        <v>994</v>
      </c>
      <c r="B517">
        <v>2025004090</v>
      </c>
      <c r="C517" t="s">
        <v>916</v>
      </c>
      <c r="D517" t="s">
        <v>932</v>
      </c>
      <c r="E517">
        <v>59828916</v>
      </c>
      <c r="F517" t="s">
        <v>999</v>
      </c>
      <c r="G517">
        <v>873</v>
      </c>
      <c r="J517">
        <v>873</v>
      </c>
      <c r="K517" t="s">
        <v>932</v>
      </c>
      <c r="M517">
        <f>VLOOKUP(B517,'CARGADOS 2025 DICIEMBRE CIERRE'!B197:B752,1,0)</f>
        <v>2025004090</v>
      </c>
    </row>
    <row r="518" spans="1:13" hidden="1" x14ac:dyDescent="0.25">
      <c r="A518" t="s">
        <v>994</v>
      </c>
      <c r="B518">
        <v>2025004091</v>
      </c>
      <c r="C518" t="s">
        <v>836</v>
      </c>
      <c r="D518" t="s">
        <v>1001</v>
      </c>
      <c r="E518">
        <v>900752343</v>
      </c>
      <c r="F518" t="s">
        <v>838</v>
      </c>
      <c r="G518">
        <v>873</v>
      </c>
      <c r="J518">
        <v>873</v>
      </c>
      <c r="K518" t="s">
        <v>1001</v>
      </c>
      <c r="M518">
        <f>VLOOKUP(B518,'CARGADOS 2025 DICIEMBRE CIERRE'!B198:B753,1,0)</f>
        <v>2025004091</v>
      </c>
    </row>
    <row r="519" spans="1:13" hidden="1" x14ac:dyDescent="0.25">
      <c r="A519" t="s">
        <v>994</v>
      </c>
      <c r="B519">
        <v>2025004092</v>
      </c>
      <c r="C519" t="s">
        <v>839</v>
      </c>
      <c r="D519" t="s">
        <v>1002</v>
      </c>
      <c r="E519">
        <v>900752343</v>
      </c>
      <c r="F519" t="s">
        <v>838</v>
      </c>
      <c r="G519">
        <v>873</v>
      </c>
      <c r="J519">
        <v>873</v>
      </c>
      <c r="K519" t="s">
        <v>1002</v>
      </c>
      <c r="M519">
        <f>VLOOKUP(B519,'CARGADOS 2025 DICIEMBRE CIERRE'!B199:B754,1,0)</f>
        <v>2025004092</v>
      </c>
    </row>
    <row r="520" spans="1:13" hidden="1" x14ac:dyDescent="0.25">
      <c r="A520" t="s">
        <v>994</v>
      </c>
      <c r="B520">
        <v>2025004093</v>
      </c>
      <c r="C520" t="s">
        <v>843</v>
      </c>
      <c r="D520" t="s">
        <v>932</v>
      </c>
      <c r="E520">
        <v>1084224968</v>
      </c>
      <c r="F520" t="s">
        <v>79</v>
      </c>
      <c r="G520">
        <v>873</v>
      </c>
      <c r="J520">
        <v>873</v>
      </c>
      <c r="K520" t="s">
        <v>932</v>
      </c>
      <c r="M520">
        <f>VLOOKUP(B520,'CARGADOS 2025 DICIEMBRE CIERRE'!B200:B755,1,0)</f>
        <v>2025004093</v>
      </c>
    </row>
    <row r="521" spans="1:13" hidden="1" x14ac:dyDescent="0.25">
      <c r="A521" t="s">
        <v>994</v>
      </c>
      <c r="B521">
        <v>2025004094</v>
      </c>
      <c r="C521" t="s">
        <v>349</v>
      </c>
      <c r="D521" t="s">
        <v>932</v>
      </c>
      <c r="E521">
        <v>1004437571</v>
      </c>
      <c r="F521" t="s">
        <v>350</v>
      </c>
      <c r="G521">
        <v>873</v>
      </c>
      <c r="J521">
        <v>873</v>
      </c>
      <c r="K521" t="s">
        <v>932</v>
      </c>
      <c r="M521">
        <f>VLOOKUP(B521,'CARGADOS 2025 DICIEMBRE CIERRE'!B201:B756,1,0)</f>
        <v>2025004094</v>
      </c>
    </row>
    <row r="522" spans="1:13" hidden="1" x14ac:dyDescent="0.25">
      <c r="A522" t="s">
        <v>994</v>
      </c>
      <c r="B522">
        <v>2025004095</v>
      </c>
      <c r="C522" t="s">
        <v>875</v>
      </c>
      <c r="D522" t="s">
        <v>1003</v>
      </c>
      <c r="E522">
        <v>900752343</v>
      </c>
      <c r="F522" t="s">
        <v>838</v>
      </c>
      <c r="G522">
        <v>873</v>
      </c>
      <c r="J522">
        <v>873</v>
      </c>
      <c r="K522" t="s">
        <v>1003</v>
      </c>
      <c r="M522">
        <f>VLOOKUP(B522,'CARGADOS 2025 DICIEMBRE CIERRE'!B202:B757,1,0)</f>
        <v>2025004095</v>
      </c>
    </row>
    <row r="523" spans="1:13" hidden="1" x14ac:dyDescent="0.25">
      <c r="A523" t="s">
        <v>994</v>
      </c>
      <c r="B523">
        <v>2025004096</v>
      </c>
      <c r="C523" t="s">
        <v>673</v>
      </c>
      <c r="D523" t="s">
        <v>931</v>
      </c>
      <c r="E523">
        <v>59816986</v>
      </c>
      <c r="F523" t="s">
        <v>675</v>
      </c>
      <c r="G523">
        <v>873</v>
      </c>
      <c r="J523">
        <v>873</v>
      </c>
      <c r="K523" t="s">
        <v>931</v>
      </c>
      <c r="M523">
        <f>VLOOKUP(B523,'CARGADOS 2025 DICIEMBRE CIERRE'!B203:B758,1,0)</f>
        <v>2025004096</v>
      </c>
    </row>
    <row r="524" spans="1:13" hidden="1" x14ac:dyDescent="0.25">
      <c r="A524" t="s">
        <v>994</v>
      </c>
      <c r="B524">
        <v>2025004098</v>
      </c>
      <c r="C524" t="s">
        <v>680</v>
      </c>
      <c r="D524" t="s">
        <v>932</v>
      </c>
      <c r="E524">
        <v>87030128</v>
      </c>
      <c r="F524" t="s">
        <v>1000</v>
      </c>
      <c r="G524">
        <v>873</v>
      </c>
      <c r="J524">
        <v>873</v>
      </c>
      <c r="K524" t="s">
        <v>932</v>
      </c>
      <c r="M524">
        <f>VLOOKUP(B524,'CARGADOS 2025 DICIEMBRE CIERRE'!B204:B759,1,0)</f>
        <v>2025004098</v>
      </c>
    </row>
    <row r="525" spans="1:13" hidden="1" x14ac:dyDescent="0.25">
      <c r="A525" t="s">
        <v>994</v>
      </c>
      <c r="B525">
        <v>2025004099</v>
      </c>
      <c r="C525" t="s">
        <v>914</v>
      </c>
      <c r="D525" t="s">
        <v>932</v>
      </c>
      <c r="E525">
        <v>1085286742</v>
      </c>
      <c r="F525" t="s">
        <v>50</v>
      </c>
      <c r="G525">
        <v>873</v>
      </c>
      <c r="J525">
        <v>873</v>
      </c>
      <c r="K525" t="s">
        <v>932</v>
      </c>
      <c r="M525">
        <f>VLOOKUP(B525,'CARGADOS 2025 DICIEMBRE CIERRE'!B205:B760,1,0)</f>
        <v>2025004099</v>
      </c>
    </row>
    <row r="526" spans="1:13" hidden="1" x14ac:dyDescent="0.25">
      <c r="A526" t="s">
        <v>994</v>
      </c>
      <c r="B526">
        <v>2025004100</v>
      </c>
      <c r="C526" t="s">
        <v>921</v>
      </c>
      <c r="D526" t="s">
        <v>932</v>
      </c>
      <c r="E526">
        <v>1081592769</v>
      </c>
      <c r="F526" t="s">
        <v>923</v>
      </c>
      <c r="G526">
        <v>873</v>
      </c>
      <c r="J526">
        <v>873</v>
      </c>
      <c r="K526" t="s">
        <v>932</v>
      </c>
      <c r="M526">
        <f>VLOOKUP(B526,'CARGADOS 2025 DICIEMBRE CIERRE'!B206:B761,1,0)</f>
        <v>2025004100</v>
      </c>
    </row>
    <row r="527" spans="1:13" hidden="1" x14ac:dyDescent="0.25">
      <c r="A527" t="s">
        <v>1004</v>
      </c>
      <c r="B527">
        <v>2025004103</v>
      </c>
      <c r="C527" t="s">
        <v>273</v>
      </c>
      <c r="D527" t="s">
        <v>935</v>
      </c>
      <c r="E527">
        <v>1087645723</v>
      </c>
      <c r="F527" t="s">
        <v>274</v>
      </c>
      <c r="G527">
        <v>873</v>
      </c>
      <c r="J527">
        <v>873</v>
      </c>
      <c r="K527" t="s">
        <v>935</v>
      </c>
      <c r="M527">
        <f>VLOOKUP(B527,'CARGADOS 2025 DICIEMBRE CIERRE'!B207:B762,1,0)</f>
        <v>2025004103</v>
      </c>
    </row>
    <row r="528" spans="1:13" hidden="1" x14ac:dyDescent="0.25">
      <c r="A528" t="s">
        <v>1004</v>
      </c>
      <c r="B528">
        <v>2025004105</v>
      </c>
      <c r="C528" t="s">
        <v>924</v>
      </c>
      <c r="D528" t="s">
        <v>932</v>
      </c>
      <c r="E528">
        <v>1233191359</v>
      </c>
      <c r="F528" t="s">
        <v>926</v>
      </c>
      <c r="G528">
        <v>873</v>
      </c>
      <c r="J528">
        <v>873</v>
      </c>
      <c r="K528" t="s">
        <v>932</v>
      </c>
      <c r="M528">
        <f>VLOOKUP(B528,'CARGADOS 2025 DICIEMBRE CIERRE'!B208:B763,1,0)</f>
        <v>2025004105</v>
      </c>
    </row>
    <row r="529" spans="1:13" hidden="1" x14ac:dyDescent="0.25">
      <c r="A529" t="s">
        <v>1004</v>
      </c>
      <c r="B529">
        <v>2025004107</v>
      </c>
      <c r="C529" t="s">
        <v>723</v>
      </c>
      <c r="D529" t="s">
        <v>931</v>
      </c>
      <c r="E529">
        <v>1085323338</v>
      </c>
      <c r="F529" t="s">
        <v>997</v>
      </c>
      <c r="G529">
        <v>873</v>
      </c>
      <c r="J529">
        <v>873</v>
      </c>
      <c r="K529" t="s">
        <v>931</v>
      </c>
      <c r="M529">
        <f>VLOOKUP(B529,'CARGADOS 2025 DICIEMBRE CIERRE'!B209:B764,1,0)</f>
        <v>2025004107</v>
      </c>
    </row>
    <row r="530" spans="1:13" hidden="1" x14ac:dyDescent="0.25">
      <c r="A530" t="s">
        <v>1004</v>
      </c>
      <c r="B530">
        <v>2025004108</v>
      </c>
      <c r="C530" t="s">
        <v>694</v>
      </c>
      <c r="D530" t="s">
        <v>932</v>
      </c>
      <c r="E530">
        <v>5930737</v>
      </c>
      <c r="F530" t="s">
        <v>696</v>
      </c>
      <c r="G530">
        <v>873</v>
      </c>
      <c r="J530">
        <v>873</v>
      </c>
      <c r="K530" t="s">
        <v>932</v>
      </c>
      <c r="M530">
        <f>VLOOKUP(B530,'CARGADOS 2025 DICIEMBRE CIERRE'!B210:B765,1,0)</f>
        <v>2025004108</v>
      </c>
    </row>
    <row r="531" spans="1:13" hidden="1" x14ac:dyDescent="0.25">
      <c r="A531" t="s">
        <v>1004</v>
      </c>
      <c r="B531">
        <v>2025004109</v>
      </c>
      <c r="C531" t="s">
        <v>918</v>
      </c>
      <c r="D531" t="s">
        <v>932</v>
      </c>
      <c r="E531">
        <v>1193474724</v>
      </c>
      <c r="F531" t="s">
        <v>920</v>
      </c>
      <c r="G531">
        <v>873</v>
      </c>
      <c r="J531">
        <v>873</v>
      </c>
      <c r="K531" t="s">
        <v>932</v>
      </c>
      <c r="M531">
        <f>VLOOKUP(B531,'CARGADOS 2025 DICIEMBRE CIERRE'!B211:B766,1,0)</f>
        <v>2025004109</v>
      </c>
    </row>
    <row r="532" spans="1:13" hidden="1" x14ac:dyDescent="0.25">
      <c r="A532" t="s">
        <v>1004</v>
      </c>
      <c r="B532">
        <v>2025004110</v>
      </c>
      <c r="C532" t="s">
        <v>167</v>
      </c>
      <c r="D532" t="s">
        <v>934</v>
      </c>
      <c r="E532">
        <v>1193383314</v>
      </c>
      <c r="F532" t="s">
        <v>168</v>
      </c>
      <c r="G532">
        <v>873</v>
      </c>
      <c r="J532">
        <v>873</v>
      </c>
      <c r="K532" t="s">
        <v>934</v>
      </c>
      <c r="M532">
        <f>VLOOKUP(B532,'CARGADOS 2025 DICIEMBRE CIERRE'!B212:B767,1,0)</f>
        <v>2025004110</v>
      </c>
    </row>
    <row r="533" spans="1:13" hidden="1" x14ac:dyDescent="0.25">
      <c r="A533" t="s">
        <v>1004</v>
      </c>
      <c r="B533">
        <v>2025004111</v>
      </c>
      <c r="C533" t="s">
        <v>258</v>
      </c>
      <c r="D533" t="s">
        <v>934</v>
      </c>
      <c r="E533">
        <v>1014212900</v>
      </c>
      <c r="F533" t="s">
        <v>45</v>
      </c>
      <c r="G533">
        <v>873</v>
      </c>
      <c r="J533">
        <v>873</v>
      </c>
      <c r="K533" t="s">
        <v>934</v>
      </c>
      <c r="M533">
        <f>VLOOKUP(B533,'CARGADOS 2025 DICIEMBRE CIERRE'!B213:B768,1,0)</f>
        <v>2025004111</v>
      </c>
    </row>
    <row r="534" spans="1:13" x14ac:dyDescent="0.25">
      <c r="A534" t="s">
        <v>1004</v>
      </c>
      <c r="B534">
        <v>2025004114</v>
      </c>
      <c r="C534" t="s">
        <v>1012</v>
      </c>
      <c r="D534" t="s">
        <v>934</v>
      </c>
      <c r="E534">
        <v>1086755989</v>
      </c>
      <c r="F534" t="s">
        <v>981</v>
      </c>
      <c r="G534">
        <v>873</v>
      </c>
      <c r="J534">
        <v>873</v>
      </c>
      <c r="K534" t="s">
        <v>934</v>
      </c>
      <c r="M534" t="e">
        <f>VLOOKUP(B534,'CARGADOS 2025 DICIEMBRE CIERRE'!B214:B769,1,0)</f>
        <v>#N/A</v>
      </c>
    </row>
    <row r="535" spans="1:13" hidden="1" x14ac:dyDescent="0.25">
      <c r="A535" t="s">
        <v>1004</v>
      </c>
      <c r="B535">
        <v>2025004115</v>
      </c>
      <c r="C535" t="s">
        <v>297</v>
      </c>
      <c r="D535" t="s">
        <v>931</v>
      </c>
      <c r="E535">
        <v>59824313</v>
      </c>
      <c r="F535" t="s">
        <v>298</v>
      </c>
      <c r="G535">
        <v>873</v>
      </c>
      <c r="J535">
        <v>873</v>
      </c>
      <c r="K535" t="s">
        <v>931</v>
      </c>
      <c r="M535">
        <f>VLOOKUP(B535,'CARGADOS 2025 DICIEMBRE CIERRE'!B215:B770,1,0)</f>
        <v>2025004115</v>
      </c>
    </row>
    <row r="536" spans="1:13" hidden="1" x14ac:dyDescent="0.25">
      <c r="A536" t="s">
        <v>1004</v>
      </c>
      <c r="B536">
        <v>2025004116</v>
      </c>
      <c r="C536" t="s">
        <v>692</v>
      </c>
      <c r="D536" t="s">
        <v>932</v>
      </c>
      <c r="E536">
        <v>1233191675</v>
      </c>
      <c r="F536" t="s">
        <v>39</v>
      </c>
      <c r="G536">
        <v>873</v>
      </c>
      <c r="J536">
        <v>873</v>
      </c>
      <c r="K536" t="s">
        <v>932</v>
      </c>
      <c r="M536">
        <f>VLOOKUP(B536,'CARGADOS 2025 DICIEMBRE CIERRE'!B216:B771,1,0)</f>
        <v>2025004116</v>
      </c>
    </row>
    <row r="537" spans="1:13" hidden="1" x14ac:dyDescent="0.25">
      <c r="A537" t="s">
        <v>1004</v>
      </c>
      <c r="B537">
        <v>2025004117</v>
      </c>
      <c r="C537" t="s">
        <v>678</v>
      </c>
      <c r="D537" t="s">
        <v>932</v>
      </c>
      <c r="E537">
        <v>27388522</v>
      </c>
      <c r="F537" t="s">
        <v>60</v>
      </c>
      <c r="G537">
        <v>873</v>
      </c>
      <c r="J537">
        <v>873</v>
      </c>
      <c r="K537" t="s">
        <v>932</v>
      </c>
      <c r="M537">
        <f>VLOOKUP(B537,'CARGADOS 2025 DICIEMBRE CIERRE'!B217:B772,1,0)</f>
        <v>2025004117</v>
      </c>
    </row>
    <row r="538" spans="1:13" hidden="1" x14ac:dyDescent="0.25">
      <c r="A538" t="s">
        <v>1004</v>
      </c>
      <c r="B538">
        <v>2025004119</v>
      </c>
      <c r="C538" t="s">
        <v>156</v>
      </c>
      <c r="D538" t="s">
        <v>932</v>
      </c>
      <c r="E538">
        <v>1085339190</v>
      </c>
      <c r="F538" t="s">
        <v>49</v>
      </c>
      <c r="G538">
        <v>873</v>
      </c>
      <c r="J538">
        <v>873</v>
      </c>
      <c r="K538" t="s">
        <v>932</v>
      </c>
      <c r="M538">
        <f>VLOOKUP(B538,'CARGADOS 2025 DICIEMBRE CIERRE'!B218:B773,1,0)</f>
        <v>2025004119</v>
      </c>
    </row>
    <row r="539" spans="1:13" hidden="1" x14ac:dyDescent="0.25">
      <c r="A539" t="s">
        <v>1004</v>
      </c>
      <c r="B539">
        <v>2025004120</v>
      </c>
      <c r="C539" t="s">
        <v>184</v>
      </c>
      <c r="D539" t="s">
        <v>932</v>
      </c>
      <c r="E539">
        <v>1137624011</v>
      </c>
      <c r="F539" t="s">
        <v>27</v>
      </c>
      <c r="G539">
        <v>873</v>
      </c>
      <c r="J539">
        <v>873</v>
      </c>
      <c r="K539" t="s">
        <v>932</v>
      </c>
      <c r="M539">
        <f>VLOOKUP(B539,'CARGADOS 2025 DICIEMBRE CIERRE'!B219:B774,1,0)</f>
        <v>2025004120</v>
      </c>
    </row>
    <row r="540" spans="1:13" hidden="1" x14ac:dyDescent="0.25">
      <c r="A540" t="s">
        <v>1004</v>
      </c>
      <c r="B540">
        <v>2025004121</v>
      </c>
      <c r="C540" t="s">
        <v>488</v>
      </c>
      <c r="D540" t="s">
        <v>932</v>
      </c>
      <c r="E540">
        <v>1004343043</v>
      </c>
      <c r="F540" t="s">
        <v>490</v>
      </c>
      <c r="G540">
        <v>873</v>
      </c>
      <c r="J540">
        <v>873</v>
      </c>
      <c r="K540" t="s">
        <v>932</v>
      </c>
      <c r="M540">
        <f>VLOOKUP(B540,'CARGADOS 2025 DICIEMBRE CIERRE'!B220:B775,1,0)</f>
        <v>2025004121</v>
      </c>
    </row>
    <row r="541" spans="1:13" hidden="1" x14ac:dyDescent="0.25">
      <c r="A541" t="s">
        <v>1004</v>
      </c>
      <c r="B541">
        <v>2025004122</v>
      </c>
      <c r="C541" t="s">
        <v>729</v>
      </c>
      <c r="D541" t="s">
        <v>932</v>
      </c>
      <c r="E541">
        <v>1086361622</v>
      </c>
      <c r="F541" t="s">
        <v>731</v>
      </c>
      <c r="G541">
        <v>873</v>
      </c>
      <c r="J541">
        <v>873</v>
      </c>
      <c r="K541" t="s">
        <v>932</v>
      </c>
      <c r="M541">
        <f>VLOOKUP(B541,'CARGADOS 2025 DICIEMBRE CIERRE'!B221:B776,1,0)</f>
        <v>2025004122</v>
      </c>
    </row>
    <row r="542" spans="1:13" hidden="1" x14ac:dyDescent="0.25">
      <c r="A542" t="s">
        <v>1004</v>
      </c>
      <c r="B542">
        <v>2025004125</v>
      </c>
      <c r="C542" t="s">
        <v>357</v>
      </c>
      <c r="D542" t="s">
        <v>935</v>
      </c>
      <c r="E542">
        <v>1110594073</v>
      </c>
      <c r="F542" t="s">
        <v>358</v>
      </c>
      <c r="G542">
        <v>873</v>
      </c>
      <c r="J542">
        <v>873</v>
      </c>
      <c r="K542" t="s">
        <v>935</v>
      </c>
      <c r="M542">
        <f>VLOOKUP(B542,'CARGADOS 2025 DICIEMBRE CIERRE'!B222:B777,1,0)</f>
        <v>2025004125</v>
      </c>
    </row>
    <row r="543" spans="1:13" hidden="1" x14ac:dyDescent="0.25">
      <c r="A543" t="s">
        <v>1004</v>
      </c>
      <c r="B543">
        <v>2025004127</v>
      </c>
      <c r="C543" t="s">
        <v>301</v>
      </c>
      <c r="D543" t="s">
        <v>932</v>
      </c>
      <c r="E543">
        <v>1010082397</v>
      </c>
      <c r="F543" t="s">
        <v>32</v>
      </c>
      <c r="G543">
        <v>873</v>
      </c>
      <c r="J543">
        <v>873</v>
      </c>
      <c r="K543" t="s">
        <v>932</v>
      </c>
      <c r="M543">
        <f>VLOOKUP(B543,'CARGADOS 2025 DICIEMBRE CIERRE'!B223:B778,1,0)</f>
        <v>2025004127</v>
      </c>
    </row>
    <row r="544" spans="1:13" hidden="1" x14ac:dyDescent="0.25">
      <c r="A544" t="s">
        <v>1004</v>
      </c>
      <c r="B544">
        <v>2025004128</v>
      </c>
      <c r="C544" t="s">
        <v>158</v>
      </c>
      <c r="D544" t="s">
        <v>932</v>
      </c>
      <c r="E544">
        <v>1085315013</v>
      </c>
      <c r="F544" t="s">
        <v>970</v>
      </c>
      <c r="G544">
        <v>873</v>
      </c>
      <c r="J544">
        <v>873</v>
      </c>
      <c r="K544" t="s">
        <v>932</v>
      </c>
      <c r="M544">
        <f>VLOOKUP(B544,'CARGADOS 2025 DICIEMBRE CIERRE'!B224:B779,1,0)</f>
        <v>2025004128</v>
      </c>
    </row>
    <row r="545" spans="1:13" hidden="1" x14ac:dyDescent="0.25">
      <c r="A545" t="s">
        <v>1004</v>
      </c>
      <c r="B545">
        <v>2025004129</v>
      </c>
      <c r="C545" t="s">
        <v>603</v>
      </c>
      <c r="D545" t="s">
        <v>1005</v>
      </c>
      <c r="E545">
        <v>805021222</v>
      </c>
      <c r="F545" t="s">
        <v>76</v>
      </c>
      <c r="G545">
        <v>873</v>
      </c>
      <c r="J545">
        <v>873</v>
      </c>
      <c r="K545" t="s">
        <v>1005</v>
      </c>
      <c r="M545">
        <f>VLOOKUP(B545,'CARGADOS 2025 DICIEMBRE CIERRE'!B225:B780,1,0)</f>
        <v>2025004129</v>
      </c>
    </row>
    <row r="546" spans="1:13" hidden="1" x14ac:dyDescent="0.25">
      <c r="A546" t="s">
        <v>1004</v>
      </c>
      <c r="B546">
        <v>2025004130</v>
      </c>
      <c r="C546" t="s">
        <v>178</v>
      </c>
      <c r="D546" t="s">
        <v>932</v>
      </c>
      <c r="E546">
        <v>1085275473</v>
      </c>
      <c r="F546" t="s">
        <v>179</v>
      </c>
      <c r="G546">
        <v>873</v>
      </c>
      <c r="J546">
        <v>873</v>
      </c>
      <c r="K546" t="s">
        <v>932</v>
      </c>
      <c r="M546">
        <f>VLOOKUP(B546,'CARGADOS 2025 DICIEMBRE CIERRE'!B226:B781,1,0)</f>
        <v>2025004130</v>
      </c>
    </row>
    <row r="547" spans="1:13" hidden="1" x14ac:dyDescent="0.25">
      <c r="A547" t="s">
        <v>1004</v>
      </c>
      <c r="B547">
        <v>2025004131</v>
      </c>
      <c r="C547" t="s">
        <v>709</v>
      </c>
      <c r="D547" t="s">
        <v>932</v>
      </c>
      <c r="E547">
        <v>1081572042</v>
      </c>
      <c r="F547" t="s">
        <v>711</v>
      </c>
      <c r="G547">
        <v>873</v>
      </c>
      <c r="J547">
        <v>873</v>
      </c>
      <c r="K547" t="s">
        <v>932</v>
      </c>
      <c r="M547">
        <f>VLOOKUP(B547,'CARGADOS 2025 DICIEMBRE CIERRE'!B227:B782,1,0)</f>
        <v>2025004131</v>
      </c>
    </row>
    <row r="548" spans="1:13" hidden="1" x14ac:dyDescent="0.25">
      <c r="A548" t="s">
        <v>1004</v>
      </c>
      <c r="B548">
        <v>2025004133</v>
      </c>
      <c r="C548" t="s">
        <v>848</v>
      </c>
      <c r="D548" t="s">
        <v>932</v>
      </c>
      <c r="E548">
        <v>27091114</v>
      </c>
      <c r="F548" t="s">
        <v>850</v>
      </c>
      <c r="G548">
        <v>873</v>
      </c>
      <c r="J548">
        <v>873</v>
      </c>
      <c r="K548" t="s">
        <v>932</v>
      </c>
      <c r="M548">
        <f>VLOOKUP(B548,'CARGADOS 2025 DICIEMBRE CIERRE'!B228:B783,1,0)</f>
        <v>2025004133</v>
      </c>
    </row>
    <row r="549" spans="1:13" hidden="1" x14ac:dyDescent="0.25">
      <c r="A549" t="s">
        <v>1004</v>
      </c>
      <c r="B549">
        <v>2025004134</v>
      </c>
      <c r="C549" t="s">
        <v>889</v>
      </c>
      <c r="D549" t="s">
        <v>935</v>
      </c>
      <c r="E549">
        <v>1086018206</v>
      </c>
      <c r="F549" t="s">
        <v>891</v>
      </c>
      <c r="G549">
        <v>873</v>
      </c>
      <c r="J549">
        <v>873</v>
      </c>
      <c r="K549" t="s">
        <v>935</v>
      </c>
      <c r="M549">
        <f>VLOOKUP(B549,'CARGADOS 2025 DICIEMBRE CIERRE'!B229:B784,1,0)</f>
        <v>2025004134</v>
      </c>
    </row>
    <row r="550" spans="1:13" hidden="1" x14ac:dyDescent="0.25">
      <c r="A550" t="s">
        <v>1004</v>
      </c>
      <c r="B550">
        <v>2025004135</v>
      </c>
      <c r="C550" t="s">
        <v>295</v>
      </c>
      <c r="D550" t="s">
        <v>932</v>
      </c>
      <c r="E550">
        <v>27444591</v>
      </c>
      <c r="F550" t="s">
        <v>296</v>
      </c>
      <c r="G550">
        <v>873</v>
      </c>
      <c r="J550">
        <v>873</v>
      </c>
      <c r="K550" t="s">
        <v>932</v>
      </c>
      <c r="M550">
        <f>VLOOKUP(B550,'CARGADOS 2025 DICIEMBRE CIERRE'!B230:B785,1,0)</f>
        <v>2025004135</v>
      </c>
    </row>
    <row r="551" spans="1:13" hidden="1" x14ac:dyDescent="0.25">
      <c r="A551" t="s">
        <v>1004</v>
      </c>
      <c r="B551">
        <v>2025004136</v>
      </c>
      <c r="C551" t="s">
        <v>288</v>
      </c>
      <c r="D551" t="s">
        <v>932</v>
      </c>
      <c r="E551">
        <v>1086328063</v>
      </c>
      <c r="F551" t="s">
        <v>289</v>
      </c>
      <c r="G551">
        <v>873</v>
      </c>
      <c r="J551">
        <v>873</v>
      </c>
      <c r="K551" t="s">
        <v>932</v>
      </c>
      <c r="M551">
        <f>VLOOKUP(B551,'CARGADOS 2025 DICIEMBRE CIERRE'!B231:B786,1,0)</f>
        <v>2025004136</v>
      </c>
    </row>
    <row r="552" spans="1:13" hidden="1" x14ac:dyDescent="0.25">
      <c r="A552" t="s">
        <v>1004</v>
      </c>
      <c r="B552">
        <v>2025004137</v>
      </c>
      <c r="C552" t="s">
        <v>688</v>
      </c>
      <c r="D552" t="s">
        <v>932</v>
      </c>
      <c r="E552">
        <v>1004592366</v>
      </c>
      <c r="F552" t="s">
        <v>68</v>
      </c>
      <c r="G552">
        <v>873</v>
      </c>
      <c r="J552">
        <v>873</v>
      </c>
      <c r="K552" t="s">
        <v>932</v>
      </c>
      <c r="M552">
        <f>VLOOKUP(B552,'CARGADOS 2025 DICIEMBRE CIERRE'!B232:B787,1,0)</f>
        <v>2025004137</v>
      </c>
    </row>
    <row r="553" spans="1:13" hidden="1" x14ac:dyDescent="0.25">
      <c r="A553" t="s">
        <v>1004</v>
      </c>
      <c r="B553">
        <v>2025004138</v>
      </c>
      <c r="C553" t="s">
        <v>886</v>
      </c>
      <c r="D553" t="s">
        <v>933</v>
      </c>
      <c r="E553">
        <v>59312779</v>
      </c>
      <c r="F553" t="s">
        <v>888</v>
      </c>
      <c r="G553">
        <v>873</v>
      </c>
      <c r="J553">
        <v>873</v>
      </c>
      <c r="K553" t="s">
        <v>933</v>
      </c>
      <c r="M553">
        <f>VLOOKUP(B553,'CARGADOS 2025 DICIEMBRE CIERRE'!B233:B788,1,0)</f>
        <v>2025004138</v>
      </c>
    </row>
    <row r="554" spans="1:13" hidden="1" x14ac:dyDescent="0.25">
      <c r="A554" t="s">
        <v>1004</v>
      </c>
      <c r="B554">
        <v>2025004140</v>
      </c>
      <c r="C554" t="s">
        <v>169</v>
      </c>
      <c r="D554" t="s">
        <v>932</v>
      </c>
      <c r="E554">
        <v>37082272</v>
      </c>
      <c r="F554" t="s">
        <v>170</v>
      </c>
      <c r="G554">
        <v>873</v>
      </c>
      <c r="J554">
        <v>873</v>
      </c>
      <c r="K554" t="s">
        <v>932</v>
      </c>
      <c r="M554">
        <f>VLOOKUP(B554,'CARGADOS 2025 DICIEMBRE CIERRE'!B234:B789,1,0)</f>
        <v>2025004140</v>
      </c>
    </row>
    <row r="555" spans="1:13" hidden="1" x14ac:dyDescent="0.25">
      <c r="A555" t="s">
        <v>1004</v>
      </c>
      <c r="B555">
        <v>2025004141</v>
      </c>
      <c r="C555" t="s">
        <v>921</v>
      </c>
      <c r="D555" t="s">
        <v>932</v>
      </c>
      <c r="E555">
        <v>1081592769</v>
      </c>
      <c r="F555" t="s">
        <v>923</v>
      </c>
      <c r="G555">
        <v>873</v>
      </c>
      <c r="J555">
        <v>873</v>
      </c>
      <c r="K555" t="s">
        <v>932</v>
      </c>
      <c r="M555">
        <f>VLOOKUP(B555,'CARGADOS 2025 DICIEMBRE CIERRE'!B235:B790,1,0)</f>
        <v>2025004141</v>
      </c>
    </row>
    <row r="556" spans="1:13" hidden="1" x14ac:dyDescent="0.25">
      <c r="A556" t="s">
        <v>1004</v>
      </c>
      <c r="B556">
        <v>2025004143</v>
      </c>
      <c r="C556" t="s">
        <v>590</v>
      </c>
      <c r="D556" t="s">
        <v>934</v>
      </c>
      <c r="E556">
        <v>1193271485</v>
      </c>
      <c r="F556" t="s">
        <v>592</v>
      </c>
      <c r="G556">
        <v>873</v>
      </c>
      <c r="J556">
        <v>873</v>
      </c>
      <c r="K556" t="s">
        <v>934</v>
      </c>
      <c r="M556">
        <f>VLOOKUP(B556,'CARGADOS 2025 DICIEMBRE CIERRE'!B236:B791,1,0)</f>
        <v>2025004143</v>
      </c>
    </row>
    <row r="557" spans="1:13" hidden="1" x14ac:dyDescent="0.25">
      <c r="A557" t="s">
        <v>1004</v>
      </c>
      <c r="B557">
        <v>2025004144</v>
      </c>
      <c r="C557" t="s">
        <v>290</v>
      </c>
      <c r="D557" t="s">
        <v>935</v>
      </c>
      <c r="E557">
        <v>1233193882</v>
      </c>
      <c r="F557" t="s">
        <v>291</v>
      </c>
      <c r="G557">
        <v>873</v>
      </c>
      <c r="J557">
        <v>873</v>
      </c>
      <c r="K557" t="s">
        <v>935</v>
      </c>
      <c r="M557">
        <f>VLOOKUP(B557,'CARGADOS 2025 DICIEMBRE CIERRE'!B237:B792,1,0)</f>
        <v>2025004144</v>
      </c>
    </row>
    <row r="558" spans="1:13" hidden="1" x14ac:dyDescent="0.25">
      <c r="A558" t="s">
        <v>1004</v>
      </c>
      <c r="B558">
        <v>2025004145</v>
      </c>
      <c r="C558" t="s">
        <v>176</v>
      </c>
      <c r="D558" t="s">
        <v>932</v>
      </c>
      <c r="E558">
        <v>1004131976</v>
      </c>
      <c r="F558" t="s">
        <v>177</v>
      </c>
      <c r="G558">
        <v>873</v>
      </c>
      <c r="J558">
        <v>873</v>
      </c>
      <c r="K558" t="s">
        <v>932</v>
      </c>
      <c r="M558">
        <f>VLOOKUP(B558,'CARGADOS 2025 DICIEMBRE CIERRE'!B238:B793,1,0)</f>
        <v>2025004145</v>
      </c>
    </row>
    <row r="559" spans="1:13" hidden="1" x14ac:dyDescent="0.25">
      <c r="A559" t="s">
        <v>1004</v>
      </c>
      <c r="B559">
        <v>2025004161</v>
      </c>
      <c r="C559" t="s">
        <v>927</v>
      </c>
      <c r="D559" t="s">
        <v>1006</v>
      </c>
      <c r="E559">
        <v>1080041553</v>
      </c>
      <c r="F559" t="s">
        <v>929</v>
      </c>
      <c r="G559">
        <v>873</v>
      </c>
      <c r="J559">
        <v>873</v>
      </c>
      <c r="K559" t="s">
        <v>1006</v>
      </c>
      <c r="M559">
        <f>VLOOKUP(B559,'CARGADOS 2025 DICIEMBRE CIERRE'!B239:B794,1,0)</f>
        <v>2025004161</v>
      </c>
    </row>
    <row r="560" spans="1:13" hidden="1" x14ac:dyDescent="0.25">
      <c r="A560" t="s">
        <v>1007</v>
      </c>
      <c r="B560">
        <v>2025004163</v>
      </c>
      <c r="C560" t="s">
        <v>647</v>
      </c>
      <c r="D560" t="s">
        <v>932</v>
      </c>
      <c r="E560">
        <v>1081053820</v>
      </c>
      <c r="F560" t="s">
        <v>992</v>
      </c>
      <c r="G560">
        <v>873</v>
      </c>
      <c r="J560">
        <v>873</v>
      </c>
      <c r="K560" t="s">
        <v>932</v>
      </c>
      <c r="M560">
        <f>VLOOKUP(B560,'CARGADOS 2025 DICIEMBRE CIERRE'!B240:B795,1,0)</f>
        <v>2025004163</v>
      </c>
    </row>
    <row r="561" spans="1:13" x14ac:dyDescent="0.25">
      <c r="A561" t="s">
        <v>1008</v>
      </c>
      <c r="B561">
        <v>2025004235</v>
      </c>
      <c r="C561" t="s">
        <v>836</v>
      </c>
      <c r="D561" t="s">
        <v>1009</v>
      </c>
      <c r="E561">
        <v>900752343</v>
      </c>
      <c r="F561" t="s">
        <v>838</v>
      </c>
      <c r="G561">
        <v>873</v>
      </c>
      <c r="J561">
        <v>873</v>
      </c>
      <c r="K561" t="s">
        <v>1009</v>
      </c>
      <c r="M561" t="e">
        <f>VLOOKUP(B561,'CARGADOS 2025 DICIEMBRE CIERRE'!B241:B796,1,0)</f>
        <v>#N/A</v>
      </c>
    </row>
    <row r="562" spans="1:13" x14ac:dyDescent="0.25">
      <c r="A562" t="s">
        <v>1008</v>
      </c>
      <c r="B562">
        <v>2025004236</v>
      </c>
      <c r="C562" t="s">
        <v>839</v>
      </c>
      <c r="D562" t="s">
        <v>1010</v>
      </c>
      <c r="E562">
        <v>900752343</v>
      </c>
      <c r="F562" t="s">
        <v>838</v>
      </c>
      <c r="G562">
        <v>873</v>
      </c>
      <c r="J562">
        <v>873</v>
      </c>
      <c r="K562" t="s">
        <v>1010</v>
      </c>
      <c r="M562" t="e">
        <f>VLOOKUP(B562,'CARGADOS 2025 DICIEMBRE CIERRE'!B242:B797,1,0)</f>
        <v>#N/A</v>
      </c>
    </row>
    <row r="563" spans="1:13" x14ac:dyDescent="0.25">
      <c r="A563" t="s">
        <v>1008</v>
      </c>
      <c r="B563">
        <v>2025004237</v>
      </c>
      <c r="C563" t="s">
        <v>875</v>
      </c>
      <c r="D563" t="s">
        <v>1009</v>
      </c>
      <c r="E563">
        <v>900752343</v>
      </c>
      <c r="F563" t="s">
        <v>838</v>
      </c>
      <c r="G563">
        <v>873</v>
      </c>
      <c r="J563">
        <v>873</v>
      </c>
      <c r="K563" t="s">
        <v>1009</v>
      </c>
      <c r="M563" t="e">
        <f>VLOOKUP(B563,'CARGADOS 2025 DICIEMBRE CIERRE'!B243:B798,1,0)</f>
        <v>#N/A</v>
      </c>
    </row>
  </sheetData>
  <autoFilter ref="M1:M563" xr:uid="{7AF93586-1F91-43CD-B3A0-0D876EF89216}">
    <filterColumn colId="0">
      <filters>
        <filter val="#N/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H647"/>
  <sheetViews>
    <sheetView workbookViewId="0">
      <selection activeCell="F573" sqref="F573"/>
    </sheetView>
  </sheetViews>
  <sheetFormatPr baseColWidth="10" defaultRowHeight="15" x14ac:dyDescent="0.25"/>
  <cols>
    <col min="1" max="1" width="10.28515625" bestFit="1" customWidth="1"/>
    <col min="2" max="2" width="11.5703125" style="8"/>
    <col min="4" max="4" width="15" style="5" bestFit="1" customWidth="1"/>
    <col min="6" max="6" width="41" bestFit="1" customWidth="1"/>
    <col min="7" max="7" width="12.7109375" bestFit="1" customWidth="1"/>
  </cols>
  <sheetData>
    <row r="1" spans="1:8" x14ac:dyDescent="0.25">
      <c r="A1" s="1" t="s">
        <v>0</v>
      </c>
      <c r="B1" s="7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t="s">
        <v>98</v>
      </c>
    </row>
    <row r="2" spans="1:8" x14ac:dyDescent="0.25">
      <c r="A2" s="3">
        <v>46006</v>
      </c>
      <c r="B2">
        <v>2025003339</v>
      </c>
      <c r="C2" t="s">
        <v>607</v>
      </c>
      <c r="D2" s="5">
        <v>4730000</v>
      </c>
      <c r="E2" t="s">
        <v>608</v>
      </c>
      <c r="F2" t="s">
        <v>609</v>
      </c>
      <c r="G2" t="s">
        <v>106</v>
      </c>
      <c r="H2" s="6" t="s">
        <v>97</v>
      </c>
    </row>
    <row r="3" spans="1:8" x14ac:dyDescent="0.25">
      <c r="A3" s="3">
        <v>46006</v>
      </c>
      <c r="B3">
        <v>2025003340</v>
      </c>
      <c r="C3" t="s">
        <v>154</v>
      </c>
      <c r="D3" s="5">
        <v>3150000</v>
      </c>
      <c r="E3" t="s">
        <v>470</v>
      </c>
      <c r="F3" t="s">
        <v>155</v>
      </c>
      <c r="G3" t="s">
        <v>106</v>
      </c>
      <c r="H3" s="6" t="s">
        <v>97</v>
      </c>
    </row>
    <row r="4" spans="1:8" x14ac:dyDescent="0.25">
      <c r="A4" s="3">
        <v>46006</v>
      </c>
      <c r="B4">
        <v>2025003341</v>
      </c>
      <c r="C4" t="s">
        <v>617</v>
      </c>
      <c r="D4" s="5">
        <v>3150000</v>
      </c>
      <c r="E4" t="s">
        <v>618</v>
      </c>
      <c r="F4" t="s">
        <v>619</v>
      </c>
      <c r="G4" t="s">
        <v>106</v>
      </c>
      <c r="H4" s="6" t="s">
        <v>97</v>
      </c>
    </row>
    <row r="5" spans="1:8" x14ac:dyDescent="0.25">
      <c r="A5" s="3">
        <v>46006</v>
      </c>
      <c r="B5">
        <v>2025003342</v>
      </c>
      <c r="C5" t="s">
        <v>666</v>
      </c>
      <c r="D5" s="5">
        <v>2000000</v>
      </c>
      <c r="E5" t="s">
        <v>667</v>
      </c>
      <c r="F5" t="s">
        <v>668</v>
      </c>
      <c r="G5" t="s">
        <v>106</v>
      </c>
      <c r="H5" s="6" t="s">
        <v>97</v>
      </c>
    </row>
    <row r="6" spans="1:8" x14ac:dyDescent="0.25">
      <c r="A6" s="3">
        <v>46006</v>
      </c>
      <c r="B6">
        <v>2025003343</v>
      </c>
      <c r="C6" t="s">
        <v>758</v>
      </c>
      <c r="D6" s="5">
        <v>3150000</v>
      </c>
      <c r="E6" t="s">
        <v>759</v>
      </c>
      <c r="F6" t="s">
        <v>760</v>
      </c>
      <c r="G6" t="s">
        <v>106</v>
      </c>
      <c r="H6" s="6" t="s">
        <v>97</v>
      </c>
    </row>
    <row r="7" spans="1:8" x14ac:dyDescent="0.25">
      <c r="A7" s="3">
        <v>46006</v>
      </c>
      <c r="B7">
        <v>2025003344</v>
      </c>
      <c r="C7" t="s">
        <v>147</v>
      </c>
      <c r="D7" s="5">
        <v>3150000</v>
      </c>
      <c r="E7" t="s">
        <v>471</v>
      </c>
      <c r="F7" t="s">
        <v>83</v>
      </c>
      <c r="G7" t="s">
        <v>106</v>
      </c>
      <c r="H7" s="6" t="s">
        <v>97</v>
      </c>
    </row>
    <row r="8" spans="1:8" x14ac:dyDescent="0.25">
      <c r="A8" s="3">
        <v>46006</v>
      </c>
      <c r="B8">
        <v>2025003345</v>
      </c>
      <c r="C8" t="s">
        <v>660</v>
      </c>
      <c r="D8" s="5">
        <v>6300000</v>
      </c>
      <c r="E8" t="s">
        <v>661</v>
      </c>
      <c r="F8" t="s">
        <v>662</v>
      </c>
      <c r="G8" t="s">
        <v>106</v>
      </c>
      <c r="H8" s="6" t="s">
        <v>97</v>
      </c>
    </row>
    <row r="9" spans="1:8" x14ac:dyDescent="0.25">
      <c r="A9" s="3">
        <v>46006</v>
      </c>
      <c r="B9">
        <v>2025003346</v>
      </c>
      <c r="C9" t="s">
        <v>761</v>
      </c>
      <c r="D9" s="5">
        <v>6300000</v>
      </c>
      <c r="E9" t="s">
        <v>762</v>
      </c>
      <c r="F9" t="s">
        <v>763</v>
      </c>
      <c r="G9" t="s">
        <v>106</v>
      </c>
      <c r="H9" s="6" t="s">
        <v>97</v>
      </c>
    </row>
    <row r="10" spans="1:8" x14ac:dyDescent="0.25">
      <c r="A10" s="3">
        <v>46006</v>
      </c>
      <c r="B10">
        <v>2025003347</v>
      </c>
      <c r="C10" t="s">
        <v>764</v>
      </c>
      <c r="D10" s="5">
        <v>3150000</v>
      </c>
      <c r="E10" t="s">
        <v>765</v>
      </c>
      <c r="F10" t="s">
        <v>766</v>
      </c>
      <c r="G10" t="s">
        <v>106</v>
      </c>
      <c r="H10" s="6" t="s">
        <v>97</v>
      </c>
    </row>
    <row r="11" spans="1:8" x14ac:dyDescent="0.25">
      <c r="A11" s="3">
        <v>46006</v>
      </c>
      <c r="B11">
        <v>2025003348</v>
      </c>
      <c r="C11" t="s">
        <v>767</v>
      </c>
      <c r="D11" s="5">
        <v>7800000</v>
      </c>
      <c r="E11" t="s">
        <v>768</v>
      </c>
      <c r="F11" t="s">
        <v>769</v>
      </c>
      <c r="G11" t="s">
        <v>106</v>
      </c>
      <c r="H11" s="6" t="s">
        <v>97</v>
      </c>
    </row>
    <row r="12" spans="1:8" x14ac:dyDescent="0.25">
      <c r="A12" s="3">
        <v>46006</v>
      </c>
      <c r="B12">
        <v>2025003349</v>
      </c>
      <c r="C12" t="s">
        <v>256</v>
      </c>
      <c r="D12" s="5">
        <v>4730000</v>
      </c>
      <c r="E12" t="s">
        <v>366</v>
      </c>
      <c r="F12" t="s">
        <v>257</v>
      </c>
      <c r="G12" t="s">
        <v>106</v>
      </c>
      <c r="H12" s="6" t="s">
        <v>97</v>
      </c>
    </row>
    <row r="13" spans="1:8" x14ac:dyDescent="0.25">
      <c r="A13" s="3">
        <v>46006</v>
      </c>
      <c r="B13">
        <v>2025003350</v>
      </c>
      <c r="C13" t="s">
        <v>620</v>
      </c>
      <c r="D13" s="5">
        <v>7800000</v>
      </c>
      <c r="E13" t="s">
        <v>621</v>
      </c>
      <c r="F13" t="s">
        <v>622</v>
      </c>
      <c r="G13" t="s">
        <v>106</v>
      </c>
      <c r="H13" s="6" t="s">
        <v>97</v>
      </c>
    </row>
    <row r="14" spans="1:8" x14ac:dyDescent="0.25">
      <c r="A14" s="3">
        <v>46006</v>
      </c>
      <c r="B14">
        <v>2025003352</v>
      </c>
      <c r="C14" t="s">
        <v>604</v>
      </c>
      <c r="D14" s="5">
        <v>3150000</v>
      </c>
      <c r="E14" t="s">
        <v>605</v>
      </c>
      <c r="F14" t="s">
        <v>606</v>
      </c>
      <c r="G14" t="s">
        <v>106</v>
      </c>
      <c r="H14" s="6" t="s">
        <v>97</v>
      </c>
    </row>
    <row r="15" spans="1:8" x14ac:dyDescent="0.25">
      <c r="A15" s="3">
        <v>46006</v>
      </c>
      <c r="B15">
        <v>2025003353</v>
      </c>
      <c r="C15" t="s">
        <v>542</v>
      </c>
      <c r="D15" s="5">
        <v>2000000</v>
      </c>
      <c r="E15" t="s">
        <v>543</v>
      </c>
      <c r="F15" t="s">
        <v>544</v>
      </c>
      <c r="G15" t="s">
        <v>106</v>
      </c>
      <c r="H15" s="6" t="s">
        <v>97</v>
      </c>
    </row>
    <row r="16" spans="1:8" x14ac:dyDescent="0.25">
      <c r="A16" s="3">
        <v>46006</v>
      </c>
      <c r="B16">
        <v>2025003355</v>
      </c>
      <c r="C16" t="s">
        <v>663</v>
      </c>
      <c r="D16" s="5">
        <v>3150000</v>
      </c>
      <c r="E16" t="s">
        <v>664</v>
      </c>
      <c r="F16" t="s">
        <v>665</v>
      </c>
      <c r="G16" t="s">
        <v>106</v>
      </c>
      <c r="H16" s="6" t="s">
        <v>97</v>
      </c>
    </row>
    <row r="17" spans="1:8" x14ac:dyDescent="0.25">
      <c r="A17" s="3">
        <v>46006</v>
      </c>
      <c r="B17">
        <v>2025003356</v>
      </c>
      <c r="C17" t="s">
        <v>557</v>
      </c>
      <c r="D17" s="5">
        <v>3150000</v>
      </c>
      <c r="E17" t="s">
        <v>558</v>
      </c>
      <c r="F17" t="s">
        <v>559</v>
      </c>
      <c r="G17" t="s">
        <v>106</v>
      </c>
      <c r="H17" s="6" t="s">
        <v>97</v>
      </c>
    </row>
    <row r="18" spans="1:8" x14ac:dyDescent="0.25">
      <c r="A18" s="3">
        <v>46006</v>
      </c>
      <c r="B18">
        <v>2025003357</v>
      </c>
      <c r="C18" t="s">
        <v>473</v>
      </c>
      <c r="D18" s="5">
        <v>2000000</v>
      </c>
      <c r="E18" t="s">
        <v>474</v>
      </c>
      <c r="F18" t="s">
        <v>475</v>
      </c>
      <c r="G18" t="s">
        <v>106</v>
      </c>
      <c r="H18" s="6" t="s">
        <v>97</v>
      </c>
    </row>
    <row r="19" spans="1:8" x14ac:dyDescent="0.25">
      <c r="A19" s="3">
        <v>46006</v>
      </c>
      <c r="B19">
        <v>2025003358</v>
      </c>
      <c r="C19" t="s">
        <v>548</v>
      </c>
      <c r="D19" s="5">
        <v>6300000</v>
      </c>
      <c r="E19" t="s">
        <v>549</v>
      </c>
      <c r="F19" t="s">
        <v>550</v>
      </c>
      <c r="G19" t="s">
        <v>106</v>
      </c>
      <c r="H19" s="6" t="s">
        <v>97</v>
      </c>
    </row>
    <row r="20" spans="1:8" x14ac:dyDescent="0.25">
      <c r="A20" s="3">
        <v>46006</v>
      </c>
      <c r="B20">
        <v>2025003359</v>
      </c>
      <c r="C20" t="s">
        <v>214</v>
      </c>
      <c r="D20" s="5">
        <v>4730000</v>
      </c>
      <c r="E20" t="s">
        <v>463</v>
      </c>
      <c r="F20" t="s">
        <v>215</v>
      </c>
      <c r="G20" t="s">
        <v>106</v>
      </c>
      <c r="H20" s="6" t="s">
        <v>97</v>
      </c>
    </row>
    <row r="21" spans="1:8" x14ac:dyDescent="0.25">
      <c r="A21" s="3">
        <v>46006</v>
      </c>
      <c r="B21">
        <v>2025003361</v>
      </c>
      <c r="C21" t="s">
        <v>145</v>
      </c>
      <c r="D21" s="5">
        <v>3150000</v>
      </c>
      <c r="E21" t="s">
        <v>466</v>
      </c>
      <c r="F21" t="s">
        <v>146</v>
      </c>
      <c r="G21" t="s">
        <v>106</v>
      </c>
      <c r="H21" s="6" t="s">
        <v>97</v>
      </c>
    </row>
    <row r="22" spans="1:8" x14ac:dyDescent="0.25">
      <c r="A22" s="3">
        <v>46007</v>
      </c>
      <c r="B22">
        <v>2025003387</v>
      </c>
      <c r="C22" t="s">
        <v>262</v>
      </c>
      <c r="D22" s="5">
        <v>3150000</v>
      </c>
      <c r="E22" t="s">
        <v>533</v>
      </c>
      <c r="F22" t="s">
        <v>263</v>
      </c>
      <c r="G22" t="s">
        <v>106</v>
      </c>
      <c r="H22" s="6" t="s">
        <v>97</v>
      </c>
    </row>
    <row r="23" spans="1:8" x14ac:dyDescent="0.25">
      <c r="A23" s="3">
        <v>46007</v>
      </c>
      <c r="B23">
        <v>2025003388</v>
      </c>
      <c r="C23" t="s">
        <v>268</v>
      </c>
      <c r="D23" s="5">
        <v>3150000</v>
      </c>
      <c r="E23" t="s">
        <v>583</v>
      </c>
      <c r="F23" t="s">
        <v>65</v>
      </c>
      <c r="G23" t="s">
        <v>106</v>
      </c>
      <c r="H23" s="6" t="s">
        <v>97</v>
      </c>
    </row>
    <row r="24" spans="1:8" x14ac:dyDescent="0.25">
      <c r="A24" s="3">
        <v>46007</v>
      </c>
      <c r="B24">
        <v>2025003389</v>
      </c>
      <c r="C24" t="s">
        <v>338</v>
      </c>
      <c r="D24" s="5">
        <v>6300000</v>
      </c>
      <c r="E24" t="s">
        <v>585</v>
      </c>
      <c r="F24" t="s">
        <v>29</v>
      </c>
      <c r="G24" t="s">
        <v>106</v>
      </c>
      <c r="H24" s="6" t="s">
        <v>97</v>
      </c>
    </row>
    <row r="25" spans="1:8" x14ac:dyDescent="0.25">
      <c r="A25" s="3">
        <v>46007</v>
      </c>
      <c r="B25">
        <v>2025003390</v>
      </c>
      <c r="C25" t="s">
        <v>325</v>
      </c>
      <c r="D25" s="5">
        <v>7800000</v>
      </c>
      <c r="E25" t="s">
        <v>640</v>
      </c>
      <c r="F25" t="s">
        <v>326</v>
      </c>
      <c r="G25" t="s">
        <v>106</v>
      </c>
      <c r="H25" s="6" t="s">
        <v>97</v>
      </c>
    </row>
    <row r="26" spans="1:8" x14ac:dyDescent="0.25">
      <c r="A26" s="3">
        <v>46007</v>
      </c>
      <c r="B26">
        <v>2025003391</v>
      </c>
      <c r="C26" t="s">
        <v>261</v>
      </c>
      <c r="D26" s="5">
        <v>7800000</v>
      </c>
      <c r="E26" t="s">
        <v>518</v>
      </c>
      <c r="F26" t="s">
        <v>23</v>
      </c>
      <c r="G26" t="s">
        <v>106</v>
      </c>
      <c r="H26" s="6" t="s">
        <v>97</v>
      </c>
    </row>
    <row r="27" spans="1:8" x14ac:dyDescent="0.25">
      <c r="A27" s="3">
        <v>46007</v>
      </c>
      <c r="B27">
        <v>2025003392</v>
      </c>
      <c r="C27" t="s">
        <v>580</v>
      </c>
      <c r="D27" s="5">
        <v>4730000</v>
      </c>
      <c r="E27" t="s">
        <v>581</v>
      </c>
      <c r="F27" t="s">
        <v>100</v>
      </c>
      <c r="G27" t="s">
        <v>106</v>
      </c>
      <c r="H27" s="6" t="s">
        <v>97</v>
      </c>
    </row>
    <row r="28" spans="1:8" x14ac:dyDescent="0.25">
      <c r="A28" s="3">
        <v>46007</v>
      </c>
      <c r="B28">
        <v>2025003393</v>
      </c>
      <c r="C28" t="s">
        <v>524</v>
      </c>
      <c r="D28" s="5">
        <v>2000000</v>
      </c>
      <c r="E28" t="s">
        <v>525</v>
      </c>
      <c r="F28" t="s">
        <v>526</v>
      </c>
      <c r="G28" t="s">
        <v>106</v>
      </c>
      <c r="H28" s="6" t="s">
        <v>97</v>
      </c>
    </row>
    <row r="29" spans="1:8" x14ac:dyDescent="0.25">
      <c r="A29" s="3">
        <v>46007</v>
      </c>
      <c r="B29">
        <v>2025003394</v>
      </c>
      <c r="C29" t="s">
        <v>534</v>
      </c>
      <c r="D29" s="5">
        <v>2000000</v>
      </c>
      <c r="E29" t="s">
        <v>535</v>
      </c>
      <c r="F29" t="s">
        <v>536</v>
      </c>
      <c r="G29" t="s">
        <v>106</v>
      </c>
      <c r="H29" s="6" t="s">
        <v>97</v>
      </c>
    </row>
    <row r="30" spans="1:8" x14ac:dyDescent="0.25">
      <c r="A30" s="3">
        <v>46007</v>
      </c>
      <c r="B30">
        <v>2025003395</v>
      </c>
      <c r="C30" t="s">
        <v>267</v>
      </c>
      <c r="D30" s="5">
        <v>3150000</v>
      </c>
      <c r="E30" t="s">
        <v>656</v>
      </c>
      <c r="F30" t="s">
        <v>41</v>
      </c>
      <c r="G30" t="s">
        <v>106</v>
      </c>
      <c r="H30" s="6" t="s">
        <v>97</v>
      </c>
    </row>
    <row r="31" spans="1:8" x14ac:dyDescent="0.25">
      <c r="A31" s="3">
        <v>46007</v>
      </c>
      <c r="B31">
        <v>2025003396</v>
      </c>
      <c r="C31" t="s">
        <v>359</v>
      </c>
      <c r="D31" s="5">
        <v>4730000</v>
      </c>
      <c r="E31" t="s">
        <v>360</v>
      </c>
      <c r="F31" t="s">
        <v>99</v>
      </c>
      <c r="G31" t="s">
        <v>106</v>
      </c>
      <c r="H31" s="6" t="s">
        <v>97</v>
      </c>
    </row>
    <row r="32" spans="1:8" x14ac:dyDescent="0.25">
      <c r="A32" s="3">
        <v>46007</v>
      </c>
      <c r="B32">
        <v>2025003397</v>
      </c>
      <c r="C32" t="s">
        <v>587</v>
      </c>
      <c r="D32" s="5">
        <v>4730000</v>
      </c>
      <c r="E32" t="s">
        <v>588</v>
      </c>
      <c r="F32" t="s">
        <v>589</v>
      </c>
      <c r="G32" t="s">
        <v>106</v>
      </c>
      <c r="H32" s="6" t="s">
        <v>97</v>
      </c>
    </row>
    <row r="33" spans="1:8" x14ac:dyDescent="0.25">
      <c r="A33" s="3">
        <v>46007</v>
      </c>
      <c r="B33">
        <v>2025003398</v>
      </c>
      <c r="C33" t="s">
        <v>520</v>
      </c>
      <c r="D33" s="5">
        <v>7800000</v>
      </c>
      <c r="E33" t="s">
        <v>521</v>
      </c>
      <c r="F33" t="s">
        <v>522</v>
      </c>
      <c r="G33" t="s">
        <v>106</v>
      </c>
      <c r="H33" s="6" t="s">
        <v>97</v>
      </c>
    </row>
    <row r="34" spans="1:8" x14ac:dyDescent="0.25">
      <c r="A34" s="3">
        <v>46007</v>
      </c>
      <c r="B34">
        <v>2025003399</v>
      </c>
      <c r="C34" t="s">
        <v>569</v>
      </c>
      <c r="D34" s="5">
        <v>3150000</v>
      </c>
      <c r="E34" t="s">
        <v>570</v>
      </c>
      <c r="F34" t="s">
        <v>571</v>
      </c>
      <c r="G34" t="s">
        <v>106</v>
      </c>
      <c r="H34" s="6" t="s">
        <v>97</v>
      </c>
    </row>
    <row r="35" spans="1:8" x14ac:dyDescent="0.25">
      <c r="A35" s="3">
        <v>46007</v>
      </c>
      <c r="B35">
        <v>2025003400</v>
      </c>
      <c r="C35" t="s">
        <v>770</v>
      </c>
      <c r="D35" s="5">
        <v>7800000</v>
      </c>
      <c r="E35" t="s">
        <v>771</v>
      </c>
      <c r="F35" t="s">
        <v>772</v>
      </c>
      <c r="G35" t="s">
        <v>106</v>
      </c>
      <c r="H35" s="6" t="s">
        <v>97</v>
      </c>
    </row>
    <row r="36" spans="1:8" x14ac:dyDescent="0.25">
      <c r="A36" s="3">
        <v>46007</v>
      </c>
      <c r="B36">
        <v>2025003401</v>
      </c>
      <c r="C36" t="s">
        <v>527</v>
      </c>
      <c r="D36" s="5">
        <v>3150000</v>
      </c>
      <c r="E36" t="s">
        <v>528</v>
      </c>
      <c r="F36" t="s">
        <v>529</v>
      </c>
      <c r="G36" t="s">
        <v>106</v>
      </c>
      <c r="H36" s="6" t="s">
        <v>97</v>
      </c>
    </row>
    <row r="37" spans="1:8" x14ac:dyDescent="0.25">
      <c r="A37" s="3">
        <v>46007</v>
      </c>
      <c r="B37">
        <v>2025003402</v>
      </c>
      <c r="C37" t="s">
        <v>773</v>
      </c>
      <c r="D37" s="5">
        <v>3150000</v>
      </c>
      <c r="E37" t="s">
        <v>774</v>
      </c>
      <c r="F37" t="s">
        <v>84</v>
      </c>
      <c r="G37" t="s">
        <v>106</v>
      </c>
      <c r="H37" s="6" t="s">
        <v>97</v>
      </c>
    </row>
    <row r="38" spans="1:8" x14ac:dyDescent="0.25">
      <c r="A38" s="3">
        <v>46007</v>
      </c>
      <c r="B38">
        <v>2025003403</v>
      </c>
      <c r="C38" t="s">
        <v>336</v>
      </c>
      <c r="D38" s="5">
        <v>4730000</v>
      </c>
      <c r="E38" t="s">
        <v>579</v>
      </c>
      <c r="F38" t="s">
        <v>38</v>
      </c>
      <c r="G38" t="s">
        <v>106</v>
      </c>
      <c r="H38" s="6" t="s">
        <v>97</v>
      </c>
    </row>
    <row r="39" spans="1:8" x14ac:dyDescent="0.25">
      <c r="A39" s="3">
        <v>46007</v>
      </c>
      <c r="B39">
        <v>2025003404</v>
      </c>
      <c r="C39" t="s">
        <v>140</v>
      </c>
      <c r="D39" s="5">
        <v>6300000</v>
      </c>
      <c r="E39" t="s">
        <v>582</v>
      </c>
      <c r="F39" t="s">
        <v>62</v>
      </c>
      <c r="G39" t="s">
        <v>106</v>
      </c>
      <c r="H39" s="6" t="s">
        <v>97</v>
      </c>
    </row>
    <row r="40" spans="1:8" x14ac:dyDescent="0.25">
      <c r="A40" s="3">
        <v>46007</v>
      </c>
      <c r="B40">
        <v>2025003405</v>
      </c>
      <c r="C40" t="s">
        <v>141</v>
      </c>
      <c r="D40" s="5">
        <v>6300000</v>
      </c>
      <c r="E40" t="s">
        <v>623</v>
      </c>
      <c r="F40" t="s">
        <v>142</v>
      </c>
      <c r="G40" t="s">
        <v>106</v>
      </c>
      <c r="H40" s="6" t="s">
        <v>97</v>
      </c>
    </row>
    <row r="41" spans="1:8" x14ac:dyDescent="0.25">
      <c r="A41" s="3">
        <v>46007</v>
      </c>
      <c r="B41">
        <v>2025003406</v>
      </c>
      <c r="C41" t="s">
        <v>775</v>
      </c>
      <c r="D41" s="5">
        <v>3150000</v>
      </c>
      <c r="E41" t="s">
        <v>776</v>
      </c>
      <c r="F41" t="s">
        <v>89</v>
      </c>
      <c r="G41" t="s">
        <v>106</v>
      </c>
      <c r="H41" s="6" t="s">
        <v>97</v>
      </c>
    </row>
    <row r="42" spans="1:8" x14ac:dyDescent="0.25">
      <c r="A42" s="3">
        <v>46007</v>
      </c>
      <c r="B42">
        <v>2025003407</v>
      </c>
      <c r="C42" t="s">
        <v>657</v>
      </c>
      <c r="D42" s="5">
        <v>2000000</v>
      </c>
      <c r="E42" t="s">
        <v>658</v>
      </c>
      <c r="F42" t="s">
        <v>659</v>
      </c>
      <c r="G42" t="s">
        <v>106</v>
      </c>
      <c r="H42" s="6" t="s">
        <v>97</v>
      </c>
    </row>
    <row r="43" spans="1:8" x14ac:dyDescent="0.25">
      <c r="A43" s="3">
        <v>46007</v>
      </c>
      <c r="B43">
        <v>2025003408</v>
      </c>
      <c r="C43" s="6" t="s">
        <v>638</v>
      </c>
      <c r="D43" s="5">
        <v>3150000</v>
      </c>
      <c r="E43" t="s">
        <v>639</v>
      </c>
      <c r="F43" t="s">
        <v>85</v>
      </c>
      <c r="G43" t="s">
        <v>106</v>
      </c>
      <c r="H43" s="6" t="s">
        <v>97</v>
      </c>
    </row>
    <row r="44" spans="1:8" x14ac:dyDescent="0.25">
      <c r="A44" s="3">
        <v>46007</v>
      </c>
      <c r="B44">
        <v>2025003409</v>
      </c>
      <c r="C44" t="s">
        <v>516</v>
      </c>
      <c r="D44" s="5">
        <v>2000000</v>
      </c>
      <c r="E44" t="s">
        <v>517</v>
      </c>
      <c r="F44" t="s">
        <v>37</v>
      </c>
      <c r="G44" t="s">
        <v>106</v>
      </c>
      <c r="H44" s="6" t="s">
        <v>97</v>
      </c>
    </row>
    <row r="45" spans="1:8" x14ac:dyDescent="0.25">
      <c r="A45" s="3">
        <v>46007</v>
      </c>
      <c r="B45">
        <v>2025003410</v>
      </c>
      <c r="C45" t="s">
        <v>327</v>
      </c>
      <c r="D45" s="5">
        <v>3150000</v>
      </c>
      <c r="E45" t="s">
        <v>564</v>
      </c>
      <c r="F45" t="s">
        <v>328</v>
      </c>
      <c r="G45" t="s">
        <v>106</v>
      </c>
      <c r="H45" s="6" t="s">
        <v>97</v>
      </c>
    </row>
    <row r="46" spans="1:8" x14ac:dyDescent="0.25">
      <c r="A46" s="3">
        <v>46007</v>
      </c>
      <c r="B46">
        <v>2025003411</v>
      </c>
      <c r="C46" t="s">
        <v>572</v>
      </c>
      <c r="D46" s="5">
        <v>4730000</v>
      </c>
      <c r="E46" t="s">
        <v>573</v>
      </c>
      <c r="F46" t="s">
        <v>574</v>
      </c>
      <c r="G46" t="s">
        <v>106</v>
      </c>
      <c r="H46" s="6" t="s">
        <v>97</v>
      </c>
    </row>
    <row r="47" spans="1:8" x14ac:dyDescent="0.25">
      <c r="A47" s="3">
        <v>46007</v>
      </c>
      <c r="B47">
        <v>2025003412</v>
      </c>
      <c r="C47" t="s">
        <v>613</v>
      </c>
      <c r="D47" s="5">
        <v>3150000</v>
      </c>
      <c r="E47" t="s">
        <v>614</v>
      </c>
      <c r="F47" t="s">
        <v>615</v>
      </c>
      <c r="G47" t="s">
        <v>106</v>
      </c>
      <c r="H47" s="6" t="s">
        <v>97</v>
      </c>
    </row>
    <row r="48" spans="1:8" x14ac:dyDescent="0.25">
      <c r="A48" s="3">
        <v>46007</v>
      </c>
      <c r="B48">
        <v>2025003413</v>
      </c>
      <c r="C48" t="s">
        <v>777</v>
      </c>
      <c r="D48" s="5">
        <v>3150000</v>
      </c>
      <c r="E48" t="s">
        <v>778</v>
      </c>
      <c r="F48" t="s">
        <v>779</v>
      </c>
      <c r="G48" t="s">
        <v>106</v>
      </c>
      <c r="H48" s="6" t="s">
        <v>97</v>
      </c>
    </row>
    <row r="49" spans="1:8" x14ac:dyDescent="0.25">
      <c r="A49" s="3">
        <v>46007</v>
      </c>
      <c r="B49">
        <v>2025003414</v>
      </c>
      <c r="C49" t="s">
        <v>333</v>
      </c>
      <c r="D49" s="5">
        <v>3150000</v>
      </c>
      <c r="E49" t="s">
        <v>641</v>
      </c>
      <c r="F49" t="s">
        <v>14</v>
      </c>
      <c r="G49" t="s">
        <v>106</v>
      </c>
      <c r="H49" s="6" t="s">
        <v>97</v>
      </c>
    </row>
    <row r="50" spans="1:8" x14ac:dyDescent="0.25">
      <c r="A50" s="3">
        <v>46007</v>
      </c>
      <c r="B50">
        <v>2025003415</v>
      </c>
      <c r="C50" t="s">
        <v>780</v>
      </c>
      <c r="D50" s="5">
        <v>1575000</v>
      </c>
      <c r="E50" t="s">
        <v>781</v>
      </c>
      <c r="F50" t="s">
        <v>782</v>
      </c>
      <c r="G50" t="s">
        <v>106</v>
      </c>
      <c r="H50" s="6" t="s">
        <v>97</v>
      </c>
    </row>
    <row r="51" spans="1:8" x14ac:dyDescent="0.25">
      <c r="A51" s="3">
        <v>46007</v>
      </c>
      <c r="B51">
        <v>2025003416</v>
      </c>
      <c r="C51" t="s">
        <v>264</v>
      </c>
      <c r="D51" s="5">
        <v>7800000</v>
      </c>
      <c r="E51" t="s">
        <v>523</v>
      </c>
      <c r="F51" t="s">
        <v>57</v>
      </c>
      <c r="G51" t="s">
        <v>106</v>
      </c>
      <c r="H51" s="6" t="s">
        <v>97</v>
      </c>
    </row>
    <row r="52" spans="1:8" x14ac:dyDescent="0.25">
      <c r="A52" s="3">
        <v>46007</v>
      </c>
      <c r="B52">
        <v>2025003417</v>
      </c>
      <c r="C52" t="s">
        <v>783</v>
      </c>
      <c r="D52" s="5">
        <v>3150000</v>
      </c>
      <c r="E52" t="s">
        <v>784</v>
      </c>
      <c r="F52" t="s">
        <v>785</v>
      </c>
      <c r="G52" t="s">
        <v>106</v>
      </c>
      <c r="H52" s="6" t="s">
        <v>97</v>
      </c>
    </row>
    <row r="53" spans="1:8" x14ac:dyDescent="0.25">
      <c r="A53" s="3">
        <v>46007</v>
      </c>
      <c r="B53">
        <v>2025003418</v>
      </c>
      <c r="C53" t="s">
        <v>643</v>
      </c>
      <c r="D53" s="5">
        <v>2000000</v>
      </c>
      <c r="E53" t="s">
        <v>644</v>
      </c>
      <c r="F53" t="s">
        <v>645</v>
      </c>
      <c r="G53" t="s">
        <v>106</v>
      </c>
      <c r="H53" s="6" t="s">
        <v>97</v>
      </c>
    </row>
    <row r="54" spans="1:8" x14ac:dyDescent="0.25">
      <c r="A54" s="3">
        <v>46007</v>
      </c>
      <c r="B54">
        <v>2025003419</v>
      </c>
      <c r="C54" t="s">
        <v>786</v>
      </c>
      <c r="D54" s="5">
        <v>3150000</v>
      </c>
      <c r="E54" t="s">
        <v>787</v>
      </c>
      <c r="F54" t="s">
        <v>788</v>
      </c>
      <c r="G54" t="s">
        <v>106</v>
      </c>
      <c r="H54" s="6" t="s">
        <v>97</v>
      </c>
    </row>
    <row r="55" spans="1:8" x14ac:dyDescent="0.25">
      <c r="A55" s="3">
        <v>46007</v>
      </c>
      <c r="B55">
        <v>2025003420</v>
      </c>
      <c r="C55" t="s">
        <v>135</v>
      </c>
      <c r="D55" s="5">
        <v>6300000</v>
      </c>
      <c r="E55" t="s">
        <v>515</v>
      </c>
      <c r="F55" t="s">
        <v>789</v>
      </c>
      <c r="G55" t="s">
        <v>106</v>
      </c>
      <c r="H55" s="6" t="s">
        <v>97</v>
      </c>
    </row>
    <row r="56" spans="1:8" x14ac:dyDescent="0.25">
      <c r="A56" s="3">
        <v>46007</v>
      </c>
      <c r="B56">
        <v>2025003421</v>
      </c>
      <c r="C56" t="s">
        <v>331</v>
      </c>
      <c r="D56" s="5">
        <v>3150000</v>
      </c>
      <c r="E56" t="s">
        <v>532</v>
      </c>
      <c r="F56" t="s">
        <v>332</v>
      </c>
      <c r="G56" t="s">
        <v>106</v>
      </c>
      <c r="H56" s="6" t="s">
        <v>97</v>
      </c>
    </row>
    <row r="57" spans="1:8" x14ac:dyDescent="0.25">
      <c r="A57" s="3">
        <v>46007</v>
      </c>
      <c r="B57">
        <v>2025003422</v>
      </c>
      <c r="C57" t="s">
        <v>335</v>
      </c>
      <c r="D57" s="5">
        <v>2240000</v>
      </c>
      <c r="E57" t="s">
        <v>624</v>
      </c>
      <c r="F57" t="s">
        <v>52</v>
      </c>
      <c r="G57" t="s">
        <v>106</v>
      </c>
      <c r="H57" s="6" t="s">
        <v>97</v>
      </c>
    </row>
    <row r="58" spans="1:8" x14ac:dyDescent="0.25">
      <c r="A58" s="3">
        <v>46007</v>
      </c>
      <c r="B58">
        <v>2025003423</v>
      </c>
      <c r="C58" t="s">
        <v>130</v>
      </c>
      <c r="D58" s="5">
        <v>3150000</v>
      </c>
      <c r="E58" t="s">
        <v>586</v>
      </c>
      <c r="F58" t="s">
        <v>30</v>
      </c>
      <c r="G58" t="s">
        <v>106</v>
      </c>
      <c r="H58" s="6" t="s">
        <v>97</v>
      </c>
    </row>
    <row r="59" spans="1:8" x14ac:dyDescent="0.25">
      <c r="A59" s="3">
        <v>46007</v>
      </c>
      <c r="B59">
        <v>2025003425</v>
      </c>
      <c r="C59" t="s">
        <v>790</v>
      </c>
      <c r="D59" s="5">
        <v>3150000</v>
      </c>
      <c r="E59" t="s">
        <v>791</v>
      </c>
      <c r="F59" t="s">
        <v>92</v>
      </c>
      <c r="G59" t="s">
        <v>106</v>
      </c>
      <c r="H59" s="6" t="s">
        <v>97</v>
      </c>
    </row>
    <row r="60" spans="1:8" x14ac:dyDescent="0.25">
      <c r="A60" s="3">
        <v>46007</v>
      </c>
      <c r="B60">
        <v>2025003437</v>
      </c>
      <c r="C60" t="s">
        <v>792</v>
      </c>
      <c r="D60" s="5">
        <v>3150000</v>
      </c>
      <c r="E60" t="s">
        <v>793</v>
      </c>
      <c r="F60" t="s">
        <v>69</v>
      </c>
      <c r="G60" t="s">
        <v>106</v>
      </c>
      <c r="H60" s="6" t="s">
        <v>97</v>
      </c>
    </row>
    <row r="61" spans="1:8" x14ac:dyDescent="0.25">
      <c r="A61" s="3">
        <v>46007</v>
      </c>
      <c r="B61">
        <v>2025003442</v>
      </c>
      <c r="C61" t="s">
        <v>153</v>
      </c>
      <c r="D61" s="5">
        <v>3150000</v>
      </c>
      <c r="E61" t="s">
        <v>472</v>
      </c>
      <c r="F61" t="s">
        <v>53</v>
      </c>
      <c r="G61" t="s">
        <v>106</v>
      </c>
      <c r="H61" s="6" t="s">
        <v>97</v>
      </c>
    </row>
    <row r="62" spans="1:8" x14ac:dyDescent="0.25">
      <c r="A62" s="3">
        <v>46008</v>
      </c>
      <c r="B62">
        <v>2025003446</v>
      </c>
      <c r="C62" t="s">
        <v>334</v>
      </c>
      <c r="D62" s="5">
        <v>3150000</v>
      </c>
      <c r="E62" t="s">
        <v>537</v>
      </c>
      <c r="F62" t="s">
        <v>19</v>
      </c>
      <c r="G62" t="s">
        <v>106</v>
      </c>
      <c r="H62" s="6" t="s">
        <v>97</v>
      </c>
    </row>
    <row r="63" spans="1:8" x14ac:dyDescent="0.25">
      <c r="A63" s="3">
        <v>46008</v>
      </c>
      <c r="B63">
        <v>2025003447</v>
      </c>
      <c r="C63" t="s">
        <v>794</v>
      </c>
      <c r="D63" s="5">
        <v>7800000</v>
      </c>
      <c r="E63" t="s">
        <v>795</v>
      </c>
      <c r="F63" t="s">
        <v>796</v>
      </c>
      <c r="G63" t="s">
        <v>106</v>
      </c>
      <c r="H63" s="6" t="s">
        <v>97</v>
      </c>
    </row>
    <row r="64" spans="1:8" x14ac:dyDescent="0.25">
      <c r="A64" s="3">
        <v>46008</v>
      </c>
      <c r="B64">
        <v>2025003449</v>
      </c>
      <c r="C64" t="s">
        <v>797</v>
      </c>
      <c r="D64" s="5">
        <v>3150000</v>
      </c>
      <c r="E64" t="s">
        <v>798</v>
      </c>
      <c r="F64" t="s">
        <v>799</v>
      </c>
      <c r="G64" t="s">
        <v>106</v>
      </c>
      <c r="H64" s="6" t="s">
        <v>97</v>
      </c>
    </row>
    <row r="65" spans="1:8" x14ac:dyDescent="0.25">
      <c r="A65" s="3">
        <v>46008</v>
      </c>
      <c r="B65">
        <v>2025003450</v>
      </c>
      <c r="C65" t="s">
        <v>299</v>
      </c>
      <c r="D65" s="5">
        <v>6300000</v>
      </c>
      <c r="E65" t="s">
        <v>443</v>
      </c>
      <c r="F65" t="s">
        <v>300</v>
      </c>
      <c r="G65" t="s">
        <v>106</v>
      </c>
      <c r="H65" s="6" t="s">
        <v>97</v>
      </c>
    </row>
    <row r="66" spans="1:8" x14ac:dyDescent="0.25">
      <c r="A66" s="3">
        <v>46008</v>
      </c>
      <c r="B66">
        <v>2025003451</v>
      </c>
      <c r="C66" t="s">
        <v>259</v>
      </c>
      <c r="D66" s="5">
        <v>6300000</v>
      </c>
      <c r="E66" t="s">
        <v>538</v>
      </c>
      <c r="F66" t="s">
        <v>260</v>
      </c>
      <c r="G66" t="s">
        <v>106</v>
      </c>
      <c r="H66" s="6" t="s">
        <v>97</v>
      </c>
    </row>
    <row r="67" spans="1:8" x14ac:dyDescent="0.25">
      <c r="A67" s="3">
        <v>46008</v>
      </c>
      <c r="B67">
        <v>2025003452</v>
      </c>
      <c r="C67" t="s">
        <v>800</v>
      </c>
      <c r="D67" s="5">
        <v>7800000</v>
      </c>
      <c r="E67" t="s">
        <v>801</v>
      </c>
      <c r="F67" t="s">
        <v>802</v>
      </c>
      <c r="G67" t="s">
        <v>106</v>
      </c>
      <c r="H67" s="6" t="s">
        <v>97</v>
      </c>
    </row>
    <row r="68" spans="1:8" x14ac:dyDescent="0.25">
      <c r="A68" s="3">
        <v>46008</v>
      </c>
      <c r="B68">
        <v>2025003453</v>
      </c>
      <c r="C68" t="s">
        <v>803</v>
      </c>
      <c r="D68" s="5">
        <v>2000000</v>
      </c>
      <c r="E68" t="s">
        <v>804</v>
      </c>
      <c r="F68" t="s">
        <v>88</v>
      </c>
      <c r="G68" t="s">
        <v>106</v>
      </c>
      <c r="H68" s="6" t="s">
        <v>97</v>
      </c>
    </row>
    <row r="69" spans="1:8" x14ac:dyDescent="0.25">
      <c r="A69" s="3">
        <v>46008</v>
      </c>
      <c r="B69">
        <v>2025003454</v>
      </c>
      <c r="C69" t="s">
        <v>650</v>
      </c>
      <c r="D69" s="5">
        <v>2000000</v>
      </c>
      <c r="E69" t="s">
        <v>651</v>
      </c>
      <c r="F69" t="s">
        <v>652</v>
      </c>
      <c r="G69" t="s">
        <v>106</v>
      </c>
      <c r="H69" s="6" t="s">
        <v>97</v>
      </c>
    </row>
    <row r="70" spans="1:8" x14ac:dyDescent="0.25">
      <c r="A70" s="3">
        <v>46008</v>
      </c>
      <c r="B70">
        <v>2025003455</v>
      </c>
      <c r="C70" t="s">
        <v>805</v>
      </c>
      <c r="D70" s="5">
        <v>1050000</v>
      </c>
      <c r="E70" t="s">
        <v>806</v>
      </c>
      <c r="F70" t="s">
        <v>103</v>
      </c>
      <c r="G70" t="s">
        <v>106</v>
      </c>
      <c r="H70" s="6" t="s">
        <v>97</v>
      </c>
    </row>
    <row r="71" spans="1:8" x14ac:dyDescent="0.25">
      <c r="A71" s="3">
        <v>46008</v>
      </c>
      <c r="B71">
        <v>2025003456</v>
      </c>
      <c r="C71" t="s">
        <v>137</v>
      </c>
      <c r="D71" s="5">
        <v>3150000</v>
      </c>
      <c r="E71" t="s">
        <v>530</v>
      </c>
      <c r="F71" t="s">
        <v>138</v>
      </c>
      <c r="G71" t="s">
        <v>106</v>
      </c>
      <c r="H71" s="6" t="s">
        <v>97</v>
      </c>
    </row>
    <row r="72" spans="1:8" x14ac:dyDescent="0.25">
      <c r="A72" s="3">
        <v>46008</v>
      </c>
      <c r="B72">
        <v>2025003457</v>
      </c>
      <c r="C72" t="s">
        <v>131</v>
      </c>
      <c r="D72" s="5">
        <v>3150000</v>
      </c>
      <c r="E72" t="s">
        <v>531</v>
      </c>
      <c r="F72" t="s">
        <v>132</v>
      </c>
      <c r="G72" t="s">
        <v>106</v>
      </c>
      <c r="H72" s="6" t="s">
        <v>97</v>
      </c>
    </row>
    <row r="73" spans="1:8" x14ac:dyDescent="0.25">
      <c r="A73" s="3">
        <v>46008</v>
      </c>
      <c r="B73">
        <v>2025003458</v>
      </c>
      <c r="C73" t="s">
        <v>807</v>
      </c>
      <c r="D73" s="5">
        <v>3150000</v>
      </c>
      <c r="E73" t="s">
        <v>808</v>
      </c>
      <c r="F73" t="s">
        <v>809</v>
      </c>
      <c r="G73" t="s">
        <v>106</v>
      </c>
      <c r="H73" s="6" t="s">
        <v>97</v>
      </c>
    </row>
    <row r="74" spans="1:8" x14ac:dyDescent="0.25">
      <c r="A74" s="3">
        <v>46008</v>
      </c>
      <c r="B74">
        <v>2025003459</v>
      </c>
      <c r="C74" t="s">
        <v>810</v>
      </c>
      <c r="D74" s="5">
        <v>2000000</v>
      </c>
      <c r="E74" t="s">
        <v>811</v>
      </c>
      <c r="F74" t="s">
        <v>812</v>
      </c>
      <c r="G74" t="s">
        <v>106</v>
      </c>
      <c r="H74" s="6" t="s">
        <v>97</v>
      </c>
    </row>
    <row r="75" spans="1:8" x14ac:dyDescent="0.25">
      <c r="A75" s="3">
        <v>46008</v>
      </c>
      <c r="B75">
        <v>2025003460</v>
      </c>
      <c r="C75" t="s">
        <v>813</v>
      </c>
      <c r="D75" s="5">
        <v>3150000</v>
      </c>
      <c r="E75" t="s">
        <v>814</v>
      </c>
      <c r="F75" t="s">
        <v>815</v>
      </c>
      <c r="G75" t="s">
        <v>106</v>
      </c>
      <c r="H75" s="6" t="s">
        <v>97</v>
      </c>
    </row>
    <row r="76" spans="1:8" x14ac:dyDescent="0.25">
      <c r="A76" s="3">
        <v>46008</v>
      </c>
      <c r="B76">
        <v>2025003461</v>
      </c>
      <c r="C76" t="s">
        <v>816</v>
      </c>
      <c r="D76" s="5">
        <v>1050000</v>
      </c>
      <c r="E76" t="s">
        <v>817</v>
      </c>
      <c r="F76" t="s">
        <v>818</v>
      </c>
      <c r="G76" t="s">
        <v>106</v>
      </c>
      <c r="H76" s="6" t="s">
        <v>97</v>
      </c>
    </row>
    <row r="77" spans="1:8" x14ac:dyDescent="0.25">
      <c r="A77" s="3">
        <v>46008</v>
      </c>
      <c r="B77">
        <v>2025003462</v>
      </c>
      <c r="C77" t="s">
        <v>575</v>
      </c>
      <c r="D77" s="5">
        <v>4730000</v>
      </c>
      <c r="E77" t="s">
        <v>576</v>
      </c>
      <c r="F77" t="s">
        <v>577</v>
      </c>
      <c r="G77" t="s">
        <v>106</v>
      </c>
      <c r="H77" s="6" t="s">
        <v>97</v>
      </c>
    </row>
    <row r="78" spans="1:8" x14ac:dyDescent="0.25">
      <c r="A78" s="3">
        <v>46008</v>
      </c>
      <c r="B78">
        <v>2025003463</v>
      </c>
      <c r="C78" t="s">
        <v>819</v>
      </c>
      <c r="D78" s="5">
        <v>3150000</v>
      </c>
      <c r="E78" t="s">
        <v>820</v>
      </c>
      <c r="F78" t="s">
        <v>102</v>
      </c>
      <c r="G78" t="s">
        <v>106</v>
      </c>
      <c r="H78" s="6" t="s">
        <v>97</v>
      </c>
    </row>
    <row r="79" spans="1:8" x14ac:dyDescent="0.25">
      <c r="A79" s="3">
        <v>46008</v>
      </c>
      <c r="B79">
        <v>2025003464</v>
      </c>
      <c r="C79" t="s">
        <v>653</v>
      </c>
      <c r="D79" s="5">
        <v>2000000</v>
      </c>
      <c r="E79" t="s">
        <v>654</v>
      </c>
      <c r="F79" t="s">
        <v>655</v>
      </c>
      <c r="G79" t="s">
        <v>106</v>
      </c>
      <c r="H79" s="6" t="s">
        <v>97</v>
      </c>
    </row>
    <row r="80" spans="1:8" x14ac:dyDescent="0.25">
      <c r="A80" s="3">
        <v>46008</v>
      </c>
      <c r="B80">
        <v>2025003465</v>
      </c>
      <c r="C80" t="s">
        <v>266</v>
      </c>
      <c r="D80" s="5">
        <v>4730000</v>
      </c>
      <c r="E80" t="s">
        <v>578</v>
      </c>
      <c r="F80" t="s">
        <v>18</v>
      </c>
      <c r="G80" t="s">
        <v>106</v>
      </c>
      <c r="H80" s="6" t="s">
        <v>97</v>
      </c>
    </row>
    <row r="81" spans="1:8" x14ac:dyDescent="0.25">
      <c r="A81" s="3">
        <v>46008</v>
      </c>
      <c r="B81">
        <v>2025003466</v>
      </c>
      <c r="C81" t="s">
        <v>337</v>
      </c>
      <c r="D81" s="5">
        <v>4730000</v>
      </c>
      <c r="E81" t="s">
        <v>642</v>
      </c>
      <c r="F81" t="s">
        <v>7</v>
      </c>
      <c r="G81" t="s">
        <v>106</v>
      </c>
      <c r="H81" s="6" t="s">
        <v>97</v>
      </c>
    </row>
    <row r="82" spans="1:8" x14ac:dyDescent="0.25">
      <c r="A82" s="3">
        <v>46008</v>
      </c>
      <c r="B82">
        <v>2025003467</v>
      </c>
      <c r="C82" t="s">
        <v>821</v>
      </c>
      <c r="D82" s="5">
        <v>3150000</v>
      </c>
      <c r="E82" t="s">
        <v>822</v>
      </c>
      <c r="F82" t="s">
        <v>823</v>
      </c>
      <c r="G82" t="s">
        <v>106</v>
      </c>
      <c r="H82" s="6" t="s">
        <v>97</v>
      </c>
    </row>
    <row r="83" spans="1:8" x14ac:dyDescent="0.25">
      <c r="A83" s="3">
        <v>46008</v>
      </c>
      <c r="B83">
        <v>2025003468</v>
      </c>
      <c r="C83" t="s">
        <v>329</v>
      </c>
      <c r="D83" s="5">
        <v>3150000</v>
      </c>
      <c r="E83" t="s">
        <v>563</v>
      </c>
      <c r="F83" t="s">
        <v>330</v>
      </c>
      <c r="G83" t="s">
        <v>106</v>
      </c>
      <c r="H83" s="6" t="s">
        <v>97</v>
      </c>
    </row>
    <row r="84" spans="1:8" x14ac:dyDescent="0.25">
      <c r="A84" s="3">
        <v>46008</v>
      </c>
      <c r="B84">
        <v>2025003469</v>
      </c>
      <c r="C84" t="s">
        <v>133</v>
      </c>
      <c r="D84" s="5">
        <v>7800000</v>
      </c>
      <c r="E84" t="s">
        <v>584</v>
      </c>
      <c r="F84" t="s">
        <v>134</v>
      </c>
      <c r="G84" t="s">
        <v>106</v>
      </c>
      <c r="H84" s="6" t="s">
        <v>97</v>
      </c>
    </row>
    <row r="85" spans="1:8" x14ac:dyDescent="0.25">
      <c r="A85" s="3">
        <v>46008</v>
      </c>
      <c r="B85">
        <v>2025003470</v>
      </c>
      <c r="C85" t="s">
        <v>269</v>
      </c>
      <c r="D85" s="5">
        <v>7800000</v>
      </c>
      <c r="E85" t="s">
        <v>519</v>
      </c>
      <c r="F85" t="s">
        <v>95</v>
      </c>
      <c r="G85" t="s">
        <v>106</v>
      </c>
      <c r="H85" s="6" t="s">
        <v>97</v>
      </c>
    </row>
    <row r="86" spans="1:8" x14ac:dyDescent="0.25">
      <c r="A86" s="3">
        <v>46008</v>
      </c>
      <c r="B86">
        <v>2025003471</v>
      </c>
      <c r="C86" t="s">
        <v>136</v>
      </c>
      <c r="D86" s="5">
        <v>3150000</v>
      </c>
      <c r="E86" t="s">
        <v>616</v>
      </c>
      <c r="F86" t="s">
        <v>42</v>
      </c>
      <c r="G86" t="s">
        <v>106</v>
      </c>
      <c r="H86" s="6" t="s">
        <v>97</v>
      </c>
    </row>
    <row r="87" spans="1:8" x14ac:dyDescent="0.25">
      <c r="A87" s="3">
        <v>46008</v>
      </c>
      <c r="B87">
        <v>2025003472</v>
      </c>
      <c r="C87" t="s">
        <v>824</v>
      </c>
      <c r="D87" s="5">
        <v>3150000</v>
      </c>
      <c r="E87" t="s">
        <v>825</v>
      </c>
      <c r="F87" t="s">
        <v>826</v>
      </c>
      <c r="G87" t="s">
        <v>106</v>
      </c>
      <c r="H87" s="6" t="s">
        <v>97</v>
      </c>
    </row>
    <row r="88" spans="1:8" x14ac:dyDescent="0.25">
      <c r="A88" s="3">
        <v>46008</v>
      </c>
      <c r="B88">
        <v>2025003473</v>
      </c>
      <c r="C88" t="s">
        <v>827</v>
      </c>
      <c r="D88" s="5">
        <v>2000000</v>
      </c>
      <c r="E88" t="s">
        <v>828</v>
      </c>
      <c r="F88" t="s">
        <v>829</v>
      </c>
      <c r="G88" t="s">
        <v>106</v>
      </c>
      <c r="H88" s="6" t="s">
        <v>97</v>
      </c>
    </row>
    <row r="89" spans="1:8" x14ac:dyDescent="0.25">
      <c r="A89" s="3">
        <v>46008</v>
      </c>
      <c r="B89">
        <v>2025003474</v>
      </c>
      <c r="C89" t="s">
        <v>265</v>
      </c>
      <c r="D89" s="5">
        <v>6300000</v>
      </c>
      <c r="E89" t="s">
        <v>539</v>
      </c>
      <c r="F89" t="s">
        <v>54</v>
      </c>
      <c r="G89" t="s">
        <v>106</v>
      </c>
      <c r="H89" s="6" t="s">
        <v>97</v>
      </c>
    </row>
    <row r="90" spans="1:8" x14ac:dyDescent="0.25">
      <c r="A90" s="3">
        <v>46008</v>
      </c>
      <c r="B90">
        <v>2025003475</v>
      </c>
      <c r="C90" t="s">
        <v>830</v>
      </c>
      <c r="D90" s="5">
        <v>2000000</v>
      </c>
      <c r="E90" t="s">
        <v>831</v>
      </c>
      <c r="F90" t="s">
        <v>832</v>
      </c>
      <c r="G90" t="s">
        <v>106</v>
      </c>
      <c r="H90" s="6" t="s">
        <v>97</v>
      </c>
    </row>
    <row r="91" spans="1:8" x14ac:dyDescent="0.25">
      <c r="A91" s="3">
        <v>46008</v>
      </c>
      <c r="B91">
        <v>2025003476</v>
      </c>
      <c r="C91" t="s">
        <v>139</v>
      </c>
      <c r="D91" s="5">
        <v>3150000</v>
      </c>
      <c r="E91" t="s">
        <v>568</v>
      </c>
      <c r="F91" t="s">
        <v>63</v>
      </c>
      <c r="G91" t="s">
        <v>106</v>
      </c>
      <c r="H91" s="6" t="s">
        <v>97</v>
      </c>
    </row>
    <row r="92" spans="1:8" x14ac:dyDescent="0.25">
      <c r="A92" s="3">
        <v>46008</v>
      </c>
      <c r="B92">
        <v>2025003477</v>
      </c>
      <c r="C92" t="s">
        <v>361</v>
      </c>
      <c r="D92" s="5">
        <v>4730000</v>
      </c>
      <c r="E92" t="s">
        <v>362</v>
      </c>
      <c r="F92" t="s">
        <v>363</v>
      </c>
      <c r="G92" t="s">
        <v>106</v>
      </c>
      <c r="H92" s="6" t="s">
        <v>97</v>
      </c>
    </row>
    <row r="93" spans="1:8" x14ac:dyDescent="0.25">
      <c r="A93" s="3">
        <v>46008</v>
      </c>
      <c r="B93">
        <v>2025003479</v>
      </c>
      <c r="C93" t="s">
        <v>833</v>
      </c>
      <c r="D93" s="5">
        <v>1575000</v>
      </c>
      <c r="E93" t="s">
        <v>834</v>
      </c>
      <c r="F93" t="s">
        <v>835</v>
      </c>
      <c r="G93" t="s">
        <v>106</v>
      </c>
      <c r="H93" s="6" t="s">
        <v>97</v>
      </c>
    </row>
    <row r="94" spans="1:8" x14ac:dyDescent="0.25">
      <c r="A94" s="3">
        <v>46008</v>
      </c>
      <c r="B94">
        <v>2025003483</v>
      </c>
      <c r="C94" s="6" t="s">
        <v>836</v>
      </c>
      <c r="D94" s="5">
        <v>265680000</v>
      </c>
      <c r="E94" t="s">
        <v>837</v>
      </c>
      <c r="F94" t="s">
        <v>838</v>
      </c>
      <c r="G94" t="s">
        <v>106</v>
      </c>
      <c r="H94" s="6" t="s">
        <v>97</v>
      </c>
    </row>
    <row r="95" spans="1:8" x14ac:dyDescent="0.25">
      <c r="A95" s="3">
        <v>46008</v>
      </c>
      <c r="B95">
        <v>2025003484</v>
      </c>
      <c r="C95" t="s">
        <v>839</v>
      </c>
      <c r="D95" s="5">
        <v>144210000</v>
      </c>
      <c r="E95" t="s">
        <v>837</v>
      </c>
      <c r="F95" t="s">
        <v>838</v>
      </c>
      <c r="G95" t="s">
        <v>106</v>
      </c>
      <c r="H95" s="6" t="s">
        <v>97</v>
      </c>
    </row>
    <row r="96" spans="1:8" x14ac:dyDescent="0.25">
      <c r="A96" s="3">
        <v>46008</v>
      </c>
      <c r="B96">
        <v>2025003485</v>
      </c>
      <c r="C96" t="s">
        <v>726</v>
      </c>
      <c r="D96" s="5">
        <v>6300000</v>
      </c>
      <c r="E96" t="s">
        <v>727</v>
      </c>
      <c r="F96" t="s">
        <v>728</v>
      </c>
      <c r="G96" t="s">
        <v>106</v>
      </c>
      <c r="H96" s="6" t="s">
        <v>97</v>
      </c>
    </row>
    <row r="97" spans="1:8" x14ac:dyDescent="0.25">
      <c r="A97" s="3">
        <v>46008</v>
      </c>
      <c r="B97">
        <v>2025003486</v>
      </c>
      <c r="C97" t="s">
        <v>729</v>
      </c>
      <c r="D97" s="5">
        <v>3150000</v>
      </c>
      <c r="E97" t="s">
        <v>730</v>
      </c>
      <c r="F97" t="s">
        <v>731</v>
      </c>
      <c r="G97" t="s">
        <v>106</v>
      </c>
      <c r="H97" s="6" t="s">
        <v>97</v>
      </c>
    </row>
    <row r="98" spans="1:8" x14ac:dyDescent="0.25">
      <c r="A98" s="3">
        <v>46008</v>
      </c>
      <c r="B98">
        <v>2025003487</v>
      </c>
      <c r="C98" t="s">
        <v>685</v>
      </c>
      <c r="D98" s="5">
        <v>2000000</v>
      </c>
      <c r="E98" t="s">
        <v>686</v>
      </c>
      <c r="F98" t="s">
        <v>687</v>
      </c>
      <c r="G98" t="s">
        <v>106</v>
      </c>
      <c r="H98" s="6" t="s">
        <v>97</v>
      </c>
    </row>
    <row r="99" spans="1:8" x14ac:dyDescent="0.25">
      <c r="A99" s="3">
        <v>46008</v>
      </c>
      <c r="B99">
        <v>2025003490</v>
      </c>
      <c r="C99" t="s">
        <v>707</v>
      </c>
      <c r="D99" s="5">
        <v>2000000</v>
      </c>
      <c r="E99" t="s">
        <v>708</v>
      </c>
      <c r="F99" t="s">
        <v>66</v>
      </c>
      <c r="G99" t="s">
        <v>106</v>
      </c>
      <c r="H99" s="6" t="s">
        <v>97</v>
      </c>
    </row>
    <row r="100" spans="1:8" x14ac:dyDescent="0.25">
      <c r="A100" s="3">
        <v>46008</v>
      </c>
      <c r="B100">
        <v>2025003491</v>
      </c>
      <c r="C100" t="s">
        <v>705</v>
      </c>
      <c r="D100" s="5">
        <v>6300000</v>
      </c>
      <c r="E100" t="s">
        <v>706</v>
      </c>
      <c r="F100" t="s">
        <v>81</v>
      </c>
      <c r="G100" t="s">
        <v>106</v>
      </c>
      <c r="H100" s="6" t="s">
        <v>97</v>
      </c>
    </row>
    <row r="101" spans="1:8" x14ac:dyDescent="0.25">
      <c r="A101" s="3">
        <v>46008</v>
      </c>
      <c r="B101">
        <v>2025003492</v>
      </c>
      <c r="C101" t="s">
        <v>702</v>
      </c>
      <c r="D101" s="5">
        <v>4730000</v>
      </c>
      <c r="E101" t="s">
        <v>703</v>
      </c>
      <c r="F101" t="s">
        <v>704</v>
      </c>
      <c r="G101" t="s">
        <v>106</v>
      </c>
      <c r="H101" s="6" t="s">
        <v>97</v>
      </c>
    </row>
    <row r="102" spans="1:8" x14ac:dyDescent="0.25">
      <c r="A102" s="3">
        <v>46008</v>
      </c>
      <c r="B102">
        <v>2025003493</v>
      </c>
      <c r="C102" t="s">
        <v>840</v>
      </c>
      <c r="D102" s="5">
        <v>3150000</v>
      </c>
      <c r="E102" t="s">
        <v>841</v>
      </c>
      <c r="F102" t="s">
        <v>842</v>
      </c>
      <c r="G102" t="s">
        <v>106</v>
      </c>
      <c r="H102" s="6" t="s">
        <v>97</v>
      </c>
    </row>
    <row r="103" spans="1:8" x14ac:dyDescent="0.25">
      <c r="A103" s="3">
        <v>46008</v>
      </c>
      <c r="B103">
        <v>2025003494</v>
      </c>
      <c r="C103" t="s">
        <v>843</v>
      </c>
      <c r="D103" s="5">
        <v>3150000</v>
      </c>
      <c r="E103" t="s">
        <v>844</v>
      </c>
      <c r="F103" t="s">
        <v>79</v>
      </c>
      <c r="G103" t="s">
        <v>106</v>
      </c>
      <c r="H103" s="6" t="s">
        <v>97</v>
      </c>
    </row>
    <row r="104" spans="1:8" x14ac:dyDescent="0.25">
      <c r="A104" s="3">
        <v>46008</v>
      </c>
      <c r="B104">
        <v>2025003495</v>
      </c>
      <c r="C104" t="s">
        <v>845</v>
      </c>
      <c r="D104" s="5">
        <v>3150000</v>
      </c>
      <c r="E104" t="s">
        <v>846</v>
      </c>
      <c r="F104" t="s">
        <v>847</v>
      </c>
      <c r="G104" t="s">
        <v>106</v>
      </c>
      <c r="H104" s="6" t="s">
        <v>97</v>
      </c>
    </row>
    <row r="105" spans="1:8" x14ac:dyDescent="0.25">
      <c r="A105" s="3">
        <v>46008</v>
      </c>
      <c r="B105">
        <v>2025003496</v>
      </c>
      <c r="C105" t="s">
        <v>848</v>
      </c>
      <c r="D105" s="5">
        <v>3150000</v>
      </c>
      <c r="E105" t="s">
        <v>849</v>
      </c>
      <c r="F105" t="s">
        <v>850</v>
      </c>
      <c r="G105" t="s">
        <v>106</v>
      </c>
      <c r="H105" s="6" t="s">
        <v>97</v>
      </c>
    </row>
    <row r="106" spans="1:8" x14ac:dyDescent="0.25">
      <c r="A106" s="3">
        <v>46008</v>
      </c>
      <c r="B106">
        <v>2025003497</v>
      </c>
      <c r="C106" t="s">
        <v>851</v>
      </c>
      <c r="D106" s="5">
        <v>3150000</v>
      </c>
      <c r="E106" t="s">
        <v>852</v>
      </c>
      <c r="F106" t="s">
        <v>853</v>
      </c>
      <c r="G106" t="s">
        <v>106</v>
      </c>
      <c r="H106" s="6" t="s">
        <v>97</v>
      </c>
    </row>
    <row r="107" spans="1:8" x14ac:dyDescent="0.25">
      <c r="A107" s="3">
        <v>46008</v>
      </c>
      <c r="B107">
        <v>2025003498</v>
      </c>
      <c r="C107" t="s">
        <v>467</v>
      </c>
      <c r="D107" s="5">
        <v>6300000</v>
      </c>
      <c r="E107" t="s">
        <v>468</v>
      </c>
      <c r="F107" t="s">
        <v>469</v>
      </c>
      <c r="G107" t="s">
        <v>106</v>
      </c>
      <c r="H107" s="6" t="s">
        <v>97</v>
      </c>
    </row>
    <row r="108" spans="1:8" x14ac:dyDescent="0.25">
      <c r="A108" s="3">
        <v>46008</v>
      </c>
      <c r="B108">
        <v>2025003500</v>
      </c>
      <c r="C108" t="s">
        <v>216</v>
      </c>
      <c r="D108" s="5">
        <v>7800000</v>
      </c>
      <c r="E108" t="s">
        <v>480</v>
      </c>
      <c r="F108" t="s">
        <v>13</v>
      </c>
      <c r="G108" t="s">
        <v>106</v>
      </c>
      <c r="H108" s="6" t="s">
        <v>97</v>
      </c>
    </row>
    <row r="109" spans="1:8" x14ac:dyDescent="0.25">
      <c r="A109" s="3">
        <v>46008</v>
      </c>
      <c r="B109">
        <v>2025003501</v>
      </c>
      <c r="C109" t="s">
        <v>540</v>
      </c>
      <c r="D109" s="5">
        <v>6300000</v>
      </c>
      <c r="E109" t="s">
        <v>541</v>
      </c>
      <c r="F109" t="s">
        <v>73</v>
      </c>
      <c r="G109" t="s">
        <v>106</v>
      </c>
      <c r="H109" s="6" t="s">
        <v>97</v>
      </c>
    </row>
    <row r="110" spans="1:8" x14ac:dyDescent="0.25">
      <c r="A110" s="3">
        <v>46008</v>
      </c>
      <c r="B110">
        <v>2025003502</v>
      </c>
      <c r="C110" t="s">
        <v>551</v>
      </c>
      <c r="D110" s="5">
        <v>7800000</v>
      </c>
      <c r="E110" t="s">
        <v>552</v>
      </c>
      <c r="F110" t="s">
        <v>553</v>
      </c>
      <c r="G110" t="s">
        <v>106</v>
      </c>
      <c r="H110" s="6" t="s">
        <v>97</v>
      </c>
    </row>
    <row r="111" spans="1:8" x14ac:dyDescent="0.25">
      <c r="A111" s="3">
        <v>46008</v>
      </c>
      <c r="B111">
        <v>2025003503</v>
      </c>
      <c r="C111" t="s">
        <v>854</v>
      </c>
      <c r="D111" s="5">
        <v>3150000</v>
      </c>
      <c r="E111" t="s">
        <v>855</v>
      </c>
      <c r="F111" t="s">
        <v>16</v>
      </c>
      <c r="G111" t="s">
        <v>106</v>
      </c>
      <c r="H111" s="6" t="s">
        <v>97</v>
      </c>
    </row>
    <row r="112" spans="1:8" x14ac:dyDescent="0.25">
      <c r="A112" s="3">
        <v>46008</v>
      </c>
      <c r="B112">
        <v>2025003504</v>
      </c>
      <c r="C112" t="s">
        <v>545</v>
      </c>
      <c r="D112" s="5">
        <v>3150000</v>
      </c>
      <c r="E112" t="s">
        <v>546</v>
      </c>
      <c r="F112" t="s">
        <v>547</v>
      </c>
      <c r="G112" t="s">
        <v>106</v>
      </c>
      <c r="H112" s="6" t="s">
        <v>97</v>
      </c>
    </row>
    <row r="113" spans="1:8" x14ac:dyDescent="0.25">
      <c r="A113" s="3">
        <v>46008</v>
      </c>
      <c r="B113">
        <v>2025003505</v>
      </c>
      <c r="C113" t="s">
        <v>856</v>
      </c>
      <c r="D113" s="5">
        <v>3150000</v>
      </c>
      <c r="E113" t="s">
        <v>857</v>
      </c>
      <c r="F113" t="s">
        <v>858</v>
      </c>
      <c r="G113" t="s">
        <v>106</v>
      </c>
      <c r="H113" s="6" t="s">
        <v>97</v>
      </c>
    </row>
    <row r="114" spans="1:8" x14ac:dyDescent="0.25">
      <c r="A114" s="3">
        <v>46008</v>
      </c>
      <c r="B114">
        <v>2025003507</v>
      </c>
      <c r="C114" t="s">
        <v>149</v>
      </c>
      <c r="D114" s="5">
        <v>4200000</v>
      </c>
      <c r="E114" t="s">
        <v>859</v>
      </c>
      <c r="F114" t="s">
        <v>150</v>
      </c>
      <c r="G114" t="s">
        <v>106</v>
      </c>
      <c r="H114" s="6" t="s">
        <v>97</v>
      </c>
    </row>
    <row r="115" spans="1:8" x14ac:dyDescent="0.25">
      <c r="A115" s="3">
        <v>46008</v>
      </c>
      <c r="B115">
        <v>2025003508</v>
      </c>
      <c r="C115" t="s">
        <v>476</v>
      </c>
      <c r="D115" s="5">
        <v>3150000</v>
      </c>
      <c r="E115" t="s">
        <v>477</v>
      </c>
      <c r="F115" t="s">
        <v>478</v>
      </c>
      <c r="G115" t="s">
        <v>106</v>
      </c>
      <c r="H115" s="6" t="s">
        <v>97</v>
      </c>
    </row>
    <row r="116" spans="1:8" x14ac:dyDescent="0.25">
      <c r="A116" s="3">
        <v>46008</v>
      </c>
      <c r="B116">
        <v>2025003509</v>
      </c>
      <c r="C116" t="s">
        <v>750</v>
      </c>
      <c r="D116" s="5">
        <v>3150000</v>
      </c>
      <c r="E116" t="s">
        <v>751</v>
      </c>
      <c r="F116" t="s">
        <v>87</v>
      </c>
      <c r="G116" t="s">
        <v>106</v>
      </c>
      <c r="H116" s="6" t="s">
        <v>97</v>
      </c>
    </row>
    <row r="117" spans="1:8" x14ac:dyDescent="0.25">
      <c r="A117" s="3">
        <v>46008</v>
      </c>
      <c r="B117">
        <v>2025003511</v>
      </c>
      <c r="C117" t="s">
        <v>860</v>
      </c>
      <c r="D117" s="5">
        <v>15600000</v>
      </c>
      <c r="E117" t="s">
        <v>861</v>
      </c>
      <c r="F117" t="s">
        <v>862</v>
      </c>
      <c r="G117" t="s">
        <v>106</v>
      </c>
      <c r="H117" s="6" t="s">
        <v>97</v>
      </c>
    </row>
    <row r="118" spans="1:8" x14ac:dyDescent="0.25">
      <c r="A118" s="3">
        <v>46008</v>
      </c>
      <c r="B118">
        <v>2025003514</v>
      </c>
      <c r="C118" t="s">
        <v>202</v>
      </c>
      <c r="D118" s="5">
        <v>7800000</v>
      </c>
      <c r="E118" t="s">
        <v>405</v>
      </c>
      <c r="F118" t="s">
        <v>61</v>
      </c>
      <c r="G118" t="s">
        <v>106</v>
      </c>
      <c r="H118" s="6" t="s">
        <v>97</v>
      </c>
    </row>
    <row r="119" spans="1:8" x14ac:dyDescent="0.25">
      <c r="A119" s="3">
        <v>46008</v>
      </c>
      <c r="B119">
        <v>2025003516</v>
      </c>
      <c r="C119" t="s">
        <v>233</v>
      </c>
      <c r="D119" s="5">
        <v>3150000</v>
      </c>
      <c r="E119" t="s">
        <v>390</v>
      </c>
      <c r="F119" t="s">
        <v>80</v>
      </c>
      <c r="G119" t="s">
        <v>106</v>
      </c>
      <c r="H119" s="6" t="s">
        <v>97</v>
      </c>
    </row>
    <row r="120" spans="1:8" x14ac:dyDescent="0.25">
      <c r="A120" s="3">
        <v>46008</v>
      </c>
      <c r="B120">
        <v>2025003519</v>
      </c>
      <c r="C120" t="s">
        <v>244</v>
      </c>
      <c r="D120" s="5">
        <v>3150000</v>
      </c>
      <c r="E120" t="s">
        <v>428</v>
      </c>
      <c r="F120" t="s">
        <v>86</v>
      </c>
      <c r="G120" t="s">
        <v>106</v>
      </c>
      <c r="H120" s="6" t="s">
        <v>97</v>
      </c>
    </row>
    <row r="121" spans="1:8" x14ac:dyDescent="0.25">
      <c r="A121" s="3">
        <v>46008</v>
      </c>
      <c r="B121">
        <v>2025003521</v>
      </c>
      <c r="C121" t="s">
        <v>119</v>
      </c>
      <c r="D121" s="5">
        <v>3150000</v>
      </c>
      <c r="E121" t="s">
        <v>447</v>
      </c>
      <c r="F121" t="s">
        <v>40</v>
      </c>
      <c r="G121" t="s">
        <v>106</v>
      </c>
      <c r="H121" s="6" t="s">
        <v>97</v>
      </c>
    </row>
    <row r="122" spans="1:8" x14ac:dyDescent="0.25">
      <c r="A122" s="3">
        <v>46008</v>
      </c>
      <c r="B122">
        <v>2025003523</v>
      </c>
      <c r="C122" t="s">
        <v>236</v>
      </c>
      <c r="D122" s="5">
        <v>3150000</v>
      </c>
      <c r="E122" t="s">
        <v>406</v>
      </c>
      <c r="F122" t="s">
        <v>237</v>
      </c>
      <c r="G122" t="s">
        <v>106</v>
      </c>
      <c r="H122" s="6" t="s">
        <v>97</v>
      </c>
    </row>
    <row r="123" spans="1:8" x14ac:dyDescent="0.25">
      <c r="A123" s="3">
        <v>46008</v>
      </c>
      <c r="B123">
        <v>2025003525</v>
      </c>
      <c r="C123" t="s">
        <v>185</v>
      </c>
      <c r="D123" s="5">
        <v>3150000</v>
      </c>
      <c r="E123" t="s">
        <v>460</v>
      </c>
      <c r="F123" t="s">
        <v>186</v>
      </c>
      <c r="G123" t="s">
        <v>106</v>
      </c>
      <c r="H123" s="6" t="s">
        <v>97</v>
      </c>
    </row>
    <row r="124" spans="1:8" x14ac:dyDescent="0.25">
      <c r="A124" s="3">
        <v>46008</v>
      </c>
      <c r="B124">
        <v>2025003528</v>
      </c>
      <c r="C124" t="s">
        <v>192</v>
      </c>
      <c r="D124" s="5">
        <v>3150000</v>
      </c>
      <c r="E124" t="s">
        <v>411</v>
      </c>
      <c r="F124" t="s">
        <v>59</v>
      </c>
      <c r="G124" t="s">
        <v>106</v>
      </c>
      <c r="H124" s="6" t="s">
        <v>97</v>
      </c>
    </row>
    <row r="125" spans="1:8" x14ac:dyDescent="0.25">
      <c r="A125" s="3">
        <v>46008</v>
      </c>
      <c r="B125">
        <v>2025003529</v>
      </c>
      <c r="C125" t="s">
        <v>190</v>
      </c>
      <c r="D125" s="5">
        <v>6300000</v>
      </c>
      <c r="E125" t="s">
        <v>646</v>
      </c>
      <c r="F125" t="s">
        <v>191</v>
      </c>
      <c r="G125" t="s">
        <v>106</v>
      </c>
      <c r="H125" s="6" t="s">
        <v>97</v>
      </c>
    </row>
    <row r="126" spans="1:8" x14ac:dyDescent="0.25">
      <c r="A126" s="3">
        <v>46008</v>
      </c>
      <c r="B126">
        <v>2025003530</v>
      </c>
      <c r="C126" t="s">
        <v>396</v>
      </c>
      <c r="D126" s="5">
        <v>2000000</v>
      </c>
      <c r="E126" t="s">
        <v>397</v>
      </c>
      <c r="F126" t="s">
        <v>398</v>
      </c>
      <c r="G126" t="s">
        <v>106</v>
      </c>
      <c r="H126" s="6" t="s">
        <v>97</v>
      </c>
    </row>
    <row r="127" spans="1:8" x14ac:dyDescent="0.25">
      <c r="A127" s="3">
        <v>46008</v>
      </c>
      <c r="B127">
        <v>2025003531</v>
      </c>
      <c r="C127" t="s">
        <v>863</v>
      </c>
      <c r="D127" s="5">
        <v>2000000</v>
      </c>
      <c r="E127" t="s">
        <v>864</v>
      </c>
      <c r="F127" t="s">
        <v>865</v>
      </c>
      <c r="G127" t="s">
        <v>106</v>
      </c>
      <c r="H127" s="6" t="s">
        <v>97</v>
      </c>
    </row>
    <row r="128" spans="1:8" x14ac:dyDescent="0.25">
      <c r="A128" s="3">
        <v>46008</v>
      </c>
      <c r="B128">
        <v>2025003532</v>
      </c>
      <c r="C128" t="s">
        <v>228</v>
      </c>
      <c r="D128" s="5">
        <v>3150000</v>
      </c>
      <c r="E128" t="s">
        <v>379</v>
      </c>
      <c r="F128" t="s">
        <v>229</v>
      </c>
      <c r="G128" t="s">
        <v>106</v>
      </c>
      <c r="H128" s="6" t="s">
        <v>97</v>
      </c>
    </row>
    <row r="129" spans="1:8" x14ac:dyDescent="0.25">
      <c r="A129" s="3">
        <v>46008</v>
      </c>
      <c r="B129">
        <v>2025003533</v>
      </c>
      <c r="C129" t="s">
        <v>107</v>
      </c>
      <c r="D129" s="5">
        <v>3150000</v>
      </c>
      <c r="E129" t="s">
        <v>435</v>
      </c>
      <c r="F129" t="s">
        <v>108</v>
      </c>
      <c r="G129" t="s">
        <v>106</v>
      </c>
      <c r="H129" s="6" t="s">
        <v>97</v>
      </c>
    </row>
    <row r="130" spans="1:8" x14ac:dyDescent="0.25">
      <c r="A130" s="3">
        <v>46008</v>
      </c>
      <c r="B130">
        <v>2025003534</v>
      </c>
      <c r="C130" t="s">
        <v>128</v>
      </c>
      <c r="D130" s="5">
        <v>3150000</v>
      </c>
      <c r="E130" t="s">
        <v>372</v>
      </c>
      <c r="F130" t="s">
        <v>129</v>
      </c>
      <c r="G130" t="s">
        <v>106</v>
      </c>
      <c r="H130" s="6" t="s">
        <v>97</v>
      </c>
    </row>
    <row r="131" spans="1:8" x14ac:dyDescent="0.25">
      <c r="A131" s="3">
        <v>46008</v>
      </c>
      <c r="B131">
        <v>2025003535</v>
      </c>
      <c r="C131" t="s">
        <v>313</v>
      </c>
      <c r="D131" s="5">
        <v>3150000</v>
      </c>
      <c r="E131" t="s">
        <v>373</v>
      </c>
      <c r="F131" t="s">
        <v>314</v>
      </c>
      <c r="G131" t="s">
        <v>106</v>
      </c>
      <c r="H131" s="6" t="s">
        <v>97</v>
      </c>
    </row>
    <row r="132" spans="1:8" x14ac:dyDescent="0.25">
      <c r="A132" s="3">
        <v>46008</v>
      </c>
      <c r="B132">
        <v>2025003536</v>
      </c>
      <c r="C132" t="s">
        <v>866</v>
      </c>
      <c r="D132" s="5">
        <v>7800000</v>
      </c>
      <c r="E132" t="s">
        <v>867</v>
      </c>
      <c r="F132" t="s">
        <v>868</v>
      </c>
      <c r="G132" t="s">
        <v>106</v>
      </c>
      <c r="H132" s="6" t="s">
        <v>97</v>
      </c>
    </row>
    <row r="133" spans="1:8" x14ac:dyDescent="0.25">
      <c r="A133" s="3">
        <v>46008</v>
      </c>
      <c r="B133">
        <v>2025003537</v>
      </c>
      <c r="C133" t="s">
        <v>220</v>
      </c>
      <c r="D133" s="5">
        <v>3150000</v>
      </c>
      <c r="E133" t="s">
        <v>426</v>
      </c>
      <c r="F133" t="s">
        <v>221</v>
      </c>
      <c r="G133" t="s">
        <v>106</v>
      </c>
      <c r="H133" s="6" t="s">
        <v>97</v>
      </c>
    </row>
    <row r="134" spans="1:8" x14ac:dyDescent="0.25">
      <c r="A134" s="3">
        <v>46008</v>
      </c>
      <c r="B134">
        <v>2025003539</v>
      </c>
      <c r="C134" t="s">
        <v>339</v>
      </c>
      <c r="D134" s="5">
        <v>3150000</v>
      </c>
      <c r="E134" t="s">
        <v>378</v>
      </c>
      <c r="F134" t="s">
        <v>340</v>
      </c>
      <c r="G134" t="s">
        <v>106</v>
      </c>
      <c r="H134" s="6" t="s">
        <v>97</v>
      </c>
    </row>
    <row r="135" spans="1:8" x14ac:dyDescent="0.25">
      <c r="A135" s="3">
        <v>46008</v>
      </c>
      <c r="B135">
        <v>2025003540</v>
      </c>
      <c r="C135" t="s">
        <v>218</v>
      </c>
      <c r="D135" s="5">
        <v>3150000</v>
      </c>
      <c r="E135" t="s">
        <v>387</v>
      </c>
      <c r="F135" t="s">
        <v>219</v>
      </c>
      <c r="G135" t="s">
        <v>106</v>
      </c>
      <c r="H135" s="6" t="s">
        <v>97</v>
      </c>
    </row>
    <row r="136" spans="1:8" x14ac:dyDescent="0.25">
      <c r="A136" s="3">
        <v>46009</v>
      </c>
      <c r="B136">
        <v>2025003541</v>
      </c>
      <c r="C136" t="s">
        <v>125</v>
      </c>
      <c r="D136" s="5">
        <v>3150000</v>
      </c>
      <c r="E136" t="s">
        <v>388</v>
      </c>
      <c r="F136" t="s">
        <v>35</v>
      </c>
      <c r="G136" t="s">
        <v>106</v>
      </c>
      <c r="H136" s="6" t="s">
        <v>97</v>
      </c>
    </row>
    <row r="137" spans="1:8" x14ac:dyDescent="0.25">
      <c r="A137" s="3">
        <v>46009</v>
      </c>
      <c r="B137">
        <v>2025003542</v>
      </c>
      <c r="C137" t="s">
        <v>249</v>
      </c>
      <c r="D137" s="5">
        <v>3150000</v>
      </c>
      <c r="E137" t="s">
        <v>509</v>
      </c>
      <c r="F137" t="s">
        <v>250</v>
      </c>
      <c r="G137" t="s">
        <v>106</v>
      </c>
      <c r="H137" s="6" t="s">
        <v>97</v>
      </c>
    </row>
    <row r="138" spans="1:8" x14ac:dyDescent="0.25">
      <c r="A138" s="3">
        <v>46009</v>
      </c>
      <c r="B138">
        <v>2025003543</v>
      </c>
      <c r="C138" t="s">
        <v>869</v>
      </c>
      <c r="D138" s="5">
        <v>2000000</v>
      </c>
      <c r="E138" t="s">
        <v>870</v>
      </c>
      <c r="F138" t="s">
        <v>871</v>
      </c>
      <c r="G138" t="s">
        <v>106</v>
      </c>
      <c r="H138" s="6" t="s">
        <v>97</v>
      </c>
    </row>
    <row r="139" spans="1:8" x14ac:dyDescent="0.25">
      <c r="A139" s="3">
        <v>46009</v>
      </c>
      <c r="B139">
        <v>2025003544</v>
      </c>
      <c r="C139" t="s">
        <v>200</v>
      </c>
      <c r="D139" s="5">
        <v>3150000</v>
      </c>
      <c r="E139" t="s">
        <v>448</v>
      </c>
      <c r="F139" t="s">
        <v>201</v>
      </c>
      <c r="G139" t="s">
        <v>106</v>
      </c>
      <c r="H139" s="6" t="s">
        <v>97</v>
      </c>
    </row>
    <row r="140" spans="1:8" x14ac:dyDescent="0.25">
      <c r="A140" s="3">
        <v>46009</v>
      </c>
      <c r="B140">
        <v>2025003545</v>
      </c>
      <c r="C140" t="s">
        <v>309</v>
      </c>
      <c r="D140" s="5">
        <v>3150000</v>
      </c>
      <c r="E140" t="s">
        <v>427</v>
      </c>
      <c r="F140" t="s">
        <v>310</v>
      </c>
      <c r="G140" t="s">
        <v>106</v>
      </c>
      <c r="H140" s="6" t="s">
        <v>97</v>
      </c>
    </row>
    <row r="141" spans="1:8" x14ac:dyDescent="0.25">
      <c r="A141" s="3">
        <v>46009</v>
      </c>
      <c r="B141">
        <v>2025003546</v>
      </c>
      <c r="C141" t="s">
        <v>632</v>
      </c>
      <c r="D141" s="5">
        <v>3150000</v>
      </c>
      <c r="E141" t="s">
        <v>633</v>
      </c>
      <c r="F141" t="s">
        <v>634</v>
      </c>
      <c r="G141" t="s">
        <v>106</v>
      </c>
      <c r="H141" s="6" t="s">
        <v>97</v>
      </c>
    </row>
    <row r="142" spans="1:8" x14ac:dyDescent="0.25">
      <c r="A142" s="3">
        <v>46009</v>
      </c>
      <c r="B142">
        <v>2025003547</v>
      </c>
      <c r="C142" t="s">
        <v>238</v>
      </c>
      <c r="D142" s="5">
        <v>3150000</v>
      </c>
      <c r="E142" t="s">
        <v>429</v>
      </c>
      <c r="F142" t="s">
        <v>239</v>
      </c>
      <c r="G142" t="s">
        <v>106</v>
      </c>
      <c r="H142" s="6" t="s">
        <v>97</v>
      </c>
    </row>
    <row r="143" spans="1:8" x14ac:dyDescent="0.25">
      <c r="A143" s="3">
        <v>46009</v>
      </c>
      <c r="B143">
        <v>2025003548</v>
      </c>
      <c r="C143" t="s">
        <v>307</v>
      </c>
      <c r="D143" s="5">
        <v>4730000</v>
      </c>
      <c r="E143" t="s">
        <v>374</v>
      </c>
      <c r="F143" t="s">
        <v>308</v>
      </c>
      <c r="G143" t="s">
        <v>106</v>
      </c>
      <c r="H143" s="6" t="s">
        <v>97</v>
      </c>
    </row>
    <row r="144" spans="1:8" x14ac:dyDescent="0.25">
      <c r="A144" s="3">
        <v>46009</v>
      </c>
      <c r="B144">
        <v>2025003549</v>
      </c>
      <c r="C144" t="s">
        <v>353</v>
      </c>
      <c r="D144" s="5">
        <v>4730000</v>
      </c>
      <c r="E144" t="s">
        <v>717</v>
      </c>
      <c r="F144" t="s">
        <v>354</v>
      </c>
      <c r="G144" t="s">
        <v>106</v>
      </c>
      <c r="H144" s="6" t="s">
        <v>97</v>
      </c>
    </row>
    <row r="145" spans="1:8" x14ac:dyDescent="0.25">
      <c r="A145" s="3">
        <v>46009</v>
      </c>
      <c r="B145">
        <v>2025003551</v>
      </c>
      <c r="C145" t="s">
        <v>347</v>
      </c>
      <c r="D145" s="5">
        <v>3150000</v>
      </c>
      <c r="E145" t="s">
        <v>514</v>
      </c>
      <c r="F145" t="s">
        <v>348</v>
      </c>
      <c r="G145" t="s">
        <v>106</v>
      </c>
      <c r="H145" s="6" t="s">
        <v>97</v>
      </c>
    </row>
    <row r="146" spans="1:8" x14ac:dyDescent="0.25">
      <c r="A146" s="3">
        <v>46009</v>
      </c>
      <c r="B146">
        <v>2025003552</v>
      </c>
      <c r="C146" t="s">
        <v>451</v>
      </c>
      <c r="D146" s="5">
        <v>2000000</v>
      </c>
      <c r="E146" t="s">
        <v>452</v>
      </c>
      <c r="F146" t="s">
        <v>453</v>
      </c>
      <c r="G146" t="s">
        <v>106</v>
      </c>
      <c r="H146" s="6" t="s">
        <v>97</v>
      </c>
    </row>
    <row r="147" spans="1:8" x14ac:dyDescent="0.25">
      <c r="A147" s="3">
        <v>46009</v>
      </c>
      <c r="B147">
        <v>2025003553</v>
      </c>
      <c r="C147" t="s">
        <v>457</v>
      </c>
      <c r="D147" s="5">
        <v>2000000</v>
      </c>
      <c r="E147" t="s">
        <v>458</v>
      </c>
      <c r="F147" t="s">
        <v>459</v>
      </c>
      <c r="G147" t="s">
        <v>106</v>
      </c>
      <c r="H147" s="6" t="s">
        <v>97</v>
      </c>
    </row>
    <row r="148" spans="1:8" x14ac:dyDescent="0.25">
      <c r="A148" s="3">
        <v>46009</v>
      </c>
      <c r="B148">
        <v>2025003556</v>
      </c>
      <c r="C148" t="s">
        <v>692</v>
      </c>
      <c r="D148" s="5">
        <v>3150000</v>
      </c>
      <c r="E148" t="s">
        <v>693</v>
      </c>
      <c r="F148" t="s">
        <v>39</v>
      </c>
      <c r="G148" t="s">
        <v>106</v>
      </c>
      <c r="H148" s="6" t="s">
        <v>97</v>
      </c>
    </row>
    <row r="149" spans="1:8" x14ac:dyDescent="0.25">
      <c r="A149" s="3">
        <v>46009</v>
      </c>
      <c r="B149">
        <v>2025003557</v>
      </c>
      <c r="C149" t="s">
        <v>714</v>
      </c>
      <c r="D149" s="5">
        <v>3150000</v>
      </c>
      <c r="E149" t="s">
        <v>715</v>
      </c>
      <c r="F149" t="s">
        <v>716</v>
      </c>
      <c r="G149" t="s">
        <v>106</v>
      </c>
      <c r="H149" s="6" t="s">
        <v>97</v>
      </c>
    </row>
    <row r="150" spans="1:8" x14ac:dyDescent="0.25">
      <c r="A150" s="3">
        <v>46009</v>
      </c>
      <c r="B150">
        <v>2025003558</v>
      </c>
      <c r="C150" t="s">
        <v>271</v>
      </c>
      <c r="D150" s="5">
        <v>3150000</v>
      </c>
      <c r="E150" t="s">
        <v>486</v>
      </c>
      <c r="F150" t="s">
        <v>22</v>
      </c>
      <c r="G150" t="s">
        <v>106</v>
      </c>
      <c r="H150" s="6" t="s">
        <v>97</v>
      </c>
    </row>
    <row r="151" spans="1:8" x14ac:dyDescent="0.25">
      <c r="A151" s="3">
        <v>46009</v>
      </c>
      <c r="B151">
        <v>2025003559</v>
      </c>
      <c r="C151" t="s">
        <v>302</v>
      </c>
      <c r="D151" s="5">
        <v>6300000</v>
      </c>
      <c r="E151" t="s">
        <v>597</v>
      </c>
      <c r="F151" t="s">
        <v>303</v>
      </c>
      <c r="G151" t="s">
        <v>106</v>
      </c>
      <c r="H151" s="6" t="s">
        <v>97</v>
      </c>
    </row>
    <row r="152" spans="1:8" x14ac:dyDescent="0.25">
      <c r="A152" s="3">
        <v>46009</v>
      </c>
      <c r="B152">
        <v>2025003561</v>
      </c>
      <c r="C152" t="s">
        <v>690</v>
      </c>
      <c r="D152" s="5">
        <v>6300000</v>
      </c>
      <c r="E152" t="s">
        <v>691</v>
      </c>
      <c r="F152" t="s">
        <v>78</v>
      </c>
      <c r="G152" t="s">
        <v>106</v>
      </c>
      <c r="H152" s="6" t="s">
        <v>97</v>
      </c>
    </row>
    <row r="153" spans="1:8" x14ac:dyDescent="0.25">
      <c r="A153" s="3">
        <v>46009</v>
      </c>
      <c r="B153">
        <v>2025003562</v>
      </c>
      <c r="C153" t="s">
        <v>355</v>
      </c>
      <c r="D153" s="5">
        <v>3150000</v>
      </c>
      <c r="E153" t="s">
        <v>599</v>
      </c>
      <c r="F153" t="s">
        <v>356</v>
      </c>
      <c r="G153" t="s">
        <v>106</v>
      </c>
      <c r="H153" s="6" t="s">
        <v>97</v>
      </c>
    </row>
    <row r="154" spans="1:8" x14ac:dyDescent="0.25">
      <c r="A154" s="3">
        <v>46009</v>
      </c>
      <c r="B154">
        <v>2025003563</v>
      </c>
      <c r="C154" t="s">
        <v>872</v>
      </c>
      <c r="D154" s="5">
        <v>2000000</v>
      </c>
      <c r="E154" t="s">
        <v>873</v>
      </c>
      <c r="F154" t="s">
        <v>874</v>
      </c>
      <c r="G154" t="s">
        <v>106</v>
      </c>
      <c r="H154" s="6" t="s">
        <v>97</v>
      </c>
    </row>
    <row r="155" spans="1:8" x14ac:dyDescent="0.25">
      <c r="A155" s="3">
        <v>46009</v>
      </c>
      <c r="B155">
        <v>2025003564</v>
      </c>
      <c r="C155" t="s">
        <v>488</v>
      </c>
      <c r="D155" s="5">
        <v>3150000</v>
      </c>
      <c r="E155" t="s">
        <v>489</v>
      </c>
      <c r="F155" t="s">
        <v>490</v>
      </c>
      <c r="G155" t="s">
        <v>106</v>
      </c>
      <c r="H155" s="6" t="s">
        <v>97</v>
      </c>
    </row>
    <row r="156" spans="1:8" x14ac:dyDescent="0.25">
      <c r="A156" s="3">
        <v>46009</v>
      </c>
      <c r="B156">
        <v>2025003565</v>
      </c>
      <c r="C156" t="s">
        <v>156</v>
      </c>
      <c r="D156" s="5">
        <v>3150000</v>
      </c>
      <c r="E156" t="s">
        <v>421</v>
      </c>
      <c r="F156" t="s">
        <v>49</v>
      </c>
      <c r="G156" t="s">
        <v>106</v>
      </c>
      <c r="H156" s="6" t="s">
        <v>97</v>
      </c>
    </row>
    <row r="157" spans="1:8" x14ac:dyDescent="0.25">
      <c r="A157" s="3">
        <v>46009</v>
      </c>
      <c r="B157">
        <v>2025003566</v>
      </c>
      <c r="C157" t="s">
        <v>282</v>
      </c>
      <c r="D157" s="5">
        <v>4730000</v>
      </c>
      <c r="E157" t="s">
        <v>718</v>
      </c>
      <c r="F157" t="s">
        <v>283</v>
      </c>
      <c r="G157" t="s">
        <v>106</v>
      </c>
      <c r="H157" s="6" t="s">
        <v>97</v>
      </c>
    </row>
    <row r="158" spans="1:8" x14ac:dyDescent="0.25">
      <c r="A158" s="3">
        <v>46009</v>
      </c>
      <c r="B158">
        <v>2025003567</v>
      </c>
      <c r="C158" t="s">
        <v>117</v>
      </c>
      <c r="D158" s="5">
        <v>6300000</v>
      </c>
      <c r="E158" t="s">
        <v>375</v>
      </c>
      <c r="F158" t="s">
        <v>118</v>
      </c>
      <c r="G158" t="s">
        <v>106</v>
      </c>
      <c r="H158" s="6" t="s">
        <v>97</v>
      </c>
    </row>
    <row r="159" spans="1:8" x14ac:dyDescent="0.25">
      <c r="A159" s="3">
        <v>46009</v>
      </c>
      <c r="B159">
        <v>2025003568</v>
      </c>
      <c r="C159" t="s">
        <v>255</v>
      </c>
      <c r="D159" s="5">
        <v>6300000</v>
      </c>
      <c r="E159" t="s">
        <v>391</v>
      </c>
      <c r="F159" t="s">
        <v>74</v>
      </c>
      <c r="G159" t="s">
        <v>106</v>
      </c>
      <c r="H159" s="6" t="s">
        <v>97</v>
      </c>
    </row>
    <row r="160" spans="1:8" x14ac:dyDescent="0.25">
      <c r="A160" s="3">
        <v>46009</v>
      </c>
      <c r="B160">
        <v>2025003569</v>
      </c>
      <c r="C160" t="s">
        <v>315</v>
      </c>
      <c r="D160" s="5">
        <v>3150000</v>
      </c>
      <c r="E160" t="s">
        <v>407</v>
      </c>
      <c r="F160" t="s">
        <v>316</v>
      </c>
      <c r="G160" t="s">
        <v>106</v>
      </c>
      <c r="H160" s="6" t="s">
        <v>97</v>
      </c>
    </row>
    <row r="161" spans="1:8" x14ac:dyDescent="0.25">
      <c r="A161" s="3">
        <v>46009</v>
      </c>
      <c r="B161">
        <v>2025003570</v>
      </c>
      <c r="C161" t="s">
        <v>245</v>
      </c>
      <c r="D161" s="5">
        <v>4730000</v>
      </c>
      <c r="E161" t="s">
        <v>385</v>
      </c>
      <c r="F161" t="s">
        <v>246</v>
      </c>
      <c r="G161" t="s">
        <v>106</v>
      </c>
      <c r="H161" s="6" t="s">
        <v>97</v>
      </c>
    </row>
    <row r="162" spans="1:8" x14ac:dyDescent="0.25">
      <c r="A162" s="3">
        <v>46009</v>
      </c>
      <c r="B162">
        <v>2025003571</v>
      </c>
      <c r="C162" t="s">
        <v>203</v>
      </c>
      <c r="D162" s="5">
        <v>6300000</v>
      </c>
      <c r="E162" t="s">
        <v>631</v>
      </c>
      <c r="F162" t="s">
        <v>204</v>
      </c>
      <c r="G162" t="s">
        <v>106</v>
      </c>
      <c r="H162" s="6" t="s">
        <v>97</v>
      </c>
    </row>
    <row r="163" spans="1:8" x14ac:dyDescent="0.25">
      <c r="A163" s="3">
        <v>46009</v>
      </c>
      <c r="B163">
        <v>2025003572</v>
      </c>
      <c r="C163" t="s">
        <v>247</v>
      </c>
      <c r="D163" s="5">
        <v>3150000</v>
      </c>
      <c r="E163" t="s">
        <v>513</v>
      </c>
      <c r="F163" t="s">
        <v>248</v>
      </c>
      <c r="G163" t="s">
        <v>106</v>
      </c>
      <c r="H163" s="6" t="s">
        <v>97</v>
      </c>
    </row>
    <row r="164" spans="1:8" x14ac:dyDescent="0.25">
      <c r="A164" s="3">
        <v>46009</v>
      </c>
      <c r="B164">
        <v>2025003573</v>
      </c>
      <c r="C164" t="s">
        <v>454</v>
      </c>
      <c r="D164" s="5">
        <v>2000000</v>
      </c>
      <c r="E164" t="s">
        <v>455</v>
      </c>
      <c r="F164" t="s">
        <v>456</v>
      </c>
      <c r="G164" t="s">
        <v>106</v>
      </c>
      <c r="H164" s="6" t="s">
        <v>97</v>
      </c>
    </row>
    <row r="165" spans="1:8" x14ac:dyDescent="0.25">
      <c r="A165" s="3">
        <v>46009</v>
      </c>
      <c r="B165">
        <v>2025003574</v>
      </c>
      <c r="C165" t="s">
        <v>311</v>
      </c>
      <c r="D165" s="5">
        <v>3150000</v>
      </c>
      <c r="E165" t="s">
        <v>432</v>
      </c>
      <c r="F165" t="s">
        <v>312</v>
      </c>
      <c r="G165" t="s">
        <v>106</v>
      </c>
      <c r="H165" s="6" t="s">
        <v>97</v>
      </c>
    </row>
    <row r="166" spans="1:8" x14ac:dyDescent="0.25">
      <c r="A166" s="3">
        <v>46009</v>
      </c>
      <c r="B166">
        <v>2025003575</v>
      </c>
      <c r="C166" t="s">
        <v>628</v>
      </c>
      <c r="D166" s="5">
        <v>3150000</v>
      </c>
      <c r="E166" t="s">
        <v>629</v>
      </c>
      <c r="F166" t="s">
        <v>71</v>
      </c>
      <c r="G166" t="s">
        <v>106</v>
      </c>
      <c r="H166" s="6" t="s">
        <v>97</v>
      </c>
    </row>
    <row r="167" spans="1:8" x14ac:dyDescent="0.25">
      <c r="A167" s="3">
        <v>46009</v>
      </c>
      <c r="B167">
        <v>2025003576</v>
      </c>
      <c r="C167" t="s">
        <v>301</v>
      </c>
      <c r="D167" s="5">
        <v>3150000</v>
      </c>
      <c r="E167" t="s">
        <v>413</v>
      </c>
      <c r="F167" t="s">
        <v>32</v>
      </c>
      <c r="G167" t="s">
        <v>106</v>
      </c>
      <c r="H167" s="6" t="s">
        <v>97</v>
      </c>
    </row>
    <row r="168" spans="1:8" x14ac:dyDescent="0.25">
      <c r="A168" s="3">
        <v>46009</v>
      </c>
      <c r="B168">
        <v>2025003577</v>
      </c>
      <c r="C168" t="s">
        <v>875</v>
      </c>
      <c r="D168" s="5">
        <v>263910000</v>
      </c>
      <c r="E168" t="s">
        <v>837</v>
      </c>
      <c r="F168" t="s">
        <v>838</v>
      </c>
      <c r="G168" t="s">
        <v>106</v>
      </c>
      <c r="H168" s="6" t="s">
        <v>97</v>
      </c>
    </row>
    <row r="169" spans="1:8" x14ac:dyDescent="0.25">
      <c r="A169" s="3">
        <v>46009</v>
      </c>
      <c r="B169">
        <v>2025003578</v>
      </c>
      <c r="C169" t="s">
        <v>290</v>
      </c>
      <c r="D169" s="5">
        <v>7800000</v>
      </c>
      <c r="E169" t="s">
        <v>414</v>
      </c>
      <c r="F169" t="s">
        <v>291</v>
      </c>
      <c r="G169" t="s">
        <v>106</v>
      </c>
      <c r="H169" s="6" t="s">
        <v>97</v>
      </c>
    </row>
    <row r="170" spans="1:8" x14ac:dyDescent="0.25">
      <c r="A170" s="3">
        <v>46009</v>
      </c>
      <c r="B170">
        <v>2025003580</v>
      </c>
      <c r="C170" t="s">
        <v>270</v>
      </c>
      <c r="D170" s="5">
        <v>6300000</v>
      </c>
      <c r="E170" t="s">
        <v>417</v>
      </c>
      <c r="F170" t="s">
        <v>56</v>
      </c>
      <c r="G170" t="s">
        <v>106</v>
      </c>
      <c r="H170" s="6" t="s">
        <v>97</v>
      </c>
    </row>
    <row r="171" spans="1:8" x14ac:dyDescent="0.25">
      <c r="A171" s="3">
        <v>46009</v>
      </c>
      <c r="B171">
        <v>2025003581</v>
      </c>
      <c r="C171" t="s">
        <v>158</v>
      </c>
      <c r="D171" s="5">
        <v>3150000</v>
      </c>
      <c r="E171" t="s">
        <v>416</v>
      </c>
      <c r="F171" t="s">
        <v>47</v>
      </c>
      <c r="G171" t="s">
        <v>106</v>
      </c>
      <c r="H171" s="6" t="s">
        <v>97</v>
      </c>
    </row>
    <row r="172" spans="1:8" x14ac:dyDescent="0.25">
      <c r="A172" s="3">
        <v>46009</v>
      </c>
      <c r="B172">
        <v>2025003582</v>
      </c>
      <c r="C172" t="s">
        <v>175</v>
      </c>
      <c r="D172" s="5">
        <v>3150000</v>
      </c>
      <c r="E172" t="s">
        <v>600</v>
      </c>
      <c r="F172" t="s">
        <v>34</v>
      </c>
      <c r="G172" t="s">
        <v>106</v>
      </c>
      <c r="H172" s="6" t="s">
        <v>97</v>
      </c>
    </row>
    <row r="173" spans="1:8" x14ac:dyDescent="0.25">
      <c r="A173" s="3">
        <v>46009</v>
      </c>
      <c r="B173">
        <v>2025003583</v>
      </c>
      <c r="C173" t="s">
        <v>173</v>
      </c>
      <c r="D173" s="5">
        <v>3150000</v>
      </c>
      <c r="E173" t="s">
        <v>424</v>
      </c>
      <c r="F173" t="s">
        <v>174</v>
      </c>
      <c r="G173" t="s">
        <v>106</v>
      </c>
      <c r="H173" s="6" t="s">
        <v>97</v>
      </c>
    </row>
    <row r="174" spans="1:8" x14ac:dyDescent="0.25">
      <c r="A174" s="3">
        <v>46009</v>
      </c>
      <c r="B174">
        <v>2025003585</v>
      </c>
      <c r="C174" t="s">
        <v>184</v>
      </c>
      <c r="D174" s="5">
        <v>3150000</v>
      </c>
      <c r="E174" t="s">
        <v>425</v>
      </c>
      <c r="F174" t="s">
        <v>27</v>
      </c>
      <c r="G174" t="s">
        <v>106</v>
      </c>
      <c r="H174" s="6" t="s">
        <v>97</v>
      </c>
    </row>
    <row r="175" spans="1:8" x14ac:dyDescent="0.25">
      <c r="A175" s="3">
        <v>46009</v>
      </c>
      <c r="B175">
        <v>2025003587</v>
      </c>
      <c r="C175" t="s">
        <v>180</v>
      </c>
      <c r="D175" s="5">
        <v>4730000</v>
      </c>
      <c r="E175" t="s">
        <v>487</v>
      </c>
      <c r="F175" t="s">
        <v>181</v>
      </c>
      <c r="G175" t="s">
        <v>106</v>
      </c>
      <c r="H175" s="6" t="s">
        <v>97</v>
      </c>
    </row>
    <row r="176" spans="1:8" x14ac:dyDescent="0.25">
      <c r="A176" s="3">
        <v>46009</v>
      </c>
      <c r="B176">
        <v>2025003588</v>
      </c>
      <c r="C176" t="s">
        <v>286</v>
      </c>
      <c r="D176" s="5">
        <v>6300000</v>
      </c>
      <c r="E176" t="s">
        <v>738</v>
      </c>
      <c r="F176" t="s">
        <v>287</v>
      </c>
      <c r="G176" t="s">
        <v>106</v>
      </c>
      <c r="H176" s="6" t="s">
        <v>97</v>
      </c>
    </row>
    <row r="177" spans="1:8" x14ac:dyDescent="0.25">
      <c r="A177" s="3">
        <v>46009</v>
      </c>
      <c r="B177">
        <v>2025003589</v>
      </c>
      <c r="C177" t="s">
        <v>277</v>
      </c>
      <c r="D177" s="5">
        <v>4730000</v>
      </c>
      <c r="E177" t="s">
        <v>494</v>
      </c>
      <c r="F177" t="s">
        <v>278</v>
      </c>
      <c r="G177" t="s">
        <v>106</v>
      </c>
      <c r="H177" s="6" t="s">
        <v>97</v>
      </c>
    </row>
    <row r="178" spans="1:8" x14ac:dyDescent="0.25">
      <c r="A178" s="3">
        <v>46009</v>
      </c>
      <c r="B178">
        <v>2025003590</v>
      </c>
      <c r="C178" t="s">
        <v>143</v>
      </c>
      <c r="D178" s="5">
        <v>4730000</v>
      </c>
      <c r="E178" t="s">
        <v>446</v>
      </c>
      <c r="F178" t="s">
        <v>20</v>
      </c>
      <c r="G178" t="s">
        <v>106</v>
      </c>
      <c r="H178" s="6" t="s">
        <v>97</v>
      </c>
    </row>
    <row r="179" spans="1:8" x14ac:dyDescent="0.25">
      <c r="A179" s="3">
        <v>46009</v>
      </c>
      <c r="B179">
        <v>2025003591</v>
      </c>
      <c r="C179" t="s">
        <v>222</v>
      </c>
      <c r="D179" s="5">
        <v>3150000</v>
      </c>
      <c r="E179" t="s">
        <v>370</v>
      </c>
      <c r="F179" t="s">
        <v>15</v>
      </c>
      <c r="G179" t="s">
        <v>106</v>
      </c>
      <c r="H179" s="6" t="s">
        <v>97</v>
      </c>
    </row>
    <row r="180" spans="1:8" x14ac:dyDescent="0.25">
      <c r="A180" s="3">
        <v>46009</v>
      </c>
      <c r="B180">
        <v>2025003592</v>
      </c>
      <c r="C180" t="s">
        <v>279</v>
      </c>
      <c r="D180" s="5">
        <v>7800000</v>
      </c>
      <c r="E180" t="s">
        <v>419</v>
      </c>
      <c r="F180" t="s">
        <v>280</v>
      </c>
      <c r="G180" t="s">
        <v>106</v>
      </c>
      <c r="H180" s="6" t="s">
        <v>97</v>
      </c>
    </row>
    <row r="181" spans="1:8" x14ac:dyDescent="0.25">
      <c r="A181" s="3">
        <v>46009</v>
      </c>
      <c r="B181">
        <v>2025003593</v>
      </c>
      <c r="C181" t="s">
        <v>660</v>
      </c>
      <c r="D181" s="5">
        <v>6300000</v>
      </c>
      <c r="E181" t="s">
        <v>661</v>
      </c>
      <c r="F181" t="s">
        <v>662</v>
      </c>
      <c r="G181" t="s">
        <v>106</v>
      </c>
      <c r="H181" s="6" t="s">
        <v>97</v>
      </c>
    </row>
    <row r="182" spans="1:8" x14ac:dyDescent="0.25">
      <c r="A182" s="3">
        <v>46009</v>
      </c>
      <c r="B182">
        <v>2025003594</v>
      </c>
      <c r="C182" t="s">
        <v>213</v>
      </c>
      <c r="D182" s="5">
        <v>3150000</v>
      </c>
      <c r="E182" t="s">
        <v>367</v>
      </c>
      <c r="F182" t="s">
        <v>21</v>
      </c>
      <c r="G182" t="s">
        <v>106</v>
      </c>
      <c r="H182" s="6" t="s">
        <v>97</v>
      </c>
    </row>
    <row r="183" spans="1:8" x14ac:dyDescent="0.25">
      <c r="A183" s="3">
        <v>46009</v>
      </c>
      <c r="B183">
        <v>2025003595</v>
      </c>
      <c r="C183" t="s">
        <v>272</v>
      </c>
      <c r="D183" s="5">
        <v>6300000</v>
      </c>
      <c r="E183" t="s">
        <v>445</v>
      </c>
      <c r="F183" t="s">
        <v>43</v>
      </c>
      <c r="G183" t="s">
        <v>106</v>
      </c>
      <c r="H183" s="6" t="s">
        <v>97</v>
      </c>
    </row>
    <row r="184" spans="1:8" x14ac:dyDescent="0.25">
      <c r="A184" s="3">
        <v>46009</v>
      </c>
      <c r="B184">
        <v>2025003596</v>
      </c>
      <c r="C184" t="s">
        <v>214</v>
      </c>
      <c r="D184" s="5">
        <v>4730000</v>
      </c>
      <c r="E184" t="s">
        <v>463</v>
      </c>
      <c r="F184" t="s">
        <v>215</v>
      </c>
      <c r="G184" t="s">
        <v>106</v>
      </c>
      <c r="H184" s="6" t="s">
        <v>97</v>
      </c>
    </row>
    <row r="185" spans="1:8" x14ac:dyDescent="0.25">
      <c r="A185" s="3">
        <v>46009</v>
      </c>
      <c r="B185">
        <v>2025003597</v>
      </c>
      <c r="C185" t="s">
        <v>351</v>
      </c>
      <c r="D185" s="5">
        <v>3150000</v>
      </c>
      <c r="E185" t="s">
        <v>602</v>
      </c>
      <c r="F185" t="s">
        <v>352</v>
      </c>
      <c r="G185" t="s">
        <v>106</v>
      </c>
      <c r="H185" s="6" t="s">
        <v>97</v>
      </c>
    </row>
    <row r="186" spans="1:8" x14ac:dyDescent="0.25">
      <c r="A186" s="3">
        <v>46009</v>
      </c>
      <c r="B186">
        <v>2025003598</v>
      </c>
      <c r="C186" t="s">
        <v>169</v>
      </c>
      <c r="D186" s="5">
        <v>3150000</v>
      </c>
      <c r="E186" t="s">
        <v>493</v>
      </c>
      <c r="F186" t="s">
        <v>170</v>
      </c>
      <c r="G186" t="s">
        <v>106</v>
      </c>
      <c r="H186" s="6" t="s">
        <v>97</v>
      </c>
    </row>
    <row r="187" spans="1:8" x14ac:dyDescent="0.25">
      <c r="A187" s="3">
        <v>46009</v>
      </c>
      <c r="B187">
        <v>2025003599</v>
      </c>
      <c r="C187" t="s">
        <v>171</v>
      </c>
      <c r="D187" s="5">
        <v>3150000</v>
      </c>
      <c r="E187" t="s">
        <v>484</v>
      </c>
      <c r="F187" t="s">
        <v>172</v>
      </c>
      <c r="G187" t="s">
        <v>106</v>
      </c>
      <c r="H187" s="6" t="s">
        <v>97</v>
      </c>
    </row>
    <row r="188" spans="1:8" x14ac:dyDescent="0.25">
      <c r="A188" s="3">
        <v>46009</v>
      </c>
      <c r="B188">
        <v>2025003600</v>
      </c>
      <c r="C188" t="s">
        <v>792</v>
      </c>
      <c r="D188" s="5">
        <v>3150000</v>
      </c>
      <c r="E188" t="s">
        <v>793</v>
      </c>
      <c r="F188" t="s">
        <v>69</v>
      </c>
      <c r="G188" t="s">
        <v>106</v>
      </c>
      <c r="H188" s="6" t="s">
        <v>97</v>
      </c>
    </row>
    <row r="189" spans="1:8" x14ac:dyDescent="0.25">
      <c r="A189" s="3">
        <v>46009</v>
      </c>
      <c r="B189">
        <v>2025003601</v>
      </c>
      <c r="C189" s="6" t="s">
        <v>161</v>
      </c>
      <c r="D189" s="5">
        <v>7800000</v>
      </c>
      <c r="E189" t="s">
        <v>441</v>
      </c>
      <c r="F189" t="s">
        <v>162</v>
      </c>
      <c r="G189" t="s">
        <v>106</v>
      </c>
      <c r="H189" s="6" t="s">
        <v>97</v>
      </c>
    </row>
    <row r="190" spans="1:8" x14ac:dyDescent="0.25">
      <c r="A190" s="3">
        <v>46009</v>
      </c>
      <c r="B190">
        <v>2025003602</v>
      </c>
      <c r="C190" t="s">
        <v>604</v>
      </c>
      <c r="D190" s="5">
        <v>3150000</v>
      </c>
      <c r="E190" t="s">
        <v>605</v>
      </c>
      <c r="F190" t="s">
        <v>606</v>
      </c>
      <c r="G190" t="s">
        <v>106</v>
      </c>
      <c r="H190" s="6" t="s">
        <v>97</v>
      </c>
    </row>
    <row r="191" spans="1:8" x14ac:dyDescent="0.25">
      <c r="A191" s="3">
        <v>46009</v>
      </c>
      <c r="B191">
        <v>2025003603</v>
      </c>
      <c r="C191" t="s">
        <v>163</v>
      </c>
      <c r="D191" s="5">
        <v>7800000</v>
      </c>
      <c r="E191" t="s">
        <v>439</v>
      </c>
      <c r="F191" t="s">
        <v>164</v>
      </c>
      <c r="G191" t="s">
        <v>106</v>
      </c>
      <c r="H191" s="6" t="s">
        <v>97</v>
      </c>
    </row>
    <row r="192" spans="1:8" x14ac:dyDescent="0.25">
      <c r="A192" s="3">
        <v>46009</v>
      </c>
      <c r="B192">
        <v>2025003604</v>
      </c>
      <c r="C192" t="s">
        <v>610</v>
      </c>
      <c r="D192" s="5">
        <v>2000000</v>
      </c>
      <c r="E192" t="s">
        <v>611</v>
      </c>
      <c r="F192" t="s">
        <v>612</v>
      </c>
      <c r="G192" t="s">
        <v>106</v>
      </c>
      <c r="H192" s="6" t="s">
        <v>97</v>
      </c>
    </row>
    <row r="193" spans="1:8" x14ac:dyDescent="0.25">
      <c r="A193" s="3">
        <v>46009</v>
      </c>
      <c r="B193">
        <v>2025003605</v>
      </c>
      <c r="C193" t="s">
        <v>666</v>
      </c>
      <c r="D193" s="5">
        <v>2000000</v>
      </c>
      <c r="E193" t="s">
        <v>667</v>
      </c>
      <c r="F193" t="s">
        <v>668</v>
      </c>
      <c r="G193" t="s">
        <v>106</v>
      </c>
      <c r="H193" s="6" t="s">
        <v>97</v>
      </c>
    </row>
    <row r="194" spans="1:8" x14ac:dyDescent="0.25">
      <c r="A194" s="3">
        <v>46009</v>
      </c>
      <c r="B194">
        <v>2025003606</v>
      </c>
      <c r="C194" t="s">
        <v>147</v>
      </c>
      <c r="D194" s="5">
        <v>3150000</v>
      </c>
      <c r="E194" t="s">
        <v>471</v>
      </c>
      <c r="F194" t="s">
        <v>83</v>
      </c>
      <c r="G194" t="s">
        <v>106</v>
      </c>
      <c r="H194" s="6" t="s">
        <v>97</v>
      </c>
    </row>
    <row r="195" spans="1:8" x14ac:dyDescent="0.25">
      <c r="A195" s="3">
        <v>46009</v>
      </c>
      <c r="B195">
        <v>2025003607</v>
      </c>
      <c r="C195" t="s">
        <v>107</v>
      </c>
      <c r="D195" s="5">
        <v>3150000</v>
      </c>
      <c r="E195" t="s">
        <v>435</v>
      </c>
      <c r="F195" t="s">
        <v>108</v>
      </c>
      <c r="G195" t="s">
        <v>106</v>
      </c>
      <c r="H195" s="6" t="s">
        <v>97</v>
      </c>
    </row>
    <row r="196" spans="1:8" x14ac:dyDescent="0.25">
      <c r="A196" s="3">
        <v>46009</v>
      </c>
      <c r="B196">
        <v>2025003608</v>
      </c>
      <c r="C196" t="s">
        <v>113</v>
      </c>
      <c r="D196" s="5">
        <v>6300000</v>
      </c>
      <c r="E196" t="s">
        <v>377</v>
      </c>
      <c r="F196" t="s">
        <v>33</v>
      </c>
      <c r="G196" t="s">
        <v>106</v>
      </c>
      <c r="H196" s="6" t="s">
        <v>97</v>
      </c>
    </row>
    <row r="197" spans="1:8" x14ac:dyDescent="0.25">
      <c r="A197" s="3">
        <v>46009</v>
      </c>
      <c r="B197">
        <v>2025003609</v>
      </c>
      <c r="C197" t="s">
        <v>119</v>
      </c>
      <c r="D197" s="5">
        <v>3150000</v>
      </c>
      <c r="E197" t="s">
        <v>447</v>
      </c>
      <c r="F197" t="s">
        <v>40</v>
      </c>
      <c r="G197" t="s">
        <v>106</v>
      </c>
      <c r="H197" s="6" t="s">
        <v>97</v>
      </c>
    </row>
    <row r="198" spans="1:8" x14ac:dyDescent="0.25">
      <c r="A198" s="3">
        <v>46009</v>
      </c>
      <c r="B198">
        <v>2025003610</v>
      </c>
      <c r="C198" t="s">
        <v>210</v>
      </c>
      <c r="D198" s="5">
        <v>4730000</v>
      </c>
      <c r="E198" t="s">
        <v>404</v>
      </c>
      <c r="F198" t="s">
        <v>211</v>
      </c>
      <c r="G198" t="s">
        <v>106</v>
      </c>
      <c r="H198" s="6" t="s">
        <v>97</v>
      </c>
    </row>
    <row r="199" spans="1:8" x14ac:dyDescent="0.25">
      <c r="A199" s="3">
        <v>46009</v>
      </c>
      <c r="B199">
        <v>2025003611</v>
      </c>
      <c r="C199" t="s">
        <v>347</v>
      </c>
      <c r="D199" s="5">
        <v>3150000</v>
      </c>
      <c r="E199" t="s">
        <v>514</v>
      </c>
      <c r="F199" t="s">
        <v>348</v>
      </c>
      <c r="G199" t="s">
        <v>106</v>
      </c>
      <c r="H199" s="6" t="s">
        <v>97</v>
      </c>
    </row>
    <row r="200" spans="1:8" x14ac:dyDescent="0.25">
      <c r="A200" s="3">
        <v>46009</v>
      </c>
      <c r="B200">
        <v>2025003612</v>
      </c>
      <c r="C200" t="s">
        <v>220</v>
      </c>
      <c r="D200" s="5">
        <v>3150000</v>
      </c>
      <c r="E200" t="s">
        <v>426</v>
      </c>
      <c r="F200" t="s">
        <v>221</v>
      </c>
      <c r="G200" t="s">
        <v>106</v>
      </c>
      <c r="H200" s="6" t="s">
        <v>97</v>
      </c>
    </row>
    <row r="201" spans="1:8" x14ac:dyDescent="0.25">
      <c r="A201" s="3">
        <v>46009</v>
      </c>
      <c r="B201">
        <v>2025003614</v>
      </c>
      <c r="C201" t="s">
        <v>240</v>
      </c>
      <c r="D201" s="5">
        <v>6300000</v>
      </c>
      <c r="E201" t="s">
        <v>403</v>
      </c>
      <c r="F201" t="s">
        <v>241</v>
      </c>
      <c r="G201" t="s">
        <v>106</v>
      </c>
      <c r="H201" s="6" t="s">
        <v>97</v>
      </c>
    </row>
    <row r="202" spans="1:8" x14ac:dyDescent="0.25">
      <c r="A202" s="3">
        <v>46009</v>
      </c>
      <c r="B202">
        <v>2025003616</v>
      </c>
      <c r="C202" t="s">
        <v>109</v>
      </c>
      <c r="D202" s="5">
        <v>3150000</v>
      </c>
      <c r="E202" t="s">
        <v>382</v>
      </c>
      <c r="F202" t="s">
        <v>110</v>
      </c>
      <c r="G202" t="s">
        <v>106</v>
      </c>
      <c r="H202" s="6" t="s">
        <v>97</v>
      </c>
    </row>
    <row r="203" spans="1:8" x14ac:dyDescent="0.25">
      <c r="A203" s="3">
        <v>46009</v>
      </c>
      <c r="B203">
        <v>2025003617</v>
      </c>
      <c r="C203" t="s">
        <v>126</v>
      </c>
      <c r="D203" s="5">
        <v>3150000</v>
      </c>
      <c r="E203" t="s">
        <v>381</v>
      </c>
      <c r="F203" t="s">
        <v>127</v>
      </c>
      <c r="G203" t="s">
        <v>106</v>
      </c>
      <c r="H203" s="6" t="s">
        <v>97</v>
      </c>
    </row>
    <row r="204" spans="1:8" x14ac:dyDescent="0.25">
      <c r="A204" s="3">
        <v>46009</v>
      </c>
      <c r="B204">
        <v>2025003618</v>
      </c>
      <c r="C204" t="s">
        <v>224</v>
      </c>
      <c r="D204" s="5">
        <v>4730000</v>
      </c>
      <c r="E204" t="s">
        <v>402</v>
      </c>
      <c r="F204" t="s">
        <v>225</v>
      </c>
      <c r="G204" t="s">
        <v>106</v>
      </c>
      <c r="H204" s="6" t="s">
        <v>97</v>
      </c>
    </row>
    <row r="205" spans="1:8" x14ac:dyDescent="0.25">
      <c r="A205" s="3">
        <v>46009</v>
      </c>
      <c r="B205">
        <v>2025003620</v>
      </c>
      <c r="C205" t="s">
        <v>123</v>
      </c>
      <c r="D205" s="5">
        <v>6300000</v>
      </c>
      <c r="E205" t="s">
        <v>410</v>
      </c>
      <c r="F205" t="s">
        <v>124</v>
      </c>
      <c r="G205" t="s">
        <v>106</v>
      </c>
      <c r="H205" s="6" t="s">
        <v>97</v>
      </c>
    </row>
    <row r="206" spans="1:8" x14ac:dyDescent="0.25">
      <c r="A206" s="3">
        <v>46009</v>
      </c>
      <c r="B206">
        <v>2025003621</v>
      </c>
      <c r="C206" t="s">
        <v>128</v>
      </c>
      <c r="D206" s="5">
        <v>3150000</v>
      </c>
      <c r="E206" t="s">
        <v>372</v>
      </c>
      <c r="F206" t="s">
        <v>129</v>
      </c>
      <c r="G206" t="s">
        <v>106</v>
      </c>
      <c r="H206" s="6" t="s">
        <v>97</v>
      </c>
    </row>
    <row r="207" spans="1:8" x14ac:dyDescent="0.25">
      <c r="A207" s="3">
        <v>46009</v>
      </c>
      <c r="B207">
        <v>2025003623</v>
      </c>
      <c r="C207" t="s">
        <v>869</v>
      </c>
      <c r="D207" s="5">
        <v>2000000</v>
      </c>
      <c r="E207" t="s">
        <v>870</v>
      </c>
      <c r="F207" t="s">
        <v>871</v>
      </c>
      <c r="G207" t="s">
        <v>106</v>
      </c>
      <c r="H207" s="6" t="s">
        <v>97</v>
      </c>
    </row>
    <row r="208" spans="1:8" x14ac:dyDescent="0.25">
      <c r="A208" s="3">
        <v>46009</v>
      </c>
      <c r="B208">
        <v>2025003624</v>
      </c>
      <c r="C208" t="s">
        <v>628</v>
      </c>
      <c r="D208" s="5">
        <v>3150000</v>
      </c>
      <c r="E208" t="s">
        <v>629</v>
      </c>
      <c r="F208" t="s">
        <v>71</v>
      </c>
      <c r="G208" t="s">
        <v>106</v>
      </c>
      <c r="H208" s="6" t="s">
        <v>97</v>
      </c>
    </row>
    <row r="209" spans="1:8" x14ac:dyDescent="0.25">
      <c r="A209" s="3">
        <v>46010</v>
      </c>
      <c r="B209">
        <v>2025003625</v>
      </c>
      <c r="C209" t="s">
        <v>650</v>
      </c>
      <c r="D209" s="5">
        <v>2000000</v>
      </c>
      <c r="E209" t="s">
        <v>651</v>
      </c>
      <c r="F209" t="s">
        <v>652</v>
      </c>
      <c r="G209" t="s">
        <v>106</v>
      </c>
      <c r="H209" s="6" t="s">
        <v>97</v>
      </c>
    </row>
    <row r="210" spans="1:8" x14ac:dyDescent="0.25">
      <c r="A210" s="3">
        <v>46010</v>
      </c>
      <c r="B210">
        <v>2025003626</v>
      </c>
      <c r="C210" t="s">
        <v>790</v>
      </c>
      <c r="D210" s="5">
        <v>3150000</v>
      </c>
      <c r="E210" t="s">
        <v>791</v>
      </c>
      <c r="F210" t="s">
        <v>92</v>
      </c>
      <c r="G210" t="s">
        <v>106</v>
      </c>
      <c r="H210" s="6" t="s">
        <v>97</v>
      </c>
    </row>
    <row r="211" spans="1:8" x14ac:dyDescent="0.25">
      <c r="A211" s="3">
        <v>46010</v>
      </c>
      <c r="B211">
        <v>2025003628</v>
      </c>
      <c r="C211" t="s">
        <v>569</v>
      </c>
      <c r="D211" s="5">
        <v>3150000</v>
      </c>
      <c r="E211" t="s">
        <v>570</v>
      </c>
      <c r="F211" t="s">
        <v>571</v>
      </c>
      <c r="G211" t="s">
        <v>106</v>
      </c>
      <c r="H211" s="6" t="s">
        <v>97</v>
      </c>
    </row>
    <row r="212" spans="1:8" x14ac:dyDescent="0.25">
      <c r="A212" s="3">
        <v>46010</v>
      </c>
      <c r="B212">
        <v>2025003629</v>
      </c>
      <c r="C212" t="s">
        <v>821</v>
      </c>
      <c r="D212" s="5">
        <v>3150000</v>
      </c>
      <c r="E212" t="s">
        <v>822</v>
      </c>
      <c r="F212" t="s">
        <v>823</v>
      </c>
      <c r="G212" t="s">
        <v>106</v>
      </c>
      <c r="H212" s="6" t="s">
        <v>97</v>
      </c>
    </row>
    <row r="213" spans="1:8" x14ac:dyDescent="0.25">
      <c r="A213" s="3">
        <v>46010</v>
      </c>
      <c r="B213">
        <v>2025003630</v>
      </c>
      <c r="C213" t="s">
        <v>824</v>
      </c>
      <c r="D213" s="5">
        <v>3150000</v>
      </c>
      <c r="E213" t="s">
        <v>825</v>
      </c>
      <c r="F213" t="s">
        <v>826</v>
      </c>
      <c r="G213" t="s">
        <v>106</v>
      </c>
      <c r="H213" s="6" t="s">
        <v>97</v>
      </c>
    </row>
    <row r="214" spans="1:8" x14ac:dyDescent="0.25">
      <c r="A214" s="3">
        <v>46010</v>
      </c>
      <c r="B214">
        <v>2025003632</v>
      </c>
      <c r="C214" t="s">
        <v>805</v>
      </c>
      <c r="D214" s="5">
        <v>3150000</v>
      </c>
      <c r="E214" t="s">
        <v>806</v>
      </c>
      <c r="F214" t="s">
        <v>103</v>
      </c>
      <c r="G214" t="s">
        <v>106</v>
      </c>
      <c r="H214" s="6" t="s">
        <v>97</v>
      </c>
    </row>
    <row r="215" spans="1:8" x14ac:dyDescent="0.25">
      <c r="A215" s="3">
        <v>46010</v>
      </c>
      <c r="B215">
        <v>2025003633</v>
      </c>
      <c r="C215" t="s">
        <v>527</v>
      </c>
      <c r="D215" s="5">
        <v>3150000</v>
      </c>
      <c r="E215" t="s">
        <v>528</v>
      </c>
      <c r="F215" t="s">
        <v>529</v>
      </c>
      <c r="G215" t="s">
        <v>106</v>
      </c>
      <c r="H215" s="6" t="s">
        <v>97</v>
      </c>
    </row>
    <row r="216" spans="1:8" x14ac:dyDescent="0.25">
      <c r="A216" s="3">
        <v>46010</v>
      </c>
      <c r="B216">
        <v>2025003635</v>
      </c>
      <c r="C216" t="s">
        <v>205</v>
      </c>
      <c r="D216" s="5">
        <v>7800000</v>
      </c>
      <c r="E216" t="s">
        <v>408</v>
      </c>
      <c r="F216" t="s">
        <v>24</v>
      </c>
      <c r="G216" t="s">
        <v>106</v>
      </c>
      <c r="H216" s="6" t="s">
        <v>97</v>
      </c>
    </row>
    <row r="217" spans="1:8" x14ac:dyDescent="0.25">
      <c r="A217" s="3">
        <v>46010</v>
      </c>
      <c r="B217">
        <v>2025003636</v>
      </c>
      <c r="C217" t="s">
        <v>230</v>
      </c>
      <c r="D217" s="5">
        <v>7800000</v>
      </c>
      <c r="E217" t="s">
        <v>401</v>
      </c>
      <c r="F217" t="s">
        <v>75</v>
      </c>
      <c r="G217" t="s">
        <v>106</v>
      </c>
      <c r="H217" s="6" t="s">
        <v>97</v>
      </c>
    </row>
    <row r="218" spans="1:8" x14ac:dyDescent="0.25">
      <c r="A218" s="3">
        <v>46010</v>
      </c>
      <c r="B218">
        <v>2025003637</v>
      </c>
      <c r="C218" t="s">
        <v>653</v>
      </c>
      <c r="D218" s="5">
        <v>2000000</v>
      </c>
      <c r="E218" t="s">
        <v>654</v>
      </c>
      <c r="F218" t="s">
        <v>655</v>
      </c>
      <c r="G218" t="s">
        <v>106</v>
      </c>
      <c r="H218" s="6" t="s">
        <v>97</v>
      </c>
    </row>
    <row r="219" spans="1:8" x14ac:dyDescent="0.25">
      <c r="A219" s="3">
        <v>46010</v>
      </c>
      <c r="B219">
        <v>2025003638</v>
      </c>
      <c r="C219" t="s">
        <v>261</v>
      </c>
      <c r="D219" s="5">
        <v>7800000</v>
      </c>
      <c r="E219" t="s">
        <v>518</v>
      </c>
      <c r="F219" t="s">
        <v>23</v>
      </c>
      <c r="G219" t="s">
        <v>106</v>
      </c>
      <c r="H219" s="6" t="s">
        <v>97</v>
      </c>
    </row>
    <row r="220" spans="1:8" x14ac:dyDescent="0.25">
      <c r="A220" s="3">
        <v>46010</v>
      </c>
      <c r="B220">
        <v>2025003641</v>
      </c>
      <c r="C220" t="s">
        <v>325</v>
      </c>
      <c r="D220" s="5">
        <v>7800000</v>
      </c>
      <c r="E220" t="s">
        <v>640</v>
      </c>
      <c r="F220" t="s">
        <v>326</v>
      </c>
      <c r="G220" t="s">
        <v>106</v>
      </c>
      <c r="H220" s="6" t="s">
        <v>97</v>
      </c>
    </row>
    <row r="221" spans="1:8" x14ac:dyDescent="0.25">
      <c r="A221" s="3">
        <v>46010</v>
      </c>
      <c r="B221">
        <v>2025003642</v>
      </c>
      <c r="C221" t="s">
        <v>876</v>
      </c>
      <c r="D221" s="5">
        <v>2000000</v>
      </c>
      <c r="E221" t="s">
        <v>877</v>
      </c>
      <c r="F221" t="s">
        <v>878</v>
      </c>
      <c r="G221" t="s">
        <v>106</v>
      </c>
      <c r="H221" s="6" t="s">
        <v>97</v>
      </c>
    </row>
    <row r="222" spans="1:8" x14ac:dyDescent="0.25">
      <c r="A222" s="3">
        <v>46010</v>
      </c>
      <c r="B222">
        <v>2025003644</v>
      </c>
      <c r="C222" t="s">
        <v>879</v>
      </c>
      <c r="D222" s="5">
        <v>3150000</v>
      </c>
      <c r="E222" t="s">
        <v>880</v>
      </c>
      <c r="F222" t="s">
        <v>96</v>
      </c>
      <c r="G222" t="s">
        <v>106</v>
      </c>
      <c r="H222" s="6" t="s">
        <v>97</v>
      </c>
    </row>
    <row r="223" spans="1:8" x14ac:dyDescent="0.25">
      <c r="A223" s="3">
        <v>46010</v>
      </c>
      <c r="B223">
        <v>2025003650</v>
      </c>
      <c r="C223" t="s">
        <v>881</v>
      </c>
      <c r="D223" s="5">
        <v>3150000</v>
      </c>
      <c r="E223" t="s">
        <v>882</v>
      </c>
      <c r="F223" t="s">
        <v>91</v>
      </c>
      <c r="G223" t="s">
        <v>106</v>
      </c>
      <c r="H223" s="6" t="s">
        <v>97</v>
      </c>
    </row>
    <row r="224" spans="1:8" x14ac:dyDescent="0.25">
      <c r="A224" s="3">
        <v>46010</v>
      </c>
      <c r="B224">
        <v>2025003652</v>
      </c>
      <c r="C224" t="s">
        <v>565</v>
      </c>
      <c r="D224" s="5">
        <v>3150000</v>
      </c>
      <c r="E224" t="s">
        <v>566</v>
      </c>
      <c r="F224" t="s">
        <v>567</v>
      </c>
      <c r="G224" t="s">
        <v>106</v>
      </c>
      <c r="H224" s="6" t="s">
        <v>97</v>
      </c>
    </row>
    <row r="225" spans="1:8" x14ac:dyDescent="0.25">
      <c r="A225" s="3">
        <v>46010</v>
      </c>
      <c r="B225">
        <v>2025003661</v>
      </c>
      <c r="C225" t="s">
        <v>275</v>
      </c>
      <c r="D225" s="5">
        <v>4730000</v>
      </c>
      <c r="E225" t="s">
        <v>719</v>
      </c>
      <c r="F225" t="s">
        <v>276</v>
      </c>
      <c r="G225" t="s">
        <v>106</v>
      </c>
      <c r="H225" s="6" t="s">
        <v>97</v>
      </c>
    </row>
    <row r="226" spans="1:8" x14ac:dyDescent="0.25">
      <c r="A226" s="3">
        <v>46010</v>
      </c>
      <c r="B226">
        <v>2025003662</v>
      </c>
      <c r="C226" t="s">
        <v>334</v>
      </c>
      <c r="D226" s="5">
        <v>3150000</v>
      </c>
      <c r="E226" t="s">
        <v>537</v>
      </c>
      <c r="F226" t="s">
        <v>19</v>
      </c>
      <c r="G226" t="s">
        <v>106</v>
      </c>
      <c r="H226" s="6" t="s">
        <v>97</v>
      </c>
    </row>
    <row r="227" spans="1:8" x14ac:dyDescent="0.25">
      <c r="A227" s="3">
        <v>46010</v>
      </c>
      <c r="B227">
        <v>2025003663</v>
      </c>
      <c r="C227" t="s">
        <v>198</v>
      </c>
      <c r="D227" s="5">
        <v>7800000</v>
      </c>
      <c r="E227" t="s">
        <v>434</v>
      </c>
      <c r="F227" t="s">
        <v>199</v>
      </c>
      <c r="G227" t="s">
        <v>106</v>
      </c>
      <c r="H227" s="6" t="s">
        <v>97</v>
      </c>
    </row>
    <row r="228" spans="1:8" x14ac:dyDescent="0.25">
      <c r="A228" s="3">
        <v>46010</v>
      </c>
      <c r="B228">
        <v>2025003664</v>
      </c>
      <c r="C228" t="s">
        <v>189</v>
      </c>
      <c r="D228" s="5">
        <v>3150000</v>
      </c>
      <c r="E228" t="s">
        <v>504</v>
      </c>
      <c r="F228" t="s">
        <v>67</v>
      </c>
      <c r="G228" t="s">
        <v>106</v>
      </c>
      <c r="H228" s="6" t="s">
        <v>97</v>
      </c>
    </row>
    <row r="229" spans="1:8" x14ac:dyDescent="0.25">
      <c r="A229" s="3">
        <v>46010</v>
      </c>
      <c r="B229">
        <v>2025003665</v>
      </c>
      <c r="C229" t="s">
        <v>251</v>
      </c>
      <c r="D229" s="5">
        <v>3150000</v>
      </c>
      <c r="E229" t="s">
        <v>449</v>
      </c>
      <c r="F229" t="s">
        <v>252</v>
      </c>
      <c r="G229" t="s">
        <v>106</v>
      </c>
      <c r="H229" s="6" t="s">
        <v>97</v>
      </c>
    </row>
    <row r="230" spans="1:8" x14ac:dyDescent="0.25">
      <c r="A230" s="3">
        <v>46010</v>
      </c>
      <c r="B230">
        <v>2025003666</v>
      </c>
      <c r="C230" t="s">
        <v>267</v>
      </c>
      <c r="D230" s="5">
        <v>3150000</v>
      </c>
      <c r="E230" t="s">
        <v>656</v>
      </c>
      <c r="F230" t="s">
        <v>41</v>
      </c>
      <c r="G230" t="s">
        <v>106</v>
      </c>
      <c r="H230" s="6" t="s">
        <v>97</v>
      </c>
    </row>
    <row r="231" spans="1:8" x14ac:dyDescent="0.25">
      <c r="A231" s="3">
        <v>46010</v>
      </c>
      <c r="B231">
        <v>2025003667</v>
      </c>
      <c r="C231" t="s">
        <v>317</v>
      </c>
      <c r="D231" s="5">
        <v>4730000</v>
      </c>
      <c r="E231" t="s">
        <v>505</v>
      </c>
      <c r="F231" t="s">
        <v>318</v>
      </c>
      <c r="G231" t="s">
        <v>106</v>
      </c>
      <c r="H231" s="6" t="s">
        <v>97</v>
      </c>
    </row>
    <row r="232" spans="1:8" x14ac:dyDescent="0.25">
      <c r="A232" s="3">
        <v>46010</v>
      </c>
      <c r="B232">
        <v>2025003668</v>
      </c>
      <c r="C232" t="s">
        <v>780</v>
      </c>
      <c r="D232" s="5">
        <v>3150000</v>
      </c>
      <c r="E232" t="s">
        <v>781</v>
      </c>
      <c r="F232" t="s">
        <v>782</v>
      </c>
      <c r="G232" t="s">
        <v>106</v>
      </c>
      <c r="H232" s="6" t="s">
        <v>97</v>
      </c>
    </row>
    <row r="233" spans="1:8" x14ac:dyDescent="0.25">
      <c r="A233" s="3">
        <v>46010</v>
      </c>
      <c r="B233">
        <v>2025003669</v>
      </c>
      <c r="C233" t="s">
        <v>233</v>
      </c>
      <c r="D233" s="5">
        <v>3150000</v>
      </c>
      <c r="E233" t="s">
        <v>390</v>
      </c>
      <c r="F233" t="s">
        <v>80</v>
      </c>
      <c r="G233" t="s">
        <v>106</v>
      </c>
      <c r="H233" s="6" t="s">
        <v>97</v>
      </c>
    </row>
    <row r="234" spans="1:8" x14ac:dyDescent="0.25">
      <c r="A234" s="3">
        <v>46010</v>
      </c>
      <c r="B234">
        <v>2025003670</v>
      </c>
      <c r="C234" t="s">
        <v>327</v>
      </c>
      <c r="D234" s="5">
        <v>3150000</v>
      </c>
      <c r="E234" t="s">
        <v>564</v>
      </c>
      <c r="F234" t="s">
        <v>328</v>
      </c>
      <c r="G234" t="s">
        <v>106</v>
      </c>
      <c r="H234" s="6" t="s">
        <v>97</v>
      </c>
    </row>
    <row r="235" spans="1:8" x14ac:dyDescent="0.25">
      <c r="A235" s="3">
        <v>46010</v>
      </c>
      <c r="B235">
        <v>2025003671</v>
      </c>
      <c r="C235" t="s">
        <v>881</v>
      </c>
      <c r="D235" s="5">
        <v>3150000</v>
      </c>
      <c r="E235" t="s">
        <v>882</v>
      </c>
      <c r="F235" t="s">
        <v>91</v>
      </c>
      <c r="G235" t="s">
        <v>106</v>
      </c>
      <c r="H235" s="6" t="s">
        <v>97</v>
      </c>
    </row>
    <row r="236" spans="1:8" x14ac:dyDescent="0.25">
      <c r="A236" s="3">
        <v>46010</v>
      </c>
      <c r="B236">
        <v>2025003672</v>
      </c>
      <c r="C236" t="s">
        <v>534</v>
      </c>
      <c r="D236" s="5">
        <v>2000000</v>
      </c>
      <c r="E236" t="s">
        <v>535</v>
      </c>
      <c r="F236" t="s">
        <v>536</v>
      </c>
      <c r="G236" t="s">
        <v>106</v>
      </c>
      <c r="H236" s="6" t="s">
        <v>97</v>
      </c>
    </row>
    <row r="237" spans="1:8" x14ac:dyDescent="0.25">
      <c r="A237" s="3">
        <v>46010</v>
      </c>
      <c r="B237">
        <v>2025003673</v>
      </c>
      <c r="C237" t="s">
        <v>803</v>
      </c>
      <c r="D237" s="5">
        <v>2000000</v>
      </c>
      <c r="E237" t="s">
        <v>804</v>
      </c>
      <c r="F237" t="s">
        <v>88</v>
      </c>
      <c r="G237" t="s">
        <v>106</v>
      </c>
      <c r="H237" s="6" t="s">
        <v>97</v>
      </c>
    </row>
    <row r="238" spans="1:8" x14ac:dyDescent="0.25">
      <c r="A238" s="3">
        <v>46010</v>
      </c>
      <c r="B238">
        <v>2025003674</v>
      </c>
      <c r="C238" t="s">
        <v>565</v>
      </c>
      <c r="D238" s="5">
        <v>3150000</v>
      </c>
      <c r="E238" t="s">
        <v>566</v>
      </c>
      <c r="F238" t="s">
        <v>567</v>
      </c>
      <c r="G238" t="s">
        <v>106</v>
      </c>
      <c r="H238" s="6" t="s">
        <v>97</v>
      </c>
    </row>
    <row r="239" spans="1:8" x14ac:dyDescent="0.25">
      <c r="A239" s="3">
        <v>46010</v>
      </c>
      <c r="B239">
        <v>2025003675</v>
      </c>
      <c r="C239" t="s">
        <v>775</v>
      </c>
      <c r="D239" s="5">
        <v>3150000</v>
      </c>
      <c r="E239" t="s">
        <v>776</v>
      </c>
      <c r="F239" t="s">
        <v>89</v>
      </c>
      <c r="G239" t="s">
        <v>106</v>
      </c>
      <c r="H239" s="6" t="s">
        <v>97</v>
      </c>
    </row>
    <row r="240" spans="1:8" x14ac:dyDescent="0.25">
      <c r="A240" s="3">
        <v>46010</v>
      </c>
      <c r="B240">
        <v>2025003676</v>
      </c>
      <c r="C240" s="6" t="s">
        <v>638</v>
      </c>
      <c r="D240" s="5">
        <v>3150000</v>
      </c>
      <c r="E240" t="s">
        <v>639</v>
      </c>
      <c r="F240" t="s">
        <v>85</v>
      </c>
      <c r="G240" t="s">
        <v>106</v>
      </c>
      <c r="H240" s="6" t="s">
        <v>97</v>
      </c>
    </row>
    <row r="241" spans="1:8" x14ac:dyDescent="0.25">
      <c r="A241" s="3">
        <v>46010</v>
      </c>
      <c r="B241">
        <v>2025003677</v>
      </c>
      <c r="C241" t="s">
        <v>810</v>
      </c>
      <c r="D241" s="5">
        <v>2000000</v>
      </c>
      <c r="E241" t="s">
        <v>811</v>
      </c>
      <c r="F241" t="s">
        <v>812</v>
      </c>
      <c r="G241" t="s">
        <v>106</v>
      </c>
      <c r="H241" s="6" t="s">
        <v>97</v>
      </c>
    </row>
    <row r="242" spans="1:8" x14ac:dyDescent="0.25">
      <c r="A242" s="3">
        <v>46010</v>
      </c>
      <c r="B242">
        <v>2025003678</v>
      </c>
      <c r="C242" t="s">
        <v>797</v>
      </c>
      <c r="D242" s="5">
        <v>3150000</v>
      </c>
      <c r="E242" t="s">
        <v>798</v>
      </c>
      <c r="F242" t="s">
        <v>799</v>
      </c>
      <c r="G242" t="s">
        <v>106</v>
      </c>
      <c r="H242" s="6" t="s">
        <v>97</v>
      </c>
    </row>
    <row r="243" spans="1:8" x14ac:dyDescent="0.25">
      <c r="A243" s="3">
        <v>46010</v>
      </c>
      <c r="B243">
        <v>2025003679</v>
      </c>
      <c r="C243" t="s">
        <v>259</v>
      </c>
      <c r="D243" s="5">
        <v>6300000</v>
      </c>
      <c r="E243" t="s">
        <v>538</v>
      </c>
      <c r="F243" t="s">
        <v>260</v>
      </c>
      <c r="G243" t="s">
        <v>106</v>
      </c>
      <c r="H243" s="6" t="s">
        <v>97</v>
      </c>
    </row>
    <row r="244" spans="1:8" x14ac:dyDescent="0.25">
      <c r="A244" s="3">
        <v>46010</v>
      </c>
      <c r="B244">
        <v>2025003680</v>
      </c>
      <c r="C244" t="s">
        <v>643</v>
      </c>
      <c r="D244" s="5">
        <v>2000000</v>
      </c>
      <c r="E244" t="s">
        <v>644</v>
      </c>
      <c r="F244" t="s">
        <v>645</v>
      </c>
      <c r="G244" t="s">
        <v>106</v>
      </c>
      <c r="H244" s="6" t="s">
        <v>97</v>
      </c>
    </row>
    <row r="245" spans="1:8" x14ac:dyDescent="0.25">
      <c r="A245" s="3">
        <v>46010</v>
      </c>
      <c r="B245">
        <v>2025003682</v>
      </c>
      <c r="C245" t="s">
        <v>830</v>
      </c>
      <c r="D245" s="5">
        <v>2000000</v>
      </c>
      <c r="E245" t="s">
        <v>831</v>
      </c>
      <c r="F245" t="s">
        <v>832</v>
      </c>
      <c r="G245" t="s">
        <v>106</v>
      </c>
      <c r="H245" s="6" t="s">
        <v>97</v>
      </c>
    </row>
    <row r="246" spans="1:8" x14ac:dyDescent="0.25">
      <c r="A246" s="3">
        <v>46010</v>
      </c>
      <c r="B246">
        <v>2025003683</v>
      </c>
      <c r="C246" t="s">
        <v>777</v>
      </c>
      <c r="D246" s="5">
        <v>3150000</v>
      </c>
      <c r="E246" t="s">
        <v>778</v>
      </c>
      <c r="F246" t="s">
        <v>779</v>
      </c>
      <c r="G246" t="s">
        <v>106</v>
      </c>
      <c r="H246" s="6" t="s">
        <v>97</v>
      </c>
    </row>
    <row r="247" spans="1:8" x14ac:dyDescent="0.25">
      <c r="A247" s="3">
        <v>46010</v>
      </c>
      <c r="B247">
        <v>2025003684</v>
      </c>
      <c r="C247" t="s">
        <v>827</v>
      </c>
      <c r="D247" s="5">
        <v>2000000</v>
      </c>
      <c r="E247" t="s">
        <v>828</v>
      </c>
      <c r="F247" t="s">
        <v>829</v>
      </c>
      <c r="G247" t="s">
        <v>106</v>
      </c>
      <c r="H247" s="6" t="s">
        <v>97</v>
      </c>
    </row>
    <row r="248" spans="1:8" x14ac:dyDescent="0.25">
      <c r="A248" s="3">
        <v>46010</v>
      </c>
      <c r="B248">
        <v>2025003685</v>
      </c>
      <c r="C248" t="s">
        <v>141</v>
      </c>
      <c r="D248" s="5">
        <v>6300000</v>
      </c>
      <c r="E248" t="s">
        <v>623</v>
      </c>
      <c r="F248" t="s">
        <v>142</v>
      </c>
      <c r="G248" t="s">
        <v>106</v>
      </c>
      <c r="H248" s="6" t="s">
        <v>97</v>
      </c>
    </row>
    <row r="249" spans="1:8" x14ac:dyDescent="0.25">
      <c r="A249" s="3">
        <v>46010</v>
      </c>
      <c r="B249">
        <v>2025003686</v>
      </c>
      <c r="C249" t="s">
        <v>657</v>
      </c>
      <c r="D249" s="5">
        <v>2000000</v>
      </c>
      <c r="E249" t="s">
        <v>658</v>
      </c>
      <c r="F249" t="s">
        <v>659</v>
      </c>
      <c r="G249" t="s">
        <v>106</v>
      </c>
      <c r="H249" s="6" t="s">
        <v>97</v>
      </c>
    </row>
    <row r="250" spans="1:8" x14ac:dyDescent="0.25">
      <c r="A250" s="3">
        <v>46010</v>
      </c>
      <c r="B250">
        <v>2025003687</v>
      </c>
      <c r="C250" t="s">
        <v>333</v>
      </c>
      <c r="D250" s="5">
        <v>3150000</v>
      </c>
      <c r="E250" t="s">
        <v>641</v>
      </c>
      <c r="F250" t="s">
        <v>14</v>
      </c>
      <c r="G250" t="s">
        <v>106</v>
      </c>
      <c r="H250" s="6" t="s">
        <v>97</v>
      </c>
    </row>
    <row r="251" spans="1:8" x14ac:dyDescent="0.25">
      <c r="A251" s="3">
        <v>46010</v>
      </c>
      <c r="B251">
        <v>2025003688</v>
      </c>
      <c r="C251" t="s">
        <v>819</v>
      </c>
      <c r="D251" s="5">
        <v>3150000</v>
      </c>
      <c r="E251" t="s">
        <v>820</v>
      </c>
      <c r="F251" t="s">
        <v>102</v>
      </c>
      <c r="G251" t="s">
        <v>106</v>
      </c>
      <c r="H251" s="6" t="s">
        <v>97</v>
      </c>
    </row>
    <row r="252" spans="1:8" x14ac:dyDescent="0.25">
      <c r="A252" s="3">
        <v>46010</v>
      </c>
      <c r="B252">
        <v>2025003689</v>
      </c>
      <c r="C252" t="s">
        <v>319</v>
      </c>
      <c r="D252" s="5">
        <v>7800000</v>
      </c>
      <c r="E252" t="s">
        <v>393</v>
      </c>
      <c r="F252" t="s">
        <v>320</v>
      </c>
      <c r="G252" t="s">
        <v>106</v>
      </c>
      <c r="H252" s="6" t="s">
        <v>97</v>
      </c>
    </row>
    <row r="253" spans="1:8" x14ac:dyDescent="0.25">
      <c r="A253" s="3">
        <v>46010</v>
      </c>
      <c r="B253">
        <v>2025003690</v>
      </c>
      <c r="C253" t="s">
        <v>139</v>
      </c>
      <c r="D253" s="5">
        <v>3150000</v>
      </c>
      <c r="E253" t="s">
        <v>568</v>
      </c>
      <c r="F253" t="s">
        <v>63</v>
      </c>
      <c r="G253" t="s">
        <v>106</v>
      </c>
      <c r="H253" s="6" t="s">
        <v>97</v>
      </c>
    </row>
    <row r="254" spans="1:8" x14ac:dyDescent="0.25">
      <c r="A254" s="3">
        <v>46010</v>
      </c>
      <c r="B254">
        <v>2025003691</v>
      </c>
      <c r="C254" t="s">
        <v>299</v>
      </c>
      <c r="D254" s="5">
        <v>6300000</v>
      </c>
      <c r="E254" t="s">
        <v>443</v>
      </c>
      <c r="F254" t="s">
        <v>300</v>
      </c>
      <c r="G254" t="s">
        <v>106</v>
      </c>
      <c r="H254" s="6" t="s">
        <v>97</v>
      </c>
    </row>
    <row r="255" spans="1:8" x14ac:dyDescent="0.25">
      <c r="A255" s="3">
        <v>46010</v>
      </c>
      <c r="B255">
        <v>2025003692</v>
      </c>
      <c r="C255" t="s">
        <v>783</v>
      </c>
      <c r="D255" s="5">
        <v>3150000</v>
      </c>
      <c r="E255" t="s">
        <v>784</v>
      </c>
      <c r="F255" t="s">
        <v>785</v>
      </c>
      <c r="G255" t="s">
        <v>106</v>
      </c>
      <c r="H255" s="6" t="s">
        <v>97</v>
      </c>
    </row>
    <row r="256" spans="1:8" x14ac:dyDescent="0.25">
      <c r="A256" s="3">
        <v>46010</v>
      </c>
      <c r="B256">
        <v>2025003693</v>
      </c>
      <c r="C256" t="s">
        <v>516</v>
      </c>
      <c r="D256" s="5">
        <v>2000000</v>
      </c>
      <c r="E256" t="s">
        <v>517</v>
      </c>
      <c r="F256" t="s">
        <v>37</v>
      </c>
      <c r="G256" t="s">
        <v>106</v>
      </c>
      <c r="H256" s="6" t="s">
        <v>97</v>
      </c>
    </row>
    <row r="257" spans="1:8" x14ac:dyDescent="0.25">
      <c r="A257" s="3">
        <v>46010</v>
      </c>
      <c r="B257">
        <v>2025003694</v>
      </c>
      <c r="C257" t="s">
        <v>524</v>
      </c>
      <c r="D257" s="5">
        <v>2000000</v>
      </c>
      <c r="E257" t="s">
        <v>525</v>
      </c>
      <c r="F257" t="s">
        <v>526</v>
      </c>
      <c r="G257" t="s">
        <v>106</v>
      </c>
      <c r="H257" s="6" t="s">
        <v>97</v>
      </c>
    </row>
    <row r="258" spans="1:8" x14ac:dyDescent="0.25">
      <c r="A258" s="3">
        <v>46010</v>
      </c>
      <c r="B258">
        <v>2025003695</v>
      </c>
      <c r="C258" t="s">
        <v>268</v>
      </c>
      <c r="D258" s="5">
        <v>3150000</v>
      </c>
      <c r="E258" t="s">
        <v>583</v>
      </c>
      <c r="F258" t="s">
        <v>65</v>
      </c>
      <c r="G258" t="s">
        <v>106</v>
      </c>
      <c r="H258" s="6" t="s">
        <v>97</v>
      </c>
    </row>
    <row r="259" spans="1:8" x14ac:dyDescent="0.25">
      <c r="A259" s="3">
        <v>46010</v>
      </c>
      <c r="B259">
        <v>2025003697</v>
      </c>
      <c r="C259" t="s">
        <v>833</v>
      </c>
      <c r="D259" s="5">
        <v>3150000</v>
      </c>
      <c r="E259" t="s">
        <v>834</v>
      </c>
      <c r="F259" t="s">
        <v>835</v>
      </c>
      <c r="G259" t="s">
        <v>106</v>
      </c>
      <c r="H259" s="6" t="s">
        <v>97</v>
      </c>
    </row>
    <row r="260" spans="1:8" x14ac:dyDescent="0.25">
      <c r="A260" s="3">
        <v>46010</v>
      </c>
      <c r="B260">
        <v>2025003698</v>
      </c>
      <c r="C260" t="s">
        <v>335</v>
      </c>
      <c r="D260" s="5">
        <v>6300000</v>
      </c>
      <c r="E260" t="s">
        <v>624</v>
      </c>
      <c r="F260" t="s">
        <v>52</v>
      </c>
      <c r="G260" t="s">
        <v>106</v>
      </c>
      <c r="H260" s="6" t="s">
        <v>97</v>
      </c>
    </row>
    <row r="261" spans="1:8" x14ac:dyDescent="0.25">
      <c r="A261" s="3">
        <v>46010</v>
      </c>
      <c r="B261">
        <v>2025003699</v>
      </c>
      <c r="C261" t="s">
        <v>879</v>
      </c>
      <c r="D261" s="5">
        <v>3150000</v>
      </c>
      <c r="E261" t="s">
        <v>880</v>
      </c>
      <c r="F261" t="s">
        <v>96</v>
      </c>
      <c r="G261" t="s">
        <v>106</v>
      </c>
      <c r="H261" s="6" t="s">
        <v>97</v>
      </c>
    </row>
    <row r="262" spans="1:8" x14ac:dyDescent="0.25">
      <c r="A262" s="3">
        <v>46010</v>
      </c>
      <c r="B262">
        <v>2025003700</v>
      </c>
      <c r="C262" t="s">
        <v>786</v>
      </c>
      <c r="D262" s="5">
        <v>3150000</v>
      </c>
      <c r="E262" t="s">
        <v>787</v>
      </c>
      <c r="F262" t="s">
        <v>788</v>
      </c>
      <c r="G262" t="s">
        <v>106</v>
      </c>
      <c r="H262" s="6" t="s">
        <v>97</v>
      </c>
    </row>
    <row r="263" spans="1:8" x14ac:dyDescent="0.25">
      <c r="A263" s="3">
        <v>46010</v>
      </c>
      <c r="B263">
        <v>2025003701</v>
      </c>
      <c r="C263" t="s">
        <v>773</v>
      </c>
      <c r="D263" s="5">
        <v>3150000</v>
      </c>
      <c r="E263" t="s">
        <v>774</v>
      </c>
      <c r="F263" t="s">
        <v>84</v>
      </c>
      <c r="G263" t="s">
        <v>106</v>
      </c>
      <c r="H263" s="6" t="s">
        <v>97</v>
      </c>
    </row>
    <row r="264" spans="1:8" x14ac:dyDescent="0.25">
      <c r="A264" s="3">
        <v>46010</v>
      </c>
      <c r="B264">
        <v>2025003702</v>
      </c>
      <c r="C264" t="s">
        <v>336</v>
      </c>
      <c r="D264" s="5">
        <v>4730000</v>
      </c>
      <c r="E264" t="s">
        <v>579</v>
      </c>
      <c r="F264" t="s">
        <v>38</v>
      </c>
      <c r="G264" t="s">
        <v>106</v>
      </c>
      <c r="H264" s="6" t="s">
        <v>97</v>
      </c>
    </row>
    <row r="265" spans="1:8" x14ac:dyDescent="0.25">
      <c r="A265" s="3">
        <v>46010</v>
      </c>
      <c r="B265">
        <v>2025003703</v>
      </c>
      <c r="C265" t="s">
        <v>359</v>
      </c>
      <c r="D265" s="5">
        <v>4730000</v>
      </c>
      <c r="E265" t="s">
        <v>360</v>
      </c>
      <c r="F265" t="s">
        <v>99</v>
      </c>
      <c r="G265" t="s">
        <v>106</v>
      </c>
      <c r="H265" s="6" t="s">
        <v>97</v>
      </c>
    </row>
    <row r="266" spans="1:8" x14ac:dyDescent="0.25">
      <c r="A266" s="3">
        <v>46010</v>
      </c>
      <c r="B266">
        <v>2025003704</v>
      </c>
      <c r="C266" t="s">
        <v>572</v>
      </c>
      <c r="D266" s="5">
        <v>4730000</v>
      </c>
      <c r="E266" t="s">
        <v>573</v>
      </c>
      <c r="F266" t="s">
        <v>574</v>
      </c>
      <c r="G266" t="s">
        <v>106</v>
      </c>
      <c r="H266" s="6" t="s">
        <v>97</v>
      </c>
    </row>
    <row r="267" spans="1:8" x14ac:dyDescent="0.25">
      <c r="A267" s="3">
        <v>46010</v>
      </c>
      <c r="B267">
        <v>2025003705</v>
      </c>
      <c r="C267" t="s">
        <v>140</v>
      </c>
      <c r="D267" s="5">
        <v>6300000</v>
      </c>
      <c r="E267" t="s">
        <v>582</v>
      </c>
      <c r="F267" t="s">
        <v>62</v>
      </c>
      <c r="G267" t="s">
        <v>106</v>
      </c>
      <c r="H267" s="6" t="s">
        <v>97</v>
      </c>
    </row>
    <row r="268" spans="1:8" x14ac:dyDescent="0.25">
      <c r="A268" s="3">
        <v>46010</v>
      </c>
      <c r="B268">
        <v>2025003706</v>
      </c>
      <c r="C268" t="s">
        <v>575</v>
      </c>
      <c r="D268" s="5">
        <v>4730000</v>
      </c>
      <c r="E268" t="s">
        <v>576</v>
      </c>
      <c r="F268" t="s">
        <v>577</v>
      </c>
      <c r="G268" t="s">
        <v>106</v>
      </c>
      <c r="H268" s="6" t="s">
        <v>97</v>
      </c>
    </row>
    <row r="269" spans="1:8" x14ac:dyDescent="0.25">
      <c r="A269" s="3">
        <v>46010</v>
      </c>
      <c r="B269">
        <v>2025003707</v>
      </c>
      <c r="C269" t="s">
        <v>613</v>
      </c>
      <c r="D269" s="5">
        <v>3150000</v>
      </c>
      <c r="E269" t="s">
        <v>614</v>
      </c>
      <c r="F269" t="s">
        <v>615</v>
      </c>
      <c r="G269" t="s">
        <v>106</v>
      </c>
      <c r="H269" s="6" t="s">
        <v>97</v>
      </c>
    </row>
    <row r="270" spans="1:8" x14ac:dyDescent="0.25">
      <c r="A270" s="3">
        <v>46010</v>
      </c>
      <c r="B270">
        <v>2025003708</v>
      </c>
      <c r="C270" t="s">
        <v>137</v>
      </c>
      <c r="D270" s="5">
        <v>3150000</v>
      </c>
      <c r="E270" t="s">
        <v>530</v>
      </c>
      <c r="F270" t="s">
        <v>138</v>
      </c>
      <c r="G270" t="s">
        <v>106</v>
      </c>
      <c r="H270" s="6" t="s">
        <v>97</v>
      </c>
    </row>
    <row r="271" spans="1:8" x14ac:dyDescent="0.25">
      <c r="A271" s="3">
        <v>46010</v>
      </c>
      <c r="B271">
        <v>2025003709</v>
      </c>
      <c r="C271" t="s">
        <v>329</v>
      </c>
      <c r="D271" s="5">
        <v>3150000</v>
      </c>
      <c r="E271" t="s">
        <v>563</v>
      </c>
      <c r="F271" t="s">
        <v>330</v>
      </c>
      <c r="G271" t="s">
        <v>106</v>
      </c>
      <c r="H271" s="6" t="s">
        <v>97</v>
      </c>
    </row>
    <row r="272" spans="1:8" x14ac:dyDescent="0.25">
      <c r="A272" s="3">
        <v>46010</v>
      </c>
      <c r="B272">
        <v>2025003710</v>
      </c>
      <c r="C272" t="s">
        <v>131</v>
      </c>
      <c r="D272" s="5">
        <v>3150000</v>
      </c>
      <c r="E272" t="s">
        <v>531</v>
      </c>
      <c r="F272" t="s">
        <v>132</v>
      </c>
      <c r="G272" t="s">
        <v>106</v>
      </c>
      <c r="H272" s="6" t="s">
        <v>97</v>
      </c>
    </row>
    <row r="273" spans="1:8" x14ac:dyDescent="0.25">
      <c r="A273" s="3">
        <v>46010</v>
      </c>
      <c r="B273">
        <v>2025003711</v>
      </c>
      <c r="C273" t="s">
        <v>813</v>
      </c>
      <c r="D273" s="5">
        <v>3150000</v>
      </c>
      <c r="E273" t="s">
        <v>814</v>
      </c>
      <c r="F273" t="s">
        <v>815</v>
      </c>
      <c r="G273" t="s">
        <v>106</v>
      </c>
      <c r="H273" s="6" t="s">
        <v>97</v>
      </c>
    </row>
    <row r="274" spans="1:8" x14ac:dyDescent="0.25">
      <c r="A274" s="3">
        <v>46010</v>
      </c>
      <c r="B274">
        <v>2025003712</v>
      </c>
      <c r="C274" t="s">
        <v>807</v>
      </c>
      <c r="D274" s="5">
        <v>3150000</v>
      </c>
      <c r="E274" t="s">
        <v>808</v>
      </c>
      <c r="F274" t="s">
        <v>809</v>
      </c>
      <c r="G274" t="s">
        <v>106</v>
      </c>
      <c r="H274" s="6" t="s">
        <v>97</v>
      </c>
    </row>
    <row r="275" spans="1:8" x14ac:dyDescent="0.25">
      <c r="A275" s="3">
        <v>46010</v>
      </c>
      <c r="B275">
        <v>2025003713</v>
      </c>
      <c r="C275" t="s">
        <v>136</v>
      </c>
      <c r="D275" s="5">
        <v>3150000</v>
      </c>
      <c r="E275" t="s">
        <v>616</v>
      </c>
      <c r="F275" t="s">
        <v>42</v>
      </c>
      <c r="G275" t="s">
        <v>106</v>
      </c>
      <c r="H275" s="6" t="s">
        <v>97</v>
      </c>
    </row>
    <row r="276" spans="1:8" x14ac:dyDescent="0.25">
      <c r="A276" s="3">
        <v>46010</v>
      </c>
      <c r="B276">
        <v>2025003714</v>
      </c>
      <c r="C276" t="s">
        <v>816</v>
      </c>
      <c r="D276" s="5">
        <v>3150000</v>
      </c>
      <c r="E276" t="s">
        <v>817</v>
      </c>
      <c r="F276" t="s">
        <v>818</v>
      </c>
      <c r="G276" t="s">
        <v>106</v>
      </c>
      <c r="H276" s="6" t="s">
        <v>97</v>
      </c>
    </row>
    <row r="277" spans="1:8" x14ac:dyDescent="0.25">
      <c r="A277" s="3">
        <v>46010</v>
      </c>
      <c r="B277">
        <v>2025003715</v>
      </c>
      <c r="C277" t="s">
        <v>262</v>
      </c>
      <c r="D277" s="5">
        <v>3150000</v>
      </c>
      <c r="E277" t="s">
        <v>533</v>
      </c>
      <c r="F277" t="s">
        <v>263</v>
      </c>
      <c r="G277" t="s">
        <v>106</v>
      </c>
      <c r="H277" s="6" t="s">
        <v>97</v>
      </c>
    </row>
    <row r="278" spans="1:8" x14ac:dyDescent="0.25">
      <c r="A278" s="3">
        <v>46010</v>
      </c>
      <c r="B278">
        <v>2025003716</v>
      </c>
      <c r="C278" t="s">
        <v>135</v>
      </c>
      <c r="D278" s="5">
        <v>6300000</v>
      </c>
      <c r="E278" t="s">
        <v>515</v>
      </c>
      <c r="F278" t="s">
        <v>789</v>
      </c>
      <c r="G278" t="s">
        <v>106</v>
      </c>
      <c r="H278" s="6" t="s">
        <v>97</v>
      </c>
    </row>
    <row r="279" spans="1:8" x14ac:dyDescent="0.25">
      <c r="A279" s="3">
        <v>46010</v>
      </c>
      <c r="B279">
        <v>2025003717</v>
      </c>
      <c r="C279" t="s">
        <v>580</v>
      </c>
      <c r="D279" s="5">
        <v>4730000</v>
      </c>
      <c r="E279" t="s">
        <v>581</v>
      </c>
      <c r="F279" t="s">
        <v>100</v>
      </c>
      <c r="G279" t="s">
        <v>106</v>
      </c>
      <c r="H279" s="6" t="s">
        <v>97</v>
      </c>
    </row>
    <row r="280" spans="1:8" x14ac:dyDescent="0.25">
      <c r="A280" s="3">
        <v>46010</v>
      </c>
      <c r="B280">
        <v>2025003718</v>
      </c>
      <c r="C280" t="s">
        <v>587</v>
      </c>
      <c r="D280" s="5">
        <v>4730000</v>
      </c>
      <c r="E280" t="s">
        <v>588</v>
      </c>
      <c r="F280" t="s">
        <v>589</v>
      </c>
      <c r="G280" t="s">
        <v>106</v>
      </c>
      <c r="H280" s="6" t="s">
        <v>97</v>
      </c>
    </row>
    <row r="281" spans="1:8" x14ac:dyDescent="0.25">
      <c r="A281" s="3">
        <v>46010</v>
      </c>
      <c r="B281">
        <v>2025003719</v>
      </c>
      <c r="C281" t="s">
        <v>266</v>
      </c>
      <c r="D281" s="5">
        <v>4730000</v>
      </c>
      <c r="E281" t="s">
        <v>578</v>
      </c>
      <c r="F281" t="s">
        <v>18</v>
      </c>
      <c r="G281" t="s">
        <v>106</v>
      </c>
      <c r="H281" s="6" t="s">
        <v>97</v>
      </c>
    </row>
    <row r="282" spans="1:8" x14ac:dyDescent="0.25">
      <c r="A282" s="3">
        <v>46010</v>
      </c>
      <c r="B282">
        <v>2025003720</v>
      </c>
      <c r="C282" t="s">
        <v>337</v>
      </c>
      <c r="D282" s="5">
        <v>4730000</v>
      </c>
      <c r="E282" t="s">
        <v>642</v>
      </c>
      <c r="F282" t="s">
        <v>7</v>
      </c>
      <c r="G282" t="s">
        <v>106</v>
      </c>
      <c r="H282" s="6" t="s">
        <v>97</v>
      </c>
    </row>
    <row r="283" spans="1:8" x14ac:dyDescent="0.25">
      <c r="A283" s="3">
        <v>46010</v>
      </c>
      <c r="B283">
        <v>2025003721</v>
      </c>
      <c r="C283" t="s">
        <v>520</v>
      </c>
      <c r="D283" s="5">
        <v>7800000</v>
      </c>
      <c r="E283" t="s">
        <v>521</v>
      </c>
      <c r="F283" t="s">
        <v>522</v>
      </c>
      <c r="G283" t="s">
        <v>106</v>
      </c>
      <c r="H283" s="6" t="s">
        <v>97</v>
      </c>
    </row>
    <row r="284" spans="1:8" x14ac:dyDescent="0.25">
      <c r="A284" s="3">
        <v>46010</v>
      </c>
      <c r="B284">
        <v>2025003722</v>
      </c>
      <c r="C284" t="s">
        <v>794</v>
      </c>
      <c r="D284" s="5">
        <v>7800000</v>
      </c>
      <c r="E284" t="s">
        <v>795</v>
      </c>
      <c r="F284" t="s">
        <v>796</v>
      </c>
      <c r="G284" t="s">
        <v>106</v>
      </c>
      <c r="H284" s="6" t="s">
        <v>97</v>
      </c>
    </row>
    <row r="285" spans="1:8" x14ac:dyDescent="0.25">
      <c r="A285" s="3">
        <v>46010</v>
      </c>
      <c r="B285">
        <v>2025003723</v>
      </c>
      <c r="C285" t="s">
        <v>265</v>
      </c>
      <c r="D285" s="5">
        <v>6300000</v>
      </c>
      <c r="E285" t="s">
        <v>539</v>
      </c>
      <c r="F285" t="s">
        <v>54</v>
      </c>
      <c r="G285" t="s">
        <v>106</v>
      </c>
      <c r="H285" s="6" t="s">
        <v>97</v>
      </c>
    </row>
    <row r="286" spans="1:8" x14ac:dyDescent="0.25">
      <c r="A286" s="3">
        <v>46010</v>
      </c>
      <c r="B286">
        <v>2025003724</v>
      </c>
      <c r="C286" t="s">
        <v>338</v>
      </c>
      <c r="D286" s="5">
        <v>6300000</v>
      </c>
      <c r="E286" t="s">
        <v>585</v>
      </c>
      <c r="F286" t="s">
        <v>29</v>
      </c>
      <c r="G286" t="s">
        <v>106</v>
      </c>
      <c r="H286" s="6" t="s">
        <v>97</v>
      </c>
    </row>
    <row r="287" spans="1:8" x14ac:dyDescent="0.25">
      <c r="A287" s="3">
        <v>46010</v>
      </c>
      <c r="B287">
        <v>2025003725</v>
      </c>
      <c r="C287" t="s">
        <v>800</v>
      </c>
      <c r="D287" s="5">
        <v>7800000</v>
      </c>
      <c r="E287" t="s">
        <v>801</v>
      </c>
      <c r="F287" t="s">
        <v>802</v>
      </c>
      <c r="G287" t="s">
        <v>106</v>
      </c>
      <c r="H287" s="6" t="s">
        <v>97</v>
      </c>
    </row>
    <row r="288" spans="1:8" x14ac:dyDescent="0.25">
      <c r="A288" s="3">
        <v>46010</v>
      </c>
      <c r="B288">
        <v>2025003727</v>
      </c>
      <c r="C288" t="s">
        <v>770</v>
      </c>
      <c r="D288" s="5">
        <v>7800000</v>
      </c>
      <c r="E288" t="s">
        <v>771</v>
      </c>
      <c r="F288" t="s">
        <v>772</v>
      </c>
      <c r="G288" t="s">
        <v>106</v>
      </c>
      <c r="H288" s="6" t="s">
        <v>97</v>
      </c>
    </row>
    <row r="289" spans="1:8" x14ac:dyDescent="0.25">
      <c r="A289" s="3">
        <v>46010</v>
      </c>
      <c r="B289">
        <v>2025003729</v>
      </c>
      <c r="C289" t="s">
        <v>264</v>
      </c>
      <c r="D289" s="5">
        <v>7800000</v>
      </c>
      <c r="E289" t="s">
        <v>523</v>
      </c>
      <c r="F289" t="s">
        <v>57</v>
      </c>
      <c r="G289" t="s">
        <v>106</v>
      </c>
      <c r="H289" s="6" t="s">
        <v>97</v>
      </c>
    </row>
    <row r="290" spans="1:8" x14ac:dyDescent="0.25">
      <c r="A290" s="3">
        <v>46010</v>
      </c>
      <c r="B290">
        <v>2025003730</v>
      </c>
      <c r="C290" t="s">
        <v>883</v>
      </c>
      <c r="D290" s="5">
        <v>3150000</v>
      </c>
      <c r="E290" t="s">
        <v>884</v>
      </c>
      <c r="F290" t="s">
        <v>885</v>
      </c>
      <c r="G290" t="s">
        <v>106</v>
      </c>
      <c r="H290" s="6" t="s">
        <v>97</v>
      </c>
    </row>
    <row r="291" spans="1:8" x14ac:dyDescent="0.25">
      <c r="A291" s="3">
        <v>46010</v>
      </c>
      <c r="B291">
        <v>2025003731</v>
      </c>
      <c r="C291" t="s">
        <v>886</v>
      </c>
      <c r="D291" s="5">
        <v>2000000</v>
      </c>
      <c r="E291" t="s">
        <v>887</v>
      </c>
      <c r="F291" t="s">
        <v>888</v>
      </c>
      <c r="G291" t="s">
        <v>106</v>
      </c>
      <c r="H291" s="6" t="s">
        <v>97</v>
      </c>
    </row>
    <row r="292" spans="1:8" x14ac:dyDescent="0.25">
      <c r="A292" s="3">
        <v>46010</v>
      </c>
      <c r="B292">
        <v>2025003732</v>
      </c>
      <c r="C292" t="s">
        <v>889</v>
      </c>
      <c r="D292" s="5">
        <v>7800000</v>
      </c>
      <c r="E292" t="s">
        <v>890</v>
      </c>
      <c r="F292" t="s">
        <v>891</v>
      </c>
      <c r="G292" t="s">
        <v>106</v>
      </c>
      <c r="H292" s="6" t="s">
        <v>97</v>
      </c>
    </row>
    <row r="293" spans="1:8" x14ac:dyDescent="0.25">
      <c r="A293" s="3">
        <v>46010</v>
      </c>
      <c r="B293">
        <v>2025003733</v>
      </c>
      <c r="C293" t="s">
        <v>178</v>
      </c>
      <c r="D293" s="5">
        <v>3150000</v>
      </c>
      <c r="E293" t="s">
        <v>420</v>
      </c>
      <c r="F293" t="s">
        <v>179</v>
      </c>
      <c r="G293" t="s">
        <v>106</v>
      </c>
      <c r="H293" s="6" t="s">
        <v>97</v>
      </c>
    </row>
    <row r="294" spans="1:8" x14ac:dyDescent="0.25">
      <c r="A294" s="3">
        <v>46010</v>
      </c>
      <c r="B294">
        <v>2025003734</v>
      </c>
      <c r="C294" t="s">
        <v>699</v>
      </c>
      <c r="D294" s="5">
        <v>4730000</v>
      </c>
      <c r="E294" t="s">
        <v>700</v>
      </c>
      <c r="F294" t="s">
        <v>701</v>
      </c>
      <c r="G294" t="s">
        <v>106</v>
      </c>
      <c r="H294" s="6" t="s">
        <v>97</v>
      </c>
    </row>
    <row r="295" spans="1:8" x14ac:dyDescent="0.25">
      <c r="A295" s="3">
        <v>46010</v>
      </c>
      <c r="B295">
        <v>2025003735</v>
      </c>
      <c r="C295" t="s">
        <v>284</v>
      </c>
      <c r="D295" s="5">
        <v>3150000</v>
      </c>
      <c r="E295" t="s">
        <v>593</v>
      </c>
      <c r="F295" t="s">
        <v>285</v>
      </c>
      <c r="G295" t="s">
        <v>106</v>
      </c>
      <c r="H295" s="6" t="s">
        <v>97</v>
      </c>
    </row>
    <row r="296" spans="1:8" x14ac:dyDescent="0.25">
      <c r="A296" s="3">
        <v>46010</v>
      </c>
      <c r="B296">
        <v>2025003736</v>
      </c>
      <c r="C296" t="s">
        <v>678</v>
      </c>
      <c r="D296" s="5">
        <v>3150000</v>
      </c>
      <c r="E296" t="s">
        <v>679</v>
      </c>
      <c r="F296" t="s">
        <v>60</v>
      </c>
      <c r="G296" t="s">
        <v>106</v>
      </c>
      <c r="H296" s="6" t="s">
        <v>97</v>
      </c>
    </row>
    <row r="297" spans="1:8" x14ac:dyDescent="0.25">
      <c r="A297" s="3">
        <v>46010</v>
      </c>
      <c r="B297">
        <v>2025003737</v>
      </c>
      <c r="C297" t="s">
        <v>712</v>
      </c>
      <c r="D297" s="5">
        <v>1050000</v>
      </c>
      <c r="E297" t="s">
        <v>713</v>
      </c>
      <c r="F297" t="s">
        <v>58</v>
      </c>
      <c r="G297" t="s">
        <v>106</v>
      </c>
      <c r="H297" s="6" t="s">
        <v>97</v>
      </c>
    </row>
    <row r="298" spans="1:8" x14ac:dyDescent="0.25">
      <c r="A298" s="3">
        <v>46010</v>
      </c>
      <c r="B298">
        <v>2025003738</v>
      </c>
      <c r="C298" t="s">
        <v>133</v>
      </c>
      <c r="D298" s="5">
        <v>7800000</v>
      </c>
      <c r="E298" t="s">
        <v>584</v>
      </c>
      <c r="F298" t="s">
        <v>134</v>
      </c>
      <c r="G298" t="s">
        <v>106</v>
      </c>
      <c r="H298" s="6" t="s">
        <v>97</v>
      </c>
    </row>
    <row r="299" spans="1:8" x14ac:dyDescent="0.25">
      <c r="A299" s="3">
        <v>46010</v>
      </c>
      <c r="B299">
        <v>2025003739</v>
      </c>
      <c r="C299" t="s">
        <v>709</v>
      </c>
      <c r="D299" s="5">
        <v>3150000</v>
      </c>
      <c r="E299" t="s">
        <v>710</v>
      </c>
      <c r="F299" t="s">
        <v>711</v>
      </c>
      <c r="G299" t="s">
        <v>106</v>
      </c>
      <c r="H299" s="6" t="s">
        <v>97</v>
      </c>
    </row>
    <row r="300" spans="1:8" x14ac:dyDescent="0.25">
      <c r="A300" s="3">
        <v>46010</v>
      </c>
      <c r="B300">
        <v>2025003740</v>
      </c>
      <c r="C300" t="s">
        <v>288</v>
      </c>
      <c r="D300" s="5">
        <v>3150000</v>
      </c>
      <c r="E300" t="s">
        <v>492</v>
      </c>
      <c r="F300" t="s">
        <v>289</v>
      </c>
      <c r="G300" t="s">
        <v>106</v>
      </c>
      <c r="H300" s="6" t="s">
        <v>97</v>
      </c>
    </row>
    <row r="301" spans="1:8" x14ac:dyDescent="0.25">
      <c r="A301" s="3">
        <v>46010</v>
      </c>
      <c r="B301">
        <v>2025003741</v>
      </c>
      <c r="C301" t="s">
        <v>159</v>
      </c>
      <c r="D301" s="5">
        <v>7800000</v>
      </c>
      <c r="E301" t="s">
        <v>418</v>
      </c>
      <c r="F301" t="s">
        <v>160</v>
      </c>
      <c r="G301" t="s">
        <v>106</v>
      </c>
      <c r="H301" s="6" t="s">
        <v>97</v>
      </c>
    </row>
    <row r="302" spans="1:8" x14ac:dyDescent="0.25">
      <c r="A302" s="3">
        <v>46010</v>
      </c>
      <c r="B302">
        <v>2025003743</v>
      </c>
      <c r="C302" s="6" t="s">
        <v>297</v>
      </c>
      <c r="D302" s="5">
        <v>4730000</v>
      </c>
      <c r="E302" t="s">
        <v>677</v>
      </c>
      <c r="F302" t="s">
        <v>298</v>
      </c>
      <c r="G302" t="s">
        <v>106</v>
      </c>
      <c r="H302" s="6" t="s">
        <v>97</v>
      </c>
    </row>
    <row r="303" spans="1:8" x14ac:dyDescent="0.25">
      <c r="A303" s="3">
        <v>46010</v>
      </c>
      <c r="B303">
        <v>2025003744</v>
      </c>
      <c r="C303" t="s">
        <v>292</v>
      </c>
      <c r="D303" s="5">
        <v>4730000</v>
      </c>
      <c r="E303" t="s">
        <v>601</v>
      </c>
      <c r="F303" t="s">
        <v>28</v>
      </c>
      <c r="G303" t="s">
        <v>106</v>
      </c>
      <c r="H303" s="6" t="s">
        <v>97</v>
      </c>
    </row>
    <row r="304" spans="1:8" x14ac:dyDescent="0.25">
      <c r="A304" s="3">
        <v>46010</v>
      </c>
      <c r="B304">
        <v>2025003745</v>
      </c>
      <c r="C304" t="s">
        <v>281</v>
      </c>
      <c r="D304" s="5">
        <v>6300000</v>
      </c>
      <c r="E304" t="s">
        <v>422</v>
      </c>
      <c r="F304" t="s">
        <v>9</v>
      </c>
      <c r="G304" t="s">
        <v>106</v>
      </c>
      <c r="H304" s="6" t="s">
        <v>97</v>
      </c>
    </row>
    <row r="305" spans="1:8" x14ac:dyDescent="0.25">
      <c r="A305" s="3">
        <v>46010</v>
      </c>
      <c r="B305">
        <v>2025003746</v>
      </c>
      <c r="C305" t="s">
        <v>295</v>
      </c>
      <c r="D305" s="5">
        <v>3150000</v>
      </c>
      <c r="E305" t="s">
        <v>444</v>
      </c>
      <c r="F305" t="s">
        <v>296</v>
      </c>
      <c r="G305" t="s">
        <v>106</v>
      </c>
      <c r="H305" s="6" t="s">
        <v>97</v>
      </c>
    </row>
    <row r="306" spans="1:8" x14ac:dyDescent="0.25">
      <c r="A306" s="3">
        <v>46010</v>
      </c>
      <c r="B306">
        <v>2025003747</v>
      </c>
      <c r="C306" t="s">
        <v>157</v>
      </c>
      <c r="D306" s="5">
        <v>6300000</v>
      </c>
      <c r="E306" t="s">
        <v>596</v>
      </c>
      <c r="F306" t="s">
        <v>82</v>
      </c>
      <c r="G306" t="s">
        <v>106</v>
      </c>
      <c r="H306" s="6" t="s">
        <v>97</v>
      </c>
    </row>
    <row r="307" spans="1:8" x14ac:dyDescent="0.25">
      <c r="A307" s="3">
        <v>46010</v>
      </c>
      <c r="B307">
        <v>2025003748</v>
      </c>
      <c r="C307" t="s">
        <v>165</v>
      </c>
      <c r="D307" s="5">
        <v>7800000</v>
      </c>
      <c r="E307" t="s">
        <v>440</v>
      </c>
      <c r="F307" t="s">
        <v>166</v>
      </c>
      <c r="G307" t="s">
        <v>106</v>
      </c>
      <c r="H307" s="6" t="s">
        <v>97</v>
      </c>
    </row>
    <row r="308" spans="1:8" x14ac:dyDescent="0.25">
      <c r="A308" s="3">
        <v>46010</v>
      </c>
      <c r="B308">
        <v>2025003749</v>
      </c>
      <c r="C308" t="s">
        <v>720</v>
      </c>
      <c r="D308" s="5">
        <v>4730000</v>
      </c>
      <c r="E308" t="s">
        <v>721</v>
      </c>
      <c r="F308" t="s">
        <v>722</v>
      </c>
      <c r="G308" t="s">
        <v>106</v>
      </c>
      <c r="H308" s="6" t="s">
        <v>97</v>
      </c>
    </row>
    <row r="309" spans="1:8" x14ac:dyDescent="0.25">
      <c r="A309" s="3">
        <v>46010</v>
      </c>
      <c r="B309">
        <v>2025003750</v>
      </c>
      <c r="C309" t="s">
        <v>590</v>
      </c>
      <c r="D309" s="5">
        <v>6300000</v>
      </c>
      <c r="E309" t="s">
        <v>591</v>
      </c>
      <c r="F309" t="s">
        <v>592</v>
      </c>
      <c r="G309" t="s">
        <v>106</v>
      </c>
      <c r="H309" s="6" t="s">
        <v>97</v>
      </c>
    </row>
    <row r="310" spans="1:8" x14ac:dyDescent="0.25">
      <c r="A310" s="3">
        <v>46010</v>
      </c>
      <c r="B310">
        <v>2025003751</v>
      </c>
      <c r="C310" t="s">
        <v>742</v>
      </c>
      <c r="D310" s="5">
        <v>7800000</v>
      </c>
      <c r="E310" t="s">
        <v>743</v>
      </c>
      <c r="F310" t="s">
        <v>744</v>
      </c>
      <c r="G310" t="s">
        <v>106</v>
      </c>
      <c r="H310" s="6" t="s">
        <v>97</v>
      </c>
    </row>
    <row r="311" spans="1:8" x14ac:dyDescent="0.25">
      <c r="A311" s="3">
        <v>46010</v>
      </c>
      <c r="B311">
        <v>2025003752</v>
      </c>
      <c r="C311" t="s">
        <v>697</v>
      </c>
      <c r="D311" s="5">
        <v>3150000</v>
      </c>
      <c r="E311" t="s">
        <v>698</v>
      </c>
      <c r="F311" t="s">
        <v>72</v>
      </c>
      <c r="G311" t="s">
        <v>106</v>
      </c>
      <c r="H311" s="6" t="s">
        <v>97</v>
      </c>
    </row>
    <row r="312" spans="1:8" x14ac:dyDescent="0.25">
      <c r="A312" s="3">
        <v>46010</v>
      </c>
      <c r="B312">
        <v>2025003753</v>
      </c>
      <c r="C312" t="s">
        <v>735</v>
      </c>
      <c r="D312" s="5">
        <v>4730000</v>
      </c>
      <c r="E312" t="s">
        <v>736</v>
      </c>
      <c r="F312" t="s">
        <v>737</v>
      </c>
      <c r="G312" t="s">
        <v>106</v>
      </c>
      <c r="H312" s="6" t="s">
        <v>97</v>
      </c>
    </row>
    <row r="313" spans="1:8" x14ac:dyDescent="0.25">
      <c r="A313" s="3">
        <v>46010</v>
      </c>
      <c r="B313">
        <v>2025003754</v>
      </c>
      <c r="C313" t="s">
        <v>688</v>
      </c>
      <c r="D313" s="5">
        <v>3150000</v>
      </c>
      <c r="E313" t="s">
        <v>689</v>
      </c>
      <c r="F313" t="s">
        <v>68</v>
      </c>
      <c r="G313" t="s">
        <v>106</v>
      </c>
      <c r="H313" s="6" t="s">
        <v>97</v>
      </c>
    </row>
    <row r="314" spans="1:8" x14ac:dyDescent="0.25">
      <c r="A314" s="3">
        <v>46010</v>
      </c>
      <c r="B314">
        <v>2025003755</v>
      </c>
      <c r="C314" t="s">
        <v>670</v>
      </c>
      <c r="D314" s="5">
        <v>3150000</v>
      </c>
      <c r="E314" t="s">
        <v>671</v>
      </c>
      <c r="F314" t="s">
        <v>672</v>
      </c>
      <c r="G314" t="s">
        <v>106</v>
      </c>
      <c r="H314" s="6" t="s">
        <v>97</v>
      </c>
    </row>
    <row r="315" spans="1:8" x14ac:dyDescent="0.25">
      <c r="A315" s="3">
        <v>46011</v>
      </c>
      <c r="B315">
        <v>2025003756</v>
      </c>
      <c r="C315" t="s">
        <v>732</v>
      </c>
      <c r="D315" s="5">
        <v>7800000</v>
      </c>
      <c r="E315" t="s">
        <v>733</v>
      </c>
      <c r="F315" t="s">
        <v>734</v>
      </c>
      <c r="G315" t="s">
        <v>106</v>
      </c>
      <c r="H315" s="6" t="s">
        <v>97</v>
      </c>
    </row>
    <row r="316" spans="1:8" x14ac:dyDescent="0.25">
      <c r="A316" s="3">
        <v>46011</v>
      </c>
      <c r="B316">
        <v>2025003757</v>
      </c>
      <c r="C316" t="s">
        <v>683</v>
      </c>
      <c r="D316" s="5">
        <v>3150000</v>
      </c>
      <c r="E316" t="s">
        <v>684</v>
      </c>
      <c r="F316" t="s">
        <v>31</v>
      </c>
      <c r="G316" t="s">
        <v>106</v>
      </c>
      <c r="H316" s="6" t="s">
        <v>97</v>
      </c>
    </row>
    <row r="317" spans="1:8" x14ac:dyDescent="0.25">
      <c r="A317" s="3">
        <v>46011</v>
      </c>
      <c r="B317">
        <v>2025003758</v>
      </c>
      <c r="C317" t="s">
        <v>892</v>
      </c>
      <c r="D317" s="5">
        <v>3150000</v>
      </c>
      <c r="E317" t="s">
        <v>893</v>
      </c>
      <c r="F317" t="s">
        <v>17</v>
      </c>
      <c r="G317" t="s">
        <v>106</v>
      </c>
      <c r="H317" s="6" t="s">
        <v>97</v>
      </c>
    </row>
    <row r="318" spans="1:8" x14ac:dyDescent="0.25">
      <c r="A318" s="3">
        <v>46011</v>
      </c>
      <c r="B318">
        <v>2025003759</v>
      </c>
      <c r="C318" t="s">
        <v>894</v>
      </c>
      <c r="D318" s="5">
        <v>3150000</v>
      </c>
      <c r="E318" t="s">
        <v>895</v>
      </c>
      <c r="F318" t="s">
        <v>896</v>
      </c>
      <c r="G318" t="s">
        <v>106</v>
      </c>
      <c r="H318" s="6" t="s">
        <v>97</v>
      </c>
    </row>
    <row r="319" spans="1:8" x14ac:dyDescent="0.25">
      <c r="A319" s="3">
        <v>46011</v>
      </c>
      <c r="B319">
        <v>2025003760</v>
      </c>
      <c r="C319" t="s">
        <v>897</v>
      </c>
      <c r="D319" s="5">
        <v>2000000</v>
      </c>
      <c r="E319" t="s">
        <v>898</v>
      </c>
      <c r="F319" t="s">
        <v>899</v>
      </c>
      <c r="G319" t="s">
        <v>106</v>
      </c>
      <c r="H319" s="6" t="s">
        <v>97</v>
      </c>
    </row>
    <row r="320" spans="1:8" x14ac:dyDescent="0.25">
      <c r="A320" s="3">
        <v>46011</v>
      </c>
      <c r="B320">
        <v>2025003761</v>
      </c>
      <c r="C320" t="s">
        <v>900</v>
      </c>
      <c r="D320" s="5">
        <v>4730000</v>
      </c>
      <c r="E320" t="s">
        <v>901</v>
      </c>
      <c r="F320" t="s">
        <v>902</v>
      </c>
      <c r="G320" t="s">
        <v>106</v>
      </c>
      <c r="H320" s="6" t="s">
        <v>97</v>
      </c>
    </row>
    <row r="321" spans="1:8" x14ac:dyDescent="0.25">
      <c r="A321" s="3">
        <v>46011</v>
      </c>
      <c r="B321">
        <v>2025003763</v>
      </c>
      <c r="C321" t="s">
        <v>903</v>
      </c>
      <c r="D321" s="5">
        <v>3150000</v>
      </c>
      <c r="E321" t="s">
        <v>904</v>
      </c>
      <c r="F321" t="s">
        <v>905</v>
      </c>
      <c r="G321" t="s">
        <v>106</v>
      </c>
      <c r="H321" s="6" t="s">
        <v>97</v>
      </c>
    </row>
    <row r="322" spans="1:8" x14ac:dyDescent="0.25">
      <c r="A322" s="3">
        <v>46011</v>
      </c>
      <c r="B322">
        <v>2025003765</v>
      </c>
      <c r="C322" t="s">
        <v>293</v>
      </c>
      <c r="D322" s="5">
        <v>4730000</v>
      </c>
      <c r="E322" t="s">
        <v>415</v>
      </c>
      <c r="F322" t="s">
        <v>294</v>
      </c>
      <c r="G322" t="s">
        <v>106</v>
      </c>
      <c r="H322" s="6" t="s">
        <v>97</v>
      </c>
    </row>
    <row r="323" spans="1:8" x14ac:dyDescent="0.25">
      <c r="A323" s="3">
        <v>46011</v>
      </c>
      <c r="B323">
        <v>2025003767</v>
      </c>
      <c r="C323" t="s">
        <v>182</v>
      </c>
      <c r="D323" s="5">
        <v>7800000</v>
      </c>
      <c r="E323" t="s">
        <v>598</v>
      </c>
      <c r="F323" t="s">
        <v>183</v>
      </c>
      <c r="G323" t="s">
        <v>106</v>
      </c>
      <c r="H323" s="6" t="s">
        <v>97</v>
      </c>
    </row>
    <row r="324" spans="1:8" x14ac:dyDescent="0.25">
      <c r="A324" s="3">
        <v>46011</v>
      </c>
      <c r="B324">
        <v>2025003771</v>
      </c>
      <c r="C324" t="s">
        <v>176</v>
      </c>
      <c r="D324" s="5">
        <v>3150000</v>
      </c>
      <c r="E324" t="s">
        <v>491</v>
      </c>
      <c r="F324" t="s">
        <v>177</v>
      </c>
      <c r="G324" t="s">
        <v>106</v>
      </c>
      <c r="H324" s="6" t="s">
        <v>97</v>
      </c>
    </row>
    <row r="325" spans="1:8" x14ac:dyDescent="0.25">
      <c r="A325" s="3">
        <v>46011</v>
      </c>
      <c r="B325">
        <v>2025003773</v>
      </c>
      <c r="C325" t="s">
        <v>120</v>
      </c>
      <c r="D325" s="5">
        <v>3150000</v>
      </c>
      <c r="E325" t="s">
        <v>630</v>
      </c>
      <c r="F325" t="s">
        <v>121</v>
      </c>
      <c r="G325" t="s">
        <v>106</v>
      </c>
      <c r="H325" s="6" t="s">
        <v>97</v>
      </c>
    </row>
    <row r="326" spans="1:8" x14ac:dyDescent="0.25">
      <c r="A326" s="3">
        <v>46011</v>
      </c>
      <c r="B326">
        <v>2025003776</v>
      </c>
      <c r="C326" t="s">
        <v>345</v>
      </c>
      <c r="D326" s="5">
        <v>3150000</v>
      </c>
      <c r="E326" t="s">
        <v>503</v>
      </c>
      <c r="F326" t="s">
        <v>346</v>
      </c>
      <c r="G326" t="s">
        <v>106</v>
      </c>
      <c r="H326" s="6" t="s">
        <v>97</v>
      </c>
    </row>
    <row r="327" spans="1:8" x14ac:dyDescent="0.25">
      <c r="A327" s="3">
        <v>46011</v>
      </c>
      <c r="B327">
        <v>2025003780</v>
      </c>
      <c r="C327" t="s">
        <v>148</v>
      </c>
      <c r="D327" s="5">
        <v>6300000</v>
      </c>
      <c r="E327" t="s">
        <v>365</v>
      </c>
      <c r="F327" t="s">
        <v>11</v>
      </c>
      <c r="G327" t="s">
        <v>106</v>
      </c>
      <c r="H327" s="6" t="s">
        <v>97</v>
      </c>
    </row>
    <row r="328" spans="1:8" x14ac:dyDescent="0.25">
      <c r="A328" s="3">
        <v>46011</v>
      </c>
      <c r="B328">
        <v>2025003781</v>
      </c>
      <c r="C328" t="s">
        <v>152</v>
      </c>
      <c r="D328" s="5">
        <v>3150000</v>
      </c>
      <c r="E328" t="s">
        <v>669</v>
      </c>
      <c r="F328" t="s">
        <v>101</v>
      </c>
      <c r="G328" t="s">
        <v>106</v>
      </c>
      <c r="H328" s="6" t="s">
        <v>97</v>
      </c>
    </row>
    <row r="329" spans="1:8" x14ac:dyDescent="0.25">
      <c r="A329" s="3">
        <v>46011</v>
      </c>
      <c r="B329">
        <v>2025003782</v>
      </c>
      <c r="C329" s="6" t="s">
        <v>217</v>
      </c>
      <c r="D329" s="5">
        <v>7800000</v>
      </c>
      <c r="E329" t="s">
        <v>423</v>
      </c>
      <c r="F329" t="s">
        <v>25</v>
      </c>
      <c r="G329" t="s">
        <v>106</v>
      </c>
      <c r="H329" s="6" t="s">
        <v>97</v>
      </c>
    </row>
    <row r="330" spans="1:8" x14ac:dyDescent="0.25">
      <c r="A330" s="3">
        <v>46011</v>
      </c>
      <c r="B330">
        <v>2025003786</v>
      </c>
      <c r="C330" t="s">
        <v>906</v>
      </c>
      <c r="D330" s="5">
        <v>6300000</v>
      </c>
      <c r="E330" t="s">
        <v>907</v>
      </c>
      <c r="F330" t="s">
        <v>90</v>
      </c>
      <c r="G330" t="s">
        <v>106</v>
      </c>
      <c r="H330" s="6" t="s">
        <v>97</v>
      </c>
    </row>
    <row r="331" spans="1:8" x14ac:dyDescent="0.25">
      <c r="A331" s="3">
        <v>46011</v>
      </c>
      <c r="B331">
        <v>2025003788</v>
      </c>
      <c r="C331" t="s">
        <v>321</v>
      </c>
      <c r="D331" s="5">
        <v>3150000</v>
      </c>
      <c r="E331" t="s">
        <v>430</v>
      </c>
      <c r="F331" t="s">
        <v>322</v>
      </c>
      <c r="G331" t="s">
        <v>106</v>
      </c>
      <c r="H331" s="6" t="s">
        <v>97</v>
      </c>
    </row>
    <row r="332" spans="1:8" x14ac:dyDescent="0.25">
      <c r="A332" s="3">
        <v>46011</v>
      </c>
      <c r="B332">
        <v>2025003789</v>
      </c>
      <c r="C332" t="s">
        <v>500</v>
      </c>
      <c r="D332" s="5">
        <v>2000000</v>
      </c>
      <c r="E332" t="s">
        <v>501</v>
      </c>
      <c r="F332" t="s">
        <v>502</v>
      </c>
      <c r="G332" t="s">
        <v>106</v>
      </c>
      <c r="H332" s="6" t="s">
        <v>97</v>
      </c>
    </row>
    <row r="333" spans="1:8" x14ac:dyDescent="0.25">
      <c r="A333" s="3">
        <v>46011</v>
      </c>
      <c r="B333">
        <v>2025003792</v>
      </c>
      <c r="C333" t="s">
        <v>908</v>
      </c>
      <c r="D333" s="5">
        <v>4730000</v>
      </c>
      <c r="E333" t="s">
        <v>909</v>
      </c>
      <c r="F333" t="s">
        <v>910</v>
      </c>
      <c r="G333" t="s">
        <v>106</v>
      </c>
      <c r="H333" s="6" t="s">
        <v>97</v>
      </c>
    </row>
    <row r="334" spans="1:8" x14ac:dyDescent="0.25">
      <c r="A334" s="3">
        <v>46011</v>
      </c>
      <c r="B334">
        <v>2025003793</v>
      </c>
      <c r="C334" t="s">
        <v>911</v>
      </c>
      <c r="D334" s="5">
        <v>2000000</v>
      </c>
      <c r="E334" t="s">
        <v>912</v>
      </c>
      <c r="F334" t="s">
        <v>913</v>
      </c>
      <c r="G334" t="s">
        <v>106</v>
      </c>
      <c r="H334" s="6" t="s">
        <v>97</v>
      </c>
    </row>
    <row r="335" spans="1:8" x14ac:dyDescent="0.25">
      <c r="A335" s="3">
        <v>46011</v>
      </c>
      <c r="B335">
        <v>2025003794</v>
      </c>
      <c r="C335" t="s">
        <v>151</v>
      </c>
      <c r="D335" s="5">
        <v>3150000</v>
      </c>
      <c r="E335" t="s">
        <v>371</v>
      </c>
      <c r="F335" t="s">
        <v>46</v>
      </c>
      <c r="G335" t="s">
        <v>106</v>
      </c>
      <c r="H335" s="6" t="s">
        <v>97</v>
      </c>
    </row>
    <row r="336" spans="1:8" x14ac:dyDescent="0.25">
      <c r="A336" s="3">
        <v>46011</v>
      </c>
      <c r="B336">
        <v>2025003796</v>
      </c>
      <c r="C336" t="s">
        <v>545</v>
      </c>
      <c r="D336" s="5">
        <v>3150000</v>
      </c>
      <c r="E336" t="s">
        <v>546</v>
      </c>
      <c r="F336" t="s">
        <v>547</v>
      </c>
      <c r="G336" t="s">
        <v>106</v>
      </c>
      <c r="H336" s="6" t="s">
        <v>97</v>
      </c>
    </row>
    <row r="337" spans="1:8" x14ac:dyDescent="0.25">
      <c r="A337" s="3">
        <v>46011</v>
      </c>
      <c r="B337">
        <v>2025003798</v>
      </c>
      <c r="C337" t="s">
        <v>752</v>
      </c>
      <c r="D337" s="5">
        <v>2000000</v>
      </c>
      <c r="E337" t="s">
        <v>753</v>
      </c>
      <c r="F337" t="s">
        <v>754</v>
      </c>
      <c r="G337" t="s">
        <v>106</v>
      </c>
      <c r="H337" s="6" t="s">
        <v>97</v>
      </c>
    </row>
    <row r="338" spans="1:8" x14ac:dyDescent="0.25">
      <c r="A338" s="3">
        <v>46011</v>
      </c>
      <c r="B338">
        <v>2025003799</v>
      </c>
      <c r="C338" t="s">
        <v>540</v>
      </c>
      <c r="D338" s="5">
        <v>6300000</v>
      </c>
      <c r="E338" t="s">
        <v>541</v>
      </c>
      <c r="F338" t="s">
        <v>73</v>
      </c>
      <c r="G338" t="s">
        <v>106</v>
      </c>
      <c r="H338" s="6" t="s">
        <v>97</v>
      </c>
    </row>
    <row r="339" spans="1:8" x14ac:dyDescent="0.25">
      <c r="A339" s="3">
        <v>46011</v>
      </c>
      <c r="B339">
        <v>2025003800</v>
      </c>
      <c r="C339" t="s">
        <v>247</v>
      </c>
      <c r="D339" s="5">
        <v>3150000</v>
      </c>
      <c r="E339" t="s">
        <v>513</v>
      </c>
      <c r="F339" t="s">
        <v>248</v>
      </c>
      <c r="G339" t="s">
        <v>106</v>
      </c>
      <c r="H339" s="6" t="s">
        <v>97</v>
      </c>
    </row>
    <row r="340" spans="1:8" x14ac:dyDescent="0.25">
      <c r="A340" s="3">
        <v>46011</v>
      </c>
      <c r="B340">
        <v>2025003801</v>
      </c>
      <c r="C340" t="s">
        <v>851</v>
      </c>
      <c r="D340" s="5">
        <v>3150000</v>
      </c>
      <c r="E340" t="s">
        <v>852</v>
      </c>
      <c r="F340" t="s">
        <v>853</v>
      </c>
      <c r="G340" t="s">
        <v>106</v>
      </c>
      <c r="H340" s="6" t="s">
        <v>97</v>
      </c>
    </row>
    <row r="341" spans="1:8" x14ac:dyDescent="0.25">
      <c r="A341" s="3">
        <v>46011</v>
      </c>
      <c r="B341">
        <v>2025003802</v>
      </c>
      <c r="C341" t="s">
        <v>323</v>
      </c>
      <c r="D341" s="5">
        <v>3150000</v>
      </c>
      <c r="E341" t="s">
        <v>436</v>
      </c>
      <c r="F341" t="s">
        <v>324</v>
      </c>
      <c r="G341" t="s">
        <v>106</v>
      </c>
      <c r="H341" s="6" t="s">
        <v>97</v>
      </c>
    </row>
    <row r="342" spans="1:8" x14ac:dyDescent="0.25">
      <c r="A342" s="3">
        <v>46011</v>
      </c>
      <c r="B342">
        <v>2025003803</v>
      </c>
      <c r="C342" t="s">
        <v>309</v>
      </c>
      <c r="D342" s="5">
        <v>3150000</v>
      </c>
      <c r="E342" t="s">
        <v>427</v>
      </c>
      <c r="F342" t="s">
        <v>310</v>
      </c>
      <c r="G342" t="s">
        <v>106</v>
      </c>
      <c r="H342" s="6" t="s">
        <v>97</v>
      </c>
    </row>
    <row r="343" spans="1:8" x14ac:dyDescent="0.25">
      <c r="A343" s="3">
        <v>46011</v>
      </c>
      <c r="B343">
        <v>2025003804</v>
      </c>
      <c r="C343" t="s">
        <v>739</v>
      </c>
      <c r="D343" s="5">
        <v>3150000</v>
      </c>
      <c r="E343" t="s">
        <v>740</v>
      </c>
      <c r="F343" t="s">
        <v>741</v>
      </c>
      <c r="G343" t="s">
        <v>106</v>
      </c>
      <c r="H343" s="6" t="s">
        <v>97</v>
      </c>
    </row>
    <row r="344" spans="1:8" x14ac:dyDescent="0.25">
      <c r="A344" s="3">
        <v>46011</v>
      </c>
      <c r="B344">
        <v>2025003805</v>
      </c>
      <c r="C344" t="s">
        <v>625</v>
      </c>
      <c r="D344" s="5">
        <v>2000000</v>
      </c>
      <c r="E344" t="s">
        <v>626</v>
      </c>
      <c r="F344" t="s">
        <v>627</v>
      </c>
      <c r="G344" t="s">
        <v>106</v>
      </c>
      <c r="H344" s="6" t="s">
        <v>97</v>
      </c>
    </row>
    <row r="345" spans="1:8" x14ac:dyDescent="0.25">
      <c r="A345" s="3">
        <v>46011</v>
      </c>
      <c r="B345">
        <v>2025003806</v>
      </c>
      <c r="C345" t="s">
        <v>255</v>
      </c>
      <c r="D345" s="5">
        <v>6300000</v>
      </c>
      <c r="E345" t="s">
        <v>391</v>
      </c>
      <c r="F345" t="s">
        <v>74</v>
      </c>
      <c r="G345" t="s">
        <v>106</v>
      </c>
      <c r="H345" s="6" t="s">
        <v>97</v>
      </c>
    </row>
    <row r="346" spans="1:8" x14ac:dyDescent="0.25">
      <c r="A346" s="3">
        <v>46011</v>
      </c>
      <c r="B346">
        <v>2025003807</v>
      </c>
      <c r="C346" t="s">
        <v>125</v>
      </c>
      <c r="D346" s="5">
        <v>3150000</v>
      </c>
      <c r="E346" t="s">
        <v>388</v>
      </c>
      <c r="F346" t="s">
        <v>35</v>
      </c>
      <c r="G346" t="s">
        <v>106</v>
      </c>
      <c r="H346" s="6" t="s">
        <v>97</v>
      </c>
    </row>
    <row r="347" spans="1:8" x14ac:dyDescent="0.25">
      <c r="A347" s="3">
        <v>46011</v>
      </c>
      <c r="B347">
        <v>2025003808</v>
      </c>
      <c r="C347" t="s">
        <v>510</v>
      </c>
      <c r="D347" s="5">
        <v>3150000</v>
      </c>
      <c r="E347" t="s">
        <v>511</v>
      </c>
      <c r="F347" t="s">
        <v>512</v>
      </c>
      <c r="G347" t="s">
        <v>106</v>
      </c>
      <c r="H347" s="6" t="s">
        <v>97</v>
      </c>
    </row>
    <row r="348" spans="1:8" x14ac:dyDescent="0.25">
      <c r="A348" s="3">
        <v>46011</v>
      </c>
      <c r="B348">
        <v>2025003809</v>
      </c>
      <c r="C348" t="s">
        <v>111</v>
      </c>
      <c r="D348" s="5">
        <v>3150000</v>
      </c>
      <c r="E348" t="s">
        <v>409</v>
      </c>
      <c r="F348" t="s">
        <v>44</v>
      </c>
      <c r="G348" t="s">
        <v>106</v>
      </c>
      <c r="H348" s="6" t="s">
        <v>97</v>
      </c>
    </row>
    <row r="349" spans="1:8" x14ac:dyDescent="0.25">
      <c r="A349" s="3">
        <v>46011</v>
      </c>
      <c r="B349">
        <v>2025003811</v>
      </c>
      <c r="C349" t="s">
        <v>185</v>
      </c>
      <c r="D349" s="5">
        <v>3150000</v>
      </c>
      <c r="E349" t="s">
        <v>460</v>
      </c>
      <c r="F349" t="s">
        <v>186</v>
      </c>
      <c r="G349" t="s">
        <v>106</v>
      </c>
      <c r="H349" s="6" t="s">
        <v>97</v>
      </c>
    </row>
    <row r="350" spans="1:8" x14ac:dyDescent="0.25">
      <c r="A350" s="3">
        <v>46011</v>
      </c>
      <c r="B350">
        <v>2025003812</v>
      </c>
      <c r="C350" t="s">
        <v>200</v>
      </c>
      <c r="D350" s="5">
        <v>3150000</v>
      </c>
      <c r="E350" t="s">
        <v>448</v>
      </c>
      <c r="F350" t="s">
        <v>201</v>
      </c>
      <c r="G350" t="s">
        <v>106</v>
      </c>
      <c r="H350" s="6" t="s">
        <v>97</v>
      </c>
    </row>
    <row r="351" spans="1:8" x14ac:dyDescent="0.25">
      <c r="A351" s="3">
        <v>46011</v>
      </c>
      <c r="B351">
        <v>2025003814</v>
      </c>
      <c r="C351" t="s">
        <v>192</v>
      </c>
      <c r="D351" s="5">
        <v>3150000</v>
      </c>
      <c r="E351" t="s">
        <v>411</v>
      </c>
      <c r="F351" t="s">
        <v>59</v>
      </c>
      <c r="G351" t="s">
        <v>106</v>
      </c>
      <c r="H351" s="6" t="s">
        <v>97</v>
      </c>
    </row>
    <row r="352" spans="1:8" x14ac:dyDescent="0.25">
      <c r="A352" s="3">
        <v>46011</v>
      </c>
      <c r="B352">
        <v>2025003815</v>
      </c>
      <c r="C352" t="s">
        <v>203</v>
      </c>
      <c r="D352" s="5">
        <v>6300000</v>
      </c>
      <c r="E352" t="s">
        <v>631</v>
      </c>
      <c r="F352" t="s">
        <v>204</v>
      </c>
      <c r="G352" t="s">
        <v>106</v>
      </c>
      <c r="H352" s="6" t="s">
        <v>97</v>
      </c>
    </row>
    <row r="353" spans="1:8" x14ac:dyDescent="0.25">
      <c r="A353" s="3">
        <v>46011</v>
      </c>
      <c r="B353">
        <v>2025003816</v>
      </c>
      <c r="C353" t="s">
        <v>117</v>
      </c>
      <c r="D353" s="5">
        <v>6300000</v>
      </c>
      <c r="E353" t="s">
        <v>375</v>
      </c>
      <c r="F353" t="s">
        <v>118</v>
      </c>
      <c r="G353" t="s">
        <v>106</v>
      </c>
      <c r="H353" s="6" t="s">
        <v>97</v>
      </c>
    </row>
    <row r="354" spans="1:8" x14ac:dyDescent="0.25">
      <c r="A354" s="3">
        <v>46011</v>
      </c>
      <c r="B354">
        <v>2025003818</v>
      </c>
      <c r="C354" t="s">
        <v>282</v>
      </c>
      <c r="D354" s="5">
        <v>4730000</v>
      </c>
      <c r="E354" t="s">
        <v>718</v>
      </c>
      <c r="F354" t="s">
        <v>283</v>
      </c>
      <c r="G354" t="s">
        <v>106</v>
      </c>
      <c r="H354" s="6" t="s">
        <v>97</v>
      </c>
    </row>
    <row r="355" spans="1:8" x14ac:dyDescent="0.25">
      <c r="A355" s="3">
        <v>46011</v>
      </c>
      <c r="B355">
        <v>2025003819</v>
      </c>
      <c r="C355" s="6" t="s">
        <v>635</v>
      </c>
      <c r="D355" s="5">
        <v>3150000</v>
      </c>
      <c r="E355" t="s">
        <v>636</v>
      </c>
      <c r="F355" t="s">
        <v>637</v>
      </c>
      <c r="G355" t="s">
        <v>106</v>
      </c>
      <c r="H355" s="6" t="s">
        <v>97</v>
      </c>
    </row>
    <row r="356" spans="1:8" x14ac:dyDescent="0.25">
      <c r="A356" s="3">
        <v>46011</v>
      </c>
      <c r="B356">
        <v>2025003820</v>
      </c>
      <c r="C356" t="s">
        <v>245</v>
      </c>
      <c r="D356" s="5">
        <v>4730000</v>
      </c>
      <c r="E356" t="s">
        <v>385</v>
      </c>
      <c r="F356" t="s">
        <v>246</v>
      </c>
      <c r="G356" t="s">
        <v>106</v>
      </c>
      <c r="H356" s="6" t="s">
        <v>97</v>
      </c>
    </row>
    <row r="357" spans="1:8" x14ac:dyDescent="0.25">
      <c r="A357" s="3">
        <v>46011</v>
      </c>
      <c r="B357">
        <v>2025003822</v>
      </c>
      <c r="C357" t="s">
        <v>206</v>
      </c>
      <c r="D357" s="5">
        <v>4730000</v>
      </c>
      <c r="E357" t="s">
        <v>462</v>
      </c>
      <c r="F357" t="s">
        <v>207</v>
      </c>
      <c r="G357" t="s">
        <v>106</v>
      </c>
      <c r="H357" s="6" t="s">
        <v>97</v>
      </c>
    </row>
    <row r="358" spans="1:8" x14ac:dyDescent="0.25">
      <c r="A358" s="3">
        <v>46011</v>
      </c>
      <c r="B358">
        <v>2025003823</v>
      </c>
      <c r="C358" t="s">
        <v>311</v>
      </c>
      <c r="D358" s="5">
        <v>3150000</v>
      </c>
      <c r="E358" t="s">
        <v>432</v>
      </c>
      <c r="F358" t="s">
        <v>312</v>
      </c>
      <c r="G358" t="s">
        <v>106</v>
      </c>
      <c r="H358" s="6" t="s">
        <v>97</v>
      </c>
    </row>
    <row r="359" spans="1:8" x14ac:dyDescent="0.25">
      <c r="A359" s="3">
        <v>46011</v>
      </c>
      <c r="B359">
        <v>2025003825</v>
      </c>
      <c r="C359" t="s">
        <v>195</v>
      </c>
      <c r="D359" s="5">
        <v>6300000</v>
      </c>
      <c r="E359" t="s">
        <v>433</v>
      </c>
      <c r="F359" t="s">
        <v>196</v>
      </c>
      <c r="G359" t="s">
        <v>106</v>
      </c>
      <c r="H359" s="6" t="s">
        <v>97</v>
      </c>
    </row>
    <row r="360" spans="1:8" x14ac:dyDescent="0.25">
      <c r="A360" s="3">
        <v>46011</v>
      </c>
      <c r="B360">
        <v>2025003828</v>
      </c>
      <c r="C360" t="s">
        <v>495</v>
      </c>
      <c r="D360" s="5">
        <v>6300000</v>
      </c>
      <c r="E360" t="s">
        <v>496</v>
      </c>
      <c r="F360" t="s">
        <v>94</v>
      </c>
      <c r="G360" t="s">
        <v>106</v>
      </c>
      <c r="H360" s="6" t="s">
        <v>97</v>
      </c>
    </row>
    <row r="361" spans="1:8" x14ac:dyDescent="0.25">
      <c r="A361" s="3">
        <v>46011</v>
      </c>
      <c r="B361">
        <v>2025003829</v>
      </c>
      <c r="C361" t="s">
        <v>305</v>
      </c>
      <c r="D361" s="5">
        <v>3150000</v>
      </c>
      <c r="E361" t="s">
        <v>431</v>
      </c>
      <c r="F361" t="s">
        <v>306</v>
      </c>
      <c r="G361" t="s">
        <v>106</v>
      </c>
      <c r="H361" s="6" t="s">
        <v>97</v>
      </c>
    </row>
    <row r="362" spans="1:8" x14ac:dyDescent="0.25">
      <c r="A362" s="3">
        <v>46011</v>
      </c>
      <c r="B362">
        <v>2025003831</v>
      </c>
      <c r="C362" t="s">
        <v>339</v>
      </c>
      <c r="D362" s="5">
        <v>3150000</v>
      </c>
      <c r="E362" t="s">
        <v>378</v>
      </c>
      <c r="F362" t="s">
        <v>340</v>
      </c>
      <c r="G362" t="s">
        <v>106</v>
      </c>
      <c r="H362" s="6" t="s">
        <v>97</v>
      </c>
    </row>
    <row r="363" spans="1:8" x14ac:dyDescent="0.25">
      <c r="A363" s="3">
        <v>46011</v>
      </c>
      <c r="B363">
        <v>2025003833</v>
      </c>
      <c r="C363" t="s">
        <v>228</v>
      </c>
      <c r="D363" s="5">
        <v>3150000</v>
      </c>
      <c r="E363" t="s">
        <v>379</v>
      </c>
      <c r="F363" t="s">
        <v>229</v>
      </c>
      <c r="G363" t="s">
        <v>106</v>
      </c>
      <c r="H363" s="6" t="s">
        <v>97</v>
      </c>
    </row>
    <row r="364" spans="1:8" x14ac:dyDescent="0.25">
      <c r="A364" s="3">
        <v>46011</v>
      </c>
      <c r="B364">
        <v>2025003834</v>
      </c>
      <c r="C364" t="s">
        <v>187</v>
      </c>
      <c r="D364" s="5">
        <v>7800000</v>
      </c>
      <c r="E364" t="s">
        <v>376</v>
      </c>
      <c r="F364" t="s">
        <v>188</v>
      </c>
      <c r="G364" t="s">
        <v>106</v>
      </c>
      <c r="H364" s="6" t="s">
        <v>97</v>
      </c>
    </row>
    <row r="365" spans="1:8" x14ac:dyDescent="0.25">
      <c r="A365" s="3">
        <v>46011</v>
      </c>
      <c r="B365">
        <v>2025003836</v>
      </c>
      <c r="C365" t="s">
        <v>223</v>
      </c>
      <c r="D365" s="5">
        <v>7800000</v>
      </c>
      <c r="E365" t="s">
        <v>461</v>
      </c>
      <c r="F365" t="s">
        <v>8</v>
      </c>
      <c r="G365" t="s">
        <v>106</v>
      </c>
      <c r="H365" s="6" t="s">
        <v>97</v>
      </c>
    </row>
    <row r="366" spans="1:8" x14ac:dyDescent="0.25">
      <c r="A366" s="3">
        <v>46011</v>
      </c>
      <c r="B366">
        <v>2025003837</v>
      </c>
      <c r="C366" t="s">
        <v>236</v>
      </c>
      <c r="D366" s="5">
        <v>3150000</v>
      </c>
      <c r="E366" t="s">
        <v>406</v>
      </c>
      <c r="F366" t="s">
        <v>237</v>
      </c>
      <c r="G366" t="s">
        <v>106</v>
      </c>
      <c r="H366" s="6" t="s">
        <v>97</v>
      </c>
    </row>
    <row r="367" spans="1:8" x14ac:dyDescent="0.25">
      <c r="A367" s="3">
        <v>46011</v>
      </c>
      <c r="B367">
        <v>2025003838</v>
      </c>
      <c r="C367" t="s">
        <v>253</v>
      </c>
      <c r="D367" s="5">
        <v>3150000</v>
      </c>
      <c r="E367" t="s">
        <v>508</v>
      </c>
      <c r="F367" t="s">
        <v>254</v>
      </c>
      <c r="G367" t="s">
        <v>106</v>
      </c>
      <c r="H367" s="6" t="s">
        <v>97</v>
      </c>
    </row>
    <row r="368" spans="1:8" x14ac:dyDescent="0.25">
      <c r="A368" s="3">
        <v>46011</v>
      </c>
      <c r="B368">
        <v>2025003840</v>
      </c>
      <c r="C368" t="s">
        <v>548</v>
      </c>
      <c r="D368" s="5">
        <v>6300000</v>
      </c>
      <c r="E368" t="s">
        <v>549</v>
      </c>
      <c r="F368" t="s">
        <v>550</v>
      </c>
      <c r="G368" t="s">
        <v>106</v>
      </c>
      <c r="H368" s="6" t="s">
        <v>97</v>
      </c>
    </row>
    <row r="369" spans="1:8" x14ac:dyDescent="0.25">
      <c r="A369" s="3">
        <v>46011</v>
      </c>
      <c r="B369">
        <v>2025003841</v>
      </c>
      <c r="C369" t="s">
        <v>120</v>
      </c>
      <c r="D369" s="5">
        <v>3150000</v>
      </c>
      <c r="E369" t="s">
        <v>630</v>
      </c>
      <c r="F369" t="s">
        <v>121</v>
      </c>
      <c r="G369" t="s">
        <v>106</v>
      </c>
      <c r="H369" s="6" t="s">
        <v>97</v>
      </c>
    </row>
    <row r="370" spans="1:8" x14ac:dyDescent="0.25">
      <c r="A370" s="3">
        <v>46011</v>
      </c>
      <c r="B370">
        <v>2025003842</v>
      </c>
      <c r="C370" t="s">
        <v>856</v>
      </c>
      <c r="D370" s="5">
        <v>3150000</v>
      </c>
      <c r="E370" t="s">
        <v>857</v>
      </c>
      <c r="F370" t="s">
        <v>858</v>
      </c>
      <c r="G370" t="s">
        <v>106</v>
      </c>
      <c r="H370" s="6" t="s">
        <v>97</v>
      </c>
    </row>
    <row r="371" spans="1:8" x14ac:dyDescent="0.25">
      <c r="A371" s="3">
        <v>46011</v>
      </c>
      <c r="B371">
        <v>2025003843</v>
      </c>
      <c r="C371" t="s">
        <v>863</v>
      </c>
      <c r="D371" s="5">
        <v>2000000</v>
      </c>
      <c r="E371" t="s">
        <v>864</v>
      </c>
      <c r="F371" t="s">
        <v>865</v>
      </c>
      <c r="G371" t="s">
        <v>106</v>
      </c>
      <c r="H371" s="6" t="s">
        <v>97</v>
      </c>
    </row>
    <row r="372" spans="1:8" x14ac:dyDescent="0.25">
      <c r="A372" s="3">
        <v>46011</v>
      </c>
      <c r="B372">
        <v>2025003844</v>
      </c>
      <c r="C372" t="s">
        <v>457</v>
      </c>
      <c r="D372" s="5">
        <v>2000000</v>
      </c>
      <c r="E372" t="s">
        <v>458</v>
      </c>
      <c r="F372" t="s">
        <v>459</v>
      </c>
      <c r="G372" t="s">
        <v>106</v>
      </c>
      <c r="H372" s="6" t="s">
        <v>97</v>
      </c>
    </row>
    <row r="373" spans="1:8" x14ac:dyDescent="0.25">
      <c r="A373" s="3">
        <v>46011</v>
      </c>
      <c r="B373">
        <v>2025003845</v>
      </c>
      <c r="C373" t="s">
        <v>481</v>
      </c>
      <c r="D373" s="5">
        <v>3150000</v>
      </c>
      <c r="E373" t="s">
        <v>482</v>
      </c>
      <c r="F373" t="s">
        <v>483</v>
      </c>
      <c r="G373" t="s">
        <v>106</v>
      </c>
      <c r="H373" s="6" t="s">
        <v>97</v>
      </c>
    </row>
    <row r="374" spans="1:8" x14ac:dyDescent="0.25">
      <c r="A374" s="3">
        <v>46011</v>
      </c>
      <c r="B374">
        <v>2025003846</v>
      </c>
      <c r="C374" t="s">
        <v>554</v>
      </c>
      <c r="D374" s="5">
        <v>7800000</v>
      </c>
      <c r="E374" t="s">
        <v>555</v>
      </c>
      <c r="F374" t="s">
        <v>556</v>
      </c>
      <c r="G374" t="s">
        <v>106</v>
      </c>
      <c r="H374" s="6" t="s">
        <v>97</v>
      </c>
    </row>
    <row r="375" spans="1:8" x14ac:dyDescent="0.25">
      <c r="A375" s="3">
        <v>46011</v>
      </c>
      <c r="B375">
        <v>2025003847</v>
      </c>
      <c r="C375" t="s">
        <v>906</v>
      </c>
      <c r="D375" s="5">
        <v>6300000</v>
      </c>
      <c r="E375" t="s">
        <v>907</v>
      </c>
      <c r="F375" t="s">
        <v>90</v>
      </c>
      <c r="G375" t="s">
        <v>106</v>
      </c>
      <c r="H375" s="6" t="s">
        <v>97</v>
      </c>
    </row>
    <row r="376" spans="1:8" x14ac:dyDescent="0.25">
      <c r="A376" s="3">
        <v>46011</v>
      </c>
      <c r="B376">
        <v>2025003848</v>
      </c>
      <c r="C376" t="s">
        <v>253</v>
      </c>
      <c r="D376" s="5">
        <v>3150000</v>
      </c>
      <c r="E376" t="s">
        <v>508</v>
      </c>
      <c r="F376" t="s">
        <v>254</v>
      </c>
      <c r="G376" t="s">
        <v>106</v>
      </c>
      <c r="H376" s="6" t="s">
        <v>97</v>
      </c>
    </row>
    <row r="377" spans="1:8" x14ac:dyDescent="0.25">
      <c r="A377" s="3">
        <v>46011</v>
      </c>
      <c r="B377">
        <v>2025003849</v>
      </c>
      <c r="C377" t="s">
        <v>206</v>
      </c>
      <c r="D377" s="5">
        <v>4730000</v>
      </c>
      <c r="E377" t="s">
        <v>462</v>
      </c>
      <c r="F377" t="s">
        <v>207</v>
      </c>
      <c r="G377" t="s">
        <v>106</v>
      </c>
      <c r="H377" s="6" t="s">
        <v>97</v>
      </c>
    </row>
    <row r="378" spans="1:8" x14ac:dyDescent="0.25">
      <c r="A378" s="3">
        <v>46011</v>
      </c>
      <c r="B378">
        <v>2025003850</v>
      </c>
      <c r="C378" t="s">
        <v>305</v>
      </c>
      <c r="D378" s="5">
        <v>3150000</v>
      </c>
      <c r="E378" t="s">
        <v>431</v>
      </c>
      <c r="F378" t="s">
        <v>306</v>
      </c>
      <c r="G378" t="s">
        <v>106</v>
      </c>
      <c r="H378" s="6" t="s">
        <v>97</v>
      </c>
    </row>
    <row r="379" spans="1:8" x14ac:dyDescent="0.25">
      <c r="A379" s="3">
        <v>46011</v>
      </c>
      <c r="B379">
        <v>2025003851</v>
      </c>
      <c r="C379" t="s">
        <v>510</v>
      </c>
      <c r="D379" s="5">
        <v>3150000</v>
      </c>
      <c r="E379" t="s">
        <v>511</v>
      </c>
      <c r="F379" t="s">
        <v>512</v>
      </c>
      <c r="G379" t="s">
        <v>106</v>
      </c>
      <c r="H379" s="6" t="s">
        <v>97</v>
      </c>
    </row>
    <row r="380" spans="1:8" x14ac:dyDescent="0.25">
      <c r="A380" s="3">
        <v>46011</v>
      </c>
      <c r="B380">
        <v>2025003852</v>
      </c>
      <c r="C380" t="s">
        <v>242</v>
      </c>
      <c r="D380" s="5">
        <v>4730000</v>
      </c>
      <c r="E380" t="s">
        <v>394</v>
      </c>
      <c r="F380" t="s">
        <v>243</v>
      </c>
      <c r="G380" t="s">
        <v>106</v>
      </c>
      <c r="H380" s="6" t="s">
        <v>97</v>
      </c>
    </row>
    <row r="381" spans="1:8" x14ac:dyDescent="0.25">
      <c r="A381" s="3">
        <v>46011</v>
      </c>
      <c r="B381">
        <v>2025003853</v>
      </c>
      <c r="C381" t="s">
        <v>854</v>
      </c>
      <c r="D381" s="5">
        <v>3150000</v>
      </c>
      <c r="E381" t="s">
        <v>855</v>
      </c>
      <c r="F381" t="s">
        <v>16</v>
      </c>
      <c r="G381" t="s">
        <v>106</v>
      </c>
      <c r="H381" s="6" t="s">
        <v>97</v>
      </c>
    </row>
    <row r="382" spans="1:8" x14ac:dyDescent="0.25">
      <c r="A382" s="3">
        <v>46011</v>
      </c>
      <c r="B382">
        <v>2025003854</v>
      </c>
      <c r="C382" t="s">
        <v>635</v>
      </c>
      <c r="D382" s="5">
        <v>3150000</v>
      </c>
      <c r="E382" t="s">
        <v>636</v>
      </c>
      <c r="F382" t="s">
        <v>637</v>
      </c>
      <c r="G382" t="s">
        <v>106</v>
      </c>
      <c r="H382" s="6" t="s">
        <v>97</v>
      </c>
    </row>
    <row r="383" spans="1:8" x14ac:dyDescent="0.25">
      <c r="A383" s="3">
        <v>46011</v>
      </c>
      <c r="B383">
        <v>2025003855</v>
      </c>
      <c r="C383" t="s">
        <v>251</v>
      </c>
      <c r="D383" s="5">
        <v>3150000</v>
      </c>
      <c r="E383" t="s">
        <v>449</v>
      </c>
      <c r="F383" t="s">
        <v>252</v>
      </c>
      <c r="G383" t="s">
        <v>106</v>
      </c>
      <c r="H383" s="6" t="s">
        <v>97</v>
      </c>
    </row>
    <row r="384" spans="1:8" x14ac:dyDescent="0.25">
      <c r="A384" s="3">
        <v>46011</v>
      </c>
      <c r="B384">
        <v>2025003856</v>
      </c>
      <c r="C384" t="s">
        <v>111</v>
      </c>
      <c r="D384" s="5">
        <v>3150000</v>
      </c>
      <c r="E384" t="s">
        <v>409</v>
      </c>
      <c r="F384" t="s">
        <v>44</v>
      </c>
      <c r="G384" t="s">
        <v>106</v>
      </c>
      <c r="H384" s="6" t="s">
        <v>97</v>
      </c>
    </row>
    <row r="385" spans="1:8" x14ac:dyDescent="0.25">
      <c r="A385" s="3">
        <v>46011</v>
      </c>
      <c r="B385">
        <v>2025003858</v>
      </c>
      <c r="C385" t="s">
        <v>275</v>
      </c>
      <c r="D385" s="5">
        <v>4730000</v>
      </c>
      <c r="E385" t="s">
        <v>719</v>
      </c>
      <c r="F385" t="s">
        <v>276</v>
      </c>
      <c r="G385" t="s">
        <v>106</v>
      </c>
      <c r="H385" s="6" t="s">
        <v>97</v>
      </c>
    </row>
    <row r="386" spans="1:8" x14ac:dyDescent="0.25">
      <c r="A386" s="3">
        <v>46011</v>
      </c>
      <c r="B386">
        <v>2025003859</v>
      </c>
      <c r="C386" t="s">
        <v>399</v>
      </c>
      <c r="D386" s="5">
        <v>3150000</v>
      </c>
      <c r="E386" t="s">
        <v>400</v>
      </c>
      <c r="F386" t="s">
        <v>77</v>
      </c>
      <c r="G386" t="s">
        <v>106</v>
      </c>
      <c r="H386" s="6" t="s">
        <v>97</v>
      </c>
    </row>
    <row r="387" spans="1:8" x14ac:dyDescent="0.25">
      <c r="A387" s="3">
        <v>46011</v>
      </c>
      <c r="B387">
        <v>2025003860</v>
      </c>
      <c r="C387" t="s">
        <v>361</v>
      </c>
      <c r="D387" s="5">
        <v>4730000</v>
      </c>
      <c r="E387" t="s">
        <v>362</v>
      </c>
      <c r="F387" t="s">
        <v>363</v>
      </c>
      <c r="G387" t="s">
        <v>106</v>
      </c>
      <c r="H387" s="6" t="s">
        <v>97</v>
      </c>
    </row>
    <row r="388" spans="1:8" x14ac:dyDescent="0.25">
      <c r="A388" s="3">
        <v>46011</v>
      </c>
      <c r="B388">
        <v>2025003861</v>
      </c>
      <c r="C388" t="s">
        <v>495</v>
      </c>
      <c r="D388" s="5">
        <v>6300000</v>
      </c>
      <c r="E388" t="s">
        <v>496</v>
      </c>
      <c r="F388" t="s">
        <v>94</v>
      </c>
      <c r="G388" t="s">
        <v>106</v>
      </c>
      <c r="H388" s="6" t="s">
        <v>97</v>
      </c>
    </row>
    <row r="389" spans="1:8" x14ac:dyDescent="0.25">
      <c r="A389" s="3">
        <v>46011</v>
      </c>
      <c r="B389">
        <v>2025003862</v>
      </c>
      <c r="C389" t="s">
        <v>244</v>
      </c>
      <c r="D389" s="5">
        <v>3150000</v>
      </c>
      <c r="E389" t="s">
        <v>428</v>
      </c>
      <c r="F389" t="s">
        <v>86</v>
      </c>
      <c r="G389" t="s">
        <v>106</v>
      </c>
      <c r="H389" s="6" t="s">
        <v>97</v>
      </c>
    </row>
    <row r="390" spans="1:8" x14ac:dyDescent="0.25">
      <c r="A390" s="3">
        <v>46011</v>
      </c>
      <c r="B390">
        <v>2025003864</v>
      </c>
      <c r="C390" t="s">
        <v>226</v>
      </c>
      <c r="D390" s="5">
        <v>7800000</v>
      </c>
      <c r="E390" t="s">
        <v>437</v>
      </c>
      <c r="F390" t="s">
        <v>227</v>
      </c>
      <c r="G390" t="s">
        <v>106</v>
      </c>
      <c r="H390" s="6" t="s">
        <v>97</v>
      </c>
    </row>
    <row r="391" spans="1:8" x14ac:dyDescent="0.25">
      <c r="A391" s="3">
        <v>46011</v>
      </c>
      <c r="B391">
        <v>2025003865</v>
      </c>
      <c r="C391" t="s">
        <v>104</v>
      </c>
      <c r="D391" s="5">
        <v>3150000</v>
      </c>
      <c r="E391" t="s">
        <v>479</v>
      </c>
      <c r="F391" t="s">
        <v>105</v>
      </c>
      <c r="G391" t="s">
        <v>106</v>
      </c>
      <c r="H391" s="6" t="s">
        <v>97</v>
      </c>
    </row>
    <row r="392" spans="1:8" x14ac:dyDescent="0.25">
      <c r="A392" s="3">
        <v>46011</v>
      </c>
      <c r="B392">
        <v>2025003866</v>
      </c>
      <c r="C392" t="s">
        <v>193</v>
      </c>
      <c r="D392" s="5">
        <v>4730000</v>
      </c>
      <c r="E392" t="s">
        <v>380</v>
      </c>
      <c r="F392" t="s">
        <v>194</v>
      </c>
      <c r="G392" t="s">
        <v>106</v>
      </c>
      <c r="H392" s="6" t="s">
        <v>97</v>
      </c>
    </row>
    <row r="393" spans="1:8" x14ac:dyDescent="0.25">
      <c r="A393" s="3">
        <v>46011</v>
      </c>
      <c r="B393">
        <v>2025003867</v>
      </c>
      <c r="C393" t="s">
        <v>625</v>
      </c>
      <c r="D393" s="5">
        <v>2000000</v>
      </c>
      <c r="E393" t="s">
        <v>626</v>
      </c>
      <c r="F393" t="s">
        <v>627</v>
      </c>
      <c r="G393" t="s">
        <v>106</v>
      </c>
      <c r="H393" s="6" t="s">
        <v>97</v>
      </c>
    </row>
    <row r="394" spans="1:8" x14ac:dyDescent="0.25">
      <c r="A394" s="3">
        <v>46011</v>
      </c>
      <c r="B394">
        <v>2025003868</v>
      </c>
      <c r="C394" t="s">
        <v>399</v>
      </c>
      <c r="D394" s="5">
        <v>3150000</v>
      </c>
      <c r="E394" t="s">
        <v>400</v>
      </c>
      <c r="F394" t="s">
        <v>77</v>
      </c>
      <c r="G394" t="s">
        <v>106</v>
      </c>
      <c r="H394" s="6" t="s">
        <v>97</v>
      </c>
    </row>
    <row r="395" spans="1:8" x14ac:dyDescent="0.25">
      <c r="A395" s="3">
        <v>46011</v>
      </c>
      <c r="B395">
        <v>2025003869</v>
      </c>
      <c r="C395" t="s">
        <v>256</v>
      </c>
      <c r="D395" s="5">
        <v>4730000</v>
      </c>
      <c r="E395" t="s">
        <v>366</v>
      </c>
      <c r="F395" t="s">
        <v>257</v>
      </c>
      <c r="G395" t="s">
        <v>106</v>
      </c>
      <c r="H395" s="6" t="s">
        <v>97</v>
      </c>
    </row>
    <row r="396" spans="1:8" x14ac:dyDescent="0.25">
      <c r="A396" s="3">
        <v>46011</v>
      </c>
      <c r="B396">
        <v>2025003870</v>
      </c>
      <c r="C396" t="s">
        <v>497</v>
      </c>
      <c r="D396" s="5">
        <v>2000000</v>
      </c>
      <c r="E396" t="s">
        <v>498</v>
      </c>
      <c r="F396" t="s">
        <v>499</v>
      </c>
      <c r="G396" t="s">
        <v>106</v>
      </c>
      <c r="H396" s="6" t="s">
        <v>97</v>
      </c>
    </row>
    <row r="397" spans="1:8" x14ac:dyDescent="0.25">
      <c r="A397" s="3">
        <v>46011</v>
      </c>
      <c r="B397">
        <v>2025003871</v>
      </c>
      <c r="C397" t="s">
        <v>202</v>
      </c>
      <c r="D397" s="5">
        <v>7800000</v>
      </c>
      <c r="E397" t="s">
        <v>405</v>
      </c>
      <c r="F397" t="s">
        <v>61</v>
      </c>
      <c r="G397" t="s">
        <v>106</v>
      </c>
      <c r="H397" s="6" t="s">
        <v>97</v>
      </c>
    </row>
    <row r="398" spans="1:8" x14ac:dyDescent="0.25">
      <c r="A398" s="3">
        <v>46011</v>
      </c>
      <c r="B398">
        <v>2025003872</v>
      </c>
      <c r="C398" t="s">
        <v>323</v>
      </c>
      <c r="D398" s="5">
        <v>3150000</v>
      </c>
      <c r="E398" t="s">
        <v>436</v>
      </c>
      <c r="F398" t="s">
        <v>324</v>
      </c>
      <c r="G398" t="s">
        <v>106</v>
      </c>
      <c r="H398" s="6" t="s">
        <v>97</v>
      </c>
    </row>
    <row r="399" spans="1:8" x14ac:dyDescent="0.25">
      <c r="A399" s="3">
        <v>46011</v>
      </c>
      <c r="B399">
        <v>2025003873</v>
      </c>
      <c r="C399" t="s">
        <v>396</v>
      </c>
      <c r="D399" s="5">
        <v>2000000</v>
      </c>
      <c r="E399" t="s">
        <v>397</v>
      </c>
      <c r="F399" t="s">
        <v>398</v>
      </c>
      <c r="G399" t="s">
        <v>106</v>
      </c>
      <c r="H399" s="6" t="s">
        <v>97</v>
      </c>
    </row>
    <row r="400" spans="1:8" x14ac:dyDescent="0.25">
      <c r="A400" s="3">
        <v>46011</v>
      </c>
      <c r="B400">
        <v>2025003874</v>
      </c>
      <c r="C400" t="s">
        <v>748</v>
      </c>
      <c r="D400" s="5">
        <v>3150000</v>
      </c>
      <c r="E400" t="s">
        <v>749</v>
      </c>
      <c r="F400" t="s">
        <v>26</v>
      </c>
      <c r="G400" t="s">
        <v>106</v>
      </c>
      <c r="H400" s="6" t="s">
        <v>97</v>
      </c>
    </row>
    <row r="401" spans="1:8" x14ac:dyDescent="0.25">
      <c r="A401" s="3">
        <v>46011</v>
      </c>
      <c r="B401">
        <v>2025003875</v>
      </c>
      <c r="C401" t="s">
        <v>866</v>
      </c>
      <c r="D401" s="5">
        <v>7800000</v>
      </c>
      <c r="E401" t="s">
        <v>867</v>
      </c>
      <c r="F401" t="s">
        <v>868</v>
      </c>
      <c r="G401" t="s">
        <v>106</v>
      </c>
      <c r="H401" s="6" t="s">
        <v>97</v>
      </c>
    </row>
    <row r="402" spans="1:8" x14ac:dyDescent="0.25">
      <c r="A402" s="3">
        <v>46011</v>
      </c>
      <c r="B402">
        <v>2025003876</v>
      </c>
      <c r="C402" t="s">
        <v>451</v>
      </c>
      <c r="D402" s="5">
        <v>2000000</v>
      </c>
      <c r="E402" t="s">
        <v>452</v>
      </c>
      <c r="F402" t="s">
        <v>453</v>
      </c>
      <c r="G402" t="s">
        <v>106</v>
      </c>
      <c r="H402" s="6" t="s">
        <v>97</v>
      </c>
    </row>
    <row r="403" spans="1:8" x14ac:dyDescent="0.25">
      <c r="A403" s="3">
        <v>46011</v>
      </c>
      <c r="B403">
        <v>2025003878</v>
      </c>
      <c r="C403" t="s">
        <v>755</v>
      </c>
      <c r="D403" s="5">
        <v>2000000</v>
      </c>
      <c r="E403" t="s">
        <v>756</v>
      </c>
      <c r="F403" t="s">
        <v>757</v>
      </c>
      <c r="G403" t="s">
        <v>106</v>
      </c>
      <c r="H403" s="6" t="s">
        <v>97</v>
      </c>
    </row>
    <row r="404" spans="1:8" x14ac:dyDescent="0.25">
      <c r="A404" s="3">
        <v>46011</v>
      </c>
      <c r="B404">
        <v>2025003879</v>
      </c>
      <c r="C404" t="s">
        <v>122</v>
      </c>
      <c r="D404" s="5">
        <v>6300000</v>
      </c>
      <c r="E404" t="s">
        <v>438</v>
      </c>
      <c r="F404" t="s">
        <v>51</v>
      </c>
      <c r="G404" t="s">
        <v>106</v>
      </c>
      <c r="H404" s="6" t="s">
        <v>97</v>
      </c>
    </row>
    <row r="405" spans="1:8" x14ac:dyDescent="0.25">
      <c r="A405" s="3">
        <v>46011</v>
      </c>
      <c r="B405">
        <v>2025003880</v>
      </c>
      <c r="C405" t="s">
        <v>343</v>
      </c>
      <c r="D405" s="5">
        <v>3150000</v>
      </c>
      <c r="E405" t="s">
        <v>395</v>
      </c>
      <c r="F405" t="s">
        <v>344</v>
      </c>
      <c r="G405" t="s">
        <v>106</v>
      </c>
      <c r="H405" s="6" t="s">
        <v>97</v>
      </c>
    </row>
    <row r="406" spans="1:8" x14ac:dyDescent="0.25">
      <c r="A406" s="3">
        <v>46011</v>
      </c>
      <c r="B406">
        <v>2025003881</v>
      </c>
      <c r="C406" t="s">
        <v>208</v>
      </c>
      <c r="D406" s="5">
        <v>7800000</v>
      </c>
      <c r="E406" t="s">
        <v>383</v>
      </c>
      <c r="F406" t="s">
        <v>209</v>
      </c>
      <c r="G406" t="s">
        <v>106</v>
      </c>
      <c r="H406" s="6" t="s">
        <v>97</v>
      </c>
    </row>
    <row r="407" spans="1:8" x14ac:dyDescent="0.25">
      <c r="A407" s="3">
        <v>46011</v>
      </c>
      <c r="B407">
        <v>2025003882</v>
      </c>
      <c r="C407" t="s">
        <v>454</v>
      </c>
      <c r="D407" s="5">
        <v>2000000</v>
      </c>
      <c r="E407" t="s">
        <v>455</v>
      </c>
      <c r="F407" t="s">
        <v>456</v>
      </c>
      <c r="G407" t="s">
        <v>106</v>
      </c>
      <c r="H407" s="6" t="s">
        <v>97</v>
      </c>
    </row>
    <row r="408" spans="1:8" x14ac:dyDescent="0.25">
      <c r="A408" s="3">
        <v>46011</v>
      </c>
      <c r="B408">
        <v>2025003883</v>
      </c>
      <c r="C408" t="s">
        <v>319</v>
      </c>
      <c r="D408" s="5">
        <v>7800000</v>
      </c>
      <c r="E408" t="s">
        <v>393</v>
      </c>
      <c r="F408" t="s">
        <v>320</v>
      </c>
      <c r="G408" t="s">
        <v>106</v>
      </c>
      <c r="H408" s="6" t="s">
        <v>97</v>
      </c>
    </row>
    <row r="409" spans="1:8" x14ac:dyDescent="0.25">
      <c r="A409" s="3">
        <v>46011</v>
      </c>
      <c r="B409">
        <v>2025003884</v>
      </c>
      <c r="C409" t="s">
        <v>190</v>
      </c>
      <c r="D409" s="5">
        <v>6300000</v>
      </c>
      <c r="E409" t="s">
        <v>646</v>
      </c>
      <c r="F409" t="s">
        <v>191</v>
      </c>
      <c r="G409" t="s">
        <v>106</v>
      </c>
      <c r="H409" s="6" t="s">
        <v>97</v>
      </c>
    </row>
    <row r="410" spans="1:8" x14ac:dyDescent="0.25">
      <c r="A410" s="3">
        <v>46011</v>
      </c>
      <c r="B410">
        <v>2025003885</v>
      </c>
      <c r="C410" t="s">
        <v>216</v>
      </c>
      <c r="D410" s="5">
        <v>7800000</v>
      </c>
      <c r="E410" t="s">
        <v>480</v>
      </c>
      <c r="F410" t="s">
        <v>13</v>
      </c>
      <c r="G410" t="s">
        <v>106</v>
      </c>
      <c r="H410" s="6" t="s">
        <v>97</v>
      </c>
    </row>
    <row r="411" spans="1:8" x14ac:dyDescent="0.25">
      <c r="A411" s="3">
        <v>46011</v>
      </c>
      <c r="B411">
        <v>2025003886</v>
      </c>
      <c r="C411" t="s">
        <v>500</v>
      </c>
      <c r="D411" s="5">
        <v>2000000</v>
      </c>
      <c r="E411" t="s">
        <v>501</v>
      </c>
      <c r="F411" t="s">
        <v>502</v>
      </c>
      <c r="G411" t="s">
        <v>106</v>
      </c>
      <c r="H411" s="6" t="s">
        <v>97</v>
      </c>
    </row>
    <row r="412" spans="1:8" x14ac:dyDescent="0.25">
      <c r="A412" s="3">
        <v>46011</v>
      </c>
      <c r="B412">
        <v>2025003887</v>
      </c>
      <c r="C412" t="s">
        <v>632</v>
      </c>
      <c r="D412" s="5">
        <v>3150000</v>
      </c>
      <c r="E412" t="s">
        <v>633</v>
      </c>
      <c r="F412" t="s">
        <v>634</v>
      </c>
      <c r="G412" t="s">
        <v>106</v>
      </c>
      <c r="H412" s="6" t="s">
        <v>97</v>
      </c>
    </row>
    <row r="413" spans="1:8" x14ac:dyDescent="0.25">
      <c r="A413" s="3">
        <v>46011</v>
      </c>
      <c r="B413">
        <v>2025003889</v>
      </c>
      <c r="C413" t="s">
        <v>307</v>
      </c>
      <c r="D413" s="5">
        <v>4730000</v>
      </c>
      <c r="E413" t="s">
        <v>374</v>
      </c>
      <c r="F413" t="s">
        <v>308</v>
      </c>
      <c r="G413" t="s">
        <v>106</v>
      </c>
      <c r="H413" s="6" t="s">
        <v>97</v>
      </c>
    </row>
    <row r="414" spans="1:8" x14ac:dyDescent="0.25">
      <c r="A414" s="3">
        <v>46011</v>
      </c>
      <c r="B414">
        <v>2025003890</v>
      </c>
      <c r="C414" t="s">
        <v>234</v>
      </c>
      <c r="D414" s="5">
        <v>3150000</v>
      </c>
      <c r="E414" t="s">
        <v>412</v>
      </c>
      <c r="F414" t="s">
        <v>235</v>
      </c>
      <c r="G414" t="s">
        <v>106</v>
      </c>
      <c r="H414" s="6" t="s">
        <v>97</v>
      </c>
    </row>
    <row r="415" spans="1:8" x14ac:dyDescent="0.25">
      <c r="A415" s="3">
        <v>46011</v>
      </c>
      <c r="B415">
        <v>2025003892</v>
      </c>
      <c r="C415" t="s">
        <v>620</v>
      </c>
      <c r="D415" s="5">
        <v>7800000</v>
      </c>
      <c r="E415" t="s">
        <v>621</v>
      </c>
      <c r="F415" t="s">
        <v>622</v>
      </c>
      <c r="G415" t="s">
        <v>106</v>
      </c>
      <c r="H415" s="6" t="s">
        <v>97</v>
      </c>
    </row>
    <row r="416" spans="1:8" x14ac:dyDescent="0.25">
      <c r="A416" s="3">
        <v>46011</v>
      </c>
      <c r="B416">
        <v>2025003893</v>
      </c>
      <c r="C416" t="s">
        <v>315</v>
      </c>
      <c r="D416" s="5">
        <v>3150000</v>
      </c>
      <c r="E416" t="s">
        <v>407</v>
      </c>
      <c r="F416" t="s">
        <v>316</v>
      </c>
      <c r="G416" t="s">
        <v>106</v>
      </c>
      <c r="H416" s="6" t="s">
        <v>97</v>
      </c>
    </row>
    <row r="417" spans="1:8" x14ac:dyDescent="0.25">
      <c r="A417" s="3">
        <v>46011</v>
      </c>
      <c r="B417">
        <v>2025003895</v>
      </c>
      <c r="C417" t="s">
        <v>764</v>
      </c>
      <c r="D417" s="5">
        <v>3150000</v>
      </c>
      <c r="E417" t="s">
        <v>765</v>
      </c>
      <c r="F417" t="s">
        <v>766</v>
      </c>
      <c r="G417" t="s">
        <v>106</v>
      </c>
      <c r="H417" s="6" t="s">
        <v>97</v>
      </c>
    </row>
    <row r="418" spans="1:8" x14ac:dyDescent="0.25">
      <c r="A418" s="3">
        <v>46011</v>
      </c>
      <c r="B418">
        <v>2025003897</v>
      </c>
      <c r="C418" t="s">
        <v>557</v>
      </c>
      <c r="D418" s="5">
        <v>3150000</v>
      </c>
      <c r="E418" t="s">
        <v>558</v>
      </c>
      <c r="F418" t="s">
        <v>559</v>
      </c>
      <c r="G418" t="s">
        <v>106</v>
      </c>
      <c r="H418" s="6" t="s">
        <v>97</v>
      </c>
    </row>
    <row r="419" spans="1:8" x14ac:dyDescent="0.25">
      <c r="A419" s="3">
        <v>46011</v>
      </c>
      <c r="B419">
        <v>2025003899</v>
      </c>
      <c r="C419" t="s">
        <v>752</v>
      </c>
      <c r="D419" s="5">
        <v>2000000</v>
      </c>
      <c r="E419" t="s">
        <v>753</v>
      </c>
      <c r="F419" t="s">
        <v>754</v>
      </c>
      <c r="G419" t="s">
        <v>106</v>
      </c>
      <c r="H419" s="6" t="s">
        <v>97</v>
      </c>
    </row>
    <row r="420" spans="1:8" x14ac:dyDescent="0.25">
      <c r="A420" s="3">
        <v>46011</v>
      </c>
      <c r="B420">
        <v>2025003900</v>
      </c>
      <c r="C420" t="s">
        <v>473</v>
      </c>
      <c r="D420" s="5">
        <v>2000000</v>
      </c>
      <c r="E420" t="s">
        <v>474</v>
      </c>
      <c r="F420" t="s">
        <v>475</v>
      </c>
      <c r="G420" t="s">
        <v>106</v>
      </c>
      <c r="H420" s="6" t="s">
        <v>97</v>
      </c>
    </row>
    <row r="421" spans="1:8" x14ac:dyDescent="0.25">
      <c r="A421" s="3">
        <v>46011</v>
      </c>
      <c r="B421">
        <v>2025003901</v>
      </c>
      <c r="C421" t="s">
        <v>152</v>
      </c>
      <c r="D421" s="5">
        <v>3150000</v>
      </c>
      <c r="E421" t="s">
        <v>669</v>
      </c>
      <c r="F421" t="s">
        <v>101</v>
      </c>
      <c r="G421" t="s">
        <v>106</v>
      </c>
      <c r="H421" s="6" t="s">
        <v>97</v>
      </c>
    </row>
    <row r="422" spans="1:8" x14ac:dyDescent="0.25">
      <c r="A422" s="3">
        <v>46011</v>
      </c>
      <c r="B422">
        <v>2025003902</v>
      </c>
      <c r="C422" t="s">
        <v>560</v>
      </c>
      <c r="D422" s="5">
        <v>3150000</v>
      </c>
      <c r="E422" t="s">
        <v>561</v>
      </c>
      <c r="F422" t="s">
        <v>562</v>
      </c>
      <c r="G422" t="s">
        <v>106</v>
      </c>
      <c r="H422" s="6" t="s">
        <v>97</v>
      </c>
    </row>
    <row r="423" spans="1:8" x14ac:dyDescent="0.25">
      <c r="A423" s="3">
        <v>46011</v>
      </c>
      <c r="B423">
        <v>2025003903</v>
      </c>
      <c r="C423" t="s">
        <v>497</v>
      </c>
      <c r="D423" s="5">
        <v>2000000</v>
      </c>
      <c r="E423" t="s">
        <v>498</v>
      </c>
      <c r="F423" t="s">
        <v>499</v>
      </c>
      <c r="G423" t="s">
        <v>106</v>
      </c>
      <c r="H423" s="6" t="s">
        <v>97</v>
      </c>
    </row>
    <row r="424" spans="1:8" x14ac:dyDescent="0.25">
      <c r="A424" s="3">
        <v>46011</v>
      </c>
      <c r="B424">
        <v>2025003904</v>
      </c>
      <c r="C424" t="s">
        <v>269</v>
      </c>
      <c r="D424" s="5">
        <v>7800000</v>
      </c>
      <c r="E424" t="s">
        <v>519</v>
      </c>
      <c r="F424" t="s">
        <v>95</v>
      </c>
      <c r="G424" t="s">
        <v>106</v>
      </c>
      <c r="H424" s="6" t="s">
        <v>97</v>
      </c>
    </row>
    <row r="425" spans="1:8" x14ac:dyDescent="0.25">
      <c r="A425" s="3">
        <v>46011</v>
      </c>
      <c r="B425">
        <v>2025003906</v>
      </c>
      <c r="C425" t="s">
        <v>353</v>
      </c>
      <c r="D425" s="5">
        <v>4730000</v>
      </c>
      <c r="E425" t="s">
        <v>717</v>
      </c>
      <c r="F425" t="s">
        <v>354</v>
      </c>
      <c r="G425" t="s">
        <v>106</v>
      </c>
      <c r="H425" s="6" t="s">
        <v>97</v>
      </c>
    </row>
    <row r="426" spans="1:8" x14ac:dyDescent="0.25">
      <c r="A426" s="3">
        <v>46011</v>
      </c>
      <c r="B426">
        <v>2025003907</v>
      </c>
      <c r="C426" t="s">
        <v>911</v>
      </c>
      <c r="D426" s="5">
        <v>2000000</v>
      </c>
      <c r="E426" t="s">
        <v>912</v>
      </c>
      <c r="F426" t="s">
        <v>913</v>
      </c>
      <c r="G426" t="s">
        <v>106</v>
      </c>
      <c r="H426" s="6" t="s">
        <v>97</v>
      </c>
    </row>
    <row r="427" spans="1:8" x14ac:dyDescent="0.25">
      <c r="A427" s="3">
        <v>46011</v>
      </c>
      <c r="B427">
        <v>2025003910</v>
      </c>
      <c r="C427" t="s">
        <v>304</v>
      </c>
      <c r="D427" s="5">
        <v>3150000</v>
      </c>
      <c r="E427" t="s">
        <v>369</v>
      </c>
      <c r="F427" t="s">
        <v>12</v>
      </c>
      <c r="G427" t="s">
        <v>106</v>
      </c>
      <c r="H427" s="6" t="s">
        <v>97</v>
      </c>
    </row>
    <row r="428" spans="1:8" x14ac:dyDescent="0.25">
      <c r="A428" s="3">
        <v>46011</v>
      </c>
      <c r="B428">
        <v>2025003914</v>
      </c>
      <c r="C428" t="s">
        <v>144</v>
      </c>
      <c r="D428" s="5">
        <v>3150000</v>
      </c>
      <c r="E428" t="s">
        <v>384</v>
      </c>
      <c r="F428" t="s">
        <v>64</v>
      </c>
      <c r="G428" t="s">
        <v>106</v>
      </c>
      <c r="H428" s="6" t="s">
        <v>97</v>
      </c>
    </row>
    <row r="429" spans="1:8" x14ac:dyDescent="0.25">
      <c r="A429" s="3">
        <v>46011</v>
      </c>
      <c r="B429">
        <v>2025003917</v>
      </c>
      <c r="C429" t="s">
        <v>542</v>
      </c>
      <c r="D429" s="5">
        <v>2000000</v>
      </c>
      <c r="E429" t="s">
        <v>543</v>
      </c>
      <c r="F429" t="s">
        <v>544</v>
      </c>
      <c r="G429" t="s">
        <v>106</v>
      </c>
      <c r="H429" s="6" t="s">
        <v>97</v>
      </c>
    </row>
    <row r="430" spans="1:8" x14ac:dyDescent="0.25">
      <c r="A430" s="3">
        <v>46011</v>
      </c>
      <c r="B430">
        <v>2025003918</v>
      </c>
      <c r="C430" t="s">
        <v>464</v>
      </c>
      <c r="D430" s="5">
        <v>2000000</v>
      </c>
      <c r="E430" t="s">
        <v>465</v>
      </c>
      <c r="F430" t="s">
        <v>70</v>
      </c>
      <c r="G430" t="s">
        <v>106</v>
      </c>
      <c r="H430" s="6" t="s">
        <v>97</v>
      </c>
    </row>
    <row r="431" spans="1:8" x14ac:dyDescent="0.25">
      <c r="A431" s="3">
        <v>46011</v>
      </c>
      <c r="B431">
        <v>2025003919</v>
      </c>
      <c r="C431" t="s">
        <v>476</v>
      </c>
      <c r="D431" s="5">
        <v>3150000</v>
      </c>
      <c r="E431" t="s">
        <v>477</v>
      </c>
      <c r="F431" t="s">
        <v>478</v>
      </c>
      <c r="G431" t="s">
        <v>106</v>
      </c>
      <c r="H431" s="6" t="s">
        <v>97</v>
      </c>
    </row>
    <row r="432" spans="1:8" x14ac:dyDescent="0.25">
      <c r="A432" s="3">
        <v>46011</v>
      </c>
      <c r="B432">
        <v>2025003920</v>
      </c>
      <c r="C432" t="s">
        <v>116</v>
      </c>
      <c r="D432" s="5">
        <v>151250000</v>
      </c>
      <c r="E432" t="s">
        <v>364</v>
      </c>
      <c r="F432" t="s">
        <v>10</v>
      </c>
      <c r="G432" t="s">
        <v>106</v>
      </c>
      <c r="H432" s="6" t="s">
        <v>97</v>
      </c>
    </row>
    <row r="433" spans="1:8" x14ac:dyDescent="0.25">
      <c r="A433" s="3">
        <v>46011</v>
      </c>
      <c r="B433">
        <v>2025003921</v>
      </c>
      <c r="C433" t="s">
        <v>758</v>
      </c>
      <c r="D433" s="5">
        <v>3150000</v>
      </c>
      <c r="E433" t="s">
        <v>759</v>
      </c>
      <c r="F433" t="s">
        <v>760</v>
      </c>
      <c r="G433" t="s">
        <v>106</v>
      </c>
      <c r="H433" s="6" t="s">
        <v>97</v>
      </c>
    </row>
    <row r="434" spans="1:8" x14ac:dyDescent="0.25">
      <c r="A434" s="3">
        <v>46011</v>
      </c>
      <c r="B434">
        <v>2025003922</v>
      </c>
      <c r="C434" t="s">
        <v>745</v>
      </c>
      <c r="D434" s="5">
        <v>2000000</v>
      </c>
      <c r="E434" t="s">
        <v>746</v>
      </c>
      <c r="F434" t="s">
        <v>747</v>
      </c>
      <c r="G434" t="s">
        <v>106</v>
      </c>
      <c r="H434" s="6" t="s">
        <v>97</v>
      </c>
    </row>
    <row r="435" spans="1:8" x14ac:dyDescent="0.25">
      <c r="A435" s="3">
        <v>46011</v>
      </c>
      <c r="B435">
        <v>2025003924</v>
      </c>
      <c r="C435" t="s">
        <v>321</v>
      </c>
      <c r="D435" s="5">
        <v>6300000</v>
      </c>
      <c r="E435" t="s">
        <v>430</v>
      </c>
      <c r="F435" t="s">
        <v>322</v>
      </c>
      <c r="G435" t="s">
        <v>106</v>
      </c>
      <c r="H435" s="6" t="s">
        <v>97</v>
      </c>
    </row>
    <row r="436" spans="1:8" x14ac:dyDescent="0.25">
      <c r="A436" s="3">
        <v>46011</v>
      </c>
      <c r="B436">
        <v>2025003925</v>
      </c>
      <c r="C436" t="s">
        <v>607</v>
      </c>
      <c r="D436" s="5">
        <v>4730000</v>
      </c>
      <c r="E436" t="s">
        <v>608</v>
      </c>
      <c r="F436" t="s">
        <v>609</v>
      </c>
      <c r="G436" t="s">
        <v>106</v>
      </c>
      <c r="H436" s="6" t="s">
        <v>97</v>
      </c>
    </row>
    <row r="437" spans="1:8" x14ac:dyDescent="0.25">
      <c r="A437" s="3">
        <v>46011</v>
      </c>
      <c r="B437">
        <v>2025003927</v>
      </c>
      <c r="C437" t="s">
        <v>617</v>
      </c>
      <c r="D437" s="5">
        <v>3150000</v>
      </c>
      <c r="E437" t="s">
        <v>618</v>
      </c>
      <c r="F437" t="s">
        <v>619</v>
      </c>
      <c r="G437" t="s">
        <v>106</v>
      </c>
      <c r="H437" s="6" t="s">
        <v>97</v>
      </c>
    </row>
    <row r="438" spans="1:8" x14ac:dyDescent="0.25">
      <c r="A438" s="3">
        <v>46011</v>
      </c>
      <c r="B438">
        <v>2025003930</v>
      </c>
      <c r="C438" t="s">
        <v>647</v>
      </c>
      <c r="D438" s="5">
        <v>3150000</v>
      </c>
      <c r="E438" t="s">
        <v>648</v>
      </c>
      <c r="F438" t="s">
        <v>649</v>
      </c>
      <c r="G438" t="s">
        <v>106</v>
      </c>
      <c r="H438" s="6" t="s">
        <v>97</v>
      </c>
    </row>
    <row r="439" spans="1:8" x14ac:dyDescent="0.25">
      <c r="A439" s="3">
        <v>46011</v>
      </c>
      <c r="B439">
        <v>2025003931</v>
      </c>
      <c r="C439" t="s">
        <v>761</v>
      </c>
      <c r="D439" s="5">
        <v>6300000</v>
      </c>
      <c r="E439" t="s">
        <v>762</v>
      </c>
      <c r="F439" t="s">
        <v>763</v>
      </c>
      <c r="G439" t="s">
        <v>106</v>
      </c>
      <c r="H439" s="6" t="s">
        <v>97</v>
      </c>
    </row>
    <row r="440" spans="1:8" x14ac:dyDescent="0.25">
      <c r="A440" s="3">
        <v>46011</v>
      </c>
      <c r="B440">
        <v>2025003934</v>
      </c>
      <c r="C440" t="s">
        <v>154</v>
      </c>
      <c r="D440" s="5">
        <v>3150000</v>
      </c>
      <c r="E440" t="s">
        <v>470</v>
      </c>
      <c r="F440" t="s">
        <v>155</v>
      </c>
      <c r="G440" t="s">
        <v>106</v>
      </c>
      <c r="H440" s="6" t="s">
        <v>97</v>
      </c>
    </row>
    <row r="441" spans="1:8" x14ac:dyDescent="0.25">
      <c r="A441" s="3">
        <v>46011</v>
      </c>
      <c r="B441">
        <v>2025003938</v>
      </c>
      <c r="C441" t="s">
        <v>551</v>
      </c>
      <c r="D441" s="5">
        <v>7800000</v>
      </c>
      <c r="E441" t="s">
        <v>552</v>
      </c>
      <c r="F441" t="s">
        <v>553</v>
      </c>
      <c r="G441" t="s">
        <v>106</v>
      </c>
      <c r="H441" s="6" t="s">
        <v>97</v>
      </c>
    </row>
    <row r="442" spans="1:8" x14ac:dyDescent="0.25">
      <c r="A442" s="3">
        <v>46011</v>
      </c>
      <c r="B442">
        <v>2025003942</v>
      </c>
      <c r="C442" t="s">
        <v>114</v>
      </c>
      <c r="D442" s="5">
        <v>4730000</v>
      </c>
      <c r="E442" t="s">
        <v>450</v>
      </c>
      <c r="F442" t="s">
        <v>115</v>
      </c>
      <c r="G442" t="s">
        <v>106</v>
      </c>
      <c r="H442" s="6" t="s">
        <v>97</v>
      </c>
    </row>
    <row r="443" spans="1:8" x14ac:dyDescent="0.25">
      <c r="A443" s="3">
        <v>46011</v>
      </c>
      <c r="B443">
        <v>2025003945</v>
      </c>
      <c r="C443" t="s">
        <v>767</v>
      </c>
      <c r="D443" s="5">
        <v>7800000</v>
      </c>
      <c r="E443" t="s">
        <v>768</v>
      </c>
      <c r="F443" t="s">
        <v>769</v>
      </c>
      <c r="G443" t="s">
        <v>106</v>
      </c>
      <c r="H443" s="6" t="s">
        <v>97</v>
      </c>
    </row>
    <row r="444" spans="1:8" x14ac:dyDescent="0.25">
      <c r="A444" s="3">
        <v>46011</v>
      </c>
      <c r="B444">
        <v>2025003947</v>
      </c>
      <c r="C444" t="s">
        <v>750</v>
      </c>
      <c r="D444" s="5">
        <v>3150000</v>
      </c>
      <c r="E444" t="s">
        <v>751</v>
      </c>
      <c r="F444" t="s">
        <v>87</v>
      </c>
      <c r="G444" t="s">
        <v>106</v>
      </c>
      <c r="H444" s="6" t="s">
        <v>97</v>
      </c>
    </row>
    <row r="445" spans="1:8" x14ac:dyDescent="0.25">
      <c r="A445" s="3">
        <v>46011</v>
      </c>
      <c r="B445">
        <v>2025003949</v>
      </c>
      <c r="C445" t="s">
        <v>860</v>
      </c>
      <c r="D445" s="5">
        <v>7800000</v>
      </c>
      <c r="E445" t="s">
        <v>861</v>
      </c>
      <c r="F445" t="s">
        <v>862</v>
      </c>
      <c r="G445" t="s">
        <v>106</v>
      </c>
      <c r="H445" s="6" t="s">
        <v>97</v>
      </c>
    </row>
    <row r="446" spans="1:8" x14ac:dyDescent="0.25">
      <c r="A446" s="3">
        <v>46011</v>
      </c>
      <c r="B446">
        <v>2025003953</v>
      </c>
      <c r="C446" t="s">
        <v>153</v>
      </c>
      <c r="D446" s="5">
        <v>3150000</v>
      </c>
      <c r="E446" t="s">
        <v>472</v>
      </c>
      <c r="F446" t="s">
        <v>53</v>
      </c>
      <c r="G446" t="s">
        <v>106</v>
      </c>
      <c r="H446" s="6" t="s">
        <v>97</v>
      </c>
    </row>
    <row r="447" spans="1:8" x14ac:dyDescent="0.25">
      <c r="A447" s="3">
        <v>46011</v>
      </c>
      <c r="B447">
        <v>2025003956</v>
      </c>
      <c r="C447" t="s">
        <v>663</v>
      </c>
      <c r="D447" s="5">
        <v>3150000</v>
      </c>
      <c r="E447" t="s">
        <v>664</v>
      </c>
      <c r="F447" t="s">
        <v>665</v>
      </c>
      <c r="G447" t="s">
        <v>106</v>
      </c>
      <c r="H447" s="6" t="s">
        <v>97</v>
      </c>
    </row>
    <row r="448" spans="1:8" x14ac:dyDescent="0.25">
      <c r="A448" s="3">
        <v>46011</v>
      </c>
      <c r="B448">
        <v>2025003957</v>
      </c>
      <c r="C448" t="s">
        <v>467</v>
      </c>
      <c r="D448" s="5">
        <v>6300000</v>
      </c>
      <c r="E448" t="s">
        <v>468</v>
      </c>
      <c r="F448" t="s">
        <v>469</v>
      </c>
      <c r="G448" t="s">
        <v>106</v>
      </c>
      <c r="H448" s="6" t="s">
        <v>97</v>
      </c>
    </row>
    <row r="449" spans="1:8" x14ac:dyDescent="0.25">
      <c r="A449" s="3">
        <v>46011</v>
      </c>
      <c r="B449">
        <v>2025003959</v>
      </c>
      <c r="C449" t="s">
        <v>341</v>
      </c>
      <c r="D449" s="5">
        <v>7800000</v>
      </c>
      <c r="E449" t="s">
        <v>506</v>
      </c>
      <c r="F449" t="s">
        <v>342</v>
      </c>
      <c r="G449" t="s">
        <v>106</v>
      </c>
      <c r="H449" s="6" t="s">
        <v>97</v>
      </c>
    </row>
    <row r="450" spans="1:8" x14ac:dyDescent="0.25">
      <c r="A450" s="3">
        <v>46011</v>
      </c>
      <c r="B450">
        <v>2025003961</v>
      </c>
      <c r="C450" t="s">
        <v>218</v>
      </c>
      <c r="D450" s="5">
        <v>3150000</v>
      </c>
      <c r="E450" t="s">
        <v>387</v>
      </c>
      <c r="F450" t="s">
        <v>219</v>
      </c>
      <c r="G450" t="s">
        <v>106</v>
      </c>
      <c r="H450" s="6" t="s">
        <v>97</v>
      </c>
    </row>
    <row r="451" spans="1:8" x14ac:dyDescent="0.25">
      <c r="A451" s="3">
        <v>46011</v>
      </c>
      <c r="B451">
        <v>2025003963</v>
      </c>
      <c r="C451" t="s">
        <v>145</v>
      </c>
      <c r="D451" s="5">
        <v>3150000</v>
      </c>
      <c r="E451" t="s">
        <v>466</v>
      </c>
      <c r="F451" t="s">
        <v>146</v>
      </c>
      <c r="G451" t="s">
        <v>106</v>
      </c>
      <c r="H451" s="6" t="s">
        <v>97</v>
      </c>
    </row>
    <row r="452" spans="1:8" x14ac:dyDescent="0.25">
      <c r="A452" s="3">
        <v>46011</v>
      </c>
      <c r="B452">
        <v>2025003964</v>
      </c>
      <c r="C452" t="s">
        <v>231</v>
      </c>
      <c r="D452" s="5">
        <v>3150000</v>
      </c>
      <c r="E452" t="s">
        <v>507</v>
      </c>
      <c r="F452" t="s">
        <v>232</v>
      </c>
      <c r="G452" t="s">
        <v>106</v>
      </c>
      <c r="H452" s="6" t="s">
        <v>97</v>
      </c>
    </row>
    <row r="453" spans="1:8" x14ac:dyDescent="0.25">
      <c r="A453" s="3">
        <v>46013</v>
      </c>
      <c r="B453">
        <v>2025003966</v>
      </c>
      <c r="C453" t="s">
        <v>683</v>
      </c>
      <c r="D453" s="5">
        <v>3150000</v>
      </c>
      <c r="E453" t="s">
        <v>684</v>
      </c>
      <c r="F453" t="s">
        <v>31</v>
      </c>
      <c r="G453" t="s">
        <v>106</v>
      </c>
      <c r="H453" s="6" t="s">
        <v>97</v>
      </c>
    </row>
    <row r="454" spans="1:8" x14ac:dyDescent="0.25">
      <c r="A454" s="3">
        <v>46013</v>
      </c>
      <c r="B454">
        <v>2025003967</v>
      </c>
      <c r="C454" t="s">
        <v>707</v>
      </c>
      <c r="D454" s="5">
        <v>2000000</v>
      </c>
      <c r="E454" t="s">
        <v>708</v>
      </c>
      <c r="F454" t="s">
        <v>66</v>
      </c>
      <c r="G454" t="s">
        <v>106</v>
      </c>
      <c r="H454" s="6" t="s">
        <v>97</v>
      </c>
    </row>
    <row r="455" spans="1:8" x14ac:dyDescent="0.25">
      <c r="A455" s="3">
        <v>46013</v>
      </c>
      <c r="B455">
        <v>2025003969</v>
      </c>
      <c r="C455" t="s">
        <v>845</v>
      </c>
      <c r="D455" s="5">
        <v>3150000</v>
      </c>
      <c r="E455" t="s">
        <v>846</v>
      </c>
      <c r="F455" t="s">
        <v>847</v>
      </c>
      <c r="G455" t="s">
        <v>106</v>
      </c>
      <c r="H455" s="6" t="s">
        <v>97</v>
      </c>
    </row>
    <row r="456" spans="1:8" x14ac:dyDescent="0.25">
      <c r="A456" s="3">
        <v>46013</v>
      </c>
      <c r="B456">
        <v>2025003970</v>
      </c>
      <c r="C456" t="s">
        <v>165</v>
      </c>
      <c r="D456" s="5">
        <v>7800000</v>
      </c>
      <c r="E456" t="s">
        <v>440</v>
      </c>
      <c r="F456" t="s">
        <v>166</v>
      </c>
      <c r="G456" t="s">
        <v>106</v>
      </c>
      <c r="H456" s="6" t="s">
        <v>97</v>
      </c>
    </row>
    <row r="457" spans="1:8" x14ac:dyDescent="0.25">
      <c r="A457" s="3">
        <v>46013</v>
      </c>
      <c r="B457">
        <v>2025003973</v>
      </c>
      <c r="C457" t="s">
        <v>349</v>
      </c>
      <c r="D457" s="5">
        <v>3150000</v>
      </c>
      <c r="E457" t="s">
        <v>676</v>
      </c>
      <c r="F457" t="s">
        <v>350</v>
      </c>
      <c r="G457" t="s">
        <v>106</v>
      </c>
      <c r="H457" s="6" t="s">
        <v>97</v>
      </c>
    </row>
    <row r="458" spans="1:8" x14ac:dyDescent="0.25">
      <c r="A458" s="3">
        <v>46013</v>
      </c>
      <c r="B458">
        <v>2025003980</v>
      </c>
      <c r="C458" t="s">
        <v>197</v>
      </c>
      <c r="D458" s="5">
        <v>4730000</v>
      </c>
      <c r="E458" t="s">
        <v>389</v>
      </c>
      <c r="F458" t="s">
        <v>36</v>
      </c>
      <c r="G458" t="s">
        <v>106</v>
      </c>
      <c r="H458" s="6" t="s">
        <v>97</v>
      </c>
    </row>
    <row r="459" spans="1:8" x14ac:dyDescent="0.25">
      <c r="A459" s="3">
        <v>46013</v>
      </c>
      <c r="B459">
        <v>2025003981</v>
      </c>
      <c r="C459" t="s">
        <v>212</v>
      </c>
      <c r="D459" s="5">
        <v>3150000</v>
      </c>
      <c r="E459" t="s">
        <v>368</v>
      </c>
      <c r="F459" t="s">
        <v>48</v>
      </c>
      <c r="G459" t="s">
        <v>106</v>
      </c>
      <c r="H459" s="6" t="s">
        <v>97</v>
      </c>
    </row>
    <row r="460" spans="1:8" x14ac:dyDescent="0.25">
      <c r="A460" s="3">
        <v>46013</v>
      </c>
      <c r="B460">
        <v>2025003983</v>
      </c>
      <c r="C460" t="s">
        <v>242</v>
      </c>
      <c r="D460" s="5">
        <v>4730000</v>
      </c>
      <c r="E460" t="s">
        <v>394</v>
      </c>
      <c r="F460" t="s">
        <v>243</v>
      </c>
      <c r="G460" t="s">
        <v>106</v>
      </c>
      <c r="H460" s="6" t="s">
        <v>97</v>
      </c>
    </row>
    <row r="461" spans="1:8" x14ac:dyDescent="0.25">
      <c r="A461" s="3">
        <v>46013</v>
      </c>
      <c r="B461">
        <v>2025003985</v>
      </c>
      <c r="C461" t="s">
        <v>238</v>
      </c>
      <c r="D461" s="5">
        <v>3150000</v>
      </c>
      <c r="E461" t="s">
        <v>429</v>
      </c>
      <c r="F461" t="s">
        <v>239</v>
      </c>
      <c r="G461" t="s">
        <v>106</v>
      </c>
      <c r="H461" s="6" t="s">
        <v>97</v>
      </c>
    </row>
    <row r="462" spans="1:8" x14ac:dyDescent="0.25">
      <c r="A462" s="3">
        <v>46013</v>
      </c>
      <c r="B462">
        <v>2025003988</v>
      </c>
      <c r="C462" t="s">
        <v>112</v>
      </c>
      <c r="D462" s="5">
        <v>3150000</v>
      </c>
      <c r="E462" t="s">
        <v>386</v>
      </c>
      <c r="F462" t="s">
        <v>55</v>
      </c>
      <c r="G462" t="s">
        <v>106</v>
      </c>
      <c r="H462" s="6" t="s">
        <v>97</v>
      </c>
    </row>
    <row r="463" spans="1:8" x14ac:dyDescent="0.25">
      <c r="A463" s="3">
        <v>46013</v>
      </c>
      <c r="B463">
        <v>2025003989</v>
      </c>
      <c r="C463" t="s">
        <v>313</v>
      </c>
      <c r="D463" s="5">
        <v>3150000</v>
      </c>
      <c r="E463" t="s">
        <v>373</v>
      </c>
      <c r="F463" t="s">
        <v>314</v>
      </c>
      <c r="G463" t="s">
        <v>106</v>
      </c>
      <c r="H463" s="6" t="s">
        <v>97</v>
      </c>
    </row>
    <row r="464" spans="1:8" x14ac:dyDescent="0.25">
      <c r="A464" s="3">
        <v>46013</v>
      </c>
      <c r="B464">
        <v>2025003993</v>
      </c>
      <c r="C464" t="s">
        <v>726</v>
      </c>
      <c r="D464" s="5">
        <v>6300000</v>
      </c>
      <c r="E464" t="s">
        <v>727</v>
      </c>
      <c r="F464" t="s">
        <v>728</v>
      </c>
      <c r="G464" t="s">
        <v>106</v>
      </c>
      <c r="H464" s="6" t="s">
        <v>97</v>
      </c>
    </row>
    <row r="465" spans="1:8" x14ac:dyDescent="0.25">
      <c r="A465" s="3">
        <v>46013</v>
      </c>
      <c r="B465">
        <v>2025003994</v>
      </c>
      <c r="C465" t="s">
        <v>286</v>
      </c>
      <c r="D465" s="5">
        <v>6300000</v>
      </c>
      <c r="E465" t="s">
        <v>738</v>
      </c>
      <c r="F465" t="s">
        <v>287</v>
      </c>
      <c r="G465" t="s">
        <v>106</v>
      </c>
      <c r="H465" s="6" t="s">
        <v>97</v>
      </c>
    </row>
    <row r="466" spans="1:8" x14ac:dyDescent="0.25">
      <c r="A466" s="3">
        <v>46013</v>
      </c>
      <c r="B466">
        <v>2025003995</v>
      </c>
      <c r="C466" t="s">
        <v>840</v>
      </c>
      <c r="D466" s="5">
        <v>3150000</v>
      </c>
      <c r="E466" t="s">
        <v>841</v>
      </c>
      <c r="F466" t="s">
        <v>842</v>
      </c>
      <c r="G466" t="s">
        <v>106</v>
      </c>
      <c r="H466" s="6" t="s">
        <v>97</v>
      </c>
    </row>
    <row r="467" spans="1:8" x14ac:dyDescent="0.25">
      <c r="A467" s="3">
        <v>46013</v>
      </c>
      <c r="B467">
        <v>2025003996</v>
      </c>
      <c r="C467" t="s">
        <v>914</v>
      </c>
      <c r="D467" s="5">
        <v>3150000</v>
      </c>
      <c r="E467" t="s">
        <v>915</v>
      </c>
      <c r="F467" t="s">
        <v>50</v>
      </c>
      <c r="G467" t="s">
        <v>106</v>
      </c>
      <c r="H467" s="6" t="s">
        <v>97</v>
      </c>
    </row>
    <row r="468" spans="1:8" x14ac:dyDescent="0.25">
      <c r="A468" s="3">
        <v>46013</v>
      </c>
      <c r="B468">
        <v>2025003998</v>
      </c>
      <c r="C468" t="s">
        <v>720</v>
      </c>
      <c r="D468" s="5">
        <v>4730000</v>
      </c>
      <c r="E468" t="s">
        <v>721</v>
      </c>
      <c r="F468" t="s">
        <v>722</v>
      </c>
      <c r="G468" t="s">
        <v>106</v>
      </c>
      <c r="H468" s="6" t="s">
        <v>97</v>
      </c>
    </row>
    <row r="469" spans="1:8" x14ac:dyDescent="0.25">
      <c r="A469" s="3">
        <v>46013</v>
      </c>
      <c r="B469">
        <v>2025003999</v>
      </c>
      <c r="C469" t="s">
        <v>705</v>
      </c>
      <c r="D469" s="5">
        <v>6300000</v>
      </c>
      <c r="E469" t="s">
        <v>706</v>
      </c>
      <c r="F469" t="s">
        <v>81</v>
      </c>
      <c r="G469" t="s">
        <v>106</v>
      </c>
      <c r="H469" s="6" t="s">
        <v>97</v>
      </c>
    </row>
    <row r="470" spans="1:8" x14ac:dyDescent="0.25">
      <c r="A470" s="3">
        <v>46013</v>
      </c>
      <c r="B470">
        <v>2025004002</v>
      </c>
      <c r="C470" t="s">
        <v>273</v>
      </c>
      <c r="D470" s="5">
        <v>7800000</v>
      </c>
      <c r="E470" t="s">
        <v>595</v>
      </c>
      <c r="F470" t="s">
        <v>274</v>
      </c>
      <c r="G470" t="s">
        <v>106</v>
      </c>
      <c r="H470" s="6" t="s">
        <v>97</v>
      </c>
    </row>
    <row r="471" spans="1:8" x14ac:dyDescent="0.25">
      <c r="A471" s="3">
        <v>46013</v>
      </c>
      <c r="B471">
        <v>2025004004</v>
      </c>
      <c r="C471" t="s">
        <v>900</v>
      </c>
      <c r="D471" s="5">
        <v>4730000</v>
      </c>
      <c r="E471" t="s">
        <v>901</v>
      </c>
      <c r="F471" t="s">
        <v>902</v>
      </c>
      <c r="G471" t="s">
        <v>106</v>
      </c>
      <c r="H471" s="6" t="s">
        <v>97</v>
      </c>
    </row>
    <row r="472" spans="1:8" x14ac:dyDescent="0.25">
      <c r="A472" s="3">
        <v>46013</v>
      </c>
      <c r="B472">
        <v>2025004008</v>
      </c>
      <c r="C472" t="s">
        <v>723</v>
      </c>
      <c r="D472" s="5">
        <v>4730000</v>
      </c>
      <c r="E472" t="s">
        <v>724</v>
      </c>
      <c r="F472" t="s">
        <v>725</v>
      </c>
      <c r="G472" t="s">
        <v>106</v>
      </c>
      <c r="H472" s="6" t="s">
        <v>97</v>
      </c>
    </row>
    <row r="473" spans="1:8" x14ac:dyDescent="0.25">
      <c r="A473" s="3">
        <v>46013</v>
      </c>
      <c r="B473">
        <v>2025004016</v>
      </c>
      <c r="C473" t="s">
        <v>157</v>
      </c>
      <c r="D473" s="5">
        <v>6300000</v>
      </c>
      <c r="E473" t="s">
        <v>596</v>
      </c>
      <c r="F473" t="s">
        <v>82</v>
      </c>
      <c r="G473" t="s">
        <v>106</v>
      </c>
      <c r="H473" s="6" t="s">
        <v>97</v>
      </c>
    </row>
    <row r="474" spans="1:8" x14ac:dyDescent="0.25">
      <c r="A474" s="3">
        <v>46013</v>
      </c>
      <c r="B474">
        <v>2025004018</v>
      </c>
      <c r="C474" t="s">
        <v>872</v>
      </c>
      <c r="D474" s="5">
        <v>2000000</v>
      </c>
      <c r="E474" t="s">
        <v>873</v>
      </c>
      <c r="F474" t="s">
        <v>874</v>
      </c>
      <c r="G474" t="s">
        <v>106</v>
      </c>
      <c r="H474" s="6" t="s">
        <v>97</v>
      </c>
    </row>
    <row r="475" spans="1:8" x14ac:dyDescent="0.25">
      <c r="A475" s="3">
        <v>46013</v>
      </c>
      <c r="B475">
        <v>2025004019</v>
      </c>
      <c r="C475" t="s">
        <v>159</v>
      </c>
      <c r="D475" s="5">
        <v>7800000</v>
      </c>
      <c r="E475" t="s">
        <v>418</v>
      </c>
      <c r="F475" t="s">
        <v>160</v>
      </c>
      <c r="G475" t="s">
        <v>106</v>
      </c>
      <c r="H475" s="6" t="s">
        <v>97</v>
      </c>
    </row>
    <row r="476" spans="1:8" x14ac:dyDescent="0.25">
      <c r="A476" s="3">
        <v>46013</v>
      </c>
      <c r="B476">
        <v>2025004023</v>
      </c>
      <c r="C476" t="s">
        <v>916</v>
      </c>
      <c r="D476" s="5">
        <v>3150000</v>
      </c>
      <c r="E476" t="s">
        <v>917</v>
      </c>
      <c r="F476" t="s">
        <v>93</v>
      </c>
      <c r="G476" t="s">
        <v>106</v>
      </c>
      <c r="H476" s="6" t="s">
        <v>97</v>
      </c>
    </row>
    <row r="477" spans="1:8" x14ac:dyDescent="0.25">
      <c r="A477" s="3">
        <v>46013</v>
      </c>
      <c r="B477">
        <v>2025004026</v>
      </c>
      <c r="C477" t="s">
        <v>355</v>
      </c>
      <c r="D477" s="5">
        <v>3150000</v>
      </c>
      <c r="E477" t="s">
        <v>599</v>
      </c>
      <c r="F477" t="s">
        <v>356</v>
      </c>
      <c r="G477" t="s">
        <v>106</v>
      </c>
      <c r="H477" s="6" t="s">
        <v>97</v>
      </c>
    </row>
    <row r="478" spans="1:8" x14ac:dyDescent="0.25">
      <c r="A478" s="3">
        <v>46013</v>
      </c>
      <c r="B478">
        <v>2025004033</v>
      </c>
      <c r="C478" t="s">
        <v>897</v>
      </c>
      <c r="D478" s="5">
        <v>2000000</v>
      </c>
      <c r="E478" t="s">
        <v>898</v>
      </c>
      <c r="F478" t="s">
        <v>899</v>
      </c>
      <c r="G478" t="s">
        <v>106</v>
      </c>
      <c r="H478" s="6" t="s">
        <v>97</v>
      </c>
    </row>
    <row r="479" spans="1:8" x14ac:dyDescent="0.25">
      <c r="A479" s="3">
        <v>46013</v>
      </c>
      <c r="B479">
        <v>2025004034</v>
      </c>
      <c r="C479" t="s">
        <v>270</v>
      </c>
      <c r="D479" s="5">
        <v>6300000</v>
      </c>
      <c r="E479" t="s">
        <v>417</v>
      </c>
      <c r="F479" t="s">
        <v>56</v>
      </c>
      <c r="G479" t="s">
        <v>106</v>
      </c>
      <c r="H479" s="6" t="s">
        <v>97</v>
      </c>
    </row>
    <row r="480" spans="1:8" x14ac:dyDescent="0.25">
      <c r="A480" s="3">
        <v>46013</v>
      </c>
      <c r="B480">
        <v>2025004035</v>
      </c>
      <c r="C480" t="s">
        <v>732</v>
      </c>
      <c r="D480" s="5">
        <v>7800000</v>
      </c>
      <c r="E480" t="s">
        <v>733</v>
      </c>
      <c r="F480" t="s">
        <v>734</v>
      </c>
      <c r="G480" t="s">
        <v>106</v>
      </c>
      <c r="H480" s="6" t="s">
        <v>97</v>
      </c>
    </row>
    <row r="481" spans="1:8" x14ac:dyDescent="0.25">
      <c r="A481" s="3">
        <v>46013</v>
      </c>
      <c r="B481">
        <v>2025004037</v>
      </c>
      <c r="C481" t="s">
        <v>292</v>
      </c>
      <c r="D481" s="5">
        <v>4730000</v>
      </c>
      <c r="E481" t="s">
        <v>601</v>
      </c>
      <c r="F481" t="s">
        <v>28</v>
      </c>
      <c r="G481" t="s">
        <v>106</v>
      </c>
      <c r="H481" s="6" t="s">
        <v>97</v>
      </c>
    </row>
    <row r="482" spans="1:8" x14ac:dyDescent="0.25">
      <c r="A482" s="3">
        <v>46013</v>
      </c>
      <c r="B482">
        <v>2025004039</v>
      </c>
      <c r="C482" t="s">
        <v>673</v>
      </c>
      <c r="D482" s="5">
        <v>4730000</v>
      </c>
      <c r="E482" t="s">
        <v>674</v>
      </c>
      <c r="F482" t="s">
        <v>675</v>
      </c>
      <c r="G482" t="s">
        <v>106</v>
      </c>
      <c r="H482" s="6" t="s">
        <v>97</v>
      </c>
    </row>
    <row r="483" spans="1:8" x14ac:dyDescent="0.25">
      <c r="A483" s="3">
        <v>46013</v>
      </c>
      <c r="B483">
        <v>2025004041</v>
      </c>
      <c r="C483" t="s">
        <v>670</v>
      </c>
      <c r="D483" s="5">
        <v>3150000</v>
      </c>
      <c r="E483" t="s">
        <v>671</v>
      </c>
      <c r="F483" t="s">
        <v>672</v>
      </c>
      <c r="G483" t="s">
        <v>106</v>
      </c>
      <c r="H483" s="6" t="s">
        <v>97</v>
      </c>
    </row>
    <row r="484" spans="1:8" x14ac:dyDescent="0.25">
      <c r="A484" s="3">
        <v>46013</v>
      </c>
      <c r="B484">
        <v>2025004042</v>
      </c>
      <c r="C484" t="s">
        <v>685</v>
      </c>
      <c r="D484" s="5">
        <v>2000000</v>
      </c>
      <c r="E484" t="s">
        <v>686</v>
      </c>
      <c r="F484" t="s">
        <v>687</v>
      </c>
      <c r="G484" t="s">
        <v>106</v>
      </c>
      <c r="H484" s="6" t="s">
        <v>97</v>
      </c>
    </row>
    <row r="485" spans="1:8" x14ac:dyDescent="0.25">
      <c r="A485" s="3">
        <v>46013</v>
      </c>
      <c r="B485">
        <v>2025004046</v>
      </c>
      <c r="C485" t="s">
        <v>180</v>
      </c>
      <c r="D485" s="5">
        <v>4730000</v>
      </c>
      <c r="E485" t="s">
        <v>487</v>
      </c>
      <c r="F485" t="s">
        <v>181</v>
      </c>
      <c r="G485" t="s">
        <v>106</v>
      </c>
      <c r="H485" s="6" t="s">
        <v>97</v>
      </c>
    </row>
    <row r="486" spans="1:8" x14ac:dyDescent="0.25">
      <c r="A486" s="3">
        <v>46013</v>
      </c>
      <c r="B486">
        <v>2025004047</v>
      </c>
      <c r="C486" t="s">
        <v>277</v>
      </c>
      <c r="D486" s="5">
        <v>4730000</v>
      </c>
      <c r="E486" t="s">
        <v>494</v>
      </c>
      <c r="F486" t="s">
        <v>278</v>
      </c>
      <c r="G486" t="s">
        <v>106</v>
      </c>
      <c r="H486" s="6" t="s">
        <v>97</v>
      </c>
    </row>
    <row r="487" spans="1:8" x14ac:dyDescent="0.25">
      <c r="A487" s="3">
        <v>46013</v>
      </c>
      <c r="B487">
        <v>2025004048</v>
      </c>
      <c r="C487" t="s">
        <v>279</v>
      </c>
      <c r="D487" s="5">
        <v>7800000</v>
      </c>
      <c r="E487" t="s">
        <v>419</v>
      </c>
      <c r="F487" t="s">
        <v>280</v>
      </c>
      <c r="G487" t="s">
        <v>106</v>
      </c>
      <c r="H487" s="6" t="s">
        <v>97</v>
      </c>
    </row>
    <row r="488" spans="1:8" x14ac:dyDescent="0.25">
      <c r="A488" s="3">
        <v>46013</v>
      </c>
      <c r="B488">
        <v>2025004050</v>
      </c>
      <c r="C488" t="s">
        <v>182</v>
      </c>
      <c r="D488" s="5">
        <v>7800000</v>
      </c>
      <c r="E488" t="s">
        <v>598</v>
      </c>
      <c r="F488" t="s">
        <v>183</v>
      </c>
      <c r="G488" t="s">
        <v>106</v>
      </c>
      <c r="H488" s="6" t="s">
        <v>97</v>
      </c>
    </row>
    <row r="489" spans="1:8" x14ac:dyDescent="0.25">
      <c r="A489" s="3">
        <v>46013</v>
      </c>
      <c r="B489">
        <v>2025004051</v>
      </c>
      <c r="C489" t="s">
        <v>167</v>
      </c>
      <c r="D489" s="5">
        <v>6300000</v>
      </c>
      <c r="E489" t="s">
        <v>594</v>
      </c>
      <c r="F489" t="s">
        <v>168</v>
      </c>
      <c r="G489" t="s">
        <v>106</v>
      </c>
      <c r="H489" s="6" t="s">
        <v>97</v>
      </c>
    </row>
    <row r="490" spans="1:8" x14ac:dyDescent="0.25">
      <c r="A490" s="3">
        <v>46013</v>
      </c>
      <c r="B490">
        <v>2025004056</v>
      </c>
      <c r="C490" t="s">
        <v>351</v>
      </c>
      <c r="D490" s="5">
        <v>3150000</v>
      </c>
      <c r="E490" t="s">
        <v>602</v>
      </c>
      <c r="F490" t="s">
        <v>352</v>
      </c>
      <c r="G490" t="s">
        <v>106</v>
      </c>
      <c r="H490" s="6" t="s">
        <v>97</v>
      </c>
    </row>
    <row r="491" spans="1:8" x14ac:dyDescent="0.25">
      <c r="A491" s="3">
        <v>46013</v>
      </c>
      <c r="B491">
        <v>2025004059</v>
      </c>
      <c r="C491" t="s">
        <v>735</v>
      </c>
      <c r="D491" s="5">
        <v>4730000</v>
      </c>
      <c r="E491" t="s">
        <v>736</v>
      </c>
      <c r="F491" t="s">
        <v>737</v>
      </c>
      <c r="G491" t="s">
        <v>106</v>
      </c>
      <c r="H491" s="6" t="s">
        <v>97</v>
      </c>
    </row>
    <row r="492" spans="1:8" x14ac:dyDescent="0.25">
      <c r="A492" s="3">
        <v>46013</v>
      </c>
      <c r="B492">
        <v>2025004060</v>
      </c>
      <c r="C492" t="s">
        <v>702</v>
      </c>
      <c r="D492" s="5">
        <v>4730000</v>
      </c>
      <c r="E492" t="s">
        <v>703</v>
      </c>
      <c r="F492" t="s">
        <v>704</v>
      </c>
      <c r="G492" t="s">
        <v>106</v>
      </c>
      <c r="H492" s="6" t="s">
        <v>97</v>
      </c>
    </row>
    <row r="493" spans="1:8" x14ac:dyDescent="0.25">
      <c r="A493" s="3">
        <v>46013</v>
      </c>
      <c r="B493">
        <v>2025004061</v>
      </c>
      <c r="C493" t="s">
        <v>883</v>
      </c>
      <c r="D493" s="5">
        <v>3150000</v>
      </c>
      <c r="E493" t="s">
        <v>884</v>
      </c>
      <c r="F493" t="s">
        <v>885</v>
      </c>
      <c r="G493" t="s">
        <v>106</v>
      </c>
      <c r="H493" s="6" t="s">
        <v>97</v>
      </c>
    </row>
    <row r="494" spans="1:8" x14ac:dyDescent="0.25">
      <c r="A494" s="3">
        <v>46013</v>
      </c>
      <c r="B494">
        <v>2025004062</v>
      </c>
      <c r="C494" t="s">
        <v>161</v>
      </c>
      <c r="D494" s="5">
        <v>7800000</v>
      </c>
      <c r="E494" t="s">
        <v>441</v>
      </c>
      <c r="F494" t="s">
        <v>162</v>
      </c>
      <c r="G494" t="s">
        <v>106</v>
      </c>
      <c r="H494" s="6" t="s">
        <v>97</v>
      </c>
    </row>
    <row r="495" spans="1:8" x14ac:dyDescent="0.25">
      <c r="A495" s="3">
        <v>46013</v>
      </c>
      <c r="B495">
        <v>2025004063</v>
      </c>
      <c r="C495" t="s">
        <v>714</v>
      </c>
      <c r="D495" s="5">
        <v>3150000</v>
      </c>
      <c r="E495" t="s">
        <v>715</v>
      </c>
      <c r="F495" t="s">
        <v>716</v>
      </c>
      <c r="G495" t="s">
        <v>106</v>
      </c>
      <c r="H495" s="6" t="s">
        <v>97</v>
      </c>
    </row>
    <row r="496" spans="1:8" x14ac:dyDescent="0.25">
      <c r="A496" s="3">
        <v>46013</v>
      </c>
      <c r="B496">
        <v>2025004064</v>
      </c>
      <c r="C496" t="s">
        <v>272</v>
      </c>
      <c r="D496" s="5">
        <v>6300000</v>
      </c>
      <c r="E496" t="s">
        <v>445</v>
      </c>
      <c r="F496" t="s">
        <v>43</v>
      </c>
      <c r="G496" t="s">
        <v>106</v>
      </c>
      <c r="H496" s="6" t="s">
        <v>97</v>
      </c>
    </row>
    <row r="497" spans="1:8" x14ac:dyDescent="0.25">
      <c r="A497" s="3">
        <v>46013</v>
      </c>
      <c r="B497">
        <v>2025004065</v>
      </c>
      <c r="C497" t="s">
        <v>175</v>
      </c>
      <c r="D497" s="5">
        <v>3150000</v>
      </c>
      <c r="E497" t="s">
        <v>600</v>
      </c>
      <c r="F497" t="s">
        <v>34</v>
      </c>
      <c r="G497" t="s">
        <v>106</v>
      </c>
      <c r="H497" s="6" t="s">
        <v>97</v>
      </c>
    </row>
    <row r="498" spans="1:8" x14ac:dyDescent="0.25">
      <c r="A498" s="3">
        <v>46013</v>
      </c>
      <c r="B498">
        <v>2025004066</v>
      </c>
      <c r="C498" t="s">
        <v>694</v>
      </c>
      <c r="D498" s="5">
        <v>3150000</v>
      </c>
      <c r="E498" t="s">
        <v>695</v>
      </c>
      <c r="F498" t="s">
        <v>696</v>
      </c>
      <c r="G498" t="s">
        <v>106</v>
      </c>
      <c r="H498" s="6" t="s">
        <v>97</v>
      </c>
    </row>
    <row r="499" spans="1:8" x14ac:dyDescent="0.25">
      <c r="A499" s="3">
        <v>46013</v>
      </c>
      <c r="B499">
        <v>2025004067</v>
      </c>
      <c r="C499" t="s">
        <v>876</v>
      </c>
      <c r="D499" s="5">
        <v>2000000</v>
      </c>
      <c r="E499" t="s">
        <v>877</v>
      </c>
      <c r="F499" t="s">
        <v>878</v>
      </c>
      <c r="G499" t="s">
        <v>106</v>
      </c>
      <c r="H499" s="6" t="s">
        <v>97</v>
      </c>
    </row>
    <row r="500" spans="1:8" x14ac:dyDescent="0.25">
      <c r="A500" s="3">
        <v>46013</v>
      </c>
      <c r="B500">
        <v>2025004070</v>
      </c>
      <c r="C500" t="s">
        <v>284</v>
      </c>
      <c r="D500" s="5">
        <v>3150000</v>
      </c>
      <c r="E500" t="s">
        <v>593</v>
      </c>
      <c r="F500" t="s">
        <v>285</v>
      </c>
      <c r="G500" t="s">
        <v>106</v>
      </c>
      <c r="H500" s="6" t="s">
        <v>97</v>
      </c>
    </row>
    <row r="501" spans="1:8" x14ac:dyDescent="0.25">
      <c r="A501" s="3">
        <v>46013</v>
      </c>
      <c r="B501">
        <v>2025004071</v>
      </c>
      <c r="C501" t="s">
        <v>680</v>
      </c>
      <c r="D501" s="5">
        <v>3150000</v>
      </c>
      <c r="E501" t="s">
        <v>681</v>
      </c>
      <c r="F501" t="s">
        <v>682</v>
      </c>
      <c r="G501" t="s">
        <v>106</v>
      </c>
      <c r="H501" s="6" t="s">
        <v>97</v>
      </c>
    </row>
    <row r="502" spans="1:8" x14ac:dyDescent="0.25">
      <c r="A502" s="3">
        <v>46013</v>
      </c>
      <c r="B502">
        <v>2025004072</v>
      </c>
      <c r="C502" t="s">
        <v>271</v>
      </c>
      <c r="D502" s="5">
        <v>3150000</v>
      </c>
      <c r="E502" t="s">
        <v>486</v>
      </c>
      <c r="F502" t="s">
        <v>22</v>
      </c>
      <c r="G502" t="s">
        <v>106</v>
      </c>
      <c r="H502" s="6" t="s">
        <v>97</v>
      </c>
    </row>
    <row r="503" spans="1:8" x14ac:dyDescent="0.25">
      <c r="A503" s="3">
        <v>46013</v>
      </c>
      <c r="B503">
        <v>2025004073</v>
      </c>
      <c r="C503" t="s">
        <v>894</v>
      </c>
      <c r="D503" s="5">
        <v>3150000</v>
      </c>
      <c r="E503" t="s">
        <v>895</v>
      </c>
      <c r="F503" t="s">
        <v>896</v>
      </c>
      <c r="G503" t="s">
        <v>106</v>
      </c>
      <c r="H503" s="6" t="s">
        <v>97</v>
      </c>
    </row>
    <row r="504" spans="1:8" x14ac:dyDescent="0.25">
      <c r="A504" s="3">
        <v>46013</v>
      </c>
      <c r="B504">
        <v>2025004074</v>
      </c>
      <c r="C504" t="s">
        <v>171</v>
      </c>
      <c r="D504" s="5">
        <v>3150000</v>
      </c>
      <c r="E504" t="s">
        <v>484</v>
      </c>
      <c r="F504" t="s">
        <v>172</v>
      </c>
      <c r="G504" t="s">
        <v>106</v>
      </c>
      <c r="H504" s="6" t="s">
        <v>97</v>
      </c>
    </row>
    <row r="505" spans="1:8" x14ac:dyDescent="0.25">
      <c r="A505" s="3">
        <v>46013</v>
      </c>
      <c r="B505">
        <v>2025004075</v>
      </c>
      <c r="C505" t="s">
        <v>293</v>
      </c>
      <c r="D505" s="5">
        <v>4730000</v>
      </c>
      <c r="E505" t="s">
        <v>415</v>
      </c>
      <c r="F505" t="s">
        <v>294</v>
      </c>
      <c r="G505" t="s">
        <v>106</v>
      </c>
      <c r="H505" s="6" t="s">
        <v>97</v>
      </c>
    </row>
    <row r="506" spans="1:8" x14ac:dyDescent="0.25">
      <c r="A506" s="3">
        <v>46013</v>
      </c>
      <c r="B506">
        <v>2025004076</v>
      </c>
      <c r="C506" t="s">
        <v>173</v>
      </c>
      <c r="D506" s="5">
        <v>3150000</v>
      </c>
      <c r="E506" t="s">
        <v>424</v>
      </c>
      <c r="F506" t="s">
        <v>174</v>
      </c>
      <c r="G506" t="s">
        <v>106</v>
      </c>
      <c r="H506" s="6" t="s">
        <v>97</v>
      </c>
    </row>
    <row r="507" spans="1:8" x14ac:dyDescent="0.25">
      <c r="A507" s="3">
        <v>46013</v>
      </c>
      <c r="B507">
        <v>2025004077</v>
      </c>
      <c r="C507" t="s">
        <v>697</v>
      </c>
      <c r="D507" s="5">
        <v>3150000</v>
      </c>
      <c r="E507" t="s">
        <v>698</v>
      </c>
      <c r="F507" t="s">
        <v>72</v>
      </c>
      <c r="G507" t="s">
        <v>106</v>
      </c>
      <c r="H507" s="6" t="s">
        <v>97</v>
      </c>
    </row>
    <row r="508" spans="1:8" x14ac:dyDescent="0.25">
      <c r="A508" s="3">
        <v>46013</v>
      </c>
      <c r="B508">
        <v>2025004078</v>
      </c>
      <c r="C508" t="s">
        <v>903</v>
      </c>
      <c r="D508" s="5">
        <v>6300000</v>
      </c>
      <c r="E508" t="s">
        <v>904</v>
      </c>
      <c r="F508" t="s">
        <v>905</v>
      </c>
      <c r="G508" t="s">
        <v>106</v>
      </c>
      <c r="H508" s="6" t="s">
        <v>97</v>
      </c>
    </row>
    <row r="509" spans="1:8" x14ac:dyDescent="0.25">
      <c r="A509" s="3">
        <v>46013</v>
      </c>
      <c r="B509">
        <v>2025004079</v>
      </c>
      <c r="C509" t="s">
        <v>281</v>
      </c>
      <c r="D509" s="5">
        <v>6300000</v>
      </c>
      <c r="E509" t="s">
        <v>422</v>
      </c>
      <c r="F509" t="s">
        <v>9</v>
      </c>
      <c r="G509" t="s">
        <v>106</v>
      </c>
      <c r="H509" s="6" t="s">
        <v>97</v>
      </c>
    </row>
    <row r="510" spans="1:8" x14ac:dyDescent="0.25">
      <c r="A510" s="3">
        <v>46013</v>
      </c>
      <c r="B510">
        <v>2025004080</v>
      </c>
      <c r="C510" t="s">
        <v>302</v>
      </c>
      <c r="D510" s="5">
        <v>6300000</v>
      </c>
      <c r="E510" t="s">
        <v>597</v>
      </c>
      <c r="F510" t="s">
        <v>303</v>
      </c>
      <c r="G510" t="s">
        <v>106</v>
      </c>
      <c r="H510" s="6" t="s">
        <v>97</v>
      </c>
    </row>
    <row r="511" spans="1:8" x14ac:dyDescent="0.25">
      <c r="A511" s="3">
        <v>46013</v>
      </c>
      <c r="B511">
        <v>2025004081</v>
      </c>
      <c r="C511" t="s">
        <v>163</v>
      </c>
      <c r="D511" s="5">
        <v>7800000</v>
      </c>
      <c r="E511" t="s">
        <v>439</v>
      </c>
      <c r="F511" t="s">
        <v>164</v>
      </c>
      <c r="G511" t="s">
        <v>106</v>
      </c>
      <c r="H511" s="6" t="s">
        <v>97</v>
      </c>
    </row>
    <row r="512" spans="1:8" x14ac:dyDescent="0.25">
      <c r="A512" s="3">
        <v>46013</v>
      </c>
      <c r="B512">
        <v>2025004082</v>
      </c>
      <c r="C512" t="s">
        <v>357</v>
      </c>
      <c r="D512" s="5">
        <v>7800000</v>
      </c>
      <c r="E512" t="s">
        <v>442</v>
      </c>
      <c r="F512" t="s">
        <v>358</v>
      </c>
      <c r="G512" t="s">
        <v>106</v>
      </c>
      <c r="H512" s="6" t="s">
        <v>97</v>
      </c>
    </row>
    <row r="513" spans="1:8" x14ac:dyDescent="0.25">
      <c r="A513" s="3">
        <v>46013</v>
      </c>
      <c r="B513">
        <v>2025004083</v>
      </c>
      <c r="C513" t="s">
        <v>699</v>
      </c>
      <c r="D513" s="5">
        <v>4730000</v>
      </c>
      <c r="E513" t="s">
        <v>700</v>
      </c>
      <c r="F513" t="s">
        <v>701</v>
      </c>
      <c r="G513" t="s">
        <v>106</v>
      </c>
      <c r="H513" s="6" t="s">
        <v>97</v>
      </c>
    </row>
    <row r="514" spans="1:8" x14ac:dyDescent="0.25">
      <c r="A514" s="3">
        <v>46013</v>
      </c>
      <c r="B514">
        <v>2025004085</v>
      </c>
      <c r="C514" t="s">
        <v>918</v>
      </c>
      <c r="D514" s="5">
        <v>6300000</v>
      </c>
      <c r="E514" t="s">
        <v>919</v>
      </c>
      <c r="F514" t="s">
        <v>920</v>
      </c>
      <c r="G514" t="s">
        <v>106</v>
      </c>
      <c r="H514" s="6" t="s">
        <v>97</v>
      </c>
    </row>
    <row r="515" spans="1:8" x14ac:dyDescent="0.25">
      <c r="A515" s="3">
        <v>46013</v>
      </c>
      <c r="B515">
        <v>2025004090</v>
      </c>
      <c r="C515" t="s">
        <v>916</v>
      </c>
      <c r="D515" s="5">
        <v>3150000</v>
      </c>
      <c r="E515" t="s">
        <v>917</v>
      </c>
      <c r="F515" t="s">
        <v>93</v>
      </c>
      <c r="G515" t="s">
        <v>106</v>
      </c>
      <c r="H515" s="6" t="s">
        <v>97</v>
      </c>
    </row>
    <row r="516" spans="1:8" x14ac:dyDescent="0.25">
      <c r="A516" s="3">
        <v>46013</v>
      </c>
      <c r="B516">
        <v>2025004091</v>
      </c>
      <c r="C516" s="6" t="s">
        <v>836</v>
      </c>
      <c r="D516" s="5">
        <v>16920000</v>
      </c>
      <c r="E516" t="s">
        <v>837</v>
      </c>
      <c r="F516" t="s">
        <v>838</v>
      </c>
      <c r="G516" t="s">
        <v>106</v>
      </c>
      <c r="H516" s="6" t="s">
        <v>97</v>
      </c>
    </row>
    <row r="517" spans="1:8" x14ac:dyDescent="0.25">
      <c r="A517" s="3">
        <v>46013</v>
      </c>
      <c r="B517">
        <v>2025004092</v>
      </c>
      <c r="C517" t="s">
        <v>839</v>
      </c>
      <c r="D517" s="5">
        <v>45120000</v>
      </c>
      <c r="E517" t="s">
        <v>837</v>
      </c>
      <c r="F517" t="s">
        <v>838</v>
      </c>
      <c r="G517" t="s">
        <v>106</v>
      </c>
      <c r="H517" s="6" t="s">
        <v>97</v>
      </c>
    </row>
    <row r="518" spans="1:8" x14ac:dyDescent="0.25">
      <c r="A518" s="3">
        <v>46013</v>
      </c>
      <c r="B518">
        <v>2025004093</v>
      </c>
      <c r="C518" t="s">
        <v>843</v>
      </c>
      <c r="D518" s="5">
        <v>3150000</v>
      </c>
      <c r="E518" t="s">
        <v>844</v>
      </c>
      <c r="F518" t="s">
        <v>79</v>
      </c>
      <c r="G518" t="s">
        <v>106</v>
      </c>
      <c r="H518" s="6" t="s">
        <v>97</v>
      </c>
    </row>
    <row r="519" spans="1:8" x14ac:dyDescent="0.25">
      <c r="A519" s="3">
        <v>46013</v>
      </c>
      <c r="B519">
        <v>2025004094</v>
      </c>
      <c r="C519" t="s">
        <v>349</v>
      </c>
      <c r="D519" s="5">
        <v>3150000</v>
      </c>
      <c r="E519" t="s">
        <v>676</v>
      </c>
      <c r="F519" t="s">
        <v>350</v>
      </c>
      <c r="G519" t="s">
        <v>106</v>
      </c>
      <c r="H519" s="6" t="s">
        <v>97</v>
      </c>
    </row>
    <row r="520" spans="1:8" x14ac:dyDescent="0.25">
      <c r="A520" s="3">
        <v>46013</v>
      </c>
      <c r="B520">
        <v>2025004095</v>
      </c>
      <c r="C520" t="s">
        <v>875</v>
      </c>
      <c r="D520" s="5">
        <v>17040000</v>
      </c>
      <c r="E520" t="s">
        <v>837</v>
      </c>
      <c r="F520" t="s">
        <v>838</v>
      </c>
      <c r="G520" t="s">
        <v>106</v>
      </c>
      <c r="H520" s="6" t="s">
        <v>97</v>
      </c>
    </row>
    <row r="521" spans="1:8" x14ac:dyDescent="0.25">
      <c r="A521" s="3">
        <v>46013</v>
      </c>
      <c r="B521">
        <v>2025004096</v>
      </c>
      <c r="C521" t="s">
        <v>673</v>
      </c>
      <c r="D521" s="5">
        <v>4730000</v>
      </c>
      <c r="E521" t="s">
        <v>674</v>
      </c>
      <c r="F521" t="s">
        <v>675</v>
      </c>
      <c r="G521" t="s">
        <v>106</v>
      </c>
      <c r="H521" s="6" t="s">
        <v>97</v>
      </c>
    </row>
    <row r="522" spans="1:8" x14ac:dyDescent="0.25">
      <c r="A522" s="3">
        <v>46013</v>
      </c>
      <c r="B522">
        <v>2025004098</v>
      </c>
      <c r="C522" t="s">
        <v>680</v>
      </c>
      <c r="D522" s="5">
        <v>3150000</v>
      </c>
      <c r="E522" t="s">
        <v>681</v>
      </c>
      <c r="F522" t="s">
        <v>682</v>
      </c>
      <c r="G522" t="s">
        <v>106</v>
      </c>
      <c r="H522" s="6" t="s">
        <v>97</v>
      </c>
    </row>
    <row r="523" spans="1:8" x14ac:dyDescent="0.25">
      <c r="A523" s="3">
        <v>46013</v>
      </c>
      <c r="B523">
        <v>2025004099</v>
      </c>
      <c r="C523" t="s">
        <v>914</v>
      </c>
      <c r="D523" s="5">
        <v>3150000</v>
      </c>
      <c r="E523" t="s">
        <v>915</v>
      </c>
      <c r="F523" t="s">
        <v>50</v>
      </c>
      <c r="G523" t="s">
        <v>106</v>
      </c>
      <c r="H523" s="6" t="s">
        <v>97</v>
      </c>
    </row>
    <row r="524" spans="1:8" x14ac:dyDescent="0.25">
      <c r="A524" s="3">
        <v>46013</v>
      </c>
      <c r="B524">
        <v>2025004100</v>
      </c>
      <c r="C524" t="s">
        <v>921</v>
      </c>
      <c r="D524" s="5">
        <v>3150000</v>
      </c>
      <c r="E524" t="s">
        <v>922</v>
      </c>
      <c r="F524" t="s">
        <v>923</v>
      </c>
      <c r="G524" t="s">
        <v>106</v>
      </c>
      <c r="H524" s="6" t="s">
        <v>97</v>
      </c>
    </row>
    <row r="525" spans="1:8" x14ac:dyDescent="0.25">
      <c r="A525" s="3">
        <v>46014</v>
      </c>
      <c r="B525">
        <v>2025004103</v>
      </c>
      <c r="C525" t="s">
        <v>273</v>
      </c>
      <c r="D525" s="5">
        <v>7800000</v>
      </c>
      <c r="E525" t="s">
        <v>595</v>
      </c>
      <c r="F525" t="s">
        <v>274</v>
      </c>
      <c r="G525" t="s">
        <v>106</v>
      </c>
      <c r="H525" s="6" t="s">
        <v>97</v>
      </c>
    </row>
    <row r="526" spans="1:8" x14ac:dyDescent="0.25">
      <c r="A526" s="3">
        <v>46014</v>
      </c>
      <c r="B526">
        <v>2025004105</v>
      </c>
      <c r="C526" t="s">
        <v>924</v>
      </c>
      <c r="D526" s="5">
        <v>3150000</v>
      </c>
      <c r="E526" t="s">
        <v>925</v>
      </c>
      <c r="F526" t="s">
        <v>926</v>
      </c>
      <c r="G526" t="s">
        <v>106</v>
      </c>
      <c r="H526" s="6" t="s">
        <v>97</v>
      </c>
    </row>
    <row r="527" spans="1:8" x14ac:dyDescent="0.25">
      <c r="A527" s="3">
        <v>46014</v>
      </c>
      <c r="B527">
        <v>2025004107</v>
      </c>
      <c r="C527" t="s">
        <v>723</v>
      </c>
      <c r="D527" s="5">
        <v>4730000</v>
      </c>
      <c r="E527" t="s">
        <v>724</v>
      </c>
      <c r="F527" t="s">
        <v>725</v>
      </c>
      <c r="G527" t="s">
        <v>106</v>
      </c>
      <c r="H527" s="6" t="s">
        <v>97</v>
      </c>
    </row>
    <row r="528" spans="1:8" x14ac:dyDescent="0.25">
      <c r="A528" s="3">
        <v>46014</v>
      </c>
      <c r="B528">
        <v>2025004108</v>
      </c>
      <c r="C528" s="6" t="s">
        <v>694</v>
      </c>
      <c r="D528" s="5">
        <v>3150000</v>
      </c>
      <c r="E528" t="s">
        <v>695</v>
      </c>
      <c r="F528" t="s">
        <v>696</v>
      </c>
      <c r="G528" t="s">
        <v>106</v>
      </c>
      <c r="H528" s="6" t="s">
        <v>97</v>
      </c>
    </row>
    <row r="529" spans="1:8" x14ac:dyDescent="0.25">
      <c r="A529" s="3">
        <v>46014</v>
      </c>
      <c r="B529">
        <v>2025004109</v>
      </c>
      <c r="C529" t="s">
        <v>918</v>
      </c>
      <c r="D529" s="5">
        <v>3150000</v>
      </c>
      <c r="E529" t="s">
        <v>919</v>
      </c>
      <c r="F529" t="s">
        <v>920</v>
      </c>
      <c r="G529" t="s">
        <v>106</v>
      </c>
      <c r="H529" s="6" t="s">
        <v>97</v>
      </c>
    </row>
    <row r="530" spans="1:8" x14ac:dyDescent="0.25">
      <c r="A530" s="3">
        <v>46014</v>
      </c>
      <c r="B530">
        <v>2025004110</v>
      </c>
      <c r="C530" t="s">
        <v>167</v>
      </c>
      <c r="D530" s="5">
        <v>6300000</v>
      </c>
      <c r="E530" t="s">
        <v>594</v>
      </c>
      <c r="F530" t="s">
        <v>168</v>
      </c>
      <c r="G530" t="s">
        <v>106</v>
      </c>
      <c r="H530" s="6" t="s">
        <v>97</v>
      </c>
    </row>
    <row r="531" spans="1:8" x14ac:dyDescent="0.25">
      <c r="A531" s="3">
        <v>46014</v>
      </c>
      <c r="B531">
        <v>2025004111</v>
      </c>
      <c r="C531" t="s">
        <v>258</v>
      </c>
      <c r="D531" s="5">
        <v>6300000</v>
      </c>
      <c r="E531" t="s">
        <v>485</v>
      </c>
      <c r="F531" t="s">
        <v>45</v>
      </c>
      <c r="G531" t="s">
        <v>106</v>
      </c>
      <c r="H531" s="6" t="s">
        <v>97</v>
      </c>
    </row>
    <row r="532" spans="1:8" x14ac:dyDescent="0.25">
      <c r="A532" s="3">
        <v>46014</v>
      </c>
      <c r="B532">
        <v>2025004115</v>
      </c>
      <c r="C532" t="s">
        <v>297</v>
      </c>
      <c r="D532" s="5">
        <v>4730000</v>
      </c>
      <c r="E532" t="s">
        <v>677</v>
      </c>
      <c r="F532" t="s">
        <v>298</v>
      </c>
      <c r="G532" t="s">
        <v>106</v>
      </c>
      <c r="H532" s="6" t="s">
        <v>97</v>
      </c>
    </row>
    <row r="533" spans="1:8" x14ac:dyDescent="0.25">
      <c r="A533" s="3">
        <v>46014</v>
      </c>
      <c r="B533">
        <v>2025004116</v>
      </c>
      <c r="C533" t="s">
        <v>692</v>
      </c>
      <c r="D533" s="5">
        <v>3150000</v>
      </c>
      <c r="E533" t="s">
        <v>693</v>
      </c>
      <c r="F533" t="s">
        <v>39</v>
      </c>
      <c r="G533" t="s">
        <v>106</v>
      </c>
      <c r="H533" s="6" t="s">
        <v>97</v>
      </c>
    </row>
    <row r="534" spans="1:8" x14ac:dyDescent="0.25">
      <c r="A534" s="3">
        <v>46014</v>
      </c>
      <c r="B534">
        <v>2025004117</v>
      </c>
      <c r="C534" t="s">
        <v>678</v>
      </c>
      <c r="D534" s="5">
        <v>3150000</v>
      </c>
      <c r="E534" t="s">
        <v>679</v>
      </c>
      <c r="F534" t="s">
        <v>60</v>
      </c>
      <c r="G534" t="s">
        <v>106</v>
      </c>
      <c r="H534" s="6" t="s">
        <v>97</v>
      </c>
    </row>
    <row r="535" spans="1:8" x14ac:dyDescent="0.25">
      <c r="A535" s="3">
        <v>46014</v>
      </c>
      <c r="B535">
        <v>2025004119</v>
      </c>
      <c r="C535" t="s">
        <v>156</v>
      </c>
      <c r="D535" s="5">
        <v>3150000</v>
      </c>
      <c r="E535" t="s">
        <v>421</v>
      </c>
      <c r="F535" t="s">
        <v>49</v>
      </c>
      <c r="G535" t="s">
        <v>106</v>
      </c>
      <c r="H535" s="6" t="s">
        <v>97</v>
      </c>
    </row>
    <row r="536" spans="1:8" x14ac:dyDescent="0.25">
      <c r="A536" s="3">
        <v>46014</v>
      </c>
      <c r="B536">
        <v>2025004120</v>
      </c>
      <c r="C536" t="s">
        <v>184</v>
      </c>
      <c r="D536" s="5">
        <v>3150000</v>
      </c>
      <c r="E536" t="s">
        <v>425</v>
      </c>
      <c r="F536" t="s">
        <v>27</v>
      </c>
      <c r="G536" t="s">
        <v>106</v>
      </c>
      <c r="H536" s="6" t="s">
        <v>97</v>
      </c>
    </row>
    <row r="537" spans="1:8" x14ac:dyDescent="0.25">
      <c r="A537" s="3">
        <v>46014</v>
      </c>
      <c r="B537">
        <v>2025004121</v>
      </c>
      <c r="C537" t="s">
        <v>488</v>
      </c>
      <c r="D537" s="5">
        <v>3150000</v>
      </c>
      <c r="E537" t="s">
        <v>489</v>
      </c>
      <c r="F537" t="s">
        <v>490</v>
      </c>
      <c r="G537" t="s">
        <v>106</v>
      </c>
      <c r="H537" s="6" t="s">
        <v>97</v>
      </c>
    </row>
    <row r="538" spans="1:8" x14ac:dyDescent="0.25">
      <c r="A538" s="3">
        <v>46014</v>
      </c>
      <c r="B538">
        <v>2025004122</v>
      </c>
      <c r="C538" t="s">
        <v>729</v>
      </c>
      <c r="D538" s="5">
        <v>3150000</v>
      </c>
      <c r="E538" t="s">
        <v>730</v>
      </c>
      <c r="F538" t="s">
        <v>731</v>
      </c>
      <c r="G538" t="s">
        <v>106</v>
      </c>
      <c r="H538" s="6" t="s">
        <v>97</v>
      </c>
    </row>
    <row r="539" spans="1:8" x14ac:dyDescent="0.25">
      <c r="A539" s="3">
        <v>46014</v>
      </c>
      <c r="B539">
        <v>2025004125</v>
      </c>
      <c r="C539" t="s">
        <v>357</v>
      </c>
      <c r="D539" s="5">
        <v>7800000</v>
      </c>
      <c r="E539" t="s">
        <v>442</v>
      </c>
      <c r="F539" t="s">
        <v>358</v>
      </c>
      <c r="G539" t="s">
        <v>106</v>
      </c>
      <c r="H539" s="6" t="s">
        <v>97</v>
      </c>
    </row>
    <row r="540" spans="1:8" x14ac:dyDescent="0.25">
      <c r="A540" s="3">
        <v>46014</v>
      </c>
      <c r="B540">
        <v>2025004127</v>
      </c>
      <c r="C540" t="s">
        <v>301</v>
      </c>
      <c r="D540" s="5">
        <v>3150000</v>
      </c>
      <c r="E540" t="s">
        <v>413</v>
      </c>
      <c r="F540" t="s">
        <v>32</v>
      </c>
      <c r="G540" t="s">
        <v>106</v>
      </c>
      <c r="H540" s="6" t="s">
        <v>97</v>
      </c>
    </row>
    <row r="541" spans="1:8" x14ac:dyDescent="0.25">
      <c r="A541" s="3">
        <v>46014</v>
      </c>
      <c r="B541">
        <v>2025004128</v>
      </c>
      <c r="C541" t="s">
        <v>158</v>
      </c>
      <c r="D541" s="5">
        <v>3150000</v>
      </c>
      <c r="E541" t="s">
        <v>416</v>
      </c>
      <c r="F541" t="s">
        <v>47</v>
      </c>
      <c r="G541" t="s">
        <v>106</v>
      </c>
      <c r="H541" s="6" t="s">
        <v>97</v>
      </c>
    </row>
    <row r="542" spans="1:8" x14ac:dyDescent="0.25">
      <c r="A542" s="3">
        <v>46014</v>
      </c>
      <c r="B542">
        <v>2025004129</v>
      </c>
      <c r="C542" t="s">
        <v>603</v>
      </c>
      <c r="D542" s="5">
        <v>226770000</v>
      </c>
      <c r="E542" t="s">
        <v>392</v>
      </c>
      <c r="F542" t="s">
        <v>76</v>
      </c>
      <c r="G542" t="s">
        <v>106</v>
      </c>
      <c r="H542" s="6" t="s">
        <v>97</v>
      </c>
    </row>
    <row r="543" spans="1:8" x14ac:dyDescent="0.25">
      <c r="A543" s="3">
        <v>46014</v>
      </c>
      <c r="B543">
        <v>2025004130</v>
      </c>
      <c r="C543" t="s">
        <v>178</v>
      </c>
      <c r="D543" s="5">
        <v>3150000</v>
      </c>
      <c r="E543" t="s">
        <v>420</v>
      </c>
      <c r="F543" t="s">
        <v>179</v>
      </c>
      <c r="G543" t="s">
        <v>106</v>
      </c>
      <c r="H543" s="6" t="s">
        <v>97</v>
      </c>
    </row>
    <row r="544" spans="1:8" x14ac:dyDescent="0.25">
      <c r="A544" s="3">
        <v>46014</v>
      </c>
      <c r="B544">
        <v>2025004131</v>
      </c>
      <c r="C544" t="s">
        <v>709</v>
      </c>
      <c r="D544" s="5">
        <v>3150000</v>
      </c>
      <c r="E544" t="s">
        <v>710</v>
      </c>
      <c r="F544" t="s">
        <v>711</v>
      </c>
      <c r="G544" t="s">
        <v>106</v>
      </c>
      <c r="H544" s="6" t="s">
        <v>97</v>
      </c>
    </row>
    <row r="545" spans="1:8" x14ac:dyDescent="0.25">
      <c r="A545" s="3">
        <v>46014</v>
      </c>
      <c r="B545">
        <v>2025004133</v>
      </c>
      <c r="C545" t="s">
        <v>848</v>
      </c>
      <c r="D545" s="5">
        <v>3150000</v>
      </c>
      <c r="E545" t="s">
        <v>849</v>
      </c>
      <c r="F545" t="s">
        <v>850</v>
      </c>
      <c r="G545" t="s">
        <v>106</v>
      </c>
      <c r="H545" s="6" t="s">
        <v>97</v>
      </c>
    </row>
    <row r="546" spans="1:8" x14ac:dyDescent="0.25">
      <c r="A546" s="3">
        <v>46014</v>
      </c>
      <c r="B546">
        <v>2025004134</v>
      </c>
      <c r="C546" t="s">
        <v>889</v>
      </c>
      <c r="D546" s="5">
        <v>7800000</v>
      </c>
      <c r="E546" t="s">
        <v>890</v>
      </c>
      <c r="F546" t="s">
        <v>891</v>
      </c>
      <c r="G546" t="s">
        <v>106</v>
      </c>
      <c r="H546" s="6" t="s">
        <v>97</v>
      </c>
    </row>
    <row r="547" spans="1:8" x14ac:dyDescent="0.25">
      <c r="A547" s="3">
        <v>46014</v>
      </c>
      <c r="B547">
        <v>2025004135</v>
      </c>
      <c r="C547" t="s">
        <v>295</v>
      </c>
      <c r="D547" s="5">
        <v>3150000</v>
      </c>
      <c r="E547" t="s">
        <v>444</v>
      </c>
      <c r="F547" t="s">
        <v>296</v>
      </c>
      <c r="G547" t="s">
        <v>106</v>
      </c>
      <c r="H547" s="6" t="s">
        <v>97</v>
      </c>
    </row>
    <row r="548" spans="1:8" x14ac:dyDescent="0.25">
      <c r="A548" s="3">
        <v>46014</v>
      </c>
      <c r="B548">
        <v>2025004136</v>
      </c>
      <c r="C548" t="s">
        <v>288</v>
      </c>
      <c r="D548" s="5">
        <v>3150000</v>
      </c>
      <c r="E548" t="s">
        <v>492</v>
      </c>
      <c r="F548" t="s">
        <v>289</v>
      </c>
      <c r="G548" t="s">
        <v>106</v>
      </c>
      <c r="H548" s="6" t="s">
        <v>97</v>
      </c>
    </row>
    <row r="549" spans="1:8" x14ac:dyDescent="0.25">
      <c r="A549" s="3">
        <v>46014</v>
      </c>
      <c r="B549">
        <v>2025004137</v>
      </c>
      <c r="C549" t="s">
        <v>688</v>
      </c>
      <c r="D549" s="5">
        <v>3150000</v>
      </c>
      <c r="E549" t="s">
        <v>689</v>
      </c>
      <c r="F549" t="s">
        <v>68</v>
      </c>
      <c r="G549" t="s">
        <v>106</v>
      </c>
      <c r="H549" s="6" t="s">
        <v>97</v>
      </c>
    </row>
    <row r="550" spans="1:8" x14ac:dyDescent="0.25">
      <c r="A550" s="3">
        <v>46014</v>
      </c>
      <c r="B550">
        <v>2025004138</v>
      </c>
      <c r="C550" t="s">
        <v>886</v>
      </c>
      <c r="D550" s="5">
        <v>2000000</v>
      </c>
      <c r="E550" t="s">
        <v>887</v>
      </c>
      <c r="F550" t="s">
        <v>888</v>
      </c>
      <c r="G550" t="s">
        <v>106</v>
      </c>
      <c r="H550" s="6" t="s">
        <v>97</v>
      </c>
    </row>
    <row r="551" spans="1:8" x14ac:dyDescent="0.25">
      <c r="A551" s="3">
        <v>46014</v>
      </c>
      <c r="B551">
        <v>2025004140</v>
      </c>
      <c r="C551" t="s">
        <v>169</v>
      </c>
      <c r="D551" s="5">
        <v>3150000</v>
      </c>
      <c r="E551" t="s">
        <v>493</v>
      </c>
      <c r="F551" t="s">
        <v>170</v>
      </c>
      <c r="G551" t="s">
        <v>106</v>
      </c>
      <c r="H551" s="6" t="s">
        <v>97</v>
      </c>
    </row>
    <row r="552" spans="1:8" x14ac:dyDescent="0.25">
      <c r="A552" s="3">
        <v>46014</v>
      </c>
      <c r="B552">
        <v>2025004141</v>
      </c>
      <c r="C552" t="s">
        <v>921</v>
      </c>
      <c r="D552" s="5">
        <v>3150000</v>
      </c>
      <c r="E552" t="s">
        <v>922</v>
      </c>
      <c r="F552" t="s">
        <v>923</v>
      </c>
      <c r="G552" t="s">
        <v>106</v>
      </c>
      <c r="H552" s="6" t="s">
        <v>97</v>
      </c>
    </row>
    <row r="553" spans="1:8" x14ac:dyDescent="0.25">
      <c r="A553" s="3">
        <v>46014</v>
      </c>
      <c r="B553">
        <v>2025004143</v>
      </c>
      <c r="C553" t="s">
        <v>590</v>
      </c>
      <c r="D553" s="5">
        <v>6300000</v>
      </c>
      <c r="E553" t="s">
        <v>591</v>
      </c>
      <c r="F553" t="s">
        <v>592</v>
      </c>
      <c r="G553" t="s">
        <v>106</v>
      </c>
      <c r="H553" s="6" t="s">
        <v>97</v>
      </c>
    </row>
    <row r="554" spans="1:8" x14ac:dyDescent="0.25">
      <c r="A554" s="3">
        <v>46014</v>
      </c>
      <c r="B554">
        <v>2025004144</v>
      </c>
      <c r="C554" t="s">
        <v>290</v>
      </c>
      <c r="D554" s="5">
        <v>7800000</v>
      </c>
      <c r="E554" t="s">
        <v>414</v>
      </c>
      <c r="F554" t="s">
        <v>291</v>
      </c>
      <c r="G554" t="s">
        <v>106</v>
      </c>
      <c r="H554" s="6" t="s">
        <v>97</v>
      </c>
    </row>
    <row r="555" spans="1:8" x14ac:dyDescent="0.25">
      <c r="A555" s="3">
        <v>46014</v>
      </c>
      <c r="B555">
        <v>2025004145</v>
      </c>
      <c r="C555" t="s">
        <v>176</v>
      </c>
      <c r="D555" s="5">
        <v>3150000</v>
      </c>
      <c r="E555" t="s">
        <v>491</v>
      </c>
      <c r="F555" t="s">
        <v>177</v>
      </c>
      <c r="G555" t="s">
        <v>106</v>
      </c>
      <c r="H555" s="6" t="s">
        <v>97</v>
      </c>
    </row>
    <row r="556" spans="1:8" x14ac:dyDescent="0.25">
      <c r="A556" s="3">
        <v>46014</v>
      </c>
      <c r="B556">
        <v>2025004161</v>
      </c>
      <c r="C556" s="6" t="s">
        <v>927</v>
      </c>
      <c r="D556" s="5">
        <v>9450000</v>
      </c>
      <c r="E556" t="s">
        <v>928</v>
      </c>
      <c r="F556" t="s">
        <v>929</v>
      </c>
      <c r="G556" t="s">
        <v>106</v>
      </c>
      <c r="H556" s="6" t="s">
        <v>97</v>
      </c>
    </row>
    <row r="557" spans="1:8" x14ac:dyDescent="0.25">
      <c r="A557" s="3">
        <v>46015</v>
      </c>
      <c r="B557">
        <v>2025004163</v>
      </c>
      <c r="C557" t="s">
        <v>647</v>
      </c>
      <c r="D557" s="5">
        <v>3150000</v>
      </c>
      <c r="E557" t="s">
        <v>648</v>
      </c>
      <c r="F557" t="s">
        <v>649</v>
      </c>
      <c r="G557" t="s">
        <v>106</v>
      </c>
      <c r="H557" s="6" t="s">
        <v>97</v>
      </c>
    </row>
    <row r="558" spans="1:8" x14ac:dyDescent="0.25">
      <c r="H558" s="6"/>
    </row>
    <row r="559" spans="1:8" x14ac:dyDescent="0.25">
      <c r="H559" s="6"/>
    </row>
    <row r="560" spans="1:8" x14ac:dyDescent="0.25">
      <c r="H560" s="6"/>
    </row>
    <row r="561" spans="8:8" x14ac:dyDescent="0.25">
      <c r="H561" s="6"/>
    </row>
    <row r="562" spans="8:8" x14ac:dyDescent="0.25">
      <c r="H562" s="6"/>
    </row>
    <row r="563" spans="8:8" x14ac:dyDescent="0.25">
      <c r="H563" s="6"/>
    </row>
    <row r="564" spans="8:8" x14ac:dyDescent="0.25">
      <c r="H564" s="6"/>
    </row>
    <row r="565" spans="8:8" x14ac:dyDescent="0.25">
      <c r="H565" s="6"/>
    </row>
    <row r="566" spans="8:8" x14ac:dyDescent="0.25">
      <c r="H566" s="6"/>
    </row>
    <row r="567" spans="8:8" x14ac:dyDescent="0.25">
      <c r="H567" s="6"/>
    </row>
    <row r="568" spans="8:8" x14ac:dyDescent="0.25">
      <c r="H568" s="6"/>
    </row>
    <row r="569" spans="8:8" x14ac:dyDescent="0.25">
      <c r="H569" s="6"/>
    </row>
    <row r="570" spans="8:8" x14ac:dyDescent="0.25">
      <c r="H570" s="6"/>
    </row>
    <row r="571" spans="8:8" x14ac:dyDescent="0.25">
      <c r="H571" s="6"/>
    </row>
    <row r="572" spans="8:8" x14ac:dyDescent="0.25">
      <c r="H572" s="6"/>
    </row>
    <row r="573" spans="8:8" x14ac:dyDescent="0.25">
      <c r="H573" s="6"/>
    </row>
    <row r="574" spans="8:8" x14ac:dyDescent="0.25">
      <c r="H574" s="6"/>
    </row>
    <row r="575" spans="8:8" x14ac:dyDescent="0.25">
      <c r="H575" s="6"/>
    </row>
    <row r="576" spans="8:8" x14ac:dyDescent="0.25">
      <c r="H576" s="6"/>
    </row>
    <row r="577" spans="8:8" x14ac:dyDescent="0.25">
      <c r="H577" s="6"/>
    </row>
    <row r="578" spans="8:8" x14ac:dyDescent="0.25">
      <c r="H578" s="6"/>
    </row>
    <row r="579" spans="8:8" x14ac:dyDescent="0.25">
      <c r="H579" s="6"/>
    </row>
    <row r="580" spans="8:8" x14ac:dyDescent="0.25">
      <c r="H580" s="6"/>
    </row>
    <row r="581" spans="8:8" x14ac:dyDescent="0.25">
      <c r="H581" s="6"/>
    </row>
    <row r="582" spans="8:8" x14ac:dyDescent="0.25">
      <c r="H582" s="6"/>
    </row>
    <row r="583" spans="8:8" x14ac:dyDescent="0.25">
      <c r="H583" s="6"/>
    </row>
    <row r="584" spans="8:8" x14ac:dyDescent="0.25">
      <c r="H584" s="6"/>
    </row>
    <row r="585" spans="8:8" x14ac:dyDescent="0.25">
      <c r="H585" s="6"/>
    </row>
    <row r="586" spans="8:8" x14ac:dyDescent="0.25">
      <c r="H586" s="6"/>
    </row>
    <row r="587" spans="8:8" x14ac:dyDescent="0.25">
      <c r="H587" s="6"/>
    </row>
    <row r="588" spans="8:8" x14ac:dyDescent="0.25">
      <c r="H588" s="6"/>
    </row>
    <row r="589" spans="8:8" x14ac:dyDescent="0.25">
      <c r="H589" s="6"/>
    </row>
    <row r="590" spans="8:8" x14ac:dyDescent="0.25">
      <c r="H590" s="6"/>
    </row>
    <row r="591" spans="8:8" x14ac:dyDescent="0.25">
      <c r="H591" s="6"/>
    </row>
    <row r="592" spans="8:8" x14ac:dyDescent="0.25">
      <c r="H592" s="6"/>
    </row>
    <row r="593" spans="8:8" x14ac:dyDescent="0.25">
      <c r="H593" s="6"/>
    </row>
    <row r="594" spans="8:8" x14ac:dyDescent="0.25">
      <c r="H594" s="6"/>
    </row>
    <row r="595" spans="8:8" x14ac:dyDescent="0.25">
      <c r="H595" s="6"/>
    </row>
    <row r="596" spans="8:8" x14ac:dyDescent="0.25">
      <c r="H596" s="6"/>
    </row>
    <row r="597" spans="8:8" x14ac:dyDescent="0.25">
      <c r="H597" s="6"/>
    </row>
    <row r="598" spans="8:8" x14ac:dyDescent="0.25">
      <c r="H598" s="6"/>
    </row>
    <row r="599" spans="8:8" x14ac:dyDescent="0.25">
      <c r="H599" s="6"/>
    </row>
    <row r="600" spans="8:8" x14ac:dyDescent="0.25">
      <c r="H600" s="6"/>
    </row>
    <row r="601" spans="8:8" x14ac:dyDescent="0.25">
      <c r="H601" s="6"/>
    </row>
    <row r="602" spans="8:8" x14ac:dyDescent="0.25">
      <c r="H602" s="6"/>
    </row>
    <row r="603" spans="8:8" x14ac:dyDescent="0.25">
      <c r="H603" s="6"/>
    </row>
    <row r="604" spans="8:8" x14ac:dyDescent="0.25">
      <c r="H604" s="6"/>
    </row>
    <row r="605" spans="8:8" x14ac:dyDescent="0.25">
      <c r="H605" s="6"/>
    </row>
    <row r="606" spans="8:8" x14ac:dyDescent="0.25">
      <c r="H606" s="6"/>
    </row>
    <row r="607" spans="8:8" x14ac:dyDescent="0.25">
      <c r="H607" s="6"/>
    </row>
    <row r="608" spans="8:8" x14ac:dyDescent="0.25">
      <c r="H608" s="6"/>
    </row>
    <row r="609" spans="8:8" x14ac:dyDescent="0.25">
      <c r="H609" s="6"/>
    </row>
    <row r="610" spans="8:8" x14ac:dyDescent="0.25">
      <c r="H610" s="6"/>
    </row>
    <row r="611" spans="8:8" x14ac:dyDescent="0.25">
      <c r="H611" s="6"/>
    </row>
    <row r="612" spans="8:8" x14ac:dyDescent="0.25">
      <c r="H612" s="6"/>
    </row>
    <row r="613" spans="8:8" x14ac:dyDescent="0.25">
      <c r="H613" s="6"/>
    </row>
    <row r="614" spans="8:8" x14ac:dyDescent="0.25">
      <c r="H614" s="6"/>
    </row>
    <row r="615" spans="8:8" x14ac:dyDescent="0.25">
      <c r="H615" s="6"/>
    </row>
    <row r="616" spans="8:8" x14ac:dyDescent="0.25">
      <c r="H616" s="6"/>
    </row>
    <row r="617" spans="8:8" x14ac:dyDescent="0.25">
      <c r="H617" s="6"/>
    </row>
    <row r="618" spans="8:8" x14ac:dyDescent="0.25">
      <c r="H618" s="6"/>
    </row>
    <row r="619" spans="8:8" x14ac:dyDescent="0.25">
      <c r="H619" s="6"/>
    </row>
    <row r="620" spans="8:8" x14ac:dyDescent="0.25">
      <c r="H620" s="6"/>
    </row>
    <row r="621" spans="8:8" x14ac:dyDescent="0.25">
      <c r="H621" s="6"/>
    </row>
    <row r="622" spans="8:8" x14ac:dyDescent="0.25">
      <c r="H622" s="6"/>
    </row>
    <row r="623" spans="8:8" x14ac:dyDescent="0.25">
      <c r="H623" s="6"/>
    </row>
    <row r="624" spans="8:8" x14ac:dyDescent="0.25">
      <c r="H624" s="6"/>
    </row>
    <row r="625" spans="8:8" x14ac:dyDescent="0.25">
      <c r="H625" s="6"/>
    </row>
    <row r="626" spans="8:8" x14ac:dyDescent="0.25">
      <c r="H626" s="6"/>
    </row>
    <row r="627" spans="8:8" x14ac:dyDescent="0.25">
      <c r="H627" s="6"/>
    </row>
    <row r="628" spans="8:8" x14ac:dyDescent="0.25">
      <c r="H628" s="6"/>
    </row>
    <row r="629" spans="8:8" x14ac:dyDescent="0.25">
      <c r="H629" s="6"/>
    </row>
    <row r="630" spans="8:8" x14ac:dyDescent="0.25">
      <c r="H630" s="6"/>
    </row>
    <row r="631" spans="8:8" x14ac:dyDescent="0.25">
      <c r="H631" s="6"/>
    </row>
    <row r="632" spans="8:8" x14ac:dyDescent="0.25">
      <c r="H632" s="6"/>
    </row>
    <row r="633" spans="8:8" x14ac:dyDescent="0.25">
      <c r="H633" s="6"/>
    </row>
    <row r="634" spans="8:8" x14ac:dyDescent="0.25">
      <c r="H634" s="6"/>
    </row>
    <row r="635" spans="8:8" x14ac:dyDescent="0.25">
      <c r="H635" s="6"/>
    </row>
    <row r="636" spans="8:8" x14ac:dyDescent="0.25">
      <c r="H636" s="6"/>
    </row>
    <row r="637" spans="8:8" x14ac:dyDescent="0.25">
      <c r="H637" s="6"/>
    </row>
    <row r="638" spans="8:8" x14ac:dyDescent="0.25">
      <c r="H638" s="6"/>
    </row>
    <row r="639" spans="8:8" x14ac:dyDescent="0.25">
      <c r="H639" s="6"/>
    </row>
    <row r="640" spans="8:8" x14ac:dyDescent="0.25">
      <c r="H640" s="6"/>
    </row>
    <row r="641" spans="8:8" x14ac:dyDescent="0.25">
      <c r="H641" s="6"/>
    </row>
    <row r="642" spans="8:8" x14ac:dyDescent="0.25">
      <c r="H642" s="6"/>
    </row>
    <row r="643" spans="8:8" x14ac:dyDescent="0.25">
      <c r="H643" s="6"/>
    </row>
    <row r="644" spans="8:8" x14ac:dyDescent="0.25">
      <c r="H644" s="6"/>
    </row>
    <row r="645" spans="8:8" x14ac:dyDescent="0.25">
      <c r="H645" s="6"/>
    </row>
    <row r="646" spans="8:8" x14ac:dyDescent="0.25">
      <c r="H646" s="6"/>
    </row>
    <row r="647" spans="8:8" x14ac:dyDescent="0.25">
      <c r="H647" s="6"/>
    </row>
  </sheetData>
  <autoFilter ref="A1:H557" xr:uid="{C1174E22-5B75-48FE-8295-42DA4DA42DA1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DD1-86AB-4228-9F21-AC563D3D8DA9}">
  <sheetPr filterMode="1"/>
  <dimension ref="A1:I1032"/>
  <sheetViews>
    <sheetView workbookViewId="0">
      <selection activeCell="D169" sqref="D169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</cols>
  <sheetData>
    <row r="1" spans="1:9" x14ac:dyDescent="0.25">
      <c r="A1" s="1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</row>
    <row r="2" spans="1:9" hidden="1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</row>
    <row r="3" spans="1:9" hidden="1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</row>
    <row r="4" spans="1:9" hidden="1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</row>
    <row r="5" spans="1:9" hidden="1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</row>
    <row r="6" spans="1:9" hidden="1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</row>
    <row r="7" spans="1:9" hidden="1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</row>
    <row r="8" spans="1:9" hidden="1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</row>
    <row r="9" spans="1:9" hidden="1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</row>
    <row r="10" spans="1:9" hidden="1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</row>
    <row r="11" spans="1:9" hidden="1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</row>
    <row r="12" spans="1:9" hidden="1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</row>
    <row r="13" spans="1:9" hidden="1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</row>
    <row r="14" spans="1:9" hidden="1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</row>
    <row r="15" spans="1:9" hidden="1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</row>
    <row r="16" spans="1:9" hidden="1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</row>
    <row r="17" spans="1:9" hidden="1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</row>
    <row r="18" spans="1:9" hidden="1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</row>
    <row r="19" spans="1:9" hidden="1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</row>
    <row r="20" spans="1:9" hidden="1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</row>
    <row r="21" spans="1:9" hidden="1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</row>
    <row r="22" spans="1:9" hidden="1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</row>
    <row r="23" spans="1:9" hidden="1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</row>
    <row r="24" spans="1:9" hidden="1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</row>
    <row r="25" spans="1:9" hidden="1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</row>
    <row r="26" spans="1:9" hidden="1" x14ac:dyDescent="0.25">
      <c r="A26" s="3">
        <v>45946</v>
      </c>
      <c r="B26">
        <v>2025002301</v>
      </c>
      <c r="C26" t="s">
        <v>140</v>
      </c>
      <c r="D26" s="15">
        <v>6300000</v>
      </c>
      <c r="E26">
        <v>59825948</v>
      </c>
      <c r="F26" t="s">
        <v>62</v>
      </c>
      <c r="G26" t="s">
        <v>106</v>
      </c>
      <c r="H26" t="s">
        <v>140</v>
      </c>
      <c r="I26" s="9" t="s">
        <v>97</v>
      </c>
    </row>
    <row r="27" spans="1:9" hidden="1" x14ac:dyDescent="0.25">
      <c r="A27" s="3">
        <v>45946</v>
      </c>
      <c r="B27">
        <v>2025002306</v>
      </c>
      <c r="C27" t="s">
        <v>141</v>
      </c>
      <c r="D27" s="15">
        <v>6300000</v>
      </c>
      <c r="E27">
        <v>1010010954</v>
      </c>
      <c r="F27" t="s">
        <v>142</v>
      </c>
      <c r="G27" t="s">
        <v>106</v>
      </c>
      <c r="H27" t="s">
        <v>141</v>
      </c>
      <c r="I27" s="9" t="s">
        <v>97</v>
      </c>
    </row>
    <row r="28" spans="1:9" hidden="1" x14ac:dyDescent="0.25">
      <c r="A28" s="3">
        <v>45947</v>
      </c>
      <c r="B28">
        <v>2025002314</v>
      </c>
      <c r="C28" t="s">
        <v>143</v>
      </c>
      <c r="D28" s="15">
        <v>4730000</v>
      </c>
      <c r="E28">
        <v>1085343783</v>
      </c>
      <c r="F28" t="s">
        <v>20</v>
      </c>
      <c r="G28" t="s">
        <v>106</v>
      </c>
      <c r="H28" t="s">
        <v>143</v>
      </c>
      <c r="I28" s="9" t="s">
        <v>97</v>
      </c>
    </row>
    <row r="29" spans="1:9" hidden="1" x14ac:dyDescent="0.25">
      <c r="A29" s="3">
        <v>45947</v>
      </c>
      <c r="B29">
        <v>2025002315</v>
      </c>
      <c r="C29" t="s">
        <v>144</v>
      </c>
      <c r="D29" s="15">
        <v>3150000</v>
      </c>
      <c r="E29">
        <v>1085300095</v>
      </c>
      <c r="F29" t="s">
        <v>64</v>
      </c>
      <c r="G29" t="s">
        <v>106</v>
      </c>
      <c r="H29" t="s">
        <v>144</v>
      </c>
      <c r="I29" s="9" t="s">
        <v>97</v>
      </c>
    </row>
    <row r="30" spans="1:9" hidden="1" x14ac:dyDescent="0.25">
      <c r="A30" s="3">
        <v>45947</v>
      </c>
      <c r="B30">
        <v>2025002316</v>
      </c>
      <c r="C30" t="s">
        <v>145</v>
      </c>
      <c r="D30" s="15">
        <v>3150000</v>
      </c>
      <c r="E30">
        <v>1081272656</v>
      </c>
      <c r="F30" t="s">
        <v>146</v>
      </c>
      <c r="G30" t="s">
        <v>106</v>
      </c>
      <c r="H30" t="s">
        <v>145</v>
      </c>
      <c r="I30" s="9" t="s">
        <v>97</v>
      </c>
    </row>
    <row r="31" spans="1:9" hidden="1" x14ac:dyDescent="0.25">
      <c r="A31" s="3">
        <v>45947</v>
      </c>
      <c r="B31">
        <v>2025002317</v>
      </c>
      <c r="C31" t="s">
        <v>147</v>
      </c>
      <c r="D31" s="15">
        <v>3150000</v>
      </c>
      <c r="E31">
        <v>27088197</v>
      </c>
      <c r="F31" t="s">
        <v>83</v>
      </c>
      <c r="G31" t="s">
        <v>106</v>
      </c>
      <c r="H31" t="s">
        <v>147</v>
      </c>
      <c r="I31" s="9" t="s">
        <v>97</v>
      </c>
    </row>
    <row r="32" spans="1:9" hidden="1" x14ac:dyDescent="0.25">
      <c r="A32" s="3">
        <v>45947</v>
      </c>
      <c r="B32">
        <v>2025002318</v>
      </c>
      <c r="C32" t="s">
        <v>148</v>
      </c>
      <c r="D32" s="15">
        <v>6300000</v>
      </c>
      <c r="E32">
        <v>1085286476</v>
      </c>
      <c r="F32" t="s">
        <v>11</v>
      </c>
      <c r="G32" t="s">
        <v>106</v>
      </c>
      <c r="H32" t="s">
        <v>148</v>
      </c>
      <c r="I32" s="9" t="s">
        <v>97</v>
      </c>
    </row>
    <row r="33" spans="1:9" hidden="1" x14ac:dyDescent="0.25">
      <c r="A33" s="3">
        <v>45947</v>
      </c>
      <c r="B33">
        <v>2025002319</v>
      </c>
      <c r="C33" t="s">
        <v>149</v>
      </c>
      <c r="D33" s="15">
        <v>3150000</v>
      </c>
      <c r="E33">
        <v>36952916</v>
      </c>
      <c r="F33" t="s">
        <v>150</v>
      </c>
      <c r="G33" t="s">
        <v>106</v>
      </c>
      <c r="H33" t="s">
        <v>149</v>
      </c>
      <c r="I33" s="9" t="s">
        <v>97</v>
      </c>
    </row>
    <row r="34" spans="1:9" hidden="1" x14ac:dyDescent="0.25">
      <c r="A34" s="3">
        <v>45947</v>
      </c>
      <c r="B34">
        <v>2025002320</v>
      </c>
      <c r="C34" t="s">
        <v>151</v>
      </c>
      <c r="D34" s="15">
        <v>3150000</v>
      </c>
      <c r="E34">
        <v>1081272025</v>
      </c>
      <c r="F34" t="s">
        <v>46</v>
      </c>
      <c r="G34" t="s">
        <v>106</v>
      </c>
      <c r="H34" t="s">
        <v>151</v>
      </c>
      <c r="I34" s="9" t="s">
        <v>97</v>
      </c>
    </row>
    <row r="35" spans="1:9" hidden="1" x14ac:dyDescent="0.25">
      <c r="A35" s="3">
        <v>45947</v>
      </c>
      <c r="B35">
        <v>2025002321</v>
      </c>
      <c r="C35" t="s">
        <v>152</v>
      </c>
      <c r="D35" s="15">
        <v>3150000</v>
      </c>
      <c r="E35">
        <v>1080690337</v>
      </c>
      <c r="F35" t="s">
        <v>101</v>
      </c>
      <c r="G35" t="s">
        <v>106</v>
      </c>
      <c r="H35" t="s">
        <v>152</v>
      </c>
      <c r="I35" s="9" t="s">
        <v>97</v>
      </c>
    </row>
    <row r="36" spans="1:9" hidden="1" x14ac:dyDescent="0.25">
      <c r="A36" s="3">
        <v>45947</v>
      </c>
      <c r="B36">
        <v>2025002322</v>
      </c>
      <c r="C36" t="s">
        <v>153</v>
      </c>
      <c r="D36" s="15">
        <v>3150000</v>
      </c>
      <c r="E36">
        <v>1081572043</v>
      </c>
      <c r="F36" t="s">
        <v>53</v>
      </c>
      <c r="G36" t="s">
        <v>106</v>
      </c>
      <c r="H36" t="s">
        <v>153</v>
      </c>
      <c r="I36" s="9" t="s">
        <v>97</v>
      </c>
    </row>
    <row r="37" spans="1:9" hidden="1" x14ac:dyDescent="0.25">
      <c r="A37" s="3">
        <v>45947</v>
      </c>
      <c r="B37">
        <v>2025002323</v>
      </c>
      <c r="C37" t="s">
        <v>154</v>
      </c>
      <c r="D37" s="15">
        <v>3150000</v>
      </c>
      <c r="E37">
        <v>1085265947</v>
      </c>
      <c r="F37" t="s">
        <v>155</v>
      </c>
      <c r="G37" t="s">
        <v>106</v>
      </c>
      <c r="H37" t="s">
        <v>154</v>
      </c>
      <c r="I37" s="9" t="s">
        <v>97</v>
      </c>
    </row>
    <row r="38" spans="1:9" hidden="1" x14ac:dyDescent="0.25">
      <c r="A38" s="3">
        <v>45950</v>
      </c>
      <c r="B38">
        <v>2025002328</v>
      </c>
      <c r="C38" t="s">
        <v>156</v>
      </c>
      <c r="D38" s="15">
        <v>3150000</v>
      </c>
      <c r="E38">
        <v>1085339190</v>
      </c>
      <c r="F38" t="s">
        <v>49</v>
      </c>
      <c r="G38" t="s">
        <v>106</v>
      </c>
      <c r="H38" t="s">
        <v>156</v>
      </c>
      <c r="I38" s="9" t="s">
        <v>97</v>
      </c>
    </row>
    <row r="39" spans="1:9" hidden="1" x14ac:dyDescent="0.25">
      <c r="A39" s="3">
        <v>45950</v>
      </c>
      <c r="B39">
        <v>2025002329</v>
      </c>
      <c r="C39" t="s">
        <v>157</v>
      </c>
      <c r="D39" s="15">
        <v>3150000</v>
      </c>
      <c r="E39">
        <v>59314458</v>
      </c>
      <c r="F39" t="s">
        <v>82</v>
      </c>
      <c r="G39" t="s">
        <v>106</v>
      </c>
      <c r="H39" t="s">
        <v>157</v>
      </c>
      <c r="I39" s="9" t="s">
        <v>97</v>
      </c>
    </row>
    <row r="40" spans="1:9" hidden="1" x14ac:dyDescent="0.25">
      <c r="A40" s="3">
        <v>45950</v>
      </c>
      <c r="B40">
        <v>2025002330</v>
      </c>
      <c r="C40" t="s">
        <v>158</v>
      </c>
      <c r="D40" s="15">
        <v>3150000</v>
      </c>
      <c r="E40">
        <v>1085315013</v>
      </c>
      <c r="F40" t="s">
        <v>47</v>
      </c>
      <c r="G40" t="s">
        <v>106</v>
      </c>
      <c r="H40" t="s">
        <v>158</v>
      </c>
      <c r="I40" s="9" t="s">
        <v>97</v>
      </c>
    </row>
    <row r="41" spans="1:9" hidden="1" x14ac:dyDescent="0.25">
      <c r="A41" s="3">
        <v>45950</v>
      </c>
      <c r="B41">
        <v>2025002331</v>
      </c>
      <c r="C41" t="s">
        <v>159</v>
      </c>
      <c r="D41" s="15">
        <v>3900000</v>
      </c>
      <c r="E41">
        <v>1233193769</v>
      </c>
      <c r="F41" t="s">
        <v>160</v>
      </c>
      <c r="G41" t="s">
        <v>106</v>
      </c>
      <c r="H41" t="s">
        <v>159</v>
      </c>
      <c r="I41" s="9" t="s">
        <v>97</v>
      </c>
    </row>
    <row r="42" spans="1:9" hidden="1" x14ac:dyDescent="0.25">
      <c r="A42" s="3">
        <v>45950</v>
      </c>
      <c r="B42">
        <v>2025002332</v>
      </c>
      <c r="C42" t="s">
        <v>161</v>
      </c>
      <c r="D42" s="15">
        <v>3900000</v>
      </c>
      <c r="E42">
        <v>1085274300</v>
      </c>
      <c r="F42" t="s">
        <v>162</v>
      </c>
      <c r="G42" t="s">
        <v>106</v>
      </c>
      <c r="H42" t="s">
        <v>161</v>
      </c>
      <c r="I42" s="9" t="s">
        <v>97</v>
      </c>
    </row>
    <row r="43" spans="1:9" hidden="1" x14ac:dyDescent="0.25">
      <c r="A43" s="3">
        <v>45950</v>
      </c>
      <c r="B43">
        <v>2025002339</v>
      </c>
      <c r="C43" t="s">
        <v>163</v>
      </c>
      <c r="D43" s="15">
        <v>3900000</v>
      </c>
      <c r="E43">
        <v>1233188295</v>
      </c>
      <c r="F43" t="s">
        <v>164</v>
      </c>
      <c r="G43" t="s">
        <v>106</v>
      </c>
      <c r="H43" t="s">
        <v>163</v>
      </c>
      <c r="I43" s="9" t="s">
        <v>97</v>
      </c>
    </row>
    <row r="44" spans="1:9" hidden="1" x14ac:dyDescent="0.25">
      <c r="A44" s="3">
        <v>45950</v>
      </c>
      <c r="B44">
        <v>2025002340</v>
      </c>
      <c r="C44" t="s">
        <v>165</v>
      </c>
      <c r="D44" s="15">
        <v>3900000</v>
      </c>
      <c r="E44">
        <v>1089846684</v>
      </c>
      <c r="F44" t="s">
        <v>166</v>
      </c>
      <c r="G44" t="s">
        <v>106</v>
      </c>
      <c r="H44" t="s">
        <v>165</v>
      </c>
      <c r="I44" s="9" t="s">
        <v>97</v>
      </c>
    </row>
    <row r="45" spans="1:9" hidden="1" x14ac:dyDescent="0.25">
      <c r="A45" s="3">
        <v>45950</v>
      </c>
      <c r="B45">
        <v>2025002342</v>
      </c>
      <c r="C45" t="s">
        <v>167</v>
      </c>
      <c r="D45" s="15">
        <v>3150000</v>
      </c>
      <c r="E45">
        <v>1193383314</v>
      </c>
      <c r="F45" t="s">
        <v>168</v>
      </c>
      <c r="G45" t="s">
        <v>106</v>
      </c>
      <c r="H45" t="s">
        <v>167</v>
      </c>
      <c r="I45" s="9" t="s">
        <v>97</v>
      </c>
    </row>
    <row r="46" spans="1:9" hidden="1" x14ac:dyDescent="0.25">
      <c r="A46" s="3">
        <v>45950</v>
      </c>
      <c r="B46">
        <v>2025002343</v>
      </c>
      <c r="C46" t="s">
        <v>169</v>
      </c>
      <c r="D46" s="15">
        <v>1575000</v>
      </c>
      <c r="E46">
        <v>37082272</v>
      </c>
      <c r="F46" t="s">
        <v>170</v>
      </c>
      <c r="G46" t="s">
        <v>106</v>
      </c>
      <c r="H46" t="s">
        <v>169</v>
      </c>
      <c r="I46" s="9" t="s">
        <v>97</v>
      </c>
    </row>
    <row r="47" spans="1:9" hidden="1" x14ac:dyDescent="0.25">
      <c r="A47" s="3">
        <v>45950</v>
      </c>
      <c r="B47">
        <v>2025002344</v>
      </c>
      <c r="C47" t="s">
        <v>171</v>
      </c>
      <c r="D47" s="15">
        <v>1575000</v>
      </c>
      <c r="E47">
        <v>1085323163</v>
      </c>
      <c r="F47" t="s">
        <v>172</v>
      </c>
      <c r="G47" t="s">
        <v>106</v>
      </c>
      <c r="H47" t="s">
        <v>171</v>
      </c>
      <c r="I47" s="9" t="s">
        <v>97</v>
      </c>
    </row>
    <row r="48" spans="1:9" hidden="1" x14ac:dyDescent="0.25">
      <c r="A48" s="3">
        <v>45950</v>
      </c>
      <c r="B48">
        <v>2025002345</v>
      </c>
      <c r="C48" t="s">
        <v>173</v>
      </c>
      <c r="D48" s="15">
        <v>3150000</v>
      </c>
      <c r="E48">
        <v>1085288636</v>
      </c>
      <c r="F48" t="s">
        <v>174</v>
      </c>
      <c r="G48" t="s">
        <v>106</v>
      </c>
      <c r="H48" t="s">
        <v>173</v>
      </c>
      <c r="I48" s="9" t="s">
        <v>97</v>
      </c>
    </row>
    <row r="49" spans="1:9" hidden="1" x14ac:dyDescent="0.25">
      <c r="A49" s="3">
        <v>45950</v>
      </c>
      <c r="B49">
        <v>2025002349</v>
      </c>
      <c r="C49" t="s">
        <v>175</v>
      </c>
      <c r="D49" s="15">
        <v>3150000</v>
      </c>
      <c r="E49">
        <v>1085255829</v>
      </c>
      <c r="F49" t="s">
        <v>34</v>
      </c>
      <c r="G49" t="s">
        <v>106</v>
      </c>
      <c r="H49" t="s">
        <v>175</v>
      </c>
      <c r="I49" s="9" t="s">
        <v>97</v>
      </c>
    </row>
    <row r="50" spans="1:9" hidden="1" x14ac:dyDescent="0.25">
      <c r="A50" s="3">
        <v>45950</v>
      </c>
      <c r="B50">
        <v>2025002351</v>
      </c>
      <c r="C50" t="s">
        <v>176</v>
      </c>
      <c r="D50" s="15">
        <v>3150000</v>
      </c>
      <c r="E50">
        <v>1004131976</v>
      </c>
      <c r="F50" t="s">
        <v>177</v>
      </c>
      <c r="G50" t="s">
        <v>106</v>
      </c>
      <c r="H50" t="s">
        <v>176</v>
      </c>
      <c r="I50" s="9" t="s">
        <v>97</v>
      </c>
    </row>
    <row r="51" spans="1:9" hidden="1" x14ac:dyDescent="0.25">
      <c r="A51" s="3">
        <v>45950</v>
      </c>
      <c r="B51">
        <v>2025002353</v>
      </c>
      <c r="C51" t="s">
        <v>178</v>
      </c>
      <c r="D51" s="15">
        <v>3150000</v>
      </c>
      <c r="E51">
        <v>1085275473</v>
      </c>
      <c r="F51" t="s">
        <v>179</v>
      </c>
      <c r="G51" t="s">
        <v>106</v>
      </c>
      <c r="H51" t="s">
        <v>178</v>
      </c>
      <c r="I51" s="9" t="s">
        <v>97</v>
      </c>
    </row>
    <row r="52" spans="1:9" hidden="1" x14ac:dyDescent="0.25">
      <c r="A52" s="3">
        <v>45951</v>
      </c>
      <c r="B52">
        <v>2025002357</v>
      </c>
      <c r="C52" t="s">
        <v>180</v>
      </c>
      <c r="D52" s="15">
        <v>4730000</v>
      </c>
      <c r="E52">
        <v>36756149</v>
      </c>
      <c r="F52" t="s">
        <v>181</v>
      </c>
      <c r="G52" t="s">
        <v>106</v>
      </c>
      <c r="H52" t="s">
        <v>180</v>
      </c>
      <c r="I52" s="9" t="s">
        <v>97</v>
      </c>
    </row>
    <row r="53" spans="1:9" hidden="1" x14ac:dyDescent="0.25">
      <c r="A53" s="3">
        <v>45951</v>
      </c>
      <c r="B53">
        <v>2025002361</v>
      </c>
      <c r="C53" t="s">
        <v>182</v>
      </c>
      <c r="D53" s="15">
        <v>7800000</v>
      </c>
      <c r="E53">
        <v>1233189066</v>
      </c>
      <c r="F53" t="s">
        <v>183</v>
      </c>
      <c r="G53" t="s">
        <v>106</v>
      </c>
      <c r="H53" t="s">
        <v>182</v>
      </c>
      <c r="I53" s="9" t="s">
        <v>97</v>
      </c>
    </row>
    <row r="54" spans="1:9" hidden="1" x14ac:dyDescent="0.25">
      <c r="A54" s="3">
        <v>45951</v>
      </c>
      <c r="B54">
        <v>2025002363</v>
      </c>
      <c r="C54" t="s">
        <v>184</v>
      </c>
      <c r="D54" s="15">
        <v>3150000</v>
      </c>
      <c r="E54">
        <v>1137624011</v>
      </c>
      <c r="F54" t="s">
        <v>27</v>
      </c>
      <c r="G54" t="s">
        <v>106</v>
      </c>
      <c r="H54" t="s">
        <v>184</v>
      </c>
      <c r="I54" s="9" t="s">
        <v>97</v>
      </c>
    </row>
    <row r="55" spans="1:9" hidden="1" x14ac:dyDescent="0.25">
      <c r="A55" s="3">
        <v>45951</v>
      </c>
      <c r="B55">
        <v>2025002365</v>
      </c>
      <c r="C55" t="s">
        <v>185</v>
      </c>
      <c r="D55" s="15">
        <v>1575000</v>
      </c>
      <c r="E55">
        <v>1086330124</v>
      </c>
      <c r="F55" t="s">
        <v>186</v>
      </c>
      <c r="G55" t="s">
        <v>106</v>
      </c>
      <c r="H55" t="s">
        <v>185</v>
      </c>
      <c r="I55" s="9" t="s">
        <v>97</v>
      </c>
    </row>
    <row r="56" spans="1:9" hidden="1" x14ac:dyDescent="0.25">
      <c r="A56" s="3">
        <v>45951</v>
      </c>
      <c r="B56">
        <v>2025002366</v>
      </c>
      <c r="C56" t="s">
        <v>187</v>
      </c>
      <c r="D56" s="15">
        <v>7800000</v>
      </c>
      <c r="E56">
        <v>1084552063</v>
      </c>
      <c r="F56" t="s">
        <v>188</v>
      </c>
      <c r="G56" t="s">
        <v>106</v>
      </c>
      <c r="H56" t="s">
        <v>187</v>
      </c>
      <c r="I56" s="9" t="s">
        <v>97</v>
      </c>
    </row>
    <row r="57" spans="1:9" hidden="1" x14ac:dyDescent="0.25">
      <c r="A57" s="3">
        <v>45951</v>
      </c>
      <c r="B57">
        <v>2025002367</v>
      </c>
      <c r="C57" t="s">
        <v>189</v>
      </c>
      <c r="D57" s="15">
        <v>3150000</v>
      </c>
      <c r="E57">
        <v>1004235479</v>
      </c>
      <c r="F57" t="s">
        <v>67</v>
      </c>
      <c r="G57" t="s">
        <v>106</v>
      </c>
      <c r="H57" t="s">
        <v>189</v>
      </c>
      <c r="I57" s="9" t="s">
        <v>97</v>
      </c>
    </row>
    <row r="58" spans="1:9" hidden="1" x14ac:dyDescent="0.25">
      <c r="A58" s="3">
        <v>45951</v>
      </c>
      <c r="B58">
        <v>2025002369</v>
      </c>
      <c r="C58" t="s">
        <v>190</v>
      </c>
      <c r="D58" s="15">
        <v>6300000</v>
      </c>
      <c r="E58">
        <v>59310291</v>
      </c>
      <c r="F58" t="s">
        <v>191</v>
      </c>
      <c r="G58" t="s">
        <v>106</v>
      </c>
      <c r="H58" t="s">
        <v>190</v>
      </c>
      <c r="I58" s="9" t="s">
        <v>97</v>
      </c>
    </row>
    <row r="59" spans="1:9" hidden="1" x14ac:dyDescent="0.25">
      <c r="A59" s="3">
        <v>45951</v>
      </c>
      <c r="B59">
        <v>2025002370</v>
      </c>
      <c r="C59" t="s">
        <v>192</v>
      </c>
      <c r="D59" s="15">
        <v>3150000</v>
      </c>
      <c r="E59">
        <v>1085286725</v>
      </c>
      <c r="F59" t="s">
        <v>59</v>
      </c>
      <c r="G59" t="s">
        <v>106</v>
      </c>
      <c r="H59" t="s">
        <v>192</v>
      </c>
      <c r="I59" s="9" t="s">
        <v>97</v>
      </c>
    </row>
    <row r="60" spans="1:9" hidden="1" x14ac:dyDescent="0.25">
      <c r="A60" s="3">
        <v>45951</v>
      </c>
      <c r="B60">
        <v>2025002372</v>
      </c>
      <c r="C60" t="s">
        <v>193</v>
      </c>
      <c r="D60" s="15">
        <v>4730000</v>
      </c>
      <c r="E60">
        <v>36757491</v>
      </c>
      <c r="F60" t="s">
        <v>194</v>
      </c>
      <c r="G60" t="s">
        <v>106</v>
      </c>
      <c r="H60" t="s">
        <v>193</v>
      </c>
      <c r="I60" s="9" t="s">
        <v>97</v>
      </c>
    </row>
    <row r="61" spans="1:9" hidden="1" x14ac:dyDescent="0.25">
      <c r="A61" s="3">
        <v>45951</v>
      </c>
      <c r="B61">
        <v>2025002373</v>
      </c>
      <c r="C61" t="s">
        <v>195</v>
      </c>
      <c r="D61" s="15">
        <v>6300000</v>
      </c>
      <c r="E61">
        <v>1084228089</v>
      </c>
      <c r="F61" t="s">
        <v>196</v>
      </c>
      <c r="G61" t="s">
        <v>106</v>
      </c>
      <c r="H61" t="s">
        <v>195</v>
      </c>
      <c r="I61" s="9" t="s">
        <v>97</v>
      </c>
    </row>
    <row r="62" spans="1:9" hidden="1" x14ac:dyDescent="0.25">
      <c r="A62" s="3">
        <v>45951</v>
      </c>
      <c r="B62">
        <v>2025002374</v>
      </c>
      <c r="C62" t="s">
        <v>197</v>
      </c>
      <c r="D62" s="15">
        <v>4730000</v>
      </c>
      <c r="E62">
        <v>1085340885</v>
      </c>
      <c r="F62" t="s">
        <v>36</v>
      </c>
      <c r="G62" t="s">
        <v>106</v>
      </c>
      <c r="H62" t="s">
        <v>197</v>
      </c>
      <c r="I62" s="9" t="s">
        <v>97</v>
      </c>
    </row>
    <row r="63" spans="1:9" hidden="1" x14ac:dyDescent="0.25">
      <c r="A63" s="3">
        <v>45951</v>
      </c>
      <c r="B63">
        <v>2025002375</v>
      </c>
      <c r="C63" t="s">
        <v>198</v>
      </c>
      <c r="D63" s="15">
        <v>7800000</v>
      </c>
      <c r="E63">
        <v>1085334279</v>
      </c>
      <c r="F63" t="s">
        <v>199</v>
      </c>
      <c r="G63" t="s">
        <v>106</v>
      </c>
      <c r="H63" t="s">
        <v>198</v>
      </c>
      <c r="I63" s="9" t="s">
        <v>97</v>
      </c>
    </row>
    <row r="64" spans="1:9" hidden="1" x14ac:dyDescent="0.25">
      <c r="A64" s="3">
        <v>45951</v>
      </c>
      <c r="B64">
        <v>2025002376</v>
      </c>
      <c r="C64" t="s">
        <v>200</v>
      </c>
      <c r="D64" s="15">
        <v>3150000</v>
      </c>
      <c r="E64">
        <v>1089458776</v>
      </c>
      <c r="F64" t="s">
        <v>201</v>
      </c>
      <c r="G64" t="s">
        <v>106</v>
      </c>
      <c r="H64" t="s">
        <v>200</v>
      </c>
      <c r="I64" s="9" t="s">
        <v>97</v>
      </c>
    </row>
    <row r="65" spans="1:9" hidden="1" x14ac:dyDescent="0.25">
      <c r="A65" s="3">
        <v>45951</v>
      </c>
      <c r="B65">
        <v>2025002377</v>
      </c>
      <c r="C65" t="s">
        <v>202</v>
      </c>
      <c r="D65" s="15">
        <v>7800000</v>
      </c>
      <c r="E65">
        <v>37087120</v>
      </c>
      <c r="F65" t="s">
        <v>61</v>
      </c>
      <c r="G65" t="s">
        <v>106</v>
      </c>
      <c r="H65" t="s">
        <v>202</v>
      </c>
      <c r="I65" s="9" t="s">
        <v>97</v>
      </c>
    </row>
    <row r="66" spans="1:9" hidden="1" x14ac:dyDescent="0.25">
      <c r="A66" s="3">
        <v>45951</v>
      </c>
      <c r="B66">
        <v>2025002378</v>
      </c>
      <c r="C66" t="s">
        <v>203</v>
      </c>
      <c r="D66" s="15">
        <v>6300000</v>
      </c>
      <c r="E66">
        <v>1084551863</v>
      </c>
      <c r="F66" t="s">
        <v>204</v>
      </c>
      <c r="G66" t="s">
        <v>106</v>
      </c>
      <c r="H66" t="s">
        <v>203</v>
      </c>
      <c r="I66" s="9" t="s">
        <v>97</v>
      </c>
    </row>
    <row r="67" spans="1:9" hidden="1" x14ac:dyDescent="0.25">
      <c r="A67" s="3">
        <v>45951</v>
      </c>
      <c r="B67">
        <v>2025002379</v>
      </c>
      <c r="C67" t="s">
        <v>1017</v>
      </c>
      <c r="D67" s="15">
        <v>6300000</v>
      </c>
      <c r="E67">
        <v>27090399</v>
      </c>
      <c r="F67" t="s">
        <v>1018</v>
      </c>
      <c r="G67" t="s">
        <v>106</v>
      </c>
      <c r="H67" t="s">
        <v>1017</v>
      </c>
      <c r="I67" s="9" t="s">
        <v>97</v>
      </c>
    </row>
    <row r="68" spans="1:9" hidden="1" x14ac:dyDescent="0.25">
      <c r="A68" s="3">
        <v>45951</v>
      </c>
      <c r="B68">
        <v>2025002380</v>
      </c>
      <c r="C68" t="s">
        <v>205</v>
      </c>
      <c r="D68" s="15">
        <v>7800000</v>
      </c>
      <c r="E68">
        <v>1085336362</v>
      </c>
      <c r="F68" t="s">
        <v>24</v>
      </c>
      <c r="G68" t="s">
        <v>106</v>
      </c>
      <c r="H68" t="s">
        <v>205</v>
      </c>
      <c r="I68" s="9" t="s">
        <v>97</v>
      </c>
    </row>
    <row r="69" spans="1:9" hidden="1" x14ac:dyDescent="0.25">
      <c r="A69" s="3">
        <v>45951</v>
      </c>
      <c r="B69">
        <v>2025002381</v>
      </c>
      <c r="C69" t="s">
        <v>206</v>
      </c>
      <c r="D69" s="15">
        <v>4730000</v>
      </c>
      <c r="E69">
        <v>1085260497</v>
      </c>
      <c r="F69" t="s">
        <v>207</v>
      </c>
      <c r="G69" t="s">
        <v>106</v>
      </c>
      <c r="H69" t="s">
        <v>206</v>
      </c>
      <c r="I69" s="9" t="s">
        <v>97</v>
      </c>
    </row>
    <row r="70" spans="1:9" hidden="1" x14ac:dyDescent="0.25">
      <c r="A70" s="3">
        <v>45951</v>
      </c>
      <c r="B70">
        <v>2025002382</v>
      </c>
      <c r="C70" t="s">
        <v>208</v>
      </c>
      <c r="D70" s="15">
        <v>7800000</v>
      </c>
      <c r="E70">
        <v>1193292339</v>
      </c>
      <c r="F70" t="s">
        <v>209</v>
      </c>
      <c r="G70" t="s">
        <v>106</v>
      </c>
      <c r="H70" t="s">
        <v>208</v>
      </c>
      <c r="I70" s="9" t="s">
        <v>97</v>
      </c>
    </row>
    <row r="71" spans="1:9" hidden="1" x14ac:dyDescent="0.25">
      <c r="A71" s="3">
        <v>45951</v>
      </c>
      <c r="B71">
        <v>2025002384</v>
      </c>
      <c r="C71" t="s">
        <v>210</v>
      </c>
      <c r="D71" s="15">
        <v>4730000</v>
      </c>
      <c r="E71">
        <v>1085318684</v>
      </c>
      <c r="F71" t="s">
        <v>211</v>
      </c>
      <c r="G71" t="s">
        <v>106</v>
      </c>
      <c r="H71" t="s">
        <v>210</v>
      </c>
      <c r="I71" s="9" t="s">
        <v>97</v>
      </c>
    </row>
    <row r="72" spans="1:9" hidden="1" x14ac:dyDescent="0.25">
      <c r="A72" s="3">
        <v>45951</v>
      </c>
      <c r="B72">
        <v>2025002385</v>
      </c>
      <c r="C72" t="s">
        <v>1019</v>
      </c>
      <c r="D72" s="15">
        <v>6300000</v>
      </c>
      <c r="E72">
        <v>37086513</v>
      </c>
      <c r="F72" t="s">
        <v>1020</v>
      </c>
      <c r="G72" t="s">
        <v>106</v>
      </c>
      <c r="H72" t="s">
        <v>1019</v>
      </c>
      <c r="I72" s="9" t="s">
        <v>97</v>
      </c>
    </row>
    <row r="73" spans="1:9" hidden="1" x14ac:dyDescent="0.25">
      <c r="A73" s="3">
        <v>45951</v>
      </c>
      <c r="B73">
        <v>2025002386</v>
      </c>
      <c r="C73" t="s">
        <v>212</v>
      </c>
      <c r="D73" s="15">
        <v>3150000</v>
      </c>
      <c r="E73">
        <v>1087006717</v>
      </c>
      <c r="F73" t="s">
        <v>48</v>
      </c>
      <c r="G73" t="s">
        <v>106</v>
      </c>
      <c r="H73" t="s">
        <v>212</v>
      </c>
      <c r="I73" s="9" t="s">
        <v>97</v>
      </c>
    </row>
    <row r="74" spans="1:9" hidden="1" x14ac:dyDescent="0.25">
      <c r="A74" s="3">
        <v>45951</v>
      </c>
      <c r="B74">
        <v>2025002388</v>
      </c>
      <c r="C74" t="s">
        <v>213</v>
      </c>
      <c r="D74" s="15">
        <v>3150000</v>
      </c>
      <c r="E74">
        <v>1233189234</v>
      </c>
      <c r="F74" t="s">
        <v>21</v>
      </c>
      <c r="G74" t="s">
        <v>106</v>
      </c>
      <c r="H74" t="s">
        <v>213</v>
      </c>
      <c r="I74" s="9" t="s">
        <v>97</v>
      </c>
    </row>
    <row r="75" spans="1:9" hidden="1" x14ac:dyDescent="0.25">
      <c r="A75" s="3">
        <v>45952</v>
      </c>
      <c r="B75">
        <v>2025002389</v>
      </c>
      <c r="C75" t="s">
        <v>214</v>
      </c>
      <c r="D75" s="15">
        <v>4730000</v>
      </c>
      <c r="E75">
        <v>1087960287</v>
      </c>
      <c r="F75" t="s">
        <v>215</v>
      </c>
      <c r="G75" t="s">
        <v>106</v>
      </c>
      <c r="H75" t="s">
        <v>214</v>
      </c>
      <c r="I75" s="9" t="s">
        <v>97</v>
      </c>
    </row>
    <row r="76" spans="1:9" hidden="1" x14ac:dyDescent="0.25">
      <c r="A76" s="3">
        <v>45952</v>
      </c>
      <c r="B76">
        <v>2025002390</v>
      </c>
      <c r="C76" t="s">
        <v>216</v>
      </c>
      <c r="D76" s="15">
        <v>7800000</v>
      </c>
      <c r="E76">
        <v>80765093</v>
      </c>
      <c r="F76" t="s">
        <v>13</v>
      </c>
      <c r="G76" t="s">
        <v>106</v>
      </c>
      <c r="H76" t="s">
        <v>216</v>
      </c>
      <c r="I76" s="9" t="s">
        <v>97</v>
      </c>
    </row>
    <row r="77" spans="1:9" hidden="1" x14ac:dyDescent="0.25">
      <c r="A77" s="3">
        <v>45952</v>
      </c>
      <c r="B77">
        <v>2025002393</v>
      </c>
      <c r="C77" t="s">
        <v>217</v>
      </c>
      <c r="D77" s="15">
        <v>7800000</v>
      </c>
      <c r="E77">
        <v>1006946167</v>
      </c>
      <c r="F77" t="s">
        <v>25</v>
      </c>
      <c r="G77" t="s">
        <v>106</v>
      </c>
      <c r="H77" t="s">
        <v>217</v>
      </c>
      <c r="I77" s="9" t="s">
        <v>97</v>
      </c>
    </row>
    <row r="78" spans="1:9" hidden="1" x14ac:dyDescent="0.25">
      <c r="A78" s="3">
        <v>45952</v>
      </c>
      <c r="B78">
        <v>2025002394</v>
      </c>
      <c r="C78" t="s">
        <v>1021</v>
      </c>
      <c r="D78" s="15">
        <v>6300000</v>
      </c>
      <c r="E78">
        <v>1085284997</v>
      </c>
      <c r="F78" t="s">
        <v>1022</v>
      </c>
      <c r="G78" t="s">
        <v>106</v>
      </c>
      <c r="H78" t="s">
        <v>1021</v>
      </c>
      <c r="I78" s="9" t="s">
        <v>97</v>
      </c>
    </row>
    <row r="79" spans="1:9" hidden="1" x14ac:dyDescent="0.25">
      <c r="A79" s="3">
        <v>45952</v>
      </c>
      <c r="B79">
        <v>2025002395</v>
      </c>
      <c r="C79" t="s">
        <v>218</v>
      </c>
      <c r="D79" s="15">
        <v>3150000</v>
      </c>
      <c r="E79">
        <v>1089458048</v>
      </c>
      <c r="F79" t="s">
        <v>219</v>
      </c>
      <c r="G79" t="s">
        <v>106</v>
      </c>
      <c r="H79" t="s">
        <v>218</v>
      </c>
      <c r="I79" s="9" t="s">
        <v>97</v>
      </c>
    </row>
    <row r="80" spans="1:9" hidden="1" x14ac:dyDescent="0.25">
      <c r="A80" s="3">
        <v>45952</v>
      </c>
      <c r="B80">
        <v>2025002396</v>
      </c>
      <c r="C80" t="s">
        <v>220</v>
      </c>
      <c r="D80" s="15">
        <v>3150000</v>
      </c>
      <c r="E80">
        <v>1086358836</v>
      </c>
      <c r="F80" t="s">
        <v>221</v>
      </c>
      <c r="G80" t="s">
        <v>106</v>
      </c>
      <c r="H80" t="s">
        <v>220</v>
      </c>
      <c r="I80" s="9" t="s">
        <v>97</v>
      </c>
    </row>
    <row r="81" spans="1:9" hidden="1" x14ac:dyDescent="0.25">
      <c r="A81" s="3">
        <v>45952</v>
      </c>
      <c r="B81">
        <v>2025002397</v>
      </c>
      <c r="C81" t="s">
        <v>222</v>
      </c>
      <c r="D81" s="15">
        <v>3150000</v>
      </c>
      <c r="E81">
        <v>36752202</v>
      </c>
      <c r="F81" t="s">
        <v>15</v>
      </c>
      <c r="G81" t="s">
        <v>106</v>
      </c>
      <c r="H81" t="s">
        <v>222</v>
      </c>
      <c r="I81" s="9" t="s">
        <v>97</v>
      </c>
    </row>
    <row r="82" spans="1:9" hidden="1" x14ac:dyDescent="0.25">
      <c r="A82" s="3">
        <v>45952</v>
      </c>
      <c r="B82">
        <v>2025002399</v>
      </c>
      <c r="C82" t="s">
        <v>223</v>
      </c>
      <c r="D82" s="15">
        <v>7800000</v>
      </c>
      <c r="E82">
        <v>1085329980</v>
      </c>
      <c r="F82" t="s">
        <v>8</v>
      </c>
      <c r="G82" t="s">
        <v>106</v>
      </c>
      <c r="H82" t="s">
        <v>223</v>
      </c>
      <c r="I82" s="9" t="s">
        <v>97</v>
      </c>
    </row>
    <row r="83" spans="1:9" hidden="1" x14ac:dyDescent="0.25">
      <c r="A83" s="3">
        <v>45952</v>
      </c>
      <c r="B83">
        <v>2025002400</v>
      </c>
      <c r="C83" t="s">
        <v>224</v>
      </c>
      <c r="D83" s="15">
        <v>4730000</v>
      </c>
      <c r="E83">
        <v>1087413951</v>
      </c>
      <c r="F83" t="s">
        <v>225</v>
      </c>
      <c r="G83" t="s">
        <v>106</v>
      </c>
      <c r="H83" t="s">
        <v>224</v>
      </c>
      <c r="I83" s="9" t="s">
        <v>97</v>
      </c>
    </row>
    <row r="84" spans="1:9" hidden="1" x14ac:dyDescent="0.25">
      <c r="A84" s="3">
        <v>45952</v>
      </c>
      <c r="B84">
        <v>2025002401</v>
      </c>
      <c r="C84" t="s">
        <v>226</v>
      </c>
      <c r="D84" s="15">
        <v>7800000</v>
      </c>
      <c r="E84">
        <v>1083814276</v>
      </c>
      <c r="F84" t="s">
        <v>227</v>
      </c>
      <c r="G84" t="s">
        <v>106</v>
      </c>
      <c r="H84" t="s">
        <v>226</v>
      </c>
      <c r="I84" s="9" t="s">
        <v>97</v>
      </c>
    </row>
    <row r="85" spans="1:9" hidden="1" x14ac:dyDescent="0.25">
      <c r="A85" s="3">
        <v>45952</v>
      </c>
      <c r="B85">
        <v>2025002402</v>
      </c>
      <c r="C85" t="s">
        <v>228</v>
      </c>
      <c r="D85" s="15">
        <v>3150000</v>
      </c>
      <c r="E85">
        <v>1087644986</v>
      </c>
      <c r="F85" t="s">
        <v>229</v>
      </c>
      <c r="G85" t="s">
        <v>106</v>
      </c>
      <c r="H85" t="s">
        <v>228</v>
      </c>
      <c r="I85" s="9" t="s">
        <v>97</v>
      </c>
    </row>
    <row r="86" spans="1:9" hidden="1" x14ac:dyDescent="0.25">
      <c r="A86" s="3">
        <v>45952</v>
      </c>
      <c r="B86">
        <v>2025002403</v>
      </c>
      <c r="C86" t="s">
        <v>230</v>
      </c>
      <c r="D86" s="15">
        <v>7800000</v>
      </c>
      <c r="E86">
        <v>1087006619</v>
      </c>
      <c r="F86" t="s">
        <v>75</v>
      </c>
      <c r="G86" t="s">
        <v>106</v>
      </c>
      <c r="H86" t="s">
        <v>230</v>
      </c>
      <c r="I86" s="9" t="s">
        <v>97</v>
      </c>
    </row>
    <row r="87" spans="1:9" hidden="1" x14ac:dyDescent="0.25">
      <c r="A87" s="3">
        <v>45952</v>
      </c>
      <c r="B87">
        <v>2025002404</v>
      </c>
      <c r="C87" t="s">
        <v>231</v>
      </c>
      <c r="D87" s="15">
        <v>3150000</v>
      </c>
      <c r="E87">
        <v>1081052746</v>
      </c>
      <c r="F87" t="s">
        <v>232</v>
      </c>
      <c r="G87" t="s">
        <v>106</v>
      </c>
      <c r="H87" t="s">
        <v>231</v>
      </c>
      <c r="I87" s="9" t="s">
        <v>97</v>
      </c>
    </row>
    <row r="88" spans="1:9" hidden="1" x14ac:dyDescent="0.25">
      <c r="A88" s="3">
        <v>45952</v>
      </c>
      <c r="B88">
        <v>2025002405</v>
      </c>
      <c r="C88" t="s">
        <v>233</v>
      </c>
      <c r="D88" s="15">
        <v>1575000</v>
      </c>
      <c r="E88">
        <v>1084552048</v>
      </c>
      <c r="F88" t="s">
        <v>80</v>
      </c>
      <c r="G88" t="s">
        <v>106</v>
      </c>
      <c r="H88" t="s">
        <v>233</v>
      </c>
      <c r="I88" s="9" t="s">
        <v>97</v>
      </c>
    </row>
    <row r="89" spans="1:9" hidden="1" x14ac:dyDescent="0.25">
      <c r="A89" s="3">
        <v>45952</v>
      </c>
      <c r="B89">
        <v>2025002406</v>
      </c>
      <c r="C89" t="s">
        <v>234</v>
      </c>
      <c r="D89" s="15">
        <v>3150000</v>
      </c>
      <c r="E89">
        <v>1085302942</v>
      </c>
      <c r="F89" t="s">
        <v>235</v>
      </c>
      <c r="G89" t="s">
        <v>106</v>
      </c>
      <c r="H89" t="s">
        <v>234</v>
      </c>
      <c r="I89" s="9" t="s">
        <v>97</v>
      </c>
    </row>
    <row r="90" spans="1:9" hidden="1" x14ac:dyDescent="0.25">
      <c r="A90" s="3">
        <v>45952</v>
      </c>
      <c r="B90">
        <v>2025002407</v>
      </c>
      <c r="C90" t="s">
        <v>236</v>
      </c>
      <c r="D90" s="15">
        <v>3150000</v>
      </c>
      <c r="E90">
        <v>1085335033</v>
      </c>
      <c r="F90" t="s">
        <v>237</v>
      </c>
      <c r="G90" t="s">
        <v>106</v>
      </c>
      <c r="H90" t="s">
        <v>236</v>
      </c>
      <c r="I90" s="9" t="s">
        <v>97</v>
      </c>
    </row>
    <row r="91" spans="1:9" hidden="1" x14ac:dyDescent="0.25">
      <c r="A91" s="3">
        <v>45952</v>
      </c>
      <c r="B91">
        <v>2025002408</v>
      </c>
      <c r="C91" t="s">
        <v>238</v>
      </c>
      <c r="D91" s="15">
        <v>3150000</v>
      </c>
      <c r="E91">
        <v>1085267332</v>
      </c>
      <c r="F91" t="s">
        <v>239</v>
      </c>
      <c r="G91" t="s">
        <v>106</v>
      </c>
      <c r="H91" t="s">
        <v>238</v>
      </c>
      <c r="I91" s="9" t="s">
        <v>97</v>
      </c>
    </row>
    <row r="92" spans="1:9" hidden="1" x14ac:dyDescent="0.25">
      <c r="A92" s="3">
        <v>45952</v>
      </c>
      <c r="B92">
        <v>2025002409</v>
      </c>
      <c r="C92" t="s">
        <v>240</v>
      </c>
      <c r="D92" s="15">
        <v>6300000</v>
      </c>
      <c r="E92">
        <v>1085296068</v>
      </c>
      <c r="F92" t="s">
        <v>241</v>
      </c>
      <c r="G92" t="s">
        <v>106</v>
      </c>
      <c r="H92" t="s">
        <v>240</v>
      </c>
      <c r="I92" s="9" t="s">
        <v>97</v>
      </c>
    </row>
    <row r="93" spans="1:9" hidden="1" x14ac:dyDescent="0.25">
      <c r="A93" s="3">
        <v>45952</v>
      </c>
      <c r="B93">
        <v>2025002410</v>
      </c>
      <c r="C93" t="s">
        <v>1023</v>
      </c>
      <c r="D93" s="15">
        <v>3150000</v>
      </c>
      <c r="E93">
        <v>27549931</v>
      </c>
      <c r="F93" t="s">
        <v>1024</v>
      </c>
      <c r="G93" t="s">
        <v>106</v>
      </c>
      <c r="H93" t="s">
        <v>1023</v>
      </c>
      <c r="I93" s="9" t="s">
        <v>97</v>
      </c>
    </row>
    <row r="94" spans="1:9" hidden="1" x14ac:dyDescent="0.25">
      <c r="A94" s="3">
        <v>45952</v>
      </c>
      <c r="B94">
        <v>2025002412</v>
      </c>
      <c r="C94" t="s">
        <v>242</v>
      </c>
      <c r="D94" s="15">
        <v>4730000</v>
      </c>
      <c r="E94">
        <v>1084227101</v>
      </c>
      <c r="F94" t="s">
        <v>243</v>
      </c>
      <c r="G94" t="s">
        <v>106</v>
      </c>
      <c r="H94" t="s">
        <v>242</v>
      </c>
      <c r="I94" s="9" t="s">
        <v>97</v>
      </c>
    </row>
    <row r="95" spans="1:9" hidden="1" x14ac:dyDescent="0.25">
      <c r="A95" s="3">
        <v>45952</v>
      </c>
      <c r="B95">
        <v>2025002413</v>
      </c>
      <c r="C95" t="s">
        <v>244</v>
      </c>
      <c r="D95" s="15">
        <v>3150000</v>
      </c>
      <c r="E95">
        <v>1082747438</v>
      </c>
      <c r="F95" t="s">
        <v>86</v>
      </c>
      <c r="G95" t="s">
        <v>106</v>
      </c>
      <c r="H95" t="s">
        <v>244</v>
      </c>
      <c r="I95" s="9" t="s">
        <v>97</v>
      </c>
    </row>
    <row r="96" spans="1:9" hidden="1" x14ac:dyDescent="0.25">
      <c r="A96" s="3">
        <v>45952</v>
      </c>
      <c r="B96">
        <v>2025002414</v>
      </c>
      <c r="C96" t="s">
        <v>245</v>
      </c>
      <c r="D96" s="15">
        <v>4730000</v>
      </c>
      <c r="E96">
        <v>1082749648</v>
      </c>
      <c r="F96" t="s">
        <v>246</v>
      </c>
      <c r="G96" t="s">
        <v>106</v>
      </c>
      <c r="H96" t="s">
        <v>245</v>
      </c>
      <c r="I96" s="9" t="s">
        <v>97</v>
      </c>
    </row>
    <row r="97" spans="1:9" hidden="1" x14ac:dyDescent="0.25">
      <c r="A97" s="3">
        <v>45952</v>
      </c>
      <c r="B97">
        <v>2025002415</v>
      </c>
      <c r="C97" t="s">
        <v>247</v>
      </c>
      <c r="D97" s="15">
        <v>3150000</v>
      </c>
      <c r="E97">
        <v>37087117</v>
      </c>
      <c r="F97" t="s">
        <v>248</v>
      </c>
      <c r="G97" t="s">
        <v>106</v>
      </c>
      <c r="H97" t="s">
        <v>247</v>
      </c>
      <c r="I97" s="9" t="s">
        <v>97</v>
      </c>
    </row>
    <row r="98" spans="1:9" hidden="1" x14ac:dyDescent="0.25">
      <c r="A98" s="3">
        <v>45952</v>
      </c>
      <c r="B98">
        <v>2025002416</v>
      </c>
      <c r="C98" t="s">
        <v>249</v>
      </c>
      <c r="D98" s="15">
        <v>3150000</v>
      </c>
      <c r="E98">
        <v>27276869</v>
      </c>
      <c r="F98" t="s">
        <v>250</v>
      </c>
      <c r="G98" t="s">
        <v>106</v>
      </c>
      <c r="H98" t="s">
        <v>249</v>
      </c>
      <c r="I98" s="9" t="s">
        <v>97</v>
      </c>
    </row>
    <row r="99" spans="1:9" hidden="1" x14ac:dyDescent="0.25">
      <c r="A99" s="3">
        <v>45952</v>
      </c>
      <c r="B99">
        <v>2025002417</v>
      </c>
      <c r="C99" t="s">
        <v>251</v>
      </c>
      <c r="D99" s="15">
        <v>1575000</v>
      </c>
      <c r="E99">
        <v>1086224204</v>
      </c>
      <c r="F99" t="s">
        <v>252</v>
      </c>
      <c r="G99" t="s">
        <v>106</v>
      </c>
      <c r="H99" t="s">
        <v>251</v>
      </c>
      <c r="I99" s="9" t="s">
        <v>97</v>
      </c>
    </row>
    <row r="100" spans="1:9" hidden="1" x14ac:dyDescent="0.25">
      <c r="A100" s="3">
        <v>45952</v>
      </c>
      <c r="B100">
        <v>2025002418</v>
      </c>
      <c r="C100" t="s">
        <v>253</v>
      </c>
      <c r="D100" s="15">
        <v>3150000</v>
      </c>
      <c r="E100">
        <v>59310056</v>
      </c>
      <c r="F100" t="s">
        <v>254</v>
      </c>
      <c r="G100" t="s">
        <v>106</v>
      </c>
      <c r="H100" t="s">
        <v>253</v>
      </c>
      <c r="I100" s="9" t="s">
        <v>97</v>
      </c>
    </row>
    <row r="101" spans="1:9" hidden="1" x14ac:dyDescent="0.25">
      <c r="A101" s="3">
        <v>45952</v>
      </c>
      <c r="B101">
        <v>2025002419</v>
      </c>
      <c r="C101" t="s">
        <v>255</v>
      </c>
      <c r="D101" s="15">
        <v>6300000</v>
      </c>
      <c r="E101">
        <v>1082748420</v>
      </c>
      <c r="F101" t="s">
        <v>74</v>
      </c>
      <c r="G101" t="s">
        <v>106</v>
      </c>
      <c r="H101" t="s">
        <v>255</v>
      </c>
      <c r="I101" s="9" t="s">
        <v>97</v>
      </c>
    </row>
    <row r="102" spans="1:9" hidden="1" x14ac:dyDescent="0.25">
      <c r="A102" s="3">
        <v>45952</v>
      </c>
      <c r="B102">
        <v>2025002426</v>
      </c>
      <c r="C102" t="s">
        <v>256</v>
      </c>
      <c r="D102" s="15">
        <v>4730000</v>
      </c>
      <c r="E102">
        <v>1005829176</v>
      </c>
      <c r="F102" t="s">
        <v>257</v>
      </c>
      <c r="G102" t="s">
        <v>106</v>
      </c>
      <c r="H102" t="s">
        <v>256</v>
      </c>
      <c r="I102" s="9" t="s">
        <v>97</v>
      </c>
    </row>
    <row r="103" spans="1:9" hidden="1" x14ac:dyDescent="0.25">
      <c r="A103" s="3">
        <v>45952</v>
      </c>
      <c r="B103">
        <v>2025002427</v>
      </c>
      <c r="C103" t="s">
        <v>258</v>
      </c>
      <c r="D103" s="15">
        <v>6300000</v>
      </c>
      <c r="E103">
        <v>1014212900</v>
      </c>
      <c r="F103" t="s">
        <v>45</v>
      </c>
      <c r="G103" t="s">
        <v>106</v>
      </c>
      <c r="H103" t="s">
        <v>258</v>
      </c>
      <c r="I103" s="9" t="s">
        <v>97</v>
      </c>
    </row>
    <row r="104" spans="1:9" hidden="1" x14ac:dyDescent="0.25">
      <c r="A104" s="3">
        <v>45953</v>
      </c>
      <c r="B104">
        <v>2025002429</v>
      </c>
      <c r="C104" t="s">
        <v>259</v>
      </c>
      <c r="D104" s="15">
        <v>6300000</v>
      </c>
      <c r="E104">
        <v>1085277976</v>
      </c>
      <c r="F104" t="s">
        <v>260</v>
      </c>
      <c r="G104" t="s">
        <v>106</v>
      </c>
      <c r="H104" t="s">
        <v>259</v>
      </c>
      <c r="I104" s="9" t="s">
        <v>97</v>
      </c>
    </row>
    <row r="105" spans="1:9" hidden="1" x14ac:dyDescent="0.25">
      <c r="A105" s="3">
        <v>45953</v>
      </c>
      <c r="B105">
        <v>2025002430</v>
      </c>
      <c r="C105" t="s">
        <v>261</v>
      </c>
      <c r="D105" s="15">
        <v>7800000</v>
      </c>
      <c r="E105">
        <v>1085293105</v>
      </c>
      <c r="F105" t="s">
        <v>23</v>
      </c>
      <c r="G105" t="s">
        <v>106</v>
      </c>
      <c r="H105" t="s">
        <v>261</v>
      </c>
      <c r="I105" s="9" t="s">
        <v>97</v>
      </c>
    </row>
    <row r="106" spans="1:9" hidden="1" x14ac:dyDescent="0.25">
      <c r="A106" s="3">
        <v>45953</v>
      </c>
      <c r="B106">
        <v>2025002431</v>
      </c>
      <c r="C106" t="s">
        <v>262</v>
      </c>
      <c r="D106" s="15">
        <v>3150000</v>
      </c>
      <c r="E106">
        <v>36758143</v>
      </c>
      <c r="F106" t="s">
        <v>263</v>
      </c>
      <c r="G106" t="s">
        <v>106</v>
      </c>
      <c r="H106" t="s">
        <v>262</v>
      </c>
      <c r="I106" s="9" t="s">
        <v>97</v>
      </c>
    </row>
    <row r="107" spans="1:9" hidden="1" x14ac:dyDescent="0.25">
      <c r="A107" s="3">
        <v>45953</v>
      </c>
      <c r="B107">
        <v>2025002434</v>
      </c>
      <c r="C107" t="s">
        <v>1025</v>
      </c>
      <c r="D107" s="15">
        <v>4730000</v>
      </c>
      <c r="E107">
        <v>36953206</v>
      </c>
      <c r="F107" t="s">
        <v>1026</v>
      </c>
      <c r="G107" t="s">
        <v>106</v>
      </c>
      <c r="H107" t="s">
        <v>1025</v>
      </c>
      <c r="I107" s="9" t="s">
        <v>97</v>
      </c>
    </row>
    <row r="108" spans="1:9" hidden="1" x14ac:dyDescent="0.25">
      <c r="A108" s="3">
        <v>45953</v>
      </c>
      <c r="B108">
        <v>2025002435</v>
      </c>
      <c r="C108" t="s">
        <v>264</v>
      </c>
      <c r="D108" s="15">
        <v>7800000</v>
      </c>
      <c r="E108">
        <v>1193202097</v>
      </c>
      <c r="F108" t="s">
        <v>57</v>
      </c>
      <c r="G108" t="s">
        <v>106</v>
      </c>
      <c r="H108" t="s">
        <v>264</v>
      </c>
      <c r="I108" s="9" t="s">
        <v>97</v>
      </c>
    </row>
    <row r="109" spans="1:9" hidden="1" x14ac:dyDescent="0.25">
      <c r="A109" s="3">
        <v>45953</v>
      </c>
      <c r="B109">
        <v>2025002436</v>
      </c>
      <c r="C109" t="s">
        <v>265</v>
      </c>
      <c r="D109" s="15">
        <v>6300000</v>
      </c>
      <c r="E109">
        <v>59820414</v>
      </c>
      <c r="F109" t="s">
        <v>54</v>
      </c>
      <c r="G109" t="s">
        <v>106</v>
      </c>
      <c r="H109" t="s">
        <v>265</v>
      </c>
      <c r="I109" s="9" t="s">
        <v>97</v>
      </c>
    </row>
    <row r="110" spans="1:9" hidden="1" x14ac:dyDescent="0.25">
      <c r="A110" s="3">
        <v>45953</v>
      </c>
      <c r="B110">
        <v>2025002437</v>
      </c>
      <c r="C110" t="s">
        <v>266</v>
      </c>
      <c r="D110" s="15">
        <v>4730000</v>
      </c>
      <c r="E110">
        <v>59651018</v>
      </c>
      <c r="F110" t="s">
        <v>18</v>
      </c>
      <c r="G110" t="s">
        <v>106</v>
      </c>
      <c r="H110" t="s">
        <v>266</v>
      </c>
      <c r="I110" s="9" t="s">
        <v>97</v>
      </c>
    </row>
    <row r="111" spans="1:9" hidden="1" x14ac:dyDescent="0.25">
      <c r="A111" s="3">
        <v>45953</v>
      </c>
      <c r="B111">
        <v>2025002438</v>
      </c>
      <c r="C111" t="s">
        <v>267</v>
      </c>
      <c r="D111" s="15">
        <v>3150000</v>
      </c>
      <c r="E111">
        <v>1085271641</v>
      </c>
      <c r="F111" t="s">
        <v>41</v>
      </c>
      <c r="G111" t="s">
        <v>106</v>
      </c>
      <c r="H111" t="s">
        <v>267</v>
      </c>
      <c r="I111" s="9" t="s">
        <v>97</v>
      </c>
    </row>
    <row r="112" spans="1:9" hidden="1" x14ac:dyDescent="0.25">
      <c r="A112" s="3">
        <v>45954</v>
      </c>
      <c r="B112">
        <v>2025002439</v>
      </c>
      <c r="C112" t="s">
        <v>268</v>
      </c>
      <c r="D112" s="15">
        <v>3150000</v>
      </c>
      <c r="E112">
        <v>59310853</v>
      </c>
      <c r="F112" t="s">
        <v>65</v>
      </c>
      <c r="G112" t="s">
        <v>106</v>
      </c>
      <c r="H112" t="s">
        <v>268</v>
      </c>
      <c r="I112" s="9" t="s">
        <v>97</v>
      </c>
    </row>
    <row r="113" spans="1:9" hidden="1" x14ac:dyDescent="0.25">
      <c r="A113" s="3">
        <v>45954</v>
      </c>
      <c r="B113">
        <v>2025002442</v>
      </c>
      <c r="C113" t="s">
        <v>269</v>
      </c>
      <c r="D113" s="15">
        <v>7800000</v>
      </c>
      <c r="E113">
        <v>1089483067</v>
      </c>
      <c r="F113" t="s">
        <v>95</v>
      </c>
      <c r="G113" t="s">
        <v>106</v>
      </c>
      <c r="H113" t="s">
        <v>269</v>
      </c>
      <c r="I113" s="9" t="s">
        <v>97</v>
      </c>
    </row>
    <row r="114" spans="1:9" hidden="1" x14ac:dyDescent="0.25">
      <c r="A114" s="3">
        <v>45954</v>
      </c>
      <c r="B114">
        <v>2025002443</v>
      </c>
      <c r="C114" t="s">
        <v>270</v>
      </c>
      <c r="D114" s="15">
        <v>6300000</v>
      </c>
      <c r="E114">
        <v>1085299577</v>
      </c>
      <c r="F114" t="s">
        <v>56</v>
      </c>
      <c r="G114" t="s">
        <v>106</v>
      </c>
      <c r="H114" t="s">
        <v>270</v>
      </c>
      <c r="I114" s="9" t="s">
        <v>97</v>
      </c>
    </row>
    <row r="115" spans="1:9" hidden="1" x14ac:dyDescent="0.25">
      <c r="A115" s="3">
        <v>45954</v>
      </c>
      <c r="B115">
        <v>2025002444</v>
      </c>
      <c r="C115" t="s">
        <v>271</v>
      </c>
      <c r="D115" s="15">
        <v>3150000</v>
      </c>
      <c r="E115">
        <v>59310524</v>
      </c>
      <c r="F115" t="s">
        <v>22</v>
      </c>
      <c r="G115" t="s">
        <v>106</v>
      </c>
      <c r="H115" t="s">
        <v>271</v>
      </c>
      <c r="I115" s="9" t="s">
        <v>97</v>
      </c>
    </row>
    <row r="116" spans="1:9" hidden="1" x14ac:dyDescent="0.25">
      <c r="A116" s="3">
        <v>45954</v>
      </c>
      <c r="B116">
        <v>2025002445</v>
      </c>
      <c r="C116" t="s">
        <v>272</v>
      </c>
      <c r="D116" s="15">
        <v>3150000</v>
      </c>
      <c r="E116">
        <v>1085275879</v>
      </c>
      <c r="F116" t="s">
        <v>43</v>
      </c>
      <c r="G116" t="s">
        <v>106</v>
      </c>
      <c r="H116" t="s">
        <v>272</v>
      </c>
      <c r="I116" s="9" t="s">
        <v>97</v>
      </c>
    </row>
    <row r="117" spans="1:9" hidden="1" x14ac:dyDescent="0.25">
      <c r="A117" s="3">
        <v>45954</v>
      </c>
      <c r="B117">
        <v>2025002446</v>
      </c>
      <c r="C117" t="s">
        <v>273</v>
      </c>
      <c r="D117" s="15">
        <v>3900000</v>
      </c>
      <c r="E117">
        <v>1087645723</v>
      </c>
      <c r="F117" t="s">
        <v>274</v>
      </c>
      <c r="G117" t="s">
        <v>106</v>
      </c>
      <c r="H117" t="s">
        <v>273</v>
      </c>
      <c r="I117" s="9" t="s">
        <v>97</v>
      </c>
    </row>
    <row r="118" spans="1:9" hidden="1" x14ac:dyDescent="0.25">
      <c r="A118" s="3">
        <v>45954</v>
      </c>
      <c r="B118">
        <v>2025002447</v>
      </c>
      <c r="C118" t="s">
        <v>275</v>
      </c>
      <c r="D118" s="15">
        <v>4730000</v>
      </c>
      <c r="E118">
        <v>36950073</v>
      </c>
      <c r="F118" t="s">
        <v>276</v>
      </c>
      <c r="G118" t="s">
        <v>106</v>
      </c>
      <c r="H118" t="s">
        <v>275</v>
      </c>
      <c r="I118" s="9" t="s">
        <v>97</v>
      </c>
    </row>
    <row r="119" spans="1:9" hidden="1" x14ac:dyDescent="0.25">
      <c r="A119" s="3">
        <v>45954</v>
      </c>
      <c r="B119">
        <v>2025002448</v>
      </c>
      <c r="C119" t="s">
        <v>277</v>
      </c>
      <c r="D119" s="15">
        <v>4730000</v>
      </c>
      <c r="E119">
        <v>1086137686</v>
      </c>
      <c r="F119" t="s">
        <v>278</v>
      </c>
      <c r="G119" t="s">
        <v>106</v>
      </c>
      <c r="H119" t="s">
        <v>277</v>
      </c>
      <c r="I119" s="9" t="s">
        <v>97</v>
      </c>
    </row>
    <row r="120" spans="1:9" hidden="1" x14ac:dyDescent="0.25">
      <c r="A120" s="3">
        <v>45954</v>
      </c>
      <c r="B120">
        <v>2025002449</v>
      </c>
      <c r="C120" t="s">
        <v>279</v>
      </c>
      <c r="D120" s="15">
        <v>7800000</v>
      </c>
      <c r="E120">
        <v>1086361969</v>
      </c>
      <c r="F120" t="s">
        <v>280</v>
      </c>
      <c r="G120" t="s">
        <v>106</v>
      </c>
      <c r="H120" t="s">
        <v>279</v>
      </c>
      <c r="I120" s="9" t="s">
        <v>97</v>
      </c>
    </row>
    <row r="121" spans="1:9" hidden="1" x14ac:dyDescent="0.25">
      <c r="A121" s="3">
        <v>45954</v>
      </c>
      <c r="B121">
        <v>2025002450</v>
      </c>
      <c r="C121" t="s">
        <v>281</v>
      </c>
      <c r="D121" s="15">
        <v>6300000</v>
      </c>
      <c r="E121">
        <v>27146489</v>
      </c>
      <c r="F121" t="s">
        <v>9</v>
      </c>
      <c r="G121" t="s">
        <v>106</v>
      </c>
      <c r="H121" t="s">
        <v>281</v>
      </c>
      <c r="I121" s="9" t="s">
        <v>97</v>
      </c>
    </row>
    <row r="122" spans="1:9" hidden="1" x14ac:dyDescent="0.25">
      <c r="A122" s="3">
        <v>45954</v>
      </c>
      <c r="B122">
        <v>2025002451</v>
      </c>
      <c r="C122" t="s">
        <v>282</v>
      </c>
      <c r="D122" s="15">
        <v>4730000</v>
      </c>
      <c r="E122">
        <v>1086360022</v>
      </c>
      <c r="F122" t="s">
        <v>283</v>
      </c>
      <c r="G122" t="s">
        <v>106</v>
      </c>
      <c r="H122" t="s">
        <v>282</v>
      </c>
      <c r="I122" s="9" t="s">
        <v>97</v>
      </c>
    </row>
    <row r="123" spans="1:9" hidden="1" x14ac:dyDescent="0.25">
      <c r="A123" s="3">
        <v>45954</v>
      </c>
      <c r="B123">
        <v>2025002452</v>
      </c>
      <c r="C123" t="s">
        <v>284</v>
      </c>
      <c r="D123" s="15">
        <v>1575000</v>
      </c>
      <c r="E123">
        <v>1085295583</v>
      </c>
      <c r="F123" t="s">
        <v>285</v>
      </c>
      <c r="G123" t="s">
        <v>106</v>
      </c>
      <c r="H123" t="s">
        <v>284</v>
      </c>
      <c r="I123" s="9" t="s">
        <v>97</v>
      </c>
    </row>
    <row r="124" spans="1:9" hidden="1" x14ac:dyDescent="0.25">
      <c r="A124" s="3">
        <v>45954</v>
      </c>
      <c r="B124">
        <v>2025002453</v>
      </c>
      <c r="C124" t="s">
        <v>286</v>
      </c>
      <c r="D124" s="15">
        <v>6300000</v>
      </c>
      <c r="E124">
        <v>1085272491</v>
      </c>
      <c r="F124" t="s">
        <v>287</v>
      </c>
      <c r="G124" t="s">
        <v>106</v>
      </c>
      <c r="H124" t="s">
        <v>286</v>
      </c>
      <c r="I124" s="9" t="s">
        <v>97</v>
      </c>
    </row>
    <row r="125" spans="1:9" hidden="1" x14ac:dyDescent="0.25">
      <c r="A125" s="3">
        <v>45954</v>
      </c>
      <c r="B125">
        <v>2025002455</v>
      </c>
      <c r="C125" t="s">
        <v>288</v>
      </c>
      <c r="D125" s="15">
        <v>1575000</v>
      </c>
      <c r="E125">
        <v>1086328063</v>
      </c>
      <c r="F125" t="s">
        <v>289</v>
      </c>
      <c r="G125" t="s">
        <v>106</v>
      </c>
      <c r="H125" t="s">
        <v>288</v>
      </c>
      <c r="I125" s="9" t="s">
        <v>97</v>
      </c>
    </row>
    <row r="126" spans="1:9" hidden="1" x14ac:dyDescent="0.25">
      <c r="A126" s="3">
        <v>45954</v>
      </c>
      <c r="B126">
        <v>2025002457</v>
      </c>
      <c r="C126" t="s">
        <v>290</v>
      </c>
      <c r="D126" s="15">
        <v>7800000</v>
      </c>
      <c r="E126">
        <v>1233193882</v>
      </c>
      <c r="F126" t="s">
        <v>291</v>
      </c>
      <c r="G126" t="s">
        <v>106</v>
      </c>
      <c r="H126" t="s">
        <v>290</v>
      </c>
      <c r="I126" s="9" t="s">
        <v>97</v>
      </c>
    </row>
    <row r="127" spans="1:9" hidden="1" x14ac:dyDescent="0.25">
      <c r="A127" s="3">
        <v>45954</v>
      </c>
      <c r="B127">
        <v>2025002459</v>
      </c>
      <c r="C127" t="s">
        <v>292</v>
      </c>
      <c r="D127" s="15">
        <v>4730000</v>
      </c>
      <c r="E127">
        <v>36759759</v>
      </c>
      <c r="F127" t="s">
        <v>28</v>
      </c>
      <c r="G127" t="s">
        <v>106</v>
      </c>
      <c r="H127" t="s">
        <v>292</v>
      </c>
      <c r="I127" s="9" t="s">
        <v>97</v>
      </c>
    </row>
    <row r="128" spans="1:9" hidden="1" x14ac:dyDescent="0.25">
      <c r="A128" s="3">
        <v>45954</v>
      </c>
      <c r="B128">
        <v>2025002460</v>
      </c>
      <c r="C128" t="s">
        <v>293</v>
      </c>
      <c r="D128" s="15">
        <v>4730000</v>
      </c>
      <c r="E128">
        <v>1085264667</v>
      </c>
      <c r="F128" t="s">
        <v>294</v>
      </c>
      <c r="G128" t="s">
        <v>106</v>
      </c>
      <c r="H128" t="s">
        <v>293</v>
      </c>
      <c r="I128" s="9" t="s">
        <v>97</v>
      </c>
    </row>
    <row r="129" spans="1:9" hidden="1" x14ac:dyDescent="0.25">
      <c r="A129" s="3">
        <v>45954</v>
      </c>
      <c r="B129">
        <v>2025002461</v>
      </c>
      <c r="C129" t="s">
        <v>295</v>
      </c>
      <c r="D129" s="15">
        <v>1575000</v>
      </c>
      <c r="E129">
        <v>27444591</v>
      </c>
      <c r="F129" t="s">
        <v>296</v>
      </c>
      <c r="G129" t="s">
        <v>106</v>
      </c>
      <c r="H129" t="s">
        <v>295</v>
      </c>
      <c r="I129" s="9" t="s">
        <v>97</v>
      </c>
    </row>
    <row r="130" spans="1:9" hidden="1" x14ac:dyDescent="0.25">
      <c r="A130" s="3">
        <v>45954</v>
      </c>
      <c r="B130">
        <v>2025002462</v>
      </c>
      <c r="C130" t="s">
        <v>297</v>
      </c>
      <c r="D130" s="15">
        <v>4730000</v>
      </c>
      <c r="E130">
        <v>59824313</v>
      </c>
      <c r="F130" t="s">
        <v>298</v>
      </c>
      <c r="G130" t="s">
        <v>106</v>
      </c>
      <c r="H130" t="s">
        <v>297</v>
      </c>
      <c r="I130" s="9" t="s">
        <v>97</v>
      </c>
    </row>
    <row r="131" spans="1:9" hidden="1" x14ac:dyDescent="0.25">
      <c r="A131" s="3">
        <v>45954</v>
      </c>
      <c r="B131">
        <v>2025002463</v>
      </c>
      <c r="C131" t="s">
        <v>299</v>
      </c>
      <c r="D131" s="15">
        <v>3150000</v>
      </c>
      <c r="E131">
        <v>1004564013</v>
      </c>
      <c r="F131" t="s">
        <v>300</v>
      </c>
      <c r="G131" t="s">
        <v>106</v>
      </c>
      <c r="H131" t="s">
        <v>299</v>
      </c>
      <c r="I131" s="9" t="s">
        <v>97</v>
      </c>
    </row>
    <row r="132" spans="1:9" hidden="1" x14ac:dyDescent="0.25">
      <c r="A132" s="3">
        <v>45954</v>
      </c>
      <c r="B132">
        <v>2025002464</v>
      </c>
      <c r="C132" t="s">
        <v>301</v>
      </c>
      <c r="D132" s="15">
        <v>3150000</v>
      </c>
      <c r="E132">
        <v>1010082397</v>
      </c>
      <c r="F132" t="s">
        <v>32</v>
      </c>
      <c r="G132" t="s">
        <v>106</v>
      </c>
      <c r="H132" t="s">
        <v>301</v>
      </c>
      <c r="I132" s="9" t="s">
        <v>97</v>
      </c>
    </row>
    <row r="133" spans="1:9" hidden="1" x14ac:dyDescent="0.25">
      <c r="A133" s="3">
        <v>45954</v>
      </c>
      <c r="B133">
        <v>2025002465</v>
      </c>
      <c r="C133" t="s">
        <v>302</v>
      </c>
      <c r="D133" s="15">
        <v>3150000</v>
      </c>
      <c r="E133">
        <v>27456421</v>
      </c>
      <c r="F133" t="s">
        <v>303</v>
      </c>
      <c r="G133" t="s">
        <v>106</v>
      </c>
      <c r="H133" t="s">
        <v>302</v>
      </c>
      <c r="I133" s="9" t="s">
        <v>97</v>
      </c>
    </row>
    <row r="134" spans="1:9" hidden="1" x14ac:dyDescent="0.25">
      <c r="A134" s="3">
        <v>45957</v>
      </c>
      <c r="B134">
        <v>2025002466</v>
      </c>
      <c r="C134" t="s">
        <v>304</v>
      </c>
      <c r="D134" s="15">
        <v>3150000</v>
      </c>
      <c r="E134">
        <v>69028150</v>
      </c>
      <c r="F134" t="s">
        <v>12</v>
      </c>
      <c r="G134" t="s">
        <v>106</v>
      </c>
      <c r="H134" t="s">
        <v>304</v>
      </c>
      <c r="I134" s="9" t="s">
        <v>97</v>
      </c>
    </row>
    <row r="135" spans="1:9" hidden="1" x14ac:dyDescent="0.25">
      <c r="A135" s="3">
        <v>45957</v>
      </c>
      <c r="B135">
        <v>2025002467</v>
      </c>
      <c r="C135" t="s">
        <v>1027</v>
      </c>
      <c r="D135" s="15">
        <v>3150000</v>
      </c>
      <c r="E135">
        <v>1086016304</v>
      </c>
      <c r="F135" t="s">
        <v>1028</v>
      </c>
      <c r="G135" t="s">
        <v>106</v>
      </c>
      <c r="H135" t="s">
        <v>1027</v>
      </c>
      <c r="I135" s="9" t="s">
        <v>97</v>
      </c>
    </row>
    <row r="136" spans="1:9" hidden="1" x14ac:dyDescent="0.25">
      <c r="A136" s="3">
        <v>45957</v>
      </c>
      <c r="B136">
        <v>2025002468</v>
      </c>
      <c r="C136" t="s">
        <v>305</v>
      </c>
      <c r="D136" s="15">
        <v>3150000</v>
      </c>
      <c r="E136">
        <v>1004236159</v>
      </c>
      <c r="F136" t="s">
        <v>306</v>
      </c>
      <c r="G136" t="s">
        <v>106</v>
      </c>
      <c r="H136" t="s">
        <v>305</v>
      </c>
      <c r="I136" s="9" t="s">
        <v>97</v>
      </c>
    </row>
    <row r="137" spans="1:9" hidden="1" x14ac:dyDescent="0.25">
      <c r="A137" s="3">
        <v>45957</v>
      </c>
      <c r="B137">
        <v>2025002470</v>
      </c>
      <c r="C137" t="s">
        <v>307</v>
      </c>
      <c r="D137" s="15">
        <v>4730000</v>
      </c>
      <c r="E137">
        <v>1193424771</v>
      </c>
      <c r="F137" t="s">
        <v>308</v>
      </c>
      <c r="G137" t="s">
        <v>106</v>
      </c>
      <c r="H137" t="s">
        <v>307</v>
      </c>
      <c r="I137" s="9" t="s">
        <v>97</v>
      </c>
    </row>
    <row r="138" spans="1:9" hidden="1" x14ac:dyDescent="0.25">
      <c r="A138" s="3">
        <v>45957</v>
      </c>
      <c r="B138">
        <v>2025002471</v>
      </c>
      <c r="C138" t="s">
        <v>309</v>
      </c>
      <c r="D138" s="15">
        <v>3150000</v>
      </c>
      <c r="E138">
        <v>1233193191</v>
      </c>
      <c r="F138" t="s">
        <v>310</v>
      </c>
      <c r="G138" t="s">
        <v>106</v>
      </c>
      <c r="H138" t="s">
        <v>309</v>
      </c>
      <c r="I138" s="9" t="s">
        <v>97</v>
      </c>
    </row>
    <row r="139" spans="1:9" hidden="1" x14ac:dyDescent="0.25">
      <c r="A139" s="3">
        <v>45957</v>
      </c>
      <c r="B139">
        <v>2025002472</v>
      </c>
      <c r="C139" t="s">
        <v>311</v>
      </c>
      <c r="D139" s="15">
        <v>3150000</v>
      </c>
      <c r="E139">
        <v>1085247449</v>
      </c>
      <c r="F139" t="s">
        <v>312</v>
      </c>
      <c r="G139" t="s">
        <v>106</v>
      </c>
      <c r="H139" t="s">
        <v>311</v>
      </c>
      <c r="I139" s="9" t="s">
        <v>97</v>
      </c>
    </row>
    <row r="140" spans="1:9" hidden="1" x14ac:dyDescent="0.25">
      <c r="A140" s="3">
        <v>45957</v>
      </c>
      <c r="B140">
        <v>2025002473</v>
      </c>
      <c r="C140" t="s">
        <v>313</v>
      </c>
      <c r="D140" s="15">
        <v>3150000</v>
      </c>
      <c r="E140">
        <v>1004547484</v>
      </c>
      <c r="F140" t="s">
        <v>314</v>
      </c>
      <c r="G140" t="s">
        <v>106</v>
      </c>
      <c r="H140" t="s">
        <v>313</v>
      </c>
      <c r="I140" s="9" t="s">
        <v>97</v>
      </c>
    </row>
    <row r="141" spans="1:9" hidden="1" x14ac:dyDescent="0.25">
      <c r="A141" s="3">
        <v>45957</v>
      </c>
      <c r="B141">
        <v>2025002474</v>
      </c>
      <c r="C141" t="s">
        <v>315</v>
      </c>
      <c r="D141" s="15">
        <v>3150000</v>
      </c>
      <c r="E141">
        <v>59313711</v>
      </c>
      <c r="F141" t="s">
        <v>316</v>
      </c>
      <c r="G141" t="s">
        <v>106</v>
      </c>
      <c r="H141" t="s">
        <v>315</v>
      </c>
      <c r="I141" s="9" t="s">
        <v>97</v>
      </c>
    </row>
    <row r="142" spans="1:9" hidden="1" x14ac:dyDescent="0.25">
      <c r="A142" s="3">
        <v>45957</v>
      </c>
      <c r="B142">
        <v>2025002476</v>
      </c>
      <c r="C142" t="s">
        <v>1029</v>
      </c>
      <c r="D142" s="15">
        <v>7800000</v>
      </c>
      <c r="E142">
        <v>1085246871</v>
      </c>
      <c r="F142" t="s">
        <v>1030</v>
      </c>
      <c r="G142" t="s">
        <v>106</v>
      </c>
      <c r="H142" t="s">
        <v>1029</v>
      </c>
      <c r="I142" s="9" t="s">
        <v>97</v>
      </c>
    </row>
    <row r="143" spans="1:9" hidden="1" x14ac:dyDescent="0.25">
      <c r="A143" s="3">
        <v>45957</v>
      </c>
      <c r="B143">
        <v>2025002477</v>
      </c>
      <c r="C143" t="s">
        <v>1031</v>
      </c>
      <c r="D143" s="15">
        <v>3150000</v>
      </c>
      <c r="E143">
        <v>1087645341</v>
      </c>
      <c r="F143" t="s">
        <v>1032</v>
      </c>
      <c r="G143" t="s">
        <v>106</v>
      </c>
      <c r="H143" t="s">
        <v>1031</v>
      </c>
      <c r="I143" s="9" t="s">
        <v>97</v>
      </c>
    </row>
    <row r="144" spans="1:9" hidden="1" x14ac:dyDescent="0.25">
      <c r="A144" s="3">
        <v>45957</v>
      </c>
      <c r="B144">
        <v>2025002478</v>
      </c>
      <c r="C144" t="s">
        <v>317</v>
      </c>
      <c r="D144" s="15">
        <v>4730000</v>
      </c>
      <c r="E144">
        <v>1085263018</v>
      </c>
      <c r="F144" t="s">
        <v>318</v>
      </c>
      <c r="G144" t="s">
        <v>106</v>
      </c>
      <c r="H144" t="s">
        <v>317</v>
      </c>
      <c r="I144" s="9" t="s">
        <v>97</v>
      </c>
    </row>
    <row r="145" spans="1:9" hidden="1" x14ac:dyDescent="0.25">
      <c r="A145" s="3">
        <v>45957</v>
      </c>
      <c r="B145">
        <v>2025002479</v>
      </c>
      <c r="C145" t="s">
        <v>319</v>
      </c>
      <c r="D145" s="15">
        <v>7800000</v>
      </c>
      <c r="E145">
        <v>1022426162</v>
      </c>
      <c r="F145" t="s">
        <v>320</v>
      </c>
      <c r="G145" t="s">
        <v>106</v>
      </c>
      <c r="H145" t="s">
        <v>319</v>
      </c>
      <c r="I145" s="9" t="s">
        <v>97</v>
      </c>
    </row>
    <row r="146" spans="1:9" hidden="1" x14ac:dyDescent="0.25">
      <c r="A146" s="3">
        <v>45957</v>
      </c>
      <c r="B146">
        <v>2025002480</v>
      </c>
      <c r="C146" t="s">
        <v>321</v>
      </c>
      <c r="D146" s="15">
        <v>6300000</v>
      </c>
      <c r="E146">
        <v>1084224761</v>
      </c>
      <c r="F146" t="s">
        <v>322</v>
      </c>
      <c r="G146" t="s">
        <v>106</v>
      </c>
      <c r="H146" t="s">
        <v>321</v>
      </c>
      <c r="I146" s="9" t="s">
        <v>97</v>
      </c>
    </row>
    <row r="147" spans="1:9" hidden="1" x14ac:dyDescent="0.25">
      <c r="A147" s="3">
        <v>45957</v>
      </c>
      <c r="B147">
        <v>2025002481</v>
      </c>
      <c r="C147" t="s">
        <v>323</v>
      </c>
      <c r="D147" s="15">
        <v>3150000</v>
      </c>
      <c r="E147">
        <v>1089291166</v>
      </c>
      <c r="F147" t="s">
        <v>324</v>
      </c>
      <c r="G147" t="s">
        <v>106</v>
      </c>
      <c r="H147" t="s">
        <v>323</v>
      </c>
      <c r="I147" s="9" t="s">
        <v>97</v>
      </c>
    </row>
    <row r="148" spans="1:9" hidden="1" x14ac:dyDescent="0.25">
      <c r="A148" s="3">
        <v>45959</v>
      </c>
      <c r="B148">
        <v>2025002500</v>
      </c>
      <c r="C148" t="s">
        <v>325</v>
      </c>
      <c r="D148" s="15">
        <v>3900000</v>
      </c>
      <c r="E148">
        <v>1144172704</v>
      </c>
      <c r="F148" t="s">
        <v>326</v>
      </c>
      <c r="G148" t="s">
        <v>106</v>
      </c>
      <c r="H148" t="s">
        <v>325</v>
      </c>
      <c r="I148" s="9" t="s">
        <v>97</v>
      </c>
    </row>
    <row r="149" spans="1:9" hidden="1" x14ac:dyDescent="0.25">
      <c r="A149" s="3">
        <v>45959</v>
      </c>
      <c r="B149">
        <v>2025002501</v>
      </c>
      <c r="C149" t="s">
        <v>327</v>
      </c>
      <c r="D149" s="15">
        <v>1575000</v>
      </c>
      <c r="E149">
        <v>1085315209</v>
      </c>
      <c r="F149" t="s">
        <v>328</v>
      </c>
      <c r="G149" t="s">
        <v>106</v>
      </c>
      <c r="H149" t="s">
        <v>327</v>
      </c>
      <c r="I149" s="9" t="s">
        <v>97</v>
      </c>
    </row>
    <row r="150" spans="1:9" hidden="1" x14ac:dyDescent="0.25">
      <c r="A150" s="3">
        <v>45959</v>
      </c>
      <c r="B150">
        <v>2025002502</v>
      </c>
      <c r="C150" t="s">
        <v>329</v>
      </c>
      <c r="D150" s="15">
        <v>1575000</v>
      </c>
      <c r="E150">
        <v>1004134014</v>
      </c>
      <c r="F150" t="s">
        <v>330</v>
      </c>
      <c r="G150" t="s">
        <v>106</v>
      </c>
      <c r="H150" t="s">
        <v>329</v>
      </c>
      <c r="I150" s="9" t="s">
        <v>97</v>
      </c>
    </row>
    <row r="151" spans="1:9" hidden="1" x14ac:dyDescent="0.25">
      <c r="A151" s="3">
        <v>45959</v>
      </c>
      <c r="B151">
        <v>2025002503</v>
      </c>
      <c r="C151" t="s">
        <v>331</v>
      </c>
      <c r="D151" s="15">
        <v>1575000</v>
      </c>
      <c r="E151">
        <v>1004508406</v>
      </c>
      <c r="F151" t="s">
        <v>332</v>
      </c>
      <c r="G151" t="s">
        <v>106</v>
      </c>
      <c r="H151" t="s">
        <v>331</v>
      </c>
      <c r="I151" s="9" t="s">
        <v>97</v>
      </c>
    </row>
    <row r="152" spans="1:9" hidden="1" x14ac:dyDescent="0.25">
      <c r="A152" s="3">
        <v>45959</v>
      </c>
      <c r="B152">
        <v>2025002504</v>
      </c>
      <c r="C152" t="s">
        <v>333</v>
      </c>
      <c r="D152" s="15">
        <v>1575000</v>
      </c>
      <c r="E152">
        <v>1081594639</v>
      </c>
      <c r="F152" t="s">
        <v>14</v>
      </c>
      <c r="G152" t="s">
        <v>106</v>
      </c>
      <c r="H152" t="s">
        <v>333</v>
      </c>
      <c r="I152" s="9" t="s">
        <v>97</v>
      </c>
    </row>
    <row r="153" spans="1:9" hidden="1" x14ac:dyDescent="0.25">
      <c r="A153" s="3">
        <v>45959</v>
      </c>
      <c r="B153">
        <v>2025002505</v>
      </c>
      <c r="C153" t="s">
        <v>334</v>
      </c>
      <c r="D153" s="15">
        <v>1575000</v>
      </c>
      <c r="E153">
        <v>1081592303</v>
      </c>
      <c r="F153" t="s">
        <v>19</v>
      </c>
      <c r="G153" t="s">
        <v>106</v>
      </c>
      <c r="H153" t="s">
        <v>334</v>
      </c>
      <c r="I153" s="9" t="s">
        <v>97</v>
      </c>
    </row>
    <row r="154" spans="1:9" hidden="1" x14ac:dyDescent="0.25">
      <c r="A154" s="3">
        <v>45959</v>
      </c>
      <c r="B154">
        <v>2025002506</v>
      </c>
      <c r="C154" t="s">
        <v>335</v>
      </c>
      <c r="D154" s="15">
        <v>6300000</v>
      </c>
      <c r="E154">
        <v>36757221</v>
      </c>
      <c r="F154" t="s">
        <v>52</v>
      </c>
      <c r="G154" t="s">
        <v>106</v>
      </c>
      <c r="H154" t="s">
        <v>335</v>
      </c>
      <c r="I154" s="9" t="s">
        <v>97</v>
      </c>
    </row>
    <row r="155" spans="1:9" hidden="1" x14ac:dyDescent="0.25">
      <c r="A155" s="3">
        <v>45959</v>
      </c>
      <c r="B155">
        <v>2025002507</v>
      </c>
      <c r="C155" t="s">
        <v>336</v>
      </c>
      <c r="D155" s="15">
        <v>4730000</v>
      </c>
      <c r="E155">
        <v>27087475</v>
      </c>
      <c r="F155" t="s">
        <v>38</v>
      </c>
      <c r="G155" t="s">
        <v>106</v>
      </c>
      <c r="H155" t="s">
        <v>336</v>
      </c>
      <c r="I155" s="9" t="s">
        <v>97</v>
      </c>
    </row>
    <row r="156" spans="1:9" hidden="1" x14ac:dyDescent="0.25">
      <c r="A156" s="3">
        <v>45959</v>
      </c>
      <c r="B156">
        <v>2025002508</v>
      </c>
      <c r="C156" t="s">
        <v>337</v>
      </c>
      <c r="D156" s="15">
        <v>4730000</v>
      </c>
      <c r="E156">
        <v>1085330309</v>
      </c>
      <c r="F156" t="s">
        <v>7</v>
      </c>
      <c r="G156" t="s">
        <v>106</v>
      </c>
      <c r="H156" t="s">
        <v>337</v>
      </c>
      <c r="I156" s="9" t="s">
        <v>97</v>
      </c>
    </row>
    <row r="157" spans="1:9" hidden="1" x14ac:dyDescent="0.25">
      <c r="A157" s="3">
        <v>45959</v>
      </c>
      <c r="B157">
        <v>2025002509</v>
      </c>
      <c r="C157" t="s">
        <v>338</v>
      </c>
      <c r="D157" s="15">
        <v>6300000</v>
      </c>
      <c r="E157">
        <v>1085283868</v>
      </c>
      <c r="F157" t="s">
        <v>29</v>
      </c>
      <c r="G157" t="s">
        <v>106</v>
      </c>
      <c r="H157" t="s">
        <v>338</v>
      </c>
      <c r="I157" s="9" t="s">
        <v>97</v>
      </c>
    </row>
    <row r="158" spans="1:9" hidden="1" x14ac:dyDescent="0.25">
      <c r="A158" s="3">
        <v>45960</v>
      </c>
      <c r="B158">
        <v>2025002517</v>
      </c>
      <c r="C158" t="s">
        <v>1033</v>
      </c>
      <c r="D158" s="15">
        <v>3900000</v>
      </c>
      <c r="E158">
        <v>1085244624</v>
      </c>
      <c r="F158" t="s">
        <v>1034</v>
      </c>
      <c r="G158" t="s">
        <v>106</v>
      </c>
      <c r="H158" t="s">
        <v>1033</v>
      </c>
      <c r="I158" s="9" t="s">
        <v>97</v>
      </c>
    </row>
    <row r="159" spans="1:9" hidden="1" x14ac:dyDescent="0.25">
      <c r="A159" s="3">
        <v>45960</v>
      </c>
      <c r="B159">
        <v>2025002518</v>
      </c>
      <c r="C159" t="s">
        <v>339</v>
      </c>
      <c r="D159" s="15">
        <v>1575000</v>
      </c>
      <c r="E159">
        <v>37083086</v>
      </c>
      <c r="F159" t="s">
        <v>340</v>
      </c>
      <c r="G159" t="s">
        <v>106</v>
      </c>
      <c r="H159" t="s">
        <v>339</v>
      </c>
      <c r="I159" s="9" t="s">
        <v>97</v>
      </c>
    </row>
    <row r="160" spans="1:9" hidden="1" x14ac:dyDescent="0.25">
      <c r="A160" s="3">
        <v>45960</v>
      </c>
      <c r="B160">
        <v>2025002519</v>
      </c>
      <c r="C160" t="s">
        <v>341</v>
      </c>
      <c r="D160" s="15">
        <v>7800000</v>
      </c>
      <c r="E160">
        <v>1088734182</v>
      </c>
      <c r="F160" t="s">
        <v>342</v>
      </c>
      <c r="G160" t="s">
        <v>106</v>
      </c>
      <c r="H160" t="s">
        <v>341</v>
      </c>
      <c r="I160" s="9" t="s">
        <v>97</v>
      </c>
    </row>
    <row r="161" spans="1:9" hidden="1" x14ac:dyDescent="0.25">
      <c r="A161" s="3">
        <v>45960</v>
      </c>
      <c r="B161">
        <v>2025002521</v>
      </c>
      <c r="C161" t="s">
        <v>343</v>
      </c>
      <c r="D161" s="15">
        <v>3150000</v>
      </c>
      <c r="E161">
        <v>1087960258</v>
      </c>
      <c r="F161" t="s">
        <v>344</v>
      </c>
      <c r="G161" t="s">
        <v>106</v>
      </c>
      <c r="H161" t="s">
        <v>343</v>
      </c>
      <c r="I161" s="9" t="s">
        <v>97</v>
      </c>
    </row>
    <row r="162" spans="1:9" hidden="1" x14ac:dyDescent="0.25">
      <c r="A162" s="3">
        <v>45960</v>
      </c>
      <c r="B162">
        <v>2025002522</v>
      </c>
      <c r="C162" t="s">
        <v>345</v>
      </c>
      <c r="D162" s="15">
        <v>1575000</v>
      </c>
      <c r="E162">
        <v>1004709928</v>
      </c>
      <c r="F162" t="s">
        <v>346</v>
      </c>
      <c r="G162" t="s">
        <v>106</v>
      </c>
      <c r="H162" t="s">
        <v>345</v>
      </c>
      <c r="I162" s="9" t="s">
        <v>97</v>
      </c>
    </row>
    <row r="163" spans="1:9" hidden="1" x14ac:dyDescent="0.25">
      <c r="A163" s="3">
        <v>45960</v>
      </c>
      <c r="B163">
        <v>2025002524</v>
      </c>
      <c r="C163" t="s">
        <v>347</v>
      </c>
      <c r="D163" s="15">
        <v>3150000</v>
      </c>
      <c r="E163">
        <v>1004543161</v>
      </c>
      <c r="F163" t="s">
        <v>348</v>
      </c>
      <c r="G163" t="s">
        <v>106</v>
      </c>
      <c r="H163" t="s">
        <v>347</v>
      </c>
      <c r="I163" s="9" t="s">
        <v>97</v>
      </c>
    </row>
    <row r="164" spans="1:9" hidden="1" x14ac:dyDescent="0.25">
      <c r="A164" s="3">
        <v>45960</v>
      </c>
      <c r="B164">
        <v>2025002526</v>
      </c>
      <c r="C164" t="s">
        <v>349</v>
      </c>
      <c r="D164" s="15">
        <v>1575000</v>
      </c>
      <c r="E164">
        <v>1004437571</v>
      </c>
      <c r="F164" t="s">
        <v>350</v>
      </c>
      <c r="G164" t="s">
        <v>106</v>
      </c>
      <c r="H164" t="s">
        <v>349</v>
      </c>
      <c r="I164" s="9" t="s">
        <v>97</v>
      </c>
    </row>
    <row r="165" spans="1:9" hidden="1" x14ac:dyDescent="0.25">
      <c r="A165" s="3">
        <v>45960</v>
      </c>
      <c r="B165">
        <v>2025002527</v>
      </c>
      <c r="C165" t="s">
        <v>351</v>
      </c>
      <c r="D165" s="15">
        <v>1575000</v>
      </c>
      <c r="E165">
        <v>1005977438</v>
      </c>
      <c r="F165" t="s">
        <v>352</v>
      </c>
      <c r="G165" t="s">
        <v>106</v>
      </c>
      <c r="H165" t="s">
        <v>351</v>
      </c>
      <c r="I165" s="9" t="s">
        <v>97</v>
      </c>
    </row>
    <row r="166" spans="1:9" hidden="1" x14ac:dyDescent="0.25">
      <c r="A166" s="3">
        <v>45960</v>
      </c>
      <c r="B166">
        <v>2025002528</v>
      </c>
      <c r="C166" t="s">
        <v>353</v>
      </c>
      <c r="D166" s="15">
        <v>4730000</v>
      </c>
      <c r="E166">
        <v>1085318201</v>
      </c>
      <c r="F166" t="s">
        <v>354</v>
      </c>
      <c r="G166" t="s">
        <v>106</v>
      </c>
      <c r="H166" t="s">
        <v>353</v>
      </c>
      <c r="I166" s="9" t="s">
        <v>97</v>
      </c>
    </row>
    <row r="167" spans="1:9" hidden="1" x14ac:dyDescent="0.25">
      <c r="A167" s="3">
        <v>45960</v>
      </c>
      <c r="B167">
        <v>2025002529</v>
      </c>
      <c r="C167" t="s">
        <v>355</v>
      </c>
      <c r="D167" s="15">
        <v>1575000</v>
      </c>
      <c r="E167">
        <v>1004726621</v>
      </c>
      <c r="F167" t="s">
        <v>356</v>
      </c>
      <c r="G167" t="s">
        <v>106</v>
      </c>
      <c r="H167" t="s">
        <v>355</v>
      </c>
      <c r="I167" s="9" t="s">
        <v>97</v>
      </c>
    </row>
    <row r="168" spans="1:9" hidden="1" x14ac:dyDescent="0.25">
      <c r="A168" s="3">
        <v>45960</v>
      </c>
      <c r="B168">
        <v>2025002530</v>
      </c>
      <c r="C168" t="s">
        <v>357</v>
      </c>
      <c r="D168" s="15">
        <v>3900000</v>
      </c>
      <c r="E168">
        <v>1110594073</v>
      </c>
      <c r="F168" t="s">
        <v>358</v>
      </c>
      <c r="G168" t="s">
        <v>106</v>
      </c>
      <c r="H168" t="s">
        <v>357</v>
      </c>
      <c r="I168" s="9" t="s">
        <v>97</v>
      </c>
    </row>
    <row r="169" spans="1:9" x14ac:dyDescent="0.25">
      <c r="A169" s="3">
        <v>45961</v>
      </c>
      <c r="B169">
        <v>2025002535</v>
      </c>
      <c r="C169" t="s">
        <v>1035</v>
      </c>
      <c r="D169" s="15">
        <v>72218841.359999999</v>
      </c>
      <c r="E169">
        <v>901329717</v>
      </c>
      <c r="F169" t="s">
        <v>1036</v>
      </c>
      <c r="G169" t="s">
        <v>106</v>
      </c>
      <c r="H169" t="s">
        <v>1035</v>
      </c>
      <c r="I169" s="9" t="s">
        <v>97</v>
      </c>
    </row>
    <row r="170" spans="1:9" hidden="1" x14ac:dyDescent="0.25">
      <c r="A170" s="3">
        <v>45965.400694444397</v>
      </c>
      <c r="B170" t="s">
        <v>1037</v>
      </c>
      <c r="C170" t="s">
        <v>359</v>
      </c>
      <c r="D170" s="15">
        <v>4730000</v>
      </c>
      <c r="E170" s="11" t="s">
        <v>360</v>
      </c>
      <c r="F170" t="s">
        <v>99</v>
      </c>
      <c r="G170" t="s">
        <v>106</v>
      </c>
      <c r="H170" t="s">
        <v>359</v>
      </c>
      <c r="I170" s="9" t="s">
        <v>97</v>
      </c>
    </row>
    <row r="171" spans="1:9" hidden="1" x14ac:dyDescent="0.25">
      <c r="A171" s="3">
        <v>45967.729861111096</v>
      </c>
      <c r="B171" t="s">
        <v>1038</v>
      </c>
      <c r="C171" t="s">
        <v>361</v>
      </c>
      <c r="D171" s="15">
        <v>3153000</v>
      </c>
      <c r="E171" s="11" t="s">
        <v>362</v>
      </c>
      <c r="F171" t="s">
        <v>363</v>
      </c>
      <c r="G171" t="s">
        <v>106</v>
      </c>
      <c r="H171" t="s">
        <v>361</v>
      </c>
      <c r="I171" s="9" t="s">
        <v>97</v>
      </c>
    </row>
    <row r="172" spans="1:9" hidden="1" x14ac:dyDescent="0.25">
      <c r="A172" s="3">
        <v>45972.429166666698</v>
      </c>
      <c r="B172" t="s">
        <v>1039</v>
      </c>
      <c r="C172" t="s">
        <v>116</v>
      </c>
      <c r="D172" s="15">
        <v>150342500</v>
      </c>
      <c r="E172" s="11" t="s">
        <v>364</v>
      </c>
      <c r="F172" t="s">
        <v>10</v>
      </c>
      <c r="G172" t="s">
        <v>106</v>
      </c>
      <c r="H172" t="s">
        <v>116</v>
      </c>
      <c r="I172" s="9" t="s">
        <v>97</v>
      </c>
    </row>
    <row r="173" spans="1:9" hidden="1" x14ac:dyDescent="0.25">
      <c r="A173" s="3">
        <v>45973.394444444399</v>
      </c>
      <c r="B173" t="s">
        <v>1040</v>
      </c>
      <c r="C173" t="s">
        <v>148</v>
      </c>
      <c r="D173" s="15">
        <v>6300000</v>
      </c>
      <c r="E173" s="11" t="s">
        <v>365</v>
      </c>
      <c r="F173" t="s">
        <v>11</v>
      </c>
      <c r="G173" t="s">
        <v>106</v>
      </c>
      <c r="H173" t="s">
        <v>148</v>
      </c>
      <c r="I173" s="9" t="s">
        <v>97</v>
      </c>
    </row>
    <row r="174" spans="1:9" hidden="1" x14ac:dyDescent="0.25">
      <c r="A174" s="3">
        <v>45973.397916666698</v>
      </c>
      <c r="B174" t="s">
        <v>1041</v>
      </c>
      <c r="C174" t="s">
        <v>256</v>
      </c>
      <c r="D174" s="15">
        <v>4730000</v>
      </c>
      <c r="E174" s="11" t="s">
        <v>366</v>
      </c>
      <c r="F174" t="s">
        <v>257</v>
      </c>
      <c r="G174" t="s">
        <v>106</v>
      </c>
      <c r="H174" t="s">
        <v>256</v>
      </c>
      <c r="I174" s="9" t="s">
        <v>97</v>
      </c>
    </row>
    <row r="175" spans="1:9" hidden="1" x14ac:dyDescent="0.25">
      <c r="A175" s="3">
        <v>45973.4</v>
      </c>
      <c r="B175" t="s">
        <v>1042</v>
      </c>
      <c r="C175" t="s">
        <v>213</v>
      </c>
      <c r="D175" s="15">
        <v>3150000</v>
      </c>
      <c r="E175" s="11" t="s">
        <v>367</v>
      </c>
      <c r="F175" t="s">
        <v>21</v>
      </c>
      <c r="G175" t="s">
        <v>106</v>
      </c>
      <c r="H175" t="s">
        <v>213</v>
      </c>
      <c r="I175" s="9" t="s">
        <v>97</v>
      </c>
    </row>
    <row r="176" spans="1:9" hidden="1" x14ac:dyDescent="0.25">
      <c r="A176" s="3">
        <v>45973.402777777803</v>
      </c>
      <c r="B176" t="s">
        <v>1043</v>
      </c>
      <c r="C176" t="s">
        <v>212</v>
      </c>
      <c r="D176" s="15">
        <v>3150000</v>
      </c>
      <c r="E176" s="11" t="s">
        <v>368</v>
      </c>
      <c r="F176" t="s">
        <v>48</v>
      </c>
      <c r="G176" t="s">
        <v>106</v>
      </c>
      <c r="H176" t="s">
        <v>212</v>
      </c>
      <c r="I176" s="9" t="s">
        <v>97</v>
      </c>
    </row>
    <row r="177" spans="1:9" hidden="1" x14ac:dyDescent="0.25">
      <c r="A177" s="3">
        <v>45973.404861111099</v>
      </c>
      <c r="B177" t="s">
        <v>1044</v>
      </c>
      <c r="C177" t="s">
        <v>304</v>
      </c>
      <c r="D177" s="15">
        <v>3150000</v>
      </c>
      <c r="E177" s="11" t="s">
        <v>369</v>
      </c>
      <c r="F177" t="s">
        <v>12</v>
      </c>
      <c r="G177" t="s">
        <v>106</v>
      </c>
      <c r="H177" t="s">
        <v>304</v>
      </c>
      <c r="I177" s="9" t="s">
        <v>97</v>
      </c>
    </row>
    <row r="178" spans="1:9" hidden="1" x14ac:dyDescent="0.25">
      <c r="A178" s="3">
        <v>45973.406944444403</v>
      </c>
      <c r="B178" t="s">
        <v>1045</v>
      </c>
      <c r="C178" t="s">
        <v>222</v>
      </c>
      <c r="D178" s="15">
        <v>3150000</v>
      </c>
      <c r="E178" s="11" t="s">
        <v>370</v>
      </c>
      <c r="F178" t="s">
        <v>15</v>
      </c>
      <c r="G178" t="s">
        <v>106</v>
      </c>
      <c r="H178" t="s">
        <v>222</v>
      </c>
      <c r="I178" s="9" t="s">
        <v>97</v>
      </c>
    </row>
    <row r="179" spans="1:9" hidden="1" x14ac:dyDescent="0.25">
      <c r="A179" s="3">
        <v>45974.409722222197</v>
      </c>
      <c r="B179" t="s">
        <v>1046</v>
      </c>
      <c r="C179" t="s">
        <v>151</v>
      </c>
      <c r="D179" s="15">
        <v>3150000</v>
      </c>
      <c r="E179" s="11" t="s">
        <v>371</v>
      </c>
      <c r="F179" t="s">
        <v>46</v>
      </c>
      <c r="G179" t="s">
        <v>106</v>
      </c>
      <c r="H179" t="s">
        <v>151</v>
      </c>
      <c r="I179" s="9" t="s">
        <v>97</v>
      </c>
    </row>
    <row r="180" spans="1:9" hidden="1" x14ac:dyDescent="0.25">
      <c r="A180" s="3">
        <v>45974.418055555601</v>
      </c>
      <c r="B180" t="s">
        <v>1047</v>
      </c>
      <c r="C180" t="s">
        <v>128</v>
      </c>
      <c r="D180" s="15">
        <v>3150000</v>
      </c>
      <c r="E180" s="11" t="s">
        <v>372</v>
      </c>
      <c r="F180" t="s">
        <v>129</v>
      </c>
      <c r="G180" t="s">
        <v>106</v>
      </c>
      <c r="H180" t="s">
        <v>128</v>
      </c>
      <c r="I180" s="9" t="s">
        <v>97</v>
      </c>
    </row>
    <row r="181" spans="1:9" hidden="1" x14ac:dyDescent="0.25">
      <c r="A181" s="3">
        <v>45974.420833333301</v>
      </c>
      <c r="B181" t="s">
        <v>1048</v>
      </c>
      <c r="C181" t="s">
        <v>313</v>
      </c>
      <c r="D181" s="15">
        <v>3150000</v>
      </c>
      <c r="E181" s="11" t="s">
        <v>373</v>
      </c>
      <c r="F181" t="s">
        <v>314</v>
      </c>
      <c r="G181" t="s">
        <v>106</v>
      </c>
      <c r="H181" t="s">
        <v>313</v>
      </c>
      <c r="I181" s="9" t="s">
        <v>97</v>
      </c>
    </row>
    <row r="182" spans="1:9" hidden="1" x14ac:dyDescent="0.25">
      <c r="A182" s="3">
        <v>45974.422916666699</v>
      </c>
      <c r="B182" t="s">
        <v>1049</v>
      </c>
      <c r="C182" t="s">
        <v>307</v>
      </c>
      <c r="D182" s="15">
        <v>4730000</v>
      </c>
      <c r="E182" s="11" t="s">
        <v>374</v>
      </c>
      <c r="F182" t="s">
        <v>308</v>
      </c>
      <c r="G182" t="s">
        <v>106</v>
      </c>
      <c r="H182" t="s">
        <v>307</v>
      </c>
      <c r="I182" s="9" t="s">
        <v>97</v>
      </c>
    </row>
    <row r="183" spans="1:9" hidden="1" x14ac:dyDescent="0.25">
      <c r="A183" s="3">
        <v>45974.427083333299</v>
      </c>
      <c r="B183" t="s">
        <v>1050</v>
      </c>
      <c r="C183" t="s">
        <v>117</v>
      </c>
      <c r="D183" s="15">
        <v>6300000</v>
      </c>
      <c r="E183" s="11" t="s">
        <v>375</v>
      </c>
      <c r="F183" t="s">
        <v>118</v>
      </c>
      <c r="G183" t="s">
        <v>106</v>
      </c>
      <c r="H183" t="s">
        <v>117</v>
      </c>
      <c r="I183" s="9" t="s">
        <v>97</v>
      </c>
    </row>
    <row r="184" spans="1:9" hidden="1" x14ac:dyDescent="0.25">
      <c r="A184" s="3">
        <v>45974.431250000001</v>
      </c>
      <c r="B184" t="s">
        <v>1051</v>
      </c>
      <c r="C184" t="s">
        <v>187</v>
      </c>
      <c r="D184" s="15">
        <v>7800000</v>
      </c>
      <c r="E184" s="11" t="s">
        <v>376</v>
      </c>
      <c r="F184" t="s">
        <v>188</v>
      </c>
      <c r="G184" t="s">
        <v>106</v>
      </c>
      <c r="H184" t="s">
        <v>187</v>
      </c>
      <c r="I184" s="9" t="s">
        <v>97</v>
      </c>
    </row>
    <row r="185" spans="1:9" hidden="1" x14ac:dyDescent="0.25">
      <c r="A185" s="3">
        <v>45974.433333333298</v>
      </c>
      <c r="B185" t="s">
        <v>1052</v>
      </c>
      <c r="C185" t="s">
        <v>113</v>
      </c>
      <c r="D185" s="15">
        <v>6300000</v>
      </c>
      <c r="E185" s="11" t="s">
        <v>377</v>
      </c>
      <c r="F185" t="s">
        <v>33</v>
      </c>
      <c r="G185" t="s">
        <v>106</v>
      </c>
      <c r="H185" t="s">
        <v>113</v>
      </c>
      <c r="I185" s="9" t="s">
        <v>97</v>
      </c>
    </row>
    <row r="186" spans="1:9" hidden="1" x14ac:dyDescent="0.25">
      <c r="A186" s="3">
        <v>45974.435416666704</v>
      </c>
      <c r="B186" t="s">
        <v>1053</v>
      </c>
      <c r="C186" t="s">
        <v>339</v>
      </c>
      <c r="D186" s="15">
        <v>3150000</v>
      </c>
      <c r="E186" s="11" t="s">
        <v>378</v>
      </c>
      <c r="F186" t="s">
        <v>340</v>
      </c>
      <c r="G186" t="s">
        <v>106</v>
      </c>
      <c r="H186" t="s">
        <v>339</v>
      </c>
      <c r="I186" s="9" t="s">
        <v>97</v>
      </c>
    </row>
    <row r="187" spans="1:9" hidden="1" x14ac:dyDescent="0.25">
      <c r="A187" s="3">
        <v>45974.4375</v>
      </c>
      <c r="B187" t="s">
        <v>1054</v>
      </c>
      <c r="C187" t="s">
        <v>228</v>
      </c>
      <c r="D187" s="15">
        <v>3150000</v>
      </c>
      <c r="E187" s="11" t="s">
        <v>379</v>
      </c>
      <c r="F187" t="s">
        <v>229</v>
      </c>
      <c r="G187" t="s">
        <v>106</v>
      </c>
      <c r="H187" t="s">
        <v>228</v>
      </c>
      <c r="I187" s="9" t="s">
        <v>97</v>
      </c>
    </row>
    <row r="188" spans="1:9" hidden="1" x14ac:dyDescent="0.25">
      <c r="A188" s="3">
        <v>45974.443055555603</v>
      </c>
      <c r="B188" t="s">
        <v>1055</v>
      </c>
      <c r="C188" t="s">
        <v>193</v>
      </c>
      <c r="D188" s="15">
        <v>4730000</v>
      </c>
      <c r="E188" s="11" t="s">
        <v>380</v>
      </c>
      <c r="F188" t="s">
        <v>194</v>
      </c>
      <c r="G188" t="s">
        <v>106</v>
      </c>
      <c r="H188" t="s">
        <v>193</v>
      </c>
      <c r="I188" s="9" t="s">
        <v>97</v>
      </c>
    </row>
    <row r="189" spans="1:9" hidden="1" x14ac:dyDescent="0.25">
      <c r="A189" s="3">
        <v>45974.447222222203</v>
      </c>
      <c r="B189" t="s">
        <v>1056</v>
      </c>
      <c r="C189" t="s">
        <v>126</v>
      </c>
      <c r="D189" s="15">
        <v>3150000</v>
      </c>
      <c r="E189" s="11" t="s">
        <v>381</v>
      </c>
      <c r="F189" t="s">
        <v>127</v>
      </c>
      <c r="G189" t="s">
        <v>106</v>
      </c>
      <c r="H189" t="s">
        <v>126</v>
      </c>
      <c r="I189" s="9" t="s">
        <v>97</v>
      </c>
    </row>
    <row r="190" spans="1:9" hidden="1" x14ac:dyDescent="0.25">
      <c r="A190" s="3">
        <v>45974.451388888898</v>
      </c>
      <c r="B190" t="s">
        <v>1057</v>
      </c>
      <c r="C190" t="s">
        <v>109</v>
      </c>
      <c r="D190" s="15">
        <v>3150000</v>
      </c>
      <c r="E190" s="11" t="s">
        <v>382</v>
      </c>
      <c r="F190" t="s">
        <v>110</v>
      </c>
      <c r="G190" t="s">
        <v>106</v>
      </c>
      <c r="H190" t="s">
        <v>109</v>
      </c>
      <c r="I190" s="9" t="s">
        <v>97</v>
      </c>
    </row>
    <row r="191" spans="1:9" hidden="1" x14ac:dyDescent="0.25">
      <c r="A191" s="3">
        <v>45974.457638888904</v>
      </c>
      <c r="B191" t="s">
        <v>1058</v>
      </c>
      <c r="C191" t="s">
        <v>208</v>
      </c>
      <c r="D191" s="15">
        <v>7800000</v>
      </c>
      <c r="E191" s="11" t="s">
        <v>383</v>
      </c>
      <c r="F191" t="s">
        <v>209</v>
      </c>
      <c r="G191" t="s">
        <v>106</v>
      </c>
      <c r="H191" t="s">
        <v>208</v>
      </c>
      <c r="I191" s="9" t="s">
        <v>97</v>
      </c>
    </row>
    <row r="192" spans="1:9" hidden="1" x14ac:dyDescent="0.25">
      <c r="A192" s="3">
        <v>45979.377083333296</v>
      </c>
      <c r="B192" t="s">
        <v>1059</v>
      </c>
      <c r="C192" t="s">
        <v>1060</v>
      </c>
      <c r="D192" s="15">
        <v>4572333</v>
      </c>
      <c r="E192" s="11" t="s">
        <v>1061</v>
      </c>
      <c r="F192" t="s">
        <v>1062</v>
      </c>
      <c r="G192" t="s">
        <v>106</v>
      </c>
      <c r="H192" t="s">
        <v>1060</v>
      </c>
      <c r="I192" s="9" t="s">
        <v>97</v>
      </c>
    </row>
    <row r="193" spans="1:9" hidden="1" x14ac:dyDescent="0.25">
      <c r="A193" s="3">
        <v>45979.381249999999</v>
      </c>
      <c r="B193" t="s">
        <v>1063</v>
      </c>
      <c r="C193" t="s">
        <v>144</v>
      </c>
      <c r="D193" s="15">
        <v>3150000</v>
      </c>
      <c r="E193" s="11" t="s">
        <v>384</v>
      </c>
      <c r="F193" t="s">
        <v>64</v>
      </c>
      <c r="G193" t="s">
        <v>106</v>
      </c>
      <c r="H193" t="s">
        <v>144</v>
      </c>
      <c r="I193" s="9" t="s">
        <v>97</v>
      </c>
    </row>
    <row r="194" spans="1:9" hidden="1" x14ac:dyDescent="0.25">
      <c r="A194" s="3">
        <v>45979.386111111096</v>
      </c>
      <c r="B194" t="s">
        <v>1064</v>
      </c>
      <c r="C194" t="s">
        <v>245</v>
      </c>
      <c r="D194" s="15">
        <v>4730000</v>
      </c>
      <c r="E194" s="11" t="s">
        <v>385</v>
      </c>
      <c r="F194" t="s">
        <v>246</v>
      </c>
      <c r="G194" t="s">
        <v>106</v>
      </c>
      <c r="H194" t="s">
        <v>245</v>
      </c>
      <c r="I194" s="9" t="s">
        <v>97</v>
      </c>
    </row>
    <row r="195" spans="1:9" hidden="1" x14ac:dyDescent="0.25">
      <c r="A195" s="3">
        <v>45979.390277777798</v>
      </c>
      <c r="B195" t="s">
        <v>1065</v>
      </c>
      <c r="C195" t="s">
        <v>112</v>
      </c>
      <c r="D195" s="15">
        <v>3150000</v>
      </c>
      <c r="E195" s="11" t="s">
        <v>386</v>
      </c>
      <c r="F195" t="s">
        <v>55</v>
      </c>
      <c r="G195" t="s">
        <v>106</v>
      </c>
      <c r="H195" t="s">
        <v>112</v>
      </c>
      <c r="I195" s="9" t="s">
        <v>97</v>
      </c>
    </row>
    <row r="196" spans="1:9" hidden="1" x14ac:dyDescent="0.25">
      <c r="A196" s="3">
        <v>45979.392361111102</v>
      </c>
      <c r="B196" t="s">
        <v>1066</v>
      </c>
      <c r="C196" t="s">
        <v>218</v>
      </c>
      <c r="D196" s="15">
        <v>3150000</v>
      </c>
      <c r="E196" s="11" t="s">
        <v>387</v>
      </c>
      <c r="F196" t="s">
        <v>219</v>
      </c>
      <c r="G196" t="s">
        <v>106</v>
      </c>
      <c r="H196" t="s">
        <v>218</v>
      </c>
      <c r="I196" s="9" t="s">
        <v>97</v>
      </c>
    </row>
    <row r="197" spans="1:9" hidden="1" x14ac:dyDescent="0.25">
      <c r="A197" s="3">
        <v>45979.395833333299</v>
      </c>
      <c r="B197" t="s">
        <v>1067</v>
      </c>
      <c r="C197" t="s">
        <v>125</v>
      </c>
      <c r="D197" s="15">
        <v>3150000</v>
      </c>
      <c r="E197" s="11" t="s">
        <v>388</v>
      </c>
      <c r="F197" t="s">
        <v>35</v>
      </c>
      <c r="G197" t="s">
        <v>106</v>
      </c>
      <c r="H197" t="s">
        <v>125</v>
      </c>
      <c r="I197" s="9" t="s">
        <v>97</v>
      </c>
    </row>
    <row r="198" spans="1:9" hidden="1" x14ac:dyDescent="0.25">
      <c r="A198" s="3">
        <v>45979.397916666698</v>
      </c>
      <c r="B198" t="s">
        <v>1068</v>
      </c>
      <c r="C198" t="s">
        <v>197</v>
      </c>
      <c r="D198" s="15">
        <v>4730000</v>
      </c>
      <c r="E198" s="11" t="s">
        <v>389</v>
      </c>
      <c r="F198" t="s">
        <v>36</v>
      </c>
      <c r="G198" t="s">
        <v>106</v>
      </c>
      <c r="H198" t="s">
        <v>197</v>
      </c>
      <c r="I198" s="9" t="s">
        <v>97</v>
      </c>
    </row>
    <row r="199" spans="1:9" hidden="1" x14ac:dyDescent="0.25">
      <c r="A199" s="3">
        <v>45979.401388888902</v>
      </c>
      <c r="B199" t="s">
        <v>1069</v>
      </c>
      <c r="C199" t="s">
        <v>233</v>
      </c>
      <c r="D199" s="15">
        <v>3150000</v>
      </c>
      <c r="E199" s="11" t="s">
        <v>390</v>
      </c>
      <c r="F199" t="s">
        <v>80</v>
      </c>
      <c r="G199" t="s">
        <v>106</v>
      </c>
      <c r="H199" t="s">
        <v>233</v>
      </c>
      <c r="I199" s="9" t="s">
        <v>97</v>
      </c>
    </row>
    <row r="200" spans="1:9" hidden="1" x14ac:dyDescent="0.25">
      <c r="A200" s="3">
        <v>45979.403472222199</v>
      </c>
      <c r="B200" t="s">
        <v>1070</v>
      </c>
      <c r="C200" t="s">
        <v>255</v>
      </c>
      <c r="D200" s="15">
        <v>6300000</v>
      </c>
      <c r="E200" s="11" t="s">
        <v>391</v>
      </c>
      <c r="F200" t="s">
        <v>74</v>
      </c>
      <c r="G200" t="s">
        <v>106</v>
      </c>
      <c r="H200" t="s">
        <v>255</v>
      </c>
      <c r="I200" s="9" t="s">
        <v>97</v>
      </c>
    </row>
    <row r="201" spans="1:9" hidden="1" x14ac:dyDescent="0.25">
      <c r="A201" s="3">
        <v>45979.405555555597</v>
      </c>
      <c r="B201" t="s">
        <v>1071</v>
      </c>
      <c r="C201" t="s">
        <v>1072</v>
      </c>
      <c r="D201" s="15">
        <v>36863960</v>
      </c>
      <c r="E201" s="11" t="s">
        <v>392</v>
      </c>
      <c r="F201" t="s">
        <v>76</v>
      </c>
      <c r="G201" t="s">
        <v>106</v>
      </c>
      <c r="H201" t="s">
        <v>1072</v>
      </c>
      <c r="I201" s="9" t="s">
        <v>97</v>
      </c>
    </row>
    <row r="202" spans="1:9" hidden="1" x14ac:dyDescent="0.25">
      <c r="A202" s="3">
        <v>45980.470833333296</v>
      </c>
      <c r="B202" t="s">
        <v>1073</v>
      </c>
      <c r="C202" t="s">
        <v>319</v>
      </c>
      <c r="D202" s="15">
        <v>7800000</v>
      </c>
      <c r="E202" s="11" t="s">
        <v>393</v>
      </c>
      <c r="F202" t="s">
        <v>320</v>
      </c>
      <c r="G202" t="s">
        <v>106</v>
      </c>
      <c r="H202" t="s">
        <v>319</v>
      </c>
      <c r="I202" s="9" t="s">
        <v>97</v>
      </c>
    </row>
    <row r="203" spans="1:9" hidden="1" x14ac:dyDescent="0.25">
      <c r="A203" s="3">
        <v>45980.474999999999</v>
      </c>
      <c r="B203" t="s">
        <v>1074</v>
      </c>
      <c r="C203" t="s">
        <v>242</v>
      </c>
      <c r="D203" s="15">
        <v>4730000</v>
      </c>
      <c r="E203" s="11" t="s">
        <v>394</v>
      </c>
      <c r="F203" t="s">
        <v>243</v>
      </c>
      <c r="G203" t="s">
        <v>106</v>
      </c>
      <c r="H203" t="s">
        <v>242</v>
      </c>
      <c r="I203" s="9" t="s">
        <v>97</v>
      </c>
    </row>
    <row r="204" spans="1:9" hidden="1" x14ac:dyDescent="0.25">
      <c r="A204" s="3">
        <v>45980.476388888899</v>
      </c>
      <c r="B204" t="s">
        <v>1075</v>
      </c>
      <c r="C204" t="s">
        <v>343</v>
      </c>
      <c r="D204" s="15">
        <v>3150000</v>
      </c>
      <c r="E204" s="11" t="s">
        <v>395</v>
      </c>
      <c r="F204" t="s">
        <v>344</v>
      </c>
      <c r="G204" t="s">
        <v>106</v>
      </c>
      <c r="H204" t="s">
        <v>343</v>
      </c>
      <c r="I204" s="9" t="s">
        <v>97</v>
      </c>
    </row>
    <row r="205" spans="1:9" hidden="1" x14ac:dyDescent="0.25">
      <c r="A205" s="3">
        <v>45980.479166666701</v>
      </c>
      <c r="B205" t="s">
        <v>1076</v>
      </c>
      <c r="C205" t="s">
        <v>396</v>
      </c>
      <c r="D205" s="15">
        <v>2000000</v>
      </c>
      <c r="E205" s="11" t="s">
        <v>397</v>
      </c>
      <c r="F205" t="s">
        <v>398</v>
      </c>
      <c r="G205" t="s">
        <v>106</v>
      </c>
      <c r="H205" t="s">
        <v>396</v>
      </c>
      <c r="I205" s="9" t="s">
        <v>97</v>
      </c>
    </row>
    <row r="206" spans="1:9" hidden="1" x14ac:dyDescent="0.25">
      <c r="A206" s="3">
        <v>45980.4819444444</v>
      </c>
      <c r="B206" t="s">
        <v>1077</v>
      </c>
      <c r="C206" t="s">
        <v>399</v>
      </c>
      <c r="D206" s="15">
        <v>3150000</v>
      </c>
      <c r="E206" s="11" t="s">
        <v>400</v>
      </c>
      <c r="F206" t="s">
        <v>77</v>
      </c>
      <c r="G206" t="s">
        <v>106</v>
      </c>
      <c r="H206" t="s">
        <v>399</v>
      </c>
      <c r="I206" s="9" t="s">
        <v>97</v>
      </c>
    </row>
    <row r="207" spans="1:9" hidden="1" x14ac:dyDescent="0.25">
      <c r="A207" s="3">
        <v>45980.484722222202</v>
      </c>
      <c r="B207" t="s">
        <v>1078</v>
      </c>
      <c r="C207" t="s">
        <v>230</v>
      </c>
      <c r="D207" s="15">
        <v>7800000</v>
      </c>
      <c r="E207" s="11" t="s">
        <v>401</v>
      </c>
      <c r="F207" t="s">
        <v>75</v>
      </c>
      <c r="G207" t="s">
        <v>106</v>
      </c>
      <c r="H207" t="s">
        <v>230</v>
      </c>
      <c r="I207" s="9" t="s">
        <v>97</v>
      </c>
    </row>
    <row r="208" spans="1:9" hidden="1" x14ac:dyDescent="0.25">
      <c r="A208" s="3">
        <v>45980.487500000003</v>
      </c>
      <c r="B208" t="s">
        <v>1079</v>
      </c>
      <c r="C208" t="s">
        <v>1031</v>
      </c>
      <c r="D208" s="15">
        <v>1575000</v>
      </c>
      <c r="E208" s="11" t="s">
        <v>1080</v>
      </c>
      <c r="F208" t="s">
        <v>1032</v>
      </c>
      <c r="G208" t="s">
        <v>106</v>
      </c>
      <c r="H208" t="s">
        <v>1031</v>
      </c>
      <c r="I208" s="9" t="s">
        <v>97</v>
      </c>
    </row>
    <row r="209" spans="1:9" hidden="1" x14ac:dyDescent="0.25">
      <c r="A209" s="3">
        <v>45980.490277777797</v>
      </c>
      <c r="B209" t="s">
        <v>1081</v>
      </c>
      <c r="C209" t="s">
        <v>224</v>
      </c>
      <c r="D209" s="15">
        <v>4730000</v>
      </c>
      <c r="E209" s="11" t="s">
        <v>402</v>
      </c>
      <c r="F209" t="s">
        <v>225</v>
      </c>
      <c r="G209" t="s">
        <v>106</v>
      </c>
      <c r="H209" t="s">
        <v>224</v>
      </c>
      <c r="I209" s="9" t="s">
        <v>97</v>
      </c>
    </row>
    <row r="210" spans="1:9" hidden="1" x14ac:dyDescent="0.25">
      <c r="A210" s="3">
        <v>45980.492361111101</v>
      </c>
      <c r="B210" t="s">
        <v>1082</v>
      </c>
      <c r="C210" t="s">
        <v>240</v>
      </c>
      <c r="D210" s="15">
        <v>6300000</v>
      </c>
      <c r="E210" s="11" t="s">
        <v>403</v>
      </c>
      <c r="F210" t="s">
        <v>241</v>
      </c>
      <c r="G210" t="s">
        <v>106</v>
      </c>
      <c r="H210" t="s">
        <v>240</v>
      </c>
      <c r="I210" s="9" t="s">
        <v>97</v>
      </c>
    </row>
    <row r="211" spans="1:9" hidden="1" x14ac:dyDescent="0.25">
      <c r="A211" s="3">
        <v>45980.586111111101</v>
      </c>
      <c r="B211" t="s">
        <v>1083</v>
      </c>
      <c r="C211" t="s">
        <v>210</v>
      </c>
      <c r="D211" s="15">
        <v>4730000</v>
      </c>
      <c r="E211" s="11" t="s">
        <v>404</v>
      </c>
      <c r="F211" t="s">
        <v>211</v>
      </c>
      <c r="G211" t="s">
        <v>106</v>
      </c>
      <c r="H211" t="s">
        <v>210</v>
      </c>
      <c r="I211" s="9" t="s">
        <v>97</v>
      </c>
    </row>
    <row r="212" spans="1:9" hidden="1" x14ac:dyDescent="0.25">
      <c r="A212" s="3">
        <v>45980.668055555601</v>
      </c>
      <c r="B212" t="s">
        <v>1084</v>
      </c>
      <c r="C212" t="s">
        <v>202</v>
      </c>
      <c r="D212" s="15">
        <v>7800000</v>
      </c>
      <c r="E212" s="11" t="s">
        <v>405</v>
      </c>
      <c r="F212" t="s">
        <v>61</v>
      </c>
      <c r="G212" t="s">
        <v>106</v>
      </c>
      <c r="H212" t="s">
        <v>202</v>
      </c>
      <c r="I212" s="9" t="s">
        <v>97</v>
      </c>
    </row>
    <row r="213" spans="1:9" hidden="1" x14ac:dyDescent="0.25">
      <c r="A213" s="3">
        <v>45980.673611111102</v>
      </c>
      <c r="B213" t="s">
        <v>1085</v>
      </c>
      <c r="C213" t="s">
        <v>236</v>
      </c>
      <c r="D213" s="15">
        <v>3150000</v>
      </c>
      <c r="E213" s="11" t="s">
        <v>406</v>
      </c>
      <c r="F213" t="s">
        <v>237</v>
      </c>
      <c r="G213" t="s">
        <v>106</v>
      </c>
      <c r="H213" t="s">
        <v>236</v>
      </c>
      <c r="I213" s="9" t="s">
        <v>97</v>
      </c>
    </row>
    <row r="214" spans="1:9" hidden="1" x14ac:dyDescent="0.25">
      <c r="A214" s="3">
        <v>45980.676388888904</v>
      </c>
      <c r="B214" t="s">
        <v>1086</v>
      </c>
      <c r="C214" t="s">
        <v>315</v>
      </c>
      <c r="D214" s="15">
        <v>3150000</v>
      </c>
      <c r="E214" s="11" t="s">
        <v>407</v>
      </c>
      <c r="F214" t="s">
        <v>316</v>
      </c>
      <c r="G214" t="s">
        <v>106</v>
      </c>
      <c r="H214" t="s">
        <v>315</v>
      </c>
      <c r="I214" s="9" t="s">
        <v>97</v>
      </c>
    </row>
    <row r="215" spans="1:9" hidden="1" x14ac:dyDescent="0.25">
      <c r="A215" s="3">
        <v>45980.681250000001</v>
      </c>
      <c r="B215" t="s">
        <v>1087</v>
      </c>
      <c r="C215" t="s">
        <v>205</v>
      </c>
      <c r="D215" s="15">
        <v>7800000</v>
      </c>
      <c r="E215" s="11" t="s">
        <v>408</v>
      </c>
      <c r="F215" t="s">
        <v>24</v>
      </c>
      <c r="G215" t="s">
        <v>106</v>
      </c>
      <c r="H215" t="s">
        <v>205</v>
      </c>
      <c r="I215" s="9" t="s">
        <v>97</v>
      </c>
    </row>
    <row r="216" spans="1:9" hidden="1" x14ac:dyDescent="0.25">
      <c r="A216" s="3">
        <v>45980.684722222199</v>
      </c>
      <c r="B216" t="s">
        <v>1088</v>
      </c>
      <c r="C216" t="s">
        <v>111</v>
      </c>
      <c r="D216" s="15">
        <v>3150000</v>
      </c>
      <c r="E216" s="11" t="s">
        <v>409</v>
      </c>
      <c r="F216" t="s">
        <v>44</v>
      </c>
      <c r="G216" t="s">
        <v>106</v>
      </c>
      <c r="H216" t="s">
        <v>111</v>
      </c>
      <c r="I216" s="9" t="s">
        <v>97</v>
      </c>
    </row>
    <row r="217" spans="1:9" hidden="1" x14ac:dyDescent="0.25">
      <c r="A217" s="3">
        <v>45980.686805555597</v>
      </c>
      <c r="B217" t="s">
        <v>1089</v>
      </c>
      <c r="C217" t="s">
        <v>123</v>
      </c>
      <c r="D217" s="15">
        <v>6300000</v>
      </c>
      <c r="E217" s="11" t="s">
        <v>410</v>
      </c>
      <c r="F217" t="s">
        <v>124</v>
      </c>
      <c r="G217" t="s">
        <v>106</v>
      </c>
      <c r="H217" t="s">
        <v>123</v>
      </c>
      <c r="I217" s="9" t="s">
        <v>97</v>
      </c>
    </row>
    <row r="218" spans="1:9" hidden="1" x14ac:dyDescent="0.25">
      <c r="A218" s="3">
        <v>45980.688888888901</v>
      </c>
      <c r="B218" t="s">
        <v>1090</v>
      </c>
      <c r="C218" t="s">
        <v>192</v>
      </c>
      <c r="D218" s="15">
        <v>3150000</v>
      </c>
      <c r="E218" s="11" t="s">
        <v>411</v>
      </c>
      <c r="F218" t="s">
        <v>59</v>
      </c>
      <c r="G218" t="s">
        <v>106</v>
      </c>
      <c r="H218" t="s">
        <v>192</v>
      </c>
      <c r="I218" s="9" t="s">
        <v>97</v>
      </c>
    </row>
    <row r="219" spans="1:9" hidden="1" x14ac:dyDescent="0.25">
      <c r="A219" s="3">
        <v>45980.691666666702</v>
      </c>
      <c r="B219" t="s">
        <v>1091</v>
      </c>
      <c r="C219" t="s">
        <v>234</v>
      </c>
      <c r="D219" s="15">
        <v>3150000</v>
      </c>
      <c r="E219" s="11" t="s">
        <v>412</v>
      </c>
      <c r="F219" t="s">
        <v>235</v>
      </c>
      <c r="G219" t="s">
        <v>106</v>
      </c>
      <c r="H219" t="s">
        <v>234</v>
      </c>
      <c r="I219" s="9" t="s">
        <v>97</v>
      </c>
    </row>
    <row r="220" spans="1:9" hidden="1" x14ac:dyDescent="0.25">
      <c r="A220" s="3">
        <v>45980.7409722222</v>
      </c>
      <c r="B220" t="s">
        <v>1092</v>
      </c>
      <c r="C220" t="s">
        <v>301</v>
      </c>
      <c r="D220" s="15">
        <v>3150000</v>
      </c>
      <c r="E220" s="11" t="s">
        <v>413</v>
      </c>
      <c r="F220" t="s">
        <v>32</v>
      </c>
      <c r="G220" t="s">
        <v>106</v>
      </c>
      <c r="H220" t="s">
        <v>301</v>
      </c>
      <c r="I220" s="9" t="s">
        <v>97</v>
      </c>
    </row>
    <row r="221" spans="1:9" hidden="1" x14ac:dyDescent="0.25">
      <c r="A221" s="3">
        <v>45981.306944444397</v>
      </c>
      <c r="B221" t="s">
        <v>1093</v>
      </c>
      <c r="C221" t="s">
        <v>290</v>
      </c>
      <c r="D221" s="15">
        <v>7800000</v>
      </c>
      <c r="E221" s="11" t="s">
        <v>414</v>
      </c>
      <c r="F221" t="s">
        <v>291</v>
      </c>
      <c r="G221" t="s">
        <v>106</v>
      </c>
      <c r="H221" t="s">
        <v>290</v>
      </c>
      <c r="I221" s="9" t="s">
        <v>97</v>
      </c>
    </row>
    <row r="222" spans="1:9" hidden="1" x14ac:dyDescent="0.25">
      <c r="A222" s="3">
        <v>45981.311111111099</v>
      </c>
      <c r="B222" t="s">
        <v>1094</v>
      </c>
      <c r="C222" t="s">
        <v>293</v>
      </c>
      <c r="D222" s="15">
        <v>4730000</v>
      </c>
      <c r="E222" s="11" t="s">
        <v>415</v>
      </c>
      <c r="F222" t="s">
        <v>294</v>
      </c>
      <c r="G222" t="s">
        <v>106</v>
      </c>
      <c r="H222" t="s">
        <v>293</v>
      </c>
      <c r="I222" s="9" t="s">
        <v>97</v>
      </c>
    </row>
    <row r="223" spans="1:9" hidden="1" x14ac:dyDescent="0.25">
      <c r="A223" s="3">
        <v>45981.313194444403</v>
      </c>
      <c r="B223" t="s">
        <v>1095</v>
      </c>
      <c r="C223" t="s">
        <v>158</v>
      </c>
      <c r="D223" s="15">
        <v>3150000</v>
      </c>
      <c r="E223" s="11" t="s">
        <v>416</v>
      </c>
      <c r="F223" t="s">
        <v>47</v>
      </c>
      <c r="G223" t="s">
        <v>106</v>
      </c>
      <c r="H223" t="s">
        <v>158</v>
      </c>
      <c r="I223" s="9" t="s">
        <v>97</v>
      </c>
    </row>
    <row r="224" spans="1:9" hidden="1" x14ac:dyDescent="0.25">
      <c r="A224" s="3">
        <v>45981.320138888899</v>
      </c>
      <c r="B224" t="s">
        <v>1096</v>
      </c>
      <c r="C224" t="s">
        <v>270</v>
      </c>
      <c r="D224" s="15">
        <v>6300000</v>
      </c>
      <c r="E224" s="11" t="s">
        <v>417</v>
      </c>
      <c r="F224" t="s">
        <v>56</v>
      </c>
      <c r="G224" t="s">
        <v>106</v>
      </c>
      <c r="H224" t="s">
        <v>270</v>
      </c>
      <c r="I224" s="9" t="s">
        <v>97</v>
      </c>
    </row>
    <row r="225" spans="1:9" hidden="1" x14ac:dyDescent="0.25">
      <c r="A225" s="3">
        <v>45981.329166666699</v>
      </c>
      <c r="B225" t="s">
        <v>1097</v>
      </c>
      <c r="C225" t="s">
        <v>159</v>
      </c>
      <c r="D225" s="15">
        <v>7800000</v>
      </c>
      <c r="E225" s="11" t="s">
        <v>418</v>
      </c>
      <c r="F225" t="s">
        <v>160</v>
      </c>
      <c r="G225" t="s">
        <v>106</v>
      </c>
      <c r="H225" t="s">
        <v>159</v>
      </c>
      <c r="I225" s="9" t="s">
        <v>97</v>
      </c>
    </row>
    <row r="226" spans="1:9" hidden="1" x14ac:dyDescent="0.25">
      <c r="A226" s="3">
        <v>45981.331944444399</v>
      </c>
      <c r="B226" t="s">
        <v>1098</v>
      </c>
      <c r="C226" t="s">
        <v>279</v>
      </c>
      <c r="D226" s="15">
        <v>7800000</v>
      </c>
      <c r="E226" s="11" t="s">
        <v>419</v>
      </c>
      <c r="F226" t="s">
        <v>280</v>
      </c>
      <c r="G226" t="s">
        <v>106</v>
      </c>
      <c r="H226" t="s">
        <v>279</v>
      </c>
      <c r="I226" s="9" t="s">
        <v>97</v>
      </c>
    </row>
    <row r="227" spans="1:9" hidden="1" x14ac:dyDescent="0.25">
      <c r="A227" s="3">
        <v>45981.335416666698</v>
      </c>
      <c r="B227" t="s">
        <v>1099</v>
      </c>
      <c r="C227" t="s">
        <v>178</v>
      </c>
      <c r="D227" s="15">
        <v>3150000</v>
      </c>
      <c r="E227" s="11" t="s">
        <v>420</v>
      </c>
      <c r="F227" t="s">
        <v>179</v>
      </c>
      <c r="G227" t="s">
        <v>106</v>
      </c>
      <c r="H227" t="s">
        <v>178</v>
      </c>
      <c r="I227" s="9" t="s">
        <v>97</v>
      </c>
    </row>
    <row r="228" spans="1:9" hidden="1" x14ac:dyDescent="0.25">
      <c r="A228" s="3">
        <v>45981.337500000001</v>
      </c>
      <c r="B228" t="s">
        <v>1100</v>
      </c>
      <c r="C228" t="s">
        <v>156</v>
      </c>
      <c r="D228" s="15">
        <v>3150000</v>
      </c>
      <c r="E228" s="11" t="s">
        <v>421</v>
      </c>
      <c r="F228" t="s">
        <v>49</v>
      </c>
      <c r="G228" t="s">
        <v>106</v>
      </c>
      <c r="H228" t="s">
        <v>156</v>
      </c>
      <c r="I228" s="9" t="s">
        <v>97</v>
      </c>
    </row>
    <row r="229" spans="1:9" hidden="1" x14ac:dyDescent="0.25">
      <c r="A229" s="3">
        <v>45981.342361111099</v>
      </c>
      <c r="B229" t="s">
        <v>1101</v>
      </c>
      <c r="C229" t="s">
        <v>281</v>
      </c>
      <c r="D229" s="15">
        <v>6300000</v>
      </c>
      <c r="E229" s="11" t="s">
        <v>422</v>
      </c>
      <c r="F229" t="s">
        <v>9</v>
      </c>
      <c r="G229" t="s">
        <v>106</v>
      </c>
      <c r="H229" t="s">
        <v>281</v>
      </c>
      <c r="I229" s="9" t="s">
        <v>97</v>
      </c>
    </row>
    <row r="230" spans="1:9" hidden="1" x14ac:dyDescent="0.25">
      <c r="A230" s="3">
        <v>45981.345138888901</v>
      </c>
      <c r="B230" t="s">
        <v>1102</v>
      </c>
      <c r="C230" t="s">
        <v>217</v>
      </c>
      <c r="D230" s="15">
        <v>7800000</v>
      </c>
      <c r="E230" s="11" t="s">
        <v>423</v>
      </c>
      <c r="F230" t="s">
        <v>25</v>
      </c>
      <c r="G230" t="s">
        <v>106</v>
      </c>
      <c r="H230" t="s">
        <v>217</v>
      </c>
      <c r="I230" s="9" t="s">
        <v>97</v>
      </c>
    </row>
    <row r="231" spans="1:9" hidden="1" x14ac:dyDescent="0.25">
      <c r="A231" s="3">
        <v>45981.347222222197</v>
      </c>
      <c r="B231" t="s">
        <v>1103</v>
      </c>
      <c r="C231" t="s">
        <v>173</v>
      </c>
      <c r="D231" s="15">
        <v>3150000</v>
      </c>
      <c r="E231" s="11" t="s">
        <v>424</v>
      </c>
      <c r="F231" t="s">
        <v>174</v>
      </c>
      <c r="G231" t="s">
        <v>106</v>
      </c>
      <c r="H231" t="s">
        <v>173</v>
      </c>
      <c r="I231" s="9" t="s">
        <v>97</v>
      </c>
    </row>
    <row r="232" spans="1:9" hidden="1" x14ac:dyDescent="0.25">
      <c r="A232" s="3">
        <v>45981.359027777798</v>
      </c>
      <c r="B232" t="s">
        <v>1104</v>
      </c>
      <c r="C232" t="s">
        <v>184</v>
      </c>
      <c r="D232" s="15">
        <v>3150000</v>
      </c>
      <c r="E232" s="11" t="s">
        <v>425</v>
      </c>
      <c r="F232" t="s">
        <v>27</v>
      </c>
      <c r="G232" t="s">
        <v>106</v>
      </c>
      <c r="H232" t="s">
        <v>184</v>
      </c>
      <c r="I232" s="9" t="s">
        <v>97</v>
      </c>
    </row>
    <row r="233" spans="1:9" hidden="1" x14ac:dyDescent="0.25">
      <c r="A233" s="3">
        <v>45981.376388888901</v>
      </c>
      <c r="B233" t="s">
        <v>1105</v>
      </c>
      <c r="C233" t="s">
        <v>220</v>
      </c>
      <c r="D233" s="15">
        <v>3150000</v>
      </c>
      <c r="E233" s="11" t="s">
        <v>426</v>
      </c>
      <c r="F233" t="s">
        <v>221</v>
      </c>
      <c r="G233" t="s">
        <v>106</v>
      </c>
      <c r="H233" t="s">
        <v>220</v>
      </c>
      <c r="I233" s="9" t="s">
        <v>97</v>
      </c>
    </row>
    <row r="234" spans="1:9" hidden="1" x14ac:dyDescent="0.25">
      <c r="A234" s="3">
        <v>45981.399305555598</v>
      </c>
      <c r="B234" t="s">
        <v>1106</v>
      </c>
      <c r="C234" t="s">
        <v>309</v>
      </c>
      <c r="D234" s="15">
        <v>3150000</v>
      </c>
      <c r="E234" s="11" t="s">
        <v>427</v>
      </c>
      <c r="F234" t="s">
        <v>310</v>
      </c>
      <c r="G234" t="s">
        <v>106</v>
      </c>
      <c r="H234" t="s">
        <v>309</v>
      </c>
      <c r="I234" s="9" t="s">
        <v>97</v>
      </c>
    </row>
    <row r="235" spans="1:9" hidden="1" x14ac:dyDescent="0.25">
      <c r="A235" s="3">
        <v>45981.388888888898</v>
      </c>
      <c r="B235" t="s">
        <v>1107</v>
      </c>
      <c r="C235" t="s">
        <v>244</v>
      </c>
      <c r="D235" s="15">
        <v>3150000</v>
      </c>
      <c r="E235" s="11" t="s">
        <v>428</v>
      </c>
      <c r="F235" t="s">
        <v>86</v>
      </c>
      <c r="G235" t="s">
        <v>106</v>
      </c>
      <c r="H235" t="s">
        <v>244</v>
      </c>
      <c r="I235" s="9" t="s">
        <v>97</v>
      </c>
    </row>
    <row r="236" spans="1:9" hidden="1" x14ac:dyDescent="0.25">
      <c r="A236" s="3">
        <v>45981.390972222202</v>
      </c>
      <c r="B236" t="s">
        <v>1108</v>
      </c>
      <c r="C236" t="s">
        <v>238</v>
      </c>
      <c r="D236" s="15">
        <v>3150000</v>
      </c>
      <c r="E236" s="11" t="s">
        <v>429</v>
      </c>
      <c r="F236" t="s">
        <v>239</v>
      </c>
      <c r="G236" t="s">
        <v>106</v>
      </c>
      <c r="H236" t="s">
        <v>238</v>
      </c>
      <c r="I236" s="9" t="s">
        <v>97</v>
      </c>
    </row>
    <row r="237" spans="1:9" hidden="1" x14ac:dyDescent="0.25">
      <c r="A237" s="3">
        <v>45981.3930555556</v>
      </c>
      <c r="B237" t="s">
        <v>1109</v>
      </c>
      <c r="C237" t="s">
        <v>321</v>
      </c>
      <c r="D237" s="15">
        <v>6300000</v>
      </c>
      <c r="E237" s="11" t="s">
        <v>430</v>
      </c>
      <c r="F237" t="s">
        <v>322</v>
      </c>
      <c r="G237" t="s">
        <v>106</v>
      </c>
      <c r="H237" t="s">
        <v>321</v>
      </c>
      <c r="I237" s="9" t="s">
        <v>97</v>
      </c>
    </row>
    <row r="238" spans="1:9" hidden="1" x14ac:dyDescent="0.25">
      <c r="A238" s="3">
        <v>45981.395138888904</v>
      </c>
      <c r="B238" t="s">
        <v>1110</v>
      </c>
      <c r="C238" t="s">
        <v>305</v>
      </c>
      <c r="D238" s="15">
        <v>3150000</v>
      </c>
      <c r="E238" s="11" t="s">
        <v>431</v>
      </c>
      <c r="F238" t="s">
        <v>306</v>
      </c>
      <c r="G238" t="s">
        <v>106</v>
      </c>
      <c r="H238" t="s">
        <v>305</v>
      </c>
      <c r="I238" s="9" t="s">
        <v>97</v>
      </c>
    </row>
    <row r="239" spans="1:9" hidden="1" x14ac:dyDescent="0.25">
      <c r="A239" s="3">
        <v>45981.396527777797</v>
      </c>
      <c r="B239" t="s">
        <v>1111</v>
      </c>
      <c r="C239" t="s">
        <v>311</v>
      </c>
      <c r="D239" s="15">
        <v>3150000</v>
      </c>
      <c r="E239" s="11" t="s">
        <v>432</v>
      </c>
      <c r="F239" t="s">
        <v>312</v>
      </c>
      <c r="G239" t="s">
        <v>106</v>
      </c>
      <c r="H239" t="s">
        <v>311</v>
      </c>
      <c r="I239" s="9" t="s">
        <v>97</v>
      </c>
    </row>
    <row r="240" spans="1:9" hidden="1" x14ac:dyDescent="0.25">
      <c r="A240" s="3">
        <v>45981.398611111101</v>
      </c>
      <c r="B240" t="s">
        <v>1112</v>
      </c>
      <c r="C240" t="s">
        <v>195</v>
      </c>
      <c r="D240" s="15">
        <v>6300000</v>
      </c>
      <c r="E240" s="11" t="s">
        <v>433</v>
      </c>
      <c r="F240" t="s">
        <v>196</v>
      </c>
      <c r="G240" t="s">
        <v>106</v>
      </c>
      <c r="H240" t="s">
        <v>195</v>
      </c>
      <c r="I240" s="9" t="s">
        <v>97</v>
      </c>
    </row>
    <row r="241" spans="1:9" hidden="1" x14ac:dyDescent="0.25">
      <c r="A241" s="3">
        <v>45981.402777777803</v>
      </c>
      <c r="B241" t="s">
        <v>1113</v>
      </c>
      <c r="C241" t="s">
        <v>198</v>
      </c>
      <c r="D241" s="15">
        <v>7800000</v>
      </c>
      <c r="E241" s="11" t="s">
        <v>434</v>
      </c>
      <c r="F241" t="s">
        <v>199</v>
      </c>
      <c r="G241" t="s">
        <v>106</v>
      </c>
      <c r="H241" t="s">
        <v>198</v>
      </c>
      <c r="I241" s="9" t="s">
        <v>97</v>
      </c>
    </row>
    <row r="242" spans="1:9" hidden="1" x14ac:dyDescent="0.25">
      <c r="A242" s="3">
        <v>45981.405555555597</v>
      </c>
      <c r="B242" t="s">
        <v>1114</v>
      </c>
      <c r="C242" t="s">
        <v>107</v>
      </c>
      <c r="D242" s="15">
        <v>3150000</v>
      </c>
      <c r="E242" s="11" t="s">
        <v>435</v>
      </c>
      <c r="F242" t="s">
        <v>108</v>
      </c>
      <c r="G242" t="s">
        <v>106</v>
      </c>
      <c r="H242" t="s">
        <v>107</v>
      </c>
      <c r="I242" s="9" t="s">
        <v>97</v>
      </c>
    </row>
    <row r="243" spans="1:9" hidden="1" x14ac:dyDescent="0.25">
      <c r="A243" s="3">
        <v>45981.407638888901</v>
      </c>
      <c r="B243" t="s">
        <v>1115</v>
      </c>
      <c r="C243" t="s">
        <v>323</v>
      </c>
      <c r="D243" s="15">
        <v>3150000</v>
      </c>
      <c r="E243" s="11" t="s">
        <v>436</v>
      </c>
      <c r="F243" t="s">
        <v>324</v>
      </c>
      <c r="G243" t="s">
        <v>106</v>
      </c>
      <c r="H243" t="s">
        <v>323</v>
      </c>
      <c r="I243" s="9" t="s">
        <v>97</v>
      </c>
    </row>
    <row r="244" spans="1:9" hidden="1" x14ac:dyDescent="0.25">
      <c r="A244" s="3">
        <v>45981.411111111098</v>
      </c>
      <c r="B244" t="s">
        <v>1116</v>
      </c>
      <c r="C244" t="s">
        <v>226</v>
      </c>
      <c r="D244" s="15">
        <v>7800000</v>
      </c>
      <c r="E244" s="11" t="s">
        <v>437</v>
      </c>
      <c r="F244" t="s">
        <v>227</v>
      </c>
      <c r="G244" t="s">
        <v>106</v>
      </c>
      <c r="H244" t="s">
        <v>226</v>
      </c>
      <c r="I244" s="9" t="s">
        <v>97</v>
      </c>
    </row>
    <row r="245" spans="1:9" hidden="1" x14ac:dyDescent="0.25">
      <c r="A245" s="3">
        <v>45981.413194444402</v>
      </c>
      <c r="B245" t="s">
        <v>1117</v>
      </c>
      <c r="C245" t="s">
        <v>122</v>
      </c>
      <c r="D245" s="15">
        <v>6300000</v>
      </c>
      <c r="E245" s="11" t="s">
        <v>438</v>
      </c>
      <c r="F245" t="s">
        <v>51</v>
      </c>
      <c r="G245" t="s">
        <v>106</v>
      </c>
      <c r="H245" t="s">
        <v>122</v>
      </c>
      <c r="I245" s="9" t="s">
        <v>97</v>
      </c>
    </row>
    <row r="246" spans="1:9" hidden="1" x14ac:dyDescent="0.25">
      <c r="A246" s="3">
        <v>45981.4152777778</v>
      </c>
      <c r="B246" t="s">
        <v>1118</v>
      </c>
      <c r="C246" t="s">
        <v>1017</v>
      </c>
      <c r="D246" s="15">
        <v>6300000</v>
      </c>
      <c r="E246" s="11" t="s">
        <v>1119</v>
      </c>
      <c r="F246" t="s">
        <v>1018</v>
      </c>
      <c r="G246" t="s">
        <v>106</v>
      </c>
      <c r="H246" t="s">
        <v>1017</v>
      </c>
      <c r="I246" s="9" t="s">
        <v>97</v>
      </c>
    </row>
    <row r="247" spans="1:9" hidden="1" x14ac:dyDescent="0.25">
      <c r="A247" s="3">
        <v>45981.418749999997</v>
      </c>
      <c r="B247" t="s">
        <v>1120</v>
      </c>
      <c r="C247" t="s">
        <v>163</v>
      </c>
      <c r="D247" s="15">
        <v>7800000</v>
      </c>
      <c r="E247" s="11" t="s">
        <v>439</v>
      </c>
      <c r="F247" t="s">
        <v>164</v>
      </c>
      <c r="G247" t="s">
        <v>106</v>
      </c>
      <c r="H247" t="s">
        <v>163</v>
      </c>
      <c r="I247" s="9" t="s">
        <v>97</v>
      </c>
    </row>
    <row r="248" spans="1:9" hidden="1" x14ac:dyDescent="0.25">
      <c r="A248" s="3">
        <v>45981.422222222202</v>
      </c>
      <c r="B248" t="s">
        <v>1121</v>
      </c>
      <c r="C248" t="s">
        <v>165</v>
      </c>
      <c r="D248" s="15">
        <v>7800000</v>
      </c>
      <c r="E248" s="11" t="s">
        <v>440</v>
      </c>
      <c r="F248" t="s">
        <v>166</v>
      </c>
      <c r="G248" t="s">
        <v>106</v>
      </c>
      <c r="H248" t="s">
        <v>165</v>
      </c>
      <c r="I248" s="9" t="s">
        <v>97</v>
      </c>
    </row>
    <row r="249" spans="1:9" hidden="1" x14ac:dyDescent="0.25">
      <c r="A249" s="3">
        <v>45981.425694444399</v>
      </c>
      <c r="B249" t="s">
        <v>1122</v>
      </c>
      <c r="C249" t="s">
        <v>161</v>
      </c>
      <c r="D249" s="15">
        <v>7800000</v>
      </c>
      <c r="E249" s="11" t="s">
        <v>441</v>
      </c>
      <c r="F249" t="s">
        <v>162</v>
      </c>
      <c r="G249" t="s">
        <v>106</v>
      </c>
      <c r="H249" t="s">
        <v>161</v>
      </c>
      <c r="I249" s="9" t="s">
        <v>97</v>
      </c>
    </row>
    <row r="250" spans="1:9" hidden="1" x14ac:dyDescent="0.25">
      <c r="A250" s="3">
        <v>45981.435416666704</v>
      </c>
      <c r="B250" t="s">
        <v>1123</v>
      </c>
      <c r="C250" t="s">
        <v>357</v>
      </c>
      <c r="D250" s="15">
        <v>7800000</v>
      </c>
      <c r="E250" s="11" t="s">
        <v>442</v>
      </c>
      <c r="F250" t="s">
        <v>358</v>
      </c>
      <c r="G250" t="s">
        <v>106</v>
      </c>
      <c r="H250" t="s">
        <v>357</v>
      </c>
      <c r="I250" s="9" t="s">
        <v>97</v>
      </c>
    </row>
    <row r="251" spans="1:9" hidden="1" x14ac:dyDescent="0.25">
      <c r="A251" s="3">
        <v>45988.729166666701</v>
      </c>
      <c r="B251" t="s">
        <v>1124</v>
      </c>
      <c r="C251" t="s">
        <v>299</v>
      </c>
      <c r="D251" s="15">
        <v>6300000</v>
      </c>
      <c r="E251" s="11" t="s">
        <v>443</v>
      </c>
      <c r="F251" t="s">
        <v>300</v>
      </c>
      <c r="G251" t="s">
        <v>106</v>
      </c>
      <c r="H251" t="s">
        <v>299</v>
      </c>
      <c r="I251" s="9" t="s">
        <v>97</v>
      </c>
    </row>
    <row r="252" spans="1:9" hidden="1" x14ac:dyDescent="0.25">
      <c r="A252" s="3">
        <v>45981.463194444397</v>
      </c>
      <c r="B252" t="s">
        <v>1125</v>
      </c>
      <c r="C252" t="s">
        <v>295</v>
      </c>
      <c r="D252" s="15">
        <v>3150000</v>
      </c>
      <c r="E252" s="11" t="s">
        <v>444</v>
      </c>
      <c r="F252" t="s">
        <v>296</v>
      </c>
      <c r="G252" t="s">
        <v>106</v>
      </c>
      <c r="H252" t="s">
        <v>295</v>
      </c>
      <c r="I252" s="9" t="s">
        <v>97</v>
      </c>
    </row>
    <row r="253" spans="1:9" hidden="1" x14ac:dyDescent="0.25">
      <c r="A253" s="3">
        <v>45981.465277777803</v>
      </c>
      <c r="B253" t="s">
        <v>1126</v>
      </c>
      <c r="C253" t="s">
        <v>272</v>
      </c>
      <c r="D253" s="15">
        <v>6300000</v>
      </c>
      <c r="E253" s="11" t="s">
        <v>445</v>
      </c>
      <c r="F253" t="s">
        <v>43</v>
      </c>
      <c r="G253" t="s">
        <v>106</v>
      </c>
      <c r="H253" t="s">
        <v>272</v>
      </c>
      <c r="I253" s="9" t="s">
        <v>97</v>
      </c>
    </row>
    <row r="254" spans="1:9" hidden="1" x14ac:dyDescent="0.25">
      <c r="A254" s="3">
        <v>45981.670138888898</v>
      </c>
      <c r="B254" t="s">
        <v>1127</v>
      </c>
      <c r="C254" t="s">
        <v>143</v>
      </c>
      <c r="D254" s="15">
        <v>4730000</v>
      </c>
      <c r="E254" s="11" t="s">
        <v>446</v>
      </c>
      <c r="F254" t="s">
        <v>20</v>
      </c>
      <c r="G254" t="s">
        <v>106</v>
      </c>
      <c r="H254" t="s">
        <v>143</v>
      </c>
      <c r="I254" s="9" t="s">
        <v>97</v>
      </c>
    </row>
    <row r="255" spans="1:9" hidden="1" x14ac:dyDescent="0.25">
      <c r="A255" s="3">
        <v>45981.672222222202</v>
      </c>
      <c r="B255" t="s">
        <v>1128</v>
      </c>
      <c r="C255" t="s">
        <v>119</v>
      </c>
      <c r="D255" s="15">
        <v>3150000</v>
      </c>
      <c r="E255" s="11" t="s">
        <v>447</v>
      </c>
      <c r="F255" t="s">
        <v>40</v>
      </c>
      <c r="G255" t="s">
        <v>106</v>
      </c>
      <c r="H255" t="s">
        <v>119</v>
      </c>
      <c r="I255" s="9" t="s">
        <v>97</v>
      </c>
    </row>
    <row r="256" spans="1:9" hidden="1" x14ac:dyDescent="0.25">
      <c r="A256" s="3">
        <v>45981.6743055556</v>
      </c>
      <c r="B256" t="s">
        <v>1129</v>
      </c>
      <c r="C256" t="s">
        <v>200</v>
      </c>
      <c r="D256" s="15">
        <v>3150000</v>
      </c>
      <c r="E256" s="11" t="s">
        <v>448</v>
      </c>
      <c r="F256" t="s">
        <v>201</v>
      </c>
      <c r="G256" t="s">
        <v>106</v>
      </c>
      <c r="H256" t="s">
        <v>200</v>
      </c>
      <c r="I256" s="9" t="s">
        <v>97</v>
      </c>
    </row>
    <row r="257" spans="1:9" hidden="1" x14ac:dyDescent="0.25">
      <c r="A257" s="3">
        <v>45981.677083333299</v>
      </c>
      <c r="B257" t="s">
        <v>1130</v>
      </c>
      <c r="C257" t="s">
        <v>251</v>
      </c>
      <c r="D257" s="15">
        <v>3150000</v>
      </c>
      <c r="E257" s="11" t="s">
        <v>449</v>
      </c>
      <c r="F257" t="s">
        <v>252</v>
      </c>
      <c r="G257" t="s">
        <v>106</v>
      </c>
      <c r="H257" t="s">
        <v>251</v>
      </c>
      <c r="I257" s="9" t="s">
        <v>97</v>
      </c>
    </row>
    <row r="258" spans="1:9" hidden="1" x14ac:dyDescent="0.25">
      <c r="A258" s="3">
        <v>45982.411111111098</v>
      </c>
      <c r="B258" t="s">
        <v>1131</v>
      </c>
      <c r="C258" t="s">
        <v>114</v>
      </c>
      <c r="D258" s="15">
        <v>4730000</v>
      </c>
      <c r="E258" s="11" t="s">
        <v>450</v>
      </c>
      <c r="F258" t="s">
        <v>115</v>
      </c>
      <c r="G258" t="s">
        <v>106</v>
      </c>
      <c r="H258" t="s">
        <v>114</v>
      </c>
      <c r="I258" s="9" t="s">
        <v>97</v>
      </c>
    </row>
    <row r="259" spans="1:9" hidden="1" x14ac:dyDescent="0.25">
      <c r="A259" s="3">
        <v>45982.413194444402</v>
      </c>
      <c r="B259" t="s">
        <v>1132</v>
      </c>
      <c r="C259" t="s">
        <v>451</v>
      </c>
      <c r="D259" s="15">
        <v>2000000</v>
      </c>
      <c r="E259" s="11" t="s">
        <v>452</v>
      </c>
      <c r="F259" t="s">
        <v>453</v>
      </c>
      <c r="G259" t="s">
        <v>106</v>
      </c>
      <c r="H259" t="s">
        <v>451</v>
      </c>
      <c r="I259" s="9" t="s">
        <v>97</v>
      </c>
    </row>
    <row r="260" spans="1:9" hidden="1" x14ac:dyDescent="0.25">
      <c r="A260" s="3">
        <v>45982.416666666701</v>
      </c>
      <c r="B260" t="s">
        <v>1133</v>
      </c>
      <c r="C260" t="s">
        <v>454</v>
      </c>
      <c r="D260" s="15">
        <v>2000000</v>
      </c>
      <c r="E260" s="11" t="s">
        <v>455</v>
      </c>
      <c r="F260" t="s">
        <v>456</v>
      </c>
      <c r="G260" t="s">
        <v>106</v>
      </c>
      <c r="H260" t="s">
        <v>454</v>
      </c>
      <c r="I260" s="9" t="s">
        <v>97</v>
      </c>
    </row>
    <row r="261" spans="1:9" hidden="1" x14ac:dyDescent="0.25">
      <c r="A261" s="3">
        <v>45982.418749999997</v>
      </c>
      <c r="B261" t="s">
        <v>1134</v>
      </c>
      <c r="C261" t="s">
        <v>457</v>
      </c>
      <c r="D261" s="15">
        <v>2000000</v>
      </c>
      <c r="E261" s="11" t="s">
        <v>458</v>
      </c>
      <c r="F261" t="s">
        <v>459</v>
      </c>
      <c r="G261" t="s">
        <v>106</v>
      </c>
      <c r="H261" t="s">
        <v>457</v>
      </c>
      <c r="I261" s="9" t="s">
        <v>97</v>
      </c>
    </row>
    <row r="262" spans="1:9" hidden="1" x14ac:dyDescent="0.25">
      <c r="A262" s="3">
        <v>45982.421527777798</v>
      </c>
      <c r="B262" t="s">
        <v>1135</v>
      </c>
      <c r="C262" t="s">
        <v>185</v>
      </c>
      <c r="D262" s="15">
        <v>3150000</v>
      </c>
      <c r="E262" s="11" t="s">
        <v>460</v>
      </c>
      <c r="F262" t="s">
        <v>186</v>
      </c>
      <c r="G262" t="s">
        <v>106</v>
      </c>
      <c r="H262" t="s">
        <v>185</v>
      </c>
      <c r="I262" s="9" t="s">
        <v>97</v>
      </c>
    </row>
    <row r="263" spans="1:9" hidden="1" x14ac:dyDescent="0.25">
      <c r="A263" s="3">
        <v>45982.425000000003</v>
      </c>
      <c r="B263" t="s">
        <v>1136</v>
      </c>
      <c r="C263" t="s">
        <v>223</v>
      </c>
      <c r="D263" s="15">
        <v>7800000</v>
      </c>
      <c r="E263" s="11" t="s">
        <v>461</v>
      </c>
      <c r="F263" t="s">
        <v>8</v>
      </c>
      <c r="G263" t="s">
        <v>106</v>
      </c>
      <c r="H263" t="s">
        <v>223</v>
      </c>
      <c r="I263" s="9" t="s">
        <v>97</v>
      </c>
    </row>
    <row r="264" spans="1:9" hidden="1" x14ac:dyDescent="0.25">
      <c r="A264" s="3">
        <v>45982.427777777797</v>
      </c>
      <c r="B264" t="s">
        <v>1137</v>
      </c>
      <c r="C264" t="s">
        <v>1021</v>
      </c>
      <c r="D264" s="15">
        <v>6300000</v>
      </c>
      <c r="E264" s="11" t="s">
        <v>1138</v>
      </c>
      <c r="F264" t="s">
        <v>1022</v>
      </c>
      <c r="G264" t="s">
        <v>106</v>
      </c>
      <c r="H264" t="s">
        <v>1021</v>
      </c>
      <c r="I264" s="9" t="s">
        <v>97</v>
      </c>
    </row>
    <row r="265" spans="1:9" hidden="1" x14ac:dyDescent="0.25">
      <c r="A265" s="3">
        <v>45982.429861111101</v>
      </c>
      <c r="B265" t="s">
        <v>1139</v>
      </c>
      <c r="C265" t="s">
        <v>206</v>
      </c>
      <c r="D265" s="15">
        <v>4730000</v>
      </c>
      <c r="E265" s="11" t="s">
        <v>462</v>
      </c>
      <c r="F265" t="s">
        <v>207</v>
      </c>
      <c r="G265" t="s">
        <v>106</v>
      </c>
      <c r="H265" t="s">
        <v>206</v>
      </c>
      <c r="I265" s="9" t="s">
        <v>97</v>
      </c>
    </row>
    <row r="266" spans="1:9" hidden="1" x14ac:dyDescent="0.25">
      <c r="A266" s="3">
        <v>45982.432638888902</v>
      </c>
      <c r="B266" t="s">
        <v>1140</v>
      </c>
      <c r="C266" t="s">
        <v>214</v>
      </c>
      <c r="D266" s="15">
        <v>4730000</v>
      </c>
      <c r="E266" s="11" t="s">
        <v>463</v>
      </c>
      <c r="F266" t="s">
        <v>215</v>
      </c>
      <c r="G266" t="s">
        <v>106</v>
      </c>
      <c r="H266" t="s">
        <v>214</v>
      </c>
      <c r="I266" s="9" t="s">
        <v>97</v>
      </c>
    </row>
    <row r="267" spans="1:9" hidden="1" x14ac:dyDescent="0.25">
      <c r="A267" s="3">
        <v>45982.435416666704</v>
      </c>
      <c r="B267" t="s">
        <v>1141</v>
      </c>
      <c r="C267" t="s">
        <v>464</v>
      </c>
      <c r="D267" s="15">
        <v>2000000</v>
      </c>
      <c r="E267" s="11" t="s">
        <v>465</v>
      </c>
      <c r="F267" t="s">
        <v>70</v>
      </c>
      <c r="G267" t="s">
        <v>106</v>
      </c>
      <c r="H267" t="s">
        <v>464</v>
      </c>
      <c r="I267" s="9" t="s">
        <v>97</v>
      </c>
    </row>
    <row r="268" spans="1:9" hidden="1" x14ac:dyDescent="0.25">
      <c r="A268" s="3">
        <v>45982.438194444403</v>
      </c>
      <c r="B268" t="s">
        <v>1142</v>
      </c>
      <c r="C268" t="s">
        <v>145</v>
      </c>
      <c r="D268" s="15">
        <v>3150000</v>
      </c>
      <c r="E268" s="11" t="s">
        <v>466</v>
      </c>
      <c r="F268" t="s">
        <v>146</v>
      </c>
      <c r="G268" t="s">
        <v>106</v>
      </c>
      <c r="H268" t="s">
        <v>145</v>
      </c>
      <c r="I268" s="9" t="s">
        <v>97</v>
      </c>
    </row>
    <row r="269" spans="1:9" hidden="1" x14ac:dyDescent="0.25">
      <c r="A269" s="3">
        <v>45982.440277777801</v>
      </c>
      <c r="B269" t="s">
        <v>1143</v>
      </c>
      <c r="C269" t="s">
        <v>467</v>
      </c>
      <c r="D269" s="15">
        <v>3150000</v>
      </c>
      <c r="E269" s="11" t="s">
        <v>468</v>
      </c>
      <c r="F269" t="s">
        <v>469</v>
      </c>
      <c r="G269" t="s">
        <v>106</v>
      </c>
      <c r="H269" t="s">
        <v>467</v>
      </c>
      <c r="I269" s="9" t="s">
        <v>97</v>
      </c>
    </row>
    <row r="270" spans="1:9" hidden="1" x14ac:dyDescent="0.25">
      <c r="A270" s="3">
        <v>45982.442361111098</v>
      </c>
      <c r="B270" t="s">
        <v>1144</v>
      </c>
      <c r="C270" t="s">
        <v>154</v>
      </c>
      <c r="D270" s="15">
        <v>3150000</v>
      </c>
      <c r="E270" s="11" t="s">
        <v>470</v>
      </c>
      <c r="F270" t="s">
        <v>155</v>
      </c>
      <c r="G270" t="s">
        <v>106</v>
      </c>
      <c r="H270" t="s">
        <v>154</v>
      </c>
      <c r="I270" s="9" t="s">
        <v>97</v>
      </c>
    </row>
    <row r="271" spans="1:9" hidden="1" x14ac:dyDescent="0.25">
      <c r="A271" s="3">
        <v>45982.444444444402</v>
      </c>
      <c r="B271" t="s">
        <v>1145</v>
      </c>
      <c r="C271" t="s">
        <v>147</v>
      </c>
      <c r="D271" s="15">
        <v>3150000</v>
      </c>
      <c r="E271" s="11" t="s">
        <v>471</v>
      </c>
      <c r="F271" t="s">
        <v>83</v>
      </c>
      <c r="G271" t="s">
        <v>106</v>
      </c>
      <c r="H271" t="s">
        <v>147</v>
      </c>
      <c r="I271" s="9" t="s">
        <v>97</v>
      </c>
    </row>
    <row r="272" spans="1:9" hidden="1" x14ac:dyDescent="0.25">
      <c r="A272" s="3">
        <v>45982.476388888899</v>
      </c>
      <c r="B272" t="s">
        <v>1146</v>
      </c>
      <c r="C272" t="s">
        <v>153</v>
      </c>
      <c r="D272" s="15">
        <v>3150000</v>
      </c>
      <c r="E272" s="11" t="s">
        <v>472</v>
      </c>
      <c r="F272" t="s">
        <v>53</v>
      </c>
      <c r="G272" t="s">
        <v>106</v>
      </c>
      <c r="H272" t="s">
        <v>153</v>
      </c>
      <c r="I272" s="9" t="s">
        <v>97</v>
      </c>
    </row>
    <row r="273" spans="1:9" hidden="1" x14ac:dyDescent="0.25">
      <c r="A273" s="3">
        <v>45982.479861111096</v>
      </c>
      <c r="B273" t="s">
        <v>1147</v>
      </c>
      <c r="C273" t="s">
        <v>473</v>
      </c>
      <c r="D273" s="15">
        <v>2000000</v>
      </c>
      <c r="E273" s="11" t="s">
        <v>474</v>
      </c>
      <c r="F273" t="s">
        <v>475</v>
      </c>
      <c r="G273" t="s">
        <v>106</v>
      </c>
      <c r="H273" t="s">
        <v>473</v>
      </c>
      <c r="I273" s="9" t="s">
        <v>97</v>
      </c>
    </row>
    <row r="274" spans="1:9" hidden="1" x14ac:dyDescent="0.25">
      <c r="A274" s="3">
        <v>45982.483333333301</v>
      </c>
      <c r="B274" t="s">
        <v>1148</v>
      </c>
      <c r="C274" t="s">
        <v>476</v>
      </c>
      <c r="D274" s="15">
        <v>1575000</v>
      </c>
      <c r="E274" s="11" t="s">
        <v>477</v>
      </c>
      <c r="F274" t="s">
        <v>478</v>
      </c>
      <c r="G274" t="s">
        <v>106</v>
      </c>
      <c r="H274" t="s">
        <v>476</v>
      </c>
      <c r="I274" s="9" t="s">
        <v>97</v>
      </c>
    </row>
    <row r="275" spans="1:9" hidden="1" x14ac:dyDescent="0.25">
      <c r="A275" s="3">
        <v>45982.586805555598</v>
      </c>
      <c r="B275" t="s">
        <v>1149</v>
      </c>
      <c r="C275" t="s">
        <v>104</v>
      </c>
      <c r="D275" s="15">
        <v>3150000</v>
      </c>
      <c r="E275" s="11" t="s">
        <v>479</v>
      </c>
      <c r="F275" t="s">
        <v>105</v>
      </c>
      <c r="G275" t="s">
        <v>106</v>
      </c>
      <c r="H275" t="s">
        <v>104</v>
      </c>
      <c r="I275" s="9" t="s">
        <v>97</v>
      </c>
    </row>
    <row r="276" spans="1:9" hidden="1" x14ac:dyDescent="0.25">
      <c r="A276" s="3">
        <v>45982.609722222202</v>
      </c>
      <c r="B276" t="s">
        <v>1150</v>
      </c>
      <c r="C276" t="s">
        <v>216</v>
      </c>
      <c r="D276" s="15">
        <v>7800000</v>
      </c>
      <c r="E276" s="11" t="s">
        <v>480</v>
      </c>
      <c r="F276" t="s">
        <v>13</v>
      </c>
      <c r="G276" t="s">
        <v>106</v>
      </c>
      <c r="H276" t="s">
        <v>216</v>
      </c>
      <c r="I276" s="9" t="s">
        <v>97</v>
      </c>
    </row>
    <row r="277" spans="1:9" hidden="1" x14ac:dyDescent="0.25">
      <c r="A277" s="3">
        <v>45985.488194444399</v>
      </c>
      <c r="B277" t="s">
        <v>1151</v>
      </c>
      <c r="C277" t="s">
        <v>481</v>
      </c>
      <c r="D277" s="15">
        <v>1575000</v>
      </c>
      <c r="E277" s="11" t="s">
        <v>482</v>
      </c>
      <c r="F277" t="s">
        <v>483</v>
      </c>
      <c r="G277" t="s">
        <v>106</v>
      </c>
      <c r="H277" t="s">
        <v>481</v>
      </c>
      <c r="I277" s="9" t="s">
        <v>97</v>
      </c>
    </row>
    <row r="278" spans="1:9" hidden="1" x14ac:dyDescent="0.25">
      <c r="A278" s="3">
        <v>45986.337500000001</v>
      </c>
      <c r="B278" t="s">
        <v>1152</v>
      </c>
      <c r="C278" t="s">
        <v>171</v>
      </c>
      <c r="D278" s="15">
        <v>3150000</v>
      </c>
      <c r="E278" s="11" t="s">
        <v>484</v>
      </c>
      <c r="F278" t="s">
        <v>172</v>
      </c>
      <c r="G278" t="s">
        <v>106</v>
      </c>
      <c r="H278" t="s">
        <v>171</v>
      </c>
      <c r="I278" s="9" t="s">
        <v>97</v>
      </c>
    </row>
    <row r="279" spans="1:9" hidden="1" x14ac:dyDescent="0.25">
      <c r="A279" s="3">
        <v>45986.356249999997</v>
      </c>
      <c r="B279" t="s">
        <v>1153</v>
      </c>
      <c r="C279" t="s">
        <v>258</v>
      </c>
      <c r="D279" s="15">
        <v>6300000</v>
      </c>
      <c r="E279" s="11" t="s">
        <v>485</v>
      </c>
      <c r="F279" t="s">
        <v>45</v>
      </c>
      <c r="G279" t="s">
        <v>106</v>
      </c>
      <c r="H279" t="s">
        <v>258</v>
      </c>
      <c r="I279" s="9" t="s">
        <v>97</v>
      </c>
    </row>
    <row r="280" spans="1:9" hidden="1" x14ac:dyDescent="0.25">
      <c r="A280" s="3">
        <v>45986.360416666699</v>
      </c>
      <c r="B280" t="s">
        <v>1154</v>
      </c>
      <c r="C280" t="s">
        <v>271</v>
      </c>
      <c r="D280" s="15">
        <v>3150000</v>
      </c>
      <c r="E280" s="11" t="s">
        <v>486</v>
      </c>
      <c r="F280" t="s">
        <v>22</v>
      </c>
      <c r="G280" t="s">
        <v>106</v>
      </c>
      <c r="H280" t="s">
        <v>271</v>
      </c>
      <c r="I280" s="9" t="s">
        <v>97</v>
      </c>
    </row>
    <row r="281" spans="1:9" hidden="1" x14ac:dyDescent="0.25">
      <c r="A281" s="3">
        <v>45986.372916666704</v>
      </c>
      <c r="B281" t="s">
        <v>1155</v>
      </c>
      <c r="C281" t="s">
        <v>180</v>
      </c>
      <c r="D281" s="15">
        <v>4730000</v>
      </c>
      <c r="E281" s="11" t="s">
        <v>487</v>
      </c>
      <c r="F281" t="s">
        <v>181</v>
      </c>
      <c r="G281" t="s">
        <v>106</v>
      </c>
      <c r="H281" t="s">
        <v>180</v>
      </c>
      <c r="I281" s="9" t="s">
        <v>97</v>
      </c>
    </row>
    <row r="282" spans="1:9" hidden="1" x14ac:dyDescent="0.25">
      <c r="A282" s="3">
        <v>45986.378472222197</v>
      </c>
      <c r="B282" t="s">
        <v>1156</v>
      </c>
      <c r="C282" t="s">
        <v>488</v>
      </c>
      <c r="D282" s="15">
        <v>1575000</v>
      </c>
      <c r="E282" s="11" t="s">
        <v>489</v>
      </c>
      <c r="F282" t="s">
        <v>490</v>
      </c>
      <c r="G282" t="s">
        <v>106</v>
      </c>
      <c r="H282" t="s">
        <v>488</v>
      </c>
      <c r="I282" s="9" t="s">
        <v>97</v>
      </c>
    </row>
    <row r="283" spans="1:9" hidden="1" x14ac:dyDescent="0.25">
      <c r="A283" s="3">
        <v>45986.381249999999</v>
      </c>
      <c r="B283" t="s">
        <v>1157</v>
      </c>
      <c r="C283" t="s">
        <v>176</v>
      </c>
      <c r="D283" s="15">
        <v>3150000</v>
      </c>
      <c r="E283" s="11" t="s">
        <v>491</v>
      </c>
      <c r="F283" t="s">
        <v>177</v>
      </c>
      <c r="G283" t="s">
        <v>106</v>
      </c>
      <c r="H283" t="s">
        <v>176</v>
      </c>
      <c r="I283" s="9" t="s">
        <v>97</v>
      </c>
    </row>
    <row r="284" spans="1:9" hidden="1" x14ac:dyDescent="0.25">
      <c r="A284" s="3">
        <v>45986.384722222203</v>
      </c>
      <c r="B284" t="s">
        <v>1158</v>
      </c>
      <c r="C284" t="s">
        <v>288</v>
      </c>
      <c r="D284" s="15">
        <v>3150000</v>
      </c>
      <c r="E284" s="11" t="s">
        <v>492</v>
      </c>
      <c r="F284" t="s">
        <v>289</v>
      </c>
      <c r="G284" t="s">
        <v>106</v>
      </c>
      <c r="H284" t="s">
        <v>288</v>
      </c>
      <c r="I284" s="9" t="s">
        <v>97</v>
      </c>
    </row>
    <row r="285" spans="1:9" hidden="1" x14ac:dyDescent="0.25">
      <c r="A285" s="3">
        <v>45986.387499999997</v>
      </c>
      <c r="B285" t="s">
        <v>1159</v>
      </c>
      <c r="C285" t="s">
        <v>169</v>
      </c>
      <c r="D285" s="15">
        <v>3150000</v>
      </c>
      <c r="E285" s="11" t="s">
        <v>493</v>
      </c>
      <c r="F285" t="s">
        <v>170</v>
      </c>
      <c r="G285" t="s">
        <v>106</v>
      </c>
      <c r="H285" t="s">
        <v>169</v>
      </c>
      <c r="I285" s="9" t="s">
        <v>97</v>
      </c>
    </row>
    <row r="286" spans="1:9" hidden="1" x14ac:dyDescent="0.25">
      <c r="A286" s="3">
        <v>45986.389583333301</v>
      </c>
      <c r="B286" t="s">
        <v>1160</v>
      </c>
      <c r="C286" t="s">
        <v>277</v>
      </c>
      <c r="D286" s="15">
        <v>4730000</v>
      </c>
      <c r="E286" s="11" t="s">
        <v>494</v>
      </c>
      <c r="F286" t="s">
        <v>278</v>
      </c>
      <c r="G286" t="s">
        <v>106</v>
      </c>
      <c r="H286" t="s">
        <v>277</v>
      </c>
      <c r="I286" s="9" t="s">
        <v>97</v>
      </c>
    </row>
    <row r="287" spans="1:9" hidden="1" x14ac:dyDescent="0.25">
      <c r="A287" s="3">
        <v>45986.399305555598</v>
      </c>
      <c r="B287" t="s">
        <v>1161</v>
      </c>
      <c r="C287" t="s">
        <v>495</v>
      </c>
      <c r="D287" s="15">
        <v>6300000</v>
      </c>
      <c r="E287" s="11" t="s">
        <v>496</v>
      </c>
      <c r="F287" t="s">
        <v>94</v>
      </c>
      <c r="G287" t="s">
        <v>106</v>
      </c>
      <c r="H287" t="s">
        <v>495</v>
      </c>
      <c r="I287" s="9" t="s">
        <v>97</v>
      </c>
    </row>
    <row r="288" spans="1:9" hidden="1" x14ac:dyDescent="0.25">
      <c r="A288" s="3">
        <v>45986.402083333298</v>
      </c>
      <c r="B288" t="s">
        <v>1162</v>
      </c>
      <c r="C288" t="s">
        <v>497</v>
      </c>
      <c r="D288" s="15">
        <v>2000000</v>
      </c>
      <c r="E288" s="11" t="s">
        <v>498</v>
      </c>
      <c r="F288" t="s">
        <v>499</v>
      </c>
      <c r="G288" t="s">
        <v>106</v>
      </c>
      <c r="H288" t="s">
        <v>497</v>
      </c>
      <c r="I288" s="9" t="s">
        <v>97</v>
      </c>
    </row>
    <row r="289" spans="1:9" hidden="1" x14ac:dyDescent="0.25">
      <c r="A289" s="3">
        <v>45986.407638888901</v>
      </c>
      <c r="B289" t="s">
        <v>1163</v>
      </c>
      <c r="C289" t="s">
        <v>500</v>
      </c>
      <c r="D289" s="15">
        <v>2000000</v>
      </c>
      <c r="E289" s="11" t="s">
        <v>501</v>
      </c>
      <c r="F289" t="s">
        <v>502</v>
      </c>
      <c r="G289" t="s">
        <v>106</v>
      </c>
      <c r="H289" t="s">
        <v>500</v>
      </c>
      <c r="I289" s="9" t="s">
        <v>97</v>
      </c>
    </row>
    <row r="290" spans="1:9" hidden="1" x14ac:dyDescent="0.25">
      <c r="A290" s="3">
        <v>45986.410416666702</v>
      </c>
      <c r="B290" t="s">
        <v>1164</v>
      </c>
      <c r="C290" t="s">
        <v>345</v>
      </c>
      <c r="D290" s="15">
        <v>3150000</v>
      </c>
      <c r="E290" s="11" t="s">
        <v>503</v>
      </c>
      <c r="F290" t="s">
        <v>346</v>
      </c>
      <c r="G290" t="s">
        <v>106</v>
      </c>
      <c r="H290" t="s">
        <v>345</v>
      </c>
      <c r="I290" s="9" t="s">
        <v>97</v>
      </c>
    </row>
    <row r="291" spans="1:9" hidden="1" x14ac:dyDescent="0.25">
      <c r="A291" s="3">
        <v>45987.337500000001</v>
      </c>
      <c r="B291" t="s">
        <v>1165</v>
      </c>
      <c r="C291" t="s">
        <v>189</v>
      </c>
      <c r="D291" s="15">
        <v>3150000</v>
      </c>
      <c r="E291" s="11" t="s">
        <v>504</v>
      </c>
      <c r="F291" t="s">
        <v>67</v>
      </c>
      <c r="G291" t="s">
        <v>106</v>
      </c>
      <c r="H291" t="s">
        <v>189</v>
      </c>
      <c r="I291" s="9" t="s">
        <v>97</v>
      </c>
    </row>
    <row r="292" spans="1:9" hidden="1" x14ac:dyDescent="0.25">
      <c r="A292" s="3">
        <v>45986.427083333299</v>
      </c>
      <c r="B292" t="s">
        <v>1166</v>
      </c>
      <c r="C292" t="s">
        <v>317</v>
      </c>
      <c r="D292" s="15">
        <v>4730000</v>
      </c>
      <c r="E292" s="11" t="s">
        <v>505</v>
      </c>
      <c r="F292" t="s">
        <v>318</v>
      </c>
      <c r="G292" t="s">
        <v>106</v>
      </c>
      <c r="H292" t="s">
        <v>317</v>
      </c>
      <c r="I292" s="9" t="s">
        <v>97</v>
      </c>
    </row>
    <row r="293" spans="1:9" hidden="1" x14ac:dyDescent="0.25">
      <c r="A293" s="3">
        <v>45986.452083333301</v>
      </c>
      <c r="B293" t="s">
        <v>1167</v>
      </c>
      <c r="C293" t="s">
        <v>341</v>
      </c>
      <c r="D293" s="15">
        <v>7800000</v>
      </c>
      <c r="E293" s="11" t="s">
        <v>506</v>
      </c>
      <c r="F293" t="s">
        <v>342</v>
      </c>
      <c r="G293" t="s">
        <v>106</v>
      </c>
      <c r="H293" t="s">
        <v>341</v>
      </c>
      <c r="I293" s="9" t="s">
        <v>97</v>
      </c>
    </row>
    <row r="294" spans="1:9" hidden="1" x14ac:dyDescent="0.25">
      <c r="A294" s="3">
        <v>45986.454861111102</v>
      </c>
      <c r="B294" t="s">
        <v>1168</v>
      </c>
      <c r="C294" t="s">
        <v>231</v>
      </c>
      <c r="D294" s="15">
        <v>3150000</v>
      </c>
      <c r="E294" s="11" t="s">
        <v>507</v>
      </c>
      <c r="F294" t="s">
        <v>232</v>
      </c>
      <c r="G294" t="s">
        <v>106</v>
      </c>
      <c r="H294" t="s">
        <v>231</v>
      </c>
      <c r="I294" s="9" t="s">
        <v>97</v>
      </c>
    </row>
    <row r="295" spans="1:9" hidden="1" x14ac:dyDescent="0.25">
      <c r="A295" s="3">
        <v>45986.457638888904</v>
      </c>
      <c r="B295" t="s">
        <v>1169</v>
      </c>
      <c r="C295" t="s">
        <v>1014</v>
      </c>
      <c r="D295" s="15">
        <v>1050000</v>
      </c>
      <c r="E295" s="11" t="s">
        <v>1170</v>
      </c>
      <c r="F295" t="s">
        <v>1015</v>
      </c>
      <c r="G295" t="s">
        <v>106</v>
      </c>
      <c r="H295" t="s">
        <v>1014</v>
      </c>
      <c r="I295" s="9" t="s">
        <v>97</v>
      </c>
    </row>
    <row r="296" spans="1:9" hidden="1" x14ac:dyDescent="0.25">
      <c r="A296" s="3">
        <v>45986.461111111101</v>
      </c>
      <c r="B296" t="s">
        <v>1171</v>
      </c>
      <c r="C296" t="s">
        <v>253</v>
      </c>
      <c r="D296" s="15">
        <v>3150000</v>
      </c>
      <c r="E296" s="11" t="s">
        <v>508</v>
      </c>
      <c r="F296" t="s">
        <v>254</v>
      </c>
      <c r="G296" t="s">
        <v>106</v>
      </c>
      <c r="H296" t="s">
        <v>253</v>
      </c>
      <c r="I296" s="9" t="s">
        <v>97</v>
      </c>
    </row>
    <row r="297" spans="1:9" hidden="1" x14ac:dyDescent="0.25">
      <c r="A297" s="3">
        <v>45986.46875</v>
      </c>
      <c r="B297" t="s">
        <v>1172</v>
      </c>
      <c r="C297" t="s">
        <v>249</v>
      </c>
      <c r="D297" s="15">
        <v>3150000</v>
      </c>
      <c r="E297" s="11" t="s">
        <v>509</v>
      </c>
      <c r="F297" t="s">
        <v>250</v>
      </c>
      <c r="G297" t="s">
        <v>106</v>
      </c>
      <c r="H297" t="s">
        <v>249</v>
      </c>
      <c r="I297" s="9" t="s">
        <v>97</v>
      </c>
    </row>
    <row r="298" spans="1:9" hidden="1" x14ac:dyDescent="0.25">
      <c r="A298" s="3">
        <v>45986.613888888904</v>
      </c>
      <c r="B298" t="s">
        <v>1173</v>
      </c>
      <c r="C298" t="s">
        <v>510</v>
      </c>
      <c r="D298" s="15">
        <v>3150000</v>
      </c>
      <c r="E298" s="11" t="s">
        <v>511</v>
      </c>
      <c r="F298" t="s">
        <v>512</v>
      </c>
      <c r="G298" t="s">
        <v>106</v>
      </c>
      <c r="H298" t="s">
        <v>510</v>
      </c>
      <c r="I298" s="9" t="s">
        <v>97</v>
      </c>
    </row>
    <row r="299" spans="1:9" hidden="1" x14ac:dyDescent="0.25">
      <c r="A299" s="3">
        <v>45986.617361111101</v>
      </c>
      <c r="B299" t="s">
        <v>1174</v>
      </c>
      <c r="C299" t="s">
        <v>247</v>
      </c>
      <c r="D299" s="15">
        <v>3150000</v>
      </c>
      <c r="E299" s="11" t="s">
        <v>513</v>
      </c>
      <c r="F299" t="s">
        <v>248</v>
      </c>
      <c r="G299" t="s">
        <v>106</v>
      </c>
      <c r="H299" t="s">
        <v>247</v>
      </c>
      <c r="I299" s="9" t="s">
        <v>97</v>
      </c>
    </row>
    <row r="300" spans="1:9" hidden="1" x14ac:dyDescent="0.25">
      <c r="A300" s="3">
        <v>45986.618750000001</v>
      </c>
      <c r="B300" t="s">
        <v>1175</v>
      </c>
      <c r="C300" t="s">
        <v>347</v>
      </c>
      <c r="D300" s="15">
        <v>3150000</v>
      </c>
      <c r="E300" s="11" t="s">
        <v>514</v>
      </c>
      <c r="F300" t="s">
        <v>348</v>
      </c>
      <c r="G300" t="s">
        <v>106</v>
      </c>
      <c r="H300" t="s">
        <v>347</v>
      </c>
      <c r="I300" s="9" t="s">
        <v>97</v>
      </c>
    </row>
    <row r="301" spans="1:9" hidden="1" x14ac:dyDescent="0.25">
      <c r="A301" s="3">
        <v>45986.686111111099</v>
      </c>
      <c r="B301" t="s">
        <v>1176</v>
      </c>
      <c r="C301" t="s">
        <v>135</v>
      </c>
      <c r="D301" s="15">
        <v>6300000</v>
      </c>
      <c r="E301" s="11" t="s">
        <v>515</v>
      </c>
      <c r="F301" t="s">
        <v>1016</v>
      </c>
      <c r="G301" t="s">
        <v>106</v>
      </c>
      <c r="H301" t="s">
        <v>135</v>
      </c>
      <c r="I301" s="9" t="s">
        <v>97</v>
      </c>
    </row>
    <row r="302" spans="1:9" hidden="1" x14ac:dyDescent="0.25">
      <c r="A302" s="3">
        <v>45986.688888888901</v>
      </c>
      <c r="B302" t="s">
        <v>1177</v>
      </c>
      <c r="C302" t="s">
        <v>516</v>
      </c>
      <c r="D302" s="15">
        <v>2000000</v>
      </c>
      <c r="E302" s="11" t="s">
        <v>517</v>
      </c>
      <c r="F302" t="s">
        <v>37</v>
      </c>
      <c r="G302" t="s">
        <v>106</v>
      </c>
      <c r="H302" t="s">
        <v>516</v>
      </c>
      <c r="I302" s="9" t="s">
        <v>97</v>
      </c>
    </row>
    <row r="303" spans="1:9" hidden="1" x14ac:dyDescent="0.25">
      <c r="A303" s="3">
        <v>45986.690972222197</v>
      </c>
      <c r="B303" t="s">
        <v>1178</v>
      </c>
      <c r="C303" t="s">
        <v>261</v>
      </c>
      <c r="D303" s="15">
        <v>7800000</v>
      </c>
      <c r="E303" s="11" t="s">
        <v>518</v>
      </c>
      <c r="F303" t="s">
        <v>23</v>
      </c>
      <c r="G303" t="s">
        <v>106</v>
      </c>
      <c r="H303" t="s">
        <v>261</v>
      </c>
      <c r="I303" s="9" t="s">
        <v>97</v>
      </c>
    </row>
    <row r="304" spans="1:9" hidden="1" x14ac:dyDescent="0.25">
      <c r="A304" s="3">
        <v>45986.697916666701</v>
      </c>
      <c r="B304" t="s">
        <v>1179</v>
      </c>
      <c r="C304" t="s">
        <v>269</v>
      </c>
      <c r="D304" s="15">
        <v>7800000</v>
      </c>
      <c r="E304" s="11" t="s">
        <v>519</v>
      </c>
      <c r="F304" t="s">
        <v>95</v>
      </c>
      <c r="G304" t="s">
        <v>106</v>
      </c>
      <c r="H304" t="s">
        <v>269</v>
      </c>
      <c r="I304" s="9" t="s">
        <v>97</v>
      </c>
    </row>
    <row r="305" spans="1:9" hidden="1" x14ac:dyDescent="0.25">
      <c r="A305" s="3">
        <v>45986.702777777798</v>
      </c>
      <c r="B305" t="s">
        <v>1180</v>
      </c>
      <c r="C305" t="s">
        <v>520</v>
      </c>
      <c r="D305" s="15">
        <v>7800000</v>
      </c>
      <c r="E305" s="11" t="s">
        <v>521</v>
      </c>
      <c r="F305" t="s">
        <v>522</v>
      </c>
      <c r="G305" t="s">
        <v>106</v>
      </c>
      <c r="H305" t="s">
        <v>520</v>
      </c>
      <c r="I305" s="9" t="s">
        <v>97</v>
      </c>
    </row>
    <row r="306" spans="1:9" hidden="1" x14ac:dyDescent="0.25">
      <c r="A306" s="3">
        <v>45986.7097222222</v>
      </c>
      <c r="B306" t="s">
        <v>1181</v>
      </c>
      <c r="C306" t="s">
        <v>264</v>
      </c>
      <c r="D306" s="15">
        <v>7800000</v>
      </c>
      <c r="E306" s="11" t="s">
        <v>523</v>
      </c>
      <c r="F306" t="s">
        <v>57</v>
      </c>
      <c r="G306" t="s">
        <v>106</v>
      </c>
      <c r="H306" t="s">
        <v>264</v>
      </c>
      <c r="I306" s="9" t="s">
        <v>97</v>
      </c>
    </row>
    <row r="307" spans="1:9" hidden="1" x14ac:dyDescent="0.25">
      <c r="A307" s="3">
        <v>45986.714583333298</v>
      </c>
      <c r="B307" t="s">
        <v>1182</v>
      </c>
      <c r="C307" t="s">
        <v>524</v>
      </c>
      <c r="D307" s="15">
        <v>2000000</v>
      </c>
      <c r="E307" s="11" t="s">
        <v>525</v>
      </c>
      <c r="F307" t="s">
        <v>526</v>
      </c>
      <c r="G307" t="s">
        <v>106</v>
      </c>
      <c r="H307" t="s">
        <v>524</v>
      </c>
      <c r="I307" s="9" t="s">
        <v>97</v>
      </c>
    </row>
    <row r="308" spans="1:9" hidden="1" x14ac:dyDescent="0.25">
      <c r="A308" s="3">
        <v>45986.716666666704</v>
      </c>
      <c r="B308" t="s">
        <v>1183</v>
      </c>
      <c r="C308" t="s">
        <v>527</v>
      </c>
      <c r="D308" s="15">
        <v>3150000</v>
      </c>
      <c r="E308" s="11" t="s">
        <v>528</v>
      </c>
      <c r="F308" t="s">
        <v>529</v>
      </c>
      <c r="G308" t="s">
        <v>106</v>
      </c>
      <c r="H308" t="s">
        <v>527</v>
      </c>
      <c r="I308" s="9" t="s">
        <v>97</v>
      </c>
    </row>
    <row r="309" spans="1:9" hidden="1" x14ac:dyDescent="0.25">
      <c r="A309" s="3">
        <v>45986.719444444403</v>
      </c>
      <c r="B309" t="s">
        <v>1184</v>
      </c>
      <c r="C309" t="s">
        <v>137</v>
      </c>
      <c r="D309" s="15">
        <v>3150000</v>
      </c>
      <c r="E309" s="11" t="s">
        <v>530</v>
      </c>
      <c r="F309" t="s">
        <v>138</v>
      </c>
      <c r="G309" t="s">
        <v>106</v>
      </c>
      <c r="H309" t="s">
        <v>137</v>
      </c>
      <c r="I309" s="9" t="s">
        <v>97</v>
      </c>
    </row>
    <row r="310" spans="1:9" hidden="1" x14ac:dyDescent="0.25">
      <c r="A310" s="3">
        <v>45986.721527777801</v>
      </c>
      <c r="B310" t="s">
        <v>1185</v>
      </c>
      <c r="C310" t="s">
        <v>131</v>
      </c>
      <c r="D310" s="15">
        <v>3150000</v>
      </c>
      <c r="E310" s="11" t="s">
        <v>531</v>
      </c>
      <c r="F310" t="s">
        <v>132</v>
      </c>
      <c r="G310" t="s">
        <v>106</v>
      </c>
      <c r="H310" t="s">
        <v>131</v>
      </c>
      <c r="I310" s="9" t="s">
        <v>97</v>
      </c>
    </row>
    <row r="311" spans="1:9" hidden="1" x14ac:dyDescent="0.25">
      <c r="A311" s="3">
        <v>45986.725694444402</v>
      </c>
      <c r="B311" t="s">
        <v>1186</v>
      </c>
      <c r="C311" t="s">
        <v>331</v>
      </c>
      <c r="D311" s="15">
        <v>3150000</v>
      </c>
      <c r="E311" s="11" t="s">
        <v>532</v>
      </c>
      <c r="F311" t="s">
        <v>332</v>
      </c>
      <c r="G311" t="s">
        <v>106</v>
      </c>
      <c r="H311" t="s">
        <v>331</v>
      </c>
      <c r="I311" s="9" t="s">
        <v>97</v>
      </c>
    </row>
    <row r="312" spans="1:9" hidden="1" x14ac:dyDescent="0.25">
      <c r="A312" s="3">
        <v>45986.727083333302</v>
      </c>
      <c r="B312" t="s">
        <v>1187</v>
      </c>
      <c r="C312" t="s">
        <v>262</v>
      </c>
      <c r="D312" s="15">
        <v>3150000</v>
      </c>
      <c r="E312" s="11" t="s">
        <v>533</v>
      </c>
      <c r="F312" t="s">
        <v>263</v>
      </c>
      <c r="G312" t="s">
        <v>106</v>
      </c>
      <c r="H312" t="s">
        <v>262</v>
      </c>
      <c r="I312" s="9" t="s">
        <v>97</v>
      </c>
    </row>
    <row r="313" spans="1:9" hidden="1" x14ac:dyDescent="0.25">
      <c r="A313" s="3">
        <v>45986.731249999997</v>
      </c>
      <c r="B313" t="s">
        <v>1188</v>
      </c>
      <c r="C313" t="s">
        <v>534</v>
      </c>
      <c r="D313" s="15">
        <v>2000000</v>
      </c>
      <c r="E313" s="11" t="s">
        <v>535</v>
      </c>
      <c r="F313" t="s">
        <v>536</v>
      </c>
      <c r="G313" t="s">
        <v>106</v>
      </c>
      <c r="H313" t="s">
        <v>534</v>
      </c>
      <c r="I313" s="9" t="s">
        <v>97</v>
      </c>
    </row>
    <row r="314" spans="1:9" hidden="1" x14ac:dyDescent="0.25">
      <c r="A314" s="3">
        <v>45986.733333333301</v>
      </c>
      <c r="B314" t="s">
        <v>1189</v>
      </c>
      <c r="C314" t="s">
        <v>334</v>
      </c>
      <c r="D314" s="15">
        <v>3150000</v>
      </c>
      <c r="E314" s="11" t="s">
        <v>537</v>
      </c>
      <c r="F314" t="s">
        <v>19</v>
      </c>
      <c r="G314" t="s">
        <v>106</v>
      </c>
      <c r="H314" t="s">
        <v>334</v>
      </c>
      <c r="I314" s="9" t="s">
        <v>97</v>
      </c>
    </row>
    <row r="315" spans="1:9" hidden="1" x14ac:dyDescent="0.25">
      <c r="A315" s="3">
        <v>45986.734722222202</v>
      </c>
      <c r="B315" t="s">
        <v>1190</v>
      </c>
      <c r="C315" t="s">
        <v>259</v>
      </c>
      <c r="D315" s="15">
        <v>6300000</v>
      </c>
      <c r="E315" s="11" t="s">
        <v>538</v>
      </c>
      <c r="F315" t="s">
        <v>260</v>
      </c>
      <c r="G315" t="s">
        <v>106</v>
      </c>
      <c r="H315" t="s">
        <v>259</v>
      </c>
      <c r="I315" s="9" t="s">
        <v>97</v>
      </c>
    </row>
    <row r="316" spans="1:9" hidden="1" x14ac:dyDescent="0.25">
      <c r="A316" s="3">
        <v>45986.736111111102</v>
      </c>
      <c r="B316" t="s">
        <v>1191</v>
      </c>
      <c r="C316" t="s">
        <v>265</v>
      </c>
      <c r="D316" s="15">
        <v>6300000</v>
      </c>
      <c r="E316" s="11" t="s">
        <v>539</v>
      </c>
      <c r="F316" t="s">
        <v>54</v>
      </c>
      <c r="G316" t="s">
        <v>106</v>
      </c>
      <c r="H316" t="s">
        <v>265</v>
      </c>
      <c r="I316" s="9" t="s">
        <v>97</v>
      </c>
    </row>
    <row r="317" spans="1:9" hidden="1" x14ac:dyDescent="0.25">
      <c r="A317" s="3">
        <v>45987.356249999997</v>
      </c>
      <c r="B317" t="s">
        <v>1192</v>
      </c>
      <c r="C317" t="s">
        <v>540</v>
      </c>
      <c r="D317" s="15">
        <v>6300000</v>
      </c>
      <c r="E317" s="11" t="s">
        <v>541</v>
      </c>
      <c r="F317" t="s">
        <v>73</v>
      </c>
      <c r="G317" t="s">
        <v>106</v>
      </c>
      <c r="H317" t="s">
        <v>540</v>
      </c>
      <c r="I317" s="9" t="s">
        <v>97</v>
      </c>
    </row>
    <row r="318" spans="1:9" hidden="1" x14ac:dyDescent="0.25">
      <c r="A318" s="3">
        <v>45987.365277777797</v>
      </c>
      <c r="B318" t="s">
        <v>1193</v>
      </c>
      <c r="C318" t="s">
        <v>542</v>
      </c>
      <c r="D318" s="15">
        <v>2000000</v>
      </c>
      <c r="E318" s="11" t="s">
        <v>543</v>
      </c>
      <c r="F318" t="s">
        <v>544</v>
      </c>
      <c r="G318" t="s">
        <v>106</v>
      </c>
      <c r="H318" t="s">
        <v>542</v>
      </c>
      <c r="I318" s="9" t="s">
        <v>97</v>
      </c>
    </row>
    <row r="319" spans="1:9" hidden="1" x14ac:dyDescent="0.25">
      <c r="A319" s="3">
        <v>45987.368055555598</v>
      </c>
      <c r="B319" t="s">
        <v>1194</v>
      </c>
      <c r="C319" t="s">
        <v>545</v>
      </c>
      <c r="D319" s="15">
        <v>1575000</v>
      </c>
      <c r="E319" s="11" t="s">
        <v>546</v>
      </c>
      <c r="F319" t="s">
        <v>547</v>
      </c>
      <c r="G319" t="s">
        <v>106</v>
      </c>
      <c r="H319" t="s">
        <v>545</v>
      </c>
      <c r="I319" s="9" t="s">
        <v>97</v>
      </c>
    </row>
    <row r="320" spans="1:9" hidden="1" x14ac:dyDescent="0.25">
      <c r="A320" s="3">
        <v>45987.372222222199</v>
      </c>
      <c r="B320" t="s">
        <v>1195</v>
      </c>
      <c r="C320" t="s">
        <v>1196</v>
      </c>
      <c r="D320" s="15">
        <v>4730000</v>
      </c>
      <c r="E320" s="11" t="s">
        <v>1197</v>
      </c>
      <c r="F320" t="s">
        <v>1198</v>
      </c>
      <c r="G320" t="s">
        <v>106</v>
      </c>
      <c r="H320" t="s">
        <v>1196</v>
      </c>
      <c r="I320" s="9" t="s">
        <v>97</v>
      </c>
    </row>
    <row r="321" spans="1:9" hidden="1" x14ac:dyDescent="0.25">
      <c r="A321" s="3">
        <v>45987.375694444403</v>
      </c>
      <c r="B321" t="s">
        <v>1199</v>
      </c>
      <c r="C321" t="s">
        <v>548</v>
      </c>
      <c r="D321" s="15">
        <v>3150000</v>
      </c>
      <c r="E321" s="11" t="s">
        <v>549</v>
      </c>
      <c r="F321" t="s">
        <v>550</v>
      </c>
      <c r="G321" t="s">
        <v>106</v>
      </c>
      <c r="H321" t="s">
        <v>548</v>
      </c>
      <c r="I321" s="9" t="s">
        <v>97</v>
      </c>
    </row>
    <row r="322" spans="1:9" hidden="1" x14ac:dyDescent="0.25">
      <c r="A322" s="3">
        <v>45987.377777777801</v>
      </c>
      <c r="B322" t="s">
        <v>1200</v>
      </c>
      <c r="C322" t="s">
        <v>551</v>
      </c>
      <c r="D322" s="15">
        <v>3900000</v>
      </c>
      <c r="E322" s="11" t="s">
        <v>552</v>
      </c>
      <c r="F322" t="s">
        <v>553</v>
      </c>
      <c r="G322" t="s">
        <v>106</v>
      </c>
      <c r="H322" t="s">
        <v>551</v>
      </c>
      <c r="I322" s="9" t="s">
        <v>97</v>
      </c>
    </row>
    <row r="323" spans="1:9" hidden="1" x14ac:dyDescent="0.25">
      <c r="A323" s="3">
        <v>45987.385416666701</v>
      </c>
      <c r="B323" t="s">
        <v>1201</v>
      </c>
      <c r="C323" t="s">
        <v>554</v>
      </c>
      <c r="D323" s="15">
        <v>3900000</v>
      </c>
      <c r="E323" s="11" t="s">
        <v>555</v>
      </c>
      <c r="F323" t="s">
        <v>556</v>
      </c>
      <c r="G323" t="s">
        <v>106</v>
      </c>
      <c r="H323" t="s">
        <v>554</v>
      </c>
      <c r="I323" s="9" t="s">
        <v>97</v>
      </c>
    </row>
    <row r="324" spans="1:9" hidden="1" x14ac:dyDescent="0.25">
      <c r="A324" s="3">
        <v>45987.3881944444</v>
      </c>
      <c r="B324" t="s">
        <v>1202</v>
      </c>
      <c r="C324" t="s">
        <v>557</v>
      </c>
      <c r="D324" s="15">
        <v>1575000</v>
      </c>
      <c r="E324" s="11" t="s">
        <v>558</v>
      </c>
      <c r="F324" t="s">
        <v>559</v>
      </c>
      <c r="G324" t="s">
        <v>106</v>
      </c>
      <c r="H324" t="s">
        <v>557</v>
      </c>
      <c r="I324" s="9" t="s">
        <v>97</v>
      </c>
    </row>
    <row r="325" spans="1:9" hidden="1" x14ac:dyDescent="0.25">
      <c r="A325" s="3">
        <v>45987.392361111102</v>
      </c>
      <c r="B325" t="s">
        <v>1203</v>
      </c>
      <c r="C325" t="s">
        <v>560</v>
      </c>
      <c r="D325" s="15">
        <v>1575000</v>
      </c>
      <c r="E325" s="11" t="s">
        <v>561</v>
      </c>
      <c r="F325" t="s">
        <v>562</v>
      </c>
      <c r="G325" t="s">
        <v>106</v>
      </c>
      <c r="H325" t="s">
        <v>560</v>
      </c>
      <c r="I325" s="9" t="s">
        <v>97</v>
      </c>
    </row>
    <row r="326" spans="1:9" hidden="1" x14ac:dyDescent="0.25">
      <c r="A326" s="3">
        <v>45987.397916666698</v>
      </c>
      <c r="B326" t="s">
        <v>1204</v>
      </c>
      <c r="C326" t="s">
        <v>329</v>
      </c>
      <c r="D326" s="15">
        <v>3150000</v>
      </c>
      <c r="E326" s="11" t="s">
        <v>563</v>
      </c>
      <c r="F326" t="s">
        <v>330</v>
      </c>
      <c r="G326" t="s">
        <v>106</v>
      </c>
      <c r="H326" t="s">
        <v>329</v>
      </c>
      <c r="I326" s="9" t="s">
        <v>97</v>
      </c>
    </row>
    <row r="327" spans="1:9" hidden="1" x14ac:dyDescent="0.25">
      <c r="A327" s="3">
        <v>45987.402083333298</v>
      </c>
      <c r="B327" t="s">
        <v>1205</v>
      </c>
      <c r="C327" t="s">
        <v>327</v>
      </c>
      <c r="D327" s="15">
        <v>3150000</v>
      </c>
      <c r="E327" s="11" t="s">
        <v>564</v>
      </c>
      <c r="F327" t="s">
        <v>328</v>
      </c>
      <c r="G327" t="s">
        <v>106</v>
      </c>
      <c r="H327" t="s">
        <v>327</v>
      </c>
      <c r="I327" s="9" t="s">
        <v>97</v>
      </c>
    </row>
    <row r="328" spans="1:9" hidden="1" x14ac:dyDescent="0.25">
      <c r="A328" s="3">
        <v>45987.406944444403</v>
      </c>
      <c r="B328" t="s">
        <v>1206</v>
      </c>
      <c r="C328" t="s">
        <v>565</v>
      </c>
      <c r="D328" s="15">
        <v>3150000</v>
      </c>
      <c r="E328" s="11" t="s">
        <v>566</v>
      </c>
      <c r="F328" t="s">
        <v>567</v>
      </c>
      <c r="G328" t="s">
        <v>106</v>
      </c>
      <c r="H328" t="s">
        <v>565</v>
      </c>
      <c r="I328" s="9" t="s">
        <v>97</v>
      </c>
    </row>
    <row r="329" spans="1:9" hidden="1" x14ac:dyDescent="0.25">
      <c r="A329" s="3">
        <v>45987.409722222197</v>
      </c>
      <c r="B329" t="s">
        <v>1207</v>
      </c>
      <c r="C329" t="s">
        <v>139</v>
      </c>
      <c r="D329" s="15">
        <v>3150000</v>
      </c>
      <c r="E329" s="11" t="s">
        <v>568</v>
      </c>
      <c r="F329" t="s">
        <v>63</v>
      </c>
      <c r="G329" t="s">
        <v>106</v>
      </c>
      <c r="H329" t="s">
        <v>139</v>
      </c>
      <c r="I329" s="9" t="s">
        <v>97</v>
      </c>
    </row>
    <row r="330" spans="1:9" hidden="1" x14ac:dyDescent="0.25">
      <c r="A330" s="3">
        <v>45987.413194444402</v>
      </c>
      <c r="B330" t="s">
        <v>1208</v>
      </c>
      <c r="C330" t="s">
        <v>569</v>
      </c>
      <c r="D330" s="15">
        <v>3150000</v>
      </c>
      <c r="E330" s="11" t="s">
        <v>570</v>
      </c>
      <c r="F330" t="s">
        <v>571</v>
      </c>
      <c r="G330" t="s">
        <v>106</v>
      </c>
      <c r="H330" t="s">
        <v>569</v>
      </c>
      <c r="I330" s="9" t="s">
        <v>97</v>
      </c>
    </row>
    <row r="331" spans="1:9" hidden="1" x14ac:dyDescent="0.25">
      <c r="A331" s="3">
        <v>45987.415972222203</v>
      </c>
      <c r="B331" t="s">
        <v>1209</v>
      </c>
      <c r="C331" t="s">
        <v>572</v>
      </c>
      <c r="D331" s="15">
        <v>4730000</v>
      </c>
      <c r="E331" s="11" t="s">
        <v>573</v>
      </c>
      <c r="F331" t="s">
        <v>574</v>
      </c>
      <c r="G331" t="s">
        <v>106</v>
      </c>
      <c r="H331" t="s">
        <v>572</v>
      </c>
      <c r="I331" s="9" t="s">
        <v>97</v>
      </c>
    </row>
    <row r="332" spans="1:9" hidden="1" x14ac:dyDescent="0.25">
      <c r="A332" s="3">
        <v>45987.420138888898</v>
      </c>
      <c r="B332" t="s">
        <v>1210</v>
      </c>
      <c r="C332" t="s">
        <v>575</v>
      </c>
      <c r="D332" s="15">
        <v>4730000</v>
      </c>
      <c r="E332" s="11" t="s">
        <v>576</v>
      </c>
      <c r="F332" t="s">
        <v>577</v>
      </c>
      <c r="G332" t="s">
        <v>106</v>
      </c>
      <c r="H332" t="s">
        <v>575</v>
      </c>
      <c r="I332" s="9" t="s">
        <v>97</v>
      </c>
    </row>
    <row r="333" spans="1:9" hidden="1" x14ac:dyDescent="0.25">
      <c r="A333" s="3">
        <v>45987.431250000001</v>
      </c>
      <c r="B333" t="s">
        <v>1211</v>
      </c>
      <c r="C333" t="s">
        <v>266</v>
      </c>
      <c r="D333" s="15">
        <v>4730000</v>
      </c>
      <c r="E333" s="11" t="s">
        <v>578</v>
      </c>
      <c r="F333" t="s">
        <v>18</v>
      </c>
      <c r="G333" t="s">
        <v>106</v>
      </c>
      <c r="H333" t="s">
        <v>266</v>
      </c>
      <c r="I333" s="9" t="s">
        <v>97</v>
      </c>
    </row>
    <row r="334" spans="1:9" hidden="1" x14ac:dyDescent="0.25">
      <c r="A334" s="3">
        <v>45987.434722222199</v>
      </c>
      <c r="B334" t="s">
        <v>1212</v>
      </c>
      <c r="C334" t="s">
        <v>336</v>
      </c>
      <c r="D334" s="15">
        <v>4730000</v>
      </c>
      <c r="E334" s="11" t="s">
        <v>579</v>
      </c>
      <c r="F334" t="s">
        <v>38</v>
      </c>
      <c r="G334" t="s">
        <v>106</v>
      </c>
      <c r="H334" t="s">
        <v>336</v>
      </c>
      <c r="I334" s="9" t="s">
        <v>97</v>
      </c>
    </row>
    <row r="335" spans="1:9" hidden="1" x14ac:dyDescent="0.25">
      <c r="A335" s="3">
        <v>45987.438194444403</v>
      </c>
      <c r="B335" t="s">
        <v>1213</v>
      </c>
      <c r="C335" t="s">
        <v>580</v>
      </c>
      <c r="D335" s="15">
        <v>4730000</v>
      </c>
      <c r="E335" s="11" t="s">
        <v>581</v>
      </c>
      <c r="F335" t="s">
        <v>100</v>
      </c>
      <c r="G335" t="s">
        <v>106</v>
      </c>
      <c r="H335" t="s">
        <v>580</v>
      </c>
      <c r="I335" s="9" t="s">
        <v>97</v>
      </c>
    </row>
    <row r="336" spans="1:9" hidden="1" x14ac:dyDescent="0.25">
      <c r="A336" s="3">
        <v>45987.441666666702</v>
      </c>
      <c r="B336" t="s">
        <v>1214</v>
      </c>
      <c r="C336" t="s">
        <v>361</v>
      </c>
      <c r="D336" s="15">
        <v>3626333</v>
      </c>
      <c r="E336" s="11" t="s">
        <v>362</v>
      </c>
      <c r="F336" t="s">
        <v>363</v>
      </c>
      <c r="G336" t="s">
        <v>106</v>
      </c>
      <c r="H336" t="s">
        <v>361</v>
      </c>
      <c r="I336" s="9" t="s">
        <v>97</v>
      </c>
    </row>
    <row r="337" spans="1:9" hidden="1" x14ac:dyDescent="0.25">
      <c r="A337" s="3">
        <v>45987.444444444402</v>
      </c>
      <c r="B337" t="s">
        <v>1215</v>
      </c>
      <c r="C337" t="s">
        <v>140</v>
      </c>
      <c r="D337" s="15">
        <v>6300000</v>
      </c>
      <c r="E337" s="11" t="s">
        <v>582</v>
      </c>
      <c r="F337" t="s">
        <v>62</v>
      </c>
      <c r="G337" t="s">
        <v>106</v>
      </c>
      <c r="H337" t="s">
        <v>140</v>
      </c>
      <c r="I337" s="9" t="s">
        <v>97</v>
      </c>
    </row>
    <row r="338" spans="1:9" hidden="1" x14ac:dyDescent="0.25">
      <c r="A338" s="3">
        <v>45987.447222222203</v>
      </c>
      <c r="B338" t="s">
        <v>1216</v>
      </c>
      <c r="C338" t="s">
        <v>268</v>
      </c>
      <c r="D338" s="15">
        <v>3150000</v>
      </c>
      <c r="E338" s="11" t="s">
        <v>583</v>
      </c>
      <c r="F338" t="s">
        <v>65</v>
      </c>
      <c r="G338" t="s">
        <v>106</v>
      </c>
      <c r="H338" t="s">
        <v>268</v>
      </c>
      <c r="I338" s="9" t="s">
        <v>97</v>
      </c>
    </row>
    <row r="339" spans="1:9" hidden="1" x14ac:dyDescent="0.25">
      <c r="A339" s="3">
        <v>45987.449305555601</v>
      </c>
      <c r="B339" t="s">
        <v>1217</v>
      </c>
      <c r="C339" t="s">
        <v>133</v>
      </c>
      <c r="D339" s="15">
        <v>7800000</v>
      </c>
      <c r="E339" s="11" t="s">
        <v>584</v>
      </c>
      <c r="F339" t="s">
        <v>134</v>
      </c>
      <c r="G339" t="s">
        <v>106</v>
      </c>
      <c r="H339" t="s">
        <v>133</v>
      </c>
      <c r="I339" s="9" t="s">
        <v>97</v>
      </c>
    </row>
    <row r="340" spans="1:9" hidden="1" x14ac:dyDescent="0.25">
      <c r="A340" s="3">
        <v>45987.452777777798</v>
      </c>
      <c r="B340" t="s">
        <v>1218</v>
      </c>
      <c r="C340" t="s">
        <v>338</v>
      </c>
      <c r="D340" s="15">
        <v>6300000</v>
      </c>
      <c r="E340" s="11" t="s">
        <v>585</v>
      </c>
      <c r="F340" t="s">
        <v>29</v>
      </c>
      <c r="G340" t="s">
        <v>106</v>
      </c>
      <c r="H340" t="s">
        <v>338</v>
      </c>
      <c r="I340" s="9" t="s">
        <v>97</v>
      </c>
    </row>
    <row r="341" spans="1:9" hidden="1" x14ac:dyDescent="0.25">
      <c r="A341" s="3">
        <v>45987.454861111102</v>
      </c>
      <c r="B341" t="s">
        <v>1219</v>
      </c>
      <c r="C341" t="s">
        <v>130</v>
      </c>
      <c r="D341" s="15">
        <v>3150000</v>
      </c>
      <c r="E341" s="11" t="s">
        <v>586</v>
      </c>
      <c r="F341" t="s">
        <v>30</v>
      </c>
      <c r="G341" t="s">
        <v>106</v>
      </c>
      <c r="H341" t="s">
        <v>130</v>
      </c>
      <c r="I341" s="9" t="s">
        <v>97</v>
      </c>
    </row>
    <row r="342" spans="1:9" hidden="1" x14ac:dyDescent="0.25">
      <c r="A342" s="3">
        <v>45987.458333333299</v>
      </c>
      <c r="B342" t="s">
        <v>1220</v>
      </c>
      <c r="C342" t="s">
        <v>587</v>
      </c>
      <c r="D342" s="15">
        <v>4730000</v>
      </c>
      <c r="E342" s="11" t="s">
        <v>588</v>
      </c>
      <c r="F342" t="s">
        <v>589</v>
      </c>
      <c r="G342" t="s">
        <v>106</v>
      </c>
      <c r="H342" t="s">
        <v>587</v>
      </c>
      <c r="I342" s="9" t="s">
        <v>97</v>
      </c>
    </row>
    <row r="343" spans="1:9" hidden="1" x14ac:dyDescent="0.25">
      <c r="A343" s="3">
        <v>45988.3527777778</v>
      </c>
      <c r="B343" t="s">
        <v>1221</v>
      </c>
      <c r="C343" t="s">
        <v>590</v>
      </c>
      <c r="D343" s="15">
        <v>6300000</v>
      </c>
      <c r="E343" s="11" t="s">
        <v>591</v>
      </c>
      <c r="F343" t="s">
        <v>592</v>
      </c>
      <c r="G343" t="s">
        <v>106</v>
      </c>
      <c r="H343" t="s">
        <v>590</v>
      </c>
      <c r="I343" s="9" t="s">
        <v>97</v>
      </c>
    </row>
    <row r="344" spans="1:9" hidden="1" x14ac:dyDescent="0.25">
      <c r="A344" s="3">
        <v>45988.356249999997</v>
      </c>
      <c r="B344" t="s">
        <v>1222</v>
      </c>
      <c r="C344" t="s">
        <v>284</v>
      </c>
      <c r="D344" s="15">
        <v>3150000</v>
      </c>
      <c r="E344" s="11" t="s">
        <v>593</v>
      </c>
      <c r="F344" t="s">
        <v>285</v>
      </c>
      <c r="G344" t="s">
        <v>106</v>
      </c>
      <c r="H344" t="s">
        <v>284</v>
      </c>
      <c r="I344" s="9" t="s">
        <v>97</v>
      </c>
    </row>
    <row r="345" spans="1:9" hidden="1" x14ac:dyDescent="0.25">
      <c r="A345" s="3">
        <v>45988.359722222202</v>
      </c>
      <c r="B345" t="s">
        <v>1223</v>
      </c>
      <c r="C345" t="s">
        <v>167</v>
      </c>
      <c r="D345" s="15">
        <v>6300000</v>
      </c>
      <c r="E345" s="11" t="s">
        <v>594</v>
      </c>
      <c r="F345" t="s">
        <v>168</v>
      </c>
      <c r="G345" t="s">
        <v>106</v>
      </c>
      <c r="H345" t="s">
        <v>167</v>
      </c>
      <c r="I345" s="9" t="s">
        <v>97</v>
      </c>
    </row>
    <row r="346" spans="1:9" hidden="1" x14ac:dyDescent="0.25">
      <c r="A346" s="3">
        <v>45988.363888888904</v>
      </c>
      <c r="B346" t="s">
        <v>1224</v>
      </c>
      <c r="C346" t="s">
        <v>273</v>
      </c>
      <c r="D346" s="15">
        <v>7800000</v>
      </c>
      <c r="E346" s="11" t="s">
        <v>595</v>
      </c>
      <c r="F346" t="s">
        <v>274</v>
      </c>
      <c r="G346" t="s">
        <v>106</v>
      </c>
      <c r="H346" t="s">
        <v>273</v>
      </c>
      <c r="I346" s="9" t="s">
        <v>97</v>
      </c>
    </row>
    <row r="347" spans="1:9" hidden="1" x14ac:dyDescent="0.25">
      <c r="A347" s="3">
        <v>45988.377083333296</v>
      </c>
      <c r="B347" t="s">
        <v>1225</v>
      </c>
      <c r="C347" t="s">
        <v>157</v>
      </c>
      <c r="D347" s="15">
        <v>6300000</v>
      </c>
      <c r="E347" s="11" t="s">
        <v>596</v>
      </c>
      <c r="F347" t="s">
        <v>82</v>
      </c>
      <c r="G347" t="s">
        <v>106</v>
      </c>
      <c r="H347" t="s">
        <v>157</v>
      </c>
      <c r="I347" s="9" t="s">
        <v>97</v>
      </c>
    </row>
    <row r="348" spans="1:9" hidden="1" x14ac:dyDescent="0.25">
      <c r="A348" s="3">
        <v>45988.3840277778</v>
      </c>
      <c r="B348" t="s">
        <v>1226</v>
      </c>
      <c r="C348" t="s">
        <v>302</v>
      </c>
      <c r="D348" s="15">
        <v>6300000</v>
      </c>
      <c r="E348" s="11" t="s">
        <v>597</v>
      </c>
      <c r="F348" t="s">
        <v>303</v>
      </c>
      <c r="G348" t="s">
        <v>106</v>
      </c>
      <c r="H348" t="s">
        <v>302</v>
      </c>
      <c r="I348" s="9" t="s">
        <v>97</v>
      </c>
    </row>
    <row r="349" spans="1:9" hidden="1" x14ac:dyDescent="0.25">
      <c r="A349" s="3">
        <v>45988.387499999997</v>
      </c>
      <c r="B349" t="s">
        <v>1227</v>
      </c>
      <c r="C349" t="s">
        <v>182</v>
      </c>
      <c r="D349" s="15">
        <v>7800000</v>
      </c>
      <c r="E349" s="11" t="s">
        <v>598</v>
      </c>
      <c r="F349" t="s">
        <v>183</v>
      </c>
      <c r="G349" t="s">
        <v>106</v>
      </c>
      <c r="H349" t="s">
        <v>182</v>
      </c>
      <c r="I349" s="9" t="s">
        <v>97</v>
      </c>
    </row>
    <row r="350" spans="1:9" hidden="1" x14ac:dyDescent="0.25">
      <c r="A350" s="3">
        <v>45988.390277777798</v>
      </c>
      <c r="B350" t="s">
        <v>1228</v>
      </c>
      <c r="C350" t="s">
        <v>355</v>
      </c>
      <c r="D350" s="15">
        <v>3150000</v>
      </c>
      <c r="E350" s="11" t="s">
        <v>599</v>
      </c>
      <c r="F350" t="s">
        <v>356</v>
      </c>
      <c r="G350" t="s">
        <v>106</v>
      </c>
      <c r="H350" t="s">
        <v>355</v>
      </c>
      <c r="I350" s="9" t="s">
        <v>97</v>
      </c>
    </row>
    <row r="351" spans="1:9" hidden="1" x14ac:dyDescent="0.25">
      <c r="A351" s="3">
        <v>45988.391666666699</v>
      </c>
      <c r="B351" t="s">
        <v>1229</v>
      </c>
      <c r="C351" t="s">
        <v>175</v>
      </c>
      <c r="D351" s="15">
        <v>3150000</v>
      </c>
      <c r="E351" s="11" t="s">
        <v>600</v>
      </c>
      <c r="F351" t="s">
        <v>34</v>
      </c>
      <c r="G351" t="s">
        <v>106</v>
      </c>
      <c r="H351" t="s">
        <v>175</v>
      </c>
      <c r="I351" s="9" t="s">
        <v>97</v>
      </c>
    </row>
    <row r="352" spans="1:9" hidden="1" x14ac:dyDescent="0.25">
      <c r="A352" s="3">
        <v>45988.3972222222</v>
      </c>
      <c r="B352" t="s">
        <v>1230</v>
      </c>
      <c r="C352" t="s">
        <v>292</v>
      </c>
      <c r="D352" s="15">
        <v>4730000</v>
      </c>
      <c r="E352" s="11" t="s">
        <v>601</v>
      </c>
      <c r="F352" t="s">
        <v>28</v>
      </c>
      <c r="G352" t="s">
        <v>106</v>
      </c>
      <c r="H352" t="s">
        <v>292</v>
      </c>
      <c r="I352" s="9" t="s">
        <v>97</v>
      </c>
    </row>
    <row r="353" spans="1:9" hidden="1" x14ac:dyDescent="0.25">
      <c r="A353" s="3">
        <v>45988.399305555598</v>
      </c>
      <c r="B353" t="s">
        <v>1231</v>
      </c>
      <c r="C353" t="s">
        <v>351</v>
      </c>
      <c r="D353" s="15">
        <v>3150000</v>
      </c>
      <c r="E353" s="11" t="s">
        <v>602</v>
      </c>
      <c r="F353" t="s">
        <v>352</v>
      </c>
      <c r="G353" t="s">
        <v>106</v>
      </c>
      <c r="H353" t="s">
        <v>351</v>
      </c>
      <c r="I353" s="9" t="s">
        <v>97</v>
      </c>
    </row>
    <row r="354" spans="1:9" hidden="1" x14ac:dyDescent="0.25">
      <c r="A354" s="3">
        <v>45988.670833333301</v>
      </c>
      <c r="B354" t="s">
        <v>1232</v>
      </c>
      <c r="C354" t="s">
        <v>603</v>
      </c>
      <c r="D354" s="15">
        <v>51028390</v>
      </c>
      <c r="E354" s="11" t="s">
        <v>392</v>
      </c>
      <c r="F354" t="s">
        <v>76</v>
      </c>
      <c r="G354" t="s">
        <v>106</v>
      </c>
      <c r="H354" t="s">
        <v>603</v>
      </c>
      <c r="I354" s="9" t="s">
        <v>97</v>
      </c>
    </row>
    <row r="355" spans="1:9" hidden="1" x14ac:dyDescent="0.25">
      <c r="A355" s="3">
        <v>45988.6743055556</v>
      </c>
      <c r="B355" t="s">
        <v>1233</v>
      </c>
      <c r="C355" t="s">
        <v>1072</v>
      </c>
      <c r="D355" s="15">
        <v>221452280</v>
      </c>
      <c r="E355" s="11" t="s">
        <v>392</v>
      </c>
      <c r="F355" t="s">
        <v>76</v>
      </c>
      <c r="G355" t="s">
        <v>106</v>
      </c>
      <c r="H355" t="s">
        <v>1072</v>
      </c>
      <c r="I355" s="9" t="s">
        <v>97</v>
      </c>
    </row>
    <row r="356" spans="1:9" hidden="1" x14ac:dyDescent="0.25">
      <c r="A356" s="3">
        <v>45988.708333333299</v>
      </c>
      <c r="B356" t="s">
        <v>1234</v>
      </c>
      <c r="C356" t="s">
        <v>604</v>
      </c>
      <c r="D356" s="15">
        <v>1575000</v>
      </c>
      <c r="E356" s="11" t="s">
        <v>605</v>
      </c>
      <c r="F356" t="s">
        <v>606</v>
      </c>
      <c r="G356" t="s">
        <v>106</v>
      </c>
      <c r="H356" t="s">
        <v>604</v>
      </c>
      <c r="I356" s="9" t="s">
        <v>97</v>
      </c>
    </row>
    <row r="357" spans="1:9" hidden="1" x14ac:dyDescent="0.25">
      <c r="A357" s="3">
        <v>45988.711111111101</v>
      </c>
      <c r="B357" t="s">
        <v>1235</v>
      </c>
      <c r="C357" t="s">
        <v>607</v>
      </c>
      <c r="D357" s="15">
        <v>4730000</v>
      </c>
      <c r="E357" s="11" t="s">
        <v>608</v>
      </c>
      <c r="F357" t="s">
        <v>609</v>
      </c>
      <c r="G357" t="s">
        <v>106</v>
      </c>
      <c r="H357" t="s">
        <v>607</v>
      </c>
      <c r="I357" s="9" t="s">
        <v>97</v>
      </c>
    </row>
    <row r="358" spans="1:9" hidden="1" x14ac:dyDescent="0.25">
      <c r="A358" s="3">
        <v>45988.713194444397</v>
      </c>
      <c r="B358" t="s">
        <v>1236</v>
      </c>
      <c r="C358" t="s">
        <v>610</v>
      </c>
      <c r="D358" s="15">
        <v>2000000</v>
      </c>
      <c r="E358" s="11" t="s">
        <v>611</v>
      </c>
      <c r="F358" t="s">
        <v>612</v>
      </c>
      <c r="G358" t="s">
        <v>106</v>
      </c>
      <c r="H358" t="s">
        <v>610</v>
      </c>
      <c r="I358" s="9" t="s">
        <v>97</v>
      </c>
    </row>
    <row r="359" spans="1:9" hidden="1" x14ac:dyDescent="0.25">
      <c r="A359" s="3">
        <v>45988.713194444397</v>
      </c>
      <c r="B359" t="s">
        <v>1237</v>
      </c>
      <c r="C359" t="s">
        <v>613</v>
      </c>
      <c r="D359" s="15">
        <v>1575000</v>
      </c>
      <c r="E359" s="11" t="s">
        <v>614</v>
      </c>
      <c r="F359" t="s">
        <v>615</v>
      </c>
      <c r="G359" t="s">
        <v>106</v>
      </c>
      <c r="H359" t="s">
        <v>613</v>
      </c>
      <c r="I359" s="9" t="s">
        <v>97</v>
      </c>
    </row>
    <row r="360" spans="1:9" hidden="1" x14ac:dyDescent="0.25">
      <c r="A360" s="3">
        <v>45988.714583333298</v>
      </c>
      <c r="B360" t="s">
        <v>1238</v>
      </c>
      <c r="C360" t="s">
        <v>136</v>
      </c>
      <c r="D360" s="15">
        <v>3150000</v>
      </c>
      <c r="E360" s="11" t="s">
        <v>616</v>
      </c>
      <c r="F360" t="s">
        <v>42</v>
      </c>
      <c r="G360" t="s">
        <v>106</v>
      </c>
      <c r="H360" t="s">
        <v>136</v>
      </c>
      <c r="I360" s="9" t="s">
        <v>97</v>
      </c>
    </row>
    <row r="361" spans="1:9" hidden="1" x14ac:dyDescent="0.25">
      <c r="A361" s="3">
        <v>45988.715277777803</v>
      </c>
      <c r="B361" t="s">
        <v>1239</v>
      </c>
      <c r="C361" t="s">
        <v>617</v>
      </c>
      <c r="D361" s="15">
        <v>3150000</v>
      </c>
      <c r="E361" s="11" t="s">
        <v>618</v>
      </c>
      <c r="F361" t="s">
        <v>619</v>
      </c>
      <c r="G361" t="s">
        <v>106</v>
      </c>
      <c r="H361" t="s">
        <v>617</v>
      </c>
      <c r="I361" s="9" t="s">
        <v>97</v>
      </c>
    </row>
    <row r="362" spans="1:9" hidden="1" x14ac:dyDescent="0.25">
      <c r="A362" s="3">
        <v>45988.722916666702</v>
      </c>
      <c r="B362" t="s">
        <v>1240</v>
      </c>
      <c r="C362" t="s">
        <v>620</v>
      </c>
      <c r="D362" s="15">
        <v>3900000</v>
      </c>
      <c r="E362" s="11" t="s">
        <v>621</v>
      </c>
      <c r="F362" t="s">
        <v>622</v>
      </c>
      <c r="G362" t="s">
        <v>106</v>
      </c>
      <c r="H362" t="s">
        <v>620</v>
      </c>
      <c r="I362" s="9" t="s">
        <v>97</v>
      </c>
    </row>
    <row r="363" spans="1:9" hidden="1" x14ac:dyDescent="0.25">
      <c r="A363" s="3">
        <v>45988.726388888899</v>
      </c>
      <c r="B363" t="s">
        <v>1241</v>
      </c>
      <c r="C363" t="s">
        <v>141</v>
      </c>
      <c r="D363" s="15">
        <v>6300000</v>
      </c>
      <c r="E363" s="11" t="s">
        <v>623</v>
      </c>
      <c r="F363" t="s">
        <v>142</v>
      </c>
      <c r="G363" t="s">
        <v>106</v>
      </c>
      <c r="H363" t="s">
        <v>141</v>
      </c>
      <c r="I363" s="9" t="s">
        <v>97</v>
      </c>
    </row>
    <row r="364" spans="1:9" hidden="1" x14ac:dyDescent="0.25">
      <c r="A364" s="3">
        <v>45988.735416666699</v>
      </c>
      <c r="B364" t="s">
        <v>1242</v>
      </c>
      <c r="C364" t="s">
        <v>335</v>
      </c>
      <c r="D364" s="15">
        <v>6300000</v>
      </c>
      <c r="E364" s="11" t="s">
        <v>624</v>
      </c>
      <c r="F364" t="s">
        <v>52</v>
      </c>
      <c r="G364" t="s">
        <v>106</v>
      </c>
      <c r="H364" t="s">
        <v>335</v>
      </c>
      <c r="I364" s="9" t="s">
        <v>97</v>
      </c>
    </row>
    <row r="365" spans="1:9" hidden="1" x14ac:dyDescent="0.25">
      <c r="A365" s="3">
        <v>45992.3034722222</v>
      </c>
      <c r="B365" t="s">
        <v>1243</v>
      </c>
      <c r="C365" t="s">
        <v>625</v>
      </c>
      <c r="D365" s="15">
        <v>2000000</v>
      </c>
      <c r="E365" s="11" t="s">
        <v>626</v>
      </c>
      <c r="F365" t="s">
        <v>627</v>
      </c>
      <c r="G365" t="s">
        <v>106</v>
      </c>
      <c r="H365" t="s">
        <v>625</v>
      </c>
      <c r="I365" s="9" t="s">
        <v>97</v>
      </c>
    </row>
    <row r="366" spans="1:9" hidden="1" x14ac:dyDescent="0.25">
      <c r="A366" s="3">
        <v>45989.4284722222</v>
      </c>
      <c r="B366" t="s">
        <v>1244</v>
      </c>
      <c r="C366" t="s">
        <v>628</v>
      </c>
      <c r="D366" s="15">
        <v>3150000</v>
      </c>
      <c r="E366" s="11" t="s">
        <v>629</v>
      </c>
      <c r="F366" t="s">
        <v>71</v>
      </c>
      <c r="G366" t="s">
        <v>106</v>
      </c>
      <c r="H366" t="s">
        <v>628</v>
      </c>
      <c r="I366" s="9" t="s">
        <v>97</v>
      </c>
    </row>
    <row r="367" spans="1:9" hidden="1" x14ac:dyDescent="0.25">
      <c r="A367" s="3">
        <v>45989.431250000001</v>
      </c>
      <c r="B367" t="s">
        <v>1245</v>
      </c>
      <c r="C367" t="s">
        <v>120</v>
      </c>
      <c r="D367" s="15">
        <v>3150000</v>
      </c>
      <c r="E367" s="11" t="s">
        <v>630</v>
      </c>
      <c r="F367" t="s">
        <v>121</v>
      </c>
      <c r="G367" t="s">
        <v>106</v>
      </c>
      <c r="H367" t="s">
        <v>120</v>
      </c>
      <c r="I367" s="9" t="s">
        <v>97</v>
      </c>
    </row>
    <row r="368" spans="1:9" hidden="1" x14ac:dyDescent="0.25">
      <c r="A368" s="3">
        <v>45989.440277777801</v>
      </c>
      <c r="B368" t="s">
        <v>1246</v>
      </c>
      <c r="C368" t="s">
        <v>203</v>
      </c>
      <c r="D368" s="15">
        <v>6300000</v>
      </c>
      <c r="E368" s="11" t="s">
        <v>631</v>
      </c>
      <c r="F368" t="s">
        <v>204</v>
      </c>
      <c r="G368" t="s">
        <v>106</v>
      </c>
      <c r="H368" t="s">
        <v>203</v>
      </c>
      <c r="I368" s="9" t="s">
        <v>97</v>
      </c>
    </row>
    <row r="369" spans="1:9" hidden="1" x14ac:dyDescent="0.25">
      <c r="A369" s="3">
        <v>45989.443749999999</v>
      </c>
      <c r="B369" t="s">
        <v>1247</v>
      </c>
      <c r="C369" t="s">
        <v>632</v>
      </c>
      <c r="D369" s="15">
        <v>3150000</v>
      </c>
      <c r="E369" s="11" t="s">
        <v>633</v>
      </c>
      <c r="F369" t="s">
        <v>634</v>
      </c>
      <c r="G369" t="s">
        <v>106</v>
      </c>
      <c r="H369" t="s">
        <v>632</v>
      </c>
      <c r="I369" s="9" t="s">
        <v>97</v>
      </c>
    </row>
    <row r="370" spans="1:9" hidden="1" x14ac:dyDescent="0.25">
      <c r="A370" s="3">
        <v>45989.451388888898</v>
      </c>
      <c r="B370" t="s">
        <v>1248</v>
      </c>
      <c r="C370" s="9" t="s">
        <v>635</v>
      </c>
      <c r="D370" s="15">
        <v>3150000</v>
      </c>
      <c r="E370" s="11" t="s">
        <v>636</v>
      </c>
      <c r="F370" t="s">
        <v>637</v>
      </c>
      <c r="G370" t="s">
        <v>106</v>
      </c>
      <c r="H370" t="s">
        <v>635</v>
      </c>
      <c r="I370" s="9" t="s">
        <v>97</v>
      </c>
    </row>
    <row r="371" spans="1:9" hidden="1" x14ac:dyDescent="0.25">
      <c r="A371" s="3">
        <v>45989.4555555556</v>
      </c>
      <c r="B371" t="s">
        <v>1249</v>
      </c>
      <c r="C371" s="9" t="s">
        <v>638</v>
      </c>
      <c r="D371" s="15">
        <v>3150000</v>
      </c>
      <c r="E371" s="11" t="s">
        <v>639</v>
      </c>
      <c r="F371" t="s">
        <v>85</v>
      </c>
      <c r="G371" t="s">
        <v>106</v>
      </c>
      <c r="H371" t="s">
        <v>638</v>
      </c>
      <c r="I371" s="9" t="s">
        <v>97</v>
      </c>
    </row>
    <row r="372" spans="1:9" hidden="1" x14ac:dyDescent="0.25">
      <c r="A372" s="3">
        <v>45989.4597222222</v>
      </c>
      <c r="B372" t="s">
        <v>1250</v>
      </c>
      <c r="C372" t="s">
        <v>325</v>
      </c>
      <c r="D372" s="15">
        <v>7800000</v>
      </c>
      <c r="E372" s="11" t="s">
        <v>640</v>
      </c>
      <c r="F372" t="s">
        <v>326</v>
      </c>
      <c r="G372" t="s">
        <v>106</v>
      </c>
      <c r="H372" t="s">
        <v>325</v>
      </c>
      <c r="I372" s="9" t="s">
        <v>97</v>
      </c>
    </row>
    <row r="373" spans="1:9" hidden="1" x14ac:dyDescent="0.25">
      <c r="A373" s="3">
        <v>45989.463888888902</v>
      </c>
      <c r="B373" t="s">
        <v>1251</v>
      </c>
      <c r="C373" t="s">
        <v>333</v>
      </c>
      <c r="D373" s="15">
        <v>3150000</v>
      </c>
      <c r="E373" s="11" t="s">
        <v>641</v>
      </c>
      <c r="F373" t="s">
        <v>14</v>
      </c>
      <c r="G373" t="s">
        <v>106</v>
      </c>
      <c r="H373" t="s">
        <v>333</v>
      </c>
      <c r="I373" s="9" t="s">
        <v>97</v>
      </c>
    </row>
    <row r="374" spans="1:9" hidden="1" x14ac:dyDescent="0.25">
      <c r="A374" s="3">
        <v>45989.466666666704</v>
      </c>
      <c r="B374" t="s">
        <v>1252</v>
      </c>
      <c r="C374" t="s">
        <v>337</v>
      </c>
      <c r="D374" s="15">
        <v>4730000</v>
      </c>
      <c r="E374" s="11" t="s">
        <v>642</v>
      </c>
      <c r="F374" t="s">
        <v>7</v>
      </c>
      <c r="G374" t="s">
        <v>106</v>
      </c>
      <c r="H374" t="s">
        <v>337</v>
      </c>
      <c r="I374" s="9" t="s">
        <v>97</v>
      </c>
    </row>
    <row r="375" spans="1:9" hidden="1" x14ac:dyDescent="0.25">
      <c r="A375" s="3">
        <v>45989.470138888901</v>
      </c>
      <c r="B375" t="s">
        <v>1253</v>
      </c>
      <c r="C375" t="s">
        <v>359</v>
      </c>
      <c r="D375" s="15">
        <v>4730000</v>
      </c>
      <c r="E375" s="11" t="s">
        <v>360</v>
      </c>
      <c r="F375" t="s">
        <v>99</v>
      </c>
      <c r="G375" t="s">
        <v>106</v>
      </c>
      <c r="H375" t="s">
        <v>359</v>
      </c>
      <c r="I375" s="9" t="s">
        <v>97</v>
      </c>
    </row>
    <row r="376" spans="1:9" hidden="1" x14ac:dyDescent="0.25">
      <c r="A376" s="3">
        <v>45989.472222222197</v>
      </c>
      <c r="B376" t="s">
        <v>1254</v>
      </c>
      <c r="C376" t="s">
        <v>643</v>
      </c>
      <c r="D376" s="15">
        <v>2000000</v>
      </c>
      <c r="E376" s="11" t="s">
        <v>644</v>
      </c>
      <c r="F376" t="s">
        <v>645</v>
      </c>
      <c r="G376" t="s">
        <v>106</v>
      </c>
      <c r="H376" t="s">
        <v>643</v>
      </c>
      <c r="I376" s="9" t="s">
        <v>97</v>
      </c>
    </row>
    <row r="377" spans="1:9" hidden="1" x14ac:dyDescent="0.25">
      <c r="A377" s="3">
        <v>45989.627777777801</v>
      </c>
      <c r="B377" t="s">
        <v>1255</v>
      </c>
      <c r="C377" t="s">
        <v>190</v>
      </c>
      <c r="D377" s="15">
        <v>6300000</v>
      </c>
      <c r="E377" s="11" t="s">
        <v>646</v>
      </c>
      <c r="F377" t="s">
        <v>191</v>
      </c>
      <c r="G377" t="s">
        <v>106</v>
      </c>
      <c r="H377" t="s">
        <v>190</v>
      </c>
      <c r="I377" s="9" t="s">
        <v>97</v>
      </c>
    </row>
    <row r="378" spans="1:9" hidden="1" x14ac:dyDescent="0.25">
      <c r="A378" s="3">
        <v>45989.6340277778</v>
      </c>
      <c r="B378" t="s">
        <v>1256</v>
      </c>
      <c r="C378" t="s">
        <v>647</v>
      </c>
      <c r="D378" s="15">
        <v>3150000</v>
      </c>
      <c r="E378" s="11" t="s">
        <v>648</v>
      </c>
      <c r="F378" t="s">
        <v>649</v>
      </c>
      <c r="G378" t="s">
        <v>106</v>
      </c>
      <c r="H378" t="s">
        <v>647</v>
      </c>
      <c r="I378" s="9" t="s">
        <v>97</v>
      </c>
    </row>
    <row r="379" spans="1:9" hidden="1" x14ac:dyDescent="0.25">
      <c r="A379" s="3">
        <v>45993.440972222197</v>
      </c>
      <c r="B379" t="s">
        <v>1257</v>
      </c>
      <c r="C379" t="s">
        <v>650</v>
      </c>
      <c r="D379" s="15">
        <v>2000000</v>
      </c>
      <c r="E379" t="s">
        <v>651</v>
      </c>
      <c r="F379" t="s">
        <v>652</v>
      </c>
      <c r="G379" t="s">
        <v>106</v>
      </c>
      <c r="H379" t="s">
        <v>650</v>
      </c>
      <c r="I379" s="9" t="s">
        <v>97</v>
      </c>
    </row>
    <row r="380" spans="1:9" hidden="1" x14ac:dyDescent="0.25">
      <c r="A380" s="3">
        <v>45993.447916666701</v>
      </c>
      <c r="B380" t="s">
        <v>1258</v>
      </c>
      <c r="C380" t="s">
        <v>653</v>
      </c>
      <c r="D380" s="15">
        <v>2000000</v>
      </c>
      <c r="E380" t="s">
        <v>654</v>
      </c>
      <c r="F380" t="s">
        <v>655</v>
      </c>
      <c r="G380" t="s">
        <v>106</v>
      </c>
      <c r="H380" t="s">
        <v>653</v>
      </c>
      <c r="I380" s="9" t="s">
        <v>97</v>
      </c>
    </row>
    <row r="381" spans="1:9" hidden="1" x14ac:dyDescent="0.25">
      <c r="A381" s="3">
        <v>45993.4506944444</v>
      </c>
      <c r="B381" t="s">
        <v>1259</v>
      </c>
      <c r="C381" t="s">
        <v>267</v>
      </c>
      <c r="D381" s="15">
        <v>3150000</v>
      </c>
      <c r="E381" t="s">
        <v>656</v>
      </c>
      <c r="F381" t="s">
        <v>41</v>
      </c>
      <c r="G381" t="s">
        <v>106</v>
      </c>
      <c r="H381" t="s">
        <v>267</v>
      </c>
      <c r="I381" s="9" t="s">
        <v>97</v>
      </c>
    </row>
    <row r="382" spans="1:9" hidden="1" x14ac:dyDescent="0.25">
      <c r="A382" s="3">
        <v>45995.675694444399</v>
      </c>
      <c r="B382" t="s">
        <v>1260</v>
      </c>
      <c r="C382" t="s">
        <v>657</v>
      </c>
      <c r="D382" s="15">
        <v>2000000</v>
      </c>
      <c r="E382" t="s">
        <v>658</v>
      </c>
      <c r="F382" t="s">
        <v>659</v>
      </c>
      <c r="G382" t="s">
        <v>106</v>
      </c>
      <c r="H382" t="s">
        <v>657</v>
      </c>
      <c r="I382" s="9" t="s">
        <v>97</v>
      </c>
    </row>
    <row r="383" spans="1:9" hidden="1" x14ac:dyDescent="0.25">
      <c r="A383" s="3">
        <v>45995.6743055556</v>
      </c>
      <c r="B383" t="s">
        <v>1261</v>
      </c>
      <c r="C383" t="s">
        <v>660</v>
      </c>
      <c r="D383" s="15">
        <v>6300000</v>
      </c>
      <c r="E383" t="s">
        <v>661</v>
      </c>
      <c r="F383" t="s">
        <v>662</v>
      </c>
      <c r="G383" t="s">
        <v>106</v>
      </c>
      <c r="H383" t="s">
        <v>660</v>
      </c>
      <c r="I383" s="9" t="s">
        <v>97</v>
      </c>
    </row>
    <row r="384" spans="1:9" hidden="1" x14ac:dyDescent="0.25">
      <c r="A384" s="3">
        <v>45993.473611111098</v>
      </c>
      <c r="B384" t="s">
        <v>1262</v>
      </c>
      <c r="C384" t="s">
        <v>663</v>
      </c>
      <c r="D384" s="15">
        <v>1575000</v>
      </c>
      <c r="E384" t="s">
        <v>664</v>
      </c>
      <c r="F384" t="s">
        <v>665</v>
      </c>
      <c r="G384" t="s">
        <v>106</v>
      </c>
      <c r="H384" t="s">
        <v>663</v>
      </c>
      <c r="I384" s="9" t="s">
        <v>97</v>
      </c>
    </row>
    <row r="385" spans="1:9" hidden="1" x14ac:dyDescent="0.25">
      <c r="A385" s="3">
        <v>45993.477083333302</v>
      </c>
      <c r="B385" t="s">
        <v>1263</v>
      </c>
      <c r="C385" t="s">
        <v>666</v>
      </c>
      <c r="D385" s="15">
        <v>2000000</v>
      </c>
      <c r="E385" t="s">
        <v>667</v>
      </c>
      <c r="F385" t="s">
        <v>668</v>
      </c>
      <c r="G385" t="s">
        <v>106</v>
      </c>
      <c r="H385" t="s">
        <v>666</v>
      </c>
      <c r="I385" s="9" t="s">
        <v>97</v>
      </c>
    </row>
    <row r="386" spans="1:9" hidden="1" x14ac:dyDescent="0.25">
      <c r="A386" s="3">
        <v>45993.481249999997</v>
      </c>
      <c r="B386" t="s">
        <v>1264</v>
      </c>
      <c r="C386" t="s">
        <v>152</v>
      </c>
      <c r="D386" s="15">
        <v>3150000</v>
      </c>
      <c r="E386" t="s">
        <v>669</v>
      </c>
      <c r="F386" t="s">
        <v>101</v>
      </c>
      <c r="G386" t="s">
        <v>106</v>
      </c>
      <c r="H386" t="s">
        <v>152</v>
      </c>
      <c r="I386" s="9" t="s">
        <v>97</v>
      </c>
    </row>
    <row r="387" spans="1:9" hidden="1" x14ac:dyDescent="0.25">
      <c r="A387" s="3">
        <v>45993.723611111098</v>
      </c>
      <c r="B387" t="s">
        <v>1265</v>
      </c>
      <c r="C387" t="s">
        <v>1023</v>
      </c>
      <c r="D387" s="15">
        <v>1575000</v>
      </c>
      <c r="E387" t="s">
        <v>1266</v>
      </c>
      <c r="F387" t="s">
        <v>1024</v>
      </c>
      <c r="G387" t="s">
        <v>106</v>
      </c>
      <c r="H387" t="s">
        <v>1023</v>
      </c>
      <c r="I387" s="9" t="s">
        <v>97</v>
      </c>
    </row>
    <row r="388" spans="1:9" x14ac:dyDescent="0.25">
      <c r="A388" s="3">
        <v>46000.629861111098</v>
      </c>
      <c r="B388" t="s">
        <v>1267</v>
      </c>
      <c r="C388" t="s">
        <v>1035</v>
      </c>
      <c r="D388" s="15">
        <v>144437682.74000001</v>
      </c>
      <c r="E388" t="s">
        <v>1268</v>
      </c>
      <c r="F388" t="s">
        <v>1036</v>
      </c>
      <c r="G388" t="s">
        <v>106</v>
      </c>
      <c r="H388" t="s">
        <v>1035</v>
      </c>
      <c r="I388" s="9" t="s">
        <v>97</v>
      </c>
    </row>
    <row r="389" spans="1:9" hidden="1" x14ac:dyDescent="0.25">
      <c r="A389" s="3">
        <v>46001.6743055556</v>
      </c>
      <c r="B389" t="s">
        <v>1269</v>
      </c>
      <c r="C389" t="s">
        <v>670</v>
      </c>
      <c r="D389" s="15">
        <v>3150000</v>
      </c>
      <c r="E389" t="s">
        <v>671</v>
      </c>
      <c r="F389" t="s">
        <v>672</v>
      </c>
      <c r="G389" t="s">
        <v>106</v>
      </c>
      <c r="H389" t="s">
        <v>670</v>
      </c>
      <c r="I389" s="9" t="s">
        <v>97</v>
      </c>
    </row>
    <row r="390" spans="1:9" hidden="1" x14ac:dyDescent="0.25">
      <c r="A390" s="3">
        <v>46001.677777777797</v>
      </c>
      <c r="B390" t="s">
        <v>1270</v>
      </c>
      <c r="C390" t="s">
        <v>673</v>
      </c>
      <c r="D390" s="15">
        <v>4730000</v>
      </c>
      <c r="E390" t="s">
        <v>674</v>
      </c>
      <c r="F390" t="s">
        <v>675</v>
      </c>
      <c r="G390" t="s">
        <v>106</v>
      </c>
      <c r="H390" t="s">
        <v>673</v>
      </c>
      <c r="I390" s="9" t="s">
        <v>97</v>
      </c>
    </row>
    <row r="391" spans="1:9" hidden="1" x14ac:dyDescent="0.25">
      <c r="A391" s="3">
        <v>46001.680555555598</v>
      </c>
      <c r="B391" t="s">
        <v>1271</v>
      </c>
      <c r="C391" t="s">
        <v>349</v>
      </c>
      <c r="D391" s="15">
        <v>3150000</v>
      </c>
      <c r="E391" t="s">
        <v>676</v>
      </c>
      <c r="F391" t="s">
        <v>350</v>
      </c>
      <c r="G391" t="s">
        <v>106</v>
      </c>
      <c r="H391" t="s">
        <v>349</v>
      </c>
      <c r="I391" s="9" t="s">
        <v>97</v>
      </c>
    </row>
    <row r="392" spans="1:9" hidden="1" x14ac:dyDescent="0.25">
      <c r="A392" s="3">
        <v>46001.681944444397</v>
      </c>
      <c r="B392" t="s">
        <v>1272</v>
      </c>
      <c r="C392" t="s">
        <v>297</v>
      </c>
      <c r="D392" s="15">
        <v>4730000</v>
      </c>
      <c r="E392" t="s">
        <v>677</v>
      </c>
      <c r="F392" t="s">
        <v>298</v>
      </c>
      <c r="G392" t="s">
        <v>106</v>
      </c>
      <c r="H392" t="s">
        <v>297</v>
      </c>
      <c r="I392" s="9" t="s">
        <v>97</v>
      </c>
    </row>
    <row r="393" spans="1:9" hidden="1" x14ac:dyDescent="0.25">
      <c r="A393" s="3">
        <v>46001.684027777803</v>
      </c>
      <c r="B393" t="s">
        <v>1273</v>
      </c>
      <c r="C393" t="s">
        <v>678</v>
      </c>
      <c r="D393" s="15">
        <v>1575000</v>
      </c>
      <c r="E393" t="s">
        <v>679</v>
      </c>
      <c r="F393" t="s">
        <v>60</v>
      </c>
      <c r="G393" t="s">
        <v>106</v>
      </c>
      <c r="H393" t="s">
        <v>678</v>
      </c>
      <c r="I393" s="9" t="s">
        <v>97</v>
      </c>
    </row>
    <row r="394" spans="1:9" hidden="1" x14ac:dyDescent="0.25">
      <c r="A394" s="3">
        <v>46001.6875</v>
      </c>
      <c r="B394" t="s">
        <v>1274</v>
      </c>
      <c r="C394" t="s">
        <v>680</v>
      </c>
      <c r="D394" s="15">
        <v>1575000</v>
      </c>
      <c r="E394" t="s">
        <v>681</v>
      </c>
      <c r="F394" t="s">
        <v>682</v>
      </c>
      <c r="G394" t="s">
        <v>106</v>
      </c>
      <c r="H394" t="s">
        <v>680</v>
      </c>
      <c r="I394" s="9" t="s">
        <v>97</v>
      </c>
    </row>
    <row r="395" spans="1:9" hidden="1" x14ac:dyDescent="0.25">
      <c r="A395" s="3">
        <v>46001.690972222197</v>
      </c>
      <c r="B395" t="s">
        <v>1275</v>
      </c>
      <c r="C395" t="s">
        <v>683</v>
      </c>
      <c r="D395" s="15">
        <v>1575000</v>
      </c>
      <c r="E395" t="s">
        <v>684</v>
      </c>
      <c r="F395" t="s">
        <v>31</v>
      </c>
      <c r="G395" t="s">
        <v>106</v>
      </c>
      <c r="H395" t="s">
        <v>683</v>
      </c>
      <c r="I395" s="9" t="s">
        <v>97</v>
      </c>
    </row>
    <row r="396" spans="1:9" hidden="1" x14ac:dyDescent="0.25">
      <c r="A396" s="3">
        <v>46001.693055555603</v>
      </c>
      <c r="B396" t="s">
        <v>1276</v>
      </c>
      <c r="C396" t="s">
        <v>685</v>
      </c>
      <c r="D396" s="15">
        <v>2000000</v>
      </c>
      <c r="E396" t="s">
        <v>686</v>
      </c>
      <c r="F396" t="s">
        <v>687</v>
      </c>
      <c r="G396" t="s">
        <v>106</v>
      </c>
      <c r="H396" t="s">
        <v>685</v>
      </c>
      <c r="I396" s="9" t="s">
        <v>97</v>
      </c>
    </row>
    <row r="397" spans="1:9" hidden="1" x14ac:dyDescent="0.25">
      <c r="A397" s="3">
        <v>46001.695138888899</v>
      </c>
      <c r="B397" t="s">
        <v>1277</v>
      </c>
      <c r="C397" t="s">
        <v>1278</v>
      </c>
      <c r="D397" s="15">
        <v>2000000</v>
      </c>
      <c r="E397" t="s">
        <v>1279</v>
      </c>
      <c r="F397" t="s">
        <v>1280</v>
      </c>
      <c r="G397" t="s">
        <v>106</v>
      </c>
      <c r="H397" t="s">
        <v>1278</v>
      </c>
      <c r="I397" s="9" t="s">
        <v>97</v>
      </c>
    </row>
    <row r="398" spans="1:9" hidden="1" x14ac:dyDescent="0.25">
      <c r="A398" s="3">
        <v>46001.704166666699</v>
      </c>
      <c r="B398" t="s">
        <v>1281</v>
      </c>
      <c r="C398" t="s">
        <v>688</v>
      </c>
      <c r="D398" s="15">
        <v>3150000</v>
      </c>
      <c r="E398" t="s">
        <v>689</v>
      </c>
      <c r="F398" t="s">
        <v>68</v>
      </c>
      <c r="G398" t="s">
        <v>106</v>
      </c>
      <c r="H398" t="s">
        <v>688</v>
      </c>
      <c r="I398" s="9" t="s">
        <v>97</v>
      </c>
    </row>
    <row r="399" spans="1:9" hidden="1" x14ac:dyDescent="0.25">
      <c r="A399" s="3">
        <v>46001.706944444399</v>
      </c>
      <c r="B399" t="s">
        <v>1282</v>
      </c>
      <c r="C399" t="s">
        <v>690</v>
      </c>
      <c r="D399" s="15">
        <v>3150000</v>
      </c>
      <c r="E399" t="s">
        <v>691</v>
      </c>
      <c r="F399" t="s">
        <v>78</v>
      </c>
      <c r="G399" t="s">
        <v>106</v>
      </c>
      <c r="H399" t="s">
        <v>690</v>
      </c>
      <c r="I399" s="9" t="s">
        <v>97</v>
      </c>
    </row>
    <row r="400" spans="1:9" hidden="1" x14ac:dyDescent="0.25">
      <c r="A400" s="3">
        <v>46001.710416666698</v>
      </c>
      <c r="B400" t="s">
        <v>1283</v>
      </c>
      <c r="C400" t="s">
        <v>692</v>
      </c>
      <c r="D400" s="15">
        <v>3150000</v>
      </c>
      <c r="E400" t="s">
        <v>693</v>
      </c>
      <c r="F400" t="s">
        <v>39</v>
      </c>
      <c r="G400" t="s">
        <v>106</v>
      </c>
      <c r="H400" t="s">
        <v>692</v>
      </c>
      <c r="I400" s="9" t="s">
        <v>97</v>
      </c>
    </row>
    <row r="401" spans="1:9" hidden="1" x14ac:dyDescent="0.25">
      <c r="A401" s="3">
        <v>46001.718055555597</v>
      </c>
      <c r="B401" t="s">
        <v>1284</v>
      </c>
      <c r="C401" t="s">
        <v>694</v>
      </c>
      <c r="D401" s="15">
        <v>4725000</v>
      </c>
      <c r="E401" t="s">
        <v>695</v>
      </c>
      <c r="F401" t="s">
        <v>696</v>
      </c>
      <c r="G401" t="s">
        <v>106</v>
      </c>
      <c r="H401" t="s">
        <v>694</v>
      </c>
      <c r="I401" s="9" t="s">
        <v>97</v>
      </c>
    </row>
    <row r="402" spans="1:9" hidden="1" x14ac:dyDescent="0.25">
      <c r="A402" s="3">
        <v>46001.720138888901</v>
      </c>
      <c r="B402" t="s">
        <v>1285</v>
      </c>
      <c r="C402" t="s">
        <v>697</v>
      </c>
      <c r="D402" s="15">
        <v>3150000</v>
      </c>
      <c r="E402" t="s">
        <v>698</v>
      </c>
      <c r="F402" t="s">
        <v>72</v>
      </c>
      <c r="G402" t="s">
        <v>106</v>
      </c>
      <c r="H402" t="s">
        <v>697</v>
      </c>
      <c r="I402" s="9" t="s">
        <v>97</v>
      </c>
    </row>
    <row r="403" spans="1:9" hidden="1" x14ac:dyDescent="0.25">
      <c r="A403" s="3">
        <v>46001.724305555603</v>
      </c>
      <c r="B403" t="s">
        <v>1286</v>
      </c>
      <c r="C403" t="s">
        <v>699</v>
      </c>
      <c r="D403" s="15">
        <v>2365000</v>
      </c>
      <c r="E403" t="s">
        <v>700</v>
      </c>
      <c r="F403" t="s">
        <v>701</v>
      </c>
      <c r="G403" t="s">
        <v>106</v>
      </c>
      <c r="H403" t="s">
        <v>699</v>
      </c>
      <c r="I403" s="9" t="s">
        <v>97</v>
      </c>
    </row>
    <row r="404" spans="1:9" hidden="1" x14ac:dyDescent="0.25">
      <c r="A404" s="3">
        <v>46001.727083333302</v>
      </c>
      <c r="B404" t="s">
        <v>1287</v>
      </c>
      <c r="C404" t="s">
        <v>702</v>
      </c>
      <c r="D404" s="15">
        <v>4730000</v>
      </c>
      <c r="E404" t="s">
        <v>703</v>
      </c>
      <c r="F404" t="s">
        <v>704</v>
      </c>
      <c r="G404" t="s">
        <v>106</v>
      </c>
      <c r="H404" t="s">
        <v>702</v>
      </c>
      <c r="I404" s="9" t="s">
        <v>97</v>
      </c>
    </row>
    <row r="405" spans="1:9" hidden="1" x14ac:dyDescent="0.25">
      <c r="A405" s="3">
        <v>46001.729166666701</v>
      </c>
      <c r="B405" t="s">
        <v>1288</v>
      </c>
      <c r="C405" t="s">
        <v>705</v>
      </c>
      <c r="D405" s="15">
        <v>6300000</v>
      </c>
      <c r="E405" t="s">
        <v>706</v>
      </c>
      <c r="F405" t="s">
        <v>81</v>
      </c>
      <c r="G405" t="s">
        <v>106</v>
      </c>
      <c r="H405" t="s">
        <v>705</v>
      </c>
      <c r="I405" s="9" t="s">
        <v>97</v>
      </c>
    </row>
    <row r="406" spans="1:9" hidden="1" x14ac:dyDescent="0.25">
      <c r="A406" s="3">
        <v>46001.731249999997</v>
      </c>
      <c r="B406" t="s">
        <v>1289</v>
      </c>
      <c r="C406" t="s">
        <v>707</v>
      </c>
      <c r="D406" s="15">
        <v>2000000</v>
      </c>
      <c r="E406" t="s">
        <v>708</v>
      </c>
      <c r="F406" t="s">
        <v>66</v>
      </c>
      <c r="G406" t="s">
        <v>106</v>
      </c>
      <c r="H406" t="s">
        <v>707</v>
      </c>
      <c r="I406" s="9" t="s">
        <v>97</v>
      </c>
    </row>
    <row r="407" spans="1:9" hidden="1" x14ac:dyDescent="0.25">
      <c r="A407" s="3">
        <v>46001.733333333301</v>
      </c>
      <c r="B407" t="s">
        <v>1290</v>
      </c>
      <c r="C407" t="s">
        <v>709</v>
      </c>
      <c r="D407" s="15">
        <v>3150000</v>
      </c>
      <c r="E407" t="s">
        <v>710</v>
      </c>
      <c r="F407" t="s">
        <v>711</v>
      </c>
      <c r="G407" t="s">
        <v>106</v>
      </c>
      <c r="H407" t="s">
        <v>709</v>
      </c>
      <c r="I407" s="9" t="s">
        <v>97</v>
      </c>
    </row>
    <row r="408" spans="1:9" hidden="1" x14ac:dyDescent="0.25">
      <c r="A408" s="3">
        <v>46001.735416666699</v>
      </c>
      <c r="B408" t="s">
        <v>1291</v>
      </c>
      <c r="C408" t="s">
        <v>712</v>
      </c>
      <c r="D408" s="15">
        <v>3150000</v>
      </c>
      <c r="E408" t="s">
        <v>713</v>
      </c>
      <c r="F408" t="s">
        <v>58</v>
      </c>
      <c r="G408" t="s">
        <v>106</v>
      </c>
      <c r="H408" t="s">
        <v>712</v>
      </c>
      <c r="I408" s="9" t="s">
        <v>97</v>
      </c>
    </row>
    <row r="409" spans="1:9" hidden="1" x14ac:dyDescent="0.25">
      <c r="A409" s="3">
        <v>46001.737500000003</v>
      </c>
      <c r="B409" t="s">
        <v>1292</v>
      </c>
      <c r="C409" t="s">
        <v>714</v>
      </c>
      <c r="D409" s="15">
        <v>1575000</v>
      </c>
      <c r="E409" t="s">
        <v>715</v>
      </c>
      <c r="F409" t="s">
        <v>716</v>
      </c>
      <c r="G409" t="s">
        <v>106</v>
      </c>
      <c r="H409" t="s">
        <v>714</v>
      </c>
      <c r="I409" s="9" t="s">
        <v>97</v>
      </c>
    </row>
    <row r="410" spans="1:9" hidden="1" x14ac:dyDescent="0.25">
      <c r="A410" s="3">
        <v>46002.604861111096</v>
      </c>
      <c r="B410" t="s">
        <v>1293</v>
      </c>
      <c r="C410" t="s">
        <v>353</v>
      </c>
      <c r="D410" s="15">
        <v>4730000</v>
      </c>
      <c r="E410" t="s">
        <v>717</v>
      </c>
      <c r="F410" t="s">
        <v>354</v>
      </c>
      <c r="G410" t="s">
        <v>106</v>
      </c>
      <c r="H410" t="s">
        <v>353</v>
      </c>
      <c r="I410" s="9" t="s">
        <v>97</v>
      </c>
    </row>
    <row r="411" spans="1:9" hidden="1" x14ac:dyDescent="0.25">
      <c r="A411" s="3">
        <v>46002.6069444444</v>
      </c>
      <c r="B411" t="s">
        <v>1294</v>
      </c>
      <c r="C411" t="s">
        <v>282</v>
      </c>
      <c r="D411" s="15">
        <v>4730000</v>
      </c>
      <c r="E411" t="s">
        <v>718</v>
      </c>
      <c r="F411" t="s">
        <v>283</v>
      </c>
      <c r="G411" t="s">
        <v>106</v>
      </c>
      <c r="H411" t="s">
        <v>282</v>
      </c>
      <c r="I411" s="9" t="s">
        <v>97</v>
      </c>
    </row>
    <row r="412" spans="1:9" hidden="1" x14ac:dyDescent="0.25">
      <c r="A412" s="3">
        <v>46002.608333333301</v>
      </c>
      <c r="B412" t="s">
        <v>1295</v>
      </c>
      <c r="C412" t="s">
        <v>275</v>
      </c>
      <c r="D412" s="15">
        <v>4730000</v>
      </c>
      <c r="E412" t="s">
        <v>719</v>
      </c>
      <c r="F412" t="s">
        <v>276</v>
      </c>
      <c r="G412" t="s">
        <v>106</v>
      </c>
      <c r="H412" t="s">
        <v>275</v>
      </c>
      <c r="I412" s="9" t="s">
        <v>97</v>
      </c>
    </row>
    <row r="413" spans="1:9" hidden="1" x14ac:dyDescent="0.25">
      <c r="A413" s="3">
        <v>46002.610416666699</v>
      </c>
      <c r="B413" t="s">
        <v>1296</v>
      </c>
      <c r="C413" t="s">
        <v>343</v>
      </c>
      <c r="D413" s="15">
        <v>3150000</v>
      </c>
      <c r="E413" t="s">
        <v>395</v>
      </c>
      <c r="F413" t="s">
        <v>344</v>
      </c>
      <c r="G413" t="s">
        <v>106</v>
      </c>
      <c r="H413" t="s">
        <v>343</v>
      </c>
      <c r="I413" s="9" t="s">
        <v>97</v>
      </c>
    </row>
    <row r="414" spans="1:9" hidden="1" x14ac:dyDescent="0.25">
      <c r="A414" s="3">
        <v>46002.614583333299</v>
      </c>
      <c r="B414" t="s">
        <v>1297</v>
      </c>
      <c r="C414" t="s">
        <v>193</v>
      </c>
      <c r="D414" s="15">
        <v>4730000</v>
      </c>
      <c r="E414" t="s">
        <v>380</v>
      </c>
      <c r="F414" t="s">
        <v>194</v>
      </c>
      <c r="G414" t="s">
        <v>106</v>
      </c>
      <c r="H414" t="s">
        <v>193</v>
      </c>
      <c r="I414" s="9" t="s">
        <v>97</v>
      </c>
    </row>
    <row r="415" spans="1:9" hidden="1" x14ac:dyDescent="0.25">
      <c r="A415" s="3">
        <v>46002.616666666698</v>
      </c>
      <c r="B415" t="s">
        <v>1298</v>
      </c>
      <c r="C415" t="s">
        <v>224</v>
      </c>
      <c r="D415" s="15">
        <v>4730000</v>
      </c>
      <c r="E415" t="s">
        <v>402</v>
      </c>
      <c r="F415" t="s">
        <v>225</v>
      </c>
      <c r="G415" t="s">
        <v>106</v>
      </c>
      <c r="H415" t="s">
        <v>224</v>
      </c>
      <c r="I415" s="9" t="s">
        <v>97</v>
      </c>
    </row>
    <row r="416" spans="1:9" hidden="1" x14ac:dyDescent="0.25">
      <c r="A416" s="3">
        <v>46002.623611111099</v>
      </c>
      <c r="B416" t="s">
        <v>1299</v>
      </c>
      <c r="C416" t="s">
        <v>210</v>
      </c>
      <c r="D416" s="15">
        <v>4730000</v>
      </c>
      <c r="E416" t="s">
        <v>404</v>
      </c>
      <c r="F416" t="s">
        <v>211</v>
      </c>
      <c r="G416" t="s">
        <v>106</v>
      </c>
      <c r="H416" t="s">
        <v>210</v>
      </c>
      <c r="I416" s="9" t="s">
        <v>97</v>
      </c>
    </row>
    <row r="417" spans="1:9" hidden="1" x14ac:dyDescent="0.25">
      <c r="A417" s="3">
        <v>46002.626388888901</v>
      </c>
      <c r="B417" t="s">
        <v>1300</v>
      </c>
      <c r="C417" t="s">
        <v>317</v>
      </c>
      <c r="D417" s="15">
        <v>4730000</v>
      </c>
      <c r="E417" t="s">
        <v>505</v>
      </c>
      <c r="F417" t="s">
        <v>318</v>
      </c>
      <c r="G417" t="s">
        <v>106</v>
      </c>
      <c r="H417" t="s">
        <v>317</v>
      </c>
      <c r="I417" s="9" t="s">
        <v>97</v>
      </c>
    </row>
    <row r="418" spans="1:9" hidden="1" x14ac:dyDescent="0.25">
      <c r="A418" s="3">
        <v>46002.629166666702</v>
      </c>
      <c r="B418" t="s">
        <v>1301</v>
      </c>
      <c r="C418" t="s">
        <v>197</v>
      </c>
      <c r="D418" s="15">
        <v>4730000</v>
      </c>
      <c r="E418" t="s">
        <v>389</v>
      </c>
      <c r="F418" t="s">
        <v>36</v>
      </c>
      <c r="G418" t="s">
        <v>106</v>
      </c>
      <c r="H418" t="s">
        <v>197</v>
      </c>
      <c r="I418" s="9" t="s">
        <v>97</v>
      </c>
    </row>
    <row r="419" spans="1:9" hidden="1" x14ac:dyDescent="0.25">
      <c r="A419" s="3">
        <v>46002.638888888898</v>
      </c>
      <c r="B419" t="s">
        <v>1302</v>
      </c>
      <c r="C419" t="s">
        <v>230</v>
      </c>
      <c r="D419" s="15">
        <v>7800000</v>
      </c>
      <c r="E419" t="s">
        <v>401</v>
      </c>
      <c r="F419" t="s">
        <v>75</v>
      </c>
      <c r="G419" t="s">
        <v>106</v>
      </c>
      <c r="H419" t="s">
        <v>230</v>
      </c>
      <c r="I419" s="9" t="s">
        <v>97</v>
      </c>
    </row>
    <row r="420" spans="1:9" hidden="1" x14ac:dyDescent="0.25">
      <c r="A420" s="3">
        <v>46002.643750000003</v>
      </c>
      <c r="B420" t="s">
        <v>1303</v>
      </c>
      <c r="C420" t="s">
        <v>226</v>
      </c>
      <c r="D420" s="15">
        <v>7800000</v>
      </c>
      <c r="E420" t="s">
        <v>437</v>
      </c>
      <c r="F420" t="s">
        <v>227</v>
      </c>
      <c r="G420" t="s">
        <v>106</v>
      </c>
      <c r="H420" t="s">
        <v>226</v>
      </c>
      <c r="I420" s="9" t="s">
        <v>97</v>
      </c>
    </row>
    <row r="421" spans="1:9" hidden="1" x14ac:dyDescent="0.25">
      <c r="A421" s="3">
        <v>46002.6472222222</v>
      </c>
      <c r="B421" t="s">
        <v>1304</v>
      </c>
      <c r="C421" t="s">
        <v>208</v>
      </c>
      <c r="D421" s="15">
        <v>7800000</v>
      </c>
      <c r="E421" t="s">
        <v>383</v>
      </c>
      <c r="F421" t="s">
        <v>209</v>
      </c>
      <c r="G421" t="s">
        <v>106</v>
      </c>
      <c r="H421" t="s">
        <v>208</v>
      </c>
      <c r="I421" s="9" t="s">
        <v>97</v>
      </c>
    </row>
    <row r="422" spans="1:9" hidden="1" x14ac:dyDescent="0.25">
      <c r="A422" s="3">
        <v>46002.648611111101</v>
      </c>
      <c r="B422" t="s">
        <v>1305</v>
      </c>
      <c r="C422" t="s">
        <v>1021</v>
      </c>
      <c r="D422" s="15">
        <v>6300000</v>
      </c>
      <c r="E422" t="s">
        <v>1138</v>
      </c>
      <c r="F422" t="s">
        <v>1022</v>
      </c>
      <c r="G422" t="s">
        <v>106</v>
      </c>
      <c r="H422" t="s">
        <v>1021</v>
      </c>
      <c r="I422" s="9" t="s">
        <v>97</v>
      </c>
    </row>
    <row r="423" spans="1:9" hidden="1" x14ac:dyDescent="0.25">
      <c r="A423" s="3">
        <v>46002.652083333298</v>
      </c>
      <c r="B423" t="s">
        <v>1306</v>
      </c>
      <c r="C423" t="s">
        <v>187</v>
      </c>
      <c r="D423" s="15">
        <v>7800000</v>
      </c>
      <c r="E423" t="s">
        <v>376</v>
      </c>
      <c r="F423" t="s">
        <v>188</v>
      </c>
      <c r="G423" t="s">
        <v>106</v>
      </c>
      <c r="H423" t="s">
        <v>187</v>
      </c>
      <c r="I423" s="9" t="s">
        <v>97</v>
      </c>
    </row>
    <row r="424" spans="1:9" hidden="1" x14ac:dyDescent="0.25">
      <c r="A424" s="3">
        <v>46002.655555555597</v>
      </c>
      <c r="B424" t="s">
        <v>1307</v>
      </c>
      <c r="C424" t="s">
        <v>205</v>
      </c>
      <c r="D424" s="15">
        <v>7800000</v>
      </c>
      <c r="E424" t="s">
        <v>408</v>
      </c>
      <c r="F424" t="s">
        <v>24</v>
      </c>
      <c r="G424" t="s">
        <v>106</v>
      </c>
      <c r="H424" t="s">
        <v>205</v>
      </c>
      <c r="I424" s="9" t="s">
        <v>97</v>
      </c>
    </row>
    <row r="425" spans="1:9" hidden="1" x14ac:dyDescent="0.25">
      <c r="A425" s="3">
        <v>46002.663888888899</v>
      </c>
      <c r="B425" t="s">
        <v>1308</v>
      </c>
      <c r="C425" t="s">
        <v>341</v>
      </c>
      <c r="D425" s="15">
        <v>7800000</v>
      </c>
      <c r="E425" t="s">
        <v>506</v>
      </c>
      <c r="F425" t="s">
        <v>342</v>
      </c>
      <c r="G425" t="s">
        <v>106</v>
      </c>
      <c r="H425" t="s">
        <v>341</v>
      </c>
      <c r="I425" s="9" t="s">
        <v>97</v>
      </c>
    </row>
    <row r="426" spans="1:9" hidden="1" x14ac:dyDescent="0.25">
      <c r="A426" s="3">
        <v>46002.666666666701</v>
      </c>
      <c r="B426" t="s">
        <v>1309</v>
      </c>
      <c r="C426" t="s">
        <v>122</v>
      </c>
      <c r="D426" s="15">
        <v>6300000</v>
      </c>
      <c r="E426" t="s">
        <v>438</v>
      </c>
      <c r="F426" t="s">
        <v>51</v>
      </c>
      <c r="G426" t="s">
        <v>106</v>
      </c>
      <c r="H426" t="s">
        <v>122</v>
      </c>
      <c r="I426" s="9" t="s">
        <v>97</v>
      </c>
    </row>
    <row r="427" spans="1:9" hidden="1" x14ac:dyDescent="0.25">
      <c r="A427" s="3">
        <v>46002.6694444444</v>
      </c>
      <c r="B427" t="s">
        <v>1310</v>
      </c>
      <c r="C427" t="s">
        <v>113</v>
      </c>
      <c r="D427" s="15">
        <v>6300000</v>
      </c>
      <c r="E427" t="s">
        <v>377</v>
      </c>
      <c r="F427" t="s">
        <v>33</v>
      </c>
      <c r="G427" t="s">
        <v>106</v>
      </c>
      <c r="H427" t="s">
        <v>113</v>
      </c>
      <c r="I427" s="9" t="s">
        <v>97</v>
      </c>
    </row>
    <row r="428" spans="1:9" hidden="1" x14ac:dyDescent="0.25">
      <c r="A428" s="3">
        <v>46002.670833333301</v>
      </c>
      <c r="B428" t="s">
        <v>1311</v>
      </c>
      <c r="C428" t="s">
        <v>195</v>
      </c>
      <c r="D428" s="15">
        <v>6300000</v>
      </c>
      <c r="E428" t="s">
        <v>433</v>
      </c>
      <c r="F428" t="s">
        <v>196</v>
      </c>
      <c r="G428" t="s">
        <v>106</v>
      </c>
      <c r="H428" t="s">
        <v>195</v>
      </c>
      <c r="I428" s="9" t="s">
        <v>97</v>
      </c>
    </row>
    <row r="429" spans="1:9" hidden="1" x14ac:dyDescent="0.25">
      <c r="A429" s="3">
        <v>46002.673611111102</v>
      </c>
      <c r="B429" t="s">
        <v>1312</v>
      </c>
      <c r="C429" t="s">
        <v>123</v>
      </c>
      <c r="D429" s="15">
        <v>6300000</v>
      </c>
      <c r="E429" t="s">
        <v>410</v>
      </c>
      <c r="F429" t="s">
        <v>124</v>
      </c>
      <c r="G429" t="s">
        <v>106</v>
      </c>
      <c r="H429" t="s">
        <v>123</v>
      </c>
      <c r="I429" s="9" t="s">
        <v>97</v>
      </c>
    </row>
    <row r="430" spans="1:9" hidden="1" x14ac:dyDescent="0.25">
      <c r="A430" s="3">
        <v>46002.675000000003</v>
      </c>
      <c r="B430" t="s">
        <v>1313</v>
      </c>
      <c r="C430" t="s">
        <v>240</v>
      </c>
      <c r="D430" s="15">
        <v>6300000</v>
      </c>
      <c r="E430" t="s">
        <v>403</v>
      </c>
      <c r="F430" t="s">
        <v>241</v>
      </c>
      <c r="G430" t="s">
        <v>106</v>
      </c>
      <c r="H430" t="s">
        <v>240</v>
      </c>
      <c r="I430" s="9" t="s">
        <v>97</v>
      </c>
    </row>
    <row r="431" spans="1:9" hidden="1" x14ac:dyDescent="0.25">
      <c r="A431" s="3">
        <v>46002.679861111101</v>
      </c>
      <c r="B431" t="s">
        <v>1314</v>
      </c>
      <c r="C431" t="s">
        <v>198</v>
      </c>
      <c r="D431" s="15">
        <v>7800000</v>
      </c>
      <c r="E431" t="s">
        <v>434</v>
      </c>
      <c r="F431" t="s">
        <v>199</v>
      </c>
      <c r="G431" t="s">
        <v>106</v>
      </c>
      <c r="H431" t="s">
        <v>198</v>
      </c>
      <c r="I431" s="9" t="s">
        <v>97</v>
      </c>
    </row>
    <row r="432" spans="1:9" hidden="1" x14ac:dyDescent="0.25">
      <c r="A432" s="3">
        <v>46002.686111111099</v>
      </c>
      <c r="B432" t="s">
        <v>1315</v>
      </c>
      <c r="C432" t="s">
        <v>189</v>
      </c>
      <c r="D432" s="15">
        <v>3150000</v>
      </c>
      <c r="E432" t="s">
        <v>504</v>
      </c>
      <c r="F432" t="s">
        <v>67</v>
      </c>
      <c r="G432" t="s">
        <v>106</v>
      </c>
      <c r="H432" t="s">
        <v>189</v>
      </c>
      <c r="I432" s="9" t="s">
        <v>97</v>
      </c>
    </row>
    <row r="433" spans="1:9" hidden="1" x14ac:dyDescent="0.25">
      <c r="A433" s="3">
        <v>46002.690972222197</v>
      </c>
      <c r="B433" t="s">
        <v>1316</v>
      </c>
      <c r="C433" t="s">
        <v>112</v>
      </c>
      <c r="D433" s="15">
        <v>3150000</v>
      </c>
      <c r="E433" t="s">
        <v>386</v>
      </c>
      <c r="F433" t="s">
        <v>55</v>
      </c>
      <c r="G433" t="s">
        <v>106</v>
      </c>
      <c r="H433" t="s">
        <v>112</v>
      </c>
      <c r="I433" s="9" t="s">
        <v>97</v>
      </c>
    </row>
    <row r="434" spans="1:9" hidden="1" x14ac:dyDescent="0.25">
      <c r="A434" s="3">
        <v>46002.7006944444</v>
      </c>
      <c r="B434" t="s">
        <v>1317</v>
      </c>
      <c r="C434" t="s">
        <v>231</v>
      </c>
      <c r="D434" s="15">
        <v>3150000</v>
      </c>
      <c r="E434" t="s">
        <v>507</v>
      </c>
      <c r="F434" t="s">
        <v>232</v>
      </c>
      <c r="G434" t="s">
        <v>106</v>
      </c>
      <c r="H434" t="s">
        <v>231</v>
      </c>
      <c r="I434" s="9" t="s">
        <v>97</v>
      </c>
    </row>
    <row r="435" spans="1:9" hidden="1" x14ac:dyDescent="0.25">
      <c r="A435" s="3">
        <v>46002.695138888899</v>
      </c>
      <c r="B435" t="s">
        <v>1318</v>
      </c>
      <c r="C435" t="s">
        <v>234</v>
      </c>
      <c r="D435" s="15">
        <v>3150000</v>
      </c>
      <c r="E435" t="s">
        <v>412</v>
      </c>
      <c r="F435" t="s">
        <v>235</v>
      </c>
      <c r="G435" t="s">
        <v>106</v>
      </c>
      <c r="H435" t="s">
        <v>234</v>
      </c>
      <c r="I435" s="9" t="s">
        <v>97</v>
      </c>
    </row>
    <row r="436" spans="1:9" hidden="1" x14ac:dyDescent="0.25">
      <c r="A436" s="3">
        <v>46002.697916666701</v>
      </c>
      <c r="B436" t="s">
        <v>1319</v>
      </c>
      <c r="C436" t="s">
        <v>223</v>
      </c>
      <c r="D436" s="15">
        <v>7800000</v>
      </c>
      <c r="E436" t="s">
        <v>461</v>
      </c>
      <c r="F436" t="s">
        <v>8</v>
      </c>
      <c r="G436" t="s">
        <v>106</v>
      </c>
      <c r="H436" t="s">
        <v>223</v>
      </c>
      <c r="I436" s="9" t="s">
        <v>97</v>
      </c>
    </row>
    <row r="437" spans="1:9" hidden="1" x14ac:dyDescent="0.25">
      <c r="A437" s="3">
        <v>46002.699305555601</v>
      </c>
      <c r="B437" t="s">
        <v>1320</v>
      </c>
      <c r="C437" t="s">
        <v>126</v>
      </c>
      <c r="D437" s="15">
        <v>3150000</v>
      </c>
      <c r="E437" t="s">
        <v>381</v>
      </c>
      <c r="F437" t="s">
        <v>127</v>
      </c>
      <c r="G437" t="s">
        <v>106</v>
      </c>
      <c r="H437" t="s">
        <v>126</v>
      </c>
      <c r="I437" s="9" t="s">
        <v>97</v>
      </c>
    </row>
    <row r="438" spans="1:9" hidden="1" x14ac:dyDescent="0.25">
      <c r="A438" s="3">
        <v>46002.702083333301</v>
      </c>
      <c r="B438" t="s">
        <v>1321</v>
      </c>
      <c r="C438" t="s">
        <v>109</v>
      </c>
      <c r="D438" s="15">
        <v>3150000</v>
      </c>
      <c r="E438" t="s">
        <v>382</v>
      </c>
      <c r="F438" t="s">
        <v>110</v>
      </c>
      <c r="G438" t="s">
        <v>106</v>
      </c>
      <c r="H438" t="s">
        <v>109</v>
      </c>
      <c r="I438" s="9" t="s">
        <v>97</v>
      </c>
    </row>
    <row r="439" spans="1:9" hidden="1" x14ac:dyDescent="0.25">
      <c r="A439" s="3">
        <v>46002.704861111102</v>
      </c>
      <c r="B439" t="s">
        <v>1322</v>
      </c>
      <c r="C439" t="s">
        <v>720</v>
      </c>
      <c r="D439" s="15">
        <v>4730000</v>
      </c>
      <c r="E439" t="s">
        <v>721</v>
      </c>
      <c r="F439" t="s">
        <v>722</v>
      </c>
      <c r="G439" t="s">
        <v>106</v>
      </c>
      <c r="H439" t="s">
        <v>720</v>
      </c>
      <c r="I439" s="9" t="s">
        <v>97</v>
      </c>
    </row>
    <row r="440" spans="1:9" hidden="1" x14ac:dyDescent="0.25">
      <c r="A440" s="3">
        <v>46002.706944444399</v>
      </c>
      <c r="B440" t="s">
        <v>1323</v>
      </c>
      <c r="C440" t="s">
        <v>723</v>
      </c>
      <c r="D440" s="15">
        <v>4730000</v>
      </c>
      <c r="E440" t="s">
        <v>724</v>
      </c>
      <c r="F440" t="s">
        <v>725</v>
      </c>
      <c r="G440" t="s">
        <v>106</v>
      </c>
      <c r="H440" t="s">
        <v>723</v>
      </c>
      <c r="I440" s="9" t="s">
        <v>97</v>
      </c>
    </row>
    <row r="441" spans="1:9" hidden="1" x14ac:dyDescent="0.25">
      <c r="A441" s="3">
        <v>46003.385416666701</v>
      </c>
      <c r="B441" t="s">
        <v>1324</v>
      </c>
      <c r="C441" t="s">
        <v>726</v>
      </c>
      <c r="D441" s="15">
        <v>6300000</v>
      </c>
      <c r="E441" t="s">
        <v>727</v>
      </c>
      <c r="F441" t="s">
        <v>728</v>
      </c>
      <c r="G441" t="s">
        <v>106</v>
      </c>
      <c r="H441" t="s">
        <v>726</v>
      </c>
      <c r="I441" s="9" t="s">
        <v>97</v>
      </c>
    </row>
    <row r="442" spans="1:9" hidden="1" x14ac:dyDescent="0.25">
      <c r="A442" s="3">
        <v>46003.390972222202</v>
      </c>
      <c r="B442" t="s">
        <v>1325</v>
      </c>
      <c r="C442" t="s">
        <v>729</v>
      </c>
      <c r="D442" s="15">
        <v>3150000</v>
      </c>
      <c r="E442" t="s">
        <v>730</v>
      </c>
      <c r="F442" t="s">
        <v>731</v>
      </c>
      <c r="G442" t="s">
        <v>106</v>
      </c>
      <c r="H442" t="s">
        <v>729</v>
      </c>
      <c r="I442" s="9" t="s">
        <v>97</v>
      </c>
    </row>
    <row r="443" spans="1:9" hidden="1" x14ac:dyDescent="0.25">
      <c r="A443" s="3">
        <v>46003.396527777797</v>
      </c>
      <c r="B443" t="s">
        <v>1326</v>
      </c>
      <c r="C443" t="s">
        <v>732</v>
      </c>
      <c r="D443" s="15">
        <v>7800000</v>
      </c>
      <c r="E443" t="s">
        <v>733</v>
      </c>
      <c r="F443" t="s">
        <v>734</v>
      </c>
      <c r="G443" t="s">
        <v>106</v>
      </c>
      <c r="H443" t="s">
        <v>732</v>
      </c>
      <c r="I443" s="9" t="s">
        <v>97</v>
      </c>
    </row>
    <row r="444" spans="1:9" hidden="1" x14ac:dyDescent="0.25">
      <c r="A444" s="3">
        <v>46003.400694444397</v>
      </c>
      <c r="B444" t="s">
        <v>1327</v>
      </c>
      <c r="C444" t="s">
        <v>735</v>
      </c>
      <c r="D444" s="15">
        <v>4730000</v>
      </c>
      <c r="E444" t="s">
        <v>736</v>
      </c>
      <c r="F444" t="s">
        <v>737</v>
      </c>
      <c r="G444" t="s">
        <v>106</v>
      </c>
      <c r="H444" t="s">
        <v>735</v>
      </c>
      <c r="I444" s="9" t="s">
        <v>97</v>
      </c>
    </row>
    <row r="445" spans="1:9" hidden="1" x14ac:dyDescent="0.25">
      <c r="A445" s="3">
        <v>46003.402083333298</v>
      </c>
      <c r="B445" t="s">
        <v>1328</v>
      </c>
      <c r="C445" t="s">
        <v>151</v>
      </c>
      <c r="D445" s="15">
        <v>3150000</v>
      </c>
      <c r="E445" t="s">
        <v>371</v>
      </c>
      <c r="F445" t="s">
        <v>46</v>
      </c>
      <c r="G445" t="s">
        <v>106</v>
      </c>
      <c r="H445" t="s">
        <v>151</v>
      </c>
      <c r="I445" s="9" t="s">
        <v>97</v>
      </c>
    </row>
    <row r="446" spans="1:9" hidden="1" x14ac:dyDescent="0.25">
      <c r="A446" s="3">
        <v>46003.40625</v>
      </c>
      <c r="B446" t="s">
        <v>1329</v>
      </c>
      <c r="C446" t="s">
        <v>217</v>
      </c>
      <c r="D446" s="15">
        <v>7800000</v>
      </c>
      <c r="E446" t="s">
        <v>423</v>
      </c>
      <c r="F446" t="s">
        <v>25</v>
      </c>
      <c r="G446" t="s">
        <v>106</v>
      </c>
      <c r="H446" t="s">
        <v>217</v>
      </c>
      <c r="I446" s="9" t="s">
        <v>97</v>
      </c>
    </row>
    <row r="447" spans="1:9" hidden="1" x14ac:dyDescent="0.25">
      <c r="A447" s="3">
        <v>46003.409027777801</v>
      </c>
      <c r="B447" t="s">
        <v>1330</v>
      </c>
      <c r="C447" t="s">
        <v>143</v>
      </c>
      <c r="D447" s="15">
        <v>4730000</v>
      </c>
      <c r="E447" t="s">
        <v>446</v>
      </c>
      <c r="F447" t="s">
        <v>20</v>
      </c>
      <c r="G447" t="s">
        <v>106</v>
      </c>
      <c r="H447" t="s">
        <v>143</v>
      </c>
      <c r="I447" s="9" t="s">
        <v>97</v>
      </c>
    </row>
    <row r="448" spans="1:9" hidden="1" x14ac:dyDescent="0.25">
      <c r="A448" s="3">
        <v>46003.409722222197</v>
      </c>
      <c r="B448" t="s">
        <v>1331</v>
      </c>
      <c r="C448" t="s">
        <v>286</v>
      </c>
      <c r="D448" s="15">
        <v>6300000</v>
      </c>
      <c r="E448" t="s">
        <v>738</v>
      </c>
      <c r="F448" t="s">
        <v>287</v>
      </c>
      <c r="G448" t="s">
        <v>106</v>
      </c>
      <c r="H448" t="s">
        <v>286</v>
      </c>
      <c r="I448" s="9" t="s">
        <v>97</v>
      </c>
    </row>
    <row r="449" spans="1:9" hidden="1" x14ac:dyDescent="0.25">
      <c r="A449" s="3">
        <v>46003.431250000001</v>
      </c>
      <c r="B449" t="s">
        <v>1332</v>
      </c>
      <c r="C449" t="s">
        <v>739</v>
      </c>
      <c r="D449" s="15">
        <v>3150000</v>
      </c>
      <c r="E449" t="s">
        <v>740</v>
      </c>
      <c r="F449" t="s">
        <v>741</v>
      </c>
      <c r="G449" t="s">
        <v>106</v>
      </c>
      <c r="H449" t="s">
        <v>739</v>
      </c>
      <c r="I449" s="9" t="s">
        <v>97</v>
      </c>
    </row>
    <row r="450" spans="1:9" hidden="1" x14ac:dyDescent="0.25">
      <c r="A450" s="3">
        <v>46003.412499999999</v>
      </c>
      <c r="B450" t="s">
        <v>1333</v>
      </c>
      <c r="C450" t="s">
        <v>742</v>
      </c>
      <c r="D450" s="15">
        <v>7800000</v>
      </c>
      <c r="E450" t="s">
        <v>743</v>
      </c>
      <c r="F450" t="s">
        <v>744</v>
      </c>
      <c r="G450" t="s">
        <v>106</v>
      </c>
      <c r="H450" t="s">
        <v>742</v>
      </c>
      <c r="I450" s="9" t="s">
        <v>97</v>
      </c>
    </row>
    <row r="451" spans="1:9" hidden="1" x14ac:dyDescent="0.25">
      <c r="A451" s="3">
        <v>46003.432638888902</v>
      </c>
      <c r="B451" t="s">
        <v>1334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9" hidden="1" x14ac:dyDescent="0.25">
      <c r="A452" s="3">
        <v>46003.436111111099</v>
      </c>
      <c r="B452" t="s">
        <v>1335</v>
      </c>
      <c r="C452" t="s">
        <v>481</v>
      </c>
      <c r="D452" s="15">
        <v>3150000</v>
      </c>
      <c r="E452" t="s">
        <v>482</v>
      </c>
      <c r="F452" t="s">
        <v>483</v>
      </c>
      <c r="G452" t="s">
        <v>106</v>
      </c>
      <c r="H452" t="s">
        <v>481</v>
      </c>
      <c r="I452" s="9" t="s">
        <v>97</v>
      </c>
    </row>
    <row r="453" spans="1:9" hidden="1" x14ac:dyDescent="0.25">
      <c r="A453" s="3">
        <v>46003.438194444403</v>
      </c>
      <c r="B453" t="s">
        <v>1336</v>
      </c>
      <c r="C453" t="s">
        <v>114</v>
      </c>
      <c r="D453" s="15">
        <v>4730000</v>
      </c>
      <c r="E453" t="s">
        <v>450</v>
      </c>
      <c r="F453" t="s">
        <v>115</v>
      </c>
      <c r="G453" t="s">
        <v>106</v>
      </c>
      <c r="H453" t="s">
        <v>114</v>
      </c>
      <c r="I453" s="9" t="s">
        <v>97</v>
      </c>
    </row>
    <row r="454" spans="1:9" hidden="1" x14ac:dyDescent="0.25">
      <c r="A454" s="3">
        <v>46003.596527777801</v>
      </c>
      <c r="B454" t="s">
        <v>1337</v>
      </c>
      <c r="C454" t="s">
        <v>116</v>
      </c>
      <c r="D454" s="15">
        <v>150342500</v>
      </c>
      <c r="E454" t="s">
        <v>364</v>
      </c>
      <c r="F454" t="s">
        <v>10</v>
      </c>
      <c r="G454" t="s">
        <v>106</v>
      </c>
      <c r="H454" t="s">
        <v>116</v>
      </c>
      <c r="I454" s="9" t="s">
        <v>97</v>
      </c>
    </row>
    <row r="455" spans="1:9" hidden="1" x14ac:dyDescent="0.25">
      <c r="A455" s="3">
        <v>46003.597916666702</v>
      </c>
      <c r="B455" t="s">
        <v>1338</v>
      </c>
      <c r="C455" t="s">
        <v>610</v>
      </c>
      <c r="D455" s="15">
        <v>2000000</v>
      </c>
      <c r="E455" t="s">
        <v>611</v>
      </c>
      <c r="F455" t="s">
        <v>612</v>
      </c>
      <c r="G455" t="s">
        <v>106</v>
      </c>
      <c r="H455" t="s">
        <v>610</v>
      </c>
      <c r="I455" s="9" t="s">
        <v>97</v>
      </c>
    </row>
    <row r="456" spans="1:9" hidden="1" x14ac:dyDescent="0.25">
      <c r="A456" s="3">
        <v>46003.6</v>
      </c>
      <c r="B456" t="s">
        <v>1339</v>
      </c>
      <c r="C456" t="s">
        <v>560</v>
      </c>
      <c r="D456" s="15">
        <v>3150000</v>
      </c>
      <c r="E456" t="s">
        <v>561</v>
      </c>
      <c r="F456" t="s">
        <v>562</v>
      </c>
      <c r="G456" t="s">
        <v>106</v>
      </c>
      <c r="H456" t="s">
        <v>560</v>
      </c>
      <c r="I456" s="9" t="s">
        <v>97</v>
      </c>
    </row>
    <row r="457" spans="1:9" hidden="1" x14ac:dyDescent="0.25">
      <c r="A457" s="3">
        <v>46003.6027777778</v>
      </c>
      <c r="B457" t="s">
        <v>1340</v>
      </c>
      <c r="C457" t="s">
        <v>148</v>
      </c>
      <c r="D457" s="15">
        <v>6300000</v>
      </c>
      <c r="E457" t="s">
        <v>365</v>
      </c>
      <c r="F457" t="s">
        <v>11</v>
      </c>
      <c r="G457" t="s">
        <v>106</v>
      </c>
      <c r="H457" t="s">
        <v>148</v>
      </c>
      <c r="I457" s="9" t="s">
        <v>97</v>
      </c>
    </row>
    <row r="458" spans="1:9" hidden="1" x14ac:dyDescent="0.25">
      <c r="A458" s="3">
        <v>46003.613194444399</v>
      </c>
      <c r="B458" t="s">
        <v>1341</v>
      </c>
      <c r="C458" t="s">
        <v>104</v>
      </c>
      <c r="D458" s="15">
        <v>3150000</v>
      </c>
      <c r="E458" t="s">
        <v>479</v>
      </c>
      <c r="F458" t="s">
        <v>105</v>
      </c>
      <c r="G458" t="s">
        <v>106</v>
      </c>
      <c r="H458" t="s">
        <v>104</v>
      </c>
      <c r="I458" s="9" t="s">
        <v>97</v>
      </c>
    </row>
    <row r="459" spans="1:9" hidden="1" x14ac:dyDescent="0.25">
      <c r="A459" s="3">
        <v>46003.615277777797</v>
      </c>
      <c r="B459" t="s">
        <v>1342</v>
      </c>
      <c r="C459" t="s">
        <v>745</v>
      </c>
      <c r="D459" s="15">
        <v>2000000</v>
      </c>
      <c r="E459" t="s">
        <v>746</v>
      </c>
      <c r="F459" t="s">
        <v>747</v>
      </c>
      <c r="G459" t="s">
        <v>106</v>
      </c>
      <c r="H459" t="s">
        <v>745</v>
      </c>
      <c r="I459" s="9" t="s">
        <v>97</v>
      </c>
    </row>
    <row r="460" spans="1:9" hidden="1" x14ac:dyDescent="0.25">
      <c r="A460" s="3">
        <v>46003.618750000001</v>
      </c>
      <c r="B460" t="s">
        <v>1343</v>
      </c>
      <c r="C460" t="s">
        <v>748</v>
      </c>
      <c r="D460" s="15">
        <v>3150000</v>
      </c>
      <c r="E460" t="s">
        <v>749</v>
      </c>
      <c r="F460" t="s">
        <v>26</v>
      </c>
      <c r="G460" t="s">
        <v>106</v>
      </c>
      <c r="H460" t="s">
        <v>748</v>
      </c>
      <c r="I460" s="9" t="s">
        <v>97</v>
      </c>
    </row>
    <row r="461" spans="1:9" hidden="1" x14ac:dyDescent="0.25">
      <c r="A461" s="3">
        <v>46003.622222222199</v>
      </c>
      <c r="B461" t="s">
        <v>1344</v>
      </c>
      <c r="C461" t="s">
        <v>304</v>
      </c>
      <c r="D461" s="15">
        <v>3150000</v>
      </c>
      <c r="E461" t="s">
        <v>369</v>
      </c>
      <c r="F461" t="s">
        <v>12</v>
      </c>
      <c r="G461" t="s">
        <v>106</v>
      </c>
      <c r="H461" t="s">
        <v>304</v>
      </c>
      <c r="I461" s="9" t="s">
        <v>97</v>
      </c>
    </row>
    <row r="462" spans="1:9" hidden="1" x14ac:dyDescent="0.25">
      <c r="A462" s="3">
        <v>46003.625694444403</v>
      </c>
      <c r="B462" t="s">
        <v>1345</v>
      </c>
      <c r="C462" t="s">
        <v>144</v>
      </c>
      <c r="D462" s="15">
        <v>3150000</v>
      </c>
      <c r="E462" t="s">
        <v>384</v>
      </c>
      <c r="F462" t="s">
        <v>64</v>
      </c>
      <c r="G462" t="s">
        <v>106</v>
      </c>
      <c r="H462" t="s">
        <v>144</v>
      </c>
      <c r="I462" s="9" t="s">
        <v>97</v>
      </c>
    </row>
    <row r="463" spans="1:9" hidden="1" x14ac:dyDescent="0.25">
      <c r="A463" s="3">
        <v>46003.629166666702</v>
      </c>
      <c r="B463" t="s">
        <v>1346</v>
      </c>
      <c r="C463" t="s">
        <v>554</v>
      </c>
      <c r="D463" s="15">
        <v>7800000</v>
      </c>
      <c r="E463" t="s">
        <v>555</v>
      </c>
      <c r="F463" t="s">
        <v>556</v>
      </c>
      <c r="G463" t="s">
        <v>106</v>
      </c>
      <c r="H463" t="s">
        <v>554</v>
      </c>
      <c r="I463" s="9" t="s">
        <v>97</v>
      </c>
    </row>
    <row r="464" spans="1:9" hidden="1" x14ac:dyDescent="0.25">
      <c r="A464" s="3">
        <v>46003.630555555603</v>
      </c>
      <c r="B464" t="s">
        <v>1347</v>
      </c>
      <c r="C464" t="s">
        <v>222</v>
      </c>
      <c r="D464" s="15">
        <v>3150000</v>
      </c>
      <c r="E464" t="s">
        <v>370</v>
      </c>
      <c r="F464" t="s">
        <v>15</v>
      </c>
      <c r="G464" t="s">
        <v>106</v>
      </c>
      <c r="H464" t="s">
        <v>222</v>
      </c>
      <c r="I464" s="9" t="s">
        <v>97</v>
      </c>
    </row>
    <row r="465" spans="1:9" hidden="1" x14ac:dyDescent="0.25">
      <c r="A465" s="3">
        <v>46003.632638888899</v>
      </c>
      <c r="B465" t="s">
        <v>1348</v>
      </c>
      <c r="C465" t="s">
        <v>213</v>
      </c>
      <c r="D465" s="15">
        <v>3150000</v>
      </c>
      <c r="E465" t="s">
        <v>367</v>
      </c>
      <c r="F465" t="s">
        <v>21</v>
      </c>
      <c r="G465" t="s">
        <v>106</v>
      </c>
      <c r="H465" t="s">
        <v>213</v>
      </c>
      <c r="I465" s="9" t="s">
        <v>97</v>
      </c>
    </row>
    <row r="466" spans="1:9" hidden="1" x14ac:dyDescent="0.25">
      <c r="A466" s="3">
        <v>46003.648611111101</v>
      </c>
      <c r="B466" t="s">
        <v>1349</v>
      </c>
      <c r="C466" t="s">
        <v>750</v>
      </c>
      <c r="D466" s="15">
        <v>1575000</v>
      </c>
      <c r="E466" t="s">
        <v>751</v>
      </c>
      <c r="F466" t="s">
        <v>87</v>
      </c>
      <c r="G466" t="s">
        <v>106</v>
      </c>
      <c r="H466" t="s">
        <v>750</v>
      </c>
      <c r="I466" s="9" t="s">
        <v>97</v>
      </c>
    </row>
    <row r="467" spans="1:9" hidden="1" x14ac:dyDescent="0.25">
      <c r="A467" s="3">
        <v>46003.652083333298</v>
      </c>
      <c r="B467" t="s">
        <v>1350</v>
      </c>
      <c r="C467" t="s">
        <v>464</v>
      </c>
      <c r="D467" s="15">
        <v>2000000</v>
      </c>
      <c r="E467" t="s">
        <v>465</v>
      </c>
      <c r="F467" t="s">
        <v>70</v>
      </c>
      <c r="G467" t="s">
        <v>106</v>
      </c>
      <c r="H467" t="s">
        <v>464</v>
      </c>
      <c r="I467" s="9" t="s">
        <v>97</v>
      </c>
    </row>
    <row r="468" spans="1:9" hidden="1" x14ac:dyDescent="0.25">
      <c r="A468" s="3">
        <v>46003.654861111099</v>
      </c>
      <c r="B468" t="s">
        <v>1351</v>
      </c>
      <c r="C468" t="s">
        <v>752</v>
      </c>
      <c r="D468" s="15">
        <v>2000000</v>
      </c>
      <c r="E468" t="s">
        <v>753</v>
      </c>
      <c r="F468" t="s">
        <v>754</v>
      </c>
      <c r="G468" t="s">
        <v>106</v>
      </c>
      <c r="H468" t="s">
        <v>752</v>
      </c>
      <c r="I468" s="9" t="s">
        <v>97</v>
      </c>
    </row>
    <row r="469" spans="1:9" hidden="1" x14ac:dyDescent="0.25">
      <c r="A469" s="3">
        <v>46003.65625</v>
      </c>
      <c r="B469" t="s">
        <v>1352</v>
      </c>
      <c r="C469" t="s">
        <v>212</v>
      </c>
      <c r="D469" s="15">
        <v>3150000</v>
      </c>
      <c r="E469" t="s">
        <v>368</v>
      </c>
      <c r="F469" t="s">
        <v>48</v>
      </c>
      <c r="G469" t="s">
        <v>106</v>
      </c>
      <c r="H469" t="s">
        <v>212</v>
      </c>
      <c r="I469" s="9" t="s">
        <v>97</v>
      </c>
    </row>
    <row r="470" spans="1:9" hidden="1" x14ac:dyDescent="0.25">
      <c r="A470" s="3">
        <v>46003.659027777801</v>
      </c>
      <c r="B470" t="s">
        <v>1353</v>
      </c>
      <c r="C470" t="s">
        <v>755</v>
      </c>
      <c r="D470" s="15">
        <v>2000000</v>
      </c>
      <c r="E470" t="s">
        <v>756</v>
      </c>
      <c r="F470" t="s">
        <v>757</v>
      </c>
      <c r="G470" t="s">
        <v>106</v>
      </c>
      <c r="H470" t="s">
        <v>755</v>
      </c>
      <c r="I470" s="9" t="s">
        <v>97</v>
      </c>
    </row>
    <row r="471" spans="1:9" hidden="1" x14ac:dyDescent="0.25">
      <c r="A471" s="3">
        <v>46006</v>
      </c>
      <c r="B471">
        <v>2025003339</v>
      </c>
      <c r="C471" t="s">
        <v>607</v>
      </c>
      <c r="D471" s="15">
        <v>4730000</v>
      </c>
      <c r="E471" t="s">
        <v>608</v>
      </c>
      <c r="F471" t="s">
        <v>609</v>
      </c>
      <c r="G471" t="s">
        <v>106</v>
      </c>
      <c r="H471" t="s">
        <v>607</v>
      </c>
      <c r="I471" s="6" t="s">
        <v>97</v>
      </c>
    </row>
    <row r="472" spans="1:9" hidden="1" x14ac:dyDescent="0.25">
      <c r="A472" s="3">
        <v>46006</v>
      </c>
      <c r="B472">
        <v>2025003340</v>
      </c>
      <c r="C472" t="s">
        <v>154</v>
      </c>
      <c r="D472" s="15">
        <v>3150000</v>
      </c>
      <c r="E472" t="s">
        <v>470</v>
      </c>
      <c r="F472" t="s">
        <v>155</v>
      </c>
      <c r="G472" t="s">
        <v>106</v>
      </c>
      <c r="H472" t="s">
        <v>154</v>
      </c>
      <c r="I472" s="6" t="s">
        <v>97</v>
      </c>
    </row>
    <row r="473" spans="1:9" hidden="1" x14ac:dyDescent="0.25">
      <c r="A473" s="3">
        <v>46006</v>
      </c>
      <c r="B473">
        <v>2025003341</v>
      </c>
      <c r="C473" t="s">
        <v>617</v>
      </c>
      <c r="D473" s="15">
        <v>3150000</v>
      </c>
      <c r="E473" t="s">
        <v>618</v>
      </c>
      <c r="F473" t="s">
        <v>619</v>
      </c>
      <c r="G473" t="s">
        <v>106</v>
      </c>
      <c r="H473" t="s">
        <v>617</v>
      </c>
      <c r="I473" s="6" t="s">
        <v>97</v>
      </c>
    </row>
    <row r="474" spans="1:9" hidden="1" x14ac:dyDescent="0.25">
      <c r="A474" s="3">
        <v>46006</v>
      </c>
      <c r="B474">
        <v>2025003342</v>
      </c>
      <c r="C474" t="s">
        <v>666</v>
      </c>
      <c r="D474" s="15">
        <v>2000000</v>
      </c>
      <c r="E474" t="s">
        <v>667</v>
      </c>
      <c r="F474" t="s">
        <v>668</v>
      </c>
      <c r="G474" t="s">
        <v>106</v>
      </c>
      <c r="H474" t="s">
        <v>666</v>
      </c>
      <c r="I474" s="6" t="s">
        <v>97</v>
      </c>
    </row>
    <row r="475" spans="1:9" hidden="1" x14ac:dyDescent="0.25">
      <c r="A475" s="3">
        <v>46006</v>
      </c>
      <c r="B475">
        <v>2025003343</v>
      </c>
      <c r="C475" t="s">
        <v>758</v>
      </c>
      <c r="D475" s="15">
        <v>3150000</v>
      </c>
      <c r="E475" t="s">
        <v>759</v>
      </c>
      <c r="F475" t="s">
        <v>760</v>
      </c>
      <c r="G475" t="s">
        <v>106</v>
      </c>
      <c r="H475" t="s">
        <v>758</v>
      </c>
      <c r="I475" s="6" t="s">
        <v>97</v>
      </c>
    </row>
    <row r="476" spans="1:9" hidden="1" x14ac:dyDescent="0.25">
      <c r="A476" s="3">
        <v>46006</v>
      </c>
      <c r="B476">
        <v>2025003344</v>
      </c>
      <c r="C476" t="s">
        <v>147</v>
      </c>
      <c r="D476" s="15">
        <v>3150000</v>
      </c>
      <c r="E476" t="s">
        <v>471</v>
      </c>
      <c r="F476" t="s">
        <v>83</v>
      </c>
      <c r="G476" t="s">
        <v>106</v>
      </c>
      <c r="H476" t="s">
        <v>147</v>
      </c>
      <c r="I476" s="6" t="s">
        <v>97</v>
      </c>
    </row>
    <row r="477" spans="1:9" hidden="1" x14ac:dyDescent="0.25">
      <c r="A477" s="3">
        <v>46006</v>
      </c>
      <c r="B477">
        <v>2025003345</v>
      </c>
      <c r="C477" t="s">
        <v>660</v>
      </c>
      <c r="D477" s="15">
        <v>6300000</v>
      </c>
      <c r="E477" t="s">
        <v>661</v>
      </c>
      <c r="F477" t="s">
        <v>662</v>
      </c>
      <c r="G477" t="s">
        <v>106</v>
      </c>
      <c r="H477" t="s">
        <v>660</v>
      </c>
      <c r="I477" s="6" t="s">
        <v>97</v>
      </c>
    </row>
    <row r="478" spans="1:9" hidden="1" x14ac:dyDescent="0.25">
      <c r="A478" s="3">
        <v>46006</v>
      </c>
      <c r="B478">
        <v>2025003346</v>
      </c>
      <c r="C478" t="s">
        <v>761</v>
      </c>
      <c r="D478" s="15">
        <v>6300000</v>
      </c>
      <c r="E478" t="s">
        <v>762</v>
      </c>
      <c r="F478" t="s">
        <v>763</v>
      </c>
      <c r="G478" t="s">
        <v>106</v>
      </c>
      <c r="H478" t="s">
        <v>761</v>
      </c>
      <c r="I478" s="6" t="s">
        <v>97</v>
      </c>
    </row>
    <row r="479" spans="1:9" hidden="1" x14ac:dyDescent="0.25">
      <c r="A479" s="3">
        <v>46006</v>
      </c>
      <c r="B479">
        <v>2025003347</v>
      </c>
      <c r="C479" t="s">
        <v>764</v>
      </c>
      <c r="D479" s="15">
        <v>3150000</v>
      </c>
      <c r="E479" t="s">
        <v>765</v>
      </c>
      <c r="F479" t="s">
        <v>766</v>
      </c>
      <c r="G479" t="s">
        <v>106</v>
      </c>
      <c r="H479" t="s">
        <v>764</v>
      </c>
      <c r="I479" s="6" t="s">
        <v>97</v>
      </c>
    </row>
    <row r="480" spans="1:9" hidden="1" x14ac:dyDescent="0.25">
      <c r="A480" s="3">
        <v>46006</v>
      </c>
      <c r="B480">
        <v>2025003348</v>
      </c>
      <c r="C480" t="s">
        <v>767</v>
      </c>
      <c r="D480" s="15">
        <v>7800000</v>
      </c>
      <c r="E480" t="s">
        <v>768</v>
      </c>
      <c r="F480" t="s">
        <v>769</v>
      </c>
      <c r="G480" t="s">
        <v>106</v>
      </c>
      <c r="H480" t="s">
        <v>767</v>
      </c>
      <c r="I480" s="6" t="s">
        <v>97</v>
      </c>
    </row>
    <row r="481" spans="1:9" hidden="1" x14ac:dyDescent="0.25">
      <c r="A481" s="3">
        <v>46006</v>
      </c>
      <c r="B481">
        <v>2025003349</v>
      </c>
      <c r="C481" t="s">
        <v>256</v>
      </c>
      <c r="D481" s="15">
        <v>4730000</v>
      </c>
      <c r="E481" t="s">
        <v>366</v>
      </c>
      <c r="F481" t="s">
        <v>257</v>
      </c>
      <c r="G481" t="s">
        <v>106</v>
      </c>
      <c r="H481" t="s">
        <v>256</v>
      </c>
      <c r="I481" s="6" t="s">
        <v>97</v>
      </c>
    </row>
    <row r="482" spans="1:9" hidden="1" x14ac:dyDescent="0.25">
      <c r="A482" s="3">
        <v>46006</v>
      </c>
      <c r="B482">
        <v>2025003350</v>
      </c>
      <c r="C482" t="s">
        <v>620</v>
      </c>
      <c r="D482" s="15">
        <v>7800000</v>
      </c>
      <c r="E482" t="s">
        <v>621</v>
      </c>
      <c r="F482" t="s">
        <v>622</v>
      </c>
      <c r="G482" t="s">
        <v>106</v>
      </c>
      <c r="H482" t="s">
        <v>620</v>
      </c>
      <c r="I482" s="6" t="s">
        <v>97</v>
      </c>
    </row>
    <row r="483" spans="1:9" hidden="1" x14ac:dyDescent="0.25">
      <c r="A483" s="3">
        <v>46006</v>
      </c>
      <c r="B483">
        <v>2025003352</v>
      </c>
      <c r="C483" t="s">
        <v>604</v>
      </c>
      <c r="D483" s="15">
        <v>3150000</v>
      </c>
      <c r="E483" t="s">
        <v>605</v>
      </c>
      <c r="F483" t="s">
        <v>606</v>
      </c>
      <c r="G483" t="s">
        <v>106</v>
      </c>
      <c r="H483" t="s">
        <v>604</v>
      </c>
      <c r="I483" s="6" t="s">
        <v>97</v>
      </c>
    </row>
    <row r="484" spans="1:9" hidden="1" x14ac:dyDescent="0.25">
      <c r="A484" s="3">
        <v>46006</v>
      </c>
      <c r="B484">
        <v>2025003353</v>
      </c>
      <c r="C484" t="s">
        <v>542</v>
      </c>
      <c r="D484" s="15">
        <v>2000000</v>
      </c>
      <c r="E484" t="s">
        <v>543</v>
      </c>
      <c r="F484" t="s">
        <v>544</v>
      </c>
      <c r="G484" t="s">
        <v>106</v>
      </c>
      <c r="H484" t="s">
        <v>542</v>
      </c>
      <c r="I484" s="6" t="s">
        <v>97</v>
      </c>
    </row>
    <row r="485" spans="1:9" hidden="1" x14ac:dyDescent="0.25">
      <c r="A485" s="3">
        <v>46006</v>
      </c>
      <c r="B485">
        <v>2025003355</v>
      </c>
      <c r="C485" t="s">
        <v>663</v>
      </c>
      <c r="D485" s="15">
        <v>3150000</v>
      </c>
      <c r="E485" t="s">
        <v>664</v>
      </c>
      <c r="F485" t="s">
        <v>665</v>
      </c>
      <c r="G485" t="s">
        <v>106</v>
      </c>
      <c r="H485" t="s">
        <v>663</v>
      </c>
      <c r="I485" s="6" t="s">
        <v>97</v>
      </c>
    </row>
    <row r="486" spans="1:9" hidden="1" x14ac:dyDescent="0.25">
      <c r="A486" s="3">
        <v>46006</v>
      </c>
      <c r="B486">
        <v>2025003356</v>
      </c>
      <c r="C486" t="s">
        <v>557</v>
      </c>
      <c r="D486" s="15">
        <v>3150000</v>
      </c>
      <c r="E486" t="s">
        <v>558</v>
      </c>
      <c r="F486" t="s">
        <v>559</v>
      </c>
      <c r="G486" t="s">
        <v>106</v>
      </c>
      <c r="H486" t="s">
        <v>557</v>
      </c>
      <c r="I486" s="6" t="s">
        <v>97</v>
      </c>
    </row>
    <row r="487" spans="1:9" hidden="1" x14ac:dyDescent="0.25">
      <c r="A487" s="3">
        <v>46006</v>
      </c>
      <c r="B487">
        <v>2025003357</v>
      </c>
      <c r="C487" t="s">
        <v>473</v>
      </c>
      <c r="D487" s="15">
        <v>2000000</v>
      </c>
      <c r="E487" t="s">
        <v>474</v>
      </c>
      <c r="F487" t="s">
        <v>475</v>
      </c>
      <c r="G487" t="s">
        <v>106</v>
      </c>
      <c r="H487" t="s">
        <v>473</v>
      </c>
      <c r="I487" s="6" t="s">
        <v>97</v>
      </c>
    </row>
    <row r="488" spans="1:9" hidden="1" x14ac:dyDescent="0.25">
      <c r="A488" s="3">
        <v>46006</v>
      </c>
      <c r="B488">
        <v>2025003358</v>
      </c>
      <c r="C488" t="s">
        <v>548</v>
      </c>
      <c r="D488" s="15">
        <v>6300000</v>
      </c>
      <c r="E488" t="s">
        <v>549</v>
      </c>
      <c r="F488" t="s">
        <v>550</v>
      </c>
      <c r="G488" t="s">
        <v>106</v>
      </c>
      <c r="H488" t="s">
        <v>548</v>
      </c>
      <c r="I488" s="6" t="s">
        <v>97</v>
      </c>
    </row>
    <row r="489" spans="1:9" hidden="1" x14ac:dyDescent="0.25">
      <c r="A489" s="3">
        <v>46006</v>
      </c>
      <c r="B489">
        <v>2025003359</v>
      </c>
      <c r="C489" t="s">
        <v>214</v>
      </c>
      <c r="D489" s="15">
        <v>4730000</v>
      </c>
      <c r="E489" t="s">
        <v>463</v>
      </c>
      <c r="F489" t="s">
        <v>215</v>
      </c>
      <c r="G489" t="s">
        <v>106</v>
      </c>
      <c r="H489" t="s">
        <v>214</v>
      </c>
      <c r="I489" s="6" t="s">
        <v>97</v>
      </c>
    </row>
    <row r="490" spans="1:9" hidden="1" x14ac:dyDescent="0.25">
      <c r="A490" s="3">
        <v>46006</v>
      </c>
      <c r="B490">
        <v>2025003361</v>
      </c>
      <c r="C490" t="s">
        <v>145</v>
      </c>
      <c r="D490" s="15">
        <v>3150000</v>
      </c>
      <c r="E490" t="s">
        <v>466</v>
      </c>
      <c r="F490" t="s">
        <v>146</v>
      </c>
      <c r="G490" t="s">
        <v>106</v>
      </c>
      <c r="H490" t="s">
        <v>145</v>
      </c>
      <c r="I490" s="6" t="s">
        <v>97</v>
      </c>
    </row>
    <row r="491" spans="1:9" hidden="1" x14ac:dyDescent="0.25">
      <c r="A491" s="3">
        <v>46007</v>
      </c>
      <c r="B491">
        <v>2025003387</v>
      </c>
      <c r="C491" t="s">
        <v>262</v>
      </c>
      <c r="D491" s="15">
        <v>3150000</v>
      </c>
      <c r="E491" t="s">
        <v>533</v>
      </c>
      <c r="F491" t="s">
        <v>263</v>
      </c>
      <c r="G491" t="s">
        <v>106</v>
      </c>
      <c r="H491" t="s">
        <v>262</v>
      </c>
      <c r="I491" s="6" t="s">
        <v>97</v>
      </c>
    </row>
    <row r="492" spans="1:9" hidden="1" x14ac:dyDescent="0.25">
      <c r="A492" s="3">
        <v>46007</v>
      </c>
      <c r="B492">
        <v>2025003388</v>
      </c>
      <c r="C492" t="s">
        <v>268</v>
      </c>
      <c r="D492" s="15">
        <v>3150000</v>
      </c>
      <c r="E492" t="s">
        <v>583</v>
      </c>
      <c r="F492" t="s">
        <v>65</v>
      </c>
      <c r="G492" t="s">
        <v>106</v>
      </c>
      <c r="H492" t="s">
        <v>268</v>
      </c>
      <c r="I492" s="6" t="s">
        <v>97</v>
      </c>
    </row>
    <row r="493" spans="1:9" hidden="1" x14ac:dyDescent="0.25">
      <c r="A493" s="3">
        <v>46007</v>
      </c>
      <c r="B493">
        <v>2025003389</v>
      </c>
      <c r="C493" t="s">
        <v>338</v>
      </c>
      <c r="D493" s="15">
        <v>6300000</v>
      </c>
      <c r="E493" t="s">
        <v>585</v>
      </c>
      <c r="F493" t="s">
        <v>29</v>
      </c>
      <c r="G493" t="s">
        <v>106</v>
      </c>
      <c r="H493" t="s">
        <v>338</v>
      </c>
      <c r="I493" s="6" t="s">
        <v>97</v>
      </c>
    </row>
    <row r="494" spans="1:9" hidden="1" x14ac:dyDescent="0.25">
      <c r="A494" s="3">
        <v>46007</v>
      </c>
      <c r="B494">
        <v>2025003390</v>
      </c>
      <c r="C494" t="s">
        <v>325</v>
      </c>
      <c r="D494" s="15">
        <v>7800000</v>
      </c>
      <c r="E494" t="s">
        <v>640</v>
      </c>
      <c r="F494" t="s">
        <v>326</v>
      </c>
      <c r="G494" t="s">
        <v>106</v>
      </c>
      <c r="H494" t="s">
        <v>325</v>
      </c>
      <c r="I494" s="6" t="s">
        <v>97</v>
      </c>
    </row>
    <row r="495" spans="1:9" hidden="1" x14ac:dyDescent="0.25">
      <c r="A495" s="3">
        <v>46007</v>
      </c>
      <c r="B495">
        <v>2025003391</v>
      </c>
      <c r="C495" t="s">
        <v>261</v>
      </c>
      <c r="D495" s="15">
        <v>7800000</v>
      </c>
      <c r="E495" t="s">
        <v>518</v>
      </c>
      <c r="F495" t="s">
        <v>23</v>
      </c>
      <c r="G495" t="s">
        <v>106</v>
      </c>
      <c r="H495" t="s">
        <v>261</v>
      </c>
      <c r="I495" s="6" t="s">
        <v>97</v>
      </c>
    </row>
    <row r="496" spans="1:9" hidden="1" x14ac:dyDescent="0.25">
      <c r="A496" s="3">
        <v>46007</v>
      </c>
      <c r="B496">
        <v>2025003392</v>
      </c>
      <c r="C496" t="s">
        <v>580</v>
      </c>
      <c r="D496" s="15">
        <v>4730000</v>
      </c>
      <c r="E496" t="s">
        <v>581</v>
      </c>
      <c r="F496" t="s">
        <v>100</v>
      </c>
      <c r="G496" t="s">
        <v>106</v>
      </c>
      <c r="H496" t="s">
        <v>580</v>
      </c>
      <c r="I496" s="6" t="s">
        <v>97</v>
      </c>
    </row>
    <row r="497" spans="1:9" hidden="1" x14ac:dyDescent="0.25">
      <c r="A497" s="3">
        <v>46007</v>
      </c>
      <c r="B497">
        <v>2025003393</v>
      </c>
      <c r="C497" t="s">
        <v>524</v>
      </c>
      <c r="D497" s="15">
        <v>2000000</v>
      </c>
      <c r="E497" t="s">
        <v>525</v>
      </c>
      <c r="F497" t="s">
        <v>526</v>
      </c>
      <c r="G497" t="s">
        <v>106</v>
      </c>
      <c r="H497" t="s">
        <v>524</v>
      </c>
      <c r="I497" s="6" t="s">
        <v>97</v>
      </c>
    </row>
    <row r="498" spans="1:9" hidden="1" x14ac:dyDescent="0.25">
      <c r="A498" s="3">
        <v>46007</v>
      </c>
      <c r="B498">
        <v>2025003394</v>
      </c>
      <c r="C498" t="s">
        <v>534</v>
      </c>
      <c r="D498" s="15">
        <v>2000000</v>
      </c>
      <c r="E498" t="s">
        <v>535</v>
      </c>
      <c r="F498" t="s">
        <v>536</v>
      </c>
      <c r="G498" t="s">
        <v>106</v>
      </c>
      <c r="H498" t="s">
        <v>534</v>
      </c>
      <c r="I498" s="6" t="s">
        <v>97</v>
      </c>
    </row>
    <row r="499" spans="1:9" hidden="1" x14ac:dyDescent="0.25">
      <c r="A499" s="3">
        <v>46007</v>
      </c>
      <c r="B499">
        <v>2025003395</v>
      </c>
      <c r="C499" t="s">
        <v>267</v>
      </c>
      <c r="D499" s="15">
        <v>3150000</v>
      </c>
      <c r="E499" t="s">
        <v>656</v>
      </c>
      <c r="F499" t="s">
        <v>41</v>
      </c>
      <c r="G499" t="s">
        <v>106</v>
      </c>
      <c r="H499" t="s">
        <v>267</v>
      </c>
      <c r="I499" s="6" t="s">
        <v>97</v>
      </c>
    </row>
    <row r="500" spans="1:9" hidden="1" x14ac:dyDescent="0.25">
      <c r="A500" s="3">
        <v>46007</v>
      </c>
      <c r="B500">
        <v>2025003396</v>
      </c>
      <c r="C500" t="s">
        <v>359</v>
      </c>
      <c r="D500" s="15">
        <v>4730000</v>
      </c>
      <c r="E500" t="s">
        <v>360</v>
      </c>
      <c r="F500" t="s">
        <v>99</v>
      </c>
      <c r="G500" t="s">
        <v>106</v>
      </c>
      <c r="H500" t="s">
        <v>359</v>
      </c>
      <c r="I500" s="6" t="s">
        <v>97</v>
      </c>
    </row>
    <row r="501" spans="1:9" hidden="1" x14ac:dyDescent="0.25">
      <c r="A501" s="3">
        <v>46007</v>
      </c>
      <c r="B501">
        <v>2025003397</v>
      </c>
      <c r="C501" t="s">
        <v>587</v>
      </c>
      <c r="D501" s="15">
        <v>4730000</v>
      </c>
      <c r="E501" t="s">
        <v>588</v>
      </c>
      <c r="F501" t="s">
        <v>589</v>
      </c>
      <c r="G501" t="s">
        <v>106</v>
      </c>
      <c r="H501" t="s">
        <v>587</v>
      </c>
      <c r="I501" s="6" t="s">
        <v>97</v>
      </c>
    </row>
    <row r="502" spans="1:9" hidden="1" x14ac:dyDescent="0.25">
      <c r="A502" s="3">
        <v>46007</v>
      </c>
      <c r="B502">
        <v>2025003398</v>
      </c>
      <c r="C502" t="s">
        <v>520</v>
      </c>
      <c r="D502" s="15">
        <v>7800000</v>
      </c>
      <c r="E502" t="s">
        <v>521</v>
      </c>
      <c r="F502" t="s">
        <v>522</v>
      </c>
      <c r="G502" t="s">
        <v>106</v>
      </c>
      <c r="H502" t="s">
        <v>520</v>
      </c>
      <c r="I502" s="6" t="s">
        <v>97</v>
      </c>
    </row>
    <row r="503" spans="1:9" hidden="1" x14ac:dyDescent="0.25">
      <c r="A503" s="3">
        <v>46007</v>
      </c>
      <c r="B503">
        <v>2025003399</v>
      </c>
      <c r="C503" t="s">
        <v>569</v>
      </c>
      <c r="D503" s="15">
        <v>3150000</v>
      </c>
      <c r="E503" t="s">
        <v>570</v>
      </c>
      <c r="F503" t="s">
        <v>571</v>
      </c>
      <c r="G503" t="s">
        <v>106</v>
      </c>
      <c r="H503" t="s">
        <v>569</v>
      </c>
      <c r="I503" s="6" t="s">
        <v>97</v>
      </c>
    </row>
    <row r="504" spans="1:9" hidden="1" x14ac:dyDescent="0.25">
      <c r="A504" s="3">
        <v>46007</v>
      </c>
      <c r="B504">
        <v>2025003400</v>
      </c>
      <c r="C504" t="s">
        <v>770</v>
      </c>
      <c r="D504" s="15">
        <v>7800000</v>
      </c>
      <c r="E504" t="s">
        <v>771</v>
      </c>
      <c r="F504" t="s">
        <v>772</v>
      </c>
      <c r="G504" t="s">
        <v>106</v>
      </c>
      <c r="H504" t="s">
        <v>770</v>
      </c>
      <c r="I504" s="6" t="s">
        <v>97</v>
      </c>
    </row>
    <row r="505" spans="1:9" hidden="1" x14ac:dyDescent="0.25">
      <c r="A505" s="3">
        <v>46007</v>
      </c>
      <c r="B505">
        <v>2025003401</v>
      </c>
      <c r="C505" t="s">
        <v>527</v>
      </c>
      <c r="D505" s="15">
        <v>3150000</v>
      </c>
      <c r="E505" t="s">
        <v>528</v>
      </c>
      <c r="F505" t="s">
        <v>529</v>
      </c>
      <c r="G505" t="s">
        <v>106</v>
      </c>
      <c r="H505" t="s">
        <v>527</v>
      </c>
      <c r="I505" s="6" t="s">
        <v>97</v>
      </c>
    </row>
    <row r="506" spans="1:9" hidden="1" x14ac:dyDescent="0.25">
      <c r="A506" s="3">
        <v>46007</v>
      </c>
      <c r="B506">
        <v>2025003402</v>
      </c>
      <c r="C506" t="s">
        <v>773</v>
      </c>
      <c r="D506" s="15">
        <v>3150000</v>
      </c>
      <c r="E506" t="s">
        <v>774</v>
      </c>
      <c r="F506" t="s">
        <v>84</v>
      </c>
      <c r="G506" t="s">
        <v>106</v>
      </c>
      <c r="H506" t="s">
        <v>773</v>
      </c>
      <c r="I506" s="6" t="s">
        <v>97</v>
      </c>
    </row>
    <row r="507" spans="1:9" hidden="1" x14ac:dyDescent="0.25">
      <c r="A507" s="3">
        <v>46007</v>
      </c>
      <c r="B507">
        <v>2025003403</v>
      </c>
      <c r="C507" t="s">
        <v>336</v>
      </c>
      <c r="D507" s="15">
        <v>4730000</v>
      </c>
      <c r="E507" t="s">
        <v>579</v>
      </c>
      <c r="F507" t="s">
        <v>38</v>
      </c>
      <c r="G507" t="s">
        <v>106</v>
      </c>
      <c r="H507" t="s">
        <v>336</v>
      </c>
      <c r="I507" s="6" t="s">
        <v>97</v>
      </c>
    </row>
    <row r="508" spans="1:9" hidden="1" x14ac:dyDescent="0.25">
      <c r="A508" s="3">
        <v>46007</v>
      </c>
      <c r="B508">
        <v>2025003404</v>
      </c>
      <c r="C508" t="s">
        <v>140</v>
      </c>
      <c r="D508" s="15">
        <v>6300000</v>
      </c>
      <c r="E508" t="s">
        <v>582</v>
      </c>
      <c r="F508" t="s">
        <v>62</v>
      </c>
      <c r="G508" t="s">
        <v>106</v>
      </c>
      <c r="H508" t="s">
        <v>140</v>
      </c>
      <c r="I508" s="6" t="s">
        <v>97</v>
      </c>
    </row>
    <row r="509" spans="1:9" hidden="1" x14ac:dyDescent="0.25">
      <c r="A509" s="3">
        <v>46007</v>
      </c>
      <c r="B509">
        <v>2025003405</v>
      </c>
      <c r="C509" t="s">
        <v>141</v>
      </c>
      <c r="D509" s="15">
        <v>6300000</v>
      </c>
      <c r="E509" t="s">
        <v>623</v>
      </c>
      <c r="F509" t="s">
        <v>142</v>
      </c>
      <c r="G509" t="s">
        <v>106</v>
      </c>
      <c r="H509" t="s">
        <v>141</v>
      </c>
      <c r="I509" s="6" t="s">
        <v>97</v>
      </c>
    </row>
    <row r="510" spans="1:9" hidden="1" x14ac:dyDescent="0.25">
      <c r="A510" s="3">
        <v>46007</v>
      </c>
      <c r="B510">
        <v>2025003406</v>
      </c>
      <c r="C510" t="s">
        <v>775</v>
      </c>
      <c r="D510" s="15">
        <v>3150000</v>
      </c>
      <c r="E510" t="s">
        <v>776</v>
      </c>
      <c r="F510" t="s">
        <v>89</v>
      </c>
      <c r="G510" t="s">
        <v>106</v>
      </c>
      <c r="H510" t="s">
        <v>775</v>
      </c>
      <c r="I510" s="6" t="s">
        <v>97</v>
      </c>
    </row>
    <row r="511" spans="1:9" hidden="1" x14ac:dyDescent="0.25">
      <c r="A511" s="3">
        <v>46007</v>
      </c>
      <c r="B511">
        <v>2025003407</v>
      </c>
      <c r="C511" t="s">
        <v>657</v>
      </c>
      <c r="D511" s="15">
        <v>2000000</v>
      </c>
      <c r="E511" t="s">
        <v>658</v>
      </c>
      <c r="F511" t="s">
        <v>659</v>
      </c>
      <c r="G511" t="s">
        <v>106</v>
      </c>
      <c r="H511" t="s">
        <v>657</v>
      </c>
      <c r="I511" s="6" t="s">
        <v>97</v>
      </c>
    </row>
    <row r="512" spans="1:9" hidden="1" x14ac:dyDescent="0.25">
      <c r="A512" s="3">
        <v>46007</v>
      </c>
      <c r="B512">
        <v>2025003408</v>
      </c>
      <c r="C512" s="6" t="s">
        <v>638</v>
      </c>
      <c r="D512" s="15">
        <v>3150000</v>
      </c>
      <c r="E512" t="s">
        <v>639</v>
      </c>
      <c r="F512" t="s">
        <v>85</v>
      </c>
      <c r="G512" t="s">
        <v>106</v>
      </c>
      <c r="H512" s="6" t="s">
        <v>638</v>
      </c>
      <c r="I512" s="6" t="s">
        <v>97</v>
      </c>
    </row>
    <row r="513" spans="1:9" hidden="1" x14ac:dyDescent="0.25">
      <c r="A513" s="3">
        <v>46007</v>
      </c>
      <c r="B513">
        <v>2025003409</v>
      </c>
      <c r="C513" t="s">
        <v>516</v>
      </c>
      <c r="D513" s="15">
        <v>2000000</v>
      </c>
      <c r="E513" t="s">
        <v>517</v>
      </c>
      <c r="F513" t="s">
        <v>37</v>
      </c>
      <c r="G513" t="s">
        <v>106</v>
      </c>
      <c r="H513" t="s">
        <v>516</v>
      </c>
      <c r="I513" s="6" t="s">
        <v>97</v>
      </c>
    </row>
    <row r="514" spans="1:9" hidden="1" x14ac:dyDescent="0.25">
      <c r="A514" s="3">
        <v>46007</v>
      </c>
      <c r="B514">
        <v>2025003410</v>
      </c>
      <c r="C514" t="s">
        <v>327</v>
      </c>
      <c r="D514" s="15">
        <v>3150000</v>
      </c>
      <c r="E514" t="s">
        <v>564</v>
      </c>
      <c r="F514" t="s">
        <v>328</v>
      </c>
      <c r="G514" t="s">
        <v>106</v>
      </c>
      <c r="H514" t="s">
        <v>327</v>
      </c>
      <c r="I514" s="6" t="s">
        <v>97</v>
      </c>
    </row>
    <row r="515" spans="1:9" hidden="1" x14ac:dyDescent="0.25">
      <c r="A515" s="3">
        <v>46007</v>
      </c>
      <c r="B515">
        <v>2025003411</v>
      </c>
      <c r="C515" t="s">
        <v>572</v>
      </c>
      <c r="D515" s="15">
        <v>4730000</v>
      </c>
      <c r="E515" t="s">
        <v>573</v>
      </c>
      <c r="F515" t="s">
        <v>574</v>
      </c>
      <c r="G515" t="s">
        <v>106</v>
      </c>
      <c r="H515" t="s">
        <v>572</v>
      </c>
      <c r="I515" s="6" t="s">
        <v>97</v>
      </c>
    </row>
    <row r="516" spans="1:9" hidden="1" x14ac:dyDescent="0.25">
      <c r="A516" s="3">
        <v>46007</v>
      </c>
      <c r="B516">
        <v>2025003412</v>
      </c>
      <c r="C516" t="s">
        <v>613</v>
      </c>
      <c r="D516" s="15">
        <v>3150000</v>
      </c>
      <c r="E516" t="s">
        <v>614</v>
      </c>
      <c r="F516" t="s">
        <v>615</v>
      </c>
      <c r="G516" t="s">
        <v>106</v>
      </c>
      <c r="H516" t="s">
        <v>613</v>
      </c>
      <c r="I516" s="6" t="s">
        <v>97</v>
      </c>
    </row>
    <row r="517" spans="1:9" hidden="1" x14ac:dyDescent="0.25">
      <c r="A517" s="3">
        <v>46007</v>
      </c>
      <c r="B517">
        <v>2025003413</v>
      </c>
      <c r="C517" t="s">
        <v>777</v>
      </c>
      <c r="D517" s="15">
        <v>3150000</v>
      </c>
      <c r="E517" t="s">
        <v>778</v>
      </c>
      <c r="F517" t="s">
        <v>779</v>
      </c>
      <c r="G517" t="s">
        <v>106</v>
      </c>
      <c r="H517" t="s">
        <v>777</v>
      </c>
      <c r="I517" s="6" t="s">
        <v>97</v>
      </c>
    </row>
    <row r="518" spans="1:9" hidden="1" x14ac:dyDescent="0.25">
      <c r="A518" s="3">
        <v>46007</v>
      </c>
      <c r="B518">
        <v>2025003414</v>
      </c>
      <c r="C518" t="s">
        <v>333</v>
      </c>
      <c r="D518" s="15">
        <v>3150000</v>
      </c>
      <c r="E518" t="s">
        <v>641</v>
      </c>
      <c r="F518" t="s">
        <v>14</v>
      </c>
      <c r="G518" t="s">
        <v>106</v>
      </c>
      <c r="H518" t="s">
        <v>333</v>
      </c>
      <c r="I518" s="6" t="s">
        <v>97</v>
      </c>
    </row>
    <row r="519" spans="1:9" hidden="1" x14ac:dyDescent="0.25">
      <c r="A519" s="3">
        <v>46007</v>
      </c>
      <c r="B519">
        <v>2025003415</v>
      </c>
      <c r="C519" t="s">
        <v>780</v>
      </c>
      <c r="D519" s="15">
        <v>1575000</v>
      </c>
      <c r="E519" t="s">
        <v>781</v>
      </c>
      <c r="F519" t="s">
        <v>782</v>
      </c>
      <c r="G519" t="s">
        <v>106</v>
      </c>
      <c r="H519" t="s">
        <v>780</v>
      </c>
      <c r="I519" s="6" t="s">
        <v>97</v>
      </c>
    </row>
    <row r="520" spans="1:9" hidden="1" x14ac:dyDescent="0.25">
      <c r="A520" s="3">
        <v>46007</v>
      </c>
      <c r="B520">
        <v>2025003416</v>
      </c>
      <c r="C520" t="s">
        <v>264</v>
      </c>
      <c r="D520" s="15">
        <v>7800000</v>
      </c>
      <c r="E520" t="s">
        <v>523</v>
      </c>
      <c r="F520" t="s">
        <v>57</v>
      </c>
      <c r="G520" t="s">
        <v>106</v>
      </c>
      <c r="H520" t="s">
        <v>264</v>
      </c>
      <c r="I520" s="6" t="s">
        <v>97</v>
      </c>
    </row>
    <row r="521" spans="1:9" hidden="1" x14ac:dyDescent="0.25">
      <c r="A521" s="3">
        <v>46007</v>
      </c>
      <c r="B521">
        <v>2025003417</v>
      </c>
      <c r="C521" t="s">
        <v>783</v>
      </c>
      <c r="D521" s="15">
        <v>3150000</v>
      </c>
      <c r="E521" t="s">
        <v>784</v>
      </c>
      <c r="F521" t="s">
        <v>785</v>
      </c>
      <c r="G521" t="s">
        <v>106</v>
      </c>
      <c r="H521" t="s">
        <v>783</v>
      </c>
      <c r="I521" s="6" t="s">
        <v>97</v>
      </c>
    </row>
    <row r="522" spans="1:9" hidden="1" x14ac:dyDescent="0.25">
      <c r="A522" s="3">
        <v>46007</v>
      </c>
      <c r="B522">
        <v>2025003418</v>
      </c>
      <c r="C522" t="s">
        <v>643</v>
      </c>
      <c r="D522" s="15">
        <v>2000000</v>
      </c>
      <c r="E522" t="s">
        <v>644</v>
      </c>
      <c r="F522" t="s">
        <v>645</v>
      </c>
      <c r="G522" t="s">
        <v>106</v>
      </c>
      <c r="H522" t="s">
        <v>643</v>
      </c>
      <c r="I522" s="6" t="s">
        <v>97</v>
      </c>
    </row>
    <row r="523" spans="1:9" hidden="1" x14ac:dyDescent="0.25">
      <c r="A523" s="3">
        <v>46007</v>
      </c>
      <c r="B523">
        <v>2025003419</v>
      </c>
      <c r="C523" t="s">
        <v>786</v>
      </c>
      <c r="D523" s="15">
        <v>3150000</v>
      </c>
      <c r="E523" t="s">
        <v>787</v>
      </c>
      <c r="F523" t="s">
        <v>788</v>
      </c>
      <c r="G523" t="s">
        <v>106</v>
      </c>
      <c r="H523" t="s">
        <v>786</v>
      </c>
      <c r="I523" s="6" t="s">
        <v>97</v>
      </c>
    </row>
    <row r="524" spans="1:9" hidden="1" x14ac:dyDescent="0.25">
      <c r="A524" s="3">
        <v>46007</v>
      </c>
      <c r="B524">
        <v>2025003420</v>
      </c>
      <c r="C524" t="s">
        <v>135</v>
      </c>
      <c r="D524" s="15">
        <v>6300000</v>
      </c>
      <c r="E524" t="s">
        <v>515</v>
      </c>
      <c r="F524" t="s">
        <v>789</v>
      </c>
      <c r="G524" t="s">
        <v>106</v>
      </c>
      <c r="H524" t="s">
        <v>135</v>
      </c>
      <c r="I524" s="6" t="s">
        <v>97</v>
      </c>
    </row>
    <row r="525" spans="1:9" hidden="1" x14ac:dyDescent="0.25">
      <c r="A525" s="3">
        <v>46007</v>
      </c>
      <c r="B525">
        <v>2025003421</v>
      </c>
      <c r="C525" t="s">
        <v>331</v>
      </c>
      <c r="D525" s="15">
        <v>3150000</v>
      </c>
      <c r="E525" t="s">
        <v>532</v>
      </c>
      <c r="F525" t="s">
        <v>332</v>
      </c>
      <c r="G525" t="s">
        <v>106</v>
      </c>
      <c r="H525" t="s">
        <v>331</v>
      </c>
      <c r="I525" s="6" t="s">
        <v>97</v>
      </c>
    </row>
    <row r="526" spans="1:9" hidden="1" x14ac:dyDescent="0.25">
      <c r="A526" s="3">
        <v>46007</v>
      </c>
      <c r="B526">
        <v>2025003422</v>
      </c>
      <c r="C526" t="s">
        <v>335</v>
      </c>
      <c r="D526" s="15">
        <v>2240000</v>
      </c>
      <c r="E526" t="s">
        <v>624</v>
      </c>
      <c r="F526" t="s">
        <v>52</v>
      </c>
      <c r="G526" t="s">
        <v>106</v>
      </c>
      <c r="H526" t="s">
        <v>335</v>
      </c>
      <c r="I526" s="6" t="s">
        <v>97</v>
      </c>
    </row>
    <row r="527" spans="1:9" hidden="1" x14ac:dyDescent="0.25">
      <c r="A527" s="3">
        <v>46007</v>
      </c>
      <c r="B527">
        <v>2025003423</v>
      </c>
      <c r="C527" t="s">
        <v>130</v>
      </c>
      <c r="D527" s="15">
        <v>3150000</v>
      </c>
      <c r="E527" t="s">
        <v>586</v>
      </c>
      <c r="F527" t="s">
        <v>30</v>
      </c>
      <c r="G527" t="s">
        <v>106</v>
      </c>
      <c r="H527" t="s">
        <v>130</v>
      </c>
      <c r="I527" s="6" t="s">
        <v>97</v>
      </c>
    </row>
    <row r="528" spans="1:9" hidden="1" x14ac:dyDescent="0.25">
      <c r="A528" s="3">
        <v>46007</v>
      </c>
      <c r="B528">
        <v>2025003425</v>
      </c>
      <c r="C528" t="s">
        <v>790</v>
      </c>
      <c r="D528" s="15">
        <v>3150000</v>
      </c>
      <c r="E528" t="s">
        <v>791</v>
      </c>
      <c r="F528" t="s">
        <v>92</v>
      </c>
      <c r="G528" t="s">
        <v>106</v>
      </c>
      <c r="H528" t="s">
        <v>790</v>
      </c>
      <c r="I528" s="6" t="s">
        <v>97</v>
      </c>
    </row>
    <row r="529" spans="1:9" hidden="1" x14ac:dyDescent="0.25">
      <c r="A529" s="3">
        <v>46007</v>
      </c>
      <c r="B529">
        <v>2025003437</v>
      </c>
      <c r="C529" t="s">
        <v>792</v>
      </c>
      <c r="D529" s="15">
        <v>3150000</v>
      </c>
      <c r="E529" t="s">
        <v>793</v>
      </c>
      <c r="F529" t="s">
        <v>69</v>
      </c>
      <c r="G529" t="s">
        <v>106</v>
      </c>
      <c r="H529" t="s">
        <v>792</v>
      </c>
      <c r="I529" s="6" t="s">
        <v>97</v>
      </c>
    </row>
    <row r="530" spans="1:9" hidden="1" x14ac:dyDescent="0.25">
      <c r="A530" s="3">
        <v>46007</v>
      </c>
      <c r="B530">
        <v>2025003442</v>
      </c>
      <c r="C530" t="s">
        <v>153</v>
      </c>
      <c r="D530" s="15">
        <v>3150000</v>
      </c>
      <c r="E530" t="s">
        <v>472</v>
      </c>
      <c r="F530" t="s">
        <v>53</v>
      </c>
      <c r="G530" t="s">
        <v>106</v>
      </c>
      <c r="H530" t="s">
        <v>153</v>
      </c>
      <c r="I530" s="6" t="s">
        <v>97</v>
      </c>
    </row>
    <row r="531" spans="1:9" hidden="1" x14ac:dyDescent="0.25">
      <c r="A531" s="3">
        <v>46008</v>
      </c>
      <c r="B531">
        <v>2025003446</v>
      </c>
      <c r="C531" t="s">
        <v>334</v>
      </c>
      <c r="D531" s="15">
        <v>3150000</v>
      </c>
      <c r="E531" t="s">
        <v>537</v>
      </c>
      <c r="F531" t="s">
        <v>19</v>
      </c>
      <c r="G531" t="s">
        <v>106</v>
      </c>
      <c r="H531" t="s">
        <v>334</v>
      </c>
      <c r="I531" s="6" t="s">
        <v>97</v>
      </c>
    </row>
    <row r="532" spans="1:9" hidden="1" x14ac:dyDescent="0.25">
      <c r="A532" s="3">
        <v>46008</v>
      </c>
      <c r="B532">
        <v>2025003447</v>
      </c>
      <c r="C532" t="s">
        <v>794</v>
      </c>
      <c r="D532" s="15">
        <v>7800000</v>
      </c>
      <c r="E532" t="s">
        <v>795</v>
      </c>
      <c r="F532" t="s">
        <v>796</v>
      </c>
      <c r="G532" t="s">
        <v>106</v>
      </c>
      <c r="H532" t="s">
        <v>794</v>
      </c>
      <c r="I532" s="6" t="s">
        <v>97</v>
      </c>
    </row>
    <row r="533" spans="1:9" hidden="1" x14ac:dyDescent="0.25">
      <c r="A533" s="3">
        <v>46008</v>
      </c>
      <c r="B533">
        <v>2025003449</v>
      </c>
      <c r="C533" t="s">
        <v>797</v>
      </c>
      <c r="D533" s="15">
        <v>3150000</v>
      </c>
      <c r="E533" t="s">
        <v>798</v>
      </c>
      <c r="F533" t="s">
        <v>799</v>
      </c>
      <c r="G533" t="s">
        <v>106</v>
      </c>
      <c r="H533" t="s">
        <v>797</v>
      </c>
      <c r="I533" s="6" t="s">
        <v>97</v>
      </c>
    </row>
    <row r="534" spans="1:9" hidden="1" x14ac:dyDescent="0.25">
      <c r="A534" s="3">
        <v>46008</v>
      </c>
      <c r="B534">
        <v>2025003450</v>
      </c>
      <c r="C534" t="s">
        <v>299</v>
      </c>
      <c r="D534" s="15">
        <v>6300000</v>
      </c>
      <c r="E534" t="s">
        <v>443</v>
      </c>
      <c r="F534" t="s">
        <v>300</v>
      </c>
      <c r="G534" t="s">
        <v>106</v>
      </c>
      <c r="H534" t="s">
        <v>299</v>
      </c>
      <c r="I534" s="6" t="s">
        <v>97</v>
      </c>
    </row>
    <row r="535" spans="1:9" hidden="1" x14ac:dyDescent="0.25">
      <c r="A535" s="3">
        <v>46008</v>
      </c>
      <c r="B535">
        <v>2025003451</v>
      </c>
      <c r="C535" t="s">
        <v>259</v>
      </c>
      <c r="D535" s="15">
        <v>6300000</v>
      </c>
      <c r="E535" t="s">
        <v>538</v>
      </c>
      <c r="F535" t="s">
        <v>260</v>
      </c>
      <c r="G535" t="s">
        <v>106</v>
      </c>
      <c r="H535" t="s">
        <v>259</v>
      </c>
      <c r="I535" s="6" t="s">
        <v>97</v>
      </c>
    </row>
    <row r="536" spans="1:9" hidden="1" x14ac:dyDescent="0.25">
      <c r="A536" s="3">
        <v>46008</v>
      </c>
      <c r="B536">
        <v>2025003452</v>
      </c>
      <c r="C536" t="s">
        <v>800</v>
      </c>
      <c r="D536" s="15">
        <v>7800000</v>
      </c>
      <c r="E536" t="s">
        <v>801</v>
      </c>
      <c r="F536" t="s">
        <v>802</v>
      </c>
      <c r="G536" t="s">
        <v>106</v>
      </c>
      <c r="H536" t="s">
        <v>800</v>
      </c>
      <c r="I536" s="6" t="s">
        <v>97</v>
      </c>
    </row>
    <row r="537" spans="1:9" hidden="1" x14ac:dyDescent="0.25">
      <c r="A537" s="3">
        <v>46008</v>
      </c>
      <c r="B537">
        <v>2025003453</v>
      </c>
      <c r="C537" t="s">
        <v>803</v>
      </c>
      <c r="D537" s="15">
        <v>2000000</v>
      </c>
      <c r="E537" t="s">
        <v>804</v>
      </c>
      <c r="F537" t="s">
        <v>88</v>
      </c>
      <c r="G537" t="s">
        <v>106</v>
      </c>
      <c r="H537" t="s">
        <v>803</v>
      </c>
      <c r="I537" s="6" t="s">
        <v>97</v>
      </c>
    </row>
    <row r="538" spans="1:9" hidden="1" x14ac:dyDescent="0.25">
      <c r="A538" s="3">
        <v>46008</v>
      </c>
      <c r="B538">
        <v>2025003454</v>
      </c>
      <c r="C538" t="s">
        <v>650</v>
      </c>
      <c r="D538" s="15">
        <v>2000000</v>
      </c>
      <c r="E538" t="s">
        <v>651</v>
      </c>
      <c r="F538" t="s">
        <v>652</v>
      </c>
      <c r="G538" t="s">
        <v>106</v>
      </c>
      <c r="H538" t="s">
        <v>650</v>
      </c>
      <c r="I538" s="6" t="s">
        <v>97</v>
      </c>
    </row>
    <row r="539" spans="1:9" hidden="1" x14ac:dyDescent="0.25">
      <c r="A539" s="3">
        <v>46008</v>
      </c>
      <c r="B539">
        <v>2025003455</v>
      </c>
      <c r="C539" t="s">
        <v>805</v>
      </c>
      <c r="D539" s="15">
        <v>1050000</v>
      </c>
      <c r="E539" t="s">
        <v>806</v>
      </c>
      <c r="F539" t="s">
        <v>103</v>
      </c>
      <c r="G539" t="s">
        <v>106</v>
      </c>
      <c r="H539" t="s">
        <v>805</v>
      </c>
      <c r="I539" s="6" t="s">
        <v>97</v>
      </c>
    </row>
    <row r="540" spans="1:9" hidden="1" x14ac:dyDescent="0.25">
      <c r="A540" s="3">
        <v>46008</v>
      </c>
      <c r="B540">
        <v>2025003456</v>
      </c>
      <c r="C540" t="s">
        <v>137</v>
      </c>
      <c r="D540" s="15">
        <v>3150000</v>
      </c>
      <c r="E540" t="s">
        <v>530</v>
      </c>
      <c r="F540" t="s">
        <v>138</v>
      </c>
      <c r="G540" t="s">
        <v>106</v>
      </c>
      <c r="H540" t="s">
        <v>137</v>
      </c>
      <c r="I540" s="6" t="s">
        <v>97</v>
      </c>
    </row>
    <row r="541" spans="1:9" hidden="1" x14ac:dyDescent="0.25">
      <c r="A541" s="3">
        <v>46008</v>
      </c>
      <c r="B541">
        <v>2025003457</v>
      </c>
      <c r="C541" t="s">
        <v>131</v>
      </c>
      <c r="D541" s="15">
        <v>3150000</v>
      </c>
      <c r="E541" t="s">
        <v>531</v>
      </c>
      <c r="F541" t="s">
        <v>132</v>
      </c>
      <c r="G541" t="s">
        <v>106</v>
      </c>
      <c r="H541" t="s">
        <v>131</v>
      </c>
      <c r="I541" s="6" t="s">
        <v>97</v>
      </c>
    </row>
    <row r="542" spans="1:9" hidden="1" x14ac:dyDescent="0.25">
      <c r="A542" s="3">
        <v>46008</v>
      </c>
      <c r="B542">
        <v>2025003458</v>
      </c>
      <c r="C542" t="s">
        <v>807</v>
      </c>
      <c r="D542" s="15">
        <v>3150000</v>
      </c>
      <c r="E542" t="s">
        <v>808</v>
      </c>
      <c r="F542" t="s">
        <v>809</v>
      </c>
      <c r="G542" t="s">
        <v>106</v>
      </c>
      <c r="H542" t="s">
        <v>807</v>
      </c>
      <c r="I542" s="6" t="s">
        <v>97</v>
      </c>
    </row>
    <row r="543" spans="1:9" hidden="1" x14ac:dyDescent="0.25">
      <c r="A543" s="3">
        <v>46008</v>
      </c>
      <c r="B543">
        <v>2025003459</v>
      </c>
      <c r="C543" t="s">
        <v>810</v>
      </c>
      <c r="D543" s="15">
        <v>2000000</v>
      </c>
      <c r="E543" t="s">
        <v>811</v>
      </c>
      <c r="F543" t="s">
        <v>812</v>
      </c>
      <c r="G543" t="s">
        <v>106</v>
      </c>
      <c r="H543" t="s">
        <v>810</v>
      </c>
      <c r="I543" s="6" t="s">
        <v>97</v>
      </c>
    </row>
    <row r="544" spans="1:9" hidden="1" x14ac:dyDescent="0.25">
      <c r="A544" s="3">
        <v>46008</v>
      </c>
      <c r="B544">
        <v>2025003460</v>
      </c>
      <c r="C544" t="s">
        <v>813</v>
      </c>
      <c r="D544" s="15">
        <v>3150000</v>
      </c>
      <c r="E544" t="s">
        <v>814</v>
      </c>
      <c r="F544" t="s">
        <v>815</v>
      </c>
      <c r="G544" t="s">
        <v>106</v>
      </c>
      <c r="H544" t="s">
        <v>813</v>
      </c>
      <c r="I544" s="6" t="s">
        <v>97</v>
      </c>
    </row>
    <row r="545" spans="1:9" hidden="1" x14ac:dyDescent="0.25">
      <c r="A545" s="3">
        <v>46008</v>
      </c>
      <c r="B545">
        <v>2025003461</v>
      </c>
      <c r="C545" t="s">
        <v>816</v>
      </c>
      <c r="D545" s="15">
        <v>1050000</v>
      </c>
      <c r="E545" t="s">
        <v>817</v>
      </c>
      <c r="F545" t="s">
        <v>818</v>
      </c>
      <c r="G545" t="s">
        <v>106</v>
      </c>
      <c r="H545" t="s">
        <v>816</v>
      </c>
      <c r="I545" s="6" t="s">
        <v>97</v>
      </c>
    </row>
    <row r="546" spans="1:9" hidden="1" x14ac:dyDescent="0.25">
      <c r="A546" s="3">
        <v>46008</v>
      </c>
      <c r="B546">
        <v>2025003462</v>
      </c>
      <c r="C546" t="s">
        <v>575</v>
      </c>
      <c r="D546" s="15">
        <v>4730000</v>
      </c>
      <c r="E546" t="s">
        <v>576</v>
      </c>
      <c r="F546" t="s">
        <v>577</v>
      </c>
      <c r="G546" t="s">
        <v>106</v>
      </c>
      <c r="H546" t="s">
        <v>575</v>
      </c>
      <c r="I546" s="6" t="s">
        <v>97</v>
      </c>
    </row>
    <row r="547" spans="1:9" hidden="1" x14ac:dyDescent="0.25">
      <c r="A547" s="3">
        <v>46008</v>
      </c>
      <c r="B547">
        <v>2025003463</v>
      </c>
      <c r="C547" t="s">
        <v>819</v>
      </c>
      <c r="D547" s="15">
        <v>3150000</v>
      </c>
      <c r="E547" t="s">
        <v>820</v>
      </c>
      <c r="F547" t="s">
        <v>102</v>
      </c>
      <c r="G547" t="s">
        <v>106</v>
      </c>
      <c r="H547" t="s">
        <v>819</v>
      </c>
      <c r="I547" s="6" t="s">
        <v>97</v>
      </c>
    </row>
    <row r="548" spans="1:9" hidden="1" x14ac:dyDescent="0.25">
      <c r="A548" s="3">
        <v>46008</v>
      </c>
      <c r="B548">
        <v>2025003464</v>
      </c>
      <c r="C548" t="s">
        <v>653</v>
      </c>
      <c r="D548" s="15">
        <v>2000000</v>
      </c>
      <c r="E548" t="s">
        <v>654</v>
      </c>
      <c r="F548" t="s">
        <v>655</v>
      </c>
      <c r="G548" t="s">
        <v>106</v>
      </c>
      <c r="H548" t="s">
        <v>653</v>
      </c>
      <c r="I548" s="6" t="s">
        <v>97</v>
      </c>
    </row>
    <row r="549" spans="1:9" hidden="1" x14ac:dyDescent="0.25">
      <c r="A549" s="3">
        <v>46008</v>
      </c>
      <c r="B549">
        <v>2025003465</v>
      </c>
      <c r="C549" t="s">
        <v>266</v>
      </c>
      <c r="D549" s="15">
        <v>4730000</v>
      </c>
      <c r="E549" t="s">
        <v>578</v>
      </c>
      <c r="F549" t="s">
        <v>18</v>
      </c>
      <c r="G549" t="s">
        <v>106</v>
      </c>
      <c r="H549" t="s">
        <v>266</v>
      </c>
      <c r="I549" s="6" t="s">
        <v>97</v>
      </c>
    </row>
    <row r="550" spans="1:9" hidden="1" x14ac:dyDescent="0.25">
      <c r="A550" s="3">
        <v>46008</v>
      </c>
      <c r="B550">
        <v>2025003466</v>
      </c>
      <c r="C550" t="s">
        <v>337</v>
      </c>
      <c r="D550" s="15">
        <v>4730000</v>
      </c>
      <c r="E550" t="s">
        <v>642</v>
      </c>
      <c r="F550" t="s">
        <v>7</v>
      </c>
      <c r="G550" t="s">
        <v>106</v>
      </c>
      <c r="H550" t="s">
        <v>337</v>
      </c>
      <c r="I550" s="6" t="s">
        <v>97</v>
      </c>
    </row>
    <row r="551" spans="1:9" hidden="1" x14ac:dyDescent="0.25">
      <c r="A551" s="3">
        <v>46008</v>
      </c>
      <c r="B551">
        <v>2025003467</v>
      </c>
      <c r="C551" t="s">
        <v>821</v>
      </c>
      <c r="D551" s="15">
        <v>3150000</v>
      </c>
      <c r="E551" t="s">
        <v>822</v>
      </c>
      <c r="F551" t="s">
        <v>823</v>
      </c>
      <c r="G551" t="s">
        <v>106</v>
      </c>
      <c r="H551" t="s">
        <v>821</v>
      </c>
      <c r="I551" s="6" t="s">
        <v>97</v>
      </c>
    </row>
    <row r="552" spans="1:9" hidden="1" x14ac:dyDescent="0.25">
      <c r="A552" s="3">
        <v>46008</v>
      </c>
      <c r="B552">
        <v>2025003468</v>
      </c>
      <c r="C552" t="s">
        <v>329</v>
      </c>
      <c r="D552" s="15">
        <v>3150000</v>
      </c>
      <c r="E552" t="s">
        <v>563</v>
      </c>
      <c r="F552" t="s">
        <v>330</v>
      </c>
      <c r="G552" t="s">
        <v>106</v>
      </c>
      <c r="H552" t="s">
        <v>329</v>
      </c>
      <c r="I552" s="6" t="s">
        <v>97</v>
      </c>
    </row>
    <row r="553" spans="1:9" hidden="1" x14ac:dyDescent="0.25">
      <c r="A553" s="3">
        <v>46008</v>
      </c>
      <c r="B553">
        <v>2025003469</v>
      </c>
      <c r="C553" t="s">
        <v>133</v>
      </c>
      <c r="D553" s="15">
        <v>7800000</v>
      </c>
      <c r="E553" t="s">
        <v>584</v>
      </c>
      <c r="F553" t="s">
        <v>134</v>
      </c>
      <c r="G553" t="s">
        <v>106</v>
      </c>
      <c r="H553" t="s">
        <v>133</v>
      </c>
      <c r="I553" s="6" t="s">
        <v>97</v>
      </c>
    </row>
    <row r="554" spans="1:9" hidden="1" x14ac:dyDescent="0.25">
      <c r="A554" s="3">
        <v>46008</v>
      </c>
      <c r="B554">
        <v>2025003470</v>
      </c>
      <c r="C554" t="s">
        <v>269</v>
      </c>
      <c r="D554" s="15">
        <v>7800000</v>
      </c>
      <c r="E554" t="s">
        <v>519</v>
      </c>
      <c r="F554" t="s">
        <v>95</v>
      </c>
      <c r="G554" t="s">
        <v>106</v>
      </c>
      <c r="H554" t="s">
        <v>269</v>
      </c>
      <c r="I554" s="6" t="s">
        <v>97</v>
      </c>
    </row>
    <row r="555" spans="1:9" hidden="1" x14ac:dyDescent="0.25">
      <c r="A555" s="3">
        <v>46008</v>
      </c>
      <c r="B555">
        <v>2025003471</v>
      </c>
      <c r="C555" t="s">
        <v>136</v>
      </c>
      <c r="D555" s="15">
        <v>3150000</v>
      </c>
      <c r="E555" t="s">
        <v>616</v>
      </c>
      <c r="F555" t="s">
        <v>42</v>
      </c>
      <c r="G555" t="s">
        <v>106</v>
      </c>
      <c r="H555" t="s">
        <v>136</v>
      </c>
      <c r="I555" s="6" t="s">
        <v>97</v>
      </c>
    </row>
    <row r="556" spans="1:9" hidden="1" x14ac:dyDescent="0.25">
      <c r="A556" s="3">
        <v>46008</v>
      </c>
      <c r="B556">
        <v>2025003472</v>
      </c>
      <c r="C556" t="s">
        <v>824</v>
      </c>
      <c r="D556" s="15">
        <v>3150000</v>
      </c>
      <c r="E556" t="s">
        <v>825</v>
      </c>
      <c r="F556" t="s">
        <v>826</v>
      </c>
      <c r="G556" t="s">
        <v>106</v>
      </c>
      <c r="H556" t="s">
        <v>824</v>
      </c>
      <c r="I556" s="6" t="s">
        <v>97</v>
      </c>
    </row>
    <row r="557" spans="1:9" hidden="1" x14ac:dyDescent="0.25">
      <c r="A557" s="3">
        <v>46008</v>
      </c>
      <c r="B557">
        <v>2025003473</v>
      </c>
      <c r="C557" t="s">
        <v>827</v>
      </c>
      <c r="D557" s="15">
        <v>2000000</v>
      </c>
      <c r="E557" t="s">
        <v>828</v>
      </c>
      <c r="F557" t="s">
        <v>829</v>
      </c>
      <c r="G557" t="s">
        <v>106</v>
      </c>
      <c r="H557" t="s">
        <v>827</v>
      </c>
      <c r="I557" s="6" t="s">
        <v>97</v>
      </c>
    </row>
    <row r="558" spans="1:9" hidden="1" x14ac:dyDescent="0.25">
      <c r="A558" s="3">
        <v>46008</v>
      </c>
      <c r="B558">
        <v>2025003474</v>
      </c>
      <c r="C558" t="s">
        <v>265</v>
      </c>
      <c r="D558" s="15">
        <v>6300000</v>
      </c>
      <c r="E558" t="s">
        <v>539</v>
      </c>
      <c r="F558" t="s">
        <v>54</v>
      </c>
      <c r="G558" t="s">
        <v>106</v>
      </c>
      <c r="H558" t="s">
        <v>265</v>
      </c>
      <c r="I558" s="6" t="s">
        <v>97</v>
      </c>
    </row>
    <row r="559" spans="1:9" hidden="1" x14ac:dyDescent="0.25">
      <c r="A559" s="3">
        <v>46008</v>
      </c>
      <c r="B559">
        <v>2025003475</v>
      </c>
      <c r="C559" t="s">
        <v>830</v>
      </c>
      <c r="D559" s="15">
        <v>2000000</v>
      </c>
      <c r="E559" t="s">
        <v>831</v>
      </c>
      <c r="F559" t="s">
        <v>832</v>
      </c>
      <c r="G559" t="s">
        <v>106</v>
      </c>
      <c r="H559" t="s">
        <v>830</v>
      </c>
      <c r="I559" s="6" t="s">
        <v>97</v>
      </c>
    </row>
    <row r="560" spans="1:9" hidden="1" x14ac:dyDescent="0.25">
      <c r="A560" s="3">
        <v>46008</v>
      </c>
      <c r="B560">
        <v>2025003476</v>
      </c>
      <c r="C560" t="s">
        <v>139</v>
      </c>
      <c r="D560" s="15">
        <v>3150000</v>
      </c>
      <c r="E560" t="s">
        <v>568</v>
      </c>
      <c r="F560" t="s">
        <v>63</v>
      </c>
      <c r="G560" t="s">
        <v>106</v>
      </c>
      <c r="H560" t="s">
        <v>139</v>
      </c>
      <c r="I560" s="6" t="s">
        <v>97</v>
      </c>
    </row>
    <row r="561" spans="1:9" hidden="1" x14ac:dyDescent="0.25">
      <c r="A561" s="3">
        <v>46008</v>
      </c>
      <c r="B561">
        <v>2025003477</v>
      </c>
      <c r="C561" t="s">
        <v>361</v>
      </c>
      <c r="D561" s="15">
        <v>4730000</v>
      </c>
      <c r="E561" t="s">
        <v>362</v>
      </c>
      <c r="F561" t="s">
        <v>363</v>
      </c>
      <c r="G561" t="s">
        <v>106</v>
      </c>
      <c r="H561" t="s">
        <v>361</v>
      </c>
      <c r="I561" s="6" t="s">
        <v>97</v>
      </c>
    </row>
    <row r="562" spans="1:9" hidden="1" x14ac:dyDescent="0.25">
      <c r="A562" s="3">
        <v>46008</v>
      </c>
      <c r="B562">
        <v>2025003479</v>
      </c>
      <c r="C562" t="s">
        <v>833</v>
      </c>
      <c r="D562" s="15">
        <v>1575000</v>
      </c>
      <c r="E562" t="s">
        <v>834</v>
      </c>
      <c r="F562" t="s">
        <v>835</v>
      </c>
      <c r="G562" t="s">
        <v>106</v>
      </c>
      <c r="H562" t="s">
        <v>833</v>
      </c>
      <c r="I562" s="6" t="s">
        <v>97</v>
      </c>
    </row>
    <row r="563" spans="1:9" hidden="1" x14ac:dyDescent="0.25">
      <c r="A563" s="3">
        <v>46008</v>
      </c>
      <c r="B563">
        <v>2025003483</v>
      </c>
      <c r="C563" s="6" t="s">
        <v>836</v>
      </c>
      <c r="D563" s="15">
        <v>265680000</v>
      </c>
      <c r="E563" t="s">
        <v>837</v>
      </c>
      <c r="F563" t="s">
        <v>838</v>
      </c>
      <c r="G563" t="s">
        <v>106</v>
      </c>
      <c r="H563" s="6" t="s">
        <v>836</v>
      </c>
      <c r="I563" s="6" t="s">
        <v>97</v>
      </c>
    </row>
    <row r="564" spans="1:9" hidden="1" x14ac:dyDescent="0.25">
      <c r="A564" s="3">
        <v>46008</v>
      </c>
      <c r="B564">
        <v>2025003484</v>
      </c>
      <c r="C564" t="s">
        <v>839</v>
      </c>
      <c r="D564" s="15">
        <v>144210000</v>
      </c>
      <c r="E564" t="s">
        <v>837</v>
      </c>
      <c r="F564" t="s">
        <v>838</v>
      </c>
      <c r="G564" t="s">
        <v>106</v>
      </c>
      <c r="H564" t="s">
        <v>839</v>
      </c>
      <c r="I564" s="6" t="s">
        <v>97</v>
      </c>
    </row>
    <row r="565" spans="1:9" hidden="1" x14ac:dyDescent="0.25">
      <c r="A565" s="3">
        <v>46008</v>
      </c>
      <c r="B565">
        <v>2025003485</v>
      </c>
      <c r="C565" t="s">
        <v>726</v>
      </c>
      <c r="D565" s="15">
        <v>6300000</v>
      </c>
      <c r="E565" t="s">
        <v>727</v>
      </c>
      <c r="F565" t="s">
        <v>728</v>
      </c>
      <c r="G565" t="s">
        <v>106</v>
      </c>
      <c r="H565" t="s">
        <v>726</v>
      </c>
      <c r="I565" s="6" t="s">
        <v>97</v>
      </c>
    </row>
    <row r="566" spans="1:9" hidden="1" x14ac:dyDescent="0.25">
      <c r="A566" s="3">
        <v>46008</v>
      </c>
      <c r="B566">
        <v>2025003486</v>
      </c>
      <c r="C566" t="s">
        <v>729</v>
      </c>
      <c r="D566" s="15">
        <v>3150000</v>
      </c>
      <c r="E566" t="s">
        <v>730</v>
      </c>
      <c r="F566" t="s">
        <v>731</v>
      </c>
      <c r="G566" t="s">
        <v>106</v>
      </c>
      <c r="H566" t="s">
        <v>729</v>
      </c>
      <c r="I566" s="6" t="s">
        <v>97</v>
      </c>
    </row>
    <row r="567" spans="1:9" hidden="1" x14ac:dyDescent="0.25">
      <c r="A567" s="3">
        <v>46008</v>
      </c>
      <c r="B567">
        <v>2025003487</v>
      </c>
      <c r="C567" t="s">
        <v>685</v>
      </c>
      <c r="D567" s="15">
        <v>2000000</v>
      </c>
      <c r="E567" t="s">
        <v>686</v>
      </c>
      <c r="F567" t="s">
        <v>687</v>
      </c>
      <c r="G567" t="s">
        <v>106</v>
      </c>
      <c r="H567" t="s">
        <v>685</v>
      </c>
      <c r="I567" s="6" t="s">
        <v>97</v>
      </c>
    </row>
    <row r="568" spans="1:9" hidden="1" x14ac:dyDescent="0.25">
      <c r="A568" s="3">
        <v>46008</v>
      </c>
      <c r="B568">
        <v>2025003490</v>
      </c>
      <c r="C568" t="s">
        <v>707</v>
      </c>
      <c r="D568" s="15">
        <v>2000000</v>
      </c>
      <c r="E568" t="s">
        <v>708</v>
      </c>
      <c r="F568" t="s">
        <v>66</v>
      </c>
      <c r="G568" t="s">
        <v>106</v>
      </c>
      <c r="H568" t="s">
        <v>707</v>
      </c>
      <c r="I568" s="6" t="s">
        <v>97</v>
      </c>
    </row>
    <row r="569" spans="1:9" hidden="1" x14ac:dyDescent="0.25">
      <c r="A569" s="3">
        <v>46008</v>
      </c>
      <c r="B569">
        <v>2025003491</v>
      </c>
      <c r="C569" t="s">
        <v>705</v>
      </c>
      <c r="D569" s="15">
        <v>6300000</v>
      </c>
      <c r="E569" t="s">
        <v>706</v>
      </c>
      <c r="F569" t="s">
        <v>81</v>
      </c>
      <c r="G569" t="s">
        <v>106</v>
      </c>
      <c r="H569" t="s">
        <v>705</v>
      </c>
      <c r="I569" s="6" t="s">
        <v>97</v>
      </c>
    </row>
    <row r="570" spans="1:9" hidden="1" x14ac:dyDescent="0.25">
      <c r="A570" s="3">
        <v>46008</v>
      </c>
      <c r="B570">
        <v>2025003492</v>
      </c>
      <c r="C570" t="s">
        <v>702</v>
      </c>
      <c r="D570" s="15">
        <v>4730000</v>
      </c>
      <c r="E570" t="s">
        <v>703</v>
      </c>
      <c r="F570" t="s">
        <v>704</v>
      </c>
      <c r="G570" t="s">
        <v>106</v>
      </c>
      <c r="H570" t="s">
        <v>702</v>
      </c>
      <c r="I570" s="6" t="s">
        <v>97</v>
      </c>
    </row>
    <row r="571" spans="1:9" hidden="1" x14ac:dyDescent="0.25">
      <c r="A571" s="3">
        <v>46008</v>
      </c>
      <c r="B571">
        <v>2025003493</v>
      </c>
      <c r="C571" t="s">
        <v>840</v>
      </c>
      <c r="D571" s="15">
        <v>3150000</v>
      </c>
      <c r="E571" t="s">
        <v>841</v>
      </c>
      <c r="F571" t="s">
        <v>842</v>
      </c>
      <c r="G571" t="s">
        <v>106</v>
      </c>
      <c r="H571" t="s">
        <v>840</v>
      </c>
      <c r="I571" s="6" t="s">
        <v>97</v>
      </c>
    </row>
    <row r="572" spans="1:9" hidden="1" x14ac:dyDescent="0.25">
      <c r="A572" s="3">
        <v>46008</v>
      </c>
      <c r="B572">
        <v>2025003494</v>
      </c>
      <c r="C572" t="s">
        <v>843</v>
      </c>
      <c r="D572" s="15">
        <v>3150000</v>
      </c>
      <c r="E572" t="s">
        <v>844</v>
      </c>
      <c r="F572" t="s">
        <v>79</v>
      </c>
      <c r="G572" t="s">
        <v>106</v>
      </c>
      <c r="H572" t="s">
        <v>843</v>
      </c>
      <c r="I572" s="6" t="s">
        <v>97</v>
      </c>
    </row>
    <row r="573" spans="1:9" hidden="1" x14ac:dyDescent="0.25">
      <c r="A573" s="3">
        <v>46008</v>
      </c>
      <c r="B573">
        <v>2025003495</v>
      </c>
      <c r="C573" t="s">
        <v>845</v>
      </c>
      <c r="D573" s="15">
        <v>3150000</v>
      </c>
      <c r="E573" t="s">
        <v>846</v>
      </c>
      <c r="F573" t="s">
        <v>847</v>
      </c>
      <c r="G573" t="s">
        <v>106</v>
      </c>
      <c r="H573" t="s">
        <v>845</v>
      </c>
      <c r="I573" s="6" t="s">
        <v>97</v>
      </c>
    </row>
    <row r="574" spans="1:9" hidden="1" x14ac:dyDescent="0.25">
      <c r="A574" s="3">
        <v>46008</v>
      </c>
      <c r="B574">
        <v>2025003496</v>
      </c>
      <c r="C574" t="s">
        <v>848</v>
      </c>
      <c r="D574" s="15">
        <v>3150000</v>
      </c>
      <c r="E574" t="s">
        <v>849</v>
      </c>
      <c r="F574" t="s">
        <v>850</v>
      </c>
      <c r="G574" t="s">
        <v>106</v>
      </c>
      <c r="H574" t="s">
        <v>848</v>
      </c>
      <c r="I574" s="6" t="s">
        <v>97</v>
      </c>
    </row>
    <row r="575" spans="1:9" hidden="1" x14ac:dyDescent="0.25">
      <c r="A575" s="3">
        <v>46008</v>
      </c>
      <c r="B575">
        <v>2025003497</v>
      </c>
      <c r="C575" t="s">
        <v>851</v>
      </c>
      <c r="D575" s="15">
        <v>3150000</v>
      </c>
      <c r="E575" t="s">
        <v>852</v>
      </c>
      <c r="F575" t="s">
        <v>853</v>
      </c>
      <c r="G575" t="s">
        <v>106</v>
      </c>
      <c r="H575" t="s">
        <v>851</v>
      </c>
      <c r="I575" s="6" t="s">
        <v>97</v>
      </c>
    </row>
    <row r="576" spans="1:9" hidden="1" x14ac:dyDescent="0.25">
      <c r="A576" s="3">
        <v>46008</v>
      </c>
      <c r="B576">
        <v>2025003498</v>
      </c>
      <c r="C576" t="s">
        <v>467</v>
      </c>
      <c r="D576" s="15">
        <v>6300000</v>
      </c>
      <c r="E576" t="s">
        <v>468</v>
      </c>
      <c r="F576" t="s">
        <v>469</v>
      </c>
      <c r="G576" t="s">
        <v>106</v>
      </c>
      <c r="H576" t="s">
        <v>467</v>
      </c>
      <c r="I576" s="6" t="s">
        <v>97</v>
      </c>
    </row>
    <row r="577" spans="1:9" hidden="1" x14ac:dyDescent="0.25">
      <c r="A577" s="3">
        <v>46008</v>
      </c>
      <c r="B577">
        <v>2025003500</v>
      </c>
      <c r="C577" t="s">
        <v>216</v>
      </c>
      <c r="D577" s="15">
        <v>7800000</v>
      </c>
      <c r="E577" t="s">
        <v>480</v>
      </c>
      <c r="F577" t="s">
        <v>13</v>
      </c>
      <c r="G577" t="s">
        <v>106</v>
      </c>
      <c r="H577" t="s">
        <v>216</v>
      </c>
      <c r="I577" s="6" t="s">
        <v>97</v>
      </c>
    </row>
    <row r="578" spans="1:9" hidden="1" x14ac:dyDescent="0.25">
      <c r="A578" s="3">
        <v>46008</v>
      </c>
      <c r="B578">
        <v>2025003501</v>
      </c>
      <c r="C578" t="s">
        <v>540</v>
      </c>
      <c r="D578" s="15">
        <v>6300000</v>
      </c>
      <c r="E578" t="s">
        <v>541</v>
      </c>
      <c r="F578" t="s">
        <v>73</v>
      </c>
      <c r="G578" t="s">
        <v>106</v>
      </c>
      <c r="H578" t="s">
        <v>540</v>
      </c>
      <c r="I578" s="6" t="s">
        <v>97</v>
      </c>
    </row>
    <row r="579" spans="1:9" hidden="1" x14ac:dyDescent="0.25">
      <c r="A579" s="3">
        <v>46008</v>
      </c>
      <c r="B579">
        <v>2025003502</v>
      </c>
      <c r="C579" t="s">
        <v>551</v>
      </c>
      <c r="D579" s="15">
        <v>7800000</v>
      </c>
      <c r="E579" t="s">
        <v>552</v>
      </c>
      <c r="F579" t="s">
        <v>553</v>
      </c>
      <c r="G579" t="s">
        <v>106</v>
      </c>
      <c r="H579" t="s">
        <v>551</v>
      </c>
      <c r="I579" s="6" t="s">
        <v>97</v>
      </c>
    </row>
    <row r="580" spans="1:9" hidden="1" x14ac:dyDescent="0.25">
      <c r="A580" s="3">
        <v>46008</v>
      </c>
      <c r="B580">
        <v>2025003503</v>
      </c>
      <c r="C580" t="s">
        <v>854</v>
      </c>
      <c r="D580" s="15">
        <v>3150000</v>
      </c>
      <c r="E580" t="s">
        <v>855</v>
      </c>
      <c r="F580" t="s">
        <v>16</v>
      </c>
      <c r="G580" t="s">
        <v>106</v>
      </c>
      <c r="H580" t="s">
        <v>854</v>
      </c>
      <c r="I580" s="6" t="s">
        <v>97</v>
      </c>
    </row>
    <row r="581" spans="1:9" hidden="1" x14ac:dyDescent="0.25">
      <c r="A581" s="3">
        <v>46008</v>
      </c>
      <c r="B581">
        <v>2025003504</v>
      </c>
      <c r="C581" t="s">
        <v>545</v>
      </c>
      <c r="D581" s="15">
        <v>3150000</v>
      </c>
      <c r="E581" t="s">
        <v>546</v>
      </c>
      <c r="F581" t="s">
        <v>547</v>
      </c>
      <c r="G581" t="s">
        <v>106</v>
      </c>
      <c r="H581" t="s">
        <v>545</v>
      </c>
      <c r="I581" s="6" t="s">
        <v>97</v>
      </c>
    </row>
    <row r="582" spans="1:9" hidden="1" x14ac:dyDescent="0.25">
      <c r="A582" s="3">
        <v>46008</v>
      </c>
      <c r="B582">
        <v>2025003505</v>
      </c>
      <c r="C582" t="s">
        <v>856</v>
      </c>
      <c r="D582" s="15">
        <v>3150000</v>
      </c>
      <c r="E582" t="s">
        <v>857</v>
      </c>
      <c r="F582" t="s">
        <v>858</v>
      </c>
      <c r="G582" t="s">
        <v>106</v>
      </c>
      <c r="H582" t="s">
        <v>856</v>
      </c>
      <c r="I582" s="6" t="s">
        <v>97</v>
      </c>
    </row>
    <row r="583" spans="1:9" hidden="1" x14ac:dyDescent="0.25">
      <c r="A583" s="3">
        <v>46008</v>
      </c>
      <c r="B583">
        <v>2025003507</v>
      </c>
      <c r="C583" t="s">
        <v>149</v>
      </c>
      <c r="D583" s="15">
        <v>4200000</v>
      </c>
      <c r="E583" t="s">
        <v>859</v>
      </c>
      <c r="F583" t="s">
        <v>150</v>
      </c>
      <c r="G583" t="s">
        <v>106</v>
      </c>
      <c r="H583" t="s">
        <v>149</v>
      </c>
      <c r="I583" s="6" t="s">
        <v>97</v>
      </c>
    </row>
    <row r="584" spans="1:9" hidden="1" x14ac:dyDescent="0.25">
      <c r="A584" s="3">
        <v>46008</v>
      </c>
      <c r="B584">
        <v>2025003508</v>
      </c>
      <c r="C584" t="s">
        <v>476</v>
      </c>
      <c r="D584" s="15">
        <v>3150000</v>
      </c>
      <c r="E584" t="s">
        <v>477</v>
      </c>
      <c r="F584" t="s">
        <v>478</v>
      </c>
      <c r="G584" t="s">
        <v>106</v>
      </c>
      <c r="H584" t="s">
        <v>476</v>
      </c>
      <c r="I584" s="6" t="s">
        <v>97</v>
      </c>
    </row>
    <row r="585" spans="1:9" hidden="1" x14ac:dyDescent="0.25">
      <c r="A585" s="3">
        <v>46008</v>
      </c>
      <c r="B585">
        <v>2025003509</v>
      </c>
      <c r="C585" t="s">
        <v>750</v>
      </c>
      <c r="D585" s="15">
        <v>3150000</v>
      </c>
      <c r="E585" t="s">
        <v>751</v>
      </c>
      <c r="F585" t="s">
        <v>87</v>
      </c>
      <c r="G585" t="s">
        <v>106</v>
      </c>
      <c r="H585" t="s">
        <v>750</v>
      </c>
      <c r="I585" s="6" t="s">
        <v>97</v>
      </c>
    </row>
    <row r="586" spans="1:9" hidden="1" x14ac:dyDescent="0.25">
      <c r="A586" s="3">
        <v>46008</v>
      </c>
      <c r="B586">
        <v>2025003511</v>
      </c>
      <c r="C586" t="s">
        <v>860</v>
      </c>
      <c r="D586" s="15">
        <v>15600000</v>
      </c>
      <c r="E586" t="s">
        <v>861</v>
      </c>
      <c r="F586" t="s">
        <v>862</v>
      </c>
      <c r="G586" t="s">
        <v>106</v>
      </c>
      <c r="H586" t="s">
        <v>860</v>
      </c>
      <c r="I586" s="6" t="s">
        <v>97</v>
      </c>
    </row>
    <row r="587" spans="1:9" hidden="1" x14ac:dyDescent="0.25">
      <c r="A587" s="3">
        <v>46008</v>
      </c>
      <c r="B587">
        <v>2025003514</v>
      </c>
      <c r="C587" t="s">
        <v>202</v>
      </c>
      <c r="D587" s="15">
        <v>7800000</v>
      </c>
      <c r="E587" t="s">
        <v>405</v>
      </c>
      <c r="F587" t="s">
        <v>61</v>
      </c>
      <c r="G587" t="s">
        <v>106</v>
      </c>
      <c r="H587" t="s">
        <v>202</v>
      </c>
      <c r="I587" s="6" t="s">
        <v>97</v>
      </c>
    </row>
    <row r="588" spans="1:9" hidden="1" x14ac:dyDescent="0.25">
      <c r="A588" s="3">
        <v>46008</v>
      </c>
      <c r="B588">
        <v>2025003516</v>
      </c>
      <c r="C588" t="s">
        <v>233</v>
      </c>
      <c r="D588" s="15">
        <v>3150000</v>
      </c>
      <c r="E588" t="s">
        <v>390</v>
      </c>
      <c r="F588" t="s">
        <v>80</v>
      </c>
      <c r="G588" t="s">
        <v>106</v>
      </c>
      <c r="H588" t="s">
        <v>233</v>
      </c>
      <c r="I588" s="6" t="s">
        <v>97</v>
      </c>
    </row>
    <row r="589" spans="1:9" hidden="1" x14ac:dyDescent="0.25">
      <c r="A589" s="3">
        <v>46008</v>
      </c>
      <c r="B589">
        <v>2025003519</v>
      </c>
      <c r="C589" t="s">
        <v>244</v>
      </c>
      <c r="D589" s="15">
        <v>3150000</v>
      </c>
      <c r="E589" t="s">
        <v>428</v>
      </c>
      <c r="F589" t="s">
        <v>86</v>
      </c>
      <c r="G589" t="s">
        <v>106</v>
      </c>
      <c r="H589" t="s">
        <v>244</v>
      </c>
      <c r="I589" s="6" t="s">
        <v>97</v>
      </c>
    </row>
    <row r="590" spans="1:9" hidden="1" x14ac:dyDescent="0.25">
      <c r="A590" s="3">
        <v>46008</v>
      </c>
      <c r="B590">
        <v>2025003521</v>
      </c>
      <c r="C590" t="s">
        <v>119</v>
      </c>
      <c r="D590" s="15">
        <v>3150000</v>
      </c>
      <c r="E590" t="s">
        <v>447</v>
      </c>
      <c r="F590" t="s">
        <v>40</v>
      </c>
      <c r="G590" t="s">
        <v>106</v>
      </c>
      <c r="H590" t="s">
        <v>119</v>
      </c>
      <c r="I590" s="6" t="s">
        <v>97</v>
      </c>
    </row>
    <row r="591" spans="1:9" hidden="1" x14ac:dyDescent="0.25">
      <c r="A591" s="3">
        <v>46008</v>
      </c>
      <c r="B591">
        <v>2025003523</v>
      </c>
      <c r="C591" t="s">
        <v>236</v>
      </c>
      <c r="D591" s="15">
        <v>3150000</v>
      </c>
      <c r="E591" t="s">
        <v>406</v>
      </c>
      <c r="F591" t="s">
        <v>237</v>
      </c>
      <c r="G591" t="s">
        <v>106</v>
      </c>
      <c r="H591" t="s">
        <v>236</v>
      </c>
      <c r="I591" s="6" t="s">
        <v>97</v>
      </c>
    </row>
    <row r="592" spans="1:9" hidden="1" x14ac:dyDescent="0.25">
      <c r="A592" s="3">
        <v>46008</v>
      </c>
      <c r="B592">
        <v>2025003525</v>
      </c>
      <c r="C592" t="s">
        <v>185</v>
      </c>
      <c r="D592" s="15">
        <v>3150000</v>
      </c>
      <c r="E592" t="s">
        <v>460</v>
      </c>
      <c r="F592" t="s">
        <v>186</v>
      </c>
      <c r="G592" t="s">
        <v>106</v>
      </c>
      <c r="H592" t="s">
        <v>185</v>
      </c>
      <c r="I592" s="6" t="s">
        <v>97</v>
      </c>
    </row>
    <row r="593" spans="1:9" hidden="1" x14ac:dyDescent="0.25">
      <c r="A593" s="3">
        <v>46008</v>
      </c>
      <c r="B593">
        <v>2025003528</v>
      </c>
      <c r="C593" t="s">
        <v>192</v>
      </c>
      <c r="D593" s="15">
        <v>3150000</v>
      </c>
      <c r="E593" t="s">
        <v>411</v>
      </c>
      <c r="F593" t="s">
        <v>59</v>
      </c>
      <c r="G593" t="s">
        <v>106</v>
      </c>
      <c r="H593" t="s">
        <v>192</v>
      </c>
      <c r="I593" s="6" t="s">
        <v>97</v>
      </c>
    </row>
    <row r="594" spans="1:9" hidden="1" x14ac:dyDescent="0.25">
      <c r="A594" s="3">
        <v>46008</v>
      </c>
      <c r="B594">
        <v>2025003529</v>
      </c>
      <c r="C594" t="s">
        <v>190</v>
      </c>
      <c r="D594" s="15">
        <v>6300000</v>
      </c>
      <c r="E594" t="s">
        <v>646</v>
      </c>
      <c r="F594" t="s">
        <v>191</v>
      </c>
      <c r="G594" t="s">
        <v>106</v>
      </c>
      <c r="H594" t="s">
        <v>190</v>
      </c>
      <c r="I594" s="6" t="s">
        <v>97</v>
      </c>
    </row>
    <row r="595" spans="1:9" hidden="1" x14ac:dyDescent="0.25">
      <c r="A595" s="3">
        <v>46008</v>
      </c>
      <c r="B595">
        <v>2025003530</v>
      </c>
      <c r="C595" t="s">
        <v>396</v>
      </c>
      <c r="D595" s="15">
        <v>2000000</v>
      </c>
      <c r="E595" t="s">
        <v>397</v>
      </c>
      <c r="F595" t="s">
        <v>398</v>
      </c>
      <c r="G595" t="s">
        <v>106</v>
      </c>
      <c r="H595" t="s">
        <v>396</v>
      </c>
      <c r="I595" s="6" t="s">
        <v>97</v>
      </c>
    </row>
    <row r="596" spans="1:9" hidden="1" x14ac:dyDescent="0.25">
      <c r="A596" s="3">
        <v>46008</v>
      </c>
      <c r="B596">
        <v>2025003531</v>
      </c>
      <c r="C596" t="s">
        <v>863</v>
      </c>
      <c r="D596" s="15">
        <v>2000000</v>
      </c>
      <c r="E596" t="s">
        <v>864</v>
      </c>
      <c r="F596" t="s">
        <v>865</v>
      </c>
      <c r="G596" t="s">
        <v>106</v>
      </c>
      <c r="H596" t="s">
        <v>863</v>
      </c>
      <c r="I596" s="6" t="s">
        <v>97</v>
      </c>
    </row>
    <row r="597" spans="1:9" hidden="1" x14ac:dyDescent="0.25">
      <c r="A597" s="3">
        <v>46008</v>
      </c>
      <c r="B597">
        <v>2025003532</v>
      </c>
      <c r="C597" t="s">
        <v>228</v>
      </c>
      <c r="D597" s="15">
        <v>3150000</v>
      </c>
      <c r="E597" t="s">
        <v>379</v>
      </c>
      <c r="F597" t="s">
        <v>229</v>
      </c>
      <c r="G597" t="s">
        <v>106</v>
      </c>
      <c r="H597" t="s">
        <v>228</v>
      </c>
      <c r="I597" s="6" t="s">
        <v>97</v>
      </c>
    </row>
    <row r="598" spans="1:9" hidden="1" x14ac:dyDescent="0.25">
      <c r="A598" s="3">
        <v>46008</v>
      </c>
      <c r="B598">
        <v>2025003533</v>
      </c>
      <c r="C598" t="s">
        <v>107</v>
      </c>
      <c r="D598" s="15">
        <v>3150000</v>
      </c>
      <c r="E598" t="s">
        <v>435</v>
      </c>
      <c r="F598" t="s">
        <v>108</v>
      </c>
      <c r="G598" t="s">
        <v>106</v>
      </c>
      <c r="H598" t="s">
        <v>107</v>
      </c>
      <c r="I598" s="6" t="s">
        <v>97</v>
      </c>
    </row>
    <row r="599" spans="1:9" hidden="1" x14ac:dyDescent="0.25">
      <c r="A599" s="3">
        <v>46008</v>
      </c>
      <c r="B599">
        <v>2025003534</v>
      </c>
      <c r="C599" t="s">
        <v>128</v>
      </c>
      <c r="D599" s="15">
        <v>3150000</v>
      </c>
      <c r="E599" t="s">
        <v>372</v>
      </c>
      <c r="F599" t="s">
        <v>129</v>
      </c>
      <c r="G599" t="s">
        <v>106</v>
      </c>
      <c r="H599" t="s">
        <v>128</v>
      </c>
      <c r="I599" s="6" t="s">
        <v>97</v>
      </c>
    </row>
    <row r="600" spans="1:9" hidden="1" x14ac:dyDescent="0.25">
      <c r="A600" s="3">
        <v>46008</v>
      </c>
      <c r="B600">
        <v>2025003535</v>
      </c>
      <c r="C600" t="s">
        <v>313</v>
      </c>
      <c r="D600" s="15">
        <v>3150000</v>
      </c>
      <c r="E600" t="s">
        <v>373</v>
      </c>
      <c r="F600" t="s">
        <v>314</v>
      </c>
      <c r="G600" t="s">
        <v>106</v>
      </c>
      <c r="H600" t="s">
        <v>313</v>
      </c>
      <c r="I600" s="6" t="s">
        <v>97</v>
      </c>
    </row>
    <row r="601" spans="1:9" hidden="1" x14ac:dyDescent="0.25">
      <c r="A601" s="3">
        <v>46008</v>
      </c>
      <c r="B601">
        <v>2025003536</v>
      </c>
      <c r="C601" t="s">
        <v>866</v>
      </c>
      <c r="D601" s="15">
        <v>7800000</v>
      </c>
      <c r="E601" t="s">
        <v>867</v>
      </c>
      <c r="F601" t="s">
        <v>868</v>
      </c>
      <c r="G601" t="s">
        <v>106</v>
      </c>
      <c r="H601" t="s">
        <v>866</v>
      </c>
      <c r="I601" s="6" t="s">
        <v>97</v>
      </c>
    </row>
    <row r="602" spans="1:9" hidden="1" x14ac:dyDescent="0.25">
      <c r="A602" s="3">
        <v>46008</v>
      </c>
      <c r="B602">
        <v>2025003537</v>
      </c>
      <c r="C602" t="s">
        <v>220</v>
      </c>
      <c r="D602" s="15">
        <v>3150000</v>
      </c>
      <c r="E602" t="s">
        <v>426</v>
      </c>
      <c r="F602" t="s">
        <v>221</v>
      </c>
      <c r="G602" t="s">
        <v>106</v>
      </c>
      <c r="H602" t="s">
        <v>220</v>
      </c>
      <c r="I602" s="6" t="s">
        <v>97</v>
      </c>
    </row>
    <row r="603" spans="1:9" hidden="1" x14ac:dyDescent="0.25">
      <c r="A603" s="3">
        <v>46008</v>
      </c>
      <c r="B603">
        <v>2025003539</v>
      </c>
      <c r="C603" t="s">
        <v>339</v>
      </c>
      <c r="D603" s="15">
        <v>3150000</v>
      </c>
      <c r="E603" t="s">
        <v>378</v>
      </c>
      <c r="F603" t="s">
        <v>340</v>
      </c>
      <c r="G603" t="s">
        <v>106</v>
      </c>
      <c r="H603" t="s">
        <v>339</v>
      </c>
      <c r="I603" s="6" t="s">
        <v>97</v>
      </c>
    </row>
    <row r="604" spans="1:9" hidden="1" x14ac:dyDescent="0.25">
      <c r="A604" s="3">
        <v>46008</v>
      </c>
      <c r="B604">
        <v>2025003540</v>
      </c>
      <c r="C604" t="s">
        <v>218</v>
      </c>
      <c r="D604" s="15">
        <v>3150000</v>
      </c>
      <c r="E604" t="s">
        <v>387</v>
      </c>
      <c r="F604" t="s">
        <v>219</v>
      </c>
      <c r="G604" t="s">
        <v>106</v>
      </c>
      <c r="H604" t="s">
        <v>218</v>
      </c>
      <c r="I604" s="6" t="s">
        <v>97</v>
      </c>
    </row>
    <row r="605" spans="1:9" hidden="1" x14ac:dyDescent="0.25">
      <c r="A605" s="3">
        <v>46009</v>
      </c>
      <c r="B605">
        <v>2025003541</v>
      </c>
      <c r="C605" t="s">
        <v>125</v>
      </c>
      <c r="D605" s="15">
        <v>3150000</v>
      </c>
      <c r="E605" t="s">
        <v>388</v>
      </c>
      <c r="F605" t="s">
        <v>35</v>
      </c>
      <c r="G605" t="s">
        <v>106</v>
      </c>
      <c r="H605" t="s">
        <v>125</v>
      </c>
      <c r="I605" s="6" t="s">
        <v>97</v>
      </c>
    </row>
    <row r="606" spans="1:9" hidden="1" x14ac:dyDescent="0.25">
      <c r="A606" s="3">
        <v>46009</v>
      </c>
      <c r="B606">
        <v>2025003542</v>
      </c>
      <c r="C606" t="s">
        <v>249</v>
      </c>
      <c r="D606" s="15">
        <v>3150000</v>
      </c>
      <c r="E606" t="s">
        <v>509</v>
      </c>
      <c r="F606" t="s">
        <v>250</v>
      </c>
      <c r="G606" t="s">
        <v>106</v>
      </c>
      <c r="H606" t="s">
        <v>249</v>
      </c>
      <c r="I606" s="6" t="s">
        <v>97</v>
      </c>
    </row>
    <row r="607" spans="1:9" hidden="1" x14ac:dyDescent="0.25">
      <c r="A607" s="3">
        <v>46009</v>
      </c>
      <c r="B607">
        <v>2025003543</v>
      </c>
      <c r="C607" t="s">
        <v>869</v>
      </c>
      <c r="D607" s="15">
        <v>2000000</v>
      </c>
      <c r="E607" t="s">
        <v>870</v>
      </c>
      <c r="F607" t="s">
        <v>871</v>
      </c>
      <c r="G607" t="s">
        <v>106</v>
      </c>
      <c r="H607" t="s">
        <v>869</v>
      </c>
      <c r="I607" s="6" t="s">
        <v>97</v>
      </c>
    </row>
    <row r="608" spans="1:9" hidden="1" x14ac:dyDescent="0.25">
      <c r="A608" s="3">
        <v>46009</v>
      </c>
      <c r="B608">
        <v>2025003544</v>
      </c>
      <c r="C608" t="s">
        <v>200</v>
      </c>
      <c r="D608" s="15">
        <v>3150000</v>
      </c>
      <c r="E608" t="s">
        <v>448</v>
      </c>
      <c r="F608" t="s">
        <v>201</v>
      </c>
      <c r="G608" t="s">
        <v>106</v>
      </c>
      <c r="H608" t="s">
        <v>200</v>
      </c>
      <c r="I608" s="6" t="s">
        <v>97</v>
      </c>
    </row>
    <row r="609" spans="1:9" hidden="1" x14ac:dyDescent="0.25">
      <c r="A609" s="3">
        <v>46009</v>
      </c>
      <c r="B609">
        <v>2025003545</v>
      </c>
      <c r="C609" t="s">
        <v>309</v>
      </c>
      <c r="D609" s="15">
        <v>3150000</v>
      </c>
      <c r="E609" t="s">
        <v>427</v>
      </c>
      <c r="F609" t="s">
        <v>310</v>
      </c>
      <c r="G609" t="s">
        <v>106</v>
      </c>
      <c r="H609" t="s">
        <v>309</v>
      </c>
      <c r="I609" s="6" t="s">
        <v>97</v>
      </c>
    </row>
    <row r="610" spans="1:9" hidden="1" x14ac:dyDescent="0.25">
      <c r="A610" s="3">
        <v>46009</v>
      </c>
      <c r="B610">
        <v>2025003546</v>
      </c>
      <c r="C610" t="s">
        <v>632</v>
      </c>
      <c r="D610" s="15">
        <v>3150000</v>
      </c>
      <c r="E610" t="s">
        <v>633</v>
      </c>
      <c r="F610" t="s">
        <v>634</v>
      </c>
      <c r="G610" t="s">
        <v>106</v>
      </c>
      <c r="H610" t="s">
        <v>632</v>
      </c>
      <c r="I610" s="6" t="s">
        <v>97</v>
      </c>
    </row>
    <row r="611" spans="1:9" hidden="1" x14ac:dyDescent="0.25">
      <c r="A611" s="3">
        <v>46009</v>
      </c>
      <c r="B611">
        <v>2025003547</v>
      </c>
      <c r="C611" t="s">
        <v>238</v>
      </c>
      <c r="D611" s="15">
        <v>3150000</v>
      </c>
      <c r="E611" t="s">
        <v>429</v>
      </c>
      <c r="F611" t="s">
        <v>239</v>
      </c>
      <c r="G611" t="s">
        <v>106</v>
      </c>
      <c r="H611" t="s">
        <v>238</v>
      </c>
      <c r="I611" s="6" t="s">
        <v>97</v>
      </c>
    </row>
    <row r="612" spans="1:9" hidden="1" x14ac:dyDescent="0.25">
      <c r="A612" s="3">
        <v>46009</v>
      </c>
      <c r="B612">
        <v>2025003548</v>
      </c>
      <c r="C612" t="s">
        <v>307</v>
      </c>
      <c r="D612" s="15">
        <v>4730000</v>
      </c>
      <c r="E612" t="s">
        <v>374</v>
      </c>
      <c r="F612" t="s">
        <v>308</v>
      </c>
      <c r="G612" t="s">
        <v>106</v>
      </c>
      <c r="H612" t="s">
        <v>307</v>
      </c>
      <c r="I612" s="6" t="s">
        <v>97</v>
      </c>
    </row>
    <row r="613" spans="1:9" hidden="1" x14ac:dyDescent="0.25">
      <c r="A613" s="3">
        <v>46009</v>
      </c>
      <c r="B613">
        <v>2025003549</v>
      </c>
      <c r="C613" t="s">
        <v>353</v>
      </c>
      <c r="D613" s="15">
        <v>4730000</v>
      </c>
      <c r="E613" t="s">
        <v>717</v>
      </c>
      <c r="F613" t="s">
        <v>354</v>
      </c>
      <c r="G613" t="s">
        <v>106</v>
      </c>
      <c r="H613" t="s">
        <v>353</v>
      </c>
      <c r="I613" s="6" t="s">
        <v>97</v>
      </c>
    </row>
    <row r="614" spans="1:9" hidden="1" x14ac:dyDescent="0.25">
      <c r="A614" s="3">
        <v>46009</v>
      </c>
      <c r="B614">
        <v>2025003551</v>
      </c>
      <c r="C614" t="s">
        <v>347</v>
      </c>
      <c r="D614" s="15">
        <v>3150000</v>
      </c>
      <c r="E614" t="s">
        <v>514</v>
      </c>
      <c r="F614" t="s">
        <v>348</v>
      </c>
      <c r="G614" t="s">
        <v>106</v>
      </c>
      <c r="H614" t="s">
        <v>347</v>
      </c>
      <c r="I614" s="6" t="s">
        <v>97</v>
      </c>
    </row>
    <row r="615" spans="1:9" hidden="1" x14ac:dyDescent="0.25">
      <c r="A615" s="3">
        <v>46009</v>
      </c>
      <c r="B615">
        <v>2025003552</v>
      </c>
      <c r="C615" t="s">
        <v>451</v>
      </c>
      <c r="D615" s="15">
        <v>2000000</v>
      </c>
      <c r="E615" t="s">
        <v>452</v>
      </c>
      <c r="F615" t="s">
        <v>453</v>
      </c>
      <c r="G615" t="s">
        <v>106</v>
      </c>
      <c r="H615" t="s">
        <v>451</v>
      </c>
      <c r="I615" s="6" t="s">
        <v>97</v>
      </c>
    </row>
    <row r="616" spans="1:9" hidden="1" x14ac:dyDescent="0.25">
      <c r="A616" s="3">
        <v>46009</v>
      </c>
      <c r="B616">
        <v>2025003553</v>
      </c>
      <c r="C616" t="s">
        <v>457</v>
      </c>
      <c r="D616" s="15">
        <v>2000000</v>
      </c>
      <c r="E616" t="s">
        <v>458</v>
      </c>
      <c r="F616" t="s">
        <v>459</v>
      </c>
      <c r="G616" t="s">
        <v>106</v>
      </c>
      <c r="H616" t="s">
        <v>457</v>
      </c>
      <c r="I616" s="6" t="s">
        <v>97</v>
      </c>
    </row>
    <row r="617" spans="1:9" hidden="1" x14ac:dyDescent="0.25">
      <c r="A617" s="3">
        <v>46009</v>
      </c>
      <c r="B617">
        <v>2025003556</v>
      </c>
      <c r="C617" t="s">
        <v>692</v>
      </c>
      <c r="D617" s="15">
        <v>3150000</v>
      </c>
      <c r="E617" t="s">
        <v>693</v>
      </c>
      <c r="F617" t="s">
        <v>39</v>
      </c>
      <c r="G617" t="s">
        <v>106</v>
      </c>
      <c r="H617" t="s">
        <v>692</v>
      </c>
      <c r="I617" s="6" t="s">
        <v>97</v>
      </c>
    </row>
    <row r="618" spans="1:9" hidden="1" x14ac:dyDescent="0.25">
      <c r="A618" s="3">
        <v>46009</v>
      </c>
      <c r="B618">
        <v>2025003557</v>
      </c>
      <c r="C618" t="s">
        <v>714</v>
      </c>
      <c r="D618" s="15">
        <v>3150000</v>
      </c>
      <c r="E618" t="s">
        <v>715</v>
      </c>
      <c r="F618" t="s">
        <v>716</v>
      </c>
      <c r="G618" t="s">
        <v>106</v>
      </c>
      <c r="H618" t="s">
        <v>714</v>
      </c>
      <c r="I618" s="6" t="s">
        <v>97</v>
      </c>
    </row>
    <row r="619" spans="1:9" hidden="1" x14ac:dyDescent="0.25">
      <c r="A619" s="3">
        <v>46009</v>
      </c>
      <c r="B619">
        <v>2025003558</v>
      </c>
      <c r="C619" t="s">
        <v>271</v>
      </c>
      <c r="D619" s="15">
        <v>3150000</v>
      </c>
      <c r="E619" t="s">
        <v>486</v>
      </c>
      <c r="F619" t="s">
        <v>22</v>
      </c>
      <c r="G619" t="s">
        <v>106</v>
      </c>
      <c r="H619" t="s">
        <v>271</v>
      </c>
      <c r="I619" s="6" t="s">
        <v>97</v>
      </c>
    </row>
    <row r="620" spans="1:9" hidden="1" x14ac:dyDescent="0.25">
      <c r="A620" s="3">
        <v>46009</v>
      </c>
      <c r="B620">
        <v>2025003559</v>
      </c>
      <c r="C620" t="s">
        <v>302</v>
      </c>
      <c r="D620" s="15">
        <v>6300000</v>
      </c>
      <c r="E620" t="s">
        <v>597</v>
      </c>
      <c r="F620" t="s">
        <v>303</v>
      </c>
      <c r="G620" t="s">
        <v>106</v>
      </c>
      <c r="H620" t="s">
        <v>302</v>
      </c>
      <c r="I620" s="6" t="s">
        <v>97</v>
      </c>
    </row>
    <row r="621" spans="1:9" hidden="1" x14ac:dyDescent="0.25">
      <c r="A621" s="3">
        <v>46009</v>
      </c>
      <c r="B621">
        <v>2025003561</v>
      </c>
      <c r="C621" t="s">
        <v>690</v>
      </c>
      <c r="D621" s="15">
        <v>6300000</v>
      </c>
      <c r="E621" t="s">
        <v>691</v>
      </c>
      <c r="F621" t="s">
        <v>78</v>
      </c>
      <c r="G621" t="s">
        <v>106</v>
      </c>
      <c r="H621" t="s">
        <v>690</v>
      </c>
      <c r="I621" s="6" t="s">
        <v>97</v>
      </c>
    </row>
    <row r="622" spans="1:9" hidden="1" x14ac:dyDescent="0.25">
      <c r="A622" s="3">
        <v>46009</v>
      </c>
      <c r="B622">
        <v>2025003562</v>
      </c>
      <c r="C622" t="s">
        <v>355</v>
      </c>
      <c r="D622" s="15">
        <v>3150000</v>
      </c>
      <c r="E622" t="s">
        <v>599</v>
      </c>
      <c r="F622" t="s">
        <v>356</v>
      </c>
      <c r="G622" t="s">
        <v>106</v>
      </c>
      <c r="H622" t="s">
        <v>355</v>
      </c>
      <c r="I622" s="6" t="s">
        <v>97</v>
      </c>
    </row>
    <row r="623" spans="1:9" hidden="1" x14ac:dyDescent="0.25">
      <c r="A623" s="3">
        <v>46009</v>
      </c>
      <c r="B623">
        <v>2025003563</v>
      </c>
      <c r="C623" t="s">
        <v>872</v>
      </c>
      <c r="D623" s="15">
        <v>2000000</v>
      </c>
      <c r="E623" t="s">
        <v>873</v>
      </c>
      <c r="F623" t="s">
        <v>874</v>
      </c>
      <c r="G623" t="s">
        <v>106</v>
      </c>
      <c r="H623" t="s">
        <v>872</v>
      </c>
      <c r="I623" s="6" t="s">
        <v>97</v>
      </c>
    </row>
    <row r="624" spans="1:9" hidden="1" x14ac:dyDescent="0.25">
      <c r="A624" s="3">
        <v>46009</v>
      </c>
      <c r="B624">
        <v>2025003564</v>
      </c>
      <c r="C624" t="s">
        <v>488</v>
      </c>
      <c r="D624" s="15">
        <v>3150000</v>
      </c>
      <c r="E624" t="s">
        <v>489</v>
      </c>
      <c r="F624" t="s">
        <v>490</v>
      </c>
      <c r="G624" t="s">
        <v>106</v>
      </c>
      <c r="H624" t="s">
        <v>488</v>
      </c>
      <c r="I624" s="6" t="s">
        <v>97</v>
      </c>
    </row>
    <row r="625" spans="1:9" hidden="1" x14ac:dyDescent="0.25">
      <c r="A625" s="3">
        <v>46009</v>
      </c>
      <c r="B625">
        <v>2025003565</v>
      </c>
      <c r="C625" t="s">
        <v>156</v>
      </c>
      <c r="D625" s="15">
        <v>3150000</v>
      </c>
      <c r="E625" t="s">
        <v>421</v>
      </c>
      <c r="F625" t="s">
        <v>49</v>
      </c>
      <c r="G625" t="s">
        <v>106</v>
      </c>
      <c r="H625" t="s">
        <v>156</v>
      </c>
      <c r="I625" s="6" t="s">
        <v>97</v>
      </c>
    </row>
    <row r="626" spans="1:9" hidden="1" x14ac:dyDescent="0.25">
      <c r="A626" s="3">
        <v>46009</v>
      </c>
      <c r="B626">
        <v>2025003566</v>
      </c>
      <c r="C626" t="s">
        <v>282</v>
      </c>
      <c r="D626" s="15">
        <v>4730000</v>
      </c>
      <c r="E626" t="s">
        <v>718</v>
      </c>
      <c r="F626" t="s">
        <v>283</v>
      </c>
      <c r="G626" t="s">
        <v>106</v>
      </c>
      <c r="H626" t="s">
        <v>282</v>
      </c>
      <c r="I626" s="6" t="s">
        <v>97</v>
      </c>
    </row>
    <row r="627" spans="1:9" hidden="1" x14ac:dyDescent="0.25">
      <c r="A627" s="3">
        <v>46009</v>
      </c>
      <c r="B627">
        <v>2025003567</v>
      </c>
      <c r="C627" t="s">
        <v>117</v>
      </c>
      <c r="D627" s="15">
        <v>6300000</v>
      </c>
      <c r="E627" t="s">
        <v>375</v>
      </c>
      <c r="F627" t="s">
        <v>118</v>
      </c>
      <c r="G627" t="s">
        <v>106</v>
      </c>
      <c r="H627" t="s">
        <v>117</v>
      </c>
      <c r="I627" s="6" t="s">
        <v>97</v>
      </c>
    </row>
    <row r="628" spans="1:9" hidden="1" x14ac:dyDescent="0.25">
      <c r="A628" s="3">
        <v>46009</v>
      </c>
      <c r="B628">
        <v>2025003568</v>
      </c>
      <c r="C628" t="s">
        <v>255</v>
      </c>
      <c r="D628" s="15">
        <v>6300000</v>
      </c>
      <c r="E628" t="s">
        <v>391</v>
      </c>
      <c r="F628" t="s">
        <v>74</v>
      </c>
      <c r="G628" t="s">
        <v>106</v>
      </c>
      <c r="H628" t="s">
        <v>255</v>
      </c>
      <c r="I628" s="6" t="s">
        <v>97</v>
      </c>
    </row>
    <row r="629" spans="1:9" hidden="1" x14ac:dyDescent="0.25">
      <c r="A629" s="3">
        <v>46009</v>
      </c>
      <c r="B629">
        <v>2025003569</v>
      </c>
      <c r="C629" t="s">
        <v>315</v>
      </c>
      <c r="D629" s="15">
        <v>3150000</v>
      </c>
      <c r="E629" t="s">
        <v>407</v>
      </c>
      <c r="F629" t="s">
        <v>316</v>
      </c>
      <c r="G629" t="s">
        <v>106</v>
      </c>
      <c r="H629" t="s">
        <v>315</v>
      </c>
      <c r="I629" s="6" t="s">
        <v>97</v>
      </c>
    </row>
    <row r="630" spans="1:9" hidden="1" x14ac:dyDescent="0.25">
      <c r="A630" s="3">
        <v>46009</v>
      </c>
      <c r="B630">
        <v>2025003570</v>
      </c>
      <c r="C630" t="s">
        <v>245</v>
      </c>
      <c r="D630" s="15">
        <v>4730000</v>
      </c>
      <c r="E630" t="s">
        <v>385</v>
      </c>
      <c r="F630" t="s">
        <v>246</v>
      </c>
      <c r="G630" t="s">
        <v>106</v>
      </c>
      <c r="H630" t="s">
        <v>245</v>
      </c>
      <c r="I630" s="6" t="s">
        <v>97</v>
      </c>
    </row>
    <row r="631" spans="1:9" hidden="1" x14ac:dyDescent="0.25">
      <c r="A631" s="3">
        <v>46009</v>
      </c>
      <c r="B631">
        <v>2025003571</v>
      </c>
      <c r="C631" t="s">
        <v>203</v>
      </c>
      <c r="D631" s="15">
        <v>6300000</v>
      </c>
      <c r="E631" t="s">
        <v>631</v>
      </c>
      <c r="F631" t="s">
        <v>204</v>
      </c>
      <c r="G631" t="s">
        <v>106</v>
      </c>
      <c r="H631" t="s">
        <v>203</v>
      </c>
      <c r="I631" s="6" t="s">
        <v>97</v>
      </c>
    </row>
    <row r="632" spans="1:9" hidden="1" x14ac:dyDescent="0.25">
      <c r="A632" s="3">
        <v>46009</v>
      </c>
      <c r="B632">
        <v>2025003572</v>
      </c>
      <c r="C632" t="s">
        <v>247</v>
      </c>
      <c r="D632" s="15">
        <v>3150000</v>
      </c>
      <c r="E632" t="s">
        <v>513</v>
      </c>
      <c r="F632" t="s">
        <v>248</v>
      </c>
      <c r="G632" t="s">
        <v>106</v>
      </c>
      <c r="H632" t="s">
        <v>247</v>
      </c>
      <c r="I632" s="6" t="s">
        <v>97</v>
      </c>
    </row>
    <row r="633" spans="1:9" hidden="1" x14ac:dyDescent="0.25">
      <c r="A633" s="3">
        <v>46009</v>
      </c>
      <c r="B633">
        <v>2025003573</v>
      </c>
      <c r="C633" t="s">
        <v>454</v>
      </c>
      <c r="D633" s="15">
        <v>2000000</v>
      </c>
      <c r="E633" t="s">
        <v>455</v>
      </c>
      <c r="F633" t="s">
        <v>456</v>
      </c>
      <c r="G633" t="s">
        <v>106</v>
      </c>
      <c r="H633" t="s">
        <v>454</v>
      </c>
      <c r="I633" s="6" t="s">
        <v>97</v>
      </c>
    </row>
    <row r="634" spans="1:9" hidden="1" x14ac:dyDescent="0.25">
      <c r="A634" s="3">
        <v>46009</v>
      </c>
      <c r="B634">
        <v>2025003574</v>
      </c>
      <c r="C634" t="s">
        <v>311</v>
      </c>
      <c r="D634" s="15">
        <v>3150000</v>
      </c>
      <c r="E634" t="s">
        <v>432</v>
      </c>
      <c r="F634" t="s">
        <v>312</v>
      </c>
      <c r="G634" t="s">
        <v>106</v>
      </c>
      <c r="H634" t="s">
        <v>311</v>
      </c>
      <c r="I634" s="6" t="s">
        <v>97</v>
      </c>
    </row>
    <row r="635" spans="1:9" hidden="1" x14ac:dyDescent="0.25">
      <c r="A635" s="3">
        <v>46009</v>
      </c>
      <c r="B635">
        <v>2025003575</v>
      </c>
      <c r="C635" t="s">
        <v>628</v>
      </c>
      <c r="D635" s="15">
        <v>3150000</v>
      </c>
      <c r="E635" t="s">
        <v>629</v>
      </c>
      <c r="F635" t="s">
        <v>71</v>
      </c>
      <c r="G635" t="s">
        <v>106</v>
      </c>
      <c r="H635" t="s">
        <v>628</v>
      </c>
      <c r="I635" s="6" t="s">
        <v>97</v>
      </c>
    </row>
    <row r="636" spans="1:9" hidden="1" x14ac:dyDescent="0.25">
      <c r="A636" s="3">
        <v>46009</v>
      </c>
      <c r="B636">
        <v>2025003576</v>
      </c>
      <c r="C636" t="s">
        <v>301</v>
      </c>
      <c r="D636" s="15">
        <v>3150000</v>
      </c>
      <c r="E636" t="s">
        <v>413</v>
      </c>
      <c r="F636" t="s">
        <v>32</v>
      </c>
      <c r="G636" t="s">
        <v>106</v>
      </c>
      <c r="H636" t="s">
        <v>301</v>
      </c>
      <c r="I636" s="6" t="s">
        <v>97</v>
      </c>
    </row>
    <row r="637" spans="1:9" hidden="1" x14ac:dyDescent="0.25">
      <c r="A637" s="3">
        <v>46009</v>
      </c>
      <c r="B637">
        <v>2025003577</v>
      </c>
      <c r="C637" t="s">
        <v>875</v>
      </c>
      <c r="D637" s="15">
        <v>263910000</v>
      </c>
      <c r="E637" t="s">
        <v>837</v>
      </c>
      <c r="F637" t="s">
        <v>838</v>
      </c>
      <c r="G637" t="s">
        <v>106</v>
      </c>
      <c r="H637" t="s">
        <v>875</v>
      </c>
      <c r="I637" s="6" t="s">
        <v>97</v>
      </c>
    </row>
    <row r="638" spans="1:9" hidden="1" x14ac:dyDescent="0.25">
      <c r="A638" s="3">
        <v>46009</v>
      </c>
      <c r="B638">
        <v>2025003578</v>
      </c>
      <c r="C638" t="s">
        <v>290</v>
      </c>
      <c r="D638" s="15">
        <v>7800000</v>
      </c>
      <c r="E638" t="s">
        <v>414</v>
      </c>
      <c r="F638" t="s">
        <v>291</v>
      </c>
      <c r="G638" t="s">
        <v>106</v>
      </c>
      <c r="H638" t="s">
        <v>290</v>
      </c>
      <c r="I638" s="6" t="s">
        <v>97</v>
      </c>
    </row>
    <row r="639" spans="1:9" hidden="1" x14ac:dyDescent="0.25">
      <c r="A639" s="3">
        <v>46009</v>
      </c>
      <c r="B639">
        <v>2025003580</v>
      </c>
      <c r="C639" t="s">
        <v>270</v>
      </c>
      <c r="D639" s="15">
        <v>6300000</v>
      </c>
      <c r="E639" t="s">
        <v>417</v>
      </c>
      <c r="F639" t="s">
        <v>56</v>
      </c>
      <c r="G639" t="s">
        <v>106</v>
      </c>
      <c r="H639" t="s">
        <v>270</v>
      </c>
      <c r="I639" s="6" t="s">
        <v>97</v>
      </c>
    </row>
    <row r="640" spans="1:9" hidden="1" x14ac:dyDescent="0.25">
      <c r="A640" s="3">
        <v>46009</v>
      </c>
      <c r="B640">
        <v>2025003581</v>
      </c>
      <c r="C640" t="s">
        <v>158</v>
      </c>
      <c r="D640" s="15">
        <v>3150000</v>
      </c>
      <c r="E640" t="s">
        <v>416</v>
      </c>
      <c r="F640" t="s">
        <v>47</v>
      </c>
      <c r="G640" t="s">
        <v>106</v>
      </c>
      <c r="H640" t="s">
        <v>158</v>
      </c>
      <c r="I640" s="6" t="s">
        <v>97</v>
      </c>
    </row>
    <row r="641" spans="1:9" hidden="1" x14ac:dyDescent="0.25">
      <c r="A641" s="3">
        <v>46009</v>
      </c>
      <c r="B641">
        <v>2025003582</v>
      </c>
      <c r="C641" t="s">
        <v>175</v>
      </c>
      <c r="D641" s="15">
        <v>3150000</v>
      </c>
      <c r="E641" t="s">
        <v>600</v>
      </c>
      <c r="F641" t="s">
        <v>34</v>
      </c>
      <c r="G641" t="s">
        <v>106</v>
      </c>
      <c r="H641" t="s">
        <v>175</v>
      </c>
      <c r="I641" s="6" t="s">
        <v>97</v>
      </c>
    </row>
    <row r="642" spans="1:9" hidden="1" x14ac:dyDescent="0.25">
      <c r="A642" s="3">
        <v>46009</v>
      </c>
      <c r="B642">
        <v>2025003583</v>
      </c>
      <c r="C642" t="s">
        <v>173</v>
      </c>
      <c r="D642" s="15">
        <v>3150000</v>
      </c>
      <c r="E642" t="s">
        <v>424</v>
      </c>
      <c r="F642" t="s">
        <v>174</v>
      </c>
      <c r="G642" t="s">
        <v>106</v>
      </c>
      <c r="H642" t="s">
        <v>173</v>
      </c>
      <c r="I642" s="6" t="s">
        <v>97</v>
      </c>
    </row>
    <row r="643" spans="1:9" hidden="1" x14ac:dyDescent="0.25">
      <c r="A643" s="3">
        <v>46009</v>
      </c>
      <c r="B643">
        <v>2025003585</v>
      </c>
      <c r="C643" t="s">
        <v>184</v>
      </c>
      <c r="D643" s="15">
        <v>3150000</v>
      </c>
      <c r="E643" t="s">
        <v>425</v>
      </c>
      <c r="F643" t="s">
        <v>27</v>
      </c>
      <c r="G643" t="s">
        <v>106</v>
      </c>
      <c r="H643" t="s">
        <v>184</v>
      </c>
      <c r="I643" s="6" t="s">
        <v>97</v>
      </c>
    </row>
    <row r="644" spans="1:9" hidden="1" x14ac:dyDescent="0.25">
      <c r="A644" s="3">
        <v>46009</v>
      </c>
      <c r="B644">
        <v>2025003587</v>
      </c>
      <c r="C644" t="s">
        <v>180</v>
      </c>
      <c r="D644" s="15">
        <v>4730000</v>
      </c>
      <c r="E644" t="s">
        <v>487</v>
      </c>
      <c r="F644" t="s">
        <v>181</v>
      </c>
      <c r="G644" t="s">
        <v>106</v>
      </c>
      <c r="H644" t="s">
        <v>180</v>
      </c>
      <c r="I644" s="6" t="s">
        <v>97</v>
      </c>
    </row>
    <row r="645" spans="1:9" hidden="1" x14ac:dyDescent="0.25">
      <c r="A645" s="3">
        <v>46009</v>
      </c>
      <c r="B645">
        <v>2025003588</v>
      </c>
      <c r="C645" t="s">
        <v>286</v>
      </c>
      <c r="D645" s="15">
        <v>6300000</v>
      </c>
      <c r="E645" t="s">
        <v>738</v>
      </c>
      <c r="F645" t="s">
        <v>287</v>
      </c>
      <c r="G645" t="s">
        <v>106</v>
      </c>
      <c r="H645" t="s">
        <v>286</v>
      </c>
      <c r="I645" s="6" t="s">
        <v>97</v>
      </c>
    </row>
    <row r="646" spans="1:9" hidden="1" x14ac:dyDescent="0.25">
      <c r="A646" s="3">
        <v>46009</v>
      </c>
      <c r="B646">
        <v>2025003589</v>
      </c>
      <c r="C646" t="s">
        <v>277</v>
      </c>
      <c r="D646" s="15">
        <v>4730000</v>
      </c>
      <c r="E646" t="s">
        <v>494</v>
      </c>
      <c r="F646" t="s">
        <v>278</v>
      </c>
      <c r="G646" t="s">
        <v>106</v>
      </c>
      <c r="H646" t="s">
        <v>277</v>
      </c>
      <c r="I646" s="6" t="s">
        <v>97</v>
      </c>
    </row>
    <row r="647" spans="1:9" hidden="1" x14ac:dyDescent="0.25">
      <c r="A647" s="3">
        <v>46009</v>
      </c>
      <c r="B647">
        <v>2025003590</v>
      </c>
      <c r="C647" t="s">
        <v>143</v>
      </c>
      <c r="D647" s="15">
        <v>4730000</v>
      </c>
      <c r="E647" t="s">
        <v>446</v>
      </c>
      <c r="F647" t="s">
        <v>20</v>
      </c>
      <c r="G647" t="s">
        <v>106</v>
      </c>
      <c r="H647" t="s">
        <v>143</v>
      </c>
      <c r="I647" s="6" t="s">
        <v>97</v>
      </c>
    </row>
    <row r="648" spans="1:9" hidden="1" x14ac:dyDescent="0.25">
      <c r="A648" s="3">
        <v>46009</v>
      </c>
      <c r="B648">
        <v>2025003591</v>
      </c>
      <c r="C648" t="s">
        <v>222</v>
      </c>
      <c r="D648" s="15">
        <v>3150000</v>
      </c>
      <c r="E648" t="s">
        <v>370</v>
      </c>
      <c r="F648" t="s">
        <v>15</v>
      </c>
      <c r="G648" t="s">
        <v>106</v>
      </c>
      <c r="H648" t="s">
        <v>222</v>
      </c>
      <c r="I648" s="6" t="s">
        <v>97</v>
      </c>
    </row>
    <row r="649" spans="1:9" hidden="1" x14ac:dyDescent="0.25">
      <c r="A649" s="3">
        <v>46009</v>
      </c>
      <c r="B649">
        <v>2025003592</v>
      </c>
      <c r="C649" t="s">
        <v>279</v>
      </c>
      <c r="D649" s="15">
        <v>7800000</v>
      </c>
      <c r="E649" t="s">
        <v>419</v>
      </c>
      <c r="F649" t="s">
        <v>280</v>
      </c>
      <c r="G649" t="s">
        <v>106</v>
      </c>
      <c r="H649" t="s">
        <v>279</v>
      </c>
      <c r="I649" s="6" t="s">
        <v>97</v>
      </c>
    </row>
    <row r="650" spans="1:9" hidden="1" x14ac:dyDescent="0.25">
      <c r="A650" s="3">
        <v>46009</v>
      </c>
      <c r="B650">
        <v>2025003593</v>
      </c>
      <c r="C650" t="s">
        <v>660</v>
      </c>
      <c r="D650" s="15">
        <v>6300000</v>
      </c>
      <c r="E650" t="s">
        <v>661</v>
      </c>
      <c r="F650" t="s">
        <v>662</v>
      </c>
      <c r="G650" t="s">
        <v>106</v>
      </c>
      <c r="H650" t="s">
        <v>660</v>
      </c>
      <c r="I650" s="6" t="s">
        <v>97</v>
      </c>
    </row>
    <row r="651" spans="1:9" hidden="1" x14ac:dyDescent="0.25">
      <c r="A651" s="3">
        <v>46009</v>
      </c>
      <c r="B651">
        <v>2025003594</v>
      </c>
      <c r="C651" t="s">
        <v>213</v>
      </c>
      <c r="D651" s="15">
        <v>3150000</v>
      </c>
      <c r="E651" t="s">
        <v>367</v>
      </c>
      <c r="F651" t="s">
        <v>21</v>
      </c>
      <c r="G651" t="s">
        <v>106</v>
      </c>
      <c r="H651" t="s">
        <v>213</v>
      </c>
      <c r="I651" s="6" t="s">
        <v>97</v>
      </c>
    </row>
    <row r="652" spans="1:9" hidden="1" x14ac:dyDescent="0.25">
      <c r="A652" s="3">
        <v>46009</v>
      </c>
      <c r="B652">
        <v>2025003595</v>
      </c>
      <c r="C652" t="s">
        <v>272</v>
      </c>
      <c r="D652" s="15">
        <v>6300000</v>
      </c>
      <c r="E652" t="s">
        <v>445</v>
      </c>
      <c r="F652" t="s">
        <v>43</v>
      </c>
      <c r="G652" t="s">
        <v>106</v>
      </c>
      <c r="H652" t="s">
        <v>272</v>
      </c>
      <c r="I652" s="6" t="s">
        <v>97</v>
      </c>
    </row>
    <row r="653" spans="1:9" hidden="1" x14ac:dyDescent="0.25">
      <c r="A653" s="3">
        <v>46009</v>
      </c>
      <c r="B653">
        <v>2025003596</v>
      </c>
      <c r="C653" t="s">
        <v>214</v>
      </c>
      <c r="D653" s="15">
        <v>4730000</v>
      </c>
      <c r="E653" t="s">
        <v>463</v>
      </c>
      <c r="F653" t="s">
        <v>215</v>
      </c>
      <c r="G653" t="s">
        <v>106</v>
      </c>
      <c r="H653" t="s">
        <v>214</v>
      </c>
      <c r="I653" s="6" t="s">
        <v>97</v>
      </c>
    </row>
    <row r="654" spans="1:9" hidden="1" x14ac:dyDescent="0.25">
      <c r="A654" s="3">
        <v>46009</v>
      </c>
      <c r="B654">
        <v>2025003597</v>
      </c>
      <c r="C654" t="s">
        <v>351</v>
      </c>
      <c r="D654" s="15">
        <v>3150000</v>
      </c>
      <c r="E654" t="s">
        <v>602</v>
      </c>
      <c r="F654" t="s">
        <v>352</v>
      </c>
      <c r="G654" t="s">
        <v>106</v>
      </c>
      <c r="H654" t="s">
        <v>351</v>
      </c>
      <c r="I654" s="6" t="s">
        <v>97</v>
      </c>
    </row>
    <row r="655" spans="1:9" hidden="1" x14ac:dyDescent="0.25">
      <c r="A655" s="3">
        <v>46009</v>
      </c>
      <c r="B655">
        <v>2025003598</v>
      </c>
      <c r="C655" t="s">
        <v>169</v>
      </c>
      <c r="D655" s="15">
        <v>3150000</v>
      </c>
      <c r="E655" t="s">
        <v>493</v>
      </c>
      <c r="F655" t="s">
        <v>170</v>
      </c>
      <c r="G655" t="s">
        <v>106</v>
      </c>
      <c r="H655" t="s">
        <v>169</v>
      </c>
      <c r="I655" s="6" t="s">
        <v>97</v>
      </c>
    </row>
    <row r="656" spans="1:9" hidden="1" x14ac:dyDescent="0.25">
      <c r="A656" s="3">
        <v>46009</v>
      </c>
      <c r="B656">
        <v>2025003599</v>
      </c>
      <c r="C656" t="s">
        <v>171</v>
      </c>
      <c r="D656" s="15">
        <v>3150000</v>
      </c>
      <c r="E656" t="s">
        <v>484</v>
      </c>
      <c r="F656" t="s">
        <v>172</v>
      </c>
      <c r="G656" t="s">
        <v>106</v>
      </c>
      <c r="H656" t="s">
        <v>171</v>
      </c>
      <c r="I656" s="6" t="s">
        <v>97</v>
      </c>
    </row>
    <row r="657" spans="1:9" hidden="1" x14ac:dyDescent="0.25">
      <c r="A657" s="3">
        <v>46009</v>
      </c>
      <c r="B657">
        <v>2025003600</v>
      </c>
      <c r="C657" t="s">
        <v>792</v>
      </c>
      <c r="D657" s="15">
        <v>3150000</v>
      </c>
      <c r="E657" t="s">
        <v>793</v>
      </c>
      <c r="F657" t="s">
        <v>69</v>
      </c>
      <c r="G657" t="s">
        <v>106</v>
      </c>
      <c r="H657" t="s">
        <v>792</v>
      </c>
      <c r="I657" s="6" t="s">
        <v>97</v>
      </c>
    </row>
    <row r="658" spans="1:9" hidden="1" x14ac:dyDescent="0.25">
      <c r="A658" s="3">
        <v>46009</v>
      </c>
      <c r="B658">
        <v>2025003601</v>
      </c>
      <c r="C658" s="6" t="s">
        <v>161</v>
      </c>
      <c r="D658" s="15">
        <v>7800000</v>
      </c>
      <c r="E658" t="s">
        <v>441</v>
      </c>
      <c r="F658" t="s">
        <v>162</v>
      </c>
      <c r="G658" t="s">
        <v>106</v>
      </c>
      <c r="H658" s="6" t="s">
        <v>161</v>
      </c>
      <c r="I658" s="6" t="s">
        <v>97</v>
      </c>
    </row>
    <row r="659" spans="1:9" hidden="1" x14ac:dyDescent="0.25">
      <c r="A659" s="3">
        <v>46009</v>
      </c>
      <c r="B659">
        <v>2025003602</v>
      </c>
      <c r="C659" t="s">
        <v>604</v>
      </c>
      <c r="D659" s="15">
        <v>3150000</v>
      </c>
      <c r="E659" t="s">
        <v>605</v>
      </c>
      <c r="F659" t="s">
        <v>606</v>
      </c>
      <c r="G659" t="s">
        <v>106</v>
      </c>
      <c r="H659" t="s">
        <v>604</v>
      </c>
      <c r="I659" s="6" t="s">
        <v>97</v>
      </c>
    </row>
    <row r="660" spans="1:9" hidden="1" x14ac:dyDescent="0.25">
      <c r="A660" s="3">
        <v>46009</v>
      </c>
      <c r="B660">
        <v>2025003603</v>
      </c>
      <c r="C660" t="s">
        <v>163</v>
      </c>
      <c r="D660" s="15">
        <v>7800000</v>
      </c>
      <c r="E660" t="s">
        <v>439</v>
      </c>
      <c r="F660" t="s">
        <v>164</v>
      </c>
      <c r="G660" t="s">
        <v>106</v>
      </c>
      <c r="H660" t="s">
        <v>163</v>
      </c>
      <c r="I660" s="6" t="s">
        <v>97</v>
      </c>
    </row>
    <row r="661" spans="1:9" hidden="1" x14ac:dyDescent="0.25">
      <c r="A661" s="3">
        <v>46009</v>
      </c>
      <c r="B661">
        <v>2025003604</v>
      </c>
      <c r="C661" t="s">
        <v>610</v>
      </c>
      <c r="D661" s="15">
        <v>2000000</v>
      </c>
      <c r="E661" t="s">
        <v>611</v>
      </c>
      <c r="F661" t="s">
        <v>612</v>
      </c>
      <c r="G661" t="s">
        <v>106</v>
      </c>
      <c r="H661" t="s">
        <v>610</v>
      </c>
      <c r="I661" s="6" t="s">
        <v>97</v>
      </c>
    </row>
    <row r="662" spans="1:9" hidden="1" x14ac:dyDescent="0.25">
      <c r="A662" s="3">
        <v>46009</v>
      </c>
      <c r="B662">
        <v>2025003605</v>
      </c>
      <c r="C662" t="s">
        <v>666</v>
      </c>
      <c r="D662" s="15">
        <v>2000000</v>
      </c>
      <c r="E662" t="s">
        <v>667</v>
      </c>
      <c r="F662" t="s">
        <v>668</v>
      </c>
      <c r="G662" t="s">
        <v>106</v>
      </c>
      <c r="H662" t="s">
        <v>666</v>
      </c>
      <c r="I662" s="6" t="s">
        <v>97</v>
      </c>
    </row>
    <row r="663" spans="1:9" hidden="1" x14ac:dyDescent="0.25">
      <c r="A663" s="3">
        <v>46009</v>
      </c>
      <c r="B663">
        <v>2025003606</v>
      </c>
      <c r="C663" t="s">
        <v>147</v>
      </c>
      <c r="D663" s="15">
        <v>3150000</v>
      </c>
      <c r="E663" t="s">
        <v>471</v>
      </c>
      <c r="F663" t="s">
        <v>83</v>
      </c>
      <c r="G663" t="s">
        <v>106</v>
      </c>
      <c r="H663" t="s">
        <v>147</v>
      </c>
      <c r="I663" s="6" t="s">
        <v>97</v>
      </c>
    </row>
    <row r="664" spans="1:9" hidden="1" x14ac:dyDescent="0.25">
      <c r="A664" s="3">
        <v>46009</v>
      </c>
      <c r="B664">
        <v>2025003607</v>
      </c>
      <c r="C664" t="s">
        <v>107</v>
      </c>
      <c r="D664" s="15">
        <v>3150000</v>
      </c>
      <c r="E664" t="s">
        <v>435</v>
      </c>
      <c r="F664" t="s">
        <v>108</v>
      </c>
      <c r="G664" t="s">
        <v>106</v>
      </c>
      <c r="H664" t="s">
        <v>107</v>
      </c>
      <c r="I664" s="6" t="s">
        <v>97</v>
      </c>
    </row>
    <row r="665" spans="1:9" hidden="1" x14ac:dyDescent="0.25">
      <c r="A665" s="3">
        <v>46009</v>
      </c>
      <c r="B665">
        <v>2025003608</v>
      </c>
      <c r="C665" t="s">
        <v>113</v>
      </c>
      <c r="D665" s="15">
        <v>6300000</v>
      </c>
      <c r="E665" t="s">
        <v>377</v>
      </c>
      <c r="F665" t="s">
        <v>33</v>
      </c>
      <c r="G665" t="s">
        <v>106</v>
      </c>
      <c r="H665" t="s">
        <v>113</v>
      </c>
      <c r="I665" s="6" t="s">
        <v>97</v>
      </c>
    </row>
    <row r="666" spans="1:9" hidden="1" x14ac:dyDescent="0.25">
      <c r="A666" s="3">
        <v>46009</v>
      </c>
      <c r="B666">
        <v>2025003609</v>
      </c>
      <c r="C666" t="s">
        <v>119</v>
      </c>
      <c r="D666" s="15">
        <v>3150000</v>
      </c>
      <c r="E666" t="s">
        <v>447</v>
      </c>
      <c r="F666" t="s">
        <v>40</v>
      </c>
      <c r="G666" t="s">
        <v>106</v>
      </c>
      <c r="H666" t="s">
        <v>119</v>
      </c>
      <c r="I666" s="6" t="s">
        <v>97</v>
      </c>
    </row>
    <row r="667" spans="1:9" hidden="1" x14ac:dyDescent="0.25">
      <c r="A667" s="3">
        <v>46009</v>
      </c>
      <c r="B667">
        <v>2025003610</v>
      </c>
      <c r="C667" t="s">
        <v>210</v>
      </c>
      <c r="D667" s="15">
        <v>4730000</v>
      </c>
      <c r="E667" t="s">
        <v>404</v>
      </c>
      <c r="F667" t="s">
        <v>211</v>
      </c>
      <c r="G667" t="s">
        <v>106</v>
      </c>
      <c r="H667" t="s">
        <v>210</v>
      </c>
      <c r="I667" s="6" t="s">
        <v>97</v>
      </c>
    </row>
    <row r="668" spans="1:9" hidden="1" x14ac:dyDescent="0.25">
      <c r="A668" s="3">
        <v>46009</v>
      </c>
      <c r="B668">
        <v>2025003611</v>
      </c>
      <c r="C668" t="s">
        <v>347</v>
      </c>
      <c r="D668" s="15">
        <v>3150000</v>
      </c>
      <c r="E668" t="s">
        <v>514</v>
      </c>
      <c r="F668" t="s">
        <v>348</v>
      </c>
      <c r="G668" t="s">
        <v>106</v>
      </c>
      <c r="H668" t="s">
        <v>347</v>
      </c>
      <c r="I668" s="6" t="s">
        <v>97</v>
      </c>
    </row>
    <row r="669" spans="1:9" hidden="1" x14ac:dyDescent="0.25">
      <c r="A669" s="3">
        <v>46009</v>
      </c>
      <c r="B669">
        <v>2025003612</v>
      </c>
      <c r="C669" t="s">
        <v>220</v>
      </c>
      <c r="D669" s="15">
        <v>3150000</v>
      </c>
      <c r="E669" t="s">
        <v>426</v>
      </c>
      <c r="F669" t="s">
        <v>221</v>
      </c>
      <c r="G669" t="s">
        <v>106</v>
      </c>
      <c r="H669" t="s">
        <v>220</v>
      </c>
      <c r="I669" s="6" t="s">
        <v>97</v>
      </c>
    </row>
    <row r="670" spans="1:9" hidden="1" x14ac:dyDescent="0.25">
      <c r="A670" s="3">
        <v>46009</v>
      </c>
      <c r="B670">
        <v>2025003614</v>
      </c>
      <c r="C670" t="s">
        <v>240</v>
      </c>
      <c r="D670" s="15">
        <v>6300000</v>
      </c>
      <c r="E670" t="s">
        <v>403</v>
      </c>
      <c r="F670" t="s">
        <v>241</v>
      </c>
      <c r="G670" t="s">
        <v>106</v>
      </c>
      <c r="H670" t="s">
        <v>240</v>
      </c>
      <c r="I670" s="6" t="s">
        <v>97</v>
      </c>
    </row>
    <row r="671" spans="1:9" hidden="1" x14ac:dyDescent="0.25">
      <c r="A671" s="3">
        <v>46009</v>
      </c>
      <c r="B671">
        <v>2025003616</v>
      </c>
      <c r="C671" t="s">
        <v>109</v>
      </c>
      <c r="D671" s="15">
        <v>3150000</v>
      </c>
      <c r="E671" t="s">
        <v>382</v>
      </c>
      <c r="F671" t="s">
        <v>110</v>
      </c>
      <c r="G671" t="s">
        <v>106</v>
      </c>
      <c r="H671" t="s">
        <v>109</v>
      </c>
      <c r="I671" s="6" t="s">
        <v>97</v>
      </c>
    </row>
    <row r="672" spans="1:9" hidden="1" x14ac:dyDescent="0.25">
      <c r="A672" s="3">
        <v>46009</v>
      </c>
      <c r="B672">
        <v>2025003617</v>
      </c>
      <c r="C672" t="s">
        <v>126</v>
      </c>
      <c r="D672" s="15">
        <v>3150000</v>
      </c>
      <c r="E672" t="s">
        <v>381</v>
      </c>
      <c r="F672" t="s">
        <v>127</v>
      </c>
      <c r="G672" t="s">
        <v>106</v>
      </c>
      <c r="H672" t="s">
        <v>126</v>
      </c>
      <c r="I672" s="6" t="s">
        <v>97</v>
      </c>
    </row>
    <row r="673" spans="1:9" hidden="1" x14ac:dyDescent="0.25">
      <c r="A673" s="3">
        <v>46009</v>
      </c>
      <c r="B673">
        <v>2025003618</v>
      </c>
      <c r="C673" t="s">
        <v>224</v>
      </c>
      <c r="D673" s="15">
        <v>4730000</v>
      </c>
      <c r="E673" t="s">
        <v>402</v>
      </c>
      <c r="F673" t="s">
        <v>225</v>
      </c>
      <c r="G673" t="s">
        <v>106</v>
      </c>
      <c r="H673" t="s">
        <v>224</v>
      </c>
      <c r="I673" s="6" t="s">
        <v>97</v>
      </c>
    </row>
    <row r="674" spans="1:9" hidden="1" x14ac:dyDescent="0.25">
      <c r="A674" s="3">
        <v>46009</v>
      </c>
      <c r="B674">
        <v>2025003620</v>
      </c>
      <c r="C674" t="s">
        <v>123</v>
      </c>
      <c r="D674" s="15">
        <v>6300000</v>
      </c>
      <c r="E674" t="s">
        <v>410</v>
      </c>
      <c r="F674" t="s">
        <v>124</v>
      </c>
      <c r="G674" t="s">
        <v>106</v>
      </c>
      <c r="H674" t="s">
        <v>123</v>
      </c>
      <c r="I674" s="6" t="s">
        <v>97</v>
      </c>
    </row>
    <row r="675" spans="1:9" hidden="1" x14ac:dyDescent="0.25">
      <c r="A675" s="3">
        <v>46009</v>
      </c>
      <c r="B675">
        <v>2025003621</v>
      </c>
      <c r="C675" t="s">
        <v>128</v>
      </c>
      <c r="D675" s="15">
        <v>3150000</v>
      </c>
      <c r="E675" t="s">
        <v>372</v>
      </c>
      <c r="F675" t="s">
        <v>129</v>
      </c>
      <c r="G675" t="s">
        <v>106</v>
      </c>
      <c r="H675" t="s">
        <v>128</v>
      </c>
      <c r="I675" s="6" t="s">
        <v>97</v>
      </c>
    </row>
    <row r="676" spans="1:9" hidden="1" x14ac:dyDescent="0.25">
      <c r="A676" s="3">
        <v>46009</v>
      </c>
      <c r="B676">
        <v>2025003623</v>
      </c>
      <c r="C676" t="s">
        <v>869</v>
      </c>
      <c r="D676" s="15">
        <v>2000000</v>
      </c>
      <c r="E676" t="s">
        <v>870</v>
      </c>
      <c r="F676" t="s">
        <v>871</v>
      </c>
      <c r="G676" t="s">
        <v>106</v>
      </c>
      <c r="H676" t="s">
        <v>869</v>
      </c>
      <c r="I676" s="6" t="s">
        <v>97</v>
      </c>
    </row>
    <row r="677" spans="1:9" hidden="1" x14ac:dyDescent="0.25">
      <c r="A677" s="3">
        <v>46009</v>
      </c>
      <c r="B677">
        <v>2025003624</v>
      </c>
      <c r="C677" t="s">
        <v>628</v>
      </c>
      <c r="D677" s="15">
        <v>3150000</v>
      </c>
      <c r="E677" t="s">
        <v>629</v>
      </c>
      <c r="F677" t="s">
        <v>71</v>
      </c>
      <c r="G677" t="s">
        <v>106</v>
      </c>
      <c r="H677" t="s">
        <v>628</v>
      </c>
      <c r="I677" s="6" t="s">
        <v>97</v>
      </c>
    </row>
    <row r="678" spans="1:9" hidden="1" x14ac:dyDescent="0.25">
      <c r="A678" s="3">
        <v>46010</v>
      </c>
      <c r="B678">
        <v>2025003625</v>
      </c>
      <c r="C678" t="s">
        <v>650</v>
      </c>
      <c r="D678" s="15">
        <v>2000000</v>
      </c>
      <c r="E678" t="s">
        <v>651</v>
      </c>
      <c r="F678" t="s">
        <v>652</v>
      </c>
      <c r="G678" t="s">
        <v>106</v>
      </c>
      <c r="H678" t="s">
        <v>650</v>
      </c>
      <c r="I678" s="6" t="s">
        <v>97</v>
      </c>
    </row>
    <row r="679" spans="1:9" hidden="1" x14ac:dyDescent="0.25">
      <c r="A679" s="3">
        <v>46010</v>
      </c>
      <c r="B679">
        <v>2025003626</v>
      </c>
      <c r="C679" t="s">
        <v>790</v>
      </c>
      <c r="D679" s="15">
        <v>3150000</v>
      </c>
      <c r="E679" t="s">
        <v>791</v>
      </c>
      <c r="F679" t="s">
        <v>92</v>
      </c>
      <c r="G679" t="s">
        <v>106</v>
      </c>
      <c r="H679" t="s">
        <v>790</v>
      </c>
      <c r="I679" s="6" t="s">
        <v>97</v>
      </c>
    </row>
    <row r="680" spans="1:9" hidden="1" x14ac:dyDescent="0.25">
      <c r="A680" s="3">
        <v>46010</v>
      </c>
      <c r="B680">
        <v>2025003628</v>
      </c>
      <c r="C680" t="s">
        <v>569</v>
      </c>
      <c r="D680" s="15">
        <v>3150000</v>
      </c>
      <c r="E680" t="s">
        <v>570</v>
      </c>
      <c r="F680" t="s">
        <v>571</v>
      </c>
      <c r="G680" t="s">
        <v>106</v>
      </c>
      <c r="H680" t="s">
        <v>569</v>
      </c>
      <c r="I680" s="6" t="s">
        <v>97</v>
      </c>
    </row>
    <row r="681" spans="1:9" hidden="1" x14ac:dyDescent="0.25">
      <c r="A681" s="3">
        <v>46010</v>
      </c>
      <c r="B681">
        <v>2025003629</v>
      </c>
      <c r="C681" t="s">
        <v>821</v>
      </c>
      <c r="D681" s="15">
        <v>3150000</v>
      </c>
      <c r="E681" t="s">
        <v>822</v>
      </c>
      <c r="F681" t="s">
        <v>823</v>
      </c>
      <c r="G681" t="s">
        <v>106</v>
      </c>
      <c r="H681" t="s">
        <v>821</v>
      </c>
      <c r="I681" s="6" t="s">
        <v>97</v>
      </c>
    </row>
    <row r="682" spans="1:9" hidden="1" x14ac:dyDescent="0.25">
      <c r="A682" s="3">
        <v>46010</v>
      </c>
      <c r="B682">
        <v>2025003630</v>
      </c>
      <c r="C682" t="s">
        <v>824</v>
      </c>
      <c r="D682" s="15">
        <v>3150000</v>
      </c>
      <c r="E682" t="s">
        <v>825</v>
      </c>
      <c r="F682" t="s">
        <v>826</v>
      </c>
      <c r="G682" t="s">
        <v>106</v>
      </c>
      <c r="H682" t="s">
        <v>824</v>
      </c>
      <c r="I682" s="6" t="s">
        <v>97</v>
      </c>
    </row>
    <row r="683" spans="1:9" hidden="1" x14ac:dyDescent="0.25">
      <c r="A683" s="3">
        <v>46010</v>
      </c>
      <c r="B683">
        <v>2025003632</v>
      </c>
      <c r="C683" t="s">
        <v>805</v>
      </c>
      <c r="D683" s="15">
        <v>3150000</v>
      </c>
      <c r="E683" t="s">
        <v>806</v>
      </c>
      <c r="F683" t="s">
        <v>103</v>
      </c>
      <c r="G683" t="s">
        <v>106</v>
      </c>
      <c r="H683" t="s">
        <v>805</v>
      </c>
      <c r="I683" s="6" t="s">
        <v>97</v>
      </c>
    </row>
    <row r="684" spans="1:9" hidden="1" x14ac:dyDescent="0.25">
      <c r="A684" s="3">
        <v>46010</v>
      </c>
      <c r="B684">
        <v>2025003633</v>
      </c>
      <c r="C684" t="s">
        <v>527</v>
      </c>
      <c r="D684" s="15">
        <v>3150000</v>
      </c>
      <c r="E684" t="s">
        <v>528</v>
      </c>
      <c r="F684" t="s">
        <v>529</v>
      </c>
      <c r="G684" t="s">
        <v>106</v>
      </c>
      <c r="H684" t="s">
        <v>527</v>
      </c>
      <c r="I684" s="6" t="s">
        <v>97</v>
      </c>
    </row>
    <row r="685" spans="1:9" hidden="1" x14ac:dyDescent="0.25">
      <c r="A685" s="3">
        <v>46010</v>
      </c>
      <c r="B685">
        <v>2025003635</v>
      </c>
      <c r="C685" t="s">
        <v>205</v>
      </c>
      <c r="D685" s="15">
        <v>7800000</v>
      </c>
      <c r="E685" t="s">
        <v>408</v>
      </c>
      <c r="F685" t="s">
        <v>24</v>
      </c>
      <c r="G685" t="s">
        <v>106</v>
      </c>
      <c r="H685" t="s">
        <v>205</v>
      </c>
      <c r="I685" s="6" t="s">
        <v>97</v>
      </c>
    </row>
    <row r="686" spans="1:9" hidden="1" x14ac:dyDescent="0.25">
      <c r="A686" s="3">
        <v>46010</v>
      </c>
      <c r="B686">
        <v>2025003636</v>
      </c>
      <c r="C686" t="s">
        <v>230</v>
      </c>
      <c r="D686" s="15">
        <v>7800000</v>
      </c>
      <c r="E686" t="s">
        <v>401</v>
      </c>
      <c r="F686" t="s">
        <v>75</v>
      </c>
      <c r="G686" t="s">
        <v>106</v>
      </c>
      <c r="H686" t="s">
        <v>230</v>
      </c>
      <c r="I686" s="6" t="s">
        <v>97</v>
      </c>
    </row>
    <row r="687" spans="1:9" hidden="1" x14ac:dyDescent="0.25">
      <c r="A687" s="3">
        <v>46010</v>
      </c>
      <c r="B687">
        <v>2025003637</v>
      </c>
      <c r="C687" t="s">
        <v>653</v>
      </c>
      <c r="D687" s="15">
        <v>2000000</v>
      </c>
      <c r="E687" t="s">
        <v>654</v>
      </c>
      <c r="F687" t="s">
        <v>655</v>
      </c>
      <c r="G687" t="s">
        <v>106</v>
      </c>
      <c r="H687" t="s">
        <v>653</v>
      </c>
      <c r="I687" s="6" t="s">
        <v>97</v>
      </c>
    </row>
    <row r="688" spans="1:9" hidden="1" x14ac:dyDescent="0.25">
      <c r="A688" s="3">
        <v>46010</v>
      </c>
      <c r="B688">
        <v>2025003638</v>
      </c>
      <c r="C688" t="s">
        <v>261</v>
      </c>
      <c r="D688" s="15">
        <v>7800000</v>
      </c>
      <c r="E688" t="s">
        <v>518</v>
      </c>
      <c r="F688" t="s">
        <v>23</v>
      </c>
      <c r="G688" t="s">
        <v>106</v>
      </c>
      <c r="H688" t="s">
        <v>261</v>
      </c>
      <c r="I688" s="6" t="s">
        <v>97</v>
      </c>
    </row>
    <row r="689" spans="1:9" hidden="1" x14ac:dyDescent="0.25">
      <c r="A689" s="3">
        <v>46010</v>
      </c>
      <c r="B689">
        <v>2025003641</v>
      </c>
      <c r="C689" t="s">
        <v>325</v>
      </c>
      <c r="D689" s="15">
        <v>7800000</v>
      </c>
      <c r="E689" t="s">
        <v>640</v>
      </c>
      <c r="F689" t="s">
        <v>326</v>
      </c>
      <c r="G689" t="s">
        <v>106</v>
      </c>
      <c r="H689" t="s">
        <v>325</v>
      </c>
      <c r="I689" s="6" t="s">
        <v>97</v>
      </c>
    </row>
    <row r="690" spans="1:9" hidden="1" x14ac:dyDescent="0.25">
      <c r="A690" s="3">
        <v>46010</v>
      </c>
      <c r="B690">
        <v>2025003642</v>
      </c>
      <c r="C690" t="s">
        <v>876</v>
      </c>
      <c r="D690" s="15">
        <v>2000000</v>
      </c>
      <c r="E690" t="s">
        <v>877</v>
      </c>
      <c r="F690" t="s">
        <v>878</v>
      </c>
      <c r="G690" t="s">
        <v>106</v>
      </c>
      <c r="H690" t="s">
        <v>876</v>
      </c>
      <c r="I690" s="6" t="s">
        <v>97</v>
      </c>
    </row>
    <row r="691" spans="1:9" hidden="1" x14ac:dyDescent="0.25">
      <c r="A691" s="3">
        <v>46010</v>
      </c>
      <c r="B691">
        <v>2025003644</v>
      </c>
      <c r="C691" t="s">
        <v>879</v>
      </c>
      <c r="D691" s="15">
        <v>3150000</v>
      </c>
      <c r="E691" t="s">
        <v>880</v>
      </c>
      <c r="F691" t="s">
        <v>96</v>
      </c>
      <c r="G691" t="s">
        <v>106</v>
      </c>
      <c r="H691" t="s">
        <v>879</v>
      </c>
      <c r="I691" s="6" t="s">
        <v>97</v>
      </c>
    </row>
    <row r="692" spans="1:9" hidden="1" x14ac:dyDescent="0.25">
      <c r="A692" s="3">
        <v>46010</v>
      </c>
      <c r="B692">
        <v>2025003650</v>
      </c>
      <c r="C692" t="s">
        <v>881</v>
      </c>
      <c r="D692" s="15">
        <v>3150000</v>
      </c>
      <c r="E692" t="s">
        <v>882</v>
      </c>
      <c r="F692" t="s">
        <v>91</v>
      </c>
      <c r="G692" t="s">
        <v>106</v>
      </c>
      <c r="H692" t="s">
        <v>881</v>
      </c>
      <c r="I692" s="6" t="s">
        <v>97</v>
      </c>
    </row>
    <row r="693" spans="1:9" hidden="1" x14ac:dyDescent="0.25">
      <c r="A693" s="3">
        <v>46010</v>
      </c>
      <c r="B693">
        <v>2025003652</v>
      </c>
      <c r="C693" t="s">
        <v>565</v>
      </c>
      <c r="D693" s="15">
        <v>3150000</v>
      </c>
      <c r="E693" t="s">
        <v>566</v>
      </c>
      <c r="F693" t="s">
        <v>567</v>
      </c>
      <c r="G693" t="s">
        <v>106</v>
      </c>
      <c r="H693" t="s">
        <v>565</v>
      </c>
      <c r="I693" s="6" t="s">
        <v>97</v>
      </c>
    </row>
    <row r="694" spans="1:9" hidden="1" x14ac:dyDescent="0.25">
      <c r="A694" s="3">
        <v>46010</v>
      </c>
      <c r="B694">
        <v>2025003661</v>
      </c>
      <c r="C694" t="s">
        <v>275</v>
      </c>
      <c r="D694" s="15">
        <v>4730000</v>
      </c>
      <c r="E694" t="s">
        <v>719</v>
      </c>
      <c r="F694" t="s">
        <v>276</v>
      </c>
      <c r="G694" t="s">
        <v>106</v>
      </c>
      <c r="H694" t="s">
        <v>275</v>
      </c>
      <c r="I694" s="6" t="s">
        <v>97</v>
      </c>
    </row>
    <row r="695" spans="1:9" hidden="1" x14ac:dyDescent="0.25">
      <c r="A695" s="3">
        <v>46010</v>
      </c>
      <c r="B695">
        <v>2025003662</v>
      </c>
      <c r="C695" t="s">
        <v>334</v>
      </c>
      <c r="D695" s="15">
        <v>3150000</v>
      </c>
      <c r="E695" t="s">
        <v>537</v>
      </c>
      <c r="F695" t="s">
        <v>19</v>
      </c>
      <c r="G695" t="s">
        <v>106</v>
      </c>
      <c r="H695" t="s">
        <v>334</v>
      </c>
      <c r="I695" s="6" t="s">
        <v>97</v>
      </c>
    </row>
    <row r="696" spans="1:9" hidden="1" x14ac:dyDescent="0.25">
      <c r="A696" s="3">
        <v>46010</v>
      </c>
      <c r="B696">
        <v>2025003663</v>
      </c>
      <c r="C696" t="s">
        <v>198</v>
      </c>
      <c r="D696" s="15">
        <v>7800000</v>
      </c>
      <c r="E696" t="s">
        <v>434</v>
      </c>
      <c r="F696" t="s">
        <v>199</v>
      </c>
      <c r="G696" t="s">
        <v>106</v>
      </c>
      <c r="H696" t="s">
        <v>198</v>
      </c>
      <c r="I696" s="6" t="s">
        <v>97</v>
      </c>
    </row>
    <row r="697" spans="1:9" hidden="1" x14ac:dyDescent="0.25">
      <c r="A697" s="3">
        <v>46010</v>
      </c>
      <c r="B697">
        <v>2025003664</v>
      </c>
      <c r="C697" t="s">
        <v>189</v>
      </c>
      <c r="D697" s="15">
        <v>3150000</v>
      </c>
      <c r="E697" t="s">
        <v>504</v>
      </c>
      <c r="F697" t="s">
        <v>67</v>
      </c>
      <c r="G697" t="s">
        <v>106</v>
      </c>
      <c r="H697" t="s">
        <v>189</v>
      </c>
      <c r="I697" s="6" t="s">
        <v>97</v>
      </c>
    </row>
    <row r="698" spans="1:9" hidden="1" x14ac:dyDescent="0.25">
      <c r="A698" s="3">
        <v>46010</v>
      </c>
      <c r="B698">
        <v>2025003665</v>
      </c>
      <c r="C698" t="s">
        <v>251</v>
      </c>
      <c r="D698" s="15">
        <v>3150000</v>
      </c>
      <c r="E698" t="s">
        <v>449</v>
      </c>
      <c r="F698" t="s">
        <v>252</v>
      </c>
      <c r="G698" t="s">
        <v>106</v>
      </c>
      <c r="H698" t="s">
        <v>251</v>
      </c>
      <c r="I698" s="6" t="s">
        <v>97</v>
      </c>
    </row>
    <row r="699" spans="1:9" hidden="1" x14ac:dyDescent="0.25">
      <c r="A699" s="3">
        <v>46010</v>
      </c>
      <c r="B699">
        <v>2025003666</v>
      </c>
      <c r="C699" t="s">
        <v>267</v>
      </c>
      <c r="D699" s="15">
        <v>3150000</v>
      </c>
      <c r="E699" t="s">
        <v>656</v>
      </c>
      <c r="F699" t="s">
        <v>41</v>
      </c>
      <c r="G699" t="s">
        <v>106</v>
      </c>
      <c r="H699" t="s">
        <v>267</v>
      </c>
      <c r="I699" s="6" t="s">
        <v>97</v>
      </c>
    </row>
    <row r="700" spans="1:9" hidden="1" x14ac:dyDescent="0.25">
      <c r="A700" s="3">
        <v>46010</v>
      </c>
      <c r="B700">
        <v>2025003667</v>
      </c>
      <c r="C700" t="s">
        <v>317</v>
      </c>
      <c r="D700" s="15">
        <v>4730000</v>
      </c>
      <c r="E700" t="s">
        <v>505</v>
      </c>
      <c r="F700" t="s">
        <v>318</v>
      </c>
      <c r="G700" t="s">
        <v>106</v>
      </c>
      <c r="H700" t="s">
        <v>317</v>
      </c>
      <c r="I700" s="6" t="s">
        <v>97</v>
      </c>
    </row>
    <row r="701" spans="1:9" hidden="1" x14ac:dyDescent="0.25">
      <c r="A701" s="3">
        <v>46010</v>
      </c>
      <c r="B701">
        <v>2025003668</v>
      </c>
      <c r="C701" t="s">
        <v>780</v>
      </c>
      <c r="D701" s="15">
        <v>3150000</v>
      </c>
      <c r="E701" t="s">
        <v>781</v>
      </c>
      <c r="F701" t="s">
        <v>782</v>
      </c>
      <c r="G701" t="s">
        <v>106</v>
      </c>
      <c r="H701" t="s">
        <v>780</v>
      </c>
      <c r="I701" s="6" t="s">
        <v>97</v>
      </c>
    </row>
    <row r="702" spans="1:9" hidden="1" x14ac:dyDescent="0.25">
      <c r="A702" s="3">
        <v>46010</v>
      </c>
      <c r="B702">
        <v>2025003669</v>
      </c>
      <c r="C702" t="s">
        <v>233</v>
      </c>
      <c r="D702" s="15">
        <v>3150000</v>
      </c>
      <c r="E702" t="s">
        <v>390</v>
      </c>
      <c r="F702" t="s">
        <v>80</v>
      </c>
      <c r="G702" t="s">
        <v>106</v>
      </c>
      <c r="H702" t="s">
        <v>233</v>
      </c>
      <c r="I702" s="6" t="s">
        <v>97</v>
      </c>
    </row>
    <row r="703" spans="1:9" hidden="1" x14ac:dyDescent="0.25">
      <c r="A703" s="3">
        <v>46010</v>
      </c>
      <c r="B703">
        <v>2025003670</v>
      </c>
      <c r="C703" t="s">
        <v>327</v>
      </c>
      <c r="D703" s="15">
        <v>3150000</v>
      </c>
      <c r="E703" t="s">
        <v>564</v>
      </c>
      <c r="F703" t="s">
        <v>328</v>
      </c>
      <c r="G703" t="s">
        <v>106</v>
      </c>
      <c r="H703" t="s">
        <v>327</v>
      </c>
      <c r="I703" s="6" t="s">
        <v>97</v>
      </c>
    </row>
    <row r="704" spans="1:9" hidden="1" x14ac:dyDescent="0.25">
      <c r="A704" s="3">
        <v>46010</v>
      </c>
      <c r="B704">
        <v>2025003671</v>
      </c>
      <c r="C704" t="s">
        <v>881</v>
      </c>
      <c r="D704" s="15">
        <v>3150000</v>
      </c>
      <c r="E704" t="s">
        <v>882</v>
      </c>
      <c r="F704" t="s">
        <v>91</v>
      </c>
      <c r="G704" t="s">
        <v>106</v>
      </c>
      <c r="H704" t="s">
        <v>881</v>
      </c>
      <c r="I704" s="6" t="s">
        <v>97</v>
      </c>
    </row>
    <row r="705" spans="1:9" hidden="1" x14ac:dyDescent="0.25">
      <c r="A705" s="3">
        <v>46010</v>
      </c>
      <c r="B705">
        <v>2025003672</v>
      </c>
      <c r="C705" t="s">
        <v>534</v>
      </c>
      <c r="D705" s="15">
        <v>2000000</v>
      </c>
      <c r="E705" t="s">
        <v>535</v>
      </c>
      <c r="F705" t="s">
        <v>536</v>
      </c>
      <c r="G705" t="s">
        <v>106</v>
      </c>
      <c r="H705" t="s">
        <v>534</v>
      </c>
      <c r="I705" s="6" t="s">
        <v>97</v>
      </c>
    </row>
    <row r="706" spans="1:9" hidden="1" x14ac:dyDescent="0.25">
      <c r="A706" s="3">
        <v>46010</v>
      </c>
      <c r="B706">
        <v>2025003673</v>
      </c>
      <c r="C706" t="s">
        <v>803</v>
      </c>
      <c r="D706" s="15">
        <v>2000000</v>
      </c>
      <c r="E706" t="s">
        <v>804</v>
      </c>
      <c r="F706" t="s">
        <v>88</v>
      </c>
      <c r="G706" t="s">
        <v>106</v>
      </c>
      <c r="H706" t="s">
        <v>803</v>
      </c>
      <c r="I706" s="6" t="s">
        <v>97</v>
      </c>
    </row>
    <row r="707" spans="1:9" hidden="1" x14ac:dyDescent="0.25">
      <c r="A707" s="3">
        <v>46010</v>
      </c>
      <c r="B707">
        <v>2025003674</v>
      </c>
      <c r="C707" t="s">
        <v>565</v>
      </c>
      <c r="D707" s="15">
        <v>3150000</v>
      </c>
      <c r="E707" t="s">
        <v>566</v>
      </c>
      <c r="F707" t="s">
        <v>567</v>
      </c>
      <c r="G707" t="s">
        <v>106</v>
      </c>
      <c r="H707" t="s">
        <v>565</v>
      </c>
      <c r="I707" s="6" t="s">
        <v>97</v>
      </c>
    </row>
    <row r="708" spans="1:9" hidden="1" x14ac:dyDescent="0.25">
      <c r="A708" s="3">
        <v>46010</v>
      </c>
      <c r="B708">
        <v>2025003675</v>
      </c>
      <c r="C708" t="s">
        <v>775</v>
      </c>
      <c r="D708" s="15">
        <v>3150000</v>
      </c>
      <c r="E708" t="s">
        <v>776</v>
      </c>
      <c r="F708" t="s">
        <v>89</v>
      </c>
      <c r="G708" t="s">
        <v>106</v>
      </c>
      <c r="H708" t="s">
        <v>775</v>
      </c>
      <c r="I708" s="6" t="s">
        <v>97</v>
      </c>
    </row>
    <row r="709" spans="1:9" hidden="1" x14ac:dyDescent="0.25">
      <c r="A709" s="3">
        <v>46010</v>
      </c>
      <c r="B709">
        <v>2025003676</v>
      </c>
      <c r="C709" s="6" t="s">
        <v>638</v>
      </c>
      <c r="D709" s="15">
        <v>3150000</v>
      </c>
      <c r="E709" t="s">
        <v>639</v>
      </c>
      <c r="F709" t="s">
        <v>85</v>
      </c>
      <c r="G709" t="s">
        <v>106</v>
      </c>
      <c r="H709" s="6" t="s">
        <v>638</v>
      </c>
      <c r="I709" s="6" t="s">
        <v>97</v>
      </c>
    </row>
    <row r="710" spans="1:9" hidden="1" x14ac:dyDescent="0.25">
      <c r="A710" s="3">
        <v>46010</v>
      </c>
      <c r="B710">
        <v>2025003677</v>
      </c>
      <c r="C710" t="s">
        <v>810</v>
      </c>
      <c r="D710" s="15">
        <v>2000000</v>
      </c>
      <c r="E710" t="s">
        <v>811</v>
      </c>
      <c r="F710" t="s">
        <v>812</v>
      </c>
      <c r="G710" t="s">
        <v>106</v>
      </c>
      <c r="H710" t="s">
        <v>810</v>
      </c>
      <c r="I710" s="6" t="s">
        <v>97</v>
      </c>
    </row>
    <row r="711" spans="1:9" hidden="1" x14ac:dyDescent="0.25">
      <c r="A711" s="3">
        <v>46010</v>
      </c>
      <c r="B711">
        <v>2025003678</v>
      </c>
      <c r="C711" t="s">
        <v>797</v>
      </c>
      <c r="D711" s="15">
        <v>3150000</v>
      </c>
      <c r="E711" t="s">
        <v>798</v>
      </c>
      <c r="F711" t="s">
        <v>799</v>
      </c>
      <c r="G711" t="s">
        <v>106</v>
      </c>
      <c r="H711" t="s">
        <v>797</v>
      </c>
      <c r="I711" s="6" t="s">
        <v>97</v>
      </c>
    </row>
    <row r="712" spans="1:9" hidden="1" x14ac:dyDescent="0.25">
      <c r="A712" s="3">
        <v>46010</v>
      </c>
      <c r="B712">
        <v>2025003679</v>
      </c>
      <c r="C712" t="s">
        <v>259</v>
      </c>
      <c r="D712" s="15">
        <v>6300000</v>
      </c>
      <c r="E712" t="s">
        <v>538</v>
      </c>
      <c r="F712" t="s">
        <v>260</v>
      </c>
      <c r="G712" t="s">
        <v>106</v>
      </c>
      <c r="H712" t="s">
        <v>259</v>
      </c>
      <c r="I712" s="6" t="s">
        <v>97</v>
      </c>
    </row>
    <row r="713" spans="1:9" hidden="1" x14ac:dyDescent="0.25">
      <c r="A713" s="3">
        <v>46010</v>
      </c>
      <c r="B713">
        <v>2025003680</v>
      </c>
      <c r="C713" t="s">
        <v>643</v>
      </c>
      <c r="D713" s="15">
        <v>2000000</v>
      </c>
      <c r="E713" t="s">
        <v>644</v>
      </c>
      <c r="F713" t="s">
        <v>645</v>
      </c>
      <c r="G713" t="s">
        <v>106</v>
      </c>
      <c r="H713" t="s">
        <v>643</v>
      </c>
      <c r="I713" s="6" t="s">
        <v>97</v>
      </c>
    </row>
    <row r="714" spans="1:9" hidden="1" x14ac:dyDescent="0.25">
      <c r="A714" s="3">
        <v>46010</v>
      </c>
      <c r="B714">
        <v>2025003682</v>
      </c>
      <c r="C714" t="s">
        <v>830</v>
      </c>
      <c r="D714" s="15">
        <v>2000000</v>
      </c>
      <c r="E714" t="s">
        <v>831</v>
      </c>
      <c r="F714" t="s">
        <v>832</v>
      </c>
      <c r="G714" t="s">
        <v>106</v>
      </c>
      <c r="H714" t="s">
        <v>830</v>
      </c>
      <c r="I714" s="6" t="s">
        <v>97</v>
      </c>
    </row>
    <row r="715" spans="1:9" hidden="1" x14ac:dyDescent="0.25">
      <c r="A715" s="3">
        <v>46010</v>
      </c>
      <c r="B715">
        <v>2025003683</v>
      </c>
      <c r="C715" t="s">
        <v>777</v>
      </c>
      <c r="D715" s="15">
        <v>3150000</v>
      </c>
      <c r="E715" t="s">
        <v>778</v>
      </c>
      <c r="F715" t="s">
        <v>779</v>
      </c>
      <c r="G715" t="s">
        <v>106</v>
      </c>
      <c r="H715" t="s">
        <v>777</v>
      </c>
      <c r="I715" s="6" t="s">
        <v>97</v>
      </c>
    </row>
    <row r="716" spans="1:9" hidden="1" x14ac:dyDescent="0.25">
      <c r="A716" s="3">
        <v>46010</v>
      </c>
      <c r="B716">
        <v>2025003684</v>
      </c>
      <c r="C716" t="s">
        <v>827</v>
      </c>
      <c r="D716" s="15">
        <v>2000000</v>
      </c>
      <c r="E716" t="s">
        <v>828</v>
      </c>
      <c r="F716" t="s">
        <v>829</v>
      </c>
      <c r="G716" t="s">
        <v>106</v>
      </c>
      <c r="H716" t="s">
        <v>827</v>
      </c>
      <c r="I716" s="6" t="s">
        <v>97</v>
      </c>
    </row>
    <row r="717" spans="1:9" hidden="1" x14ac:dyDescent="0.25">
      <c r="A717" s="3">
        <v>46010</v>
      </c>
      <c r="B717">
        <v>2025003685</v>
      </c>
      <c r="C717" t="s">
        <v>141</v>
      </c>
      <c r="D717" s="15">
        <v>6300000</v>
      </c>
      <c r="E717" t="s">
        <v>623</v>
      </c>
      <c r="F717" t="s">
        <v>142</v>
      </c>
      <c r="G717" t="s">
        <v>106</v>
      </c>
      <c r="H717" t="s">
        <v>141</v>
      </c>
      <c r="I717" s="6" t="s">
        <v>97</v>
      </c>
    </row>
    <row r="718" spans="1:9" hidden="1" x14ac:dyDescent="0.25">
      <c r="A718" s="3">
        <v>46010</v>
      </c>
      <c r="B718">
        <v>2025003686</v>
      </c>
      <c r="C718" t="s">
        <v>657</v>
      </c>
      <c r="D718" s="15">
        <v>2000000</v>
      </c>
      <c r="E718" t="s">
        <v>658</v>
      </c>
      <c r="F718" t="s">
        <v>659</v>
      </c>
      <c r="G718" t="s">
        <v>106</v>
      </c>
      <c r="H718" t="s">
        <v>657</v>
      </c>
      <c r="I718" s="6" t="s">
        <v>97</v>
      </c>
    </row>
    <row r="719" spans="1:9" hidden="1" x14ac:dyDescent="0.25">
      <c r="A719" s="3">
        <v>46010</v>
      </c>
      <c r="B719">
        <v>2025003687</v>
      </c>
      <c r="C719" t="s">
        <v>333</v>
      </c>
      <c r="D719" s="15">
        <v>3150000</v>
      </c>
      <c r="E719" t="s">
        <v>641</v>
      </c>
      <c r="F719" t="s">
        <v>14</v>
      </c>
      <c r="G719" t="s">
        <v>106</v>
      </c>
      <c r="H719" t="s">
        <v>333</v>
      </c>
      <c r="I719" s="6" t="s">
        <v>97</v>
      </c>
    </row>
    <row r="720" spans="1:9" hidden="1" x14ac:dyDescent="0.25">
      <c r="A720" s="3">
        <v>46010</v>
      </c>
      <c r="B720">
        <v>2025003688</v>
      </c>
      <c r="C720" t="s">
        <v>819</v>
      </c>
      <c r="D720" s="15">
        <v>3150000</v>
      </c>
      <c r="E720" t="s">
        <v>820</v>
      </c>
      <c r="F720" t="s">
        <v>102</v>
      </c>
      <c r="G720" t="s">
        <v>106</v>
      </c>
      <c r="H720" t="s">
        <v>819</v>
      </c>
      <c r="I720" s="6" t="s">
        <v>97</v>
      </c>
    </row>
    <row r="721" spans="1:9" hidden="1" x14ac:dyDescent="0.25">
      <c r="A721" s="3">
        <v>46010</v>
      </c>
      <c r="B721">
        <v>2025003689</v>
      </c>
      <c r="C721" t="s">
        <v>319</v>
      </c>
      <c r="D721" s="15">
        <v>7800000</v>
      </c>
      <c r="E721" t="s">
        <v>393</v>
      </c>
      <c r="F721" t="s">
        <v>320</v>
      </c>
      <c r="G721" t="s">
        <v>106</v>
      </c>
      <c r="H721" t="s">
        <v>319</v>
      </c>
      <c r="I721" s="6" t="s">
        <v>97</v>
      </c>
    </row>
    <row r="722" spans="1:9" hidden="1" x14ac:dyDescent="0.25">
      <c r="A722" s="3">
        <v>46010</v>
      </c>
      <c r="B722">
        <v>2025003690</v>
      </c>
      <c r="C722" t="s">
        <v>139</v>
      </c>
      <c r="D722" s="15">
        <v>3150000</v>
      </c>
      <c r="E722" t="s">
        <v>568</v>
      </c>
      <c r="F722" t="s">
        <v>63</v>
      </c>
      <c r="G722" t="s">
        <v>106</v>
      </c>
      <c r="H722" t="s">
        <v>139</v>
      </c>
      <c r="I722" s="6" t="s">
        <v>97</v>
      </c>
    </row>
    <row r="723" spans="1:9" hidden="1" x14ac:dyDescent="0.25">
      <c r="A723" s="3">
        <v>46010</v>
      </c>
      <c r="B723">
        <v>2025003691</v>
      </c>
      <c r="C723" t="s">
        <v>299</v>
      </c>
      <c r="D723" s="15">
        <v>6300000</v>
      </c>
      <c r="E723" t="s">
        <v>443</v>
      </c>
      <c r="F723" t="s">
        <v>300</v>
      </c>
      <c r="G723" t="s">
        <v>106</v>
      </c>
      <c r="H723" t="s">
        <v>299</v>
      </c>
      <c r="I723" s="6" t="s">
        <v>97</v>
      </c>
    </row>
    <row r="724" spans="1:9" hidden="1" x14ac:dyDescent="0.25">
      <c r="A724" s="3">
        <v>46010</v>
      </c>
      <c r="B724">
        <v>2025003692</v>
      </c>
      <c r="C724" t="s">
        <v>783</v>
      </c>
      <c r="D724" s="15">
        <v>3150000</v>
      </c>
      <c r="E724" t="s">
        <v>784</v>
      </c>
      <c r="F724" t="s">
        <v>785</v>
      </c>
      <c r="G724" t="s">
        <v>106</v>
      </c>
      <c r="H724" t="s">
        <v>783</v>
      </c>
      <c r="I724" s="6" t="s">
        <v>97</v>
      </c>
    </row>
    <row r="725" spans="1:9" hidden="1" x14ac:dyDescent="0.25">
      <c r="A725" s="3">
        <v>46010</v>
      </c>
      <c r="B725">
        <v>2025003693</v>
      </c>
      <c r="C725" t="s">
        <v>516</v>
      </c>
      <c r="D725" s="15">
        <v>2000000</v>
      </c>
      <c r="E725" t="s">
        <v>517</v>
      </c>
      <c r="F725" t="s">
        <v>37</v>
      </c>
      <c r="G725" t="s">
        <v>106</v>
      </c>
      <c r="H725" t="s">
        <v>516</v>
      </c>
      <c r="I725" s="6" t="s">
        <v>97</v>
      </c>
    </row>
    <row r="726" spans="1:9" hidden="1" x14ac:dyDescent="0.25">
      <c r="A726" s="3">
        <v>46010</v>
      </c>
      <c r="B726">
        <v>2025003694</v>
      </c>
      <c r="C726" t="s">
        <v>524</v>
      </c>
      <c r="D726" s="15">
        <v>2000000</v>
      </c>
      <c r="E726" t="s">
        <v>525</v>
      </c>
      <c r="F726" t="s">
        <v>526</v>
      </c>
      <c r="G726" t="s">
        <v>106</v>
      </c>
      <c r="H726" t="s">
        <v>524</v>
      </c>
      <c r="I726" s="6" t="s">
        <v>97</v>
      </c>
    </row>
    <row r="727" spans="1:9" hidden="1" x14ac:dyDescent="0.25">
      <c r="A727" s="3">
        <v>46010</v>
      </c>
      <c r="B727">
        <v>2025003695</v>
      </c>
      <c r="C727" t="s">
        <v>268</v>
      </c>
      <c r="D727" s="15">
        <v>3150000</v>
      </c>
      <c r="E727" t="s">
        <v>583</v>
      </c>
      <c r="F727" t="s">
        <v>65</v>
      </c>
      <c r="G727" t="s">
        <v>106</v>
      </c>
      <c r="H727" t="s">
        <v>268</v>
      </c>
      <c r="I727" s="6" t="s">
        <v>97</v>
      </c>
    </row>
    <row r="728" spans="1:9" hidden="1" x14ac:dyDescent="0.25">
      <c r="A728" s="3">
        <v>46010</v>
      </c>
      <c r="B728">
        <v>2025003697</v>
      </c>
      <c r="C728" t="s">
        <v>833</v>
      </c>
      <c r="D728" s="15">
        <v>3150000</v>
      </c>
      <c r="E728" t="s">
        <v>834</v>
      </c>
      <c r="F728" t="s">
        <v>835</v>
      </c>
      <c r="G728" t="s">
        <v>106</v>
      </c>
      <c r="H728" t="s">
        <v>833</v>
      </c>
      <c r="I728" s="6" t="s">
        <v>97</v>
      </c>
    </row>
    <row r="729" spans="1:9" hidden="1" x14ac:dyDescent="0.25">
      <c r="A729" s="3">
        <v>46010</v>
      </c>
      <c r="B729">
        <v>2025003698</v>
      </c>
      <c r="C729" t="s">
        <v>335</v>
      </c>
      <c r="D729" s="15">
        <v>6300000</v>
      </c>
      <c r="E729" t="s">
        <v>624</v>
      </c>
      <c r="F729" t="s">
        <v>52</v>
      </c>
      <c r="G729" t="s">
        <v>106</v>
      </c>
      <c r="H729" t="s">
        <v>335</v>
      </c>
      <c r="I729" s="6" t="s">
        <v>97</v>
      </c>
    </row>
    <row r="730" spans="1:9" hidden="1" x14ac:dyDescent="0.25">
      <c r="A730" s="3">
        <v>46010</v>
      </c>
      <c r="B730">
        <v>2025003699</v>
      </c>
      <c r="C730" t="s">
        <v>879</v>
      </c>
      <c r="D730" s="15">
        <v>3150000</v>
      </c>
      <c r="E730" t="s">
        <v>880</v>
      </c>
      <c r="F730" t="s">
        <v>96</v>
      </c>
      <c r="G730" t="s">
        <v>106</v>
      </c>
      <c r="H730" t="s">
        <v>879</v>
      </c>
      <c r="I730" s="6" t="s">
        <v>97</v>
      </c>
    </row>
    <row r="731" spans="1:9" hidden="1" x14ac:dyDescent="0.25">
      <c r="A731" s="3">
        <v>46010</v>
      </c>
      <c r="B731">
        <v>2025003700</v>
      </c>
      <c r="C731" t="s">
        <v>786</v>
      </c>
      <c r="D731" s="15">
        <v>3150000</v>
      </c>
      <c r="E731" t="s">
        <v>787</v>
      </c>
      <c r="F731" t="s">
        <v>788</v>
      </c>
      <c r="G731" t="s">
        <v>106</v>
      </c>
      <c r="H731" t="s">
        <v>786</v>
      </c>
      <c r="I731" s="6" t="s">
        <v>97</v>
      </c>
    </row>
    <row r="732" spans="1:9" hidden="1" x14ac:dyDescent="0.25">
      <c r="A732" s="3">
        <v>46010</v>
      </c>
      <c r="B732">
        <v>2025003701</v>
      </c>
      <c r="C732" t="s">
        <v>773</v>
      </c>
      <c r="D732" s="15">
        <v>3150000</v>
      </c>
      <c r="E732" t="s">
        <v>774</v>
      </c>
      <c r="F732" t="s">
        <v>84</v>
      </c>
      <c r="G732" t="s">
        <v>106</v>
      </c>
      <c r="H732" t="s">
        <v>773</v>
      </c>
      <c r="I732" s="6" t="s">
        <v>97</v>
      </c>
    </row>
    <row r="733" spans="1:9" hidden="1" x14ac:dyDescent="0.25">
      <c r="A733" s="3">
        <v>46010</v>
      </c>
      <c r="B733">
        <v>2025003702</v>
      </c>
      <c r="C733" t="s">
        <v>336</v>
      </c>
      <c r="D733" s="15">
        <v>4730000</v>
      </c>
      <c r="E733" t="s">
        <v>579</v>
      </c>
      <c r="F733" t="s">
        <v>38</v>
      </c>
      <c r="G733" t="s">
        <v>106</v>
      </c>
      <c r="H733" t="s">
        <v>336</v>
      </c>
      <c r="I733" s="6" t="s">
        <v>97</v>
      </c>
    </row>
    <row r="734" spans="1:9" hidden="1" x14ac:dyDescent="0.25">
      <c r="A734" s="3">
        <v>46010</v>
      </c>
      <c r="B734">
        <v>2025003703</v>
      </c>
      <c r="C734" t="s">
        <v>359</v>
      </c>
      <c r="D734" s="15">
        <v>4730000</v>
      </c>
      <c r="E734" t="s">
        <v>360</v>
      </c>
      <c r="F734" t="s">
        <v>99</v>
      </c>
      <c r="G734" t="s">
        <v>106</v>
      </c>
      <c r="H734" t="s">
        <v>359</v>
      </c>
      <c r="I734" s="6" t="s">
        <v>97</v>
      </c>
    </row>
    <row r="735" spans="1:9" hidden="1" x14ac:dyDescent="0.25">
      <c r="A735" s="3">
        <v>46010</v>
      </c>
      <c r="B735">
        <v>2025003704</v>
      </c>
      <c r="C735" t="s">
        <v>572</v>
      </c>
      <c r="D735" s="15">
        <v>4730000</v>
      </c>
      <c r="E735" t="s">
        <v>573</v>
      </c>
      <c r="F735" t="s">
        <v>574</v>
      </c>
      <c r="G735" t="s">
        <v>106</v>
      </c>
      <c r="H735" t="s">
        <v>572</v>
      </c>
      <c r="I735" s="6" t="s">
        <v>97</v>
      </c>
    </row>
    <row r="736" spans="1:9" hidden="1" x14ac:dyDescent="0.25">
      <c r="A736" s="3">
        <v>46010</v>
      </c>
      <c r="B736">
        <v>2025003705</v>
      </c>
      <c r="C736" t="s">
        <v>140</v>
      </c>
      <c r="D736" s="15">
        <v>6300000</v>
      </c>
      <c r="E736" t="s">
        <v>582</v>
      </c>
      <c r="F736" t="s">
        <v>62</v>
      </c>
      <c r="G736" t="s">
        <v>106</v>
      </c>
      <c r="H736" t="s">
        <v>140</v>
      </c>
      <c r="I736" s="6" t="s">
        <v>97</v>
      </c>
    </row>
    <row r="737" spans="1:9" hidden="1" x14ac:dyDescent="0.25">
      <c r="A737" s="3">
        <v>46010</v>
      </c>
      <c r="B737">
        <v>2025003706</v>
      </c>
      <c r="C737" t="s">
        <v>575</v>
      </c>
      <c r="D737" s="15">
        <v>4730000</v>
      </c>
      <c r="E737" t="s">
        <v>576</v>
      </c>
      <c r="F737" t="s">
        <v>577</v>
      </c>
      <c r="G737" t="s">
        <v>106</v>
      </c>
      <c r="H737" t="s">
        <v>575</v>
      </c>
      <c r="I737" s="6" t="s">
        <v>97</v>
      </c>
    </row>
    <row r="738" spans="1:9" hidden="1" x14ac:dyDescent="0.25">
      <c r="A738" s="3">
        <v>46010</v>
      </c>
      <c r="B738">
        <v>2025003707</v>
      </c>
      <c r="C738" t="s">
        <v>613</v>
      </c>
      <c r="D738" s="15">
        <v>3150000</v>
      </c>
      <c r="E738" t="s">
        <v>614</v>
      </c>
      <c r="F738" t="s">
        <v>615</v>
      </c>
      <c r="G738" t="s">
        <v>106</v>
      </c>
      <c r="H738" t="s">
        <v>613</v>
      </c>
      <c r="I738" s="6" t="s">
        <v>97</v>
      </c>
    </row>
    <row r="739" spans="1:9" hidden="1" x14ac:dyDescent="0.25">
      <c r="A739" s="3">
        <v>46010</v>
      </c>
      <c r="B739">
        <v>2025003708</v>
      </c>
      <c r="C739" t="s">
        <v>137</v>
      </c>
      <c r="D739" s="15">
        <v>3150000</v>
      </c>
      <c r="E739" t="s">
        <v>530</v>
      </c>
      <c r="F739" t="s">
        <v>138</v>
      </c>
      <c r="G739" t="s">
        <v>106</v>
      </c>
      <c r="H739" t="s">
        <v>137</v>
      </c>
      <c r="I739" s="6" t="s">
        <v>97</v>
      </c>
    </row>
    <row r="740" spans="1:9" hidden="1" x14ac:dyDescent="0.25">
      <c r="A740" s="3">
        <v>46010</v>
      </c>
      <c r="B740">
        <v>2025003709</v>
      </c>
      <c r="C740" t="s">
        <v>329</v>
      </c>
      <c r="D740" s="15">
        <v>3150000</v>
      </c>
      <c r="E740" t="s">
        <v>563</v>
      </c>
      <c r="F740" t="s">
        <v>330</v>
      </c>
      <c r="G740" t="s">
        <v>106</v>
      </c>
      <c r="H740" t="s">
        <v>329</v>
      </c>
      <c r="I740" s="6" t="s">
        <v>97</v>
      </c>
    </row>
    <row r="741" spans="1:9" hidden="1" x14ac:dyDescent="0.25">
      <c r="A741" s="3">
        <v>46010</v>
      </c>
      <c r="B741">
        <v>2025003710</v>
      </c>
      <c r="C741" t="s">
        <v>131</v>
      </c>
      <c r="D741" s="15">
        <v>3150000</v>
      </c>
      <c r="E741" t="s">
        <v>531</v>
      </c>
      <c r="F741" t="s">
        <v>132</v>
      </c>
      <c r="G741" t="s">
        <v>106</v>
      </c>
      <c r="H741" t="s">
        <v>131</v>
      </c>
      <c r="I741" s="6" t="s">
        <v>97</v>
      </c>
    </row>
    <row r="742" spans="1:9" hidden="1" x14ac:dyDescent="0.25">
      <c r="A742" s="3">
        <v>46010</v>
      </c>
      <c r="B742">
        <v>2025003711</v>
      </c>
      <c r="C742" t="s">
        <v>813</v>
      </c>
      <c r="D742" s="15">
        <v>3150000</v>
      </c>
      <c r="E742" t="s">
        <v>814</v>
      </c>
      <c r="F742" t="s">
        <v>815</v>
      </c>
      <c r="G742" t="s">
        <v>106</v>
      </c>
      <c r="H742" t="s">
        <v>813</v>
      </c>
      <c r="I742" s="6" t="s">
        <v>97</v>
      </c>
    </row>
    <row r="743" spans="1:9" hidden="1" x14ac:dyDescent="0.25">
      <c r="A743" s="3">
        <v>46010</v>
      </c>
      <c r="B743">
        <v>2025003712</v>
      </c>
      <c r="C743" t="s">
        <v>807</v>
      </c>
      <c r="D743" s="15">
        <v>3150000</v>
      </c>
      <c r="E743" t="s">
        <v>808</v>
      </c>
      <c r="F743" t="s">
        <v>809</v>
      </c>
      <c r="G743" t="s">
        <v>106</v>
      </c>
      <c r="H743" t="s">
        <v>807</v>
      </c>
      <c r="I743" s="6" t="s">
        <v>97</v>
      </c>
    </row>
    <row r="744" spans="1:9" hidden="1" x14ac:dyDescent="0.25">
      <c r="A744" s="3">
        <v>46010</v>
      </c>
      <c r="B744">
        <v>2025003713</v>
      </c>
      <c r="C744" t="s">
        <v>136</v>
      </c>
      <c r="D744" s="15">
        <v>3150000</v>
      </c>
      <c r="E744" t="s">
        <v>616</v>
      </c>
      <c r="F744" t="s">
        <v>42</v>
      </c>
      <c r="G744" t="s">
        <v>106</v>
      </c>
      <c r="H744" t="s">
        <v>136</v>
      </c>
      <c r="I744" s="6" t="s">
        <v>97</v>
      </c>
    </row>
    <row r="745" spans="1:9" hidden="1" x14ac:dyDescent="0.25">
      <c r="A745" s="3">
        <v>46010</v>
      </c>
      <c r="B745">
        <v>2025003714</v>
      </c>
      <c r="C745" t="s">
        <v>816</v>
      </c>
      <c r="D745" s="15">
        <v>3150000</v>
      </c>
      <c r="E745" t="s">
        <v>817</v>
      </c>
      <c r="F745" t="s">
        <v>818</v>
      </c>
      <c r="G745" t="s">
        <v>106</v>
      </c>
      <c r="H745" t="s">
        <v>816</v>
      </c>
      <c r="I745" s="6" t="s">
        <v>97</v>
      </c>
    </row>
    <row r="746" spans="1:9" hidden="1" x14ac:dyDescent="0.25">
      <c r="A746" s="3">
        <v>46010</v>
      </c>
      <c r="B746">
        <v>2025003715</v>
      </c>
      <c r="C746" t="s">
        <v>262</v>
      </c>
      <c r="D746" s="15">
        <v>3150000</v>
      </c>
      <c r="E746" t="s">
        <v>533</v>
      </c>
      <c r="F746" t="s">
        <v>263</v>
      </c>
      <c r="G746" t="s">
        <v>106</v>
      </c>
      <c r="H746" t="s">
        <v>262</v>
      </c>
      <c r="I746" s="6" t="s">
        <v>97</v>
      </c>
    </row>
    <row r="747" spans="1:9" hidden="1" x14ac:dyDescent="0.25">
      <c r="A747" s="3">
        <v>46010</v>
      </c>
      <c r="B747">
        <v>2025003716</v>
      </c>
      <c r="C747" t="s">
        <v>135</v>
      </c>
      <c r="D747" s="15">
        <v>6300000</v>
      </c>
      <c r="E747" t="s">
        <v>515</v>
      </c>
      <c r="F747" t="s">
        <v>789</v>
      </c>
      <c r="G747" t="s">
        <v>106</v>
      </c>
      <c r="H747" t="s">
        <v>135</v>
      </c>
      <c r="I747" s="6" t="s">
        <v>97</v>
      </c>
    </row>
    <row r="748" spans="1:9" hidden="1" x14ac:dyDescent="0.25">
      <c r="A748" s="3">
        <v>46010</v>
      </c>
      <c r="B748">
        <v>2025003717</v>
      </c>
      <c r="C748" t="s">
        <v>580</v>
      </c>
      <c r="D748" s="15">
        <v>4730000</v>
      </c>
      <c r="E748" t="s">
        <v>581</v>
      </c>
      <c r="F748" t="s">
        <v>100</v>
      </c>
      <c r="G748" t="s">
        <v>106</v>
      </c>
      <c r="H748" t="s">
        <v>580</v>
      </c>
      <c r="I748" s="6" t="s">
        <v>97</v>
      </c>
    </row>
    <row r="749" spans="1:9" hidden="1" x14ac:dyDescent="0.25">
      <c r="A749" s="3">
        <v>46010</v>
      </c>
      <c r="B749">
        <v>2025003718</v>
      </c>
      <c r="C749" t="s">
        <v>587</v>
      </c>
      <c r="D749" s="15">
        <v>4730000</v>
      </c>
      <c r="E749" t="s">
        <v>588</v>
      </c>
      <c r="F749" t="s">
        <v>589</v>
      </c>
      <c r="G749" t="s">
        <v>106</v>
      </c>
      <c r="H749" t="s">
        <v>587</v>
      </c>
      <c r="I749" s="6" t="s">
        <v>97</v>
      </c>
    </row>
    <row r="750" spans="1:9" hidden="1" x14ac:dyDescent="0.25">
      <c r="A750" s="3">
        <v>46010</v>
      </c>
      <c r="B750">
        <v>2025003719</v>
      </c>
      <c r="C750" t="s">
        <v>266</v>
      </c>
      <c r="D750" s="15">
        <v>4730000</v>
      </c>
      <c r="E750" t="s">
        <v>578</v>
      </c>
      <c r="F750" t="s">
        <v>18</v>
      </c>
      <c r="G750" t="s">
        <v>106</v>
      </c>
      <c r="H750" t="s">
        <v>266</v>
      </c>
      <c r="I750" s="6" t="s">
        <v>97</v>
      </c>
    </row>
    <row r="751" spans="1:9" hidden="1" x14ac:dyDescent="0.25">
      <c r="A751" s="3">
        <v>46010</v>
      </c>
      <c r="B751">
        <v>2025003720</v>
      </c>
      <c r="C751" t="s">
        <v>337</v>
      </c>
      <c r="D751" s="15">
        <v>4730000</v>
      </c>
      <c r="E751" t="s">
        <v>642</v>
      </c>
      <c r="F751" t="s">
        <v>7</v>
      </c>
      <c r="G751" t="s">
        <v>106</v>
      </c>
      <c r="H751" t="s">
        <v>337</v>
      </c>
      <c r="I751" s="6" t="s">
        <v>97</v>
      </c>
    </row>
    <row r="752" spans="1:9" hidden="1" x14ac:dyDescent="0.25">
      <c r="A752" s="3">
        <v>46010</v>
      </c>
      <c r="B752">
        <v>2025003721</v>
      </c>
      <c r="C752" t="s">
        <v>520</v>
      </c>
      <c r="D752" s="15">
        <v>7800000</v>
      </c>
      <c r="E752" t="s">
        <v>521</v>
      </c>
      <c r="F752" t="s">
        <v>522</v>
      </c>
      <c r="G752" t="s">
        <v>106</v>
      </c>
      <c r="H752" t="s">
        <v>520</v>
      </c>
      <c r="I752" s="6" t="s">
        <v>97</v>
      </c>
    </row>
    <row r="753" spans="1:9" hidden="1" x14ac:dyDescent="0.25">
      <c r="A753" s="3">
        <v>46010</v>
      </c>
      <c r="B753">
        <v>2025003722</v>
      </c>
      <c r="C753" t="s">
        <v>794</v>
      </c>
      <c r="D753" s="15">
        <v>7800000</v>
      </c>
      <c r="E753" t="s">
        <v>795</v>
      </c>
      <c r="F753" t="s">
        <v>796</v>
      </c>
      <c r="G753" t="s">
        <v>106</v>
      </c>
      <c r="H753" t="s">
        <v>794</v>
      </c>
      <c r="I753" s="6" t="s">
        <v>97</v>
      </c>
    </row>
    <row r="754" spans="1:9" hidden="1" x14ac:dyDescent="0.25">
      <c r="A754" s="3">
        <v>46010</v>
      </c>
      <c r="B754">
        <v>2025003723</v>
      </c>
      <c r="C754" t="s">
        <v>265</v>
      </c>
      <c r="D754" s="15">
        <v>6300000</v>
      </c>
      <c r="E754" t="s">
        <v>539</v>
      </c>
      <c r="F754" t="s">
        <v>54</v>
      </c>
      <c r="G754" t="s">
        <v>106</v>
      </c>
      <c r="H754" t="s">
        <v>265</v>
      </c>
      <c r="I754" s="6" t="s">
        <v>97</v>
      </c>
    </row>
    <row r="755" spans="1:9" hidden="1" x14ac:dyDescent="0.25">
      <c r="A755" s="3">
        <v>46010</v>
      </c>
      <c r="B755">
        <v>2025003724</v>
      </c>
      <c r="C755" t="s">
        <v>338</v>
      </c>
      <c r="D755" s="15">
        <v>6300000</v>
      </c>
      <c r="E755" t="s">
        <v>585</v>
      </c>
      <c r="F755" t="s">
        <v>29</v>
      </c>
      <c r="G755" t="s">
        <v>106</v>
      </c>
      <c r="H755" t="s">
        <v>338</v>
      </c>
      <c r="I755" s="6" t="s">
        <v>97</v>
      </c>
    </row>
    <row r="756" spans="1:9" hidden="1" x14ac:dyDescent="0.25">
      <c r="A756" s="3">
        <v>46010</v>
      </c>
      <c r="B756">
        <v>2025003725</v>
      </c>
      <c r="C756" t="s">
        <v>800</v>
      </c>
      <c r="D756" s="15">
        <v>7800000</v>
      </c>
      <c r="E756" t="s">
        <v>801</v>
      </c>
      <c r="F756" t="s">
        <v>802</v>
      </c>
      <c r="G756" t="s">
        <v>106</v>
      </c>
      <c r="H756" t="s">
        <v>800</v>
      </c>
      <c r="I756" s="6" t="s">
        <v>97</v>
      </c>
    </row>
    <row r="757" spans="1:9" hidden="1" x14ac:dyDescent="0.25">
      <c r="A757" s="3">
        <v>46010</v>
      </c>
      <c r="B757">
        <v>2025003727</v>
      </c>
      <c r="C757" t="s">
        <v>770</v>
      </c>
      <c r="D757" s="15">
        <v>7800000</v>
      </c>
      <c r="E757" t="s">
        <v>771</v>
      </c>
      <c r="F757" t="s">
        <v>772</v>
      </c>
      <c r="G757" t="s">
        <v>106</v>
      </c>
      <c r="H757" t="s">
        <v>770</v>
      </c>
      <c r="I757" s="6" t="s">
        <v>97</v>
      </c>
    </row>
    <row r="758" spans="1:9" hidden="1" x14ac:dyDescent="0.25">
      <c r="A758" s="3">
        <v>46010</v>
      </c>
      <c r="B758">
        <v>2025003729</v>
      </c>
      <c r="C758" t="s">
        <v>264</v>
      </c>
      <c r="D758" s="15">
        <v>7800000</v>
      </c>
      <c r="E758" t="s">
        <v>523</v>
      </c>
      <c r="F758" t="s">
        <v>57</v>
      </c>
      <c r="G758" t="s">
        <v>106</v>
      </c>
      <c r="H758" t="s">
        <v>264</v>
      </c>
      <c r="I758" s="6" t="s">
        <v>97</v>
      </c>
    </row>
    <row r="759" spans="1:9" hidden="1" x14ac:dyDescent="0.25">
      <c r="A759" s="3">
        <v>46010</v>
      </c>
      <c r="B759">
        <v>2025003730</v>
      </c>
      <c r="C759" t="s">
        <v>883</v>
      </c>
      <c r="D759" s="15">
        <v>3150000</v>
      </c>
      <c r="E759" t="s">
        <v>884</v>
      </c>
      <c r="F759" t="s">
        <v>885</v>
      </c>
      <c r="G759" t="s">
        <v>106</v>
      </c>
      <c r="H759" t="s">
        <v>883</v>
      </c>
      <c r="I759" s="6" t="s">
        <v>97</v>
      </c>
    </row>
    <row r="760" spans="1:9" hidden="1" x14ac:dyDescent="0.25">
      <c r="A760" s="3">
        <v>46010</v>
      </c>
      <c r="B760">
        <v>2025003731</v>
      </c>
      <c r="C760" t="s">
        <v>886</v>
      </c>
      <c r="D760" s="15">
        <v>2000000</v>
      </c>
      <c r="E760" t="s">
        <v>887</v>
      </c>
      <c r="F760" t="s">
        <v>888</v>
      </c>
      <c r="G760" t="s">
        <v>106</v>
      </c>
      <c r="H760" t="s">
        <v>886</v>
      </c>
      <c r="I760" s="6" t="s">
        <v>97</v>
      </c>
    </row>
    <row r="761" spans="1:9" hidden="1" x14ac:dyDescent="0.25">
      <c r="A761" s="3">
        <v>46010</v>
      </c>
      <c r="B761">
        <v>2025003732</v>
      </c>
      <c r="C761" t="s">
        <v>889</v>
      </c>
      <c r="D761" s="15">
        <v>7800000</v>
      </c>
      <c r="E761" t="s">
        <v>890</v>
      </c>
      <c r="F761" t="s">
        <v>891</v>
      </c>
      <c r="G761" t="s">
        <v>106</v>
      </c>
      <c r="H761" t="s">
        <v>889</v>
      </c>
      <c r="I761" s="6" t="s">
        <v>97</v>
      </c>
    </row>
    <row r="762" spans="1:9" hidden="1" x14ac:dyDescent="0.25">
      <c r="A762" s="3">
        <v>46010</v>
      </c>
      <c r="B762">
        <v>2025003733</v>
      </c>
      <c r="C762" t="s">
        <v>178</v>
      </c>
      <c r="D762" s="15">
        <v>3150000</v>
      </c>
      <c r="E762" t="s">
        <v>420</v>
      </c>
      <c r="F762" t="s">
        <v>179</v>
      </c>
      <c r="G762" t="s">
        <v>106</v>
      </c>
      <c r="H762" t="s">
        <v>178</v>
      </c>
      <c r="I762" s="6" t="s">
        <v>97</v>
      </c>
    </row>
    <row r="763" spans="1:9" hidden="1" x14ac:dyDescent="0.25">
      <c r="A763" s="3">
        <v>46010</v>
      </c>
      <c r="B763">
        <v>2025003734</v>
      </c>
      <c r="C763" t="s">
        <v>699</v>
      </c>
      <c r="D763" s="15">
        <v>4730000</v>
      </c>
      <c r="E763" t="s">
        <v>700</v>
      </c>
      <c r="F763" t="s">
        <v>701</v>
      </c>
      <c r="G763" t="s">
        <v>106</v>
      </c>
      <c r="H763" t="s">
        <v>699</v>
      </c>
      <c r="I763" s="6" t="s">
        <v>97</v>
      </c>
    </row>
    <row r="764" spans="1:9" hidden="1" x14ac:dyDescent="0.25">
      <c r="A764" s="3">
        <v>46010</v>
      </c>
      <c r="B764">
        <v>2025003735</v>
      </c>
      <c r="C764" t="s">
        <v>284</v>
      </c>
      <c r="D764" s="15">
        <v>3150000</v>
      </c>
      <c r="E764" t="s">
        <v>593</v>
      </c>
      <c r="F764" t="s">
        <v>285</v>
      </c>
      <c r="G764" t="s">
        <v>106</v>
      </c>
      <c r="H764" t="s">
        <v>284</v>
      </c>
      <c r="I764" s="6" t="s">
        <v>97</v>
      </c>
    </row>
    <row r="765" spans="1:9" hidden="1" x14ac:dyDescent="0.25">
      <c r="A765" s="3">
        <v>46010</v>
      </c>
      <c r="B765">
        <v>2025003736</v>
      </c>
      <c r="C765" t="s">
        <v>678</v>
      </c>
      <c r="D765" s="15">
        <v>3150000</v>
      </c>
      <c r="E765" t="s">
        <v>679</v>
      </c>
      <c r="F765" t="s">
        <v>60</v>
      </c>
      <c r="G765" t="s">
        <v>106</v>
      </c>
      <c r="H765" t="s">
        <v>678</v>
      </c>
      <c r="I765" s="6" t="s">
        <v>97</v>
      </c>
    </row>
    <row r="766" spans="1:9" hidden="1" x14ac:dyDescent="0.25">
      <c r="A766" s="3">
        <v>46010</v>
      </c>
      <c r="B766">
        <v>2025003737</v>
      </c>
      <c r="C766" t="s">
        <v>712</v>
      </c>
      <c r="D766" s="15">
        <v>1050000</v>
      </c>
      <c r="E766" t="s">
        <v>713</v>
      </c>
      <c r="F766" t="s">
        <v>58</v>
      </c>
      <c r="G766" t="s">
        <v>106</v>
      </c>
      <c r="H766" t="s">
        <v>712</v>
      </c>
      <c r="I766" s="6" t="s">
        <v>97</v>
      </c>
    </row>
    <row r="767" spans="1:9" hidden="1" x14ac:dyDescent="0.25">
      <c r="A767" s="3">
        <v>46010</v>
      </c>
      <c r="B767">
        <v>2025003738</v>
      </c>
      <c r="C767" t="s">
        <v>133</v>
      </c>
      <c r="D767" s="15">
        <v>7800000</v>
      </c>
      <c r="E767" t="s">
        <v>584</v>
      </c>
      <c r="F767" t="s">
        <v>134</v>
      </c>
      <c r="G767" t="s">
        <v>106</v>
      </c>
      <c r="H767" t="s">
        <v>133</v>
      </c>
      <c r="I767" s="6" t="s">
        <v>97</v>
      </c>
    </row>
    <row r="768" spans="1:9" hidden="1" x14ac:dyDescent="0.25">
      <c r="A768" s="3">
        <v>46010</v>
      </c>
      <c r="B768">
        <v>2025003739</v>
      </c>
      <c r="C768" t="s">
        <v>709</v>
      </c>
      <c r="D768" s="15">
        <v>3150000</v>
      </c>
      <c r="E768" t="s">
        <v>710</v>
      </c>
      <c r="F768" t="s">
        <v>711</v>
      </c>
      <c r="G768" t="s">
        <v>106</v>
      </c>
      <c r="H768" t="s">
        <v>709</v>
      </c>
      <c r="I768" s="6" t="s">
        <v>97</v>
      </c>
    </row>
    <row r="769" spans="1:9" hidden="1" x14ac:dyDescent="0.25">
      <c r="A769" s="3">
        <v>46010</v>
      </c>
      <c r="B769">
        <v>2025003740</v>
      </c>
      <c r="C769" t="s">
        <v>288</v>
      </c>
      <c r="D769" s="15">
        <v>3150000</v>
      </c>
      <c r="E769" t="s">
        <v>492</v>
      </c>
      <c r="F769" t="s">
        <v>289</v>
      </c>
      <c r="G769" t="s">
        <v>106</v>
      </c>
      <c r="H769" t="s">
        <v>288</v>
      </c>
      <c r="I769" s="6" t="s">
        <v>97</v>
      </c>
    </row>
    <row r="770" spans="1:9" hidden="1" x14ac:dyDescent="0.25">
      <c r="A770" s="3">
        <v>46010</v>
      </c>
      <c r="B770">
        <v>2025003741</v>
      </c>
      <c r="C770" t="s">
        <v>159</v>
      </c>
      <c r="D770" s="15">
        <v>7800000</v>
      </c>
      <c r="E770" t="s">
        <v>418</v>
      </c>
      <c r="F770" t="s">
        <v>160</v>
      </c>
      <c r="G770" t="s">
        <v>106</v>
      </c>
      <c r="H770" t="s">
        <v>159</v>
      </c>
      <c r="I770" s="6" t="s">
        <v>97</v>
      </c>
    </row>
    <row r="771" spans="1:9" hidden="1" x14ac:dyDescent="0.25">
      <c r="A771" s="3">
        <v>46010</v>
      </c>
      <c r="B771">
        <v>2025003743</v>
      </c>
      <c r="C771" s="6" t="s">
        <v>297</v>
      </c>
      <c r="D771" s="15">
        <v>4730000</v>
      </c>
      <c r="E771" t="s">
        <v>677</v>
      </c>
      <c r="F771" t="s">
        <v>298</v>
      </c>
      <c r="G771" t="s">
        <v>106</v>
      </c>
      <c r="H771" s="6" t="s">
        <v>297</v>
      </c>
      <c r="I771" s="6" t="s">
        <v>97</v>
      </c>
    </row>
    <row r="772" spans="1:9" hidden="1" x14ac:dyDescent="0.25">
      <c r="A772" s="3">
        <v>46010</v>
      </c>
      <c r="B772">
        <v>2025003744</v>
      </c>
      <c r="C772" t="s">
        <v>292</v>
      </c>
      <c r="D772" s="15">
        <v>4730000</v>
      </c>
      <c r="E772" t="s">
        <v>601</v>
      </c>
      <c r="F772" t="s">
        <v>28</v>
      </c>
      <c r="G772" t="s">
        <v>106</v>
      </c>
      <c r="H772" t="s">
        <v>292</v>
      </c>
      <c r="I772" s="6" t="s">
        <v>97</v>
      </c>
    </row>
    <row r="773" spans="1:9" hidden="1" x14ac:dyDescent="0.25">
      <c r="A773" s="3">
        <v>46010</v>
      </c>
      <c r="B773">
        <v>2025003745</v>
      </c>
      <c r="C773" t="s">
        <v>281</v>
      </c>
      <c r="D773" s="15">
        <v>6300000</v>
      </c>
      <c r="E773" t="s">
        <v>422</v>
      </c>
      <c r="F773" t="s">
        <v>9</v>
      </c>
      <c r="G773" t="s">
        <v>106</v>
      </c>
      <c r="H773" t="s">
        <v>281</v>
      </c>
      <c r="I773" s="6" t="s">
        <v>97</v>
      </c>
    </row>
    <row r="774" spans="1:9" hidden="1" x14ac:dyDescent="0.25">
      <c r="A774" s="3">
        <v>46010</v>
      </c>
      <c r="B774">
        <v>2025003746</v>
      </c>
      <c r="C774" t="s">
        <v>295</v>
      </c>
      <c r="D774" s="15">
        <v>3150000</v>
      </c>
      <c r="E774" t="s">
        <v>444</v>
      </c>
      <c r="F774" t="s">
        <v>296</v>
      </c>
      <c r="G774" t="s">
        <v>106</v>
      </c>
      <c r="H774" t="s">
        <v>295</v>
      </c>
      <c r="I774" s="6" t="s">
        <v>97</v>
      </c>
    </row>
    <row r="775" spans="1:9" hidden="1" x14ac:dyDescent="0.25">
      <c r="A775" s="3">
        <v>46010</v>
      </c>
      <c r="B775">
        <v>2025003747</v>
      </c>
      <c r="C775" t="s">
        <v>157</v>
      </c>
      <c r="D775" s="15">
        <v>6300000</v>
      </c>
      <c r="E775" t="s">
        <v>596</v>
      </c>
      <c r="F775" t="s">
        <v>82</v>
      </c>
      <c r="G775" t="s">
        <v>106</v>
      </c>
      <c r="H775" t="s">
        <v>157</v>
      </c>
      <c r="I775" s="6" t="s">
        <v>97</v>
      </c>
    </row>
    <row r="776" spans="1:9" hidden="1" x14ac:dyDescent="0.25">
      <c r="A776" s="3">
        <v>46010</v>
      </c>
      <c r="B776">
        <v>2025003748</v>
      </c>
      <c r="C776" t="s">
        <v>165</v>
      </c>
      <c r="D776" s="15">
        <v>7800000</v>
      </c>
      <c r="E776" t="s">
        <v>440</v>
      </c>
      <c r="F776" t="s">
        <v>166</v>
      </c>
      <c r="G776" t="s">
        <v>106</v>
      </c>
      <c r="H776" t="s">
        <v>165</v>
      </c>
      <c r="I776" s="6" t="s">
        <v>97</v>
      </c>
    </row>
    <row r="777" spans="1:9" hidden="1" x14ac:dyDescent="0.25">
      <c r="A777" s="3">
        <v>46010</v>
      </c>
      <c r="B777">
        <v>2025003749</v>
      </c>
      <c r="C777" t="s">
        <v>720</v>
      </c>
      <c r="D777" s="15">
        <v>4730000</v>
      </c>
      <c r="E777" t="s">
        <v>721</v>
      </c>
      <c r="F777" t="s">
        <v>722</v>
      </c>
      <c r="G777" t="s">
        <v>106</v>
      </c>
      <c r="H777" t="s">
        <v>720</v>
      </c>
      <c r="I777" s="6" t="s">
        <v>97</v>
      </c>
    </row>
    <row r="778" spans="1:9" hidden="1" x14ac:dyDescent="0.25">
      <c r="A778" s="3">
        <v>46010</v>
      </c>
      <c r="B778">
        <v>2025003750</v>
      </c>
      <c r="C778" t="s">
        <v>590</v>
      </c>
      <c r="D778" s="15">
        <v>6300000</v>
      </c>
      <c r="E778" t="s">
        <v>591</v>
      </c>
      <c r="F778" t="s">
        <v>592</v>
      </c>
      <c r="G778" t="s">
        <v>106</v>
      </c>
      <c r="H778" t="s">
        <v>590</v>
      </c>
      <c r="I778" s="6" t="s">
        <v>97</v>
      </c>
    </row>
    <row r="779" spans="1:9" hidden="1" x14ac:dyDescent="0.25">
      <c r="A779" s="3">
        <v>46010</v>
      </c>
      <c r="B779">
        <v>2025003751</v>
      </c>
      <c r="C779" t="s">
        <v>742</v>
      </c>
      <c r="D779" s="15">
        <v>7800000</v>
      </c>
      <c r="E779" t="s">
        <v>743</v>
      </c>
      <c r="F779" t="s">
        <v>744</v>
      </c>
      <c r="G779" t="s">
        <v>106</v>
      </c>
      <c r="H779" t="s">
        <v>742</v>
      </c>
      <c r="I779" s="6" t="s">
        <v>97</v>
      </c>
    </row>
    <row r="780" spans="1:9" hidden="1" x14ac:dyDescent="0.25">
      <c r="A780" s="3">
        <v>46010</v>
      </c>
      <c r="B780">
        <v>2025003752</v>
      </c>
      <c r="C780" t="s">
        <v>697</v>
      </c>
      <c r="D780" s="15">
        <v>3150000</v>
      </c>
      <c r="E780" t="s">
        <v>698</v>
      </c>
      <c r="F780" t="s">
        <v>72</v>
      </c>
      <c r="G780" t="s">
        <v>106</v>
      </c>
      <c r="H780" t="s">
        <v>697</v>
      </c>
      <c r="I780" s="6" t="s">
        <v>97</v>
      </c>
    </row>
    <row r="781" spans="1:9" hidden="1" x14ac:dyDescent="0.25">
      <c r="A781" s="3">
        <v>46010</v>
      </c>
      <c r="B781">
        <v>2025003753</v>
      </c>
      <c r="C781" t="s">
        <v>735</v>
      </c>
      <c r="D781" s="15">
        <v>4730000</v>
      </c>
      <c r="E781" t="s">
        <v>736</v>
      </c>
      <c r="F781" t="s">
        <v>737</v>
      </c>
      <c r="G781" t="s">
        <v>106</v>
      </c>
      <c r="H781" t="s">
        <v>735</v>
      </c>
      <c r="I781" s="6" t="s">
        <v>97</v>
      </c>
    </row>
    <row r="782" spans="1:9" hidden="1" x14ac:dyDescent="0.25">
      <c r="A782" s="3">
        <v>46010</v>
      </c>
      <c r="B782">
        <v>2025003754</v>
      </c>
      <c r="C782" t="s">
        <v>688</v>
      </c>
      <c r="D782" s="15">
        <v>3150000</v>
      </c>
      <c r="E782" t="s">
        <v>689</v>
      </c>
      <c r="F782" t="s">
        <v>68</v>
      </c>
      <c r="G782" t="s">
        <v>106</v>
      </c>
      <c r="H782" t="s">
        <v>688</v>
      </c>
      <c r="I782" s="6" t="s">
        <v>97</v>
      </c>
    </row>
    <row r="783" spans="1:9" hidden="1" x14ac:dyDescent="0.25">
      <c r="A783" s="3">
        <v>46010</v>
      </c>
      <c r="B783">
        <v>2025003755</v>
      </c>
      <c r="C783" t="s">
        <v>670</v>
      </c>
      <c r="D783" s="15">
        <v>3150000</v>
      </c>
      <c r="E783" t="s">
        <v>671</v>
      </c>
      <c r="F783" t="s">
        <v>672</v>
      </c>
      <c r="G783" t="s">
        <v>106</v>
      </c>
      <c r="H783" t="s">
        <v>670</v>
      </c>
      <c r="I783" s="6" t="s">
        <v>97</v>
      </c>
    </row>
    <row r="784" spans="1:9" hidden="1" x14ac:dyDescent="0.25">
      <c r="A784" s="3">
        <v>46011</v>
      </c>
      <c r="B784">
        <v>2025003756</v>
      </c>
      <c r="C784" t="s">
        <v>732</v>
      </c>
      <c r="D784" s="15">
        <v>7800000</v>
      </c>
      <c r="E784" t="s">
        <v>733</v>
      </c>
      <c r="F784" t="s">
        <v>734</v>
      </c>
      <c r="G784" t="s">
        <v>106</v>
      </c>
      <c r="H784" t="s">
        <v>732</v>
      </c>
      <c r="I784" s="6" t="s">
        <v>97</v>
      </c>
    </row>
    <row r="785" spans="1:9" hidden="1" x14ac:dyDescent="0.25">
      <c r="A785" s="3">
        <v>46011</v>
      </c>
      <c r="B785">
        <v>2025003757</v>
      </c>
      <c r="C785" t="s">
        <v>683</v>
      </c>
      <c r="D785" s="15">
        <v>3150000</v>
      </c>
      <c r="E785" t="s">
        <v>684</v>
      </c>
      <c r="F785" t="s">
        <v>31</v>
      </c>
      <c r="G785" t="s">
        <v>106</v>
      </c>
      <c r="H785" t="s">
        <v>683</v>
      </c>
      <c r="I785" s="6" t="s">
        <v>97</v>
      </c>
    </row>
    <row r="786" spans="1:9" hidden="1" x14ac:dyDescent="0.25">
      <c r="A786" s="3">
        <v>46011</v>
      </c>
      <c r="B786">
        <v>2025003758</v>
      </c>
      <c r="C786" t="s">
        <v>892</v>
      </c>
      <c r="D786" s="15">
        <v>3150000</v>
      </c>
      <c r="E786" t="s">
        <v>893</v>
      </c>
      <c r="F786" t="s">
        <v>17</v>
      </c>
      <c r="G786" t="s">
        <v>106</v>
      </c>
      <c r="H786" t="s">
        <v>892</v>
      </c>
      <c r="I786" s="6" t="s">
        <v>97</v>
      </c>
    </row>
    <row r="787" spans="1:9" hidden="1" x14ac:dyDescent="0.25">
      <c r="A787" s="3">
        <v>46011</v>
      </c>
      <c r="B787">
        <v>2025003759</v>
      </c>
      <c r="C787" t="s">
        <v>894</v>
      </c>
      <c r="D787" s="15">
        <v>3150000</v>
      </c>
      <c r="E787" t="s">
        <v>895</v>
      </c>
      <c r="F787" t="s">
        <v>896</v>
      </c>
      <c r="G787" t="s">
        <v>106</v>
      </c>
      <c r="H787" t="s">
        <v>894</v>
      </c>
      <c r="I787" s="6" t="s">
        <v>97</v>
      </c>
    </row>
    <row r="788" spans="1:9" hidden="1" x14ac:dyDescent="0.25">
      <c r="A788" s="3">
        <v>46011</v>
      </c>
      <c r="B788">
        <v>2025003760</v>
      </c>
      <c r="C788" t="s">
        <v>897</v>
      </c>
      <c r="D788" s="15">
        <v>2000000</v>
      </c>
      <c r="E788" t="s">
        <v>898</v>
      </c>
      <c r="F788" t="s">
        <v>899</v>
      </c>
      <c r="G788" t="s">
        <v>106</v>
      </c>
      <c r="H788" t="s">
        <v>897</v>
      </c>
      <c r="I788" s="6" t="s">
        <v>97</v>
      </c>
    </row>
    <row r="789" spans="1:9" hidden="1" x14ac:dyDescent="0.25">
      <c r="A789" s="3">
        <v>46011</v>
      </c>
      <c r="B789">
        <v>2025003761</v>
      </c>
      <c r="C789" t="s">
        <v>900</v>
      </c>
      <c r="D789" s="15">
        <v>4730000</v>
      </c>
      <c r="E789" t="s">
        <v>901</v>
      </c>
      <c r="F789" t="s">
        <v>902</v>
      </c>
      <c r="G789" t="s">
        <v>106</v>
      </c>
      <c r="H789" t="s">
        <v>900</v>
      </c>
      <c r="I789" s="6" t="s">
        <v>97</v>
      </c>
    </row>
    <row r="790" spans="1:9" hidden="1" x14ac:dyDescent="0.25">
      <c r="A790" s="3">
        <v>46011</v>
      </c>
      <c r="B790">
        <v>2025003763</v>
      </c>
      <c r="C790" t="s">
        <v>903</v>
      </c>
      <c r="D790" s="15">
        <v>3150000</v>
      </c>
      <c r="E790" t="s">
        <v>904</v>
      </c>
      <c r="F790" t="s">
        <v>905</v>
      </c>
      <c r="G790" t="s">
        <v>106</v>
      </c>
      <c r="H790" t="s">
        <v>903</v>
      </c>
      <c r="I790" s="6" t="s">
        <v>97</v>
      </c>
    </row>
    <row r="791" spans="1:9" hidden="1" x14ac:dyDescent="0.25">
      <c r="A791" s="3">
        <v>46011</v>
      </c>
      <c r="B791">
        <v>2025003765</v>
      </c>
      <c r="C791" t="s">
        <v>293</v>
      </c>
      <c r="D791" s="15">
        <v>4730000</v>
      </c>
      <c r="E791" t="s">
        <v>415</v>
      </c>
      <c r="F791" t="s">
        <v>294</v>
      </c>
      <c r="G791" t="s">
        <v>106</v>
      </c>
      <c r="H791" t="s">
        <v>293</v>
      </c>
      <c r="I791" s="6" t="s">
        <v>97</v>
      </c>
    </row>
    <row r="792" spans="1:9" hidden="1" x14ac:dyDescent="0.25">
      <c r="A792" s="3">
        <v>46011</v>
      </c>
      <c r="B792">
        <v>2025003767</v>
      </c>
      <c r="C792" t="s">
        <v>182</v>
      </c>
      <c r="D792" s="15">
        <v>7800000</v>
      </c>
      <c r="E792" t="s">
        <v>598</v>
      </c>
      <c r="F792" t="s">
        <v>183</v>
      </c>
      <c r="G792" t="s">
        <v>106</v>
      </c>
      <c r="H792" t="s">
        <v>182</v>
      </c>
      <c r="I792" s="6" t="s">
        <v>97</v>
      </c>
    </row>
    <row r="793" spans="1:9" hidden="1" x14ac:dyDescent="0.25">
      <c r="A793" s="3">
        <v>46011</v>
      </c>
      <c r="B793">
        <v>2025003771</v>
      </c>
      <c r="C793" t="s">
        <v>176</v>
      </c>
      <c r="D793" s="15">
        <v>3150000</v>
      </c>
      <c r="E793" t="s">
        <v>491</v>
      </c>
      <c r="F793" t="s">
        <v>177</v>
      </c>
      <c r="G793" t="s">
        <v>106</v>
      </c>
      <c r="H793" t="s">
        <v>176</v>
      </c>
      <c r="I793" s="6" t="s">
        <v>97</v>
      </c>
    </row>
    <row r="794" spans="1:9" hidden="1" x14ac:dyDescent="0.25">
      <c r="A794" s="3">
        <v>46011</v>
      </c>
      <c r="B794">
        <v>2025003773</v>
      </c>
      <c r="C794" t="s">
        <v>120</v>
      </c>
      <c r="D794" s="15">
        <v>3150000</v>
      </c>
      <c r="E794" t="s">
        <v>630</v>
      </c>
      <c r="F794" t="s">
        <v>121</v>
      </c>
      <c r="G794" t="s">
        <v>106</v>
      </c>
      <c r="H794" t="s">
        <v>120</v>
      </c>
      <c r="I794" s="6" t="s">
        <v>97</v>
      </c>
    </row>
    <row r="795" spans="1:9" hidden="1" x14ac:dyDescent="0.25">
      <c r="A795" s="3">
        <v>46011</v>
      </c>
      <c r="B795">
        <v>2025003776</v>
      </c>
      <c r="C795" t="s">
        <v>345</v>
      </c>
      <c r="D795" s="15">
        <v>3150000</v>
      </c>
      <c r="E795" t="s">
        <v>503</v>
      </c>
      <c r="F795" t="s">
        <v>346</v>
      </c>
      <c r="G795" t="s">
        <v>106</v>
      </c>
      <c r="H795" t="s">
        <v>345</v>
      </c>
      <c r="I795" s="6" t="s">
        <v>97</v>
      </c>
    </row>
    <row r="796" spans="1:9" hidden="1" x14ac:dyDescent="0.25">
      <c r="A796" s="3">
        <v>46011</v>
      </c>
      <c r="B796">
        <v>2025003780</v>
      </c>
      <c r="C796" t="s">
        <v>148</v>
      </c>
      <c r="D796" s="15">
        <v>6300000</v>
      </c>
      <c r="E796" t="s">
        <v>365</v>
      </c>
      <c r="F796" t="s">
        <v>11</v>
      </c>
      <c r="G796" t="s">
        <v>106</v>
      </c>
      <c r="H796" t="s">
        <v>148</v>
      </c>
      <c r="I796" s="6" t="s">
        <v>97</v>
      </c>
    </row>
    <row r="797" spans="1:9" hidden="1" x14ac:dyDescent="0.25">
      <c r="A797" s="3">
        <v>46011</v>
      </c>
      <c r="B797">
        <v>2025003781</v>
      </c>
      <c r="C797" t="s">
        <v>152</v>
      </c>
      <c r="D797" s="15">
        <v>3150000</v>
      </c>
      <c r="E797" t="s">
        <v>669</v>
      </c>
      <c r="F797" t="s">
        <v>101</v>
      </c>
      <c r="G797" t="s">
        <v>106</v>
      </c>
      <c r="H797" t="s">
        <v>152</v>
      </c>
      <c r="I797" s="6" t="s">
        <v>97</v>
      </c>
    </row>
    <row r="798" spans="1:9" hidden="1" x14ac:dyDescent="0.25">
      <c r="A798" s="3">
        <v>46011</v>
      </c>
      <c r="B798">
        <v>2025003782</v>
      </c>
      <c r="C798" s="6" t="s">
        <v>217</v>
      </c>
      <c r="D798" s="15">
        <v>7800000</v>
      </c>
      <c r="E798" t="s">
        <v>423</v>
      </c>
      <c r="F798" t="s">
        <v>25</v>
      </c>
      <c r="G798" t="s">
        <v>106</v>
      </c>
      <c r="H798" s="6" t="s">
        <v>217</v>
      </c>
      <c r="I798" s="6" t="s">
        <v>97</v>
      </c>
    </row>
    <row r="799" spans="1:9" hidden="1" x14ac:dyDescent="0.25">
      <c r="A799" s="3">
        <v>46011</v>
      </c>
      <c r="B799">
        <v>2025003786</v>
      </c>
      <c r="C799" t="s">
        <v>906</v>
      </c>
      <c r="D799" s="15">
        <v>6300000</v>
      </c>
      <c r="E799" t="s">
        <v>907</v>
      </c>
      <c r="F799" t="s">
        <v>90</v>
      </c>
      <c r="G799" t="s">
        <v>106</v>
      </c>
      <c r="H799" t="s">
        <v>906</v>
      </c>
      <c r="I799" s="6" t="s">
        <v>97</v>
      </c>
    </row>
    <row r="800" spans="1:9" hidden="1" x14ac:dyDescent="0.25">
      <c r="A800" s="3">
        <v>46011</v>
      </c>
      <c r="B800">
        <v>2025003788</v>
      </c>
      <c r="C800" t="s">
        <v>321</v>
      </c>
      <c r="D800" s="15">
        <v>3150000</v>
      </c>
      <c r="E800" t="s">
        <v>430</v>
      </c>
      <c r="F800" t="s">
        <v>322</v>
      </c>
      <c r="G800" t="s">
        <v>106</v>
      </c>
      <c r="H800" t="s">
        <v>321</v>
      </c>
      <c r="I800" s="6" t="s">
        <v>97</v>
      </c>
    </row>
    <row r="801" spans="1:9" hidden="1" x14ac:dyDescent="0.25">
      <c r="A801" s="3">
        <v>46011</v>
      </c>
      <c r="B801">
        <v>2025003789</v>
      </c>
      <c r="C801" t="s">
        <v>500</v>
      </c>
      <c r="D801" s="15">
        <v>2000000</v>
      </c>
      <c r="E801" t="s">
        <v>501</v>
      </c>
      <c r="F801" t="s">
        <v>502</v>
      </c>
      <c r="G801" t="s">
        <v>106</v>
      </c>
      <c r="H801" t="s">
        <v>500</v>
      </c>
      <c r="I801" s="6" t="s">
        <v>97</v>
      </c>
    </row>
    <row r="802" spans="1:9" hidden="1" x14ac:dyDescent="0.25">
      <c r="A802" s="3">
        <v>46011</v>
      </c>
      <c r="B802">
        <v>2025003792</v>
      </c>
      <c r="C802" t="s">
        <v>908</v>
      </c>
      <c r="D802" s="15">
        <v>4730000</v>
      </c>
      <c r="E802" t="s">
        <v>909</v>
      </c>
      <c r="F802" t="s">
        <v>910</v>
      </c>
      <c r="G802" t="s">
        <v>106</v>
      </c>
      <c r="H802" t="s">
        <v>908</v>
      </c>
      <c r="I802" s="6" t="s">
        <v>97</v>
      </c>
    </row>
    <row r="803" spans="1:9" hidden="1" x14ac:dyDescent="0.25">
      <c r="A803" s="3">
        <v>46011</v>
      </c>
      <c r="B803">
        <v>2025003793</v>
      </c>
      <c r="C803" t="s">
        <v>911</v>
      </c>
      <c r="D803" s="15">
        <v>2000000</v>
      </c>
      <c r="E803" t="s">
        <v>912</v>
      </c>
      <c r="F803" t="s">
        <v>913</v>
      </c>
      <c r="G803" t="s">
        <v>106</v>
      </c>
      <c r="H803" t="s">
        <v>911</v>
      </c>
      <c r="I803" s="6" t="s">
        <v>97</v>
      </c>
    </row>
    <row r="804" spans="1:9" hidden="1" x14ac:dyDescent="0.25">
      <c r="A804" s="3">
        <v>46011</v>
      </c>
      <c r="B804">
        <v>2025003794</v>
      </c>
      <c r="C804" t="s">
        <v>151</v>
      </c>
      <c r="D804" s="15">
        <v>3150000</v>
      </c>
      <c r="E804" t="s">
        <v>371</v>
      </c>
      <c r="F804" t="s">
        <v>46</v>
      </c>
      <c r="G804" t="s">
        <v>106</v>
      </c>
      <c r="H804" t="s">
        <v>151</v>
      </c>
      <c r="I804" s="6" t="s">
        <v>97</v>
      </c>
    </row>
    <row r="805" spans="1:9" hidden="1" x14ac:dyDescent="0.25">
      <c r="A805" s="3">
        <v>46011</v>
      </c>
      <c r="B805">
        <v>2025003796</v>
      </c>
      <c r="C805" t="s">
        <v>545</v>
      </c>
      <c r="D805" s="15">
        <v>3150000</v>
      </c>
      <c r="E805" t="s">
        <v>546</v>
      </c>
      <c r="F805" t="s">
        <v>547</v>
      </c>
      <c r="G805" t="s">
        <v>106</v>
      </c>
      <c r="H805" t="s">
        <v>545</v>
      </c>
      <c r="I805" s="6" t="s">
        <v>97</v>
      </c>
    </row>
    <row r="806" spans="1:9" hidden="1" x14ac:dyDescent="0.25">
      <c r="A806" s="3">
        <v>46011</v>
      </c>
      <c r="B806">
        <v>2025003798</v>
      </c>
      <c r="C806" t="s">
        <v>752</v>
      </c>
      <c r="D806" s="15">
        <v>2000000</v>
      </c>
      <c r="E806" t="s">
        <v>753</v>
      </c>
      <c r="F806" t="s">
        <v>754</v>
      </c>
      <c r="G806" t="s">
        <v>106</v>
      </c>
      <c r="H806" t="s">
        <v>752</v>
      </c>
      <c r="I806" s="6" t="s">
        <v>97</v>
      </c>
    </row>
    <row r="807" spans="1:9" hidden="1" x14ac:dyDescent="0.25">
      <c r="A807" s="3">
        <v>46011</v>
      </c>
      <c r="B807">
        <v>2025003799</v>
      </c>
      <c r="C807" t="s">
        <v>540</v>
      </c>
      <c r="D807" s="15">
        <v>6300000</v>
      </c>
      <c r="E807" t="s">
        <v>541</v>
      </c>
      <c r="F807" t="s">
        <v>73</v>
      </c>
      <c r="G807" t="s">
        <v>106</v>
      </c>
      <c r="H807" t="s">
        <v>540</v>
      </c>
      <c r="I807" s="6" t="s">
        <v>97</v>
      </c>
    </row>
    <row r="808" spans="1:9" hidden="1" x14ac:dyDescent="0.25">
      <c r="A808" s="3">
        <v>46011</v>
      </c>
      <c r="B808">
        <v>2025003800</v>
      </c>
      <c r="C808" t="s">
        <v>247</v>
      </c>
      <c r="D808" s="15">
        <v>3150000</v>
      </c>
      <c r="E808" t="s">
        <v>513</v>
      </c>
      <c r="F808" t="s">
        <v>248</v>
      </c>
      <c r="G808" t="s">
        <v>106</v>
      </c>
      <c r="H808" t="s">
        <v>247</v>
      </c>
      <c r="I808" s="6" t="s">
        <v>97</v>
      </c>
    </row>
    <row r="809" spans="1:9" hidden="1" x14ac:dyDescent="0.25">
      <c r="A809" s="3">
        <v>46011</v>
      </c>
      <c r="B809">
        <v>2025003801</v>
      </c>
      <c r="C809" t="s">
        <v>851</v>
      </c>
      <c r="D809" s="15">
        <v>3150000</v>
      </c>
      <c r="E809" t="s">
        <v>852</v>
      </c>
      <c r="F809" t="s">
        <v>853</v>
      </c>
      <c r="G809" t="s">
        <v>106</v>
      </c>
      <c r="H809" t="s">
        <v>851</v>
      </c>
      <c r="I809" s="6" t="s">
        <v>97</v>
      </c>
    </row>
    <row r="810" spans="1:9" hidden="1" x14ac:dyDescent="0.25">
      <c r="A810" s="3">
        <v>46011</v>
      </c>
      <c r="B810">
        <v>2025003802</v>
      </c>
      <c r="C810" t="s">
        <v>323</v>
      </c>
      <c r="D810" s="15">
        <v>3150000</v>
      </c>
      <c r="E810" t="s">
        <v>436</v>
      </c>
      <c r="F810" t="s">
        <v>324</v>
      </c>
      <c r="G810" t="s">
        <v>106</v>
      </c>
      <c r="H810" t="s">
        <v>323</v>
      </c>
      <c r="I810" s="6" t="s">
        <v>97</v>
      </c>
    </row>
    <row r="811" spans="1:9" hidden="1" x14ac:dyDescent="0.25">
      <c r="A811" s="3">
        <v>46011</v>
      </c>
      <c r="B811">
        <v>2025003803</v>
      </c>
      <c r="C811" t="s">
        <v>309</v>
      </c>
      <c r="D811" s="15">
        <v>3150000</v>
      </c>
      <c r="E811" t="s">
        <v>427</v>
      </c>
      <c r="F811" t="s">
        <v>310</v>
      </c>
      <c r="G811" t="s">
        <v>106</v>
      </c>
      <c r="H811" t="s">
        <v>309</v>
      </c>
      <c r="I811" s="6" t="s">
        <v>97</v>
      </c>
    </row>
    <row r="812" spans="1:9" hidden="1" x14ac:dyDescent="0.25">
      <c r="A812" s="3">
        <v>46011</v>
      </c>
      <c r="B812">
        <v>2025003804</v>
      </c>
      <c r="C812" t="s">
        <v>739</v>
      </c>
      <c r="D812" s="15">
        <v>3150000</v>
      </c>
      <c r="E812" t="s">
        <v>740</v>
      </c>
      <c r="F812" t="s">
        <v>741</v>
      </c>
      <c r="G812" t="s">
        <v>106</v>
      </c>
      <c r="H812" t="s">
        <v>739</v>
      </c>
      <c r="I812" s="6" t="s">
        <v>97</v>
      </c>
    </row>
    <row r="813" spans="1:9" hidden="1" x14ac:dyDescent="0.25">
      <c r="A813" s="3">
        <v>46011</v>
      </c>
      <c r="B813">
        <v>2025003805</v>
      </c>
      <c r="C813" t="s">
        <v>625</v>
      </c>
      <c r="D813" s="15">
        <v>2000000</v>
      </c>
      <c r="E813" t="s">
        <v>626</v>
      </c>
      <c r="F813" t="s">
        <v>627</v>
      </c>
      <c r="G813" t="s">
        <v>106</v>
      </c>
      <c r="H813" t="s">
        <v>625</v>
      </c>
      <c r="I813" s="6" t="s">
        <v>97</v>
      </c>
    </row>
    <row r="814" spans="1:9" hidden="1" x14ac:dyDescent="0.25">
      <c r="A814" s="3">
        <v>46011</v>
      </c>
      <c r="B814">
        <v>2025003806</v>
      </c>
      <c r="C814" t="s">
        <v>255</v>
      </c>
      <c r="D814" s="15">
        <v>6300000</v>
      </c>
      <c r="E814" t="s">
        <v>391</v>
      </c>
      <c r="F814" t="s">
        <v>74</v>
      </c>
      <c r="G814" t="s">
        <v>106</v>
      </c>
      <c r="H814" t="s">
        <v>255</v>
      </c>
      <c r="I814" s="6" t="s">
        <v>97</v>
      </c>
    </row>
    <row r="815" spans="1:9" hidden="1" x14ac:dyDescent="0.25">
      <c r="A815" s="3">
        <v>46011</v>
      </c>
      <c r="B815">
        <v>2025003807</v>
      </c>
      <c r="C815" t="s">
        <v>125</v>
      </c>
      <c r="D815" s="15">
        <v>3150000</v>
      </c>
      <c r="E815" t="s">
        <v>388</v>
      </c>
      <c r="F815" t="s">
        <v>35</v>
      </c>
      <c r="G815" t="s">
        <v>106</v>
      </c>
      <c r="H815" t="s">
        <v>125</v>
      </c>
      <c r="I815" s="6" t="s">
        <v>97</v>
      </c>
    </row>
    <row r="816" spans="1:9" hidden="1" x14ac:dyDescent="0.25">
      <c r="A816" s="3">
        <v>46011</v>
      </c>
      <c r="B816">
        <v>2025003808</v>
      </c>
      <c r="C816" t="s">
        <v>510</v>
      </c>
      <c r="D816" s="15">
        <v>3150000</v>
      </c>
      <c r="E816" t="s">
        <v>511</v>
      </c>
      <c r="F816" t="s">
        <v>512</v>
      </c>
      <c r="G816" t="s">
        <v>106</v>
      </c>
      <c r="H816" t="s">
        <v>510</v>
      </c>
      <c r="I816" s="6" t="s">
        <v>97</v>
      </c>
    </row>
    <row r="817" spans="1:9" hidden="1" x14ac:dyDescent="0.25">
      <c r="A817" s="3">
        <v>46011</v>
      </c>
      <c r="B817">
        <v>2025003809</v>
      </c>
      <c r="C817" t="s">
        <v>111</v>
      </c>
      <c r="D817" s="15">
        <v>3150000</v>
      </c>
      <c r="E817" t="s">
        <v>409</v>
      </c>
      <c r="F817" t="s">
        <v>44</v>
      </c>
      <c r="G817" t="s">
        <v>106</v>
      </c>
      <c r="H817" t="s">
        <v>111</v>
      </c>
      <c r="I817" s="6" t="s">
        <v>97</v>
      </c>
    </row>
    <row r="818" spans="1:9" hidden="1" x14ac:dyDescent="0.25">
      <c r="A818" s="3">
        <v>46011</v>
      </c>
      <c r="B818">
        <v>2025003811</v>
      </c>
      <c r="C818" t="s">
        <v>185</v>
      </c>
      <c r="D818" s="15">
        <v>3150000</v>
      </c>
      <c r="E818" t="s">
        <v>460</v>
      </c>
      <c r="F818" t="s">
        <v>186</v>
      </c>
      <c r="G818" t="s">
        <v>106</v>
      </c>
      <c r="H818" t="s">
        <v>185</v>
      </c>
      <c r="I818" s="6" t="s">
        <v>97</v>
      </c>
    </row>
    <row r="819" spans="1:9" hidden="1" x14ac:dyDescent="0.25">
      <c r="A819" s="3">
        <v>46011</v>
      </c>
      <c r="B819">
        <v>2025003812</v>
      </c>
      <c r="C819" t="s">
        <v>200</v>
      </c>
      <c r="D819" s="15">
        <v>3150000</v>
      </c>
      <c r="E819" t="s">
        <v>448</v>
      </c>
      <c r="F819" t="s">
        <v>201</v>
      </c>
      <c r="G819" t="s">
        <v>106</v>
      </c>
      <c r="H819" t="s">
        <v>200</v>
      </c>
      <c r="I819" s="6" t="s">
        <v>97</v>
      </c>
    </row>
    <row r="820" spans="1:9" hidden="1" x14ac:dyDescent="0.25">
      <c r="A820" s="3">
        <v>46011</v>
      </c>
      <c r="B820">
        <v>2025003814</v>
      </c>
      <c r="C820" t="s">
        <v>192</v>
      </c>
      <c r="D820" s="15">
        <v>3150000</v>
      </c>
      <c r="E820" t="s">
        <v>411</v>
      </c>
      <c r="F820" t="s">
        <v>59</v>
      </c>
      <c r="G820" t="s">
        <v>106</v>
      </c>
      <c r="H820" t="s">
        <v>192</v>
      </c>
      <c r="I820" s="6" t="s">
        <v>97</v>
      </c>
    </row>
    <row r="821" spans="1:9" hidden="1" x14ac:dyDescent="0.25">
      <c r="A821" s="3">
        <v>46011</v>
      </c>
      <c r="B821">
        <v>2025003815</v>
      </c>
      <c r="C821" t="s">
        <v>203</v>
      </c>
      <c r="D821" s="15">
        <v>6300000</v>
      </c>
      <c r="E821" t="s">
        <v>631</v>
      </c>
      <c r="F821" t="s">
        <v>204</v>
      </c>
      <c r="G821" t="s">
        <v>106</v>
      </c>
      <c r="H821" t="s">
        <v>203</v>
      </c>
      <c r="I821" s="6" t="s">
        <v>97</v>
      </c>
    </row>
    <row r="822" spans="1:9" hidden="1" x14ac:dyDescent="0.25">
      <c r="A822" s="3">
        <v>46011</v>
      </c>
      <c r="B822">
        <v>2025003816</v>
      </c>
      <c r="C822" t="s">
        <v>117</v>
      </c>
      <c r="D822" s="15">
        <v>6300000</v>
      </c>
      <c r="E822" t="s">
        <v>375</v>
      </c>
      <c r="F822" t="s">
        <v>118</v>
      </c>
      <c r="G822" t="s">
        <v>106</v>
      </c>
      <c r="H822" t="s">
        <v>117</v>
      </c>
      <c r="I822" s="6" t="s">
        <v>97</v>
      </c>
    </row>
    <row r="823" spans="1:9" hidden="1" x14ac:dyDescent="0.25">
      <c r="A823" s="3">
        <v>46011</v>
      </c>
      <c r="B823">
        <v>2025003818</v>
      </c>
      <c r="C823" t="s">
        <v>282</v>
      </c>
      <c r="D823" s="15">
        <v>4730000</v>
      </c>
      <c r="E823" t="s">
        <v>718</v>
      </c>
      <c r="F823" t="s">
        <v>283</v>
      </c>
      <c r="G823" t="s">
        <v>106</v>
      </c>
      <c r="H823" t="s">
        <v>282</v>
      </c>
      <c r="I823" s="6" t="s">
        <v>97</v>
      </c>
    </row>
    <row r="824" spans="1:9" hidden="1" x14ac:dyDescent="0.25">
      <c r="A824" s="3">
        <v>46011</v>
      </c>
      <c r="B824">
        <v>2025003819</v>
      </c>
      <c r="C824" s="6" t="s">
        <v>635</v>
      </c>
      <c r="D824" s="15">
        <v>3150000</v>
      </c>
      <c r="E824" t="s">
        <v>636</v>
      </c>
      <c r="F824" t="s">
        <v>637</v>
      </c>
      <c r="G824" t="s">
        <v>106</v>
      </c>
      <c r="H824" s="6" t="s">
        <v>635</v>
      </c>
      <c r="I824" s="6" t="s">
        <v>97</v>
      </c>
    </row>
    <row r="825" spans="1:9" hidden="1" x14ac:dyDescent="0.25">
      <c r="A825" s="3">
        <v>46011</v>
      </c>
      <c r="B825">
        <v>2025003820</v>
      </c>
      <c r="C825" t="s">
        <v>245</v>
      </c>
      <c r="D825" s="15">
        <v>4730000</v>
      </c>
      <c r="E825" t="s">
        <v>385</v>
      </c>
      <c r="F825" t="s">
        <v>246</v>
      </c>
      <c r="G825" t="s">
        <v>106</v>
      </c>
      <c r="H825" t="s">
        <v>245</v>
      </c>
      <c r="I825" s="6" t="s">
        <v>97</v>
      </c>
    </row>
    <row r="826" spans="1:9" hidden="1" x14ac:dyDescent="0.25">
      <c r="A826" s="3">
        <v>46011</v>
      </c>
      <c r="B826">
        <v>2025003822</v>
      </c>
      <c r="C826" t="s">
        <v>206</v>
      </c>
      <c r="D826" s="15">
        <v>4730000</v>
      </c>
      <c r="E826" t="s">
        <v>462</v>
      </c>
      <c r="F826" t="s">
        <v>207</v>
      </c>
      <c r="G826" t="s">
        <v>106</v>
      </c>
      <c r="H826" t="s">
        <v>206</v>
      </c>
      <c r="I826" s="6" t="s">
        <v>97</v>
      </c>
    </row>
    <row r="827" spans="1:9" hidden="1" x14ac:dyDescent="0.25">
      <c r="A827" s="3">
        <v>46011</v>
      </c>
      <c r="B827">
        <v>2025003823</v>
      </c>
      <c r="C827" t="s">
        <v>311</v>
      </c>
      <c r="D827" s="15">
        <v>3150000</v>
      </c>
      <c r="E827" t="s">
        <v>432</v>
      </c>
      <c r="F827" t="s">
        <v>312</v>
      </c>
      <c r="G827" t="s">
        <v>106</v>
      </c>
      <c r="H827" t="s">
        <v>311</v>
      </c>
      <c r="I827" s="6" t="s">
        <v>97</v>
      </c>
    </row>
    <row r="828" spans="1:9" hidden="1" x14ac:dyDescent="0.25">
      <c r="A828" s="3">
        <v>46011</v>
      </c>
      <c r="B828">
        <v>2025003825</v>
      </c>
      <c r="C828" t="s">
        <v>195</v>
      </c>
      <c r="D828" s="15">
        <v>6300000</v>
      </c>
      <c r="E828" t="s">
        <v>433</v>
      </c>
      <c r="F828" t="s">
        <v>196</v>
      </c>
      <c r="G828" t="s">
        <v>106</v>
      </c>
      <c r="H828" t="s">
        <v>195</v>
      </c>
      <c r="I828" s="6" t="s">
        <v>97</v>
      </c>
    </row>
    <row r="829" spans="1:9" hidden="1" x14ac:dyDescent="0.25">
      <c r="A829" s="3">
        <v>46011</v>
      </c>
      <c r="B829">
        <v>2025003828</v>
      </c>
      <c r="C829" t="s">
        <v>495</v>
      </c>
      <c r="D829" s="15">
        <v>6300000</v>
      </c>
      <c r="E829" t="s">
        <v>496</v>
      </c>
      <c r="F829" t="s">
        <v>94</v>
      </c>
      <c r="G829" t="s">
        <v>106</v>
      </c>
      <c r="H829" t="s">
        <v>495</v>
      </c>
      <c r="I829" s="6" t="s">
        <v>97</v>
      </c>
    </row>
    <row r="830" spans="1:9" hidden="1" x14ac:dyDescent="0.25">
      <c r="A830" s="3">
        <v>46011</v>
      </c>
      <c r="B830">
        <v>2025003829</v>
      </c>
      <c r="C830" t="s">
        <v>305</v>
      </c>
      <c r="D830" s="15">
        <v>3150000</v>
      </c>
      <c r="E830" t="s">
        <v>431</v>
      </c>
      <c r="F830" t="s">
        <v>306</v>
      </c>
      <c r="G830" t="s">
        <v>106</v>
      </c>
      <c r="H830" t="s">
        <v>305</v>
      </c>
      <c r="I830" s="6" t="s">
        <v>97</v>
      </c>
    </row>
    <row r="831" spans="1:9" hidden="1" x14ac:dyDescent="0.25">
      <c r="A831" s="3">
        <v>46011</v>
      </c>
      <c r="B831">
        <v>2025003831</v>
      </c>
      <c r="C831" t="s">
        <v>339</v>
      </c>
      <c r="D831" s="15">
        <v>3150000</v>
      </c>
      <c r="E831" t="s">
        <v>378</v>
      </c>
      <c r="F831" t="s">
        <v>340</v>
      </c>
      <c r="G831" t="s">
        <v>106</v>
      </c>
      <c r="H831" t="s">
        <v>339</v>
      </c>
      <c r="I831" s="6" t="s">
        <v>97</v>
      </c>
    </row>
    <row r="832" spans="1:9" hidden="1" x14ac:dyDescent="0.25">
      <c r="A832" s="3">
        <v>46011</v>
      </c>
      <c r="B832">
        <v>2025003833</v>
      </c>
      <c r="C832" t="s">
        <v>228</v>
      </c>
      <c r="D832" s="15">
        <v>3150000</v>
      </c>
      <c r="E832" t="s">
        <v>379</v>
      </c>
      <c r="F832" t="s">
        <v>229</v>
      </c>
      <c r="G832" t="s">
        <v>106</v>
      </c>
      <c r="H832" t="s">
        <v>228</v>
      </c>
      <c r="I832" s="6" t="s">
        <v>97</v>
      </c>
    </row>
    <row r="833" spans="1:9" hidden="1" x14ac:dyDescent="0.25">
      <c r="A833" s="3">
        <v>46011</v>
      </c>
      <c r="B833">
        <v>2025003834</v>
      </c>
      <c r="C833" t="s">
        <v>187</v>
      </c>
      <c r="D833" s="15">
        <v>7800000</v>
      </c>
      <c r="E833" t="s">
        <v>376</v>
      </c>
      <c r="F833" t="s">
        <v>188</v>
      </c>
      <c r="G833" t="s">
        <v>106</v>
      </c>
      <c r="H833" t="s">
        <v>187</v>
      </c>
      <c r="I833" s="6" t="s">
        <v>97</v>
      </c>
    </row>
    <row r="834" spans="1:9" hidden="1" x14ac:dyDescent="0.25">
      <c r="A834" s="3">
        <v>46011</v>
      </c>
      <c r="B834">
        <v>2025003836</v>
      </c>
      <c r="C834" t="s">
        <v>223</v>
      </c>
      <c r="D834" s="15">
        <v>7800000</v>
      </c>
      <c r="E834" t="s">
        <v>461</v>
      </c>
      <c r="F834" t="s">
        <v>8</v>
      </c>
      <c r="G834" t="s">
        <v>106</v>
      </c>
      <c r="H834" t="s">
        <v>223</v>
      </c>
      <c r="I834" s="6" t="s">
        <v>97</v>
      </c>
    </row>
    <row r="835" spans="1:9" hidden="1" x14ac:dyDescent="0.25">
      <c r="A835" s="3">
        <v>46011</v>
      </c>
      <c r="B835">
        <v>2025003837</v>
      </c>
      <c r="C835" t="s">
        <v>236</v>
      </c>
      <c r="D835" s="15">
        <v>3150000</v>
      </c>
      <c r="E835" t="s">
        <v>406</v>
      </c>
      <c r="F835" t="s">
        <v>237</v>
      </c>
      <c r="G835" t="s">
        <v>106</v>
      </c>
      <c r="H835" t="s">
        <v>236</v>
      </c>
      <c r="I835" s="6" t="s">
        <v>97</v>
      </c>
    </row>
    <row r="836" spans="1:9" hidden="1" x14ac:dyDescent="0.25">
      <c r="A836" s="3">
        <v>46011</v>
      </c>
      <c r="B836">
        <v>2025003838</v>
      </c>
      <c r="C836" t="s">
        <v>253</v>
      </c>
      <c r="D836" s="15">
        <v>3150000</v>
      </c>
      <c r="E836" t="s">
        <v>508</v>
      </c>
      <c r="F836" t="s">
        <v>254</v>
      </c>
      <c r="G836" t="s">
        <v>106</v>
      </c>
      <c r="H836" t="s">
        <v>253</v>
      </c>
      <c r="I836" s="6" t="s">
        <v>97</v>
      </c>
    </row>
    <row r="837" spans="1:9" hidden="1" x14ac:dyDescent="0.25">
      <c r="A837" s="3">
        <v>46011</v>
      </c>
      <c r="B837">
        <v>2025003840</v>
      </c>
      <c r="C837" t="s">
        <v>548</v>
      </c>
      <c r="D837" s="15">
        <v>6300000</v>
      </c>
      <c r="E837" t="s">
        <v>549</v>
      </c>
      <c r="F837" t="s">
        <v>550</v>
      </c>
      <c r="G837" t="s">
        <v>106</v>
      </c>
      <c r="H837" t="s">
        <v>548</v>
      </c>
      <c r="I837" s="6" t="s">
        <v>97</v>
      </c>
    </row>
    <row r="838" spans="1:9" hidden="1" x14ac:dyDescent="0.25">
      <c r="A838" s="3">
        <v>46011</v>
      </c>
      <c r="B838">
        <v>2025003841</v>
      </c>
      <c r="C838" t="s">
        <v>120</v>
      </c>
      <c r="D838" s="15">
        <v>3150000</v>
      </c>
      <c r="E838" t="s">
        <v>630</v>
      </c>
      <c r="F838" t="s">
        <v>121</v>
      </c>
      <c r="G838" t="s">
        <v>106</v>
      </c>
      <c r="H838" t="s">
        <v>120</v>
      </c>
      <c r="I838" s="6" t="s">
        <v>97</v>
      </c>
    </row>
    <row r="839" spans="1:9" hidden="1" x14ac:dyDescent="0.25">
      <c r="A839" s="3">
        <v>46011</v>
      </c>
      <c r="B839">
        <v>2025003842</v>
      </c>
      <c r="C839" t="s">
        <v>856</v>
      </c>
      <c r="D839" s="15">
        <v>3150000</v>
      </c>
      <c r="E839" t="s">
        <v>857</v>
      </c>
      <c r="F839" t="s">
        <v>858</v>
      </c>
      <c r="G839" t="s">
        <v>106</v>
      </c>
      <c r="H839" t="s">
        <v>856</v>
      </c>
      <c r="I839" s="6" t="s">
        <v>97</v>
      </c>
    </row>
    <row r="840" spans="1:9" hidden="1" x14ac:dyDescent="0.25">
      <c r="A840" s="3">
        <v>46011</v>
      </c>
      <c r="B840">
        <v>2025003843</v>
      </c>
      <c r="C840" t="s">
        <v>863</v>
      </c>
      <c r="D840" s="15">
        <v>2000000</v>
      </c>
      <c r="E840" t="s">
        <v>864</v>
      </c>
      <c r="F840" t="s">
        <v>865</v>
      </c>
      <c r="G840" t="s">
        <v>106</v>
      </c>
      <c r="H840" t="s">
        <v>863</v>
      </c>
      <c r="I840" s="6" t="s">
        <v>97</v>
      </c>
    </row>
    <row r="841" spans="1:9" hidden="1" x14ac:dyDescent="0.25">
      <c r="A841" s="3">
        <v>46011</v>
      </c>
      <c r="B841">
        <v>2025003844</v>
      </c>
      <c r="C841" t="s">
        <v>457</v>
      </c>
      <c r="D841" s="15">
        <v>2000000</v>
      </c>
      <c r="E841" t="s">
        <v>458</v>
      </c>
      <c r="F841" t="s">
        <v>459</v>
      </c>
      <c r="G841" t="s">
        <v>106</v>
      </c>
      <c r="H841" t="s">
        <v>457</v>
      </c>
      <c r="I841" s="6" t="s">
        <v>97</v>
      </c>
    </row>
    <row r="842" spans="1:9" hidden="1" x14ac:dyDescent="0.25">
      <c r="A842" s="3">
        <v>46011</v>
      </c>
      <c r="B842">
        <v>2025003845</v>
      </c>
      <c r="C842" t="s">
        <v>481</v>
      </c>
      <c r="D842" s="15">
        <v>3150000</v>
      </c>
      <c r="E842" t="s">
        <v>482</v>
      </c>
      <c r="F842" t="s">
        <v>483</v>
      </c>
      <c r="G842" t="s">
        <v>106</v>
      </c>
      <c r="H842" t="s">
        <v>481</v>
      </c>
      <c r="I842" s="6" t="s">
        <v>97</v>
      </c>
    </row>
    <row r="843" spans="1:9" hidden="1" x14ac:dyDescent="0.25">
      <c r="A843" s="3">
        <v>46011</v>
      </c>
      <c r="B843">
        <v>2025003846</v>
      </c>
      <c r="C843" t="s">
        <v>554</v>
      </c>
      <c r="D843" s="15">
        <v>7800000</v>
      </c>
      <c r="E843" t="s">
        <v>555</v>
      </c>
      <c r="F843" t="s">
        <v>556</v>
      </c>
      <c r="G843" t="s">
        <v>106</v>
      </c>
      <c r="H843" t="s">
        <v>554</v>
      </c>
      <c r="I843" s="6" t="s">
        <v>97</v>
      </c>
    </row>
    <row r="844" spans="1:9" hidden="1" x14ac:dyDescent="0.25">
      <c r="A844" s="3">
        <v>46011</v>
      </c>
      <c r="B844">
        <v>2025003847</v>
      </c>
      <c r="C844" t="s">
        <v>906</v>
      </c>
      <c r="D844" s="15">
        <v>6300000</v>
      </c>
      <c r="E844" t="s">
        <v>907</v>
      </c>
      <c r="F844" t="s">
        <v>90</v>
      </c>
      <c r="G844" t="s">
        <v>106</v>
      </c>
      <c r="H844" t="s">
        <v>906</v>
      </c>
      <c r="I844" s="6" t="s">
        <v>97</v>
      </c>
    </row>
    <row r="845" spans="1:9" hidden="1" x14ac:dyDescent="0.25">
      <c r="A845" s="3">
        <v>46011</v>
      </c>
      <c r="B845">
        <v>2025003848</v>
      </c>
      <c r="C845" t="s">
        <v>253</v>
      </c>
      <c r="D845" s="15">
        <v>3150000</v>
      </c>
      <c r="E845" t="s">
        <v>508</v>
      </c>
      <c r="F845" t="s">
        <v>254</v>
      </c>
      <c r="G845" t="s">
        <v>106</v>
      </c>
      <c r="H845" t="s">
        <v>253</v>
      </c>
      <c r="I845" s="6" t="s">
        <v>97</v>
      </c>
    </row>
    <row r="846" spans="1:9" hidden="1" x14ac:dyDescent="0.25">
      <c r="A846" s="3">
        <v>46011</v>
      </c>
      <c r="B846">
        <v>2025003849</v>
      </c>
      <c r="C846" t="s">
        <v>206</v>
      </c>
      <c r="D846" s="15">
        <v>4730000</v>
      </c>
      <c r="E846" t="s">
        <v>462</v>
      </c>
      <c r="F846" t="s">
        <v>207</v>
      </c>
      <c r="G846" t="s">
        <v>106</v>
      </c>
      <c r="H846" t="s">
        <v>206</v>
      </c>
      <c r="I846" s="6" t="s">
        <v>97</v>
      </c>
    </row>
    <row r="847" spans="1:9" hidden="1" x14ac:dyDescent="0.25">
      <c r="A847" s="3">
        <v>46011</v>
      </c>
      <c r="B847">
        <v>2025003850</v>
      </c>
      <c r="C847" t="s">
        <v>305</v>
      </c>
      <c r="D847" s="15">
        <v>3150000</v>
      </c>
      <c r="E847" t="s">
        <v>431</v>
      </c>
      <c r="F847" t="s">
        <v>306</v>
      </c>
      <c r="G847" t="s">
        <v>106</v>
      </c>
      <c r="H847" t="s">
        <v>305</v>
      </c>
      <c r="I847" s="6" t="s">
        <v>97</v>
      </c>
    </row>
    <row r="848" spans="1:9" hidden="1" x14ac:dyDescent="0.25">
      <c r="A848" s="3">
        <v>46011</v>
      </c>
      <c r="B848">
        <v>2025003851</v>
      </c>
      <c r="C848" t="s">
        <v>510</v>
      </c>
      <c r="D848" s="15">
        <v>3150000</v>
      </c>
      <c r="E848" t="s">
        <v>511</v>
      </c>
      <c r="F848" t="s">
        <v>512</v>
      </c>
      <c r="G848" t="s">
        <v>106</v>
      </c>
      <c r="H848" t="s">
        <v>510</v>
      </c>
      <c r="I848" s="6" t="s">
        <v>97</v>
      </c>
    </row>
    <row r="849" spans="1:9" hidden="1" x14ac:dyDescent="0.25">
      <c r="A849" s="3">
        <v>46011</v>
      </c>
      <c r="B849">
        <v>2025003852</v>
      </c>
      <c r="C849" t="s">
        <v>242</v>
      </c>
      <c r="D849" s="15">
        <v>4730000</v>
      </c>
      <c r="E849" t="s">
        <v>394</v>
      </c>
      <c r="F849" t="s">
        <v>243</v>
      </c>
      <c r="G849" t="s">
        <v>106</v>
      </c>
      <c r="H849" t="s">
        <v>242</v>
      </c>
      <c r="I849" s="6" t="s">
        <v>97</v>
      </c>
    </row>
    <row r="850" spans="1:9" hidden="1" x14ac:dyDescent="0.25">
      <c r="A850" s="3">
        <v>46011</v>
      </c>
      <c r="B850">
        <v>2025003853</v>
      </c>
      <c r="C850" t="s">
        <v>854</v>
      </c>
      <c r="D850" s="15">
        <v>3150000</v>
      </c>
      <c r="E850" t="s">
        <v>855</v>
      </c>
      <c r="F850" t="s">
        <v>16</v>
      </c>
      <c r="G850" t="s">
        <v>106</v>
      </c>
      <c r="H850" t="s">
        <v>854</v>
      </c>
      <c r="I850" s="6" t="s">
        <v>97</v>
      </c>
    </row>
    <row r="851" spans="1:9" hidden="1" x14ac:dyDescent="0.25">
      <c r="A851" s="3">
        <v>46011</v>
      </c>
      <c r="B851">
        <v>2025003854</v>
      </c>
      <c r="C851" t="s">
        <v>635</v>
      </c>
      <c r="D851" s="15">
        <v>3150000</v>
      </c>
      <c r="E851" t="s">
        <v>636</v>
      </c>
      <c r="F851" t="s">
        <v>637</v>
      </c>
      <c r="G851" t="s">
        <v>106</v>
      </c>
      <c r="H851" t="s">
        <v>635</v>
      </c>
      <c r="I851" s="6" t="s">
        <v>97</v>
      </c>
    </row>
    <row r="852" spans="1:9" hidden="1" x14ac:dyDescent="0.25">
      <c r="A852" s="3">
        <v>46011</v>
      </c>
      <c r="B852">
        <v>2025003855</v>
      </c>
      <c r="C852" t="s">
        <v>251</v>
      </c>
      <c r="D852" s="15">
        <v>3150000</v>
      </c>
      <c r="E852" t="s">
        <v>449</v>
      </c>
      <c r="F852" t="s">
        <v>252</v>
      </c>
      <c r="G852" t="s">
        <v>106</v>
      </c>
      <c r="H852" t="s">
        <v>251</v>
      </c>
      <c r="I852" s="6" t="s">
        <v>97</v>
      </c>
    </row>
    <row r="853" spans="1:9" hidden="1" x14ac:dyDescent="0.25">
      <c r="A853" s="3">
        <v>46011</v>
      </c>
      <c r="B853">
        <v>2025003856</v>
      </c>
      <c r="C853" t="s">
        <v>111</v>
      </c>
      <c r="D853" s="15">
        <v>3150000</v>
      </c>
      <c r="E853" t="s">
        <v>409</v>
      </c>
      <c r="F853" t="s">
        <v>44</v>
      </c>
      <c r="G853" t="s">
        <v>106</v>
      </c>
      <c r="H853" t="s">
        <v>111</v>
      </c>
      <c r="I853" s="6" t="s">
        <v>97</v>
      </c>
    </row>
    <row r="854" spans="1:9" hidden="1" x14ac:dyDescent="0.25">
      <c r="A854" s="3">
        <v>46011</v>
      </c>
      <c r="B854">
        <v>2025003858</v>
      </c>
      <c r="C854" t="s">
        <v>275</v>
      </c>
      <c r="D854" s="15">
        <v>4730000</v>
      </c>
      <c r="E854" t="s">
        <v>719</v>
      </c>
      <c r="F854" t="s">
        <v>276</v>
      </c>
      <c r="G854" t="s">
        <v>106</v>
      </c>
      <c r="H854" t="s">
        <v>275</v>
      </c>
      <c r="I854" s="6" t="s">
        <v>97</v>
      </c>
    </row>
    <row r="855" spans="1:9" hidden="1" x14ac:dyDescent="0.25">
      <c r="A855" s="3">
        <v>46011</v>
      </c>
      <c r="B855">
        <v>2025003859</v>
      </c>
      <c r="C855" t="s">
        <v>399</v>
      </c>
      <c r="D855" s="15">
        <v>3150000</v>
      </c>
      <c r="E855" t="s">
        <v>400</v>
      </c>
      <c r="F855" t="s">
        <v>77</v>
      </c>
      <c r="G855" t="s">
        <v>106</v>
      </c>
      <c r="H855" t="s">
        <v>399</v>
      </c>
      <c r="I855" s="6" t="s">
        <v>97</v>
      </c>
    </row>
    <row r="856" spans="1:9" hidden="1" x14ac:dyDescent="0.25">
      <c r="A856" s="3">
        <v>46011</v>
      </c>
      <c r="B856">
        <v>2025003860</v>
      </c>
      <c r="C856" t="s">
        <v>361</v>
      </c>
      <c r="D856" s="15">
        <v>4730000</v>
      </c>
      <c r="E856" t="s">
        <v>362</v>
      </c>
      <c r="F856" t="s">
        <v>363</v>
      </c>
      <c r="G856" t="s">
        <v>106</v>
      </c>
      <c r="H856" t="s">
        <v>361</v>
      </c>
      <c r="I856" s="6" t="s">
        <v>97</v>
      </c>
    </row>
    <row r="857" spans="1:9" hidden="1" x14ac:dyDescent="0.25">
      <c r="A857" s="3">
        <v>46011</v>
      </c>
      <c r="B857">
        <v>2025003861</v>
      </c>
      <c r="C857" t="s">
        <v>495</v>
      </c>
      <c r="D857" s="15">
        <v>6300000</v>
      </c>
      <c r="E857" t="s">
        <v>496</v>
      </c>
      <c r="F857" t="s">
        <v>94</v>
      </c>
      <c r="G857" t="s">
        <v>106</v>
      </c>
      <c r="H857" t="s">
        <v>495</v>
      </c>
      <c r="I857" s="6" t="s">
        <v>97</v>
      </c>
    </row>
    <row r="858" spans="1:9" hidden="1" x14ac:dyDescent="0.25">
      <c r="A858" s="3">
        <v>46011</v>
      </c>
      <c r="B858">
        <v>2025003862</v>
      </c>
      <c r="C858" t="s">
        <v>244</v>
      </c>
      <c r="D858" s="15">
        <v>3150000</v>
      </c>
      <c r="E858" t="s">
        <v>428</v>
      </c>
      <c r="F858" t="s">
        <v>86</v>
      </c>
      <c r="G858" t="s">
        <v>106</v>
      </c>
      <c r="H858" t="s">
        <v>244</v>
      </c>
      <c r="I858" s="6" t="s">
        <v>97</v>
      </c>
    </row>
    <row r="859" spans="1:9" hidden="1" x14ac:dyDescent="0.25">
      <c r="A859" s="3">
        <v>46011</v>
      </c>
      <c r="B859">
        <v>2025003864</v>
      </c>
      <c r="C859" t="s">
        <v>226</v>
      </c>
      <c r="D859" s="15">
        <v>7800000</v>
      </c>
      <c r="E859" t="s">
        <v>437</v>
      </c>
      <c r="F859" t="s">
        <v>227</v>
      </c>
      <c r="G859" t="s">
        <v>106</v>
      </c>
      <c r="H859" t="s">
        <v>226</v>
      </c>
      <c r="I859" s="6" t="s">
        <v>97</v>
      </c>
    </row>
    <row r="860" spans="1:9" hidden="1" x14ac:dyDescent="0.25">
      <c r="A860" s="3">
        <v>46011</v>
      </c>
      <c r="B860">
        <v>2025003865</v>
      </c>
      <c r="C860" t="s">
        <v>104</v>
      </c>
      <c r="D860" s="15">
        <v>3150000</v>
      </c>
      <c r="E860" t="s">
        <v>479</v>
      </c>
      <c r="F860" t="s">
        <v>105</v>
      </c>
      <c r="G860" t="s">
        <v>106</v>
      </c>
      <c r="H860" t="s">
        <v>104</v>
      </c>
      <c r="I860" s="6" t="s">
        <v>97</v>
      </c>
    </row>
    <row r="861" spans="1:9" hidden="1" x14ac:dyDescent="0.25">
      <c r="A861" s="3">
        <v>46011</v>
      </c>
      <c r="B861">
        <v>2025003866</v>
      </c>
      <c r="C861" t="s">
        <v>193</v>
      </c>
      <c r="D861" s="15">
        <v>4730000</v>
      </c>
      <c r="E861" t="s">
        <v>380</v>
      </c>
      <c r="F861" t="s">
        <v>194</v>
      </c>
      <c r="G861" t="s">
        <v>106</v>
      </c>
      <c r="H861" t="s">
        <v>193</v>
      </c>
      <c r="I861" s="6" t="s">
        <v>97</v>
      </c>
    </row>
    <row r="862" spans="1:9" hidden="1" x14ac:dyDescent="0.25">
      <c r="A862" s="3">
        <v>46011</v>
      </c>
      <c r="B862">
        <v>2025003867</v>
      </c>
      <c r="C862" t="s">
        <v>625</v>
      </c>
      <c r="D862" s="15">
        <v>2000000</v>
      </c>
      <c r="E862" t="s">
        <v>626</v>
      </c>
      <c r="F862" t="s">
        <v>627</v>
      </c>
      <c r="G862" t="s">
        <v>106</v>
      </c>
      <c r="H862" t="s">
        <v>625</v>
      </c>
      <c r="I862" s="6" t="s">
        <v>97</v>
      </c>
    </row>
    <row r="863" spans="1:9" hidden="1" x14ac:dyDescent="0.25">
      <c r="A863" s="3">
        <v>46011</v>
      </c>
      <c r="B863">
        <v>2025003868</v>
      </c>
      <c r="C863" t="s">
        <v>399</v>
      </c>
      <c r="D863" s="15">
        <v>3150000</v>
      </c>
      <c r="E863" t="s">
        <v>400</v>
      </c>
      <c r="F863" t="s">
        <v>77</v>
      </c>
      <c r="G863" t="s">
        <v>106</v>
      </c>
      <c r="H863" t="s">
        <v>399</v>
      </c>
      <c r="I863" s="6" t="s">
        <v>97</v>
      </c>
    </row>
    <row r="864" spans="1:9" hidden="1" x14ac:dyDescent="0.25">
      <c r="A864" s="3">
        <v>46011</v>
      </c>
      <c r="B864">
        <v>2025003869</v>
      </c>
      <c r="C864" t="s">
        <v>256</v>
      </c>
      <c r="D864" s="15">
        <v>4730000</v>
      </c>
      <c r="E864" t="s">
        <v>366</v>
      </c>
      <c r="F864" t="s">
        <v>257</v>
      </c>
      <c r="G864" t="s">
        <v>106</v>
      </c>
      <c r="H864" t="s">
        <v>256</v>
      </c>
      <c r="I864" s="6" t="s">
        <v>97</v>
      </c>
    </row>
    <row r="865" spans="1:9" hidden="1" x14ac:dyDescent="0.25">
      <c r="A865" s="3">
        <v>46011</v>
      </c>
      <c r="B865">
        <v>2025003870</v>
      </c>
      <c r="C865" t="s">
        <v>497</v>
      </c>
      <c r="D865" s="15">
        <v>2000000</v>
      </c>
      <c r="E865" t="s">
        <v>498</v>
      </c>
      <c r="F865" t="s">
        <v>499</v>
      </c>
      <c r="G865" t="s">
        <v>106</v>
      </c>
      <c r="H865" t="s">
        <v>497</v>
      </c>
      <c r="I865" s="6" t="s">
        <v>97</v>
      </c>
    </row>
    <row r="866" spans="1:9" hidden="1" x14ac:dyDescent="0.25">
      <c r="A866" s="3">
        <v>46011</v>
      </c>
      <c r="B866">
        <v>2025003871</v>
      </c>
      <c r="C866" t="s">
        <v>202</v>
      </c>
      <c r="D866" s="15">
        <v>7800000</v>
      </c>
      <c r="E866" t="s">
        <v>405</v>
      </c>
      <c r="F866" t="s">
        <v>61</v>
      </c>
      <c r="G866" t="s">
        <v>106</v>
      </c>
      <c r="H866" t="s">
        <v>202</v>
      </c>
      <c r="I866" s="6" t="s">
        <v>97</v>
      </c>
    </row>
    <row r="867" spans="1:9" hidden="1" x14ac:dyDescent="0.25">
      <c r="A867" s="3">
        <v>46011</v>
      </c>
      <c r="B867">
        <v>2025003872</v>
      </c>
      <c r="C867" t="s">
        <v>323</v>
      </c>
      <c r="D867" s="15">
        <v>3150000</v>
      </c>
      <c r="E867" t="s">
        <v>436</v>
      </c>
      <c r="F867" t="s">
        <v>324</v>
      </c>
      <c r="G867" t="s">
        <v>106</v>
      </c>
      <c r="H867" t="s">
        <v>323</v>
      </c>
      <c r="I867" s="6" t="s">
        <v>97</v>
      </c>
    </row>
    <row r="868" spans="1:9" hidden="1" x14ac:dyDescent="0.25">
      <c r="A868" s="3">
        <v>46011</v>
      </c>
      <c r="B868">
        <v>2025003873</v>
      </c>
      <c r="C868" t="s">
        <v>396</v>
      </c>
      <c r="D868" s="15">
        <v>2000000</v>
      </c>
      <c r="E868" t="s">
        <v>397</v>
      </c>
      <c r="F868" t="s">
        <v>398</v>
      </c>
      <c r="G868" t="s">
        <v>106</v>
      </c>
      <c r="H868" t="s">
        <v>396</v>
      </c>
      <c r="I868" s="6" t="s">
        <v>97</v>
      </c>
    </row>
    <row r="869" spans="1:9" hidden="1" x14ac:dyDescent="0.25">
      <c r="A869" s="3">
        <v>46011</v>
      </c>
      <c r="B869">
        <v>2025003874</v>
      </c>
      <c r="C869" t="s">
        <v>748</v>
      </c>
      <c r="D869" s="15">
        <v>3150000</v>
      </c>
      <c r="E869" t="s">
        <v>749</v>
      </c>
      <c r="F869" t="s">
        <v>26</v>
      </c>
      <c r="G869" t="s">
        <v>106</v>
      </c>
      <c r="H869" t="s">
        <v>748</v>
      </c>
      <c r="I869" s="6" t="s">
        <v>97</v>
      </c>
    </row>
    <row r="870" spans="1:9" hidden="1" x14ac:dyDescent="0.25">
      <c r="A870" s="3">
        <v>46011</v>
      </c>
      <c r="B870">
        <v>2025003875</v>
      </c>
      <c r="C870" t="s">
        <v>866</v>
      </c>
      <c r="D870" s="15">
        <v>7800000</v>
      </c>
      <c r="E870" t="s">
        <v>867</v>
      </c>
      <c r="F870" t="s">
        <v>868</v>
      </c>
      <c r="G870" t="s">
        <v>106</v>
      </c>
      <c r="H870" t="s">
        <v>866</v>
      </c>
      <c r="I870" s="6" t="s">
        <v>97</v>
      </c>
    </row>
    <row r="871" spans="1:9" hidden="1" x14ac:dyDescent="0.25">
      <c r="A871" s="3">
        <v>46011</v>
      </c>
      <c r="B871">
        <v>2025003876</v>
      </c>
      <c r="C871" t="s">
        <v>451</v>
      </c>
      <c r="D871" s="15">
        <v>2000000</v>
      </c>
      <c r="E871" t="s">
        <v>452</v>
      </c>
      <c r="F871" t="s">
        <v>453</v>
      </c>
      <c r="G871" t="s">
        <v>106</v>
      </c>
      <c r="H871" t="s">
        <v>451</v>
      </c>
      <c r="I871" s="6" t="s">
        <v>97</v>
      </c>
    </row>
    <row r="872" spans="1:9" hidden="1" x14ac:dyDescent="0.25">
      <c r="A872" s="3">
        <v>46011</v>
      </c>
      <c r="B872">
        <v>2025003878</v>
      </c>
      <c r="C872" t="s">
        <v>755</v>
      </c>
      <c r="D872" s="15">
        <v>2000000</v>
      </c>
      <c r="E872" t="s">
        <v>756</v>
      </c>
      <c r="F872" t="s">
        <v>757</v>
      </c>
      <c r="G872" t="s">
        <v>106</v>
      </c>
      <c r="H872" t="s">
        <v>755</v>
      </c>
      <c r="I872" s="6" t="s">
        <v>97</v>
      </c>
    </row>
    <row r="873" spans="1:9" hidden="1" x14ac:dyDescent="0.25">
      <c r="A873" s="3">
        <v>46011</v>
      </c>
      <c r="B873">
        <v>2025003879</v>
      </c>
      <c r="C873" t="s">
        <v>122</v>
      </c>
      <c r="D873" s="15">
        <v>6300000</v>
      </c>
      <c r="E873" t="s">
        <v>438</v>
      </c>
      <c r="F873" t="s">
        <v>51</v>
      </c>
      <c r="G873" t="s">
        <v>106</v>
      </c>
      <c r="H873" t="s">
        <v>122</v>
      </c>
      <c r="I873" s="6" t="s">
        <v>97</v>
      </c>
    </row>
    <row r="874" spans="1:9" hidden="1" x14ac:dyDescent="0.25">
      <c r="A874" s="3">
        <v>46011</v>
      </c>
      <c r="B874">
        <v>2025003880</v>
      </c>
      <c r="C874" t="s">
        <v>343</v>
      </c>
      <c r="D874" s="15">
        <v>3150000</v>
      </c>
      <c r="E874" t="s">
        <v>395</v>
      </c>
      <c r="F874" t="s">
        <v>344</v>
      </c>
      <c r="G874" t="s">
        <v>106</v>
      </c>
      <c r="H874" t="s">
        <v>343</v>
      </c>
      <c r="I874" s="6" t="s">
        <v>97</v>
      </c>
    </row>
    <row r="875" spans="1:9" hidden="1" x14ac:dyDescent="0.25">
      <c r="A875" s="3">
        <v>46011</v>
      </c>
      <c r="B875">
        <v>2025003881</v>
      </c>
      <c r="C875" t="s">
        <v>208</v>
      </c>
      <c r="D875" s="15">
        <v>7800000</v>
      </c>
      <c r="E875" t="s">
        <v>383</v>
      </c>
      <c r="F875" t="s">
        <v>209</v>
      </c>
      <c r="G875" t="s">
        <v>106</v>
      </c>
      <c r="H875" t="s">
        <v>208</v>
      </c>
      <c r="I875" s="6" t="s">
        <v>97</v>
      </c>
    </row>
    <row r="876" spans="1:9" hidden="1" x14ac:dyDescent="0.25">
      <c r="A876" s="3">
        <v>46011</v>
      </c>
      <c r="B876">
        <v>2025003882</v>
      </c>
      <c r="C876" t="s">
        <v>454</v>
      </c>
      <c r="D876" s="15">
        <v>2000000</v>
      </c>
      <c r="E876" t="s">
        <v>455</v>
      </c>
      <c r="F876" t="s">
        <v>456</v>
      </c>
      <c r="G876" t="s">
        <v>106</v>
      </c>
      <c r="H876" t="s">
        <v>454</v>
      </c>
      <c r="I876" s="6" t="s">
        <v>97</v>
      </c>
    </row>
    <row r="877" spans="1:9" hidden="1" x14ac:dyDescent="0.25">
      <c r="A877" s="3">
        <v>46011</v>
      </c>
      <c r="B877">
        <v>2025003883</v>
      </c>
      <c r="C877" t="s">
        <v>319</v>
      </c>
      <c r="D877" s="15">
        <v>7800000</v>
      </c>
      <c r="E877" t="s">
        <v>393</v>
      </c>
      <c r="F877" t="s">
        <v>320</v>
      </c>
      <c r="G877" t="s">
        <v>106</v>
      </c>
      <c r="H877" t="s">
        <v>319</v>
      </c>
      <c r="I877" s="6" t="s">
        <v>97</v>
      </c>
    </row>
    <row r="878" spans="1:9" hidden="1" x14ac:dyDescent="0.25">
      <c r="A878" s="3">
        <v>46011</v>
      </c>
      <c r="B878">
        <v>2025003884</v>
      </c>
      <c r="C878" t="s">
        <v>190</v>
      </c>
      <c r="D878" s="15">
        <v>6300000</v>
      </c>
      <c r="E878" t="s">
        <v>646</v>
      </c>
      <c r="F878" t="s">
        <v>191</v>
      </c>
      <c r="G878" t="s">
        <v>106</v>
      </c>
      <c r="H878" t="s">
        <v>190</v>
      </c>
      <c r="I878" s="6" t="s">
        <v>97</v>
      </c>
    </row>
    <row r="879" spans="1:9" hidden="1" x14ac:dyDescent="0.25">
      <c r="A879" s="3">
        <v>46011</v>
      </c>
      <c r="B879">
        <v>2025003885</v>
      </c>
      <c r="C879" t="s">
        <v>216</v>
      </c>
      <c r="D879" s="15">
        <v>7800000</v>
      </c>
      <c r="E879" t="s">
        <v>480</v>
      </c>
      <c r="F879" t="s">
        <v>13</v>
      </c>
      <c r="G879" t="s">
        <v>106</v>
      </c>
      <c r="H879" t="s">
        <v>216</v>
      </c>
      <c r="I879" s="6" t="s">
        <v>97</v>
      </c>
    </row>
    <row r="880" spans="1:9" hidden="1" x14ac:dyDescent="0.25">
      <c r="A880" s="3">
        <v>46011</v>
      </c>
      <c r="B880">
        <v>2025003886</v>
      </c>
      <c r="C880" t="s">
        <v>500</v>
      </c>
      <c r="D880" s="15">
        <v>2000000</v>
      </c>
      <c r="E880" t="s">
        <v>501</v>
      </c>
      <c r="F880" t="s">
        <v>502</v>
      </c>
      <c r="G880" t="s">
        <v>106</v>
      </c>
      <c r="H880" t="s">
        <v>500</v>
      </c>
      <c r="I880" s="6" t="s">
        <v>97</v>
      </c>
    </row>
    <row r="881" spans="1:9" hidden="1" x14ac:dyDescent="0.25">
      <c r="A881" s="3">
        <v>46011</v>
      </c>
      <c r="B881">
        <v>2025003887</v>
      </c>
      <c r="C881" t="s">
        <v>632</v>
      </c>
      <c r="D881" s="15">
        <v>3150000</v>
      </c>
      <c r="E881" t="s">
        <v>633</v>
      </c>
      <c r="F881" t="s">
        <v>634</v>
      </c>
      <c r="G881" t="s">
        <v>106</v>
      </c>
      <c r="H881" t="s">
        <v>632</v>
      </c>
      <c r="I881" s="6" t="s">
        <v>97</v>
      </c>
    </row>
    <row r="882" spans="1:9" hidden="1" x14ac:dyDescent="0.25">
      <c r="A882" s="3">
        <v>46011</v>
      </c>
      <c r="B882">
        <v>2025003889</v>
      </c>
      <c r="C882" t="s">
        <v>307</v>
      </c>
      <c r="D882" s="15">
        <v>4730000</v>
      </c>
      <c r="E882" t="s">
        <v>374</v>
      </c>
      <c r="F882" t="s">
        <v>308</v>
      </c>
      <c r="G882" t="s">
        <v>106</v>
      </c>
      <c r="H882" t="s">
        <v>307</v>
      </c>
      <c r="I882" s="6" t="s">
        <v>97</v>
      </c>
    </row>
    <row r="883" spans="1:9" hidden="1" x14ac:dyDescent="0.25">
      <c r="A883" s="3">
        <v>46011</v>
      </c>
      <c r="B883">
        <v>2025003890</v>
      </c>
      <c r="C883" t="s">
        <v>234</v>
      </c>
      <c r="D883" s="15">
        <v>3150000</v>
      </c>
      <c r="E883" t="s">
        <v>412</v>
      </c>
      <c r="F883" t="s">
        <v>235</v>
      </c>
      <c r="G883" t="s">
        <v>106</v>
      </c>
      <c r="H883" t="s">
        <v>234</v>
      </c>
      <c r="I883" s="6" t="s">
        <v>97</v>
      </c>
    </row>
    <row r="884" spans="1:9" hidden="1" x14ac:dyDescent="0.25">
      <c r="A884" s="3">
        <v>46011</v>
      </c>
      <c r="B884">
        <v>2025003892</v>
      </c>
      <c r="C884" t="s">
        <v>620</v>
      </c>
      <c r="D884" s="15">
        <v>7800000</v>
      </c>
      <c r="E884" t="s">
        <v>621</v>
      </c>
      <c r="F884" t="s">
        <v>622</v>
      </c>
      <c r="G884" t="s">
        <v>106</v>
      </c>
      <c r="H884" t="s">
        <v>620</v>
      </c>
      <c r="I884" s="6" t="s">
        <v>97</v>
      </c>
    </row>
    <row r="885" spans="1:9" hidden="1" x14ac:dyDescent="0.25">
      <c r="A885" s="3">
        <v>46011</v>
      </c>
      <c r="B885">
        <v>2025003893</v>
      </c>
      <c r="C885" t="s">
        <v>315</v>
      </c>
      <c r="D885" s="15">
        <v>3150000</v>
      </c>
      <c r="E885" t="s">
        <v>407</v>
      </c>
      <c r="F885" t="s">
        <v>316</v>
      </c>
      <c r="G885" t="s">
        <v>106</v>
      </c>
      <c r="H885" t="s">
        <v>315</v>
      </c>
      <c r="I885" s="6" t="s">
        <v>97</v>
      </c>
    </row>
    <row r="886" spans="1:9" hidden="1" x14ac:dyDescent="0.25">
      <c r="A886" s="3">
        <v>46011</v>
      </c>
      <c r="B886">
        <v>2025003895</v>
      </c>
      <c r="C886" t="s">
        <v>764</v>
      </c>
      <c r="D886" s="15">
        <v>3150000</v>
      </c>
      <c r="E886" t="s">
        <v>765</v>
      </c>
      <c r="F886" t="s">
        <v>766</v>
      </c>
      <c r="G886" t="s">
        <v>106</v>
      </c>
      <c r="H886" t="s">
        <v>764</v>
      </c>
      <c r="I886" s="6" t="s">
        <v>97</v>
      </c>
    </row>
    <row r="887" spans="1:9" hidden="1" x14ac:dyDescent="0.25">
      <c r="A887" s="3">
        <v>46011</v>
      </c>
      <c r="B887">
        <v>2025003897</v>
      </c>
      <c r="C887" t="s">
        <v>557</v>
      </c>
      <c r="D887" s="15">
        <v>3150000</v>
      </c>
      <c r="E887" t="s">
        <v>558</v>
      </c>
      <c r="F887" t="s">
        <v>559</v>
      </c>
      <c r="G887" t="s">
        <v>106</v>
      </c>
      <c r="H887" t="s">
        <v>557</v>
      </c>
      <c r="I887" s="6" t="s">
        <v>97</v>
      </c>
    </row>
    <row r="888" spans="1:9" hidden="1" x14ac:dyDescent="0.25">
      <c r="A888" s="3">
        <v>46011</v>
      </c>
      <c r="B888">
        <v>2025003899</v>
      </c>
      <c r="C888" t="s">
        <v>752</v>
      </c>
      <c r="D888" s="15">
        <v>2000000</v>
      </c>
      <c r="E888" t="s">
        <v>753</v>
      </c>
      <c r="F888" t="s">
        <v>754</v>
      </c>
      <c r="G888" t="s">
        <v>106</v>
      </c>
      <c r="H888" t="s">
        <v>752</v>
      </c>
      <c r="I888" s="6" t="s">
        <v>97</v>
      </c>
    </row>
    <row r="889" spans="1:9" hidden="1" x14ac:dyDescent="0.25">
      <c r="A889" s="3">
        <v>46011</v>
      </c>
      <c r="B889">
        <v>2025003900</v>
      </c>
      <c r="C889" t="s">
        <v>473</v>
      </c>
      <c r="D889" s="15">
        <v>2000000</v>
      </c>
      <c r="E889" t="s">
        <v>474</v>
      </c>
      <c r="F889" t="s">
        <v>475</v>
      </c>
      <c r="G889" t="s">
        <v>106</v>
      </c>
      <c r="H889" t="s">
        <v>473</v>
      </c>
      <c r="I889" s="6" t="s">
        <v>97</v>
      </c>
    </row>
    <row r="890" spans="1:9" hidden="1" x14ac:dyDescent="0.25">
      <c r="A890" s="3">
        <v>46011</v>
      </c>
      <c r="B890">
        <v>2025003901</v>
      </c>
      <c r="C890" t="s">
        <v>152</v>
      </c>
      <c r="D890" s="15">
        <v>3150000</v>
      </c>
      <c r="E890" t="s">
        <v>669</v>
      </c>
      <c r="F890" t="s">
        <v>101</v>
      </c>
      <c r="G890" t="s">
        <v>106</v>
      </c>
      <c r="H890" t="s">
        <v>152</v>
      </c>
      <c r="I890" s="6" t="s">
        <v>97</v>
      </c>
    </row>
    <row r="891" spans="1:9" hidden="1" x14ac:dyDescent="0.25">
      <c r="A891" s="3">
        <v>46011</v>
      </c>
      <c r="B891">
        <v>2025003902</v>
      </c>
      <c r="C891" t="s">
        <v>560</v>
      </c>
      <c r="D891" s="15">
        <v>3150000</v>
      </c>
      <c r="E891" t="s">
        <v>561</v>
      </c>
      <c r="F891" t="s">
        <v>562</v>
      </c>
      <c r="G891" t="s">
        <v>106</v>
      </c>
      <c r="H891" t="s">
        <v>560</v>
      </c>
      <c r="I891" s="6" t="s">
        <v>97</v>
      </c>
    </row>
    <row r="892" spans="1:9" hidden="1" x14ac:dyDescent="0.25">
      <c r="A892" s="3">
        <v>46011</v>
      </c>
      <c r="B892">
        <v>2025003903</v>
      </c>
      <c r="C892" t="s">
        <v>497</v>
      </c>
      <c r="D892" s="15">
        <v>2000000</v>
      </c>
      <c r="E892" t="s">
        <v>498</v>
      </c>
      <c r="F892" t="s">
        <v>499</v>
      </c>
      <c r="G892" t="s">
        <v>106</v>
      </c>
      <c r="H892" t="s">
        <v>497</v>
      </c>
      <c r="I892" s="6" t="s">
        <v>97</v>
      </c>
    </row>
    <row r="893" spans="1:9" hidden="1" x14ac:dyDescent="0.25">
      <c r="A893" s="3">
        <v>46011</v>
      </c>
      <c r="B893">
        <v>2025003904</v>
      </c>
      <c r="C893" t="s">
        <v>269</v>
      </c>
      <c r="D893" s="15">
        <v>7800000</v>
      </c>
      <c r="E893" t="s">
        <v>519</v>
      </c>
      <c r="F893" t="s">
        <v>95</v>
      </c>
      <c r="G893" t="s">
        <v>106</v>
      </c>
      <c r="H893" t="s">
        <v>269</v>
      </c>
      <c r="I893" s="6" t="s">
        <v>97</v>
      </c>
    </row>
    <row r="894" spans="1:9" hidden="1" x14ac:dyDescent="0.25">
      <c r="A894" s="3">
        <v>46011</v>
      </c>
      <c r="B894">
        <v>2025003906</v>
      </c>
      <c r="C894" t="s">
        <v>353</v>
      </c>
      <c r="D894" s="15">
        <v>4730000</v>
      </c>
      <c r="E894" t="s">
        <v>717</v>
      </c>
      <c r="F894" t="s">
        <v>354</v>
      </c>
      <c r="G894" t="s">
        <v>106</v>
      </c>
      <c r="H894" t="s">
        <v>353</v>
      </c>
      <c r="I894" s="6" t="s">
        <v>97</v>
      </c>
    </row>
    <row r="895" spans="1:9" hidden="1" x14ac:dyDescent="0.25">
      <c r="A895" s="3">
        <v>46011</v>
      </c>
      <c r="B895">
        <v>2025003907</v>
      </c>
      <c r="C895" t="s">
        <v>911</v>
      </c>
      <c r="D895" s="15">
        <v>2000000</v>
      </c>
      <c r="E895" t="s">
        <v>912</v>
      </c>
      <c r="F895" t="s">
        <v>913</v>
      </c>
      <c r="G895" t="s">
        <v>106</v>
      </c>
      <c r="H895" t="s">
        <v>911</v>
      </c>
      <c r="I895" s="6" t="s">
        <v>97</v>
      </c>
    </row>
    <row r="896" spans="1:9" hidden="1" x14ac:dyDescent="0.25">
      <c r="A896" s="3">
        <v>46011</v>
      </c>
      <c r="B896">
        <v>2025003910</v>
      </c>
      <c r="C896" t="s">
        <v>304</v>
      </c>
      <c r="D896" s="15">
        <v>3150000</v>
      </c>
      <c r="E896" t="s">
        <v>369</v>
      </c>
      <c r="F896" t="s">
        <v>12</v>
      </c>
      <c r="G896" t="s">
        <v>106</v>
      </c>
      <c r="H896" t="s">
        <v>304</v>
      </c>
      <c r="I896" s="6" t="s">
        <v>97</v>
      </c>
    </row>
    <row r="897" spans="1:9" hidden="1" x14ac:dyDescent="0.25">
      <c r="A897" s="3">
        <v>46011</v>
      </c>
      <c r="B897">
        <v>2025003914</v>
      </c>
      <c r="C897" t="s">
        <v>144</v>
      </c>
      <c r="D897" s="15">
        <v>3150000</v>
      </c>
      <c r="E897" t="s">
        <v>384</v>
      </c>
      <c r="F897" t="s">
        <v>64</v>
      </c>
      <c r="G897" t="s">
        <v>106</v>
      </c>
      <c r="H897" t="s">
        <v>144</v>
      </c>
      <c r="I897" s="6" t="s">
        <v>97</v>
      </c>
    </row>
    <row r="898" spans="1:9" hidden="1" x14ac:dyDescent="0.25">
      <c r="A898" s="3">
        <v>46011</v>
      </c>
      <c r="B898">
        <v>2025003917</v>
      </c>
      <c r="C898" t="s">
        <v>542</v>
      </c>
      <c r="D898" s="15">
        <v>2000000</v>
      </c>
      <c r="E898" t="s">
        <v>543</v>
      </c>
      <c r="F898" t="s">
        <v>544</v>
      </c>
      <c r="G898" t="s">
        <v>106</v>
      </c>
      <c r="H898" t="s">
        <v>542</v>
      </c>
      <c r="I898" s="6" t="s">
        <v>97</v>
      </c>
    </row>
    <row r="899" spans="1:9" hidden="1" x14ac:dyDescent="0.25">
      <c r="A899" s="3">
        <v>46011</v>
      </c>
      <c r="B899">
        <v>2025003918</v>
      </c>
      <c r="C899" t="s">
        <v>464</v>
      </c>
      <c r="D899" s="15">
        <v>2000000</v>
      </c>
      <c r="E899" t="s">
        <v>465</v>
      </c>
      <c r="F899" t="s">
        <v>70</v>
      </c>
      <c r="G899" t="s">
        <v>106</v>
      </c>
      <c r="H899" t="s">
        <v>464</v>
      </c>
      <c r="I899" s="6" t="s">
        <v>97</v>
      </c>
    </row>
    <row r="900" spans="1:9" hidden="1" x14ac:dyDescent="0.25">
      <c r="A900" s="3">
        <v>46011</v>
      </c>
      <c r="B900">
        <v>2025003919</v>
      </c>
      <c r="C900" t="s">
        <v>476</v>
      </c>
      <c r="D900" s="15">
        <v>3150000</v>
      </c>
      <c r="E900" t="s">
        <v>477</v>
      </c>
      <c r="F900" t="s">
        <v>478</v>
      </c>
      <c r="G900" t="s">
        <v>106</v>
      </c>
      <c r="H900" t="s">
        <v>476</v>
      </c>
      <c r="I900" s="6" t="s">
        <v>97</v>
      </c>
    </row>
    <row r="901" spans="1:9" hidden="1" x14ac:dyDescent="0.25">
      <c r="A901" s="3">
        <v>46011</v>
      </c>
      <c r="B901">
        <v>2025003920</v>
      </c>
      <c r="C901" t="s">
        <v>116</v>
      </c>
      <c r="D901" s="15">
        <v>151250000</v>
      </c>
      <c r="E901" t="s">
        <v>364</v>
      </c>
      <c r="F901" t="s">
        <v>10</v>
      </c>
      <c r="G901" t="s">
        <v>106</v>
      </c>
      <c r="H901" t="s">
        <v>116</v>
      </c>
      <c r="I901" s="6" t="s">
        <v>97</v>
      </c>
    </row>
    <row r="902" spans="1:9" hidden="1" x14ac:dyDescent="0.25">
      <c r="A902" s="3">
        <v>46011</v>
      </c>
      <c r="B902">
        <v>2025003921</v>
      </c>
      <c r="C902" t="s">
        <v>758</v>
      </c>
      <c r="D902" s="15">
        <v>3150000</v>
      </c>
      <c r="E902" t="s">
        <v>759</v>
      </c>
      <c r="F902" t="s">
        <v>760</v>
      </c>
      <c r="G902" t="s">
        <v>106</v>
      </c>
      <c r="H902" t="s">
        <v>758</v>
      </c>
      <c r="I902" s="6" t="s">
        <v>97</v>
      </c>
    </row>
    <row r="903" spans="1:9" hidden="1" x14ac:dyDescent="0.25">
      <c r="A903" s="3">
        <v>46011</v>
      </c>
      <c r="B903">
        <v>2025003922</v>
      </c>
      <c r="C903" t="s">
        <v>745</v>
      </c>
      <c r="D903" s="15">
        <v>2000000</v>
      </c>
      <c r="E903" t="s">
        <v>746</v>
      </c>
      <c r="F903" t="s">
        <v>747</v>
      </c>
      <c r="G903" t="s">
        <v>106</v>
      </c>
      <c r="H903" t="s">
        <v>745</v>
      </c>
      <c r="I903" s="6" t="s">
        <v>97</v>
      </c>
    </row>
    <row r="904" spans="1:9" hidden="1" x14ac:dyDescent="0.25">
      <c r="A904" s="3">
        <v>46011</v>
      </c>
      <c r="B904">
        <v>2025003924</v>
      </c>
      <c r="C904" t="s">
        <v>321</v>
      </c>
      <c r="D904" s="15">
        <v>6300000</v>
      </c>
      <c r="E904" t="s">
        <v>430</v>
      </c>
      <c r="F904" t="s">
        <v>322</v>
      </c>
      <c r="G904" t="s">
        <v>106</v>
      </c>
      <c r="H904" t="s">
        <v>321</v>
      </c>
      <c r="I904" s="6" t="s">
        <v>97</v>
      </c>
    </row>
    <row r="905" spans="1:9" hidden="1" x14ac:dyDescent="0.25">
      <c r="A905" s="3">
        <v>46011</v>
      </c>
      <c r="B905">
        <v>2025003925</v>
      </c>
      <c r="C905" t="s">
        <v>607</v>
      </c>
      <c r="D905" s="15">
        <v>4730000</v>
      </c>
      <c r="E905" t="s">
        <v>608</v>
      </c>
      <c r="F905" t="s">
        <v>609</v>
      </c>
      <c r="G905" t="s">
        <v>106</v>
      </c>
      <c r="H905" t="s">
        <v>607</v>
      </c>
      <c r="I905" s="6" t="s">
        <v>97</v>
      </c>
    </row>
    <row r="906" spans="1:9" hidden="1" x14ac:dyDescent="0.25">
      <c r="A906" s="3">
        <v>46011</v>
      </c>
      <c r="B906">
        <v>2025003927</v>
      </c>
      <c r="C906" t="s">
        <v>617</v>
      </c>
      <c r="D906" s="15">
        <v>3150000</v>
      </c>
      <c r="E906" t="s">
        <v>618</v>
      </c>
      <c r="F906" t="s">
        <v>619</v>
      </c>
      <c r="G906" t="s">
        <v>106</v>
      </c>
      <c r="H906" t="s">
        <v>617</v>
      </c>
      <c r="I906" s="6" t="s">
        <v>97</v>
      </c>
    </row>
    <row r="907" spans="1:9" hidden="1" x14ac:dyDescent="0.25">
      <c r="A907" s="3">
        <v>46011</v>
      </c>
      <c r="B907">
        <v>2025003930</v>
      </c>
      <c r="C907" t="s">
        <v>647</v>
      </c>
      <c r="D907" s="15">
        <v>3150000</v>
      </c>
      <c r="E907" t="s">
        <v>648</v>
      </c>
      <c r="F907" t="s">
        <v>649</v>
      </c>
      <c r="G907" t="s">
        <v>106</v>
      </c>
      <c r="H907" t="s">
        <v>647</v>
      </c>
      <c r="I907" s="6" t="s">
        <v>97</v>
      </c>
    </row>
    <row r="908" spans="1:9" hidden="1" x14ac:dyDescent="0.25">
      <c r="A908" s="3">
        <v>46011</v>
      </c>
      <c r="B908">
        <v>2025003931</v>
      </c>
      <c r="C908" t="s">
        <v>761</v>
      </c>
      <c r="D908" s="15">
        <v>6300000</v>
      </c>
      <c r="E908" t="s">
        <v>762</v>
      </c>
      <c r="F908" t="s">
        <v>763</v>
      </c>
      <c r="G908" t="s">
        <v>106</v>
      </c>
      <c r="H908" t="s">
        <v>761</v>
      </c>
      <c r="I908" s="6" t="s">
        <v>97</v>
      </c>
    </row>
    <row r="909" spans="1:9" hidden="1" x14ac:dyDescent="0.25">
      <c r="A909" s="3">
        <v>46011</v>
      </c>
      <c r="B909">
        <v>2025003934</v>
      </c>
      <c r="C909" t="s">
        <v>154</v>
      </c>
      <c r="D909" s="15">
        <v>3150000</v>
      </c>
      <c r="E909" t="s">
        <v>470</v>
      </c>
      <c r="F909" t="s">
        <v>155</v>
      </c>
      <c r="G909" t="s">
        <v>106</v>
      </c>
      <c r="H909" t="s">
        <v>154</v>
      </c>
      <c r="I909" s="6" t="s">
        <v>97</v>
      </c>
    </row>
    <row r="910" spans="1:9" hidden="1" x14ac:dyDescent="0.25">
      <c r="A910" s="3">
        <v>46011</v>
      </c>
      <c r="B910">
        <v>2025003938</v>
      </c>
      <c r="C910" t="s">
        <v>551</v>
      </c>
      <c r="D910" s="15">
        <v>7800000</v>
      </c>
      <c r="E910" t="s">
        <v>552</v>
      </c>
      <c r="F910" t="s">
        <v>553</v>
      </c>
      <c r="G910" t="s">
        <v>106</v>
      </c>
      <c r="H910" t="s">
        <v>551</v>
      </c>
      <c r="I910" s="6" t="s">
        <v>97</v>
      </c>
    </row>
    <row r="911" spans="1:9" hidden="1" x14ac:dyDescent="0.25">
      <c r="A911" s="3">
        <v>46011</v>
      </c>
      <c r="B911">
        <v>2025003942</v>
      </c>
      <c r="C911" t="s">
        <v>114</v>
      </c>
      <c r="D911" s="15">
        <v>4730000</v>
      </c>
      <c r="E911" t="s">
        <v>450</v>
      </c>
      <c r="F911" t="s">
        <v>115</v>
      </c>
      <c r="G911" t="s">
        <v>106</v>
      </c>
      <c r="H911" t="s">
        <v>114</v>
      </c>
      <c r="I911" s="6" t="s">
        <v>97</v>
      </c>
    </row>
    <row r="912" spans="1:9" hidden="1" x14ac:dyDescent="0.25">
      <c r="A912" s="3">
        <v>46011</v>
      </c>
      <c r="B912">
        <v>2025003945</v>
      </c>
      <c r="C912" t="s">
        <v>767</v>
      </c>
      <c r="D912" s="15">
        <v>7800000</v>
      </c>
      <c r="E912" t="s">
        <v>768</v>
      </c>
      <c r="F912" t="s">
        <v>769</v>
      </c>
      <c r="G912" t="s">
        <v>106</v>
      </c>
      <c r="H912" t="s">
        <v>767</v>
      </c>
      <c r="I912" s="6" t="s">
        <v>97</v>
      </c>
    </row>
    <row r="913" spans="1:9" hidden="1" x14ac:dyDescent="0.25">
      <c r="A913" s="3">
        <v>46011</v>
      </c>
      <c r="B913">
        <v>2025003947</v>
      </c>
      <c r="C913" t="s">
        <v>750</v>
      </c>
      <c r="D913" s="15">
        <v>3150000</v>
      </c>
      <c r="E913" t="s">
        <v>751</v>
      </c>
      <c r="F913" t="s">
        <v>87</v>
      </c>
      <c r="G913" t="s">
        <v>106</v>
      </c>
      <c r="H913" t="s">
        <v>750</v>
      </c>
      <c r="I913" s="6" t="s">
        <v>97</v>
      </c>
    </row>
    <row r="914" spans="1:9" hidden="1" x14ac:dyDescent="0.25">
      <c r="A914" s="3">
        <v>46011</v>
      </c>
      <c r="B914">
        <v>2025003949</v>
      </c>
      <c r="C914" t="s">
        <v>860</v>
      </c>
      <c r="D914" s="15">
        <v>7800000</v>
      </c>
      <c r="E914" t="s">
        <v>861</v>
      </c>
      <c r="F914" t="s">
        <v>862</v>
      </c>
      <c r="G914" t="s">
        <v>106</v>
      </c>
      <c r="H914" t="s">
        <v>860</v>
      </c>
      <c r="I914" s="6" t="s">
        <v>97</v>
      </c>
    </row>
    <row r="915" spans="1:9" hidden="1" x14ac:dyDescent="0.25">
      <c r="A915" s="3">
        <v>46011</v>
      </c>
      <c r="B915">
        <v>2025003953</v>
      </c>
      <c r="C915" t="s">
        <v>153</v>
      </c>
      <c r="D915" s="15">
        <v>3150000</v>
      </c>
      <c r="E915" t="s">
        <v>472</v>
      </c>
      <c r="F915" t="s">
        <v>53</v>
      </c>
      <c r="G915" t="s">
        <v>106</v>
      </c>
      <c r="H915" t="s">
        <v>153</v>
      </c>
      <c r="I915" s="6" t="s">
        <v>97</v>
      </c>
    </row>
    <row r="916" spans="1:9" hidden="1" x14ac:dyDescent="0.25">
      <c r="A916" s="3">
        <v>46011</v>
      </c>
      <c r="B916">
        <v>2025003956</v>
      </c>
      <c r="C916" t="s">
        <v>663</v>
      </c>
      <c r="D916" s="15">
        <v>3150000</v>
      </c>
      <c r="E916" t="s">
        <v>664</v>
      </c>
      <c r="F916" t="s">
        <v>665</v>
      </c>
      <c r="G916" t="s">
        <v>106</v>
      </c>
      <c r="H916" t="s">
        <v>663</v>
      </c>
      <c r="I916" s="6" t="s">
        <v>97</v>
      </c>
    </row>
    <row r="917" spans="1:9" hidden="1" x14ac:dyDescent="0.25">
      <c r="A917" s="3">
        <v>46011</v>
      </c>
      <c r="B917">
        <v>2025003957</v>
      </c>
      <c r="C917" t="s">
        <v>467</v>
      </c>
      <c r="D917" s="15">
        <v>6300000</v>
      </c>
      <c r="E917" t="s">
        <v>468</v>
      </c>
      <c r="F917" t="s">
        <v>469</v>
      </c>
      <c r="G917" t="s">
        <v>106</v>
      </c>
      <c r="H917" t="s">
        <v>467</v>
      </c>
      <c r="I917" s="6" t="s">
        <v>97</v>
      </c>
    </row>
    <row r="918" spans="1:9" hidden="1" x14ac:dyDescent="0.25">
      <c r="A918" s="3">
        <v>46011</v>
      </c>
      <c r="B918">
        <v>2025003959</v>
      </c>
      <c r="C918" t="s">
        <v>341</v>
      </c>
      <c r="D918" s="15">
        <v>7800000</v>
      </c>
      <c r="E918" t="s">
        <v>506</v>
      </c>
      <c r="F918" t="s">
        <v>342</v>
      </c>
      <c r="G918" t="s">
        <v>106</v>
      </c>
      <c r="H918" t="s">
        <v>341</v>
      </c>
      <c r="I918" s="6" t="s">
        <v>97</v>
      </c>
    </row>
    <row r="919" spans="1:9" hidden="1" x14ac:dyDescent="0.25">
      <c r="A919" s="3">
        <v>46011</v>
      </c>
      <c r="B919">
        <v>2025003961</v>
      </c>
      <c r="C919" t="s">
        <v>218</v>
      </c>
      <c r="D919" s="15">
        <v>3150000</v>
      </c>
      <c r="E919" t="s">
        <v>387</v>
      </c>
      <c r="F919" t="s">
        <v>219</v>
      </c>
      <c r="G919" t="s">
        <v>106</v>
      </c>
      <c r="H919" t="s">
        <v>218</v>
      </c>
      <c r="I919" s="6" t="s">
        <v>97</v>
      </c>
    </row>
    <row r="920" spans="1:9" hidden="1" x14ac:dyDescent="0.25">
      <c r="A920" s="3">
        <v>46011</v>
      </c>
      <c r="B920">
        <v>2025003963</v>
      </c>
      <c r="C920" t="s">
        <v>145</v>
      </c>
      <c r="D920" s="15">
        <v>3150000</v>
      </c>
      <c r="E920" t="s">
        <v>466</v>
      </c>
      <c r="F920" t="s">
        <v>146</v>
      </c>
      <c r="G920" t="s">
        <v>106</v>
      </c>
      <c r="H920" t="s">
        <v>145</v>
      </c>
      <c r="I920" s="6" t="s">
        <v>97</v>
      </c>
    </row>
    <row r="921" spans="1:9" hidden="1" x14ac:dyDescent="0.25">
      <c r="A921" s="3">
        <v>46011</v>
      </c>
      <c r="B921">
        <v>2025003964</v>
      </c>
      <c r="C921" t="s">
        <v>231</v>
      </c>
      <c r="D921" s="15">
        <v>3150000</v>
      </c>
      <c r="E921" t="s">
        <v>507</v>
      </c>
      <c r="F921" t="s">
        <v>232</v>
      </c>
      <c r="G921" t="s">
        <v>106</v>
      </c>
      <c r="H921" t="s">
        <v>231</v>
      </c>
      <c r="I921" s="6" t="s">
        <v>97</v>
      </c>
    </row>
    <row r="922" spans="1:9" hidden="1" x14ac:dyDescent="0.25">
      <c r="A922" s="3">
        <v>46013</v>
      </c>
      <c r="B922">
        <v>2025003966</v>
      </c>
      <c r="C922" t="s">
        <v>683</v>
      </c>
      <c r="D922" s="15">
        <v>3150000</v>
      </c>
      <c r="E922" t="s">
        <v>684</v>
      </c>
      <c r="F922" t="s">
        <v>31</v>
      </c>
      <c r="G922" t="s">
        <v>106</v>
      </c>
      <c r="H922" t="s">
        <v>683</v>
      </c>
      <c r="I922" s="6" t="s">
        <v>97</v>
      </c>
    </row>
    <row r="923" spans="1:9" hidden="1" x14ac:dyDescent="0.25">
      <c r="A923" s="3">
        <v>46013</v>
      </c>
      <c r="B923">
        <v>2025003967</v>
      </c>
      <c r="C923" t="s">
        <v>707</v>
      </c>
      <c r="D923" s="15">
        <v>2000000</v>
      </c>
      <c r="E923" t="s">
        <v>708</v>
      </c>
      <c r="F923" t="s">
        <v>66</v>
      </c>
      <c r="G923" t="s">
        <v>106</v>
      </c>
      <c r="H923" t="s">
        <v>707</v>
      </c>
      <c r="I923" s="6" t="s">
        <v>97</v>
      </c>
    </row>
    <row r="924" spans="1:9" hidden="1" x14ac:dyDescent="0.25">
      <c r="A924" s="3">
        <v>46013</v>
      </c>
      <c r="B924">
        <v>2025003969</v>
      </c>
      <c r="C924" t="s">
        <v>845</v>
      </c>
      <c r="D924" s="15">
        <v>3150000</v>
      </c>
      <c r="E924" t="s">
        <v>846</v>
      </c>
      <c r="F924" t="s">
        <v>847</v>
      </c>
      <c r="G924" t="s">
        <v>106</v>
      </c>
      <c r="H924" t="s">
        <v>845</v>
      </c>
      <c r="I924" s="6" t="s">
        <v>97</v>
      </c>
    </row>
    <row r="925" spans="1:9" hidden="1" x14ac:dyDescent="0.25">
      <c r="A925" s="3">
        <v>46013</v>
      </c>
      <c r="B925">
        <v>2025003970</v>
      </c>
      <c r="C925" t="s">
        <v>165</v>
      </c>
      <c r="D925" s="15">
        <v>7800000</v>
      </c>
      <c r="E925" t="s">
        <v>440</v>
      </c>
      <c r="F925" t="s">
        <v>166</v>
      </c>
      <c r="G925" t="s">
        <v>106</v>
      </c>
      <c r="H925" t="s">
        <v>165</v>
      </c>
      <c r="I925" s="6" t="s">
        <v>97</v>
      </c>
    </row>
    <row r="926" spans="1:9" hidden="1" x14ac:dyDescent="0.25">
      <c r="A926" s="3">
        <v>46013</v>
      </c>
      <c r="B926">
        <v>2025003973</v>
      </c>
      <c r="C926" t="s">
        <v>349</v>
      </c>
      <c r="D926" s="15">
        <v>3150000</v>
      </c>
      <c r="E926" t="s">
        <v>676</v>
      </c>
      <c r="F926" t="s">
        <v>350</v>
      </c>
      <c r="G926" t="s">
        <v>106</v>
      </c>
      <c r="H926" t="s">
        <v>349</v>
      </c>
      <c r="I926" s="6" t="s">
        <v>97</v>
      </c>
    </row>
    <row r="927" spans="1:9" hidden="1" x14ac:dyDescent="0.25">
      <c r="A927" s="3">
        <v>46013</v>
      </c>
      <c r="B927">
        <v>2025003980</v>
      </c>
      <c r="C927" t="s">
        <v>197</v>
      </c>
      <c r="D927" s="15">
        <v>4730000</v>
      </c>
      <c r="E927" t="s">
        <v>389</v>
      </c>
      <c r="F927" t="s">
        <v>36</v>
      </c>
      <c r="G927" t="s">
        <v>106</v>
      </c>
      <c r="H927" t="s">
        <v>197</v>
      </c>
      <c r="I927" s="6" t="s">
        <v>97</v>
      </c>
    </row>
    <row r="928" spans="1:9" hidden="1" x14ac:dyDescent="0.25">
      <c r="A928" s="3">
        <v>46013</v>
      </c>
      <c r="B928">
        <v>2025003981</v>
      </c>
      <c r="C928" t="s">
        <v>212</v>
      </c>
      <c r="D928" s="15">
        <v>3150000</v>
      </c>
      <c r="E928" t="s">
        <v>368</v>
      </c>
      <c r="F928" t="s">
        <v>48</v>
      </c>
      <c r="G928" t="s">
        <v>106</v>
      </c>
      <c r="H928" t="s">
        <v>212</v>
      </c>
      <c r="I928" s="6" t="s">
        <v>97</v>
      </c>
    </row>
    <row r="929" spans="1:9" hidden="1" x14ac:dyDescent="0.25">
      <c r="A929" s="3">
        <v>46013</v>
      </c>
      <c r="B929">
        <v>2025003983</v>
      </c>
      <c r="C929" t="s">
        <v>242</v>
      </c>
      <c r="D929" s="15">
        <v>4730000</v>
      </c>
      <c r="E929" t="s">
        <v>394</v>
      </c>
      <c r="F929" t="s">
        <v>243</v>
      </c>
      <c r="G929" t="s">
        <v>106</v>
      </c>
      <c r="H929" t="s">
        <v>242</v>
      </c>
      <c r="I929" s="6" t="s">
        <v>97</v>
      </c>
    </row>
    <row r="930" spans="1:9" hidden="1" x14ac:dyDescent="0.25">
      <c r="A930" s="3">
        <v>46013</v>
      </c>
      <c r="B930">
        <v>2025003985</v>
      </c>
      <c r="C930" t="s">
        <v>238</v>
      </c>
      <c r="D930" s="15">
        <v>3150000</v>
      </c>
      <c r="E930" t="s">
        <v>429</v>
      </c>
      <c r="F930" t="s">
        <v>239</v>
      </c>
      <c r="G930" t="s">
        <v>106</v>
      </c>
      <c r="H930" t="s">
        <v>238</v>
      </c>
      <c r="I930" s="6" t="s">
        <v>97</v>
      </c>
    </row>
    <row r="931" spans="1:9" hidden="1" x14ac:dyDescent="0.25">
      <c r="A931" s="3">
        <v>46013</v>
      </c>
      <c r="B931">
        <v>2025003988</v>
      </c>
      <c r="C931" t="s">
        <v>112</v>
      </c>
      <c r="D931" s="15">
        <v>3150000</v>
      </c>
      <c r="E931" t="s">
        <v>386</v>
      </c>
      <c r="F931" t="s">
        <v>55</v>
      </c>
      <c r="G931" t="s">
        <v>106</v>
      </c>
      <c r="H931" t="s">
        <v>112</v>
      </c>
      <c r="I931" s="6" t="s">
        <v>97</v>
      </c>
    </row>
    <row r="932" spans="1:9" hidden="1" x14ac:dyDescent="0.25">
      <c r="A932" s="3">
        <v>46013</v>
      </c>
      <c r="B932">
        <v>2025003989</v>
      </c>
      <c r="C932" t="s">
        <v>313</v>
      </c>
      <c r="D932" s="15">
        <v>3150000</v>
      </c>
      <c r="E932" t="s">
        <v>373</v>
      </c>
      <c r="F932" t="s">
        <v>314</v>
      </c>
      <c r="G932" t="s">
        <v>106</v>
      </c>
      <c r="H932" t="s">
        <v>313</v>
      </c>
      <c r="I932" s="6" t="s">
        <v>97</v>
      </c>
    </row>
    <row r="933" spans="1:9" hidden="1" x14ac:dyDescent="0.25">
      <c r="A933" s="3">
        <v>46013</v>
      </c>
      <c r="B933">
        <v>2025003993</v>
      </c>
      <c r="C933" t="s">
        <v>726</v>
      </c>
      <c r="D933" s="15">
        <v>6300000</v>
      </c>
      <c r="E933" t="s">
        <v>727</v>
      </c>
      <c r="F933" t="s">
        <v>728</v>
      </c>
      <c r="G933" t="s">
        <v>106</v>
      </c>
      <c r="H933" t="s">
        <v>726</v>
      </c>
      <c r="I933" s="6" t="s">
        <v>97</v>
      </c>
    </row>
    <row r="934" spans="1:9" hidden="1" x14ac:dyDescent="0.25">
      <c r="A934" s="3">
        <v>46013</v>
      </c>
      <c r="B934">
        <v>2025003994</v>
      </c>
      <c r="C934" t="s">
        <v>286</v>
      </c>
      <c r="D934" s="15">
        <v>6300000</v>
      </c>
      <c r="E934" t="s">
        <v>738</v>
      </c>
      <c r="F934" t="s">
        <v>287</v>
      </c>
      <c r="G934" t="s">
        <v>106</v>
      </c>
      <c r="H934" t="s">
        <v>286</v>
      </c>
      <c r="I934" s="6" t="s">
        <v>97</v>
      </c>
    </row>
    <row r="935" spans="1:9" hidden="1" x14ac:dyDescent="0.25">
      <c r="A935" s="3">
        <v>46013</v>
      </c>
      <c r="B935">
        <v>2025003995</v>
      </c>
      <c r="C935" t="s">
        <v>840</v>
      </c>
      <c r="D935" s="15">
        <v>3150000</v>
      </c>
      <c r="E935" t="s">
        <v>841</v>
      </c>
      <c r="F935" t="s">
        <v>842</v>
      </c>
      <c r="G935" t="s">
        <v>106</v>
      </c>
      <c r="H935" t="s">
        <v>840</v>
      </c>
      <c r="I935" s="6" t="s">
        <v>97</v>
      </c>
    </row>
    <row r="936" spans="1:9" hidden="1" x14ac:dyDescent="0.25">
      <c r="A936" s="3">
        <v>46013</v>
      </c>
      <c r="B936">
        <v>2025003996</v>
      </c>
      <c r="C936" t="s">
        <v>914</v>
      </c>
      <c r="D936" s="15">
        <v>3150000</v>
      </c>
      <c r="E936" t="s">
        <v>915</v>
      </c>
      <c r="F936" t="s">
        <v>50</v>
      </c>
      <c r="G936" t="s">
        <v>106</v>
      </c>
      <c r="H936" t="s">
        <v>914</v>
      </c>
      <c r="I936" s="6" t="s">
        <v>97</v>
      </c>
    </row>
    <row r="937" spans="1:9" hidden="1" x14ac:dyDescent="0.25">
      <c r="A937" s="3">
        <v>46013</v>
      </c>
      <c r="B937">
        <v>2025003998</v>
      </c>
      <c r="C937" t="s">
        <v>720</v>
      </c>
      <c r="D937" s="15">
        <v>4730000</v>
      </c>
      <c r="E937" t="s">
        <v>721</v>
      </c>
      <c r="F937" t="s">
        <v>722</v>
      </c>
      <c r="G937" t="s">
        <v>106</v>
      </c>
      <c r="H937" t="s">
        <v>720</v>
      </c>
      <c r="I937" s="6" t="s">
        <v>97</v>
      </c>
    </row>
    <row r="938" spans="1:9" hidden="1" x14ac:dyDescent="0.25">
      <c r="A938" s="3">
        <v>46013</v>
      </c>
      <c r="B938">
        <v>2025003999</v>
      </c>
      <c r="C938" t="s">
        <v>705</v>
      </c>
      <c r="D938" s="15">
        <v>6300000</v>
      </c>
      <c r="E938" t="s">
        <v>706</v>
      </c>
      <c r="F938" t="s">
        <v>81</v>
      </c>
      <c r="G938" t="s">
        <v>106</v>
      </c>
      <c r="H938" t="s">
        <v>705</v>
      </c>
      <c r="I938" s="6" t="s">
        <v>97</v>
      </c>
    </row>
    <row r="939" spans="1:9" hidden="1" x14ac:dyDescent="0.25">
      <c r="A939" s="3">
        <v>46013</v>
      </c>
      <c r="B939">
        <v>2025004002</v>
      </c>
      <c r="C939" t="s">
        <v>273</v>
      </c>
      <c r="D939" s="15">
        <v>7800000</v>
      </c>
      <c r="E939" t="s">
        <v>595</v>
      </c>
      <c r="F939" t="s">
        <v>274</v>
      </c>
      <c r="G939" t="s">
        <v>106</v>
      </c>
      <c r="H939" t="s">
        <v>273</v>
      </c>
      <c r="I939" s="6" t="s">
        <v>97</v>
      </c>
    </row>
    <row r="940" spans="1:9" hidden="1" x14ac:dyDescent="0.25">
      <c r="A940" s="3">
        <v>46013</v>
      </c>
      <c r="B940">
        <v>2025004004</v>
      </c>
      <c r="C940" t="s">
        <v>900</v>
      </c>
      <c r="D940" s="15">
        <v>4730000</v>
      </c>
      <c r="E940" t="s">
        <v>901</v>
      </c>
      <c r="F940" t="s">
        <v>902</v>
      </c>
      <c r="G940" t="s">
        <v>106</v>
      </c>
      <c r="H940" t="s">
        <v>900</v>
      </c>
      <c r="I940" s="6" t="s">
        <v>97</v>
      </c>
    </row>
    <row r="941" spans="1:9" hidden="1" x14ac:dyDescent="0.25">
      <c r="A941" s="3">
        <v>46013</v>
      </c>
      <c r="B941">
        <v>2025004008</v>
      </c>
      <c r="C941" t="s">
        <v>723</v>
      </c>
      <c r="D941" s="15">
        <v>4730000</v>
      </c>
      <c r="E941" t="s">
        <v>724</v>
      </c>
      <c r="F941" t="s">
        <v>725</v>
      </c>
      <c r="G941" t="s">
        <v>106</v>
      </c>
      <c r="H941" t="s">
        <v>723</v>
      </c>
      <c r="I941" s="6" t="s">
        <v>97</v>
      </c>
    </row>
    <row r="942" spans="1:9" hidden="1" x14ac:dyDescent="0.25">
      <c r="A942" s="3">
        <v>46013</v>
      </c>
      <c r="B942">
        <v>2025004016</v>
      </c>
      <c r="C942" t="s">
        <v>157</v>
      </c>
      <c r="D942" s="15">
        <v>6300000</v>
      </c>
      <c r="E942" t="s">
        <v>596</v>
      </c>
      <c r="F942" t="s">
        <v>82</v>
      </c>
      <c r="G942" t="s">
        <v>106</v>
      </c>
      <c r="H942" t="s">
        <v>157</v>
      </c>
      <c r="I942" s="6" t="s">
        <v>97</v>
      </c>
    </row>
    <row r="943" spans="1:9" hidden="1" x14ac:dyDescent="0.25">
      <c r="A943" s="3">
        <v>46013</v>
      </c>
      <c r="B943">
        <v>2025004018</v>
      </c>
      <c r="C943" t="s">
        <v>872</v>
      </c>
      <c r="D943" s="15">
        <v>2000000</v>
      </c>
      <c r="E943" t="s">
        <v>873</v>
      </c>
      <c r="F943" t="s">
        <v>874</v>
      </c>
      <c r="G943" t="s">
        <v>106</v>
      </c>
      <c r="H943" t="s">
        <v>872</v>
      </c>
      <c r="I943" s="6" t="s">
        <v>97</v>
      </c>
    </row>
    <row r="944" spans="1:9" hidden="1" x14ac:dyDescent="0.25">
      <c r="A944" s="3">
        <v>46013</v>
      </c>
      <c r="B944">
        <v>2025004019</v>
      </c>
      <c r="C944" t="s">
        <v>159</v>
      </c>
      <c r="D944" s="15">
        <v>7800000</v>
      </c>
      <c r="E944" t="s">
        <v>418</v>
      </c>
      <c r="F944" t="s">
        <v>160</v>
      </c>
      <c r="G944" t="s">
        <v>106</v>
      </c>
      <c r="H944" t="s">
        <v>159</v>
      </c>
      <c r="I944" s="6" t="s">
        <v>97</v>
      </c>
    </row>
    <row r="945" spans="1:9" hidden="1" x14ac:dyDescent="0.25">
      <c r="A945" s="3">
        <v>46013</v>
      </c>
      <c r="B945">
        <v>2025004023</v>
      </c>
      <c r="C945" t="s">
        <v>916</v>
      </c>
      <c r="D945" s="15">
        <v>3150000</v>
      </c>
      <c r="E945" t="s">
        <v>917</v>
      </c>
      <c r="F945" t="s">
        <v>93</v>
      </c>
      <c r="G945" t="s">
        <v>106</v>
      </c>
      <c r="H945" t="s">
        <v>916</v>
      </c>
      <c r="I945" s="6" t="s">
        <v>97</v>
      </c>
    </row>
    <row r="946" spans="1:9" hidden="1" x14ac:dyDescent="0.25">
      <c r="A946" s="3">
        <v>46013</v>
      </c>
      <c r="B946">
        <v>2025004026</v>
      </c>
      <c r="C946" t="s">
        <v>355</v>
      </c>
      <c r="D946" s="15">
        <v>3150000</v>
      </c>
      <c r="E946" t="s">
        <v>599</v>
      </c>
      <c r="F946" t="s">
        <v>356</v>
      </c>
      <c r="G946" t="s">
        <v>106</v>
      </c>
      <c r="H946" t="s">
        <v>355</v>
      </c>
      <c r="I946" s="6" t="s">
        <v>97</v>
      </c>
    </row>
    <row r="947" spans="1:9" hidden="1" x14ac:dyDescent="0.25">
      <c r="A947" s="3">
        <v>46013</v>
      </c>
      <c r="B947">
        <v>2025004033</v>
      </c>
      <c r="C947" t="s">
        <v>897</v>
      </c>
      <c r="D947" s="15">
        <v>2000000</v>
      </c>
      <c r="E947" t="s">
        <v>898</v>
      </c>
      <c r="F947" t="s">
        <v>899</v>
      </c>
      <c r="G947" t="s">
        <v>106</v>
      </c>
      <c r="H947" t="s">
        <v>897</v>
      </c>
      <c r="I947" s="6" t="s">
        <v>97</v>
      </c>
    </row>
    <row r="948" spans="1:9" hidden="1" x14ac:dyDescent="0.25">
      <c r="A948" s="3">
        <v>46013</v>
      </c>
      <c r="B948">
        <v>2025004034</v>
      </c>
      <c r="C948" t="s">
        <v>270</v>
      </c>
      <c r="D948" s="15">
        <v>6300000</v>
      </c>
      <c r="E948" t="s">
        <v>417</v>
      </c>
      <c r="F948" t="s">
        <v>56</v>
      </c>
      <c r="G948" t="s">
        <v>106</v>
      </c>
      <c r="H948" t="s">
        <v>270</v>
      </c>
      <c r="I948" s="6" t="s">
        <v>97</v>
      </c>
    </row>
    <row r="949" spans="1:9" hidden="1" x14ac:dyDescent="0.25">
      <c r="A949" s="3">
        <v>46013</v>
      </c>
      <c r="B949">
        <v>2025004035</v>
      </c>
      <c r="C949" t="s">
        <v>732</v>
      </c>
      <c r="D949" s="15">
        <v>7800000</v>
      </c>
      <c r="E949" t="s">
        <v>733</v>
      </c>
      <c r="F949" t="s">
        <v>734</v>
      </c>
      <c r="G949" t="s">
        <v>106</v>
      </c>
      <c r="H949" t="s">
        <v>732</v>
      </c>
      <c r="I949" s="6" t="s">
        <v>97</v>
      </c>
    </row>
    <row r="950" spans="1:9" hidden="1" x14ac:dyDescent="0.25">
      <c r="A950" s="3">
        <v>46013</v>
      </c>
      <c r="B950">
        <v>2025004037</v>
      </c>
      <c r="C950" t="s">
        <v>292</v>
      </c>
      <c r="D950" s="15">
        <v>4730000</v>
      </c>
      <c r="E950" t="s">
        <v>601</v>
      </c>
      <c r="F950" t="s">
        <v>28</v>
      </c>
      <c r="G950" t="s">
        <v>106</v>
      </c>
      <c r="H950" t="s">
        <v>292</v>
      </c>
      <c r="I950" s="6" t="s">
        <v>97</v>
      </c>
    </row>
    <row r="951" spans="1:9" hidden="1" x14ac:dyDescent="0.25">
      <c r="A951" s="3">
        <v>46013</v>
      </c>
      <c r="B951">
        <v>2025004039</v>
      </c>
      <c r="C951" t="s">
        <v>673</v>
      </c>
      <c r="D951" s="15">
        <v>4730000</v>
      </c>
      <c r="E951" t="s">
        <v>674</v>
      </c>
      <c r="F951" t="s">
        <v>675</v>
      </c>
      <c r="G951" t="s">
        <v>106</v>
      </c>
      <c r="H951" t="s">
        <v>673</v>
      </c>
      <c r="I951" s="6" t="s">
        <v>97</v>
      </c>
    </row>
    <row r="952" spans="1:9" hidden="1" x14ac:dyDescent="0.25">
      <c r="A952" s="3">
        <v>46013</v>
      </c>
      <c r="B952">
        <v>2025004041</v>
      </c>
      <c r="C952" t="s">
        <v>670</v>
      </c>
      <c r="D952" s="15">
        <v>3150000</v>
      </c>
      <c r="E952" t="s">
        <v>671</v>
      </c>
      <c r="F952" t="s">
        <v>672</v>
      </c>
      <c r="G952" t="s">
        <v>106</v>
      </c>
      <c r="H952" t="s">
        <v>670</v>
      </c>
      <c r="I952" s="6" t="s">
        <v>97</v>
      </c>
    </row>
    <row r="953" spans="1:9" hidden="1" x14ac:dyDescent="0.25">
      <c r="A953" s="3">
        <v>46013</v>
      </c>
      <c r="B953">
        <v>2025004042</v>
      </c>
      <c r="C953" t="s">
        <v>685</v>
      </c>
      <c r="D953" s="15">
        <v>2000000</v>
      </c>
      <c r="E953" t="s">
        <v>686</v>
      </c>
      <c r="F953" t="s">
        <v>687</v>
      </c>
      <c r="G953" t="s">
        <v>106</v>
      </c>
      <c r="H953" t="s">
        <v>685</v>
      </c>
      <c r="I953" s="6" t="s">
        <v>97</v>
      </c>
    </row>
    <row r="954" spans="1:9" hidden="1" x14ac:dyDescent="0.25">
      <c r="A954" s="3">
        <v>46013</v>
      </c>
      <c r="B954">
        <v>2025004046</v>
      </c>
      <c r="C954" t="s">
        <v>180</v>
      </c>
      <c r="D954" s="15">
        <v>4730000</v>
      </c>
      <c r="E954" t="s">
        <v>487</v>
      </c>
      <c r="F954" t="s">
        <v>181</v>
      </c>
      <c r="G954" t="s">
        <v>106</v>
      </c>
      <c r="H954" t="s">
        <v>180</v>
      </c>
      <c r="I954" s="6" t="s">
        <v>97</v>
      </c>
    </row>
    <row r="955" spans="1:9" hidden="1" x14ac:dyDescent="0.25">
      <c r="A955" s="3">
        <v>46013</v>
      </c>
      <c r="B955">
        <v>2025004047</v>
      </c>
      <c r="C955" t="s">
        <v>277</v>
      </c>
      <c r="D955" s="15">
        <v>4730000</v>
      </c>
      <c r="E955" t="s">
        <v>494</v>
      </c>
      <c r="F955" t="s">
        <v>278</v>
      </c>
      <c r="G955" t="s">
        <v>106</v>
      </c>
      <c r="H955" t="s">
        <v>277</v>
      </c>
      <c r="I955" s="6" t="s">
        <v>97</v>
      </c>
    </row>
    <row r="956" spans="1:9" hidden="1" x14ac:dyDescent="0.25">
      <c r="A956" s="3">
        <v>46013</v>
      </c>
      <c r="B956">
        <v>2025004048</v>
      </c>
      <c r="C956" t="s">
        <v>279</v>
      </c>
      <c r="D956" s="15">
        <v>7800000</v>
      </c>
      <c r="E956" t="s">
        <v>419</v>
      </c>
      <c r="F956" t="s">
        <v>280</v>
      </c>
      <c r="G956" t="s">
        <v>106</v>
      </c>
      <c r="H956" t="s">
        <v>279</v>
      </c>
      <c r="I956" s="6" t="s">
        <v>97</v>
      </c>
    </row>
    <row r="957" spans="1:9" hidden="1" x14ac:dyDescent="0.25">
      <c r="A957" s="3">
        <v>46013</v>
      </c>
      <c r="B957">
        <v>2025004050</v>
      </c>
      <c r="C957" t="s">
        <v>182</v>
      </c>
      <c r="D957" s="15">
        <v>7800000</v>
      </c>
      <c r="E957" t="s">
        <v>598</v>
      </c>
      <c r="F957" t="s">
        <v>183</v>
      </c>
      <c r="G957" t="s">
        <v>106</v>
      </c>
      <c r="H957" t="s">
        <v>182</v>
      </c>
      <c r="I957" s="6" t="s">
        <v>97</v>
      </c>
    </row>
    <row r="958" spans="1:9" hidden="1" x14ac:dyDescent="0.25">
      <c r="A958" s="3">
        <v>46013</v>
      </c>
      <c r="B958">
        <v>2025004051</v>
      </c>
      <c r="C958" t="s">
        <v>167</v>
      </c>
      <c r="D958" s="15">
        <v>6300000</v>
      </c>
      <c r="E958" t="s">
        <v>594</v>
      </c>
      <c r="F958" t="s">
        <v>168</v>
      </c>
      <c r="G958" t="s">
        <v>106</v>
      </c>
      <c r="H958" t="s">
        <v>167</v>
      </c>
      <c r="I958" s="6" t="s">
        <v>97</v>
      </c>
    </row>
    <row r="959" spans="1:9" hidden="1" x14ac:dyDescent="0.25">
      <c r="A959" s="3">
        <v>46013</v>
      </c>
      <c r="B959">
        <v>2025004056</v>
      </c>
      <c r="C959" t="s">
        <v>351</v>
      </c>
      <c r="D959" s="15">
        <v>3150000</v>
      </c>
      <c r="E959" t="s">
        <v>602</v>
      </c>
      <c r="F959" t="s">
        <v>352</v>
      </c>
      <c r="G959" t="s">
        <v>106</v>
      </c>
      <c r="H959" t="s">
        <v>351</v>
      </c>
      <c r="I959" s="6" t="s">
        <v>97</v>
      </c>
    </row>
    <row r="960" spans="1:9" hidden="1" x14ac:dyDescent="0.25">
      <c r="A960" s="3">
        <v>46013</v>
      </c>
      <c r="B960">
        <v>2025004059</v>
      </c>
      <c r="C960" t="s">
        <v>735</v>
      </c>
      <c r="D960" s="15">
        <v>4730000</v>
      </c>
      <c r="E960" t="s">
        <v>736</v>
      </c>
      <c r="F960" t="s">
        <v>737</v>
      </c>
      <c r="G960" t="s">
        <v>106</v>
      </c>
      <c r="H960" t="s">
        <v>735</v>
      </c>
      <c r="I960" s="6" t="s">
        <v>97</v>
      </c>
    </row>
    <row r="961" spans="1:9" hidden="1" x14ac:dyDescent="0.25">
      <c r="A961" s="3">
        <v>46013</v>
      </c>
      <c r="B961">
        <v>2025004060</v>
      </c>
      <c r="C961" t="s">
        <v>702</v>
      </c>
      <c r="D961" s="15">
        <v>4730000</v>
      </c>
      <c r="E961" t="s">
        <v>703</v>
      </c>
      <c r="F961" t="s">
        <v>704</v>
      </c>
      <c r="G961" t="s">
        <v>106</v>
      </c>
      <c r="H961" t="s">
        <v>702</v>
      </c>
      <c r="I961" s="6" t="s">
        <v>97</v>
      </c>
    </row>
    <row r="962" spans="1:9" hidden="1" x14ac:dyDescent="0.25">
      <c r="A962" s="3">
        <v>46013</v>
      </c>
      <c r="B962">
        <v>2025004061</v>
      </c>
      <c r="C962" t="s">
        <v>883</v>
      </c>
      <c r="D962" s="15">
        <v>3150000</v>
      </c>
      <c r="E962" t="s">
        <v>884</v>
      </c>
      <c r="F962" t="s">
        <v>885</v>
      </c>
      <c r="G962" t="s">
        <v>106</v>
      </c>
      <c r="H962" t="s">
        <v>883</v>
      </c>
      <c r="I962" s="6" t="s">
        <v>97</v>
      </c>
    </row>
    <row r="963" spans="1:9" hidden="1" x14ac:dyDescent="0.25">
      <c r="A963" s="3">
        <v>46013</v>
      </c>
      <c r="B963">
        <v>2025004062</v>
      </c>
      <c r="C963" t="s">
        <v>161</v>
      </c>
      <c r="D963" s="15">
        <v>7800000</v>
      </c>
      <c r="E963" t="s">
        <v>441</v>
      </c>
      <c r="F963" t="s">
        <v>162</v>
      </c>
      <c r="G963" t="s">
        <v>106</v>
      </c>
      <c r="H963" t="s">
        <v>161</v>
      </c>
      <c r="I963" s="6" t="s">
        <v>97</v>
      </c>
    </row>
    <row r="964" spans="1:9" hidden="1" x14ac:dyDescent="0.25">
      <c r="A964" s="3">
        <v>46013</v>
      </c>
      <c r="B964">
        <v>2025004063</v>
      </c>
      <c r="C964" t="s">
        <v>714</v>
      </c>
      <c r="D964" s="15">
        <v>3150000</v>
      </c>
      <c r="E964" t="s">
        <v>715</v>
      </c>
      <c r="F964" t="s">
        <v>716</v>
      </c>
      <c r="G964" t="s">
        <v>106</v>
      </c>
      <c r="H964" t="s">
        <v>714</v>
      </c>
      <c r="I964" s="6" t="s">
        <v>97</v>
      </c>
    </row>
    <row r="965" spans="1:9" hidden="1" x14ac:dyDescent="0.25">
      <c r="A965" s="3">
        <v>46013</v>
      </c>
      <c r="B965">
        <v>2025004064</v>
      </c>
      <c r="C965" t="s">
        <v>272</v>
      </c>
      <c r="D965" s="15">
        <v>6300000</v>
      </c>
      <c r="E965" t="s">
        <v>445</v>
      </c>
      <c r="F965" t="s">
        <v>43</v>
      </c>
      <c r="G965" t="s">
        <v>106</v>
      </c>
      <c r="H965" t="s">
        <v>272</v>
      </c>
      <c r="I965" s="6" t="s">
        <v>97</v>
      </c>
    </row>
    <row r="966" spans="1:9" hidden="1" x14ac:dyDescent="0.25">
      <c r="A966" s="3">
        <v>46013</v>
      </c>
      <c r="B966">
        <v>2025004065</v>
      </c>
      <c r="C966" t="s">
        <v>175</v>
      </c>
      <c r="D966" s="15">
        <v>3150000</v>
      </c>
      <c r="E966" t="s">
        <v>600</v>
      </c>
      <c r="F966" t="s">
        <v>34</v>
      </c>
      <c r="G966" t="s">
        <v>106</v>
      </c>
      <c r="H966" t="s">
        <v>175</v>
      </c>
      <c r="I966" s="6" t="s">
        <v>97</v>
      </c>
    </row>
    <row r="967" spans="1:9" hidden="1" x14ac:dyDescent="0.25">
      <c r="A967" s="3">
        <v>46013</v>
      </c>
      <c r="B967">
        <v>2025004066</v>
      </c>
      <c r="C967" t="s">
        <v>694</v>
      </c>
      <c r="D967" s="15">
        <v>3150000</v>
      </c>
      <c r="E967" t="s">
        <v>695</v>
      </c>
      <c r="F967" t="s">
        <v>696</v>
      </c>
      <c r="G967" t="s">
        <v>106</v>
      </c>
      <c r="H967" t="s">
        <v>694</v>
      </c>
      <c r="I967" s="6" t="s">
        <v>97</v>
      </c>
    </row>
    <row r="968" spans="1:9" hidden="1" x14ac:dyDescent="0.25">
      <c r="A968" s="3">
        <v>46013</v>
      </c>
      <c r="B968">
        <v>2025004067</v>
      </c>
      <c r="C968" t="s">
        <v>876</v>
      </c>
      <c r="D968" s="15">
        <v>2000000</v>
      </c>
      <c r="E968" t="s">
        <v>877</v>
      </c>
      <c r="F968" t="s">
        <v>878</v>
      </c>
      <c r="G968" t="s">
        <v>106</v>
      </c>
      <c r="H968" t="s">
        <v>876</v>
      </c>
      <c r="I968" s="6" t="s">
        <v>97</v>
      </c>
    </row>
    <row r="969" spans="1:9" hidden="1" x14ac:dyDescent="0.25">
      <c r="A969" s="3">
        <v>46013</v>
      </c>
      <c r="B969">
        <v>2025004070</v>
      </c>
      <c r="C969" t="s">
        <v>284</v>
      </c>
      <c r="D969" s="15">
        <v>3150000</v>
      </c>
      <c r="E969" t="s">
        <v>593</v>
      </c>
      <c r="F969" t="s">
        <v>285</v>
      </c>
      <c r="G969" t="s">
        <v>106</v>
      </c>
      <c r="H969" t="s">
        <v>284</v>
      </c>
      <c r="I969" s="6" t="s">
        <v>97</v>
      </c>
    </row>
    <row r="970" spans="1:9" hidden="1" x14ac:dyDescent="0.25">
      <c r="A970" s="3">
        <v>46013</v>
      </c>
      <c r="B970">
        <v>2025004071</v>
      </c>
      <c r="C970" t="s">
        <v>680</v>
      </c>
      <c r="D970" s="15">
        <v>3150000</v>
      </c>
      <c r="E970" t="s">
        <v>681</v>
      </c>
      <c r="F970" t="s">
        <v>682</v>
      </c>
      <c r="G970" t="s">
        <v>106</v>
      </c>
      <c r="H970" t="s">
        <v>680</v>
      </c>
      <c r="I970" s="6" t="s">
        <v>97</v>
      </c>
    </row>
    <row r="971" spans="1:9" hidden="1" x14ac:dyDescent="0.25">
      <c r="A971" s="3">
        <v>46013</v>
      </c>
      <c r="B971">
        <v>2025004072</v>
      </c>
      <c r="C971" t="s">
        <v>271</v>
      </c>
      <c r="D971" s="15">
        <v>3150000</v>
      </c>
      <c r="E971" t="s">
        <v>486</v>
      </c>
      <c r="F971" t="s">
        <v>22</v>
      </c>
      <c r="G971" t="s">
        <v>106</v>
      </c>
      <c r="H971" t="s">
        <v>271</v>
      </c>
      <c r="I971" s="6" t="s">
        <v>97</v>
      </c>
    </row>
    <row r="972" spans="1:9" hidden="1" x14ac:dyDescent="0.25">
      <c r="A972" s="3">
        <v>46013</v>
      </c>
      <c r="B972">
        <v>2025004073</v>
      </c>
      <c r="C972" t="s">
        <v>894</v>
      </c>
      <c r="D972" s="15">
        <v>3150000</v>
      </c>
      <c r="E972" t="s">
        <v>895</v>
      </c>
      <c r="F972" t="s">
        <v>896</v>
      </c>
      <c r="G972" t="s">
        <v>106</v>
      </c>
      <c r="H972" t="s">
        <v>894</v>
      </c>
      <c r="I972" s="6" t="s">
        <v>97</v>
      </c>
    </row>
    <row r="973" spans="1:9" hidden="1" x14ac:dyDescent="0.25">
      <c r="A973" s="3">
        <v>46013</v>
      </c>
      <c r="B973">
        <v>2025004074</v>
      </c>
      <c r="C973" t="s">
        <v>171</v>
      </c>
      <c r="D973" s="15">
        <v>3150000</v>
      </c>
      <c r="E973" t="s">
        <v>484</v>
      </c>
      <c r="F973" t="s">
        <v>172</v>
      </c>
      <c r="G973" t="s">
        <v>106</v>
      </c>
      <c r="H973" t="s">
        <v>171</v>
      </c>
      <c r="I973" s="6" t="s">
        <v>97</v>
      </c>
    </row>
    <row r="974" spans="1:9" hidden="1" x14ac:dyDescent="0.25">
      <c r="A974" s="3">
        <v>46013</v>
      </c>
      <c r="B974">
        <v>2025004075</v>
      </c>
      <c r="C974" t="s">
        <v>293</v>
      </c>
      <c r="D974" s="15">
        <v>4730000</v>
      </c>
      <c r="E974" t="s">
        <v>415</v>
      </c>
      <c r="F974" t="s">
        <v>294</v>
      </c>
      <c r="G974" t="s">
        <v>106</v>
      </c>
      <c r="H974" t="s">
        <v>293</v>
      </c>
      <c r="I974" s="6" t="s">
        <v>97</v>
      </c>
    </row>
    <row r="975" spans="1:9" hidden="1" x14ac:dyDescent="0.25">
      <c r="A975" s="3">
        <v>46013</v>
      </c>
      <c r="B975">
        <v>2025004076</v>
      </c>
      <c r="C975" t="s">
        <v>173</v>
      </c>
      <c r="D975" s="15">
        <v>3150000</v>
      </c>
      <c r="E975" t="s">
        <v>424</v>
      </c>
      <c r="F975" t="s">
        <v>174</v>
      </c>
      <c r="G975" t="s">
        <v>106</v>
      </c>
      <c r="H975" t="s">
        <v>173</v>
      </c>
      <c r="I975" s="6" t="s">
        <v>97</v>
      </c>
    </row>
    <row r="976" spans="1:9" hidden="1" x14ac:dyDescent="0.25">
      <c r="A976" s="3">
        <v>46013</v>
      </c>
      <c r="B976">
        <v>2025004077</v>
      </c>
      <c r="C976" t="s">
        <v>697</v>
      </c>
      <c r="D976" s="15">
        <v>3150000</v>
      </c>
      <c r="E976" t="s">
        <v>698</v>
      </c>
      <c r="F976" t="s">
        <v>72</v>
      </c>
      <c r="G976" t="s">
        <v>106</v>
      </c>
      <c r="H976" t="s">
        <v>697</v>
      </c>
      <c r="I976" s="6" t="s">
        <v>97</v>
      </c>
    </row>
    <row r="977" spans="1:9" hidden="1" x14ac:dyDescent="0.25">
      <c r="A977" s="3">
        <v>46013</v>
      </c>
      <c r="B977">
        <v>2025004078</v>
      </c>
      <c r="C977" t="s">
        <v>903</v>
      </c>
      <c r="D977" s="15">
        <v>6300000</v>
      </c>
      <c r="E977" t="s">
        <v>904</v>
      </c>
      <c r="F977" t="s">
        <v>905</v>
      </c>
      <c r="G977" t="s">
        <v>106</v>
      </c>
      <c r="H977" t="s">
        <v>903</v>
      </c>
      <c r="I977" s="6" t="s">
        <v>97</v>
      </c>
    </row>
    <row r="978" spans="1:9" hidden="1" x14ac:dyDescent="0.25">
      <c r="A978" s="3">
        <v>46013</v>
      </c>
      <c r="B978">
        <v>2025004079</v>
      </c>
      <c r="C978" t="s">
        <v>281</v>
      </c>
      <c r="D978" s="15">
        <v>6300000</v>
      </c>
      <c r="E978" t="s">
        <v>422</v>
      </c>
      <c r="F978" t="s">
        <v>9</v>
      </c>
      <c r="G978" t="s">
        <v>106</v>
      </c>
      <c r="H978" t="s">
        <v>281</v>
      </c>
      <c r="I978" s="6" t="s">
        <v>97</v>
      </c>
    </row>
    <row r="979" spans="1:9" hidden="1" x14ac:dyDescent="0.25">
      <c r="A979" s="3">
        <v>46013</v>
      </c>
      <c r="B979">
        <v>2025004080</v>
      </c>
      <c r="C979" t="s">
        <v>302</v>
      </c>
      <c r="D979" s="15">
        <v>6300000</v>
      </c>
      <c r="E979" t="s">
        <v>597</v>
      </c>
      <c r="F979" t="s">
        <v>303</v>
      </c>
      <c r="G979" t="s">
        <v>106</v>
      </c>
      <c r="H979" t="s">
        <v>302</v>
      </c>
      <c r="I979" s="6" t="s">
        <v>97</v>
      </c>
    </row>
    <row r="980" spans="1:9" hidden="1" x14ac:dyDescent="0.25">
      <c r="A980" s="3">
        <v>46013</v>
      </c>
      <c r="B980">
        <v>2025004081</v>
      </c>
      <c r="C980" t="s">
        <v>163</v>
      </c>
      <c r="D980" s="15">
        <v>7800000</v>
      </c>
      <c r="E980" t="s">
        <v>439</v>
      </c>
      <c r="F980" t="s">
        <v>164</v>
      </c>
      <c r="G980" t="s">
        <v>106</v>
      </c>
      <c r="H980" t="s">
        <v>163</v>
      </c>
      <c r="I980" s="6" t="s">
        <v>97</v>
      </c>
    </row>
    <row r="981" spans="1:9" hidden="1" x14ac:dyDescent="0.25">
      <c r="A981" s="3">
        <v>46013</v>
      </c>
      <c r="B981">
        <v>2025004082</v>
      </c>
      <c r="C981" t="s">
        <v>357</v>
      </c>
      <c r="D981" s="15">
        <v>7800000</v>
      </c>
      <c r="E981" t="s">
        <v>442</v>
      </c>
      <c r="F981" t="s">
        <v>358</v>
      </c>
      <c r="G981" t="s">
        <v>106</v>
      </c>
      <c r="H981" t="s">
        <v>357</v>
      </c>
      <c r="I981" s="6" t="s">
        <v>97</v>
      </c>
    </row>
    <row r="982" spans="1:9" hidden="1" x14ac:dyDescent="0.25">
      <c r="A982" s="3">
        <v>46013</v>
      </c>
      <c r="B982">
        <v>2025004083</v>
      </c>
      <c r="C982" t="s">
        <v>699</v>
      </c>
      <c r="D982" s="15">
        <v>4730000</v>
      </c>
      <c r="E982" t="s">
        <v>700</v>
      </c>
      <c r="F982" t="s">
        <v>701</v>
      </c>
      <c r="G982" t="s">
        <v>106</v>
      </c>
      <c r="H982" t="s">
        <v>699</v>
      </c>
      <c r="I982" s="6" t="s">
        <v>97</v>
      </c>
    </row>
    <row r="983" spans="1:9" hidden="1" x14ac:dyDescent="0.25">
      <c r="A983" s="3">
        <v>46013</v>
      </c>
      <c r="B983">
        <v>2025004085</v>
      </c>
      <c r="C983" t="s">
        <v>918</v>
      </c>
      <c r="D983" s="15">
        <v>6300000</v>
      </c>
      <c r="E983" t="s">
        <v>919</v>
      </c>
      <c r="F983" t="s">
        <v>920</v>
      </c>
      <c r="G983" t="s">
        <v>106</v>
      </c>
      <c r="H983" t="s">
        <v>918</v>
      </c>
      <c r="I983" s="6" t="s">
        <v>97</v>
      </c>
    </row>
    <row r="984" spans="1:9" hidden="1" x14ac:dyDescent="0.25">
      <c r="A984" s="3">
        <v>46013</v>
      </c>
      <c r="B984">
        <v>2025004090</v>
      </c>
      <c r="C984" t="s">
        <v>916</v>
      </c>
      <c r="D984" s="15">
        <v>3150000</v>
      </c>
      <c r="E984" t="s">
        <v>917</v>
      </c>
      <c r="F984" t="s">
        <v>93</v>
      </c>
      <c r="G984" t="s">
        <v>106</v>
      </c>
      <c r="H984" t="s">
        <v>916</v>
      </c>
      <c r="I984" s="6" t="s">
        <v>97</v>
      </c>
    </row>
    <row r="985" spans="1:9" hidden="1" x14ac:dyDescent="0.25">
      <c r="A985" s="3">
        <v>46013</v>
      </c>
      <c r="B985">
        <v>2025004091</v>
      </c>
      <c r="C985" s="6" t="s">
        <v>836</v>
      </c>
      <c r="D985" s="15">
        <v>16920000</v>
      </c>
      <c r="E985" t="s">
        <v>837</v>
      </c>
      <c r="F985" t="s">
        <v>838</v>
      </c>
      <c r="G985" t="s">
        <v>106</v>
      </c>
      <c r="H985" s="6" t="s">
        <v>836</v>
      </c>
      <c r="I985" s="6" t="s">
        <v>97</v>
      </c>
    </row>
    <row r="986" spans="1:9" hidden="1" x14ac:dyDescent="0.25">
      <c r="A986" s="3">
        <v>46013</v>
      </c>
      <c r="B986">
        <v>2025004092</v>
      </c>
      <c r="C986" t="s">
        <v>839</v>
      </c>
      <c r="D986" s="15">
        <v>45120000</v>
      </c>
      <c r="E986" t="s">
        <v>837</v>
      </c>
      <c r="F986" t="s">
        <v>838</v>
      </c>
      <c r="G986" t="s">
        <v>106</v>
      </c>
      <c r="H986" t="s">
        <v>839</v>
      </c>
      <c r="I986" s="6" t="s">
        <v>97</v>
      </c>
    </row>
    <row r="987" spans="1:9" hidden="1" x14ac:dyDescent="0.25">
      <c r="A987" s="3">
        <v>46013</v>
      </c>
      <c r="B987">
        <v>2025004093</v>
      </c>
      <c r="C987" t="s">
        <v>843</v>
      </c>
      <c r="D987" s="15">
        <v>3150000</v>
      </c>
      <c r="E987" t="s">
        <v>844</v>
      </c>
      <c r="F987" t="s">
        <v>79</v>
      </c>
      <c r="G987" t="s">
        <v>106</v>
      </c>
      <c r="H987" t="s">
        <v>843</v>
      </c>
      <c r="I987" s="6" t="s">
        <v>97</v>
      </c>
    </row>
    <row r="988" spans="1:9" hidden="1" x14ac:dyDescent="0.25">
      <c r="A988" s="3">
        <v>46013</v>
      </c>
      <c r="B988">
        <v>2025004094</v>
      </c>
      <c r="C988" t="s">
        <v>349</v>
      </c>
      <c r="D988" s="15">
        <v>3150000</v>
      </c>
      <c r="E988" t="s">
        <v>676</v>
      </c>
      <c r="F988" t="s">
        <v>350</v>
      </c>
      <c r="G988" t="s">
        <v>106</v>
      </c>
      <c r="H988" t="s">
        <v>349</v>
      </c>
      <c r="I988" s="6" t="s">
        <v>97</v>
      </c>
    </row>
    <row r="989" spans="1:9" hidden="1" x14ac:dyDescent="0.25">
      <c r="A989" s="3">
        <v>46013</v>
      </c>
      <c r="B989">
        <v>2025004095</v>
      </c>
      <c r="C989" t="s">
        <v>875</v>
      </c>
      <c r="D989" s="15">
        <v>17040000</v>
      </c>
      <c r="E989" t="s">
        <v>837</v>
      </c>
      <c r="F989" t="s">
        <v>838</v>
      </c>
      <c r="G989" t="s">
        <v>106</v>
      </c>
      <c r="H989" t="s">
        <v>875</v>
      </c>
      <c r="I989" s="6" t="s">
        <v>97</v>
      </c>
    </row>
    <row r="990" spans="1:9" hidden="1" x14ac:dyDescent="0.25">
      <c r="A990" s="3">
        <v>46013</v>
      </c>
      <c r="B990">
        <v>2025004096</v>
      </c>
      <c r="C990" t="s">
        <v>673</v>
      </c>
      <c r="D990" s="15">
        <v>4730000</v>
      </c>
      <c r="E990" t="s">
        <v>674</v>
      </c>
      <c r="F990" t="s">
        <v>675</v>
      </c>
      <c r="G990" t="s">
        <v>106</v>
      </c>
      <c r="H990" t="s">
        <v>673</v>
      </c>
      <c r="I990" s="6" t="s">
        <v>97</v>
      </c>
    </row>
    <row r="991" spans="1:9" hidden="1" x14ac:dyDescent="0.25">
      <c r="A991" s="3">
        <v>46013</v>
      </c>
      <c r="B991">
        <v>2025004098</v>
      </c>
      <c r="C991" t="s">
        <v>680</v>
      </c>
      <c r="D991" s="15">
        <v>3150000</v>
      </c>
      <c r="E991" t="s">
        <v>681</v>
      </c>
      <c r="F991" t="s">
        <v>682</v>
      </c>
      <c r="G991" t="s">
        <v>106</v>
      </c>
      <c r="H991" t="s">
        <v>680</v>
      </c>
      <c r="I991" s="6" t="s">
        <v>97</v>
      </c>
    </row>
    <row r="992" spans="1:9" hidden="1" x14ac:dyDescent="0.25">
      <c r="A992" s="3">
        <v>46013</v>
      </c>
      <c r="B992">
        <v>2025004099</v>
      </c>
      <c r="C992" t="s">
        <v>914</v>
      </c>
      <c r="D992" s="15">
        <v>3150000</v>
      </c>
      <c r="E992" t="s">
        <v>915</v>
      </c>
      <c r="F992" t="s">
        <v>50</v>
      </c>
      <c r="G992" t="s">
        <v>106</v>
      </c>
      <c r="H992" t="s">
        <v>914</v>
      </c>
      <c r="I992" s="6" t="s">
        <v>97</v>
      </c>
    </row>
    <row r="993" spans="1:9" hidden="1" x14ac:dyDescent="0.25">
      <c r="A993" s="3">
        <v>46013</v>
      </c>
      <c r="B993">
        <v>2025004100</v>
      </c>
      <c r="C993" t="s">
        <v>921</v>
      </c>
      <c r="D993" s="15">
        <v>3150000</v>
      </c>
      <c r="E993" t="s">
        <v>922</v>
      </c>
      <c r="F993" t="s">
        <v>923</v>
      </c>
      <c r="G993" t="s">
        <v>106</v>
      </c>
      <c r="H993" t="s">
        <v>921</v>
      </c>
      <c r="I993" s="6" t="s">
        <v>97</v>
      </c>
    </row>
    <row r="994" spans="1:9" hidden="1" x14ac:dyDescent="0.25">
      <c r="A994" s="3">
        <v>46014</v>
      </c>
      <c r="B994">
        <v>2025004103</v>
      </c>
      <c r="C994" t="s">
        <v>273</v>
      </c>
      <c r="D994" s="15">
        <v>7800000</v>
      </c>
      <c r="E994" t="s">
        <v>595</v>
      </c>
      <c r="F994" t="s">
        <v>274</v>
      </c>
      <c r="G994" t="s">
        <v>106</v>
      </c>
      <c r="H994" t="s">
        <v>273</v>
      </c>
      <c r="I994" s="6" t="s">
        <v>97</v>
      </c>
    </row>
    <row r="995" spans="1:9" hidden="1" x14ac:dyDescent="0.25">
      <c r="A995" s="3">
        <v>46014</v>
      </c>
      <c r="B995">
        <v>2025004105</v>
      </c>
      <c r="C995" t="s">
        <v>924</v>
      </c>
      <c r="D995" s="15">
        <v>3150000</v>
      </c>
      <c r="E995" t="s">
        <v>925</v>
      </c>
      <c r="F995" t="s">
        <v>926</v>
      </c>
      <c r="G995" t="s">
        <v>106</v>
      </c>
      <c r="H995" t="s">
        <v>924</v>
      </c>
      <c r="I995" s="6" t="s">
        <v>97</v>
      </c>
    </row>
    <row r="996" spans="1:9" hidden="1" x14ac:dyDescent="0.25">
      <c r="A996" s="3">
        <v>46014</v>
      </c>
      <c r="B996">
        <v>2025004107</v>
      </c>
      <c r="C996" t="s">
        <v>723</v>
      </c>
      <c r="D996" s="15">
        <v>4730000</v>
      </c>
      <c r="E996" t="s">
        <v>724</v>
      </c>
      <c r="F996" t="s">
        <v>725</v>
      </c>
      <c r="G996" t="s">
        <v>106</v>
      </c>
      <c r="H996" t="s">
        <v>723</v>
      </c>
      <c r="I996" s="6" t="s">
        <v>97</v>
      </c>
    </row>
    <row r="997" spans="1:9" hidden="1" x14ac:dyDescent="0.25">
      <c r="A997" s="3">
        <v>46014</v>
      </c>
      <c r="B997">
        <v>2025004108</v>
      </c>
      <c r="C997" s="6" t="s">
        <v>694</v>
      </c>
      <c r="D997" s="15">
        <v>3150000</v>
      </c>
      <c r="E997" t="s">
        <v>695</v>
      </c>
      <c r="F997" t="s">
        <v>696</v>
      </c>
      <c r="G997" t="s">
        <v>106</v>
      </c>
      <c r="H997" s="6" t="s">
        <v>694</v>
      </c>
      <c r="I997" s="6" t="s">
        <v>97</v>
      </c>
    </row>
    <row r="998" spans="1:9" hidden="1" x14ac:dyDescent="0.25">
      <c r="A998" s="3">
        <v>46014</v>
      </c>
      <c r="B998">
        <v>2025004109</v>
      </c>
      <c r="C998" t="s">
        <v>918</v>
      </c>
      <c r="D998" s="15">
        <v>3150000</v>
      </c>
      <c r="E998" t="s">
        <v>919</v>
      </c>
      <c r="F998" t="s">
        <v>920</v>
      </c>
      <c r="G998" t="s">
        <v>106</v>
      </c>
      <c r="H998" t="s">
        <v>918</v>
      </c>
      <c r="I998" s="6" t="s">
        <v>97</v>
      </c>
    </row>
    <row r="999" spans="1:9" hidden="1" x14ac:dyDescent="0.25">
      <c r="A999" s="3">
        <v>46014</v>
      </c>
      <c r="B999">
        <v>2025004110</v>
      </c>
      <c r="C999" t="s">
        <v>167</v>
      </c>
      <c r="D999" s="15">
        <v>6300000</v>
      </c>
      <c r="E999" t="s">
        <v>594</v>
      </c>
      <c r="F999" t="s">
        <v>168</v>
      </c>
      <c r="G999" t="s">
        <v>106</v>
      </c>
      <c r="H999" t="s">
        <v>167</v>
      </c>
      <c r="I999" s="6" t="s">
        <v>97</v>
      </c>
    </row>
    <row r="1000" spans="1:9" hidden="1" x14ac:dyDescent="0.25">
      <c r="A1000" s="3">
        <v>46014</v>
      </c>
      <c r="B1000">
        <v>2025004111</v>
      </c>
      <c r="C1000" t="s">
        <v>258</v>
      </c>
      <c r="D1000" s="15">
        <v>6300000</v>
      </c>
      <c r="E1000" t="s">
        <v>485</v>
      </c>
      <c r="F1000" t="s">
        <v>45</v>
      </c>
      <c r="G1000" t="s">
        <v>106</v>
      </c>
      <c r="H1000" t="s">
        <v>258</v>
      </c>
      <c r="I1000" s="6" t="s">
        <v>97</v>
      </c>
    </row>
    <row r="1001" spans="1:9" hidden="1" x14ac:dyDescent="0.25">
      <c r="A1001" s="3">
        <v>46014</v>
      </c>
      <c r="B1001">
        <v>2025004115</v>
      </c>
      <c r="C1001" t="s">
        <v>297</v>
      </c>
      <c r="D1001" s="15">
        <v>4730000</v>
      </c>
      <c r="E1001" t="s">
        <v>677</v>
      </c>
      <c r="F1001" t="s">
        <v>298</v>
      </c>
      <c r="G1001" t="s">
        <v>106</v>
      </c>
      <c r="H1001" t="s">
        <v>297</v>
      </c>
      <c r="I1001" s="6" t="s">
        <v>97</v>
      </c>
    </row>
    <row r="1002" spans="1:9" hidden="1" x14ac:dyDescent="0.25">
      <c r="A1002" s="3">
        <v>46014</v>
      </c>
      <c r="B1002">
        <v>2025004116</v>
      </c>
      <c r="C1002" t="s">
        <v>692</v>
      </c>
      <c r="D1002" s="15">
        <v>3150000</v>
      </c>
      <c r="E1002" t="s">
        <v>693</v>
      </c>
      <c r="F1002" t="s">
        <v>39</v>
      </c>
      <c r="G1002" t="s">
        <v>106</v>
      </c>
      <c r="H1002" t="s">
        <v>692</v>
      </c>
      <c r="I1002" s="6" t="s">
        <v>97</v>
      </c>
    </row>
    <row r="1003" spans="1:9" hidden="1" x14ac:dyDescent="0.25">
      <c r="A1003" s="3">
        <v>46014</v>
      </c>
      <c r="B1003">
        <v>2025004117</v>
      </c>
      <c r="C1003" t="s">
        <v>678</v>
      </c>
      <c r="D1003" s="15">
        <v>3150000</v>
      </c>
      <c r="E1003" t="s">
        <v>679</v>
      </c>
      <c r="F1003" t="s">
        <v>60</v>
      </c>
      <c r="G1003" t="s">
        <v>106</v>
      </c>
      <c r="H1003" t="s">
        <v>678</v>
      </c>
      <c r="I1003" s="6" t="s">
        <v>97</v>
      </c>
    </row>
    <row r="1004" spans="1:9" hidden="1" x14ac:dyDescent="0.25">
      <c r="A1004" s="3">
        <v>46014</v>
      </c>
      <c r="B1004">
        <v>2025004119</v>
      </c>
      <c r="C1004" t="s">
        <v>156</v>
      </c>
      <c r="D1004" s="15">
        <v>3150000</v>
      </c>
      <c r="E1004" t="s">
        <v>421</v>
      </c>
      <c r="F1004" t="s">
        <v>49</v>
      </c>
      <c r="G1004" t="s">
        <v>106</v>
      </c>
      <c r="H1004" t="s">
        <v>156</v>
      </c>
      <c r="I1004" s="6" t="s">
        <v>97</v>
      </c>
    </row>
    <row r="1005" spans="1:9" hidden="1" x14ac:dyDescent="0.25">
      <c r="A1005" s="3">
        <v>46014</v>
      </c>
      <c r="B1005">
        <v>2025004120</v>
      </c>
      <c r="C1005" t="s">
        <v>184</v>
      </c>
      <c r="D1005" s="15">
        <v>3150000</v>
      </c>
      <c r="E1005" t="s">
        <v>425</v>
      </c>
      <c r="F1005" t="s">
        <v>27</v>
      </c>
      <c r="G1005" t="s">
        <v>106</v>
      </c>
      <c r="H1005" t="s">
        <v>184</v>
      </c>
      <c r="I1005" s="6" t="s">
        <v>97</v>
      </c>
    </row>
    <row r="1006" spans="1:9" hidden="1" x14ac:dyDescent="0.25">
      <c r="A1006" s="3">
        <v>46014</v>
      </c>
      <c r="B1006">
        <v>2025004121</v>
      </c>
      <c r="C1006" t="s">
        <v>488</v>
      </c>
      <c r="D1006" s="15">
        <v>3150000</v>
      </c>
      <c r="E1006" t="s">
        <v>489</v>
      </c>
      <c r="F1006" t="s">
        <v>490</v>
      </c>
      <c r="G1006" t="s">
        <v>106</v>
      </c>
      <c r="H1006" t="s">
        <v>488</v>
      </c>
      <c r="I1006" s="6" t="s">
        <v>97</v>
      </c>
    </row>
    <row r="1007" spans="1:9" hidden="1" x14ac:dyDescent="0.25">
      <c r="A1007" s="3">
        <v>46014</v>
      </c>
      <c r="B1007">
        <v>2025004122</v>
      </c>
      <c r="C1007" t="s">
        <v>729</v>
      </c>
      <c r="D1007" s="15">
        <v>3150000</v>
      </c>
      <c r="E1007" t="s">
        <v>730</v>
      </c>
      <c r="F1007" t="s">
        <v>731</v>
      </c>
      <c r="G1007" t="s">
        <v>106</v>
      </c>
      <c r="H1007" t="s">
        <v>729</v>
      </c>
      <c r="I1007" s="6" t="s">
        <v>97</v>
      </c>
    </row>
    <row r="1008" spans="1:9" hidden="1" x14ac:dyDescent="0.25">
      <c r="A1008" s="3">
        <v>46014</v>
      </c>
      <c r="B1008">
        <v>2025004125</v>
      </c>
      <c r="C1008" t="s">
        <v>357</v>
      </c>
      <c r="D1008" s="15">
        <v>7800000</v>
      </c>
      <c r="E1008" t="s">
        <v>442</v>
      </c>
      <c r="F1008" t="s">
        <v>358</v>
      </c>
      <c r="G1008" t="s">
        <v>106</v>
      </c>
      <c r="H1008" t="s">
        <v>357</v>
      </c>
      <c r="I1008" s="6" t="s">
        <v>97</v>
      </c>
    </row>
    <row r="1009" spans="1:9" hidden="1" x14ac:dyDescent="0.25">
      <c r="A1009" s="3">
        <v>46014</v>
      </c>
      <c r="B1009">
        <v>2025004127</v>
      </c>
      <c r="C1009" t="s">
        <v>301</v>
      </c>
      <c r="D1009" s="15">
        <v>3150000</v>
      </c>
      <c r="E1009" t="s">
        <v>413</v>
      </c>
      <c r="F1009" t="s">
        <v>32</v>
      </c>
      <c r="G1009" t="s">
        <v>106</v>
      </c>
      <c r="H1009" t="s">
        <v>301</v>
      </c>
      <c r="I1009" s="6" t="s">
        <v>97</v>
      </c>
    </row>
    <row r="1010" spans="1:9" hidden="1" x14ac:dyDescent="0.25">
      <c r="A1010" s="3">
        <v>46014</v>
      </c>
      <c r="B1010">
        <v>2025004128</v>
      </c>
      <c r="C1010" t="s">
        <v>158</v>
      </c>
      <c r="D1010" s="15">
        <v>3150000</v>
      </c>
      <c r="E1010" t="s">
        <v>416</v>
      </c>
      <c r="F1010" t="s">
        <v>47</v>
      </c>
      <c r="G1010" t="s">
        <v>106</v>
      </c>
      <c r="H1010" t="s">
        <v>158</v>
      </c>
      <c r="I1010" s="6" t="s">
        <v>97</v>
      </c>
    </row>
    <row r="1011" spans="1:9" hidden="1" x14ac:dyDescent="0.25">
      <c r="A1011" s="3">
        <v>46014</v>
      </c>
      <c r="B1011">
        <v>2025004129</v>
      </c>
      <c r="C1011" t="s">
        <v>603</v>
      </c>
      <c r="D1011" s="15">
        <v>226770000</v>
      </c>
      <c r="E1011" t="s">
        <v>392</v>
      </c>
      <c r="F1011" t="s">
        <v>76</v>
      </c>
      <c r="G1011" t="s">
        <v>106</v>
      </c>
      <c r="H1011" t="s">
        <v>603</v>
      </c>
      <c r="I1011" s="6" t="s">
        <v>97</v>
      </c>
    </row>
    <row r="1012" spans="1:9" hidden="1" x14ac:dyDescent="0.25">
      <c r="A1012" s="3">
        <v>46014</v>
      </c>
      <c r="B1012">
        <v>2025004130</v>
      </c>
      <c r="C1012" t="s">
        <v>178</v>
      </c>
      <c r="D1012" s="15">
        <v>3150000</v>
      </c>
      <c r="E1012" t="s">
        <v>420</v>
      </c>
      <c r="F1012" t="s">
        <v>179</v>
      </c>
      <c r="G1012" t="s">
        <v>106</v>
      </c>
      <c r="H1012" t="s">
        <v>178</v>
      </c>
      <c r="I1012" s="6" t="s">
        <v>97</v>
      </c>
    </row>
    <row r="1013" spans="1:9" hidden="1" x14ac:dyDescent="0.25">
      <c r="A1013" s="3">
        <v>46014</v>
      </c>
      <c r="B1013">
        <v>2025004131</v>
      </c>
      <c r="C1013" t="s">
        <v>709</v>
      </c>
      <c r="D1013" s="15">
        <v>3150000</v>
      </c>
      <c r="E1013" t="s">
        <v>710</v>
      </c>
      <c r="F1013" t="s">
        <v>711</v>
      </c>
      <c r="G1013" t="s">
        <v>106</v>
      </c>
      <c r="H1013" t="s">
        <v>709</v>
      </c>
      <c r="I1013" s="6" t="s">
        <v>97</v>
      </c>
    </row>
    <row r="1014" spans="1:9" hidden="1" x14ac:dyDescent="0.25">
      <c r="A1014" s="3">
        <v>46014</v>
      </c>
      <c r="B1014">
        <v>2025004133</v>
      </c>
      <c r="C1014" t="s">
        <v>848</v>
      </c>
      <c r="D1014" s="15">
        <v>3150000</v>
      </c>
      <c r="E1014" t="s">
        <v>849</v>
      </c>
      <c r="F1014" t="s">
        <v>850</v>
      </c>
      <c r="G1014" t="s">
        <v>106</v>
      </c>
      <c r="H1014" t="s">
        <v>848</v>
      </c>
      <c r="I1014" s="6" t="s">
        <v>97</v>
      </c>
    </row>
    <row r="1015" spans="1:9" hidden="1" x14ac:dyDescent="0.25">
      <c r="A1015" s="3">
        <v>46014</v>
      </c>
      <c r="B1015">
        <v>2025004134</v>
      </c>
      <c r="C1015" t="s">
        <v>889</v>
      </c>
      <c r="D1015" s="15">
        <v>7800000</v>
      </c>
      <c r="E1015" t="s">
        <v>890</v>
      </c>
      <c r="F1015" t="s">
        <v>891</v>
      </c>
      <c r="G1015" t="s">
        <v>106</v>
      </c>
      <c r="H1015" t="s">
        <v>889</v>
      </c>
      <c r="I1015" s="6" t="s">
        <v>97</v>
      </c>
    </row>
    <row r="1016" spans="1:9" hidden="1" x14ac:dyDescent="0.25">
      <c r="A1016" s="3">
        <v>46014</v>
      </c>
      <c r="B1016">
        <v>2025004135</v>
      </c>
      <c r="C1016" t="s">
        <v>295</v>
      </c>
      <c r="D1016" s="15">
        <v>3150000</v>
      </c>
      <c r="E1016" t="s">
        <v>444</v>
      </c>
      <c r="F1016" t="s">
        <v>296</v>
      </c>
      <c r="G1016" t="s">
        <v>106</v>
      </c>
      <c r="H1016" t="s">
        <v>295</v>
      </c>
      <c r="I1016" s="6" t="s">
        <v>97</v>
      </c>
    </row>
    <row r="1017" spans="1:9" hidden="1" x14ac:dyDescent="0.25">
      <c r="A1017" s="3">
        <v>46014</v>
      </c>
      <c r="B1017">
        <v>2025004136</v>
      </c>
      <c r="C1017" t="s">
        <v>288</v>
      </c>
      <c r="D1017" s="15">
        <v>3150000</v>
      </c>
      <c r="E1017" t="s">
        <v>492</v>
      </c>
      <c r="F1017" t="s">
        <v>289</v>
      </c>
      <c r="G1017" t="s">
        <v>106</v>
      </c>
      <c r="H1017" t="s">
        <v>288</v>
      </c>
      <c r="I1017" s="6" t="s">
        <v>97</v>
      </c>
    </row>
    <row r="1018" spans="1:9" hidden="1" x14ac:dyDescent="0.25">
      <c r="A1018" s="3">
        <v>46014</v>
      </c>
      <c r="B1018">
        <v>2025004137</v>
      </c>
      <c r="C1018" t="s">
        <v>688</v>
      </c>
      <c r="D1018" s="15">
        <v>3150000</v>
      </c>
      <c r="E1018" t="s">
        <v>689</v>
      </c>
      <c r="F1018" t="s">
        <v>68</v>
      </c>
      <c r="G1018" t="s">
        <v>106</v>
      </c>
      <c r="H1018" t="s">
        <v>688</v>
      </c>
      <c r="I1018" s="6" t="s">
        <v>97</v>
      </c>
    </row>
    <row r="1019" spans="1:9" hidden="1" x14ac:dyDescent="0.25">
      <c r="A1019" s="3">
        <v>46014</v>
      </c>
      <c r="B1019">
        <v>2025004138</v>
      </c>
      <c r="C1019" t="s">
        <v>886</v>
      </c>
      <c r="D1019" s="15">
        <v>2000000</v>
      </c>
      <c r="E1019" t="s">
        <v>887</v>
      </c>
      <c r="F1019" t="s">
        <v>888</v>
      </c>
      <c r="G1019" t="s">
        <v>106</v>
      </c>
      <c r="H1019" t="s">
        <v>886</v>
      </c>
      <c r="I1019" s="6" t="s">
        <v>97</v>
      </c>
    </row>
    <row r="1020" spans="1:9" hidden="1" x14ac:dyDescent="0.25">
      <c r="A1020" s="3">
        <v>46014</v>
      </c>
      <c r="B1020">
        <v>2025004140</v>
      </c>
      <c r="C1020" t="s">
        <v>169</v>
      </c>
      <c r="D1020" s="15">
        <v>3150000</v>
      </c>
      <c r="E1020" t="s">
        <v>493</v>
      </c>
      <c r="F1020" t="s">
        <v>170</v>
      </c>
      <c r="G1020" t="s">
        <v>106</v>
      </c>
      <c r="H1020" t="s">
        <v>169</v>
      </c>
      <c r="I1020" s="6" t="s">
        <v>97</v>
      </c>
    </row>
    <row r="1021" spans="1:9" hidden="1" x14ac:dyDescent="0.25">
      <c r="A1021" s="3">
        <v>46014</v>
      </c>
      <c r="B1021">
        <v>2025004141</v>
      </c>
      <c r="C1021" t="s">
        <v>921</v>
      </c>
      <c r="D1021" s="15">
        <v>3150000</v>
      </c>
      <c r="E1021" t="s">
        <v>922</v>
      </c>
      <c r="F1021" t="s">
        <v>923</v>
      </c>
      <c r="G1021" t="s">
        <v>106</v>
      </c>
      <c r="H1021" t="s">
        <v>921</v>
      </c>
      <c r="I1021" s="6" t="s">
        <v>97</v>
      </c>
    </row>
    <row r="1022" spans="1:9" hidden="1" x14ac:dyDescent="0.25">
      <c r="A1022" s="3">
        <v>46014</v>
      </c>
      <c r="B1022">
        <v>2025004143</v>
      </c>
      <c r="C1022" t="s">
        <v>590</v>
      </c>
      <c r="D1022" s="15">
        <v>6300000</v>
      </c>
      <c r="E1022" t="s">
        <v>591</v>
      </c>
      <c r="F1022" t="s">
        <v>592</v>
      </c>
      <c r="G1022" t="s">
        <v>106</v>
      </c>
      <c r="H1022" t="s">
        <v>590</v>
      </c>
      <c r="I1022" s="6" t="s">
        <v>97</v>
      </c>
    </row>
    <row r="1023" spans="1:9" hidden="1" x14ac:dyDescent="0.25">
      <c r="A1023" s="3">
        <v>46014</v>
      </c>
      <c r="B1023">
        <v>2025004144</v>
      </c>
      <c r="C1023" t="s">
        <v>290</v>
      </c>
      <c r="D1023" s="15">
        <v>7800000</v>
      </c>
      <c r="E1023" t="s">
        <v>414</v>
      </c>
      <c r="F1023" t="s">
        <v>291</v>
      </c>
      <c r="G1023" t="s">
        <v>106</v>
      </c>
      <c r="H1023" t="s">
        <v>290</v>
      </c>
      <c r="I1023" s="6" t="s">
        <v>97</v>
      </c>
    </row>
    <row r="1024" spans="1:9" hidden="1" x14ac:dyDescent="0.25">
      <c r="A1024" s="3">
        <v>46014</v>
      </c>
      <c r="B1024">
        <v>2025004145</v>
      </c>
      <c r="C1024" t="s">
        <v>176</v>
      </c>
      <c r="D1024" s="15">
        <v>3150000</v>
      </c>
      <c r="E1024" t="s">
        <v>491</v>
      </c>
      <c r="F1024" t="s">
        <v>177</v>
      </c>
      <c r="G1024" t="s">
        <v>106</v>
      </c>
      <c r="H1024" t="s">
        <v>176</v>
      </c>
      <c r="I1024" s="6" t="s">
        <v>97</v>
      </c>
    </row>
    <row r="1025" spans="1:9" hidden="1" x14ac:dyDescent="0.25">
      <c r="A1025" s="3">
        <v>46014</v>
      </c>
      <c r="B1025">
        <v>2025004161</v>
      </c>
      <c r="C1025" s="6" t="s">
        <v>927</v>
      </c>
      <c r="D1025" s="15">
        <v>9450000</v>
      </c>
      <c r="E1025" t="s">
        <v>928</v>
      </c>
      <c r="F1025" t="s">
        <v>929</v>
      </c>
      <c r="G1025" t="s">
        <v>106</v>
      </c>
      <c r="H1025" s="6" t="s">
        <v>927</v>
      </c>
      <c r="I1025" s="6" t="s">
        <v>97</v>
      </c>
    </row>
    <row r="1026" spans="1:9" hidden="1" x14ac:dyDescent="0.25">
      <c r="A1026" s="3">
        <v>46015</v>
      </c>
      <c r="B1026">
        <v>2025004163</v>
      </c>
      <c r="C1026" t="s">
        <v>647</v>
      </c>
      <c r="D1026" s="15">
        <v>3150000</v>
      </c>
      <c r="E1026" t="s">
        <v>648</v>
      </c>
      <c r="F1026" t="s">
        <v>649</v>
      </c>
      <c r="G1026" t="s">
        <v>106</v>
      </c>
      <c r="H1026" t="s">
        <v>647</v>
      </c>
      <c r="I1026" s="6" t="s">
        <v>97</v>
      </c>
    </row>
    <row r="1027" spans="1:9" hidden="1" x14ac:dyDescent="0.25">
      <c r="A1027" s="13">
        <v>46011</v>
      </c>
      <c r="B1027" s="10">
        <v>2025003762</v>
      </c>
      <c r="C1027" s="10" t="s">
        <v>1012</v>
      </c>
      <c r="D1027" s="17">
        <v>3150000</v>
      </c>
      <c r="E1027" s="10">
        <v>1086755989</v>
      </c>
      <c r="F1027" s="10" t="s">
        <v>981</v>
      </c>
      <c r="G1027" t="s">
        <v>1354</v>
      </c>
      <c r="H1027" s="10" t="s">
        <v>1012</v>
      </c>
      <c r="I1027" s="6" t="s">
        <v>97</v>
      </c>
    </row>
    <row r="1028" spans="1:9" hidden="1" x14ac:dyDescent="0.25">
      <c r="A1028" s="12">
        <v>46013</v>
      </c>
      <c r="B1028" s="10">
        <v>2025004011</v>
      </c>
      <c r="C1028" s="10" t="s">
        <v>1011</v>
      </c>
      <c r="D1028" s="16">
        <v>2000000</v>
      </c>
      <c r="E1028" s="10">
        <v>66958357</v>
      </c>
      <c r="F1028" s="10" t="s">
        <v>998</v>
      </c>
      <c r="G1028" t="s">
        <v>1355</v>
      </c>
      <c r="H1028" s="10" t="s">
        <v>1011</v>
      </c>
      <c r="I1028" s="6" t="s">
        <v>97</v>
      </c>
    </row>
    <row r="1029" spans="1:9" hidden="1" x14ac:dyDescent="0.25">
      <c r="A1029" s="12">
        <v>46014</v>
      </c>
      <c r="B1029" s="10">
        <v>2025004114</v>
      </c>
      <c r="C1029" s="10" t="s">
        <v>1012</v>
      </c>
      <c r="D1029" s="16">
        <v>6300000</v>
      </c>
      <c r="E1029" s="10">
        <v>1086755989</v>
      </c>
      <c r="F1029" s="10" t="s">
        <v>981</v>
      </c>
      <c r="G1029" t="s">
        <v>1356</v>
      </c>
      <c r="H1029" s="10" t="s">
        <v>1012</v>
      </c>
      <c r="I1029" s="6" t="s">
        <v>97</v>
      </c>
    </row>
    <row r="1030" spans="1:9" hidden="1" x14ac:dyDescent="0.25">
      <c r="A1030" s="13">
        <v>46021</v>
      </c>
      <c r="B1030" s="10">
        <v>2025004235</v>
      </c>
      <c r="C1030" s="10" t="s">
        <v>836</v>
      </c>
      <c r="D1030" s="16">
        <v>70000000</v>
      </c>
      <c r="E1030" s="10">
        <v>900752343</v>
      </c>
      <c r="F1030" s="10" t="s">
        <v>838</v>
      </c>
      <c r="G1030" t="s">
        <v>1357</v>
      </c>
      <c r="H1030" s="10" t="s">
        <v>836</v>
      </c>
      <c r="I1030" s="6" t="s">
        <v>97</v>
      </c>
    </row>
    <row r="1031" spans="1:9" hidden="1" x14ac:dyDescent="0.25">
      <c r="A1031" s="13">
        <v>46021</v>
      </c>
      <c r="B1031" s="10">
        <v>2025004236</v>
      </c>
      <c r="C1031" s="10" t="s">
        <v>839</v>
      </c>
      <c r="D1031" s="16">
        <v>93670000</v>
      </c>
      <c r="E1031" s="10">
        <v>900752343</v>
      </c>
      <c r="F1031" s="10" t="s">
        <v>838</v>
      </c>
      <c r="G1031" t="s">
        <v>1358</v>
      </c>
      <c r="H1031" s="10" t="s">
        <v>839</v>
      </c>
      <c r="I1031" s="6" t="s">
        <v>97</v>
      </c>
    </row>
    <row r="1032" spans="1:9" hidden="1" x14ac:dyDescent="0.25">
      <c r="A1032" s="13">
        <v>46021</v>
      </c>
      <c r="B1032" s="10">
        <v>2025004237</v>
      </c>
      <c r="C1032" s="10" t="s">
        <v>875</v>
      </c>
      <c r="D1032" s="16">
        <v>70000000</v>
      </c>
      <c r="E1032" s="10">
        <v>900752343</v>
      </c>
      <c r="F1032" s="10" t="s">
        <v>838</v>
      </c>
      <c r="G1032" t="s">
        <v>1359</v>
      </c>
      <c r="H1032" s="10" t="s">
        <v>875</v>
      </c>
      <c r="I1032" s="6" t="s">
        <v>97</v>
      </c>
    </row>
  </sheetData>
  <autoFilter ref="A1:I1032" xr:uid="{ADE34DD1-86AB-4228-9F21-AC563D3D8DA9}">
    <filterColumn colId="2">
      <filters>
        <filter val="1076-2025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46A-13C1-42B5-BA69-95FD86301553}">
  <dimension ref="A1:D560"/>
  <sheetViews>
    <sheetView topLeftCell="A286" workbookViewId="0">
      <selection activeCell="F324" sqref="F324"/>
    </sheetView>
  </sheetViews>
  <sheetFormatPr baseColWidth="10" defaultRowHeight="15" x14ac:dyDescent="0.25"/>
  <cols>
    <col min="2" max="2" width="14.7109375" style="15" bestFit="1" customWidth="1"/>
  </cols>
  <sheetData>
    <row r="1" spans="1:3" x14ac:dyDescent="0.25">
      <c r="A1" s="9" t="s">
        <v>1360</v>
      </c>
      <c r="B1" s="18" t="s">
        <v>1361</v>
      </c>
    </row>
    <row r="2" spans="1:3" x14ac:dyDescent="0.25">
      <c r="A2" s="9" t="s">
        <v>104</v>
      </c>
      <c r="B2" s="15">
        <v>12600000</v>
      </c>
      <c r="C2" t="str">
        <f>VLOOKUP(A2,'[1]ACTUALIZADO 2026'!$A$2:$A$338,1,0)</f>
        <v>790-2025</v>
      </c>
    </row>
    <row r="3" spans="1:3" x14ac:dyDescent="0.25">
      <c r="A3" t="s">
        <v>107</v>
      </c>
      <c r="B3" s="18">
        <v>12600000</v>
      </c>
      <c r="C3" t="str">
        <f>VLOOKUP(A3,'[1]ACTUALIZADO 2026'!$A$2:$A$338,1,0)</f>
        <v>806-2025</v>
      </c>
    </row>
    <row r="4" spans="1:3" x14ac:dyDescent="0.25">
      <c r="A4" t="s">
        <v>109</v>
      </c>
      <c r="B4" s="15">
        <v>11025000</v>
      </c>
      <c r="C4" t="str">
        <f>VLOOKUP(A4,'[1]ACTUALIZADO 2026'!$A$2:$A$338,1,0)</f>
        <v>887-2025</v>
      </c>
    </row>
    <row r="5" spans="1:3" x14ac:dyDescent="0.25">
      <c r="A5" t="s">
        <v>111</v>
      </c>
      <c r="B5" s="15">
        <v>12600000</v>
      </c>
      <c r="C5" t="str">
        <f>VLOOKUP(A5,'[1]ACTUALIZADO 2026'!$A$2:$A$338,1,0)</f>
        <v>761-2025</v>
      </c>
    </row>
    <row r="6" spans="1:3" x14ac:dyDescent="0.25">
      <c r="A6" t="s">
        <v>112</v>
      </c>
      <c r="B6" s="15">
        <v>12600000</v>
      </c>
      <c r="C6" t="str">
        <f>VLOOKUP(A6,'[1]ACTUALIZADO 2026'!$A$2:$A$338,1,0)</f>
        <v>829-2025</v>
      </c>
    </row>
    <row r="7" spans="1:3" x14ac:dyDescent="0.25">
      <c r="A7" t="s">
        <v>113</v>
      </c>
      <c r="B7" s="15">
        <v>22050000</v>
      </c>
      <c r="C7" t="str">
        <f>VLOOKUP(A7,'[1]ACTUALIZADO 2026'!$A$2:$A$338,1,0)</f>
        <v>904-2025</v>
      </c>
    </row>
    <row r="8" spans="1:3" x14ac:dyDescent="0.25">
      <c r="A8" t="s">
        <v>114</v>
      </c>
      <c r="B8" s="15">
        <v>18920000</v>
      </c>
      <c r="C8" t="str">
        <f>VLOOKUP(A8,'[1]ACTUALIZADO 2026'!$A$2:$A$338,1,0)</f>
        <v>714-2025</v>
      </c>
    </row>
    <row r="9" spans="1:3" x14ac:dyDescent="0.25">
      <c r="A9" t="s">
        <v>116</v>
      </c>
      <c r="B9" s="15">
        <v>603185000</v>
      </c>
      <c r="C9" t="str">
        <f>VLOOKUP(A9,'[1]ACTUALIZADO 2026'!$A$2:$A$338,1,0)</f>
        <v>696-2025</v>
      </c>
    </row>
    <row r="10" spans="1:3" x14ac:dyDescent="0.25">
      <c r="A10" t="s">
        <v>117</v>
      </c>
      <c r="B10" s="15">
        <v>25200000</v>
      </c>
      <c r="C10" t="str">
        <f>VLOOKUP(A10,'[1]ACTUALIZADO 2026'!$A$2:$A$338,1,0)</f>
        <v>862-2025</v>
      </c>
    </row>
    <row r="11" spans="1:3" x14ac:dyDescent="0.25">
      <c r="A11" t="s">
        <v>119</v>
      </c>
      <c r="B11" s="15">
        <v>12600000</v>
      </c>
      <c r="C11" t="str">
        <f>VLOOKUP(A11,'[1]ACTUALIZADO 2026'!$A$2:$A$338,1,0)</f>
        <v>810-2025</v>
      </c>
    </row>
    <row r="12" spans="1:3" x14ac:dyDescent="0.25">
      <c r="A12" t="s">
        <v>120</v>
      </c>
      <c r="B12" s="15">
        <v>12600000</v>
      </c>
      <c r="C12" t="str">
        <f>VLOOKUP(A12,'[1]ACTUALIZADO 2026'!$A$2:$A$338,1,0)</f>
        <v>872-2025</v>
      </c>
    </row>
    <row r="13" spans="1:3" x14ac:dyDescent="0.25">
      <c r="A13" t="s">
        <v>122</v>
      </c>
      <c r="B13" s="15">
        <v>25200000</v>
      </c>
      <c r="C13" t="str">
        <f>VLOOKUP(A13,'[1]ACTUALIZADO 2026'!$A$2:$A$338,1,0)</f>
        <v>850-2025</v>
      </c>
    </row>
    <row r="14" spans="1:3" x14ac:dyDescent="0.25">
      <c r="A14" t="s">
        <v>1014</v>
      </c>
      <c r="B14" s="15">
        <v>4200000</v>
      </c>
      <c r="C14" t="str">
        <f>VLOOKUP(A14,'[1]ACTUALIZADO 2026'!$A$2:$A$338,1,0)</f>
        <v>832-2025</v>
      </c>
    </row>
    <row r="15" spans="1:3" x14ac:dyDescent="0.25">
      <c r="A15" t="s">
        <v>123</v>
      </c>
      <c r="B15" s="15">
        <v>25200000</v>
      </c>
      <c r="C15" t="str">
        <f>VLOOKUP(A15,'[1]ACTUALIZADO 2026'!$A$2:$A$338,1,0)</f>
        <v>817-2025</v>
      </c>
    </row>
    <row r="16" spans="1:3" x14ac:dyDescent="0.25">
      <c r="A16" t="s">
        <v>125</v>
      </c>
      <c r="B16" s="15">
        <v>12600000</v>
      </c>
      <c r="C16" t="str">
        <f>VLOOKUP(A16,'[1]ACTUALIZADO 2026'!$A$2:$A$338,1,0)</f>
        <v>783-2025</v>
      </c>
    </row>
    <row r="17" spans="1:3" x14ac:dyDescent="0.25">
      <c r="A17" t="s">
        <v>126</v>
      </c>
      <c r="B17" s="15">
        <v>11025000</v>
      </c>
      <c r="C17" t="str">
        <f>VLOOKUP(A17,'[1]ACTUALIZADO 2026'!$A$2:$A$338,1,0)</f>
        <v>886-2025</v>
      </c>
    </row>
    <row r="18" spans="1:3" x14ac:dyDescent="0.25">
      <c r="A18" t="s">
        <v>128</v>
      </c>
      <c r="B18" s="15">
        <v>12600000</v>
      </c>
      <c r="C18" t="str">
        <f>VLOOKUP(A18,'[1]ACTUALIZADO 2026'!$A$2:$A$338,1,0)</f>
        <v>798-2025</v>
      </c>
    </row>
    <row r="19" spans="1:3" x14ac:dyDescent="0.25">
      <c r="A19" t="s">
        <v>130</v>
      </c>
      <c r="B19" s="15">
        <v>9450000</v>
      </c>
      <c r="C19" t="str">
        <f>VLOOKUP(A19,'[1]ACTUALIZADO 2026'!$A$2:$A$338,1,0)</f>
        <v>765-2025</v>
      </c>
    </row>
    <row r="20" spans="1:3" x14ac:dyDescent="0.25">
      <c r="A20" t="s">
        <v>131</v>
      </c>
      <c r="B20" s="15">
        <v>12600000</v>
      </c>
      <c r="C20" t="str">
        <f>VLOOKUP(A20,'[1]ACTUALIZADO 2026'!$A$2:$A$338,1,0)</f>
        <v>876-2025</v>
      </c>
    </row>
    <row r="21" spans="1:3" x14ac:dyDescent="0.25">
      <c r="A21" t="s">
        <v>133</v>
      </c>
      <c r="B21" s="15">
        <v>31200000</v>
      </c>
      <c r="C21" t="str">
        <f>VLOOKUP(A21,'[1]ACTUALIZADO 2026'!$A$2:$A$338,1,0)</f>
        <v>808-2025</v>
      </c>
    </row>
    <row r="22" spans="1:3" x14ac:dyDescent="0.25">
      <c r="A22" t="s">
        <v>135</v>
      </c>
      <c r="B22" s="15">
        <v>25200000</v>
      </c>
      <c r="C22" t="str">
        <f>VLOOKUP(A22,'[1]ACTUALIZADO 2026'!$A$2:$A$338,1,0)</f>
        <v>789-2025</v>
      </c>
    </row>
    <row r="23" spans="1:3" x14ac:dyDescent="0.25">
      <c r="A23" t="s">
        <v>136</v>
      </c>
      <c r="B23" s="15">
        <v>12600000</v>
      </c>
      <c r="C23" t="str">
        <f>VLOOKUP(A23,'[1]ACTUALIZADO 2026'!$A$2:$A$338,1,0)</f>
        <v>812-2025</v>
      </c>
    </row>
    <row r="24" spans="1:3" x14ac:dyDescent="0.25">
      <c r="A24" t="s">
        <v>137</v>
      </c>
      <c r="B24" s="15">
        <v>12600000</v>
      </c>
      <c r="C24" t="str">
        <f>VLOOKUP(A24,'[1]ACTUALIZADO 2026'!$A$2:$A$338,1,0)</f>
        <v>821-2025</v>
      </c>
    </row>
    <row r="25" spans="1:3" x14ac:dyDescent="0.25">
      <c r="A25" t="s">
        <v>139</v>
      </c>
      <c r="B25" s="15">
        <v>12600000</v>
      </c>
      <c r="C25" t="str">
        <f>VLOOKUP(A25,'[1]ACTUALIZADO 2026'!$A$2:$A$338,1,0)</f>
        <v>869-2025</v>
      </c>
    </row>
    <row r="26" spans="1:3" x14ac:dyDescent="0.25">
      <c r="A26" t="s">
        <v>140</v>
      </c>
      <c r="B26" s="15">
        <v>25200000</v>
      </c>
      <c r="C26" t="str">
        <f>VLOOKUP(A26,'[1]ACTUALIZADO 2026'!$A$2:$A$338,1,0)</f>
        <v>865-2025</v>
      </c>
    </row>
    <row r="27" spans="1:3" x14ac:dyDescent="0.25">
      <c r="A27" t="s">
        <v>141</v>
      </c>
      <c r="B27" s="15">
        <v>25200000</v>
      </c>
      <c r="C27" t="str">
        <f>VLOOKUP(A27,'[1]ACTUALIZADO 2026'!$A$2:$A$338,1,0)</f>
        <v>781-2025</v>
      </c>
    </row>
    <row r="28" spans="1:3" x14ac:dyDescent="0.25">
      <c r="A28" t="s">
        <v>143</v>
      </c>
      <c r="B28" s="15">
        <v>18920000</v>
      </c>
      <c r="C28" t="str">
        <f>VLOOKUP(A28,'[1]ACTUALIZADO 2026'!$A$2:$A$338,1,0)</f>
        <v>787-2025</v>
      </c>
    </row>
    <row r="29" spans="1:3" x14ac:dyDescent="0.25">
      <c r="A29" t="s">
        <v>144</v>
      </c>
      <c r="B29" s="15">
        <v>12600000</v>
      </c>
      <c r="C29" t="str">
        <f>VLOOKUP(A29,'[1]ACTUALIZADO 2026'!$A$2:$A$338,1,0)</f>
        <v>795-2025</v>
      </c>
    </row>
    <row r="30" spans="1:3" x14ac:dyDescent="0.25">
      <c r="A30" t="s">
        <v>145</v>
      </c>
      <c r="B30" s="15">
        <v>12600000</v>
      </c>
      <c r="C30" t="str">
        <f>VLOOKUP(A30,'[1]ACTUALIZADO 2026'!$A$2:$A$338,1,0)</f>
        <v>804-2025</v>
      </c>
    </row>
    <row r="31" spans="1:3" x14ac:dyDescent="0.25">
      <c r="A31" t="s">
        <v>147</v>
      </c>
      <c r="B31" s="15">
        <v>12600000</v>
      </c>
      <c r="C31" t="str">
        <f>VLOOKUP(A31,'[1]ACTUALIZADO 2026'!$A$2:$A$338,1,0)</f>
        <v>827-2025</v>
      </c>
    </row>
    <row r="32" spans="1:3" x14ac:dyDescent="0.25">
      <c r="A32" t="s">
        <v>148</v>
      </c>
      <c r="B32" s="15">
        <v>25200000</v>
      </c>
      <c r="C32" t="str">
        <f>VLOOKUP(A32,'[1]ACTUALIZADO 2026'!$A$2:$A$338,1,0)</f>
        <v>773-2025</v>
      </c>
    </row>
    <row r="33" spans="1:3" x14ac:dyDescent="0.25">
      <c r="A33" t="s">
        <v>149</v>
      </c>
      <c r="B33" s="15">
        <v>7350000</v>
      </c>
      <c r="C33" t="str">
        <f>VLOOKUP(A33,'[1]ACTUALIZADO 2026'!$A$2:$A$338,1,0)</f>
        <v>920-2025</v>
      </c>
    </row>
    <row r="34" spans="1:3" x14ac:dyDescent="0.25">
      <c r="A34" t="s">
        <v>151</v>
      </c>
      <c r="B34" s="15">
        <v>12600000</v>
      </c>
      <c r="C34" t="str">
        <f>VLOOKUP(A34,'[1]ACTUALIZADO 2026'!$A$2:$A$338,1,0)</f>
        <v>784-2025</v>
      </c>
    </row>
    <row r="35" spans="1:3" x14ac:dyDescent="0.25">
      <c r="A35" t="s">
        <v>152</v>
      </c>
      <c r="B35" s="15">
        <v>12600000</v>
      </c>
      <c r="C35" t="str">
        <f>VLOOKUP(A35,'[1]ACTUALIZADO 2026'!$A$2:$A$338,1,0)</f>
        <v>848-2025</v>
      </c>
    </row>
    <row r="36" spans="1:3" x14ac:dyDescent="0.25">
      <c r="A36" t="s">
        <v>153</v>
      </c>
      <c r="B36" s="15">
        <v>12600000</v>
      </c>
      <c r="C36" t="str">
        <f>VLOOKUP(A36,'[1]ACTUALIZADO 2026'!$A$2:$A$338,1,0)</f>
        <v>849-2025</v>
      </c>
    </row>
    <row r="37" spans="1:3" x14ac:dyDescent="0.25">
      <c r="A37" s="9" t="s">
        <v>154</v>
      </c>
      <c r="B37" s="15">
        <v>12600000</v>
      </c>
      <c r="C37" t="str">
        <f>VLOOKUP(A37,'[1]ACTUALIZADO 2026'!$A$2:$A$338,1,0)</f>
        <v>877-2025</v>
      </c>
    </row>
    <row r="38" spans="1:3" x14ac:dyDescent="0.25">
      <c r="A38" t="s">
        <v>156</v>
      </c>
      <c r="B38" s="15">
        <v>12600000</v>
      </c>
      <c r="C38" t="str">
        <f>VLOOKUP(A38,'[1]ACTUALIZADO 2026'!$A$2:$A$338,1,0)</f>
        <v>816-2025</v>
      </c>
    </row>
    <row r="39" spans="1:3" x14ac:dyDescent="0.25">
      <c r="A39" t="s">
        <v>157</v>
      </c>
      <c r="B39" s="15">
        <v>22050000</v>
      </c>
      <c r="C39" t="str">
        <f>VLOOKUP(A39,'[1]ACTUALIZADO 2026'!$A$2:$A$338,1,0)</f>
        <v>910-2025</v>
      </c>
    </row>
    <row r="40" spans="1:3" x14ac:dyDescent="0.25">
      <c r="A40" t="s">
        <v>158</v>
      </c>
      <c r="B40" s="15">
        <v>12600000</v>
      </c>
      <c r="C40" t="str">
        <f>VLOOKUP(A40,'[1]ACTUALIZADO 2026'!$A$2:$A$338,1,0)</f>
        <v>774-2025</v>
      </c>
    </row>
    <row r="41" spans="1:3" x14ac:dyDescent="0.25">
      <c r="A41" t="s">
        <v>159</v>
      </c>
      <c r="B41" s="15">
        <v>27300000</v>
      </c>
      <c r="C41" t="str">
        <f>VLOOKUP(A41,'[1]ACTUALIZADO 2026'!$A$2:$A$338,1,0)</f>
        <v>888-2025</v>
      </c>
    </row>
    <row r="42" spans="1:3" x14ac:dyDescent="0.25">
      <c r="A42" t="s">
        <v>161</v>
      </c>
      <c r="B42" s="15">
        <v>27300000</v>
      </c>
      <c r="C42" t="str">
        <f>VLOOKUP(A42,'[1]ACTUALIZADO 2026'!$A$2:$A$338,1,0)</f>
        <v>906-2025</v>
      </c>
    </row>
    <row r="43" spans="1:3" x14ac:dyDescent="0.25">
      <c r="A43" t="s">
        <v>163</v>
      </c>
      <c r="B43" s="15">
        <v>27300000</v>
      </c>
      <c r="C43" t="str">
        <f>VLOOKUP(A43,'[1]ACTUALIZADO 2026'!$A$2:$A$338,1,0)</f>
        <v>929-2025</v>
      </c>
    </row>
    <row r="44" spans="1:3" x14ac:dyDescent="0.25">
      <c r="A44" t="s">
        <v>165</v>
      </c>
      <c r="B44" s="15">
        <v>27300000</v>
      </c>
      <c r="C44" t="str">
        <f>VLOOKUP(A44,'[1]ACTUALIZADO 2026'!$A$2:$A$338,1,0)</f>
        <v>913-2025</v>
      </c>
    </row>
    <row r="45" spans="1:3" x14ac:dyDescent="0.25">
      <c r="A45" t="s">
        <v>167</v>
      </c>
      <c r="B45" s="15">
        <v>22050000</v>
      </c>
      <c r="C45" t="str">
        <f>VLOOKUP(A45,'[1]ACTUALIZADO 2026'!$A$2:$A$338,1,0)</f>
        <v>908-2025</v>
      </c>
    </row>
    <row r="46" spans="1:3" x14ac:dyDescent="0.25">
      <c r="A46" t="s">
        <v>169</v>
      </c>
      <c r="B46" s="15">
        <v>11025000</v>
      </c>
      <c r="C46" t="str">
        <f>VLOOKUP(A46,'[1]ACTUALIZADO 2026'!$A$2:$A$338,1,0)</f>
        <v>916-2025</v>
      </c>
    </row>
    <row r="47" spans="1:3" x14ac:dyDescent="0.25">
      <c r="A47" t="s">
        <v>171</v>
      </c>
      <c r="B47" s="15">
        <v>11025000</v>
      </c>
      <c r="C47" t="str">
        <f>VLOOKUP(A47,'[1]ACTUALIZADO 2026'!$A$2:$A$338,1,0)</f>
        <v>912-2025</v>
      </c>
    </row>
    <row r="48" spans="1:3" x14ac:dyDescent="0.25">
      <c r="A48" t="s">
        <v>173</v>
      </c>
      <c r="B48" s="15">
        <v>12600000</v>
      </c>
      <c r="C48" t="str">
        <f>VLOOKUP(A48,'[1]ACTUALIZADO 2026'!$A$2:$A$338,1,0)</f>
        <v>793-2025</v>
      </c>
    </row>
    <row r="49" spans="1:3" x14ac:dyDescent="0.25">
      <c r="A49" t="s">
        <v>175</v>
      </c>
      <c r="B49" s="15">
        <v>12600000</v>
      </c>
      <c r="C49" t="str">
        <f>VLOOKUP(A49,'[1]ACTUALIZADO 2026'!$A$2:$A$338,1,0)</f>
        <v>759-2025</v>
      </c>
    </row>
    <row r="50" spans="1:3" x14ac:dyDescent="0.25">
      <c r="A50" t="s">
        <v>176</v>
      </c>
      <c r="B50" s="15">
        <v>12600000</v>
      </c>
      <c r="C50" t="str">
        <f>VLOOKUP(A50,'[1]ACTUALIZADO 2026'!$A$2:$A$338,1,0)</f>
        <v>815-2025</v>
      </c>
    </row>
    <row r="51" spans="1:3" x14ac:dyDescent="0.25">
      <c r="A51" t="s">
        <v>178</v>
      </c>
      <c r="B51" s="18">
        <v>12600000</v>
      </c>
      <c r="C51" t="str">
        <f>VLOOKUP(A51,'[1]ACTUALIZADO 2026'!$A$2:$A$338,1,0)</f>
        <v>839-2025</v>
      </c>
    </row>
    <row r="52" spans="1:3" x14ac:dyDescent="0.25">
      <c r="A52" t="s">
        <v>180</v>
      </c>
      <c r="B52" s="18">
        <v>18920000</v>
      </c>
      <c r="C52" t="str">
        <f>VLOOKUP(A52,'[1]ACTUALIZADO 2026'!$A$2:$A$338,1,0)</f>
        <v>818-2025</v>
      </c>
    </row>
    <row r="53" spans="1:3" x14ac:dyDescent="0.25">
      <c r="A53" t="s">
        <v>182</v>
      </c>
      <c r="B53" s="15">
        <v>31200000</v>
      </c>
      <c r="C53" t="str">
        <f>VLOOKUP(A53,'[1]ACTUALIZADO 2026'!$A$2:$A$338,1,0)</f>
        <v>833-2025</v>
      </c>
    </row>
    <row r="54" spans="1:3" x14ac:dyDescent="0.25">
      <c r="A54" t="s">
        <v>184</v>
      </c>
      <c r="B54" s="15">
        <v>12600000</v>
      </c>
      <c r="C54" t="str">
        <f>VLOOKUP(A54,'[1]ACTUALIZADO 2026'!$A$2:$A$338,1,0)</f>
        <v>794-2025</v>
      </c>
    </row>
    <row r="55" spans="1:3" x14ac:dyDescent="0.25">
      <c r="A55" t="s">
        <v>185</v>
      </c>
      <c r="B55" s="15">
        <v>11025000</v>
      </c>
      <c r="C55" t="str">
        <f>VLOOKUP(A55,'[1]ACTUALIZADO 2026'!$A$2:$A$338,1,0)</f>
        <v>925-2025</v>
      </c>
    </row>
    <row r="56" spans="1:3" x14ac:dyDescent="0.25">
      <c r="A56" t="s">
        <v>187</v>
      </c>
      <c r="B56" s="18">
        <v>31200000</v>
      </c>
      <c r="C56" t="str">
        <f>VLOOKUP(A56,'[1]ACTUALIZADO 2026'!$A$2:$A$338,1,0)</f>
        <v>831-2025</v>
      </c>
    </row>
    <row r="57" spans="1:3" x14ac:dyDescent="0.25">
      <c r="A57" t="s">
        <v>189</v>
      </c>
      <c r="B57" s="15">
        <v>12600000</v>
      </c>
      <c r="C57" t="str">
        <f>VLOOKUP(A57,'[1]ACTUALIZADO 2026'!$A$2:$A$338,1,0)</f>
        <v>811-2025</v>
      </c>
    </row>
    <row r="58" spans="1:3" x14ac:dyDescent="0.25">
      <c r="A58" t="s">
        <v>190</v>
      </c>
      <c r="B58" s="15">
        <v>25200000</v>
      </c>
      <c r="C58" t="str">
        <f>VLOOKUP(A58,'[1]ACTUALIZADO 2026'!$A$2:$A$338,1,0)</f>
        <v>834-2025</v>
      </c>
    </row>
    <row r="59" spans="1:3" x14ac:dyDescent="0.25">
      <c r="A59" t="s">
        <v>192</v>
      </c>
      <c r="B59" s="15">
        <v>12600000</v>
      </c>
      <c r="C59" t="str">
        <f>VLOOKUP(A59,'[1]ACTUALIZADO 2026'!$A$2:$A$338,1,0)</f>
        <v>826-2025</v>
      </c>
    </row>
    <row r="60" spans="1:3" x14ac:dyDescent="0.25">
      <c r="A60" t="s">
        <v>193</v>
      </c>
      <c r="B60" s="15">
        <v>18920000</v>
      </c>
      <c r="C60" t="str">
        <f>VLOOKUP(A60,'[1]ACTUALIZADO 2026'!$A$2:$A$338,1,0)</f>
        <v>749-2025</v>
      </c>
    </row>
    <row r="61" spans="1:3" x14ac:dyDescent="0.25">
      <c r="A61" t="s">
        <v>195</v>
      </c>
      <c r="B61" s="15">
        <v>25200000</v>
      </c>
      <c r="C61" t="str">
        <f>VLOOKUP(A61,'[1]ACTUALIZADO 2026'!$A$2:$A$338,1,0)</f>
        <v>775-2025</v>
      </c>
    </row>
    <row r="62" spans="1:3" x14ac:dyDescent="0.25">
      <c r="A62" t="s">
        <v>197</v>
      </c>
      <c r="B62" s="15">
        <v>18920000</v>
      </c>
      <c r="C62" t="str">
        <f>VLOOKUP(A62,'[1]ACTUALIZADO 2026'!$A$2:$A$338,1,0)</f>
        <v>726-2025</v>
      </c>
    </row>
    <row r="63" spans="1:3" x14ac:dyDescent="0.25">
      <c r="A63" t="s">
        <v>198</v>
      </c>
      <c r="B63" s="15">
        <v>31200000</v>
      </c>
      <c r="C63" t="str">
        <f>VLOOKUP(A63,'[1]ACTUALIZADO 2026'!$A$2:$A$338,1,0)</f>
        <v>744-2025</v>
      </c>
    </row>
    <row r="64" spans="1:3" x14ac:dyDescent="0.25">
      <c r="A64" t="s">
        <v>200</v>
      </c>
      <c r="B64" s="18">
        <v>12600000</v>
      </c>
      <c r="C64" t="str">
        <f>VLOOKUP(A64,'[1]ACTUALIZADO 2026'!$A$2:$A$338,1,0)</f>
        <v>859-2025</v>
      </c>
    </row>
    <row r="65" spans="1:3" x14ac:dyDescent="0.25">
      <c r="A65" t="s">
        <v>202</v>
      </c>
      <c r="B65" s="15">
        <v>31200000</v>
      </c>
      <c r="C65" t="str">
        <f>VLOOKUP(A65,'[1]ACTUALIZADO 2026'!$A$2:$A$338,1,0)</f>
        <v>822-2025</v>
      </c>
    </row>
    <row r="66" spans="1:3" x14ac:dyDescent="0.25">
      <c r="A66" t="s">
        <v>203</v>
      </c>
      <c r="B66" s="15">
        <v>25200000</v>
      </c>
      <c r="C66" t="str">
        <f>VLOOKUP(A66,'[1]ACTUALIZADO 2026'!$A$2:$A$338,1,0)</f>
        <v>853-2025</v>
      </c>
    </row>
    <row r="67" spans="1:3" x14ac:dyDescent="0.25">
      <c r="A67" t="s">
        <v>1017</v>
      </c>
      <c r="B67" s="15">
        <v>12600000</v>
      </c>
      <c r="C67" t="str">
        <f>VLOOKUP(A67,'[1]ACTUALIZADO 2026'!$A$2:$A$338,1,0)</f>
        <v>856-2025</v>
      </c>
    </row>
    <row r="68" spans="1:3" x14ac:dyDescent="0.25">
      <c r="A68" t="s">
        <v>205</v>
      </c>
      <c r="B68" s="15">
        <v>31200000</v>
      </c>
      <c r="C68" t="str">
        <f>VLOOKUP(A68,'[1]ACTUALIZADO 2026'!$A$2:$A$338,1,0)</f>
        <v>711-2025</v>
      </c>
    </row>
    <row r="69" spans="1:3" x14ac:dyDescent="0.25">
      <c r="A69" t="s">
        <v>206</v>
      </c>
      <c r="B69" s="15">
        <v>18920000</v>
      </c>
      <c r="C69" t="str">
        <f>VLOOKUP(A69,'[1]ACTUALIZADO 2026'!$A$2:$A$338,1,0)</f>
        <v>748-2025</v>
      </c>
    </row>
    <row r="70" spans="1:3" x14ac:dyDescent="0.25">
      <c r="A70" t="s">
        <v>208</v>
      </c>
      <c r="B70" s="15">
        <v>31200000</v>
      </c>
      <c r="C70" t="str">
        <f>VLOOKUP(A70,'[1]ACTUALIZADO 2026'!$A$2:$A$338,1,0)</f>
        <v>772-2025</v>
      </c>
    </row>
    <row r="71" spans="1:3" x14ac:dyDescent="0.25">
      <c r="A71" t="s">
        <v>210</v>
      </c>
      <c r="B71" s="15">
        <v>18920000</v>
      </c>
      <c r="C71" t="str">
        <f>VLOOKUP(A71,'[1]ACTUALIZADO 2026'!$A$2:$A$338,1,0)</f>
        <v>770-2025</v>
      </c>
    </row>
    <row r="72" spans="1:3" x14ac:dyDescent="0.25">
      <c r="A72" t="s">
        <v>1019</v>
      </c>
      <c r="B72" s="15">
        <v>6300000</v>
      </c>
      <c r="C72" t="str">
        <f>VLOOKUP(A72,'[1]ACTUALIZADO 2026'!$A$2:$A$338,1,0)</f>
        <v>788-2025</v>
      </c>
    </row>
    <row r="73" spans="1:3" x14ac:dyDescent="0.25">
      <c r="A73" t="s">
        <v>212</v>
      </c>
      <c r="B73" s="15">
        <v>12600000</v>
      </c>
      <c r="C73" t="str">
        <f>VLOOKUP(A73,'[1]ACTUALIZADO 2026'!$A$2:$A$338,1,0)</f>
        <v>737-2025</v>
      </c>
    </row>
    <row r="74" spans="1:3" x14ac:dyDescent="0.25">
      <c r="A74" t="s">
        <v>213</v>
      </c>
      <c r="B74" s="15">
        <v>12600000</v>
      </c>
      <c r="C74" t="str">
        <f>VLOOKUP(A74,'[1]ACTUALIZADO 2026'!$A$2:$A$338,1,0)</f>
        <v>754-2025</v>
      </c>
    </row>
    <row r="75" spans="1:3" x14ac:dyDescent="0.25">
      <c r="A75" t="s">
        <v>214</v>
      </c>
      <c r="B75" s="15">
        <v>18920000</v>
      </c>
      <c r="C75" t="str">
        <f>VLOOKUP(A75,'[1]ACTUALIZADO 2026'!$A$2:$A$338,1,0)</f>
        <v>838-2025</v>
      </c>
    </row>
    <row r="76" spans="1:3" x14ac:dyDescent="0.25">
      <c r="A76" t="s">
        <v>216</v>
      </c>
      <c r="B76" s="18">
        <v>31200000</v>
      </c>
      <c r="C76" t="str">
        <f>VLOOKUP(A76,'[1]ACTUALIZADO 2026'!$A$2:$A$338,1,0)</f>
        <v>807-2025</v>
      </c>
    </row>
    <row r="77" spans="1:3" x14ac:dyDescent="0.25">
      <c r="A77" t="s">
        <v>217</v>
      </c>
      <c r="B77" s="15">
        <v>31200000</v>
      </c>
      <c r="C77" t="str">
        <f>VLOOKUP(A77,'[1]ACTUALIZADO 2026'!$A$2:$A$338,1,0)</f>
        <v>723-2025</v>
      </c>
    </row>
    <row r="78" spans="1:3" x14ac:dyDescent="0.25">
      <c r="A78" t="s">
        <v>1021</v>
      </c>
      <c r="B78" s="15">
        <v>18900000</v>
      </c>
      <c r="C78" t="str">
        <f>VLOOKUP(A78,'[1]ACTUALIZADO 2026'!$A$2:$A$338,1,0)</f>
        <v>785-2025</v>
      </c>
    </row>
    <row r="79" spans="1:3" x14ac:dyDescent="0.25">
      <c r="A79" t="s">
        <v>218</v>
      </c>
      <c r="B79" s="15">
        <v>12600000</v>
      </c>
      <c r="C79" t="str">
        <f>VLOOKUP(A79,'[1]ACTUALIZADO 2026'!$A$2:$A$338,1,0)</f>
        <v>813-2025</v>
      </c>
    </row>
    <row r="80" spans="1:3" x14ac:dyDescent="0.25">
      <c r="A80" t="s">
        <v>220</v>
      </c>
      <c r="B80" s="15">
        <v>12600000</v>
      </c>
      <c r="C80" t="str">
        <f>VLOOKUP(A80,'[1]ACTUALIZADO 2026'!$A$2:$A$338,1,0)</f>
        <v>803-2025</v>
      </c>
    </row>
    <row r="81" spans="1:3" x14ac:dyDescent="0.25">
      <c r="A81" t="s">
        <v>222</v>
      </c>
      <c r="B81" s="15">
        <v>12600000</v>
      </c>
      <c r="C81" t="str">
        <f>VLOOKUP(A81,'[1]ACTUALIZADO 2026'!$A$2:$A$338,1,0)</f>
        <v>732-2025</v>
      </c>
    </row>
    <row r="82" spans="1:3" x14ac:dyDescent="0.25">
      <c r="A82" t="s">
        <v>223</v>
      </c>
      <c r="B82" s="15">
        <v>31200000</v>
      </c>
      <c r="C82" t="str">
        <f>VLOOKUP(A82,'[1]ACTUALIZADO 2026'!$A$2:$A$338,1,0)</f>
        <v>762-2025</v>
      </c>
    </row>
    <row r="83" spans="1:3" x14ac:dyDescent="0.25">
      <c r="A83" t="s">
        <v>224</v>
      </c>
      <c r="B83" s="15">
        <v>18920000</v>
      </c>
      <c r="C83" t="str">
        <f>VLOOKUP(A83,'[1]ACTUALIZADO 2026'!$A$2:$A$338,1,0)</f>
        <v>730-2025</v>
      </c>
    </row>
    <row r="84" spans="1:3" x14ac:dyDescent="0.25">
      <c r="A84" t="s">
        <v>226</v>
      </c>
      <c r="B84" s="15">
        <v>31200000</v>
      </c>
      <c r="C84" t="str">
        <f>VLOOKUP(A84,'[1]ACTUALIZADO 2026'!$A$2:$A$338,1,0)</f>
        <v>786-2025</v>
      </c>
    </row>
    <row r="85" spans="1:3" x14ac:dyDescent="0.25">
      <c r="A85" t="s">
        <v>228</v>
      </c>
      <c r="B85" s="15">
        <v>12600000</v>
      </c>
      <c r="C85" t="str">
        <f>VLOOKUP(A85,'[1]ACTUALIZADO 2026'!$A$2:$A$338,1,0)</f>
        <v>782-2025</v>
      </c>
    </row>
    <row r="86" spans="1:3" x14ac:dyDescent="0.25">
      <c r="A86" t="s">
        <v>230</v>
      </c>
      <c r="B86" s="15">
        <v>31200000</v>
      </c>
      <c r="C86" t="str">
        <f>VLOOKUP(A86,'[1]ACTUALIZADO 2026'!$A$2:$A$338,1,0)</f>
        <v>755-2025</v>
      </c>
    </row>
    <row r="87" spans="1:3" x14ac:dyDescent="0.25">
      <c r="A87" t="s">
        <v>231</v>
      </c>
      <c r="B87" s="15">
        <v>12600000</v>
      </c>
      <c r="C87" t="str">
        <f>VLOOKUP(A87,'[1]ACTUALIZADO 2026'!$A$2:$A$338,1,0)</f>
        <v>855-2025</v>
      </c>
    </row>
    <row r="88" spans="1:3" x14ac:dyDescent="0.25">
      <c r="A88" t="s">
        <v>233</v>
      </c>
      <c r="B88" s="15">
        <v>11025000</v>
      </c>
      <c r="C88" t="str">
        <f>VLOOKUP(A88,'[1]ACTUALIZADO 2026'!$A$2:$A$338,1,0)</f>
        <v>894-2025</v>
      </c>
    </row>
    <row r="89" spans="1:3" x14ac:dyDescent="0.25">
      <c r="A89" t="s">
        <v>234</v>
      </c>
      <c r="B89" s="15">
        <v>12600000</v>
      </c>
      <c r="C89" t="str">
        <f>VLOOKUP(A89,'[1]ACTUALIZADO 2026'!$A$2:$A$338,1,0)</f>
        <v>840-2025</v>
      </c>
    </row>
    <row r="90" spans="1:3" x14ac:dyDescent="0.25">
      <c r="A90" t="s">
        <v>236</v>
      </c>
      <c r="B90" s="15">
        <v>12600000</v>
      </c>
      <c r="C90" t="str">
        <f>VLOOKUP(A90,'[1]ACTUALIZADO 2026'!$A$2:$A$338,1,0)</f>
        <v>830-2025</v>
      </c>
    </row>
    <row r="91" spans="1:3" x14ac:dyDescent="0.25">
      <c r="A91" t="s">
        <v>238</v>
      </c>
      <c r="B91" s="15">
        <v>12600000</v>
      </c>
      <c r="C91" t="str">
        <f>VLOOKUP(A91,'[1]ACTUALIZADO 2026'!$A$2:$A$338,1,0)</f>
        <v>864-2025</v>
      </c>
    </row>
    <row r="92" spans="1:3" x14ac:dyDescent="0.25">
      <c r="A92" t="s">
        <v>240</v>
      </c>
      <c r="B92" s="15">
        <v>25200000</v>
      </c>
      <c r="C92" t="str">
        <f>VLOOKUP(A92,'[1]ACTUALIZADO 2026'!$A$2:$A$338,1,0)</f>
        <v>757-2025</v>
      </c>
    </row>
    <row r="93" spans="1:3" x14ac:dyDescent="0.25">
      <c r="A93" t="s">
        <v>1023</v>
      </c>
      <c r="B93" s="15">
        <v>4725000</v>
      </c>
      <c r="C93" t="str">
        <f>VLOOKUP(A93,'[1]ACTUALIZADO 2026'!$A$2:$A$338,1,0)</f>
        <v>871-2025</v>
      </c>
    </row>
    <row r="94" spans="1:3" x14ac:dyDescent="0.25">
      <c r="A94" t="s">
        <v>242</v>
      </c>
      <c r="B94" s="15">
        <v>18920000</v>
      </c>
      <c r="C94" t="str">
        <f>VLOOKUP(A94,'[1]ACTUALIZADO 2026'!$A$2:$A$338,1,0)</f>
        <v>742-2025</v>
      </c>
    </row>
    <row r="95" spans="1:3" x14ac:dyDescent="0.25">
      <c r="A95" t="s">
        <v>244</v>
      </c>
      <c r="B95" s="15">
        <v>12600000</v>
      </c>
      <c r="C95" t="str">
        <f>VLOOKUP(A95,'[1]ACTUALIZADO 2026'!$A$2:$A$338,1,0)</f>
        <v>854-2025</v>
      </c>
    </row>
    <row r="96" spans="1:3" x14ac:dyDescent="0.25">
      <c r="A96" t="s">
        <v>245</v>
      </c>
      <c r="B96" s="15">
        <v>18920000</v>
      </c>
      <c r="C96" t="str">
        <f>VLOOKUP(A96,'[1]ACTUALIZADO 2026'!$A$2:$A$338,1,0)</f>
        <v>747-2025</v>
      </c>
    </row>
    <row r="97" spans="1:3" x14ac:dyDescent="0.25">
      <c r="A97" t="s">
        <v>247</v>
      </c>
      <c r="B97" s="15">
        <v>12600000</v>
      </c>
      <c r="C97" t="str">
        <f>VLOOKUP(A97,'[1]ACTUALIZADO 2026'!$A$2:$A$338,1,0)</f>
        <v>836-2025</v>
      </c>
    </row>
    <row r="98" spans="1:3" x14ac:dyDescent="0.25">
      <c r="A98" t="s">
        <v>249</v>
      </c>
      <c r="B98" s="15">
        <v>9450000</v>
      </c>
      <c r="C98" t="str">
        <f>VLOOKUP(A98,'[1]ACTUALIZADO 2026'!$A$2:$A$338,1,0)</f>
        <v>846-2025</v>
      </c>
    </row>
    <row r="99" spans="1:3" x14ac:dyDescent="0.25">
      <c r="A99" t="s">
        <v>251</v>
      </c>
      <c r="B99" s="15">
        <v>11025000</v>
      </c>
      <c r="C99" t="str">
        <f>VLOOKUP(A99,'[1]ACTUALIZADO 2026'!$A$2:$A$338,1,0)</f>
        <v>896-2025</v>
      </c>
    </row>
    <row r="100" spans="1:3" x14ac:dyDescent="0.25">
      <c r="A100" t="s">
        <v>253</v>
      </c>
      <c r="B100" s="15">
        <v>12600000</v>
      </c>
      <c r="C100" t="str">
        <f>VLOOKUP(A100,'[1]ACTUALIZADO 2026'!$A$2:$A$338,1,0)</f>
        <v>828-2025</v>
      </c>
    </row>
    <row r="101" spans="1:3" x14ac:dyDescent="0.25">
      <c r="A101" t="s">
        <v>255</v>
      </c>
      <c r="B101" s="15">
        <v>25200000</v>
      </c>
      <c r="C101" t="str">
        <f>VLOOKUP(A101,'[1]ACTUALIZADO 2026'!$A$2:$A$338,1,0)</f>
        <v>843-2025</v>
      </c>
    </row>
    <row r="102" spans="1:3" x14ac:dyDescent="0.25">
      <c r="A102" t="s">
        <v>256</v>
      </c>
      <c r="B102" s="15">
        <v>18920000</v>
      </c>
      <c r="C102" t="str">
        <f>VLOOKUP(A102,'[1]ACTUALIZADO 2026'!$A$2:$A$338,1,0)</f>
        <v>860-2025</v>
      </c>
    </row>
    <row r="103" spans="1:3" x14ac:dyDescent="0.25">
      <c r="A103" t="s">
        <v>258</v>
      </c>
      <c r="B103" s="15">
        <v>18900000</v>
      </c>
      <c r="C103" t="str">
        <f>VLOOKUP(A103,'[1]ACTUALIZADO 2026'!$A$2:$A$338,1,0)</f>
        <v>823-2025</v>
      </c>
    </row>
    <row r="104" spans="1:3" x14ac:dyDescent="0.25">
      <c r="A104" t="s">
        <v>259</v>
      </c>
      <c r="B104" s="15">
        <v>25200000</v>
      </c>
      <c r="C104" t="str">
        <f>VLOOKUP(A104,'[1]ACTUALIZADO 2026'!$A$2:$A$338,1,0)</f>
        <v>763-2025</v>
      </c>
    </row>
    <row r="105" spans="1:3" x14ac:dyDescent="0.25">
      <c r="A105" t="s">
        <v>261</v>
      </c>
      <c r="B105" s="15">
        <v>31200000</v>
      </c>
      <c r="C105" t="str">
        <f>VLOOKUP(A105,'[1]ACTUALIZADO 2026'!$A$2:$A$338,1,0)</f>
        <v>767-2025</v>
      </c>
    </row>
    <row r="106" spans="1:3" x14ac:dyDescent="0.25">
      <c r="A106" t="s">
        <v>262</v>
      </c>
      <c r="B106" s="15">
        <v>12600000</v>
      </c>
      <c r="C106" t="str">
        <f>VLOOKUP(A106,'[1]ACTUALIZADO 2026'!$A$2:$A$338,1,0)</f>
        <v>797-2025</v>
      </c>
    </row>
    <row r="107" spans="1:3" x14ac:dyDescent="0.25">
      <c r="A107" t="s">
        <v>1025</v>
      </c>
      <c r="B107" s="15">
        <v>4730000</v>
      </c>
      <c r="C107" t="str">
        <f>VLOOKUP(A107,'[1]ACTUALIZADO 2026'!$A$2:$A$338,1,0)</f>
        <v>771-2025</v>
      </c>
    </row>
    <row r="108" spans="1:3" x14ac:dyDescent="0.25">
      <c r="A108" t="s">
        <v>264</v>
      </c>
      <c r="B108" s="15">
        <v>31200000</v>
      </c>
      <c r="C108" t="str">
        <f>VLOOKUP(A108,'[1]ACTUALIZADO 2026'!$A$2:$A$338,1,0)</f>
        <v>706-2025</v>
      </c>
    </row>
    <row r="109" spans="1:3" x14ac:dyDescent="0.25">
      <c r="A109" t="s">
        <v>265</v>
      </c>
      <c r="B109" s="15">
        <v>25200000</v>
      </c>
      <c r="C109" t="str">
        <f>VLOOKUP(A109,'[1]ACTUALIZADO 2026'!$A$2:$A$338,1,0)</f>
        <v>741-2025</v>
      </c>
    </row>
    <row r="110" spans="1:3" x14ac:dyDescent="0.25">
      <c r="A110" t="s">
        <v>266</v>
      </c>
      <c r="B110" s="15">
        <v>18920000</v>
      </c>
      <c r="C110" t="str">
        <f>VLOOKUP(A110,'[1]ACTUALIZADO 2026'!$A$2:$A$338,1,0)</f>
        <v>764-2025</v>
      </c>
    </row>
    <row r="111" spans="1:3" x14ac:dyDescent="0.25">
      <c r="A111" t="s">
        <v>267</v>
      </c>
      <c r="B111" s="15">
        <v>12600000</v>
      </c>
      <c r="C111" t="str">
        <f>VLOOKUP(A111,'[1]ACTUALIZADO 2026'!$A$2:$A$338,1,0)</f>
        <v>802-2025</v>
      </c>
    </row>
    <row r="112" spans="1:3" x14ac:dyDescent="0.25">
      <c r="A112" t="s">
        <v>268</v>
      </c>
      <c r="B112" s="15">
        <v>12600000</v>
      </c>
      <c r="C112" t="str">
        <f>VLOOKUP(A112,'[1]ACTUALIZADO 2026'!$A$2:$A$338,1,0)</f>
        <v>837-2025</v>
      </c>
    </row>
    <row r="113" spans="1:3" x14ac:dyDescent="0.25">
      <c r="A113" t="s">
        <v>269</v>
      </c>
      <c r="B113" s="15">
        <v>31200000</v>
      </c>
      <c r="C113" t="str">
        <f>VLOOKUP(A113,'[1]ACTUALIZADO 2026'!$A$2:$A$338,1,0)</f>
        <v>868-2025</v>
      </c>
    </row>
    <row r="114" spans="1:3" x14ac:dyDescent="0.25">
      <c r="A114" t="s">
        <v>270</v>
      </c>
      <c r="B114" s="15">
        <v>25200000</v>
      </c>
      <c r="C114" t="str">
        <f>VLOOKUP(A114,'[1]ACTUALIZADO 2026'!$A$2:$A$338,1,0)</f>
        <v>778-2025</v>
      </c>
    </row>
    <row r="115" spans="1:3" x14ac:dyDescent="0.25">
      <c r="A115" t="s">
        <v>271</v>
      </c>
      <c r="B115" s="15">
        <v>12600000</v>
      </c>
      <c r="C115" t="str">
        <f>VLOOKUP(A115,'[1]ACTUALIZADO 2026'!$A$2:$A$338,1,0)</f>
        <v>824-2025</v>
      </c>
    </row>
    <row r="116" spans="1:3" x14ac:dyDescent="0.25">
      <c r="A116" t="s">
        <v>272</v>
      </c>
      <c r="B116" s="15">
        <v>22050000</v>
      </c>
      <c r="C116" t="str">
        <f>VLOOKUP(A116,'[1]ACTUALIZADO 2026'!$A$2:$A$338,1,0)</f>
        <v>890-2025</v>
      </c>
    </row>
    <row r="117" spans="1:3" x14ac:dyDescent="0.25">
      <c r="A117" t="s">
        <v>273</v>
      </c>
      <c r="B117" s="15">
        <v>27300000</v>
      </c>
      <c r="C117" t="str">
        <f>VLOOKUP(A117,'[1]ACTUALIZADO 2026'!$A$2:$A$338,1,0)</f>
        <v>905-2025</v>
      </c>
    </row>
    <row r="118" spans="1:3" x14ac:dyDescent="0.25">
      <c r="A118" t="s">
        <v>275</v>
      </c>
      <c r="B118" s="15">
        <v>18920000</v>
      </c>
      <c r="C118" t="str">
        <f>VLOOKUP(A118,'[1]ACTUALIZADO 2026'!$A$2:$A$338,1,0)</f>
        <v>792-2025</v>
      </c>
    </row>
    <row r="119" spans="1:3" x14ac:dyDescent="0.25">
      <c r="A119" t="s">
        <v>277</v>
      </c>
      <c r="B119" s="15">
        <v>18920000</v>
      </c>
      <c r="C119" t="str">
        <f>VLOOKUP(A119,'[1]ACTUALIZADO 2026'!$A$2:$A$338,1,0)</f>
        <v>858-2025</v>
      </c>
    </row>
    <row r="120" spans="1:3" x14ac:dyDescent="0.25">
      <c r="A120" t="s">
        <v>279</v>
      </c>
      <c r="B120" s="15">
        <v>31200000</v>
      </c>
      <c r="C120" t="str">
        <f>VLOOKUP(A120,'[1]ACTUALIZADO 2026'!$A$2:$A$338,1,0)</f>
        <v>875-2025</v>
      </c>
    </row>
    <row r="121" spans="1:3" x14ac:dyDescent="0.25">
      <c r="A121" t="s">
        <v>281</v>
      </c>
      <c r="B121" s="15">
        <v>25200000</v>
      </c>
      <c r="C121" t="str">
        <f>VLOOKUP(A121,'[1]ACTUALIZADO 2026'!$A$2:$A$338,1,0)</f>
        <v>805-2025</v>
      </c>
    </row>
    <row r="122" spans="1:3" x14ac:dyDescent="0.25">
      <c r="A122" t="s">
        <v>282</v>
      </c>
      <c r="B122" s="15">
        <v>18920000</v>
      </c>
      <c r="C122" t="str">
        <f>VLOOKUP(A122,'[1]ACTUALIZADO 2026'!$A$2:$A$338,1,0)</f>
        <v>847-2025</v>
      </c>
    </row>
    <row r="123" spans="1:3" x14ac:dyDescent="0.25">
      <c r="A123" t="s">
        <v>284</v>
      </c>
      <c r="B123" s="15">
        <v>11025000</v>
      </c>
      <c r="C123" t="str">
        <f>VLOOKUP(A123,'[1]ACTUALIZADO 2026'!$A$2:$A$338,1,0)</f>
        <v>899-2025</v>
      </c>
    </row>
    <row r="124" spans="1:3" x14ac:dyDescent="0.25">
      <c r="A124" t="s">
        <v>286</v>
      </c>
      <c r="B124" s="15">
        <v>25200000</v>
      </c>
      <c r="C124" t="str">
        <f>VLOOKUP(A124,'[1]ACTUALIZADO 2026'!$A$2:$A$338,1,0)</f>
        <v>819-2025</v>
      </c>
    </row>
    <row r="125" spans="1:3" x14ac:dyDescent="0.25">
      <c r="A125" t="s">
        <v>288</v>
      </c>
      <c r="B125" s="15">
        <v>11025000</v>
      </c>
      <c r="C125" t="str">
        <f>VLOOKUP(A125,'[1]ACTUALIZADO 2026'!$A$2:$A$338,1,0)</f>
        <v>885-2025</v>
      </c>
    </row>
    <row r="126" spans="1:3" x14ac:dyDescent="0.25">
      <c r="A126" t="s">
        <v>290</v>
      </c>
      <c r="B126" s="15">
        <v>31200000</v>
      </c>
      <c r="C126" t="str">
        <f>VLOOKUP(A126,'[1]ACTUALIZADO 2026'!$A$2:$A$338,1,0)</f>
        <v>750-2025</v>
      </c>
    </row>
    <row r="127" spans="1:3" x14ac:dyDescent="0.25">
      <c r="A127" t="s">
        <v>292</v>
      </c>
      <c r="B127" s="15">
        <v>18920000</v>
      </c>
      <c r="C127" t="str">
        <f>VLOOKUP(A127,'[1]ACTUALIZADO 2026'!$A$2:$A$338,1,0)</f>
        <v>745-2025</v>
      </c>
    </row>
    <row r="128" spans="1:3" x14ac:dyDescent="0.25">
      <c r="A128" t="s">
        <v>293</v>
      </c>
      <c r="B128" s="15">
        <v>18920000</v>
      </c>
      <c r="C128" t="str">
        <f>VLOOKUP(A128,'[1]ACTUALIZADO 2026'!$A$2:$A$338,1,0)</f>
        <v>768-2025</v>
      </c>
    </row>
    <row r="129" spans="1:3" x14ac:dyDescent="0.25">
      <c r="A129" t="s">
        <v>295</v>
      </c>
      <c r="B129" s="15">
        <v>11025000</v>
      </c>
      <c r="C129" t="str">
        <f>VLOOKUP(A129,'[1]ACTUALIZADO 2026'!$A$2:$A$338,1,0)</f>
        <v>897-2025</v>
      </c>
    </row>
    <row r="130" spans="1:3" x14ac:dyDescent="0.25">
      <c r="A130" t="s">
        <v>297</v>
      </c>
      <c r="B130" s="15">
        <v>18920000</v>
      </c>
      <c r="C130" t="str">
        <f>VLOOKUP(A130,'[1]ACTUALIZADO 2026'!$A$2:$A$338,1,0)</f>
        <v>740-2025</v>
      </c>
    </row>
    <row r="131" spans="1:3" x14ac:dyDescent="0.25">
      <c r="A131" t="s">
        <v>299</v>
      </c>
      <c r="B131" s="15">
        <v>22050000</v>
      </c>
      <c r="C131" t="str">
        <f>VLOOKUP(A131,'[1]ACTUALIZADO 2026'!$A$2:$A$338,1,0)</f>
        <v>898-2025</v>
      </c>
    </row>
    <row r="132" spans="1:3" x14ac:dyDescent="0.25">
      <c r="A132" t="s">
        <v>301</v>
      </c>
      <c r="B132" s="15">
        <v>12600000</v>
      </c>
      <c r="C132" t="str">
        <f>VLOOKUP(A132,'[1]ACTUALIZADO 2026'!$A$2:$A$338,1,0)</f>
        <v>743-2025</v>
      </c>
    </row>
    <row r="133" spans="1:3" x14ac:dyDescent="0.25">
      <c r="A133" t="s">
        <v>302</v>
      </c>
      <c r="B133" s="15">
        <v>22050000</v>
      </c>
      <c r="C133" t="str">
        <f>VLOOKUP(A133,'[1]ACTUALIZADO 2026'!$A$2:$A$338,1,0)</f>
        <v>921-2025</v>
      </c>
    </row>
    <row r="134" spans="1:3" x14ac:dyDescent="0.25">
      <c r="A134" t="s">
        <v>304</v>
      </c>
      <c r="B134" s="15">
        <v>12600000</v>
      </c>
      <c r="C134" t="str">
        <f>VLOOKUP(A134,'[1]ACTUALIZADO 2026'!$A$2:$A$338,1,0)</f>
        <v>777-2025</v>
      </c>
    </row>
    <row r="135" spans="1:3" x14ac:dyDescent="0.25">
      <c r="A135" t="s">
        <v>1027</v>
      </c>
      <c r="B135" s="15">
        <v>3150000</v>
      </c>
      <c r="C135" t="str">
        <f>VLOOKUP(A135,'[1]ACTUALIZADO 2026'!$A$2:$A$338,1,0)</f>
        <v>844-2025</v>
      </c>
    </row>
    <row r="136" spans="1:3" x14ac:dyDescent="0.25">
      <c r="A136" t="s">
        <v>305</v>
      </c>
      <c r="B136" s="15">
        <v>12600000</v>
      </c>
      <c r="C136" t="str">
        <f>VLOOKUP(A136,'[1]ACTUALIZADO 2026'!$A$2:$A$338,1,0)</f>
        <v>809-2025</v>
      </c>
    </row>
    <row r="137" spans="1:3" x14ac:dyDescent="0.25">
      <c r="A137" t="s">
        <v>307</v>
      </c>
      <c r="B137" s="15">
        <v>18920000</v>
      </c>
      <c r="C137" t="str">
        <f>VLOOKUP(A137,'[1]ACTUALIZADO 2026'!$A$2:$A$338,1,0)</f>
        <v>766-2025</v>
      </c>
    </row>
    <row r="138" spans="1:3" x14ac:dyDescent="0.25">
      <c r="A138" t="s">
        <v>309</v>
      </c>
      <c r="B138" s="15">
        <v>12600000</v>
      </c>
      <c r="C138" t="str">
        <f>VLOOKUP(A138,'[1]ACTUALIZADO 2026'!$A$2:$A$338,1,0)</f>
        <v>842-2025</v>
      </c>
    </row>
    <row r="139" spans="1:3" x14ac:dyDescent="0.25">
      <c r="A139" t="s">
        <v>311</v>
      </c>
      <c r="B139" s="15">
        <v>12600000</v>
      </c>
      <c r="C139" t="str">
        <f>VLOOKUP(A139,'[1]ACTUALIZADO 2026'!$A$2:$A$338,1,0)</f>
        <v>873-2025</v>
      </c>
    </row>
    <row r="140" spans="1:3" x14ac:dyDescent="0.25">
      <c r="A140" t="s">
        <v>313</v>
      </c>
      <c r="B140" s="15">
        <v>12600000</v>
      </c>
      <c r="C140" t="str">
        <f>VLOOKUP(A140,'[1]ACTUALIZADO 2026'!$A$2:$A$338,1,0)</f>
        <v>883-2025</v>
      </c>
    </row>
    <row r="141" spans="1:3" x14ac:dyDescent="0.25">
      <c r="A141" t="s">
        <v>315</v>
      </c>
      <c r="B141" s="15">
        <v>12600000</v>
      </c>
      <c r="C141" t="str">
        <f>VLOOKUP(A141,'[1]ACTUALIZADO 2026'!$A$2:$A$338,1,0)</f>
        <v>841-2025</v>
      </c>
    </row>
    <row r="142" spans="1:3" x14ac:dyDescent="0.25">
      <c r="A142" t="s">
        <v>1029</v>
      </c>
      <c r="B142" s="15">
        <v>7800000</v>
      </c>
      <c r="C142" t="str">
        <f>VLOOKUP(A142,'[1]ACTUALIZADO 2026'!$A$2:$A$338,1,0)</f>
        <v>861-2025</v>
      </c>
    </row>
    <row r="143" spans="1:3" x14ac:dyDescent="0.25">
      <c r="A143" t="s">
        <v>1031</v>
      </c>
      <c r="B143" s="15">
        <v>4725000</v>
      </c>
      <c r="C143" t="str">
        <f>VLOOKUP(A143,'[1]ACTUALIZADO 2026'!$A$2:$A$338,1,0)</f>
        <v>878-2025</v>
      </c>
    </row>
    <row r="144" spans="1:3" x14ac:dyDescent="0.25">
      <c r="A144" t="s">
        <v>317</v>
      </c>
      <c r="B144" s="15">
        <v>18920000</v>
      </c>
      <c r="C144" t="str">
        <f>VLOOKUP(A144,'[1]ACTUALIZADO 2026'!$A$2:$A$338,1,0)</f>
        <v>752-2025</v>
      </c>
    </row>
    <row r="145" spans="1:3" x14ac:dyDescent="0.25">
      <c r="A145" t="s">
        <v>319</v>
      </c>
      <c r="B145" s="15">
        <v>31200000</v>
      </c>
      <c r="C145" t="str">
        <f>VLOOKUP(A145,'[1]ACTUALIZADO 2026'!$A$2:$A$338,1,0)</f>
        <v>780-2025</v>
      </c>
    </row>
    <row r="146" spans="1:3" x14ac:dyDescent="0.25">
      <c r="A146" t="s">
        <v>321</v>
      </c>
      <c r="B146" s="15">
        <v>22050000</v>
      </c>
      <c r="C146" t="str">
        <f>VLOOKUP(A146,'[1]ACTUALIZADO 2026'!$A$2:$A$338,1,0)</f>
        <v>857-2025</v>
      </c>
    </row>
    <row r="147" spans="1:3" x14ac:dyDescent="0.25">
      <c r="A147" t="s">
        <v>323</v>
      </c>
      <c r="B147" s="15">
        <v>12600000</v>
      </c>
      <c r="C147" t="str">
        <f>VLOOKUP(A147,'[1]ACTUALIZADO 2026'!$A$2:$A$338,1,0)</f>
        <v>791-2025</v>
      </c>
    </row>
    <row r="148" spans="1:3" x14ac:dyDescent="0.25">
      <c r="A148" t="s">
        <v>325</v>
      </c>
      <c r="B148" s="15">
        <v>27300000</v>
      </c>
      <c r="C148" t="str">
        <f>VLOOKUP(A148,'[1]ACTUALIZADO 2026'!$A$2:$A$338,1,0)</f>
        <v>927-2025</v>
      </c>
    </row>
    <row r="149" spans="1:3" x14ac:dyDescent="0.25">
      <c r="A149" t="s">
        <v>327</v>
      </c>
      <c r="B149" s="15">
        <v>11025000</v>
      </c>
      <c r="C149" t="str">
        <f>VLOOKUP(A149,'[1]ACTUALIZADO 2026'!$A$2:$A$338,1,0)</f>
        <v>901-2025</v>
      </c>
    </row>
    <row r="150" spans="1:3" x14ac:dyDescent="0.25">
      <c r="A150" t="s">
        <v>329</v>
      </c>
      <c r="B150" s="15">
        <v>11025000</v>
      </c>
      <c r="C150" t="str">
        <f>VLOOKUP(A150,'[1]ACTUALIZADO 2026'!$A$2:$A$338,1,0)</f>
        <v>919-2025</v>
      </c>
    </row>
    <row r="151" spans="1:3" x14ac:dyDescent="0.25">
      <c r="A151" t="s">
        <v>331</v>
      </c>
      <c r="B151" s="15">
        <v>7875000</v>
      </c>
      <c r="C151" t="str">
        <f>VLOOKUP(A151,'[1]ACTUALIZADO 2026'!$A$2:$A$338,1,0)</f>
        <v>923-2025</v>
      </c>
    </row>
    <row r="152" spans="1:3" x14ac:dyDescent="0.25">
      <c r="A152" t="s">
        <v>333</v>
      </c>
      <c r="B152" s="15">
        <v>11025000</v>
      </c>
      <c r="C152" t="str">
        <f>VLOOKUP(A152,'[1]ACTUALIZADO 2026'!$A$2:$A$338,1,0)</f>
        <v>903-2025</v>
      </c>
    </row>
    <row r="153" spans="1:3" x14ac:dyDescent="0.25">
      <c r="A153" t="s">
        <v>334</v>
      </c>
      <c r="B153" s="15">
        <v>11025000</v>
      </c>
      <c r="C153" t="str">
        <f>VLOOKUP(A153,'[1]ACTUALIZADO 2026'!$A$2:$A$338,1,0)</f>
        <v>907-2025</v>
      </c>
    </row>
    <row r="154" spans="1:3" x14ac:dyDescent="0.25">
      <c r="A154" t="s">
        <v>335</v>
      </c>
      <c r="B154" s="15">
        <v>21140000</v>
      </c>
      <c r="C154" t="str">
        <f>VLOOKUP(A154,'[1]ACTUALIZADO 2026'!$A$2:$A$338,1,0)</f>
        <v>751-2025</v>
      </c>
    </row>
    <row r="155" spans="1:3" x14ac:dyDescent="0.25">
      <c r="A155" t="s">
        <v>336</v>
      </c>
      <c r="B155" s="15">
        <v>18920000</v>
      </c>
      <c r="C155" t="str">
        <f>VLOOKUP(A155,'[1]ACTUALIZADO 2026'!$A$2:$A$338,1,0)</f>
        <v>769-2025</v>
      </c>
    </row>
    <row r="156" spans="1:3" x14ac:dyDescent="0.25">
      <c r="A156" t="s">
        <v>337</v>
      </c>
      <c r="B156" s="15">
        <v>18920000</v>
      </c>
      <c r="C156" t="str">
        <f>VLOOKUP(A156,'[1]ACTUALIZADO 2026'!$A$2:$A$338,1,0)</f>
        <v>731-2025</v>
      </c>
    </row>
    <row r="157" spans="1:3" x14ac:dyDescent="0.25">
      <c r="A157" t="s">
        <v>338</v>
      </c>
      <c r="B157" s="15">
        <v>25200000</v>
      </c>
      <c r="C157" t="str">
        <f>VLOOKUP(A157,'[1]ACTUALIZADO 2026'!$A$2:$A$338,1,0)</f>
        <v>760-2025</v>
      </c>
    </row>
    <row r="158" spans="1:3" x14ac:dyDescent="0.25">
      <c r="A158" t="s">
        <v>1033</v>
      </c>
      <c r="B158" s="15">
        <v>3900000</v>
      </c>
      <c r="C158" t="str">
        <f>VLOOKUP(A158,'[1]ACTUALIZADO 2026'!$A$2:$A$338,1,0)</f>
        <v>835-2025</v>
      </c>
    </row>
    <row r="159" spans="1:3" x14ac:dyDescent="0.25">
      <c r="A159" t="s">
        <v>339</v>
      </c>
      <c r="B159" s="15">
        <v>11025000</v>
      </c>
      <c r="C159" t="str">
        <f>VLOOKUP(A159,'[1]ACTUALIZADO 2026'!$A$2:$A$338,1,0)</f>
        <v>926-2025</v>
      </c>
    </row>
    <row r="160" spans="1:3" x14ac:dyDescent="0.25">
      <c r="A160" t="s">
        <v>341</v>
      </c>
      <c r="B160" s="15">
        <v>31200000</v>
      </c>
      <c r="C160" t="str">
        <f>VLOOKUP(A160,'[1]ACTUALIZADO 2026'!$A$2:$A$338,1,0)</f>
        <v>779-2025</v>
      </c>
    </row>
    <row r="161" spans="1:3" x14ac:dyDescent="0.25">
      <c r="A161" t="s">
        <v>343</v>
      </c>
      <c r="B161" s="15">
        <v>12600000</v>
      </c>
      <c r="C161" t="str">
        <f>VLOOKUP(A161,'[1]ACTUALIZADO 2026'!$A$2:$A$338,1,0)</f>
        <v>820-2025</v>
      </c>
    </row>
    <row r="162" spans="1:3" x14ac:dyDescent="0.25">
      <c r="A162" t="s">
        <v>345</v>
      </c>
      <c r="B162" s="15">
        <v>7875000</v>
      </c>
      <c r="C162" t="str">
        <f>VLOOKUP(A162,'[1]ACTUALIZADO 2026'!$A$2:$A$338,1,0)</f>
        <v>909-2025</v>
      </c>
    </row>
    <row r="163" spans="1:3" x14ac:dyDescent="0.25">
      <c r="A163" t="s">
        <v>347</v>
      </c>
      <c r="B163" s="15">
        <v>12600000</v>
      </c>
      <c r="C163" t="str">
        <f>VLOOKUP(A163,'[1]ACTUALIZADO 2026'!$A$2:$A$338,1,0)</f>
        <v>851-2025</v>
      </c>
    </row>
    <row r="164" spans="1:3" x14ac:dyDescent="0.25">
      <c r="A164" t="s">
        <v>349</v>
      </c>
      <c r="B164" s="15">
        <v>11025000</v>
      </c>
      <c r="C164" t="str">
        <f>VLOOKUP(A164,'[1]ACTUALIZADO 2026'!$A$2:$A$338,1,0)</f>
        <v>924-2025</v>
      </c>
    </row>
    <row r="165" spans="1:3" x14ac:dyDescent="0.25">
      <c r="A165" t="s">
        <v>351</v>
      </c>
      <c r="B165" s="15">
        <v>11025000</v>
      </c>
      <c r="C165" t="str">
        <f>VLOOKUP(A165,'[1]ACTUALIZADO 2026'!$A$2:$A$338,1,0)</f>
        <v>928-2025</v>
      </c>
    </row>
    <row r="166" spans="1:3" x14ac:dyDescent="0.25">
      <c r="A166" t="s">
        <v>353</v>
      </c>
      <c r="B166" s="15">
        <v>18920000</v>
      </c>
      <c r="C166" t="str">
        <f>VLOOKUP(A166,'[1]ACTUALIZADO 2026'!$A$2:$A$338,1,0)</f>
        <v>776-2025</v>
      </c>
    </row>
    <row r="167" spans="1:3" x14ac:dyDescent="0.25">
      <c r="A167" t="s">
        <v>355</v>
      </c>
      <c r="B167" s="15">
        <v>11025000</v>
      </c>
      <c r="C167" t="str">
        <f>VLOOKUP(A167,'[1]ACTUALIZADO 2026'!$A$2:$A$338,1,0)</f>
        <v>917-2025</v>
      </c>
    </row>
    <row r="168" spans="1:3" x14ac:dyDescent="0.25">
      <c r="A168" t="s">
        <v>357</v>
      </c>
      <c r="B168" s="15">
        <v>27300000</v>
      </c>
      <c r="C168" t="str">
        <f>VLOOKUP(A168,'[1]ACTUALIZADO 2026'!$A$2:$A$338,1,0)</f>
        <v>900-2025</v>
      </c>
    </row>
    <row r="169" spans="1:3" x14ac:dyDescent="0.25">
      <c r="A169" t="s">
        <v>1035</v>
      </c>
      <c r="B169" s="15">
        <v>216656524.10000002</v>
      </c>
      <c r="C169" t="str">
        <f>VLOOKUP(A169,'[1]ACTUALIZADO 2026'!$A$2:$A$338,1,0)</f>
        <v>1076-2025</v>
      </c>
    </row>
    <row r="170" spans="1:3" x14ac:dyDescent="0.25">
      <c r="A170" t="s">
        <v>359</v>
      </c>
      <c r="B170" s="15">
        <v>18920000</v>
      </c>
      <c r="C170" t="str">
        <f>VLOOKUP(A170,'[1]ACTUALIZADO 2026'!$A$2:$A$338,1,0)</f>
        <v>756-2025</v>
      </c>
    </row>
    <row r="171" spans="1:3" x14ac:dyDescent="0.25">
      <c r="A171" t="s">
        <v>361</v>
      </c>
      <c r="B171" s="15">
        <v>16239333</v>
      </c>
      <c r="C171" t="str">
        <f>VLOOKUP(A171,'[1]ACTUALIZADO 2026'!$A$2:$A$338,1,0)</f>
        <v>739-2025</v>
      </c>
    </row>
    <row r="172" spans="1:3" x14ac:dyDescent="0.25">
      <c r="A172" t="s">
        <v>1060</v>
      </c>
      <c r="B172" s="15">
        <v>4572333</v>
      </c>
      <c r="C172" t="str">
        <f>VLOOKUP(A172,'[1]ACTUALIZADO 2026'!$A$2:$A$338,1,0)</f>
        <v>845-2025</v>
      </c>
    </row>
    <row r="173" spans="1:3" x14ac:dyDescent="0.25">
      <c r="A173" t="s">
        <v>1072</v>
      </c>
      <c r="B173" s="15">
        <v>258316240</v>
      </c>
      <c r="C173" t="str">
        <f>VLOOKUP(A173,'[1]ACTUALIZADO 2026'!$A$2:$A$338,1,0)</f>
        <v>874-2025</v>
      </c>
    </row>
    <row r="174" spans="1:3" x14ac:dyDescent="0.25">
      <c r="A174" t="s">
        <v>396</v>
      </c>
      <c r="B174" s="15">
        <v>6000000</v>
      </c>
      <c r="C174" t="str">
        <f>VLOOKUP(A174,'[1]ACTUALIZADO 2026'!$A$2:$A$338,1,0)</f>
        <v>1021-2025</v>
      </c>
    </row>
    <row r="175" spans="1:3" x14ac:dyDescent="0.25">
      <c r="A175" t="s">
        <v>399</v>
      </c>
      <c r="B175" s="15">
        <v>9450000</v>
      </c>
      <c r="C175" t="str">
        <f>VLOOKUP(A175,'[1]ACTUALIZADO 2026'!$A$2:$A$338,1,0)</f>
        <v>960-2025</v>
      </c>
    </row>
    <row r="176" spans="1:3" x14ac:dyDescent="0.25">
      <c r="A176" t="s">
        <v>451</v>
      </c>
      <c r="B176" s="18">
        <v>6000000</v>
      </c>
      <c r="C176" t="str">
        <f>VLOOKUP(A176,'[1]ACTUALIZADO 2026'!$A$2:$A$338,1,0)</f>
        <v>1039-2025</v>
      </c>
    </row>
    <row r="177" spans="1:3" x14ac:dyDescent="0.25">
      <c r="A177" t="s">
        <v>454</v>
      </c>
      <c r="B177" s="15">
        <v>6000000</v>
      </c>
      <c r="C177" t="str">
        <f>VLOOKUP(A177,'[1]ACTUALIZADO 2026'!$A$2:$A$338,1,0)</f>
        <v>1027-2025</v>
      </c>
    </row>
    <row r="178" spans="1:3" x14ac:dyDescent="0.25">
      <c r="A178" t="s">
        <v>457</v>
      </c>
      <c r="B178" s="15">
        <v>6000000</v>
      </c>
      <c r="C178" t="str">
        <f>VLOOKUP(A178,'[1]ACTUALIZADO 2026'!$A$2:$A$338,1,0)</f>
        <v>1032-2025</v>
      </c>
    </row>
    <row r="179" spans="1:3" x14ac:dyDescent="0.25">
      <c r="A179" t="s">
        <v>464</v>
      </c>
      <c r="B179" s="15">
        <v>6000000</v>
      </c>
      <c r="C179" t="str">
        <f>VLOOKUP(A179,'[1]ACTUALIZADO 2026'!$A$2:$A$338,1,0)</f>
        <v>1003-2025</v>
      </c>
    </row>
    <row r="180" spans="1:3" x14ac:dyDescent="0.25">
      <c r="A180" t="s">
        <v>467</v>
      </c>
      <c r="B180" s="15">
        <v>15750000</v>
      </c>
      <c r="C180" t="str">
        <f>VLOOKUP(A180,'[1]ACTUALIZADO 2026'!$A$2:$A$338,1,0)</f>
        <v>1066-2025</v>
      </c>
    </row>
    <row r="181" spans="1:3" x14ac:dyDescent="0.25">
      <c r="A181" t="s">
        <v>473</v>
      </c>
      <c r="B181" s="15">
        <v>6000000</v>
      </c>
      <c r="C181" t="str">
        <f>VLOOKUP(A181,'[1]ACTUALIZADO 2026'!$A$2:$A$338,1,0)</f>
        <v>1028-2025</v>
      </c>
    </row>
    <row r="182" spans="1:3" x14ac:dyDescent="0.25">
      <c r="A182" t="s">
        <v>476</v>
      </c>
      <c r="B182" s="15">
        <v>7875000</v>
      </c>
      <c r="C182" t="str">
        <f>VLOOKUP(A182,'[1]ACTUALIZADO 2026'!$A$2:$A$338,1,0)</f>
        <v>1049-2025</v>
      </c>
    </row>
    <row r="183" spans="1:3" x14ac:dyDescent="0.25">
      <c r="A183" t="s">
        <v>481</v>
      </c>
      <c r="B183" s="15">
        <v>7875000</v>
      </c>
      <c r="C183" t="str">
        <f>VLOOKUP(A183,'[1]ACTUALIZADO 2026'!$A$2:$A$338,1,0)</f>
        <v>1063-2025</v>
      </c>
    </row>
    <row r="184" spans="1:3" x14ac:dyDescent="0.25">
      <c r="A184" t="s">
        <v>488</v>
      </c>
      <c r="B184" s="15">
        <v>7875000</v>
      </c>
      <c r="C184" t="str">
        <f>VLOOKUP(A184,'[1]ACTUALIZADO 2026'!$A$2:$A$338,1,0)</f>
        <v>1043-2025</v>
      </c>
    </row>
    <row r="185" spans="1:3" x14ac:dyDescent="0.25">
      <c r="A185" t="s">
        <v>495</v>
      </c>
      <c r="B185" s="15">
        <v>18900000</v>
      </c>
      <c r="C185" t="str">
        <f>VLOOKUP(A185,'[1]ACTUALIZADO 2026'!$A$2:$A$338,1,0)</f>
        <v>1012-2025</v>
      </c>
    </row>
    <row r="186" spans="1:3" x14ac:dyDescent="0.25">
      <c r="A186" t="s">
        <v>497</v>
      </c>
      <c r="B186" s="15">
        <v>6000000</v>
      </c>
      <c r="C186" t="str">
        <f>VLOOKUP(A186,'[1]ACTUALIZADO 2026'!$A$2:$A$338,1,0)</f>
        <v>1011-2025</v>
      </c>
    </row>
    <row r="187" spans="1:3" x14ac:dyDescent="0.25">
      <c r="A187" t="s">
        <v>500</v>
      </c>
      <c r="B187" s="15">
        <v>6000000</v>
      </c>
      <c r="C187" t="str">
        <f>VLOOKUP(A187,'[1]ACTUALIZADO 2026'!$A$2:$A$338,1,0)</f>
        <v>1005-2025</v>
      </c>
    </row>
    <row r="188" spans="1:3" x14ac:dyDescent="0.25">
      <c r="A188" t="s">
        <v>510</v>
      </c>
      <c r="B188" s="15">
        <v>9450000</v>
      </c>
      <c r="C188" t="str">
        <f>VLOOKUP(A188,'[1]ACTUALIZADO 2026'!$A$2:$A$338,1,0)</f>
        <v>991-2025</v>
      </c>
    </row>
    <row r="189" spans="1:3" x14ac:dyDescent="0.25">
      <c r="A189" t="s">
        <v>516</v>
      </c>
      <c r="B189" s="15">
        <v>6000000</v>
      </c>
      <c r="C189" t="str">
        <f>VLOOKUP(A189,'[1]ACTUALIZADO 2026'!$A$2:$A$338,1,0)</f>
        <v>1000-2025</v>
      </c>
    </row>
    <row r="190" spans="1:3" x14ac:dyDescent="0.25">
      <c r="A190" t="s">
        <v>520</v>
      </c>
      <c r="B190" s="15">
        <v>23400000</v>
      </c>
      <c r="C190" t="str">
        <f>VLOOKUP(A190,'[1]ACTUALIZADO 2026'!$A$2:$A$338,1,0)</f>
        <v>993-2025</v>
      </c>
    </row>
    <row r="191" spans="1:3" x14ac:dyDescent="0.25">
      <c r="A191" t="s">
        <v>524</v>
      </c>
      <c r="B191" s="15">
        <v>6000000</v>
      </c>
      <c r="C191" t="str">
        <f>VLOOKUP(A191,'[1]ACTUALIZADO 2026'!$A$2:$A$338,1,0)</f>
        <v>1030-2025</v>
      </c>
    </row>
    <row r="192" spans="1:3" x14ac:dyDescent="0.25">
      <c r="A192" t="s">
        <v>527</v>
      </c>
      <c r="B192" s="15">
        <v>9450000</v>
      </c>
      <c r="C192" t="str">
        <f>VLOOKUP(A192,'[1]ACTUALIZADO 2026'!$A$2:$A$338,1,0)</f>
        <v>934-2025</v>
      </c>
    </row>
    <row r="193" spans="1:3" x14ac:dyDescent="0.25">
      <c r="A193" t="s">
        <v>534</v>
      </c>
      <c r="B193" s="15">
        <v>6000000</v>
      </c>
      <c r="C193" t="str">
        <f>VLOOKUP(A193,'[1]ACTUALIZADO 2026'!$A$2:$A$338,1,0)</f>
        <v>1020-2025</v>
      </c>
    </row>
    <row r="194" spans="1:3" x14ac:dyDescent="0.25">
      <c r="A194" t="s">
        <v>540</v>
      </c>
      <c r="B194" s="15">
        <v>18900000</v>
      </c>
      <c r="C194" t="str">
        <f>VLOOKUP(A194,'[1]ACTUALIZADO 2026'!$A$2:$A$338,1,0)</f>
        <v>992-2025</v>
      </c>
    </row>
    <row r="195" spans="1:3" x14ac:dyDescent="0.25">
      <c r="A195" t="s">
        <v>542</v>
      </c>
      <c r="B195" s="15">
        <v>6000000</v>
      </c>
      <c r="C195" t="str">
        <f>VLOOKUP(A195,'[1]ACTUALIZADO 2026'!$A$2:$A$338,1,0)</f>
        <v>1025-2025</v>
      </c>
    </row>
    <row r="196" spans="1:3" x14ac:dyDescent="0.25">
      <c r="A196" t="s">
        <v>545</v>
      </c>
      <c r="B196" s="15">
        <v>7875000</v>
      </c>
      <c r="C196" t="str">
        <f>VLOOKUP(A196,'[1]ACTUALIZADO 2026'!$A$2:$A$338,1,0)</f>
        <v>1061-2025</v>
      </c>
    </row>
    <row r="197" spans="1:3" x14ac:dyDescent="0.25">
      <c r="A197" t="s">
        <v>1196</v>
      </c>
      <c r="B197" s="15">
        <v>4730000</v>
      </c>
      <c r="C197" t="str">
        <f>VLOOKUP(A197,'[1]ACTUALIZADO 2026'!$A$2:$A$338,1,0)</f>
        <v>852-2025</v>
      </c>
    </row>
    <row r="198" spans="1:3" x14ac:dyDescent="0.25">
      <c r="A198" t="s">
        <v>548</v>
      </c>
      <c r="B198" s="15">
        <v>15750000</v>
      </c>
      <c r="C198" t="str">
        <f>VLOOKUP(A198,'[1]ACTUALIZADO 2026'!$A$2:$A$338,1,0)</f>
        <v>1058-2025</v>
      </c>
    </row>
    <row r="199" spans="1:3" x14ac:dyDescent="0.25">
      <c r="A199" t="s">
        <v>551</v>
      </c>
      <c r="B199" s="15">
        <v>19500000</v>
      </c>
      <c r="C199" t="str">
        <f>VLOOKUP(A199,'[1]ACTUALIZADO 2026'!$A$2:$A$338,1,0)</f>
        <v>1053-2025</v>
      </c>
    </row>
    <row r="200" spans="1:3" x14ac:dyDescent="0.25">
      <c r="A200" t="s">
        <v>554</v>
      </c>
      <c r="B200" s="15">
        <v>19500000</v>
      </c>
      <c r="C200" t="str">
        <f>VLOOKUP(A200,'[1]ACTUALIZADO 2026'!$A$2:$A$338,1,0)</f>
        <v>1047-2025</v>
      </c>
    </row>
    <row r="201" spans="1:3" x14ac:dyDescent="0.25">
      <c r="A201" t="s">
        <v>557</v>
      </c>
      <c r="B201" s="15">
        <v>7875000</v>
      </c>
      <c r="C201" t="str">
        <f>VLOOKUP(A201,'[1]ACTUALIZADO 2026'!$A$2:$A$338,1,0)</f>
        <v>1048-2025</v>
      </c>
    </row>
    <row r="202" spans="1:3" x14ac:dyDescent="0.25">
      <c r="A202" t="s">
        <v>560</v>
      </c>
      <c r="B202" s="15">
        <v>7875000</v>
      </c>
      <c r="C202" t="str">
        <f>VLOOKUP(A202,'[1]ACTUALIZADO 2026'!$A$2:$A$338,1,0)</f>
        <v>1065-2025</v>
      </c>
    </row>
    <row r="203" spans="1:3" x14ac:dyDescent="0.25">
      <c r="A203" t="s">
        <v>565</v>
      </c>
      <c r="B203" s="15">
        <v>9450000</v>
      </c>
      <c r="C203" t="str">
        <f>VLOOKUP(A203,'[1]ACTUALIZADO 2026'!$A$2:$A$338,1,0)</f>
        <v>983-2025</v>
      </c>
    </row>
    <row r="204" spans="1:3" x14ac:dyDescent="0.25">
      <c r="A204" t="s">
        <v>569</v>
      </c>
      <c r="B204" s="15">
        <v>9450000</v>
      </c>
      <c r="C204" t="str">
        <f>VLOOKUP(A204,'[1]ACTUALIZADO 2026'!$A$2:$A$338,1,0)</f>
        <v>959-2025</v>
      </c>
    </row>
    <row r="205" spans="1:3" x14ac:dyDescent="0.25">
      <c r="A205" t="s">
        <v>572</v>
      </c>
      <c r="B205" s="15">
        <v>14190000</v>
      </c>
      <c r="C205" t="str">
        <f>VLOOKUP(A205,'[1]ACTUALIZADO 2026'!$A$2:$A$338,1,0)</f>
        <v>968-2025</v>
      </c>
    </row>
    <row r="206" spans="1:3" x14ac:dyDescent="0.25">
      <c r="A206" t="s">
        <v>575</v>
      </c>
      <c r="B206" s="15">
        <v>14190000</v>
      </c>
      <c r="C206" t="str">
        <f>VLOOKUP(A206,'[1]ACTUALIZADO 2026'!$A$2:$A$338,1,0)</f>
        <v>970-2025</v>
      </c>
    </row>
    <row r="207" spans="1:3" x14ac:dyDescent="0.25">
      <c r="A207" t="s">
        <v>580</v>
      </c>
      <c r="B207" s="15">
        <v>14190000</v>
      </c>
      <c r="C207" t="str">
        <f>VLOOKUP(A207,'[1]ACTUALIZADO 2026'!$A$2:$A$338,1,0)</f>
        <v>948-2025</v>
      </c>
    </row>
    <row r="208" spans="1:3" x14ac:dyDescent="0.25">
      <c r="A208" t="s">
        <v>587</v>
      </c>
      <c r="B208" s="15">
        <v>14190000</v>
      </c>
      <c r="C208" t="str">
        <f>VLOOKUP(A208,'[1]ACTUALIZADO 2026'!$A$2:$A$338,1,0)</f>
        <v>966-2025</v>
      </c>
    </row>
    <row r="209" spans="1:3" x14ac:dyDescent="0.25">
      <c r="A209" t="s">
        <v>590</v>
      </c>
      <c r="B209" s="15">
        <v>18900000</v>
      </c>
      <c r="C209" t="str">
        <f>VLOOKUP(A209,'[1]ACTUALIZADO 2026'!$A$2:$A$338,1,0)</f>
        <v>945-2025</v>
      </c>
    </row>
    <row r="210" spans="1:3" x14ac:dyDescent="0.25">
      <c r="A210" t="s">
        <v>603</v>
      </c>
      <c r="B210" s="15">
        <v>277798390</v>
      </c>
      <c r="C210" t="str">
        <f>VLOOKUP(A210,'[1]ACTUALIZADO 2026'!$A$2:$A$338,1,0)</f>
        <v>1041-2025</v>
      </c>
    </row>
    <row r="211" spans="1:3" x14ac:dyDescent="0.25">
      <c r="A211" t="s">
        <v>604</v>
      </c>
      <c r="B211" s="15">
        <v>7875000</v>
      </c>
      <c r="C211" t="str">
        <f>VLOOKUP(A211,'[1]ACTUALIZADO 2026'!$A$2:$A$338,1,0)</f>
        <v>1055-2025</v>
      </c>
    </row>
    <row r="212" spans="1:3" x14ac:dyDescent="0.25">
      <c r="A212" t="s">
        <v>607</v>
      </c>
      <c r="B212" s="15">
        <v>14190000</v>
      </c>
      <c r="C212" t="str">
        <f>VLOOKUP(A212,'[1]ACTUALIZADO 2026'!$A$2:$A$338,1,0)</f>
        <v>953-2025</v>
      </c>
    </row>
    <row r="213" spans="1:3" x14ac:dyDescent="0.25">
      <c r="A213" t="s">
        <v>610</v>
      </c>
      <c r="B213" s="15">
        <v>6000000</v>
      </c>
      <c r="C213" t="str">
        <f>VLOOKUP(A213,'[1]ACTUALIZADO 2026'!$A$2:$A$338,1,0)</f>
        <v>1004-2025</v>
      </c>
    </row>
    <row r="214" spans="1:3" x14ac:dyDescent="0.25">
      <c r="A214" t="s">
        <v>613</v>
      </c>
      <c r="B214" s="15">
        <v>7875000</v>
      </c>
      <c r="C214" t="str">
        <f>VLOOKUP(A214,'[1]ACTUALIZADO 2026'!$A$2:$A$338,1,0)</f>
        <v>1064-2025</v>
      </c>
    </row>
    <row r="215" spans="1:3" x14ac:dyDescent="0.25">
      <c r="A215" t="s">
        <v>617</v>
      </c>
      <c r="B215" s="15">
        <v>9450000</v>
      </c>
      <c r="C215" t="str">
        <f>VLOOKUP(A215,'[1]ACTUALIZADO 2026'!$A$2:$A$338,1,0)</f>
        <v>982-2025</v>
      </c>
    </row>
    <row r="216" spans="1:3" x14ac:dyDescent="0.25">
      <c r="A216" t="s">
        <v>620</v>
      </c>
      <c r="B216" s="15">
        <v>19500000</v>
      </c>
      <c r="C216" t="str">
        <f>VLOOKUP(A216,'[1]ACTUALIZADO 2026'!$A$2:$A$338,1,0)</f>
        <v>1040-2025</v>
      </c>
    </row>
    <row r="217" spans="1:3" x14ac:dyDescent="0.25">
      <c r="A217" t="s">
        <v>625</v>
      </c>
      <c r="B217" s="15">
        <v>6000000</v>
      </c>
      <c r="C217" t="str">
        <f>VLOOKUP(A217,'[1]ACTUALIZADO 2026'!$A$2:$A$338,1,0)</f>
        <v>999-2025</v>
      </c>
    </row>
    <row r="218" spans="1:3" x14ac:dyDescent="0.25">
      <c r="A218" t="s">
        <v>628</v>
      </c>
      <c r="B218" s="15">
        <v>9450000</v>
      </c>
      <c r="C218" t="str">
        <f>VLOOKUP(A218,'[1]ACTUALIZADO 2026'!$A$2:$A$338,1,0)</f>
        <v>977-2025</v>
      </c>
    </row>
    <row r="219" spans="1:3" x14ac:dyDescent="0.25">
      <c r="A219" t="s">
        <v>632</v>
      </c>
      <c r="B219" s="15">
        <v>9450000</v>
      </c>
      <c r="C219" t="str">
        <f>VLOOKUP(A219,'[1]ACTUALIZADO 2026'!$A$2:$A$338,1,0)</f>
        <v>976-2025</v>
      </c>
    </row>
    <row r="220" spans="1:3" x14ac:dyDescent="0.25">
      <c r="A220" s="9" t="s">
        <v>635</v>
      </c>
      <c r="B220" s="15">
        <v>9450000</v>
      </c>
      <c r="C220" t="str">
        <f>VLOOKUP(A220,'[1]ACTUALIZADO 2026'!$A$2:$A$338,1,0)</f>
        <v>936-2025</v>
      </c>
    </row>
    <row r="221" spans="1:3" x14ac:dyDescent="0.25">
      <c r="A221" s="9" t="s">
        <v>638</v>
      </c>
      <c r="B221" s="15">
        <v>9450000</v>
      </c>
      <c r="C221" t="str">
        <f>VLOOKUP(A221,'[1]ACTUALIZADO 2026'!$A$2:$A$338,1,0)</f>
        <v>895-2025</v>
      </c>
    </row>
    <row r="222" spans="1:3" x14ac:dyDescent="0.25">
      <c r="A222" t="s">
        <v>643</v>
      </c>
      <c r="B222" s="15">
        <v>6000000</v>
      </c>
      <c r="C222" t="str">
        <f>VLOOKUP(A222,'[1]ACTUALIZADO 2026'!$A$2:$A$338,1,0)</f>
        <v>1033-2025</v>
      </c>
    </row>
    <row r="223" spans="1:3" x14ac:dyDescent="0.25">
      <c r="A223" t="s">
        <v>647</v>
      </c>
      <c r="B223" s="15">
        <v>9450000</v>
      </c>
      <c r="C223" t="str">
        <f>VLOOKUP(A223,'[1]ACTUALIZADO 2026'!$A$2:$A$338,1,0)</f>
        <v>952-2025</v>
      </c>
    </row>
    <row r="224" spans="1:3" x14ac:dyDescent="0.25">
      <c r="A224" t="s">
        <v>650</v>
      </c>
      <c r="B224" s="15">
        <v>6000000</v>
      </c>
      <c r="C224" t="str">
        <f>VLOOKUP(A224,'[1]ACTUALIZADO 2026'!$A$2:$A$338,1,0)</f>
        <v>1026-2025</v>
      </c>
    </row>
    <row r="225" spans="1:3" x14ac:dyDescent="0.25">
      <c r="A225" t="s">
        <v>653</v>
      </c>
      <c r="B225" s="15">
        <v>6000000</v>
      </c>
      <c r="C225" t="str">
        <f>VLOOKUP(A225,'[1]ACTUALIZADO 2026'!$A$2:$A$338,1,0)</f>
        <v>1015-2025</v>
      </c>
    </row>
    <row r="226" spans="1:3" x14ac:dyDescent="0.25">
      <c r="A226" t="s">
        <v>657</v>
      </c>
      <c r="B226" s="15">
        <v>6000000</v>
      </c>
      <c r="C226" t="str">
        <f>VLOOKUP(A226,'[1]ACTUALIZADO 2026'!$A$2:$A$338,1,0)</f>
        <v>1022-2025</v>
      </c>
    </row>
    <row r="227" spans="1:3" x14ac:dyDescent="0.25">
      <c r="A227" t="s">
        <v>660</v>
      </c>
      <c r="B227" s="15">
        <v>18900000</v>
      </c>
      <c r="C227" t="str">
        <f>VLOOKUP(A227,'[1]ACTUALIZADO 2026'!$A$2:$A$338,1,0)</f>
        <v>951-2025</v>
      </c>
    </row>
    <row r="228" spans="1:3" x14ac:dyDescent="0.25">
      <c r="A228" t="s">
        <v>663</v>
      </c>
      <c r="B228" s="15">
        <v>7875000</v>
      </c>
      <c r="C228" t="str">
        <f>VLOOKUP(A228,'[1]ACTUALIZADO 2026'!$A$2:$A$338,1,0)</f>
        <v>1050-2025</v>
      </c>
    </row>
    <row r="229" spans="1:3" x14ac:dyDescent="0.25">
      <c r="A229" t="s">
        <v>666</v>
      </c>
      <c r="B229" s="15">
        <v>6000000</v>
      </c>
      <c r="C229" t="str">
        <f>VLOOKUP(A229,'[1]ACTUALIZADO 2026'!$A$2:$A$338,1,0)</f>
        <v>1034-2025</v>
      </c>
    </row>
    <row r="230" spans="1:3" x14ac:dyDescent="0.25">
      <c r="A230" t="s">
        <v>670</v>
      </c>
      <c r="B230" s="15">
        <v>9450000</v>
      </c>
      <c r="C230" t="str">
        <f>VLOOKUP(A230,'[1]ACTUALIZADO 2026'!$A$2:$A$338,1,0)</f>
        <v>965-2025</v>
      </c>
    </row>
    <row r="231" spans="1:3" x14ac:dyDescent="0.25">
      <c r="A231" t="s">
        <v>673</v>
      </c>
      <c r="B231" s="15">
        <v>14190000</v>
      </c>
      <c r="C231" t="str">
        <f>VLOOKUP(A231,'[1]ACTUALIZADO 2026'!$A$2:$A$338,1,0)</f>
        <v>946-2025</v>
      </c>
    </row>
    <row r="232" spans="1:3" x14ac:dyDescent="0.25">
      <c r="A232" t="s">
        <v>678</v>
      </c>
      <c r="B232" s="15">
        <v>7875000</v>
      </c>
      <c r="C232" t="str">
        <f>VLOOKUP(A232,'[1]ACTUALIZADO 2026'!$A$2:$A$338,1,0)</f>
        <v>1038-2025</v>
      </c>
    </row>
    <row r="233" spans="1:3" x14ac:dyDescent="0.25">
      <c r="A233" t="s">
        <v>680</v>
      </c>
      <c r="B233" s="15">
        <v>7875000</v>
      </c>
      <c r="C233" t="str">
        <f>VLOOKUP(A233,'[1]ACTUALIZADO 2026'!$A$2:$A$338,1,0)</f>
        <v>1042-2025</v>
      </c>
    </row>
    <row r="234" spans="1:3" x14ac:dyDescent="0.25">
      <c r="A234" t="s">
        <v>683</v>
      </c>
      <c r="B234" s="15">
        <v>7875000</v>
      </c>
      <c r="C234" t="str">
        <f>VLOOKUP(A234,'[1]ACTUALIZADO 2026'!$A$2:$A$338,1,0)</f>
        <v>1069-2025</v>
      </c>
    </row>
    <row r="235" spans="1:3" x14ac:dyDescent="0.25">
      <c r="A235" t="s">
        <v>685</v>
      </c>
      <c r="B235" s="15">
        <v>6000000</v>
      </c>
      <c r="C235" t="str">
        <f>VLOOKUP(A235,'[1]ACTUALIZADO 2026'!$A$2:$A$338,1,0)</f>
        <v>1007-2025</v>
      </c>
    </row>
    <row r="236" spans="1:3" x14ac:dyDescent="0.25">
      <c r="A236" t="s">
        <v>1278</v>
      </c>
      <c r="B236" s="15">
        <v>2000000</v>
      </c>
      <c r="C236" t="str">
        <f>VLOOKUP(A236,'[1]ACTUALIZADO 2026'!$A$2:$A$338,1,0)</f>
        <v>1031-2025</v>
      </c>
    </row>
    <row r="237" spans="1:3" x14ac:dyDescent="0.25">
      <c r="A237" t="s">
        <v>688</v>
      </c>
      <c r="B237" s="15">
        <v>9450000</v>
      </c>
      <c r="C237" t="str">
        <f>VLOOKUP(A237,'[1]ACTUALIZADO 2026'!$A$2:$A$338,1,0)</f>
        <v>963-2025</v>
      </c>
    </row>
    <row r="238" spans="1:3" x14ac:dyDescent="0.25">
      <c r="A238" t="s">
        <v>690</v>
      </c>
      <c r="B238" s="15">
        <v>9450000</v>
      </c>
      <c r="C238" t="str">
        <f>VLOOKUP(A238,'[1]ACTUALIZADO 2026'!$A$2:$A$338,1,0)</f>
        <v>930-2025</v>
      </c>
    </row>
    <row r="239" spans="1:3" x14ac:dyDescent="0.25">
      <c r="A239" t="s">
        <v>692</v>
      </c>
      <c r="B239" s="15">
        <v>9450000</v>
      </c>
      <c r="C239" t="str">
        <f>VLOOKUP(A239,'[1]ACTUALIZADO 2026'!$A$2:$A$338,1,0)</f>
        <v>1029-2025</v>
      </c>
    </row>
    <row r="240" spans="1:3" x14ac:dyDescent="0.25">
      <c r="A240" t="s">
        <v>694</v>
      </c>
      <c r="B240" s="15">
        <v>11025000</v>
      </c>
      <c r="C240" t="str">
        <f>VLOOKUP(A240,'[1]ACTUALIZADO 2026'!$A$2:$A$338,1,0)</f>
        <v>889-2025</v>
      </c>
    </row>
    <row r="241" spans="1:3" x14ac:dyDescent="0.25">
      <c r="A241" t="s">
        <v>697</v>
      </c>
      <c r="B241" s="15">
        <v>9450000</v>
      </c>
      <c r="C241" t="str">
        <f>VLOOKUP(A241,'[1]ACTUALIZADO 2026'!$A$2:$A$338,1,0)</f>
        <v>958-2025</v>
      </c>
    </row>
    <row r="242" spans="1:3" x14ac:dyDescent="0.25">
      <c r="A242" t="s">
        <v>699</v>
      </c>
      <c r="B242" s="15">
        <v>11825000</v>
      </c>
      <c r="C242" t="str">
        <f>VLOOKUP(A242,'[1]ACTUALIZADO 2026'!$A$2:$A$338,1,0)</f>
        <v>1062-2025</v>
      </c>
    </row>
    <row r="243" spans="1:3" x14ac:dyDescent="0.25">
      <c r="A243" t="s">
        <v>702</v>
      </c>
      <c r="B243" s="15">
        <v>14190000</v>
      </c>
      <c r="C243" t="str">
        <f>VLOOKUP(A243,'[1]ACTUALIZADO 2026'!$A$2:$A$338,1,0)</f>
        <v>987-2025</v>
      </c>
    </row>
    <row r="244" spans="1:3" x14ac:dyDescent="0.25">
      <c r="A244" t="s">
        <v>705</v>
      </c>
      <c r="B244" s="15">
        <v>18900000</v>
      </c>
      <c r="C244" t="str">
        <f>VLOOKUP(A244,'[1]ACTUALIZADO 2026'!$A$2:$A$338,1,0)</f>
        <v>949-2025</v>
      </c>
    </row>
    <row r="245" spans="1:3" x14ac:dyDescent="0.25">
      <c r="A245" t="s">
        <v>707</v>
      </c>
      <c r="B245" s="15">
        <v>6000000</v>
      </c>
      <c r="C245" t="str">
        <f>VLOOKUP(A245,'[1]ACTUALIZADO 2026'!$A$2:$A$338,1,0)</f>
        <v>1013-2025</v>
      </c>
    </row>
    <row r="246" spans="1:3" x14ac:dyDescent="0.25">
      <c r="A246" t="s">
        <v>709</v>
      </c>
      <c r="B246" s="15">
        <v>9450000</v>
      </c>
      <c r="C246" t="str">
        <f>VLOOKUP(A246,'[1]ACTUALIZADO 2026'!$A$2:$A$338,1,0)</f>
        <v>938-2025</v>
      </c>
    </row>
    <row r="247" spans="1:3" x14ac:dyDescent="0.25">
      <c r="A247" t="s">
        <v>712</v>
      </c>
      <c r="B247" s="15">
        <v>4200000</v>
      </c>
      <c r="C247" t="str">
        <f>VLOOKUP(A247,'[1]ACTUALIZADO 2026'!$A$2:$A$338,1,0)</f>
        <v>998-2025</v>
      </c>
    </row>
    <row r="248" spans="1:3" x14ac:dyDescent="0.25">
      <c r="A248" t="s">
        <v>714</v>
      </c>
      <c r="B248" s="15">
        <v>7875000</v>
      </c>
      <c r="C248" t="str">
        <f>VLOOKUP(A248,'[1]ACTUALIZADO 2026'!$A$2:$A$338,1,0)</f>
        <v>1060-2025</v>
      </c>
    </row>
    <row r="249" spans="1:3" x14ac:dyDescent="0.25">
      <c r="A249" t="s">
        <v>720</v>
      </c>
      <c r="B249" s="15">
        <v>14190000</v>
      </c>
      <c r="C249" t="str">
        <f>VLOOKUP(A249,'[1]ACTUALIZADO 2026'!$A$2:$A$338,1,0)</f>
        <v>933-2025</v>
      </c>
    </row>
    <row r="250" spans="1:3" x14ac:dyDescent="0.25">
      <c r="A250" t="s">
        <v>723</v>
      </c>
      <c r="B250" s="15">
        <v>14190000</v>
      </c>
      <c r="C250" t="str">
        <f>VLOOKUP(A250,'[1]ACTUALIZADO 2026'!$A$2:$A$338,1,0)</f>
        <v>937-2025</v>
      </c>
    </row>
    <row r="251" spans="1:3" x14ac:dyDescent="0.25">
      <c r="A251" t="s">
        <v>726</v>
      </c>
      <c r="B251" s="15">
        <v>18900000</v>
      </c>
      <c r="C251" t="str">
        <f>VLOOKUP(A251,'[1]ACTUALIZADO 2026'!$A$2:$A$338,1,0)</f>
        <v>931-2025</v>
      </c>
    </row>
    <row r="252" spans="1:3" x14ac:dyDescent="0.25">
      <c r="A252" t="s">
        <v>729</v>
      </c>
      <c r="B252" s="15">
        <v>9450000</v>
      </c>
      <c r="C252" t="str">
        <f>VLOOKUP(A252,'[1]ACTUALIZADO 2026'!$A$2:$A$338,1,0)</f>
        <v>939-2025</v>
      </c>
    </row>
    <row r="253" spans="1:3" x14ac:dyDescent="0.25">
      <c r="A253" t="s">
        <v>732</v>
      </c>
      <c r="B253" s="15">
        <v>23400000</v>
      </c>
      <c r="C253" t="str">
        <f>VLOOKUP(A253,'[1]ACTUALIZADO 2026'!$A$2:$A$338,1,0)</f>
        <v>1010-2025</v>
      </c>
    </row>
    <row r="254" spans="1:3" x14ac:dyDescent="0.25">
      <c r="A254" t="s">
        <v>735</v>
      </c>
      <c r="B254" s="15">
        <v>14190000</v>
      </c>
      <c r="C254" t="str">
        <f>VLOOKUP(A254,'[1]ACTUALIZADO 2026'!$A$2:$A$338,1,0)</f>
        <v>962-2025</v>
      </c>
    </row>
    <row r="255" spans="1:3" x14ac:dyDescent="0.25">
      <c r="A255" t="s">
        <v>739</v>
      </c>
      <c r="B255" s="15">
        <v>9450000</v>
      </c>
      <c r="C255" t="str">
        <f>VLOOKUP(A255,'[1]ACTUALIZADO 2026'!$A$2:$A$338,1,0)</f>
        <v>980-2025</v>
      </c>
    </row>
    <row r="256" spans="1:3" x14ac:dyDescent="0.25">
      <c r="A256" t="s">
        <v>742</v>
      </c>
      <c r="B256" s="15">
        <v>15600000</v>
      </c>
      <c r="C256" t="str">
        <f>VLOOKUP(A256,'[1]ACTUALIZADO 2026'!$A$2:$A$338,1,0)</f>
        <v>955-2025</v>
      </c>
    </row>
    <row r="257" spans="1:3" x14ac:dyDescent="0.25">
      <c r="A257" t="s">
        <v>745</v>
      </c>
      <c r="B257" s="15">
        <v>4000000</v>
      </c>
      <c r="C257" t="str">
        <f>VLOOKUP(A257,'[1]ACTUALIZADO 2026'!$A$2:$A$338,1,0)</f>
        <v>1107-2025</v>
      </c>
    </row>
    <row r="258" spans="1:3" x14ac:dyDescent="0.25">
      <c r="A258" t="s">
        <v>748</v>
      </c>
      <c r="B258" s="15">
        <v>6300000</v>
      </c>
      <c r="C258" t="str">
        <f>VLOOKUP(A258,'[1]ACTUALIZADO 2026'!$A$2:$A$338,1,0)</f>
        <v>1167-2025</v>
      </c>
    </row>
    <row r="259" spans="1:3" x14ac:dyDescent="0.25">
      <c r="A259" t="s">
        <v>750</v>
      </c>
      <c r="B259" s="15">
        <v>7875000</v>
      </c>
      <c r="C259" t="str">
        <f>VLOOKUP(A259,'[1]ACTUALIZADO 2026'!$A$2:$A$338,1,0)</f>
        <v>1067-2025</v>
      </c>
    </row>
    <row r="260" spans="1:3" x14ac:dyDescent="0.25">
      <c r="A260" t="s">
        <v>752</v>
      </c>
      <c r="B260" s="15">
        <v>6000000</v>
      </c>
      <c r="C260" t="str">
        <f>VLOOKUP(A260,'[1]ACTUALIZADO 2026'!$A$2:$A$338,1,0)</f>
        <v>1009-2025</v>
      </c>
    </row>
    <row r="261" spans="1:3" x14ac:dyDescent="0.25">
      <c r="A261" t="s">
        <v>755</v>
      </c>
      <c r="B261" s="15">
        <v>4000000</v>
      </c>
      <c r="C261" t="str">
        <f>VLOOKUP(A261,'[1]ACTUALIZADO 2026'!$A$2:$A$338,1,0)</f>
        <v>1164-2025</v>
      </c>
    </row>
    <row r="262" spans="1:3" x14ac:dyDescent="0.25">
      <c r="A262" t="s">
        <v>758</v>
      </c>
      <c r="B262" s="15">
        <v>6300000</v>
      </c>
      <c r="C262" t="str">
        <f>VLOOKUP(A262,'[1]ACTUALIZADO 2026'!$A$2:$A$338,1,0)</f>
        <v>1150-2025</v>
      </c>
    </row>
    <row r="263" spans="1:3" x14ac:dyDescent="0.25">
      <c r="A263" t="s">
        <v>761</v>
      </c>
      <c r="B263" s="15">
        <v>12600000</v>
      </c>
      <c r="C263" t="str">
        <f>VLOOKUP(A263,'[1]ACTUALIZADO 2026'!$A$2:$A$338,1,0)</f>
        <v>1112-2025</v>
      </c>
    </row>
    <row r="264" spans="1:3" x14ac:dyDescent="0.25">
      <c r="A264" t="s">
        <v>764</v>
      </c>
      <c r="B264" s="15">
        <v>6300000</v>
      </c>
      <c r="C264" t="str">
        <f>VLOOKUP(A264,'[1]ACTUALIZADO 2026'!$A$2:$A$338,1,0)</f>
        <v>1165-2025</v>
      </c>
    </row>
    <row r="265" spans="1:3" x14ac:dyDescent="0.25">
      <c r="A265" t="s">
        <v>767</v>
      </c>
      <c r="B265" s="15">
        <v>15600000</v>
      </c>
      <c r="C265" t="str">
        <f>VLOOKUP(A265,'[1]ACTUALIZADO 2026'!$A$2:$A$338,1,0)</f>
        <v>1140-2025</v>
      </c>
    </row>
    <row r="266" spans="1:3" x14ac:dyDescent="0.25">
      <c r="A266" t="s">
        <v>770</v>
      </c>
      <c r="B266" s="15">
        <v>15600000</v>
      </c>
      <c r="C266" t="str">
        <f>VLOOKUP(A266,'[1]ACTUALIZADO 2026'!$A$2:$A$338,1,0)</f>
        <v>1151-2025</v>
      </c>
    </row>
    <row r="267" spans="1:3" x14ac:dyDescent="0.25">
      <c r="A267" t="s">
        <v>773</v>
      </c>
      <c r="B267" s="15">
        <v>6300000</v>
      </c>
      <c r="C267" t="str">
        <f>VLOOKUP(A267,'[1]ACTUALIZADO 2026'!$A$2:$A$338,1,0)</f>
        <v>1099-2025</v>
      </c>
    </row>
    <row r="268" spans="1:3" x14ac:dyDescent="0.25">
      <c r="A268" t="s">
        <v>775</v>
      </c>
      <c r="B268" s="15">
        <v>6300000</v>
      </c>
      <c r="C268" t="str">
        <f>VLOOKUP(A268,'[1]ACTUALIZADO 2026'!$A$2:$A$338,1,0)</f>
        <v>1124-2025</v>
      </c>
    </row>
    <row r="269" spans="1:3" x14ac:dyDescent="0.25">
      <c r="A269" t="s">
        <v>777</v>
      </c>
      <c r="B269" s="15">
        <v>6300000</v>
      </c>
      <c r="C269" t="str">
        <f>VLOOKUP(A269,'[1]ACTUALIZADO 2026'!$A$2:$A$338,1,0)</f>
        <v>1095-2025</v>
      </c>
    </row>
    <row r="270" spans="1:3" x14ac:dyDescent="0.25">
      <c r="A270" t="s">
        <v>780</v>
      </c>
      <c r="B270" s="15">
        <v>4725000</v>
      </c>
      <c r="C270" t="str">
        <f>VLOOKUP(A270,'[1]ACTUALIZADO 2026'!$A$2:$A$338,1,0)</f>
        <v>1185-2025</v>
      </c>
    </row>
    <row r="271" spans="1:3" x14ac:dyDescent="0.25">
      <c r="A271" t="s">
        <v>783</v>
      </c>
      <c r="B271" s="15">
        <v>6300000</v>
      </c>
      <c r="C271" t="str">
        <f>VLOOKUP(A271,'[1]ACTUALIZADO 2026'!$A$2:$A$338,1,0)</f>
        <v>1143-2025</v>
      </c>
    </row>
    <row r="272" spans="1:3" x14ac:dyDescent="0.25">
      <c r="A272" t="s">
        <v>786</v>
      </c>
      <c r="B272" s="15">
        <v>6300000</v>
      </c>
      <c r="C272" t="str">
        <f>VLOOKUP(A272,'[1]ACTUALIZADO 2026'!$A$2:$A$338,1,0)</f>
        <v>1086-2025</v>
      </c>
    </row>
    <row r="273" spans="1:3" x14ac:dyDescent="0.25">
      <c r="A273" t="s">
        <v>790</v>
      </c>
      <c r="B273" s="15">
        <v>6300000</v>
      </c>
      <c r="C273" t="str">
        <f>VLOOKUP(A273,'[1]ACTUALIZADO 2026'!$A$2:$A$338,1,0)</f>
        <v>1106-2025</v>
      </c>
    </row>
    <row r="274" spans="1:3" x14ac:dyDescent="0.25">
      <c r="A274" t="s">
        <v>792</v>
      </c>
      <c r="B274" s="18">
        <v>6300000</v>
      </c>
      <c r="C274" t="str">
        <f>VLOOKUP(A274,'[1]ACTUALIZADO 2026'!$A$2:$A$338,1,0)</f>
        <v>1097-2025</v>
      </c>
    </row>
    <row r="275" spans="1:3" x14ac:dyDescent="0.25">
      <c r="A275" t="s">
        <v>794</v>
      </c>
      <c r="B275" s="15">
        <v>15600000</v>
      </c>
      <c r="C275" t="str">
        <f>VLOOKUP(A275,'[1]ACTUALIZADO 2026'!$A$2:$A$338,1,0)</f>
        <v>1122-2025</v>
      </c>
    </row>
    <row r="276" spans="1:3" x14ac:dyDescent="0.25">
      <c r="A276" t="s">
        <v>797</v>
      </c>
      <c r="B276" s="15">
        <v>6300000</v>
      </c>
      <c r="C276" t="str">
        <f>VLOOKUP(A276,'[1]ACTUALIZADO 2026'!$A$2:$A$338,1,0)</f>
        <v>1142-2025</v>
      </c>
    </row>
    <row r="277" spans="1:3" x14ac:dyDescent="0.25">
      <c r="A277" t="s">
        <v>800</v>
      </c>
      <c r="B277" s="15">
        <v>15600000</v>
      </c>
      <c r="C277" t="str">
        <f>VLOOKUP(A277,'[1]ACTUALIZADO 2026'!$A$2:$A$338,1,0)</f>
        <v>1115-2025</v>
      </c>
    </row>
    <row r="278" spans="1:3" x14ac:dyDescent="0.25">
      <c r="A278" t="s">
        <v>803</v>
      </c>
      <c r="B278" s="15">
        <v>4000000</v>
      </c>
      <c r="C278" t="str">
        <f>VLOOKUP(A278,'[1]ACTUALIZADO 2026'!$A$2:$A$338,1,0)</f>
        <v>1133-2025</v>
      </c>
    </row>
    <row r="279" spans="1:3" x14ac:dyDescent="0.25">
      <c r="A279" t="s">
        <v>805</v>
      </c>
      <c r="B279" s="15">
        <v>4200000</v>
      </c>
      <c r="C279" t="str">
        <f>VLOOKUP(A279,'[1]ACTUALIZADO 2026'!$A$2:$A$338,1,0)</f>
        <v>1198-2025</v>
      </c>
    </row>
    <row r="280" spans="1:3" x14ac:dyDescent="0.25">
      <c r="A280" t="s">
        <v>807</v>
      </c>
      <c r="B280" s="15">
        <v>6300000</v>
      </c>
      <c r="C280" t="str">
        <f>VLOOKUP(A280,'[1]ACTUALIZADO 2026'!$A$2:$A$338,1,0)</f>
        <v>1114-2025</v>
      </c>
    </row>
    <row r="281" spans="1:3" x14ac:dyDescent="0.25">
      <c r="A281" t="s">
        <v>810</v>
      </c>
      <c r="B281" s="15">
        <v>4000000</v>
      </c>
      <c r="C281" t="str">
        <f>VLOOKUP(A281,'[1]ACTUALIZADO 2026'!$A$2:$A$338,1,0)</f>
        <v>1104-2025</v>
      </c>
    </row>
    <row r="282" spans="1:3" x14ac:dyDescent="0.25">
      <c r="A282" t="s">
        <v>813</v>
      </c>
      <c r="B282" s="18">
        <v>6300000</v>
      </c>
      <c r="C282" t="str">
        <f>VLOOKUP(A282,'[1]ACTUALIZADO 2026'!$A$2:$A$338,1,0)</f>
        <v>1155-2025</v>
      </c>
    </row>
    <row r="283" spans="1:3" x14ac:dyDescent="0.25">
      <c r="A283" t="s">
        <v>816</v>
      </c>
      <c r="B283" s="15">
        <v>4200000</v>
      </c>
      <c r="C283" t="str">
        <f>VLOOKUP(A283,'[1]ACTUALIZADO 2026'!$A$2:$A$338,1,0)</f>
        <v>1197-2025</v>
      </c>
    </row>
    <row r="284" spans="1:3" x14ac:dyDescent="0.25">
      <c r="A284" t="s">
        <v>819</v>
      </c>
      <c r="B284" s="15">
        <v>6300000</v>
      </c>
      <c r="C284" t="str">
        <f>VLOOKUP(A284,'[1]ACTUALIZADO 2026'!$A$2:$A$338,1,0)</f>
        <v>1125-2025</v>
      </c>
    </row>
    <row r="285" spans="1:3" x14ac:dyDescent="0.25">
      <c r="A285" t="s">
        <v>821</v>
      </c>
      <c r="B285" s="15">
        <v>6300000</v>
      </c>
      <c r="C285" t="str">
        <f>VLOOKUP(A285,'[1]ACTUALIZADO 2026'!$A$2:$A$338,1,0)</f>
        <v>947-2025</v>
      </c>
    </row>
    <row r="286" spans="1:3" x14ac:dyDescent="0.25">
      <c r="A286" t="s">
        <v>824</v>
      </c>
      <c r="B286" s="15">
        <v>6300000</v>
      </c>
      <c r="C286" t="str">
        <f>VLOOKUP(A286,'[1]ACTUALIZADO 2026'!$A$2:$A$338,1,0)</f>
        <v>1126-2025</v>
      </c>
    </row>
    <row r="287" spans="1:3" x14ac:dyDescent="0.25">
      <c r="A287" t="s">
        <v>827</v>
      </c>
      <c r="B287" s="15">
        <v>4000000</v>
      </c>
      <c r="C287" t="str">
        <f>VLOOKUP(A287,'[1]ACTUALIZADO 2026'!$A$2:$A$338,1,0)</f>
        <v>1149-2025</v>
      </c>
    </row>
    <row r="288" spans="1:3" x14ac:dyDescent="0.25">
      <c r="A288" t="s">
        <v>830</v>
      </c>
      <c r="B288" s="15">
        <v>4000000</v>
      </c>
      <c r="C288" t="str">
        <f>VLOOKUP(A288,'[1]ACTUALIZADO 2026'!$A$2:$A$338,1,0)</f>
        <v>1113-2025</v>
      </c>
    </row>
    <row r="289" spans="1:3" x14ac:dyDescent="0.25">
      <c r="A289" t="s">
        <v>833</v>
      </c>
      <c r="B289" s="18">
        <v>4725000</v>
      </c>
      <c r="C289" t="str">
        <f>VLOOKUP(A289,'[1]ACTUALIZADO 2026'!$A$2:$A$338,1,0)</f>
        <v>1184-2025</v>
      </c>
    </row>
    <row r="290" spans="1:3" x14ac:dyDescent="0.25">
      <c r="A290" s="6" t="s">
        <v>836</v>
      </c>
      <c r="B290" s="18">
        <v>352600000</v>
      </c>
      <c r="C290" t="str">
        <f>VLOOKUP(A290,'[1]ACTUALIZADO 2026'!$A$2:$A$338,1,0)</f>
        <v>1016-2025</v>
      </c>
    </row>
    <row r="291" spans="1:3" x14ac:dyDescent="0.25">
      <c r="A291" t="s">
        <v>839</v>
      </c>
      <c r="B291" s="15">
        <v>283000000</v>
      </c>
      <c r="C291" t="str">
        <f>VLOOKUP(A291,'[1]ACTUALIZADO 2026'!$A$2:$A$338,1,0)</f>
        <v>1017-2025</v>
      </c>
    </row>
    <row r="292" spans="1:3" x14ac:dyDescent="0.25">
      <c r="A292" t="s">
        <v>840</v>
      </c>
      <c r="B292" s="15">
        <v>6300000</v>
      </c>
      <c r="C292" t="str">
        <f>VLOOKUP(A292,'[1]ACTUALIZADO 2026'!$A$2:$A$338,1,0)</f>
        <v>1084-2025</v>
      </c>
    </row>
    <row r="293" spans="1:3" x14ac:dyDescent="0.25">
      <c r="A293" t="s">
        <v>843</v>
      </c>
      <c r="B293" s="15">
        <v>6300000</v>
      </c>
      <c r="C293" t="str">
        <f>VLOOKUP(A293,'[1]ACTUALIZADO 2026'!$A$2:$A$338,1,0)</f>
        <v>1100-2025</v>
      </c>
    </row>
    <row r="294" spans="1:3" x14ac:dyDescent="0.25">
      <c r="A294" t="s">
        <v>845</v>
      </c>
      <c r="B294" s="15">
        <v>6300000</v>
      </c>
      <c r="C294" t="str">
        <f>VLOOKUP(A294,'[1]ACTUALIZADO 2026'!$A$2:$A$338,1,0)</f>
        <v>1119-2025</v>
      </c>
    </row>
    <row r="295" spans="1:3" x14ac:dyDescent="0.25">
      <c r="A295" t="s">
        <v>848</v>
      </c>
      <c r="B295" s="15">
        <v>6300000</v>
      </c>
      <c r="C295" t="str">
        <f>VLOOKUP(A295,'[1]ACTUALIZADO 2026'!$A$2:$A$338,1,0)</f>
        <v>1128-2025</v>
      </c>
    </row>
    <row r="296" spans="1:3" x14ac:dyDescent="0.25">
      <c r="A296" t="s">
        <v>851</v>
      </c>
      <c r="B296" s="15">
        <v>6300000</v>
      </c>
      <c r="C296" t="str">
        <f>VLOOKUP(A296,'[1]ACTUALIZADO 2026'!$A$2:$A$338,1,0)</f>
        <v>1139-2025</v>
      </c>
    </row>
    <row r="297" spans="1:3" x14ac:dyDescent="0.25">
      <c r="A297" t="s">
        <v>854</v>
      </c>
      <c r="B297" s="15">
        <v>6300000</v>
      </c>
      <c r="C297" t="str">
        <f>VLOOKUP(A297,'[1]ACTUALIZADO 2026'!$A$2:$A$338,1,0)</f>
        <v>1160-2025</v>
      </c>
    </row>
    <row r="298" spans="1:3" x14ac:dyDescent="0.25">
      <c r="A298" t="s">
        <v>856</v>
      </c>
      <c r="B298" s="15">
        <v>6300000</v>
      </c>
      <c r="C298" t="str">
        <f>VLOOKUP(A298,'[1]ACTUALIZADO 2026'!$A$2:$A$338,1,0)</f>
        <v>1145-2025</v>
      </c>
    </row>
    <row r="299" spans="1:3" x14ac:dyDescent="0.25">
      <c r="A299" t="s">
        <v>860</v>
      </c>
      <c r="B299" s="15">
        <v>23400000</v>
      </c>
      <c r="C299" t="str">
        <f>VLOOKUP(A299,'[1]ACTUALIZADO 2026'!$A$2:$A$338,1,0)</f>
        <v>944-2025</v>
      </c>
    </row>
    <row r="300" spans="1:3" x14ac:dyDescent="0.25">
      <c r="A300" t="s">
        <v>863</v>
      </c>
      <c r="B300" s="15">
        <v>4000000</v>
      </c>
      <c r="C300" t="str">
        <f>VLOOKUP(A300,'[1]ACTUALIZADO 2026'!$A$2:$A$338,1,0)</f>
        <v>1101-2025</v>
      </c>
    </row>
    <row r="301" spans="1:3" x14ac:dyDescent="0.25">
      <c r="A301" t="s">
        <v>866</v>
      </c>
      <c r="B301" s="15">
        <v>15600000</v>
      </c>
      <c r="C301" t="str">
        <f>VLOOKUP(A301,'[1]ACTUALIZADO 2026'!$A$2:$A$338,1,0)</f>
        <v>1148-2025</v>
      </c>
    </row>
    <row r="302" spans="1:3" x14ac:dyDescent="0.25">
      <c r="A302" t="s">
        <v>869</v>
      </c>
      <c r="B302" s="15">
        <v>4000000</v>
      </c>
      <c r="C302" t="str">
        <f>VLOOKUP(A302,'[1]ACTUALIZADO 2026'!$A$2:$A$338,1,0)</f>
        <v>1111-2025</v>
      </c>
    </row>
    <row r="303" spans="1:3" x14ac:dyDescent="0.25">
      <c r="A303" t="s">
        <v>872</v>
      </c>
      <c r="B303" s="15">
        <v>4000000</v>
      </c>
      <c r="C303" t="str">
        <f>VLOOKUP(A303,'[1]ACTUALIZADO 2026'!$A$2:$A$338,1,0)</f>
        <v>1098-2025</v>
      </c>
    </row>
    <row r="304" spans="1:3" x14ac:dyDescent="0.25">
      <c r="A304" t="s">
        <v>875</v>
      </c>
      <c r="B304" s="15">
        <v>350950000</v>
      </c>
      <c r="C304" t="str">
        <f>VLOOKUP(A304,'[1]ACTUALIZADO 2026'!$A$2:$A$338,1,0)</f>
        <v>1018-2025</v>
      </c>
    </row>
    <row r="305" spans="1:3" x14ac:dyDescent="0.25">
      <c r="A305" t="s">
        <v>876</v>
      </c>
      <c r="B305" s="15">
        <v>4000000</v>
      </c>
      <c r="C305" t="str">
        <f>VLOOKUP(A305,'[1]ACTUALIZADO 2026'!$A$2:$A$338,1,0)</f>
        <v>1159-2025</v>
      </c>
    </row>
    <row r="306" spans="1:3" x14ac:dyDescent="0.25">
      <c r="A306" t="s">
        <v>879</v>
      </c>
      <c r="B306" s="15">
        <v>6300000</v>
      </c>
      <c r="C306" t="str">
        <f>VLOOKUP(A306,'[1]ACTUALIZADO 2026'!$A$2:$A$338,1,0)</f>
        <v>1102-2025</v>
      </c>
    </row>
    <row r="307" spans="1:3" x14ac:dyDescent="0.25">
      <c r="A307" t="s">
        <v>881</v>
      </c>
      <c r="B307" s="15">
        <v>6300000</v>
      </c>
      <c r="C307" t="str">
        <f>VLOOKUP(A307,'[1]ACTUALIZADO 2026'!$A$2:$A$338,1,0)</f>
        <v>1129-2025</v>
      </c>
    </row>
    <row r="308" spans="1:3" x14ac:dyDescent="0.25">
      <c r="A308" t="s">
        <v>883</v>
      </c>
      <c r="B308" s="15">
        <v>6300000</v>
      </c>
      <c r="C308" t="str">
        <f>VLOOKUP(A308,'[1]ACTUALIZADO 2026'!$A$2:$A$338,1,0)</f>
        <v>1088-2025</v>
      </c>
    </row>
    <row r="309" spans="1:3" x14ac:dyDescent="0.25">
      <c r="A309" t="s">
        <v>886</v>
      </c>
      <c r="B309" s="15">
        <v>4000000</v>
      </c>
      <c r="C309" t="str">
        <f>VLOOKUP(A309,'[1]ACTUALIZADO 2026'!$A$2:$A$338,1,0)</f>
        <v>1157-2025</v>
      </c>
    </row>
    <row r="310" spans="1:3" x14ac:dyDescent="0.25">
      <c r="A310" t="s">
        <v>889</v>
      </c>
      <c r="B310" s="15">
        <v>15600000</v>
      </c>
      <c r="C310" t="str">
        <f>VLOOKUP(A310,'[1]ACTUALIZADO 2026'!$A$2:$A$338,1,0)</f>
        <v>1158-2025</v>
      </c>
    </row>
    <row r="311" spans="1:3" x14ac:dyDescent="0.25">
      <c r="A311" t="s">
        <v>892</v>
      </c>
      <c r="B311" s="15">
        <v>3150000</v>
      </c>
      <c r="C311" t="str">
        <f>VLOOKUP(A311,'[1]ACTUALIZADO 2026'!$A$2:$A$338,1,0)</f>
        <v>1075-2025</v>
      </c>
    </row>
    <row r="312" spans="1:3" x14ac:dyDescent="0.25">
      <c r="A312" t="s">
        <v>894</v>
      </c>
      <c r="B312" s="15">
        <v>6300000</v>
      </c>
      <c r="C312" t="str">
        <f>VLOOKUP(A312,'[1]ACTUALIZADO 2026'!$A$2:$A$338,1,0)</f>
        <v>1103-2025</v>
      </c>
    </row>
    <row r="313" spans="1:3" x14ac:dyDescent="0.25">
      <c r="A313" t="s">
        <v>897</v>
      </c>
      <c r="B313" s="15">
        <v>4000000</v>
      </c>
      <c r="C313" t="str">
        <f>VLOOKUP(A313,'[1]ACTUALIZADO 2026'!$A$2:$A$338,1,0)</f>
        <v>1105-2025</v>
      </c>
    </row>
    <row r="314" spans="1:3" x14ac:dyDescent="0.25">
      <c r="A314" t="s">
        <v>900</v>
      </c>
      <c r="B314" s="15">
        <v>9460000</v>
      </c>
      <c r="C314" t="str">
        <f>VLOOKUP(A314,'[1]ACTUALIZADO 2026'!$A$2:$A$338,1,0)</f>
        <v>1121-2025</v>
      </c>
    </row>
    <row r="315" spans="1:3" x14ac:dyDescent="0.25">
      <c r="A315" t="s">
        <v>903</v>
      </c>
      <c r="B315" s="15">
        <v>9450000</v>
      </c>
      <c r="C315" t="str">
        <f>VLOOKUP(A315,'[1]ACTUALIZADO 2026'!$A$2:$A$338,1,0)</f>
        <v>1194-2025</v>
      </c>
    </row>
    <row r="316" spans="1:3" x14ac:dyDescent="0.25">
      <c r="A316" t="s">
        <v>906</v>
      </c>
      <c r="B316" s="15">
        <v>12600000</v>
      </c>
      <c r="C316" t="str">
        <f>VLOOKUP(A316,'[1]ACTUALIZADO 2026'!$A$2:$A$338,1,0)</f>
        <v>1162-2025</v>
      </c>
    </row>
    <row r="317" spans="1:3" x14ac:dyDescent="0.25">
      <c r="A317" t="s">
        <v>908</v>
      </c>
      <c r="B317" s="15">
        <v>4730000</v>
      </c>
      <c r="C317" t="str">
        <f>VLOOKUP(A317,'[1]ACTUALIZADO 2026'!$A$2:$A$338,1,0)</f>
        <v>932-2025</v>
      </c>
    </row>
    <row r="318" spans="1:3" x14ac:dyDescent="0.25">
      <c r="A318" t="s">
        <v>911</v>
      </c>
      <c r="B318" s="15">
        <v>4000000</v>
      </c>
      <c r="C318" t="str">
        <f>VLOOKUP(A318,'[1]ACTUALIZADO 2026'!$A$2:$A$338,1,0)</f>
        <v>1108-2025</v>
      </c>
    </row>
    <row r="319" spans="1:3" x14ac:dyDescent="0.25">
      <c r="A319" t="s">
        <v>914</v>
      </c>
      <c r="B319" s="15">
        <v>6300000</v>
      </c>
      <c r="C319" t="str">
        <f>VLOOKUP(A319,'[1]ACTUALIZADO 2026'!$A$2:$A$338,1,0)</f>
        <v>1092-2025</v>
      </c>
    </row>
    <row r="320" spans="1:3" x14ac:dyDescent="0.25">
      <c r="A320" t="s">
        <v>916</v>
      </c>
      <c r="B320" s="15">
        <v>6300000</v>
      </c>
      <c r="C320" t="str">
        <f>VLOOKUP(A320,'[1]ACTUALIZADO 2026'!$A$2:$A$338,1,0)</f>
        <v>1123-2025</v>
      </c>
    </row>
    <row r="321" spans="1:4" x14ac:dyDescent="0.25">
      <c r="A321" t="s">
        <v>918</v>
      </c>
      <c r="B321" s="15">
        <v>9450000</v>
      </c>
      <c r="C321" t="str">
        <f>VLOOKUP(A321,'[1]ACTUALIZADO 2026'!$A$2:$A$338,1,0)</f>
        <v>1179-2025</v>
      </c>
    </row>
    <row r="322" spans="1:4" x14ac:dyDescent="0.25">
      <c r="A322" t="s">
        <v>921</v>
      </c>
      <c r="B322" s="15">
        <v>6300000</v>
      </c>
      <c r="C322" t="str">
        <f>VLOOKUP(A322,'[1]ACTUALIZADO 2026'!$A$2:$A$338,1,0)</f>
        <v>1094-2025</v>
      </c>
    </row>
    <row r="323" spans="1:4" x14ac:dyDescent="0.25">
      <c r="A323" t="s">
        <v>924</v>
      </c>
      <c r="B323" s="15">
        <v>3150000</v>
      </c>
      <c r="C323" t="str">
        <f>VLOOKUP(A323,'[1]ACTUALIZADO 2026'!$A$2:$A$338,1,0)</f>
        <v>1087-2025</v>
      </c>
    </row>
    <row r="324" spans="1:4" x14ac:dyDescent="0.25">
      <c r="A324" s="6" t="s">
        <v>927</v>
      </c>
      <c r="B324" s="15">
        <v>9450000</v>
      </c>
      <c r="C324" t="str">
        <f>VLOOKUP(A324,'[1]ACTUALIZADO 2026'!$A$2:$A$338,1,0)</f>
        <v>941-2025</v>
      </c>
    </row>
    <row r="325" spans="1:4" x14ac:dyDescent="0.25">
      <c r="A325" s="10" t="s">
        <v>1012</v>
      </c>
      <c r="B325" s="15">
        <v>9450000</v>
      </c>
      <c r="C325" t="str">
        <f>VLOOKUP(A325,'[1]ACTUALIZADO 2026'!$A$2:$A$338,1,0)</f>
        <v>1187-2025</v>
      </c>
    </row>
    <row r="326" spans="1:4" x14ac:dyDescent="0.25">
      <c r="A326" s="10" t="s">
        <v>1011</v>
      </c>
      <c r="B326" s="15">
        <v>2000000</v>
      </c>
      <c r="C326" t="e">
        <f>VLOOKUP(A326,'[1]ACTUALIZADO 2026'!$A$2:$A$338,1,0)</f>
        <v>#N/A</v>
      </c>
      <c r="D326" s="9" t="s">
        <v>1362</v>
      </c>
    </row>
    <row r="477" spans="3:3" x14ac:dyDescent="0.25">
      <c r="C477" s="9"/>
    </row>
    <row r="499" spans="3:3" x14ac:dyDescent="0.25">
      <c r="C499" s="9"/>
    </row>
    <row r="508" spans="3:3" x14ac:dyDescent="0.25">
      <c r="C508" s="9"/>
    </row>
    <row r="517" spans="3:3" x14ac:dyDescent="0.25">
      <c r="C517" s="9"/>
    </row>
    <row r="529" spans="3:3" x14ac:dyDescent="0.25">
      <c r="C529" s="9"/>
    </row>
    <row r="560" spans="3:3" x14ac:dyDescent="0.25">
      <c r="C560" s="9"/>
    </row>
  </sheetData>
  <autoFilter ref="A1:C326" xr:uid="{987C646A-13C1-42B5-BA69-95FD863015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PAGOS_ACTUALIZAR_2026</vt:lpstr>
      <vt:lpstr>CARGADOS 2025 DICIEMBRE CIERRE</vt:lpstr>
      <vt:lpstr>PAGO_873</vt:lpstr>
      <vt:lpstr>PAGO_SUMATORIA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2026-02-24T20:01:55Z</dcterms:modified>
</cp:coreProperties>
</file>