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F:\APS AUTOMATIZACIONES\aps\activos\reporte_ser\"/>
    </mc:Choice>
  </mc:AlternateContent>
  <xr:revisionPtr revIDLastSave="0" documentId="13_ncr:1_{99FADE48-5944-4DD3-9D27-29712028CC8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ARGAR" sheetId="2" r:id="rId1"/>
    <sheet name="Hoja1" sheetId="3" r:id="rId2"/>
    <sheet name="Hoja2" sheetId="4" r:id="rId3"/>
  </sheets>
  <externalReferences>
    <externalReference r:id="rId4"/>
  </externalReferences>
  <definedNames>
    <definedName name="_xlnm._FilterDatabase" localSheetId="0" hidden="1">CARGAR!$A$1:$I$31</definedName>
    <definedName name="_xlnm._FilterDatabase" localSheetId="1" hidden="1">Hoja1!$A$1:$G$439</definedName>
    <definedName name="_xlnm._FilterDatabase" localSheetId="2" hidden="1">Hoja2!$A$1:$I$53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2" i="3"/>
</calcChain>
</file>

<file path=xl/sharedStrings.xml><?xml version="1.0" encoding="utf-8"?>
<sst xmlns="http://schemas.openxmlformats.org/spreadsheetml/2006/main" count="1516" uniqueCount="549">
  <si>
    <t>fecha</t>
  </si>
  <si>
    <t>orden</t>
  </si>
  <si>
    <t>numero_contrato</t>
  </si>
  <si>
    <t>valor</t>
  </si>
  <si>
    <t>nit</t>
  </si>
  <si>
    <t>razon</t>
  </si>
  <si>
    <t>id_recurso</t>
  </si>
  <si>
    <t>501-2025</t>
  </si>
  <si>
    <t>FUNDACIÓN CALIDAD DE VIDA Y ESPERANZA</t>
  </si>
  <si>
    <t>JUANITA MAYLIN VELASQUEZ REVELO</t>
  </si>
  <si>
    <t>635-2025</t>
  </si>
  <si>
    <t>GRUPO JANER SAS</t>
  </si>
  <si>
    <t>MARIA EUGENIA ESTRADA ZAMBRANO</t>
  </si>
  <si>
    <t>530-2025</t>
  </si>
  <si>
    <t>TRANSPORTES ESPECIALES ACAR LTDA</t>
  </si>
  <si>
    <t>569-2025</t>
  </si>
  <si>
    <t>YULI SUSANA CULCHA CUPACAN</t>
  </si>
  <si>
    <t>470-2025</t>
  </si>
  <si>
    <t>LAURA CAROLINA DELGADO BASTIDAS</t>
  </si>
  <si>
    <t>688-2025</t>
  </si>
  <si>
    <t>DIANA SOFIA PANTOJA RISUEÑO</t>
  </si>
  <si>
    <t>682-2025</t>
  </si>
  <si>
    <t>678-2025</t>
  </si>
  <si>
    <t>ANGELA ESTEFANYA NASPIRAN  JOJOA</t>
  </si>
  <si>
    <t>685-2025</t>
  </si>
  <si>
    <t>ANDREA LILIANA LAGUNA  RUALES</t>
  </si>
  <si>
    <t>674-2025</t>
  </si>
  <si>
    <t>EMILY  ROMERO MENDOZA</t>
  </si>
  <si>
    <t>683-2025</t>
  </si>
  <si>
    <t>AYDA ISABEL MATABANCHOY BENAVIDES</t>
  </si>
  <si>
    <t>511-2025</t>
  </si>
  <si>
    <t>RAMIREZ LOPEZ EDGAR ALBERTO</t>
  </si>
  <si>
    <t>546-2025</t>
  </si>
  <si>
    <t>679-2025</t>
  </si>
  <si>
    <t>ANA CLEMENCIA BASTIDAS CERON</t>
  </si>
  <si>
    <t>661-2025</t>
  </si>
  <si>
    <t xml:space="preserve">ROCIO DEL PILAR RIVERA </t>
  </si>
  <si>
    <t>588-2025</t>
  </si>
  <si>
    <t>ANGIE DANIELA JURADO NAVARRO</t>
  </si>
  <si>
    <t>636-2025</t>
  </si>
  <si>
    <t>LEIDY JOHANA MERA CONDE</t>
  </si>
  <si>
    <t>680-2025</t>
  </si>
  <si>
    <t>ZULY MARINA HIDALGO JOJOA</t>
  </si>
  <si>
    <t>ID2197624614</t>
  </si>
  <si>
    <t>I</t>
  </si>
  <si>
    <t>A</t>
  </si>
  <si>
    <t>indicador</t>
  </si>
  <si>
    <t>449-2025</t>
  </si>
  <si>
    <t>RUBY STELLA AREVALO BASTIDAS</t>
  </si>
  <si>
    <t>456-2025</t>
  </si>
  <si>
    <t>LUZ  ANGELICA CHILES CABRERA</t>
  </si>
  <si>
    <t>611-2025</t>
  </si>
  <si>
    <t>JHONATTAN ALEXANDER CASTELLANOS ANDRADE</t>
  </si>
  <si>
    <t>486-2025</t>
  </si>
  <si>
    <t>CARLOS ALBERTO ZAMBRANO VARGAS</t>
  </si>
  <si>
    <t>555-2025</t>
  </si>
  <si>
    <t>RENE MARTINEZ MARTINEZ</t>
  </si>
  <si>
    <t>566-2025</t>
  </si>
  <si>
    <t>567-2025</t>
  </si>
  <si>
    <t>691-2025</t>
  </si>
  <si>
    <t>ANYELY ROCIO LOPEZ ROSERO</t>
  </si>
  <si>
    <t>CAROLINA ISABEL PORTILLA TEPUD</t>
  </si>
  <si>
    <t>ALEXANDRA GONZALEZ HORTA</t>
  </si>
  <si>
    <t>KEVIN STEVEN PANTOJA CEBALLOS</t>
  </si>
  <si>
    <t>LORENA DEL CARMEN OJEDA VAZQUEZ</t>
  </si>
  <si>
    <t>LAURA SOFIA ROSERO DAVID</t>
  </si>
  <si>
    <t>13/5/2025</t>
  </si>
  <si>
    <t>FANY LUCELY RODRIGUEZ CRIOLLO</t>
  </si>
  <si>
    <t>ANDRES ERNESTO BRAVO ALMEIDA</t>
  </si>
  <si>
    <t>KAROL DAYANA TONGUINO TORO</t>
  </si>
  <si>
    <t>14/5/2025</t>
  </si>
  <si>
    <t>NATHALIA ROSERO RODRIGUEZ</t>
  </si>
  <si>
    <t>BRIGITT MARCELA BURBANO PUPIALES</t>
  </si>
  <si>
    <t>JULIE ANDREA FREIRE MIER</t>
  </si>
  <si>
    <t>FANNY MARIELA CORDOBA MORENO</t>
  </si>
  <si>
    <t>DOLY MAYBRI TIMANA GUACAN</t>
  </si>
  <si>
    <t>JANETH EMILSE DIAZ ARCINIEGAS</t>
  </si>
  <si>
    <t>CARMEN PATRICIA CORDOBA ARTEAGA</t>
  </si>
  <si>
    <t>JAQUELINE CAMILA GENOY VILLOTA</t>
  </si>
  <si>
    <t>VIVIANA MERCEDES PIZANO PORTILLA</t>
  </si>
  <si>
    <t>15/5/2025</t>
  </si>
  <si>
    <t>PABLO JOSÉ BADOS LÒPEZ</t>
  </si>
  <si>
    <t>INÉS MERCEDES LÓPEZ TORRES</t>
  </si>
  <si>
    <t>DANNY ALEXANDER SANCHEZ ESTRADA</t>
  </si>
  <si>
    <t>ANGELA EDITH GONZALEZ PIANDA</t>
  </si>
  <si>
    <t>ANDREA LILIANA LAGUNA RUALES</t>
  </si>
  <si>
    <t>ALBA DENIS ARGOTY SANTACRUZ</t>
  </si>
  <si>
    <t>DARLLY ROXANA ROSERO TIMARÁN</t>
  </si>
  <si>
    <t>16/5/2025</t>
  </si>
  <si>
    <t>ALEJANDRA MARLENY PATIÑO VALENCIA</t>
  </si>
  <si>
    <t>ADRIANA YORLADY ARMERO BURBANO</t>
  </si>
  <si>
    <t>JOSE JAVIER PINTA YAQUENO</t>
  </si>
  <si>
    <t>ANGELA PAOLA BOLAÐOS ARGOTI</t>
  </si>
  <si>
    <t>TANIA KARINA CUERO CASANOVA</t>
  </si>
  <si>
    <t>EDIER ERNEY CORDOBA ROJAS</t>
  </si>
  <si>
    <t>YEIMER DANILO CAEZ MORALES</t>
  </si>
  <si>
    <t>EDITH ANGELICA LOPEZ VILLARREAL</t>
  </si>
  <si>
    <t>MARIA DE LOS ANGELES ACOSTA ROSERO</t>
  </si>
  <si>
    <t>LINA YEZMIN DE LA CRUZ CUSIS</t>
  </si>
  <si>
    <t>ANNY MAYERLINE NARVAEZ ÑAÑEZ</t>
  </si>
  <si>
    <t>JEISSON STEVEN BASANTE ERAZO</t>
  </si>
  <si>
    <t>DIANA SOFIA AYALA DIAZ</t>
  </si>
  <si>
    <t>PATRICIA YOLANDA PAZ DELGADO</t>
  </si>
  <si>
    <t>JENIFER AREVALO CRIOLLO</t>
  </si>
  <si>
    <t>ELBER ALFREDO CAMPAÑA IMBAQUIN</t>
  </si>
  <si>
    <t>DIANA MARIA ERASO ALAVA</t>
  </si>
  <si>
    <t>19/5/2025</t>
  </si>
  <si>
    <t>ANGIE VIVIANA SACANAMBUY PAZ</t>
  </si>
  <si>
    <t>DIANA CAROLINA CORTES TAPIA</t>
  </si>
  <si>
    <t>HECTOR GERMAN OJEDA CERON</t>
  </si>
  <si>
    <t>CINDY ESTEFANIA GONZALES DEL CASTILLO</t>
  </si>
  <si>
    <t>LIZETH MARCELA ORTÌZ MUÑOZ</t>
  </si>
  <si>
    <t>CARMEN LILIANA ARMERO RUIZ</t>
  </si>
  <si>
    <t>JAQUELINE MELO MOSQUERA</t>
  </si>
  <si>
    <t>VANESSA KATHERINE JOJOA ARIAS</t>
  </si>
  <si>
    <t>BRIGIT ESNIT GARCIA MANCHABAJOY</t>
  </si>
  <si>
    <t>NICOLAS ALEJANDRO ROSERO MORILLO</t>
  </si>
  <si>
    <t>ANDREA NATHALY ALAVA BOLAÑOS</t>
  </si>
  <si>
    <t>CAROL SILVANA PATIÑO VALENCIA</t>
  </si>
  <si>
    <t>CONSTANZA HAIDY UNIGARRO PAZ</t>
  </si>
  <si>
    <t>20/5/2025</t>
  </si>
  <si>
    <t>TANIA MARCELA DIAZ DIAZ</t>
  </si>
  <si>
    <t>BLANCA MELVA GAVIRIA BRAVO</t>
  </si>
  <si>
    <t>ALEXANDRA MARIA ORTEGA ROSERO</t>
  </si>
  <si>
    <t>EDWIN PANTOJA OTERO</t>
  </si>
  <si>
    <t>NATHALY STEPHANIE MARTINEZ MARTINEZ</t>
  </si>
  <si>
    <t>NUVI GRACIELA CHAMORRO CORAL</t>
  </si>
  <si>
    <t>DANIELA FERNANDA ERASO VALENCIA</t>
  </si>
  <si>
    <t>ADRIANA PATRICIA DUEÑAS SALAZAR</t>
  </si>
  <si>
    <t>MILENA ELIZABETH ORDOÐEZ ORTIZ</t>
  </si>
  <si>
    <t>JUAN PABLO MADROÑERO MUÑOZ</t>
  </si>
  <si>
    <t>PABLO ERNESTO RIOBAMBA IPIALES</t>
  </si>
  <si>
    <t>EXPRESO SURAMERICANA DE TURISMO SAS</t>
  </si>
  <si>
    <t>MARILIN ZAMBRANO OBANDO</t>
  </si>
  <si>
    <t>JOSE FERNANDO CHAÑA QUENGUAN</t>
  </si>
  <si>
    <t>21/5/2025</t>
  </si>
  <si>
    <t>FERNANDO TEOFILO ROSERO PATIÑO</t>
  </si>
  <si>
    <t>DIANA CAROLINA ORTEGA CAICEDO</t>
  </si>
  <si>
    <t>DEISY JOHANNA BASTIDAS JOJOA</t>
  </si>
  <si>
    <t>PAGUAY GUANCHA MARIA INES</t>
  </si>
  <si>
    <t>22/5/2025</t>
  </si>
  <si>
    <t>YENIFER NAYIBE MENESES TOBAR</t>
  </si>
  <si>
    <t>CARLOS ANDRES PANTOJA BENAVIDES</t>
  </si>
  <si>
    <t>23/5/2025</t>
  </si>
  <si>
    <t>MARIA ISABEL ALVAREZ CAICEDO</t>
  </si>
  <si>
    <t>FRAN GIOVANNY GETIAL CHICAIZA</t>
  </si>
  <si>
    <t>PAOLA ANDREA MENESES ERAZO</t>
  </si>
  <si>
    <t>NICOLAS EMILIO MENA JOJOA</t>
  </si>
  <si>
    <t>26/5/2025</t>
  </si>
  <si>
    <t>LYNN JANINA ORTIZ PAZ</t>
  </si>
  <si>
    <t>YEISON SMIT NUÑEZ ACOSTA</t>
  </si>
  <si>
    <t>KELLY YURANY JOJOA BOTINA</t>
  </si>
  <si>
    <t>TATIANA ANDREA CRIOLLO GENOY</t>
  </si>
  <si>
    <t>28/5/2025</t>
  </si>
  <si>
    <t>29/5/2025</t>
  </si>
  <si>
    <t>GARCIA JOJOA EDITH CRISTINA</t>
  </si>
  <si>
    <t>30/5/2025</t>
  </si>
  <si>
    <t>LIGIA DEL CARMEN ERAZO GUERRERO</t>
  </si>
  <si>
    <t>HAROLD CAMILO QUINTERO GUEVARA</t>
  </si>
  <si>
    <t>JULIANA ANDREA PAZ JOJOA</t>
  </si>
  <si>
    <t>16/06/2025</t>
  </si>
  <si>
    <t>DIANA CAROLINA TISOY CHASOY</t>
  </si>
  <si>
    <t>18/06/2025</t>
  </si>
  <si>
    <t>20/06/2025</t>
  </si>
  <si>
    <t>24/06/2025</t>
  </si>
  <si>
    <t>NELSY MARITZA JOJOA JOJOA</t>
  </si>
  <si>
    <t>YOLLDY LIZETH CABRERA FUERTES</t>
  </si>
  <si>
    <t>25/06/2025</t>
  </si>
  <si>
    <t>LADY CAROLINA TIBAQUIRA BALLESTEROS</t>
  </si>
  <si>
    <t>26/06/2025</t>
  </si>
  <si>
    <t>MERCEDES OLIVIA POVEDA</t>
  </si>
  <si>
    <t>PAOLA ANDREA RIOS TAPIA</t>
  </si>
  <si>
    <t>TULCAN GAMBOA NAYIBE JACQUELINE</t>
  </si>
  <si>
    <t>26/6/2025</t>
  </si>
  <si>
    <t>LINA MARIA PIZANO PEREZ</t>
  </si>
  <si>
    <t>NATHALIA ELIZABETH TULCAN GAMBOA</t>
  </si>
  <si>
    <t>ANA MILENA JACANMIJOY TREJO</t>
  </si>
  <si>
    <t>DIANA SOFIA PANTOJA RUANO</t>
  </si>
  <si>
    <t>EDUARDO MAURICIO NARVAEZ GUERRA</t>
  </si>
  <si>
    <t>KARINA MARIBEL LUNA LOPEZ</t>
  </si>
  <si>
    <t>LILIANA MAYER BOTINA CRIOLLO</t>
  </si>
  <si>
    <t>MARILYN ZAMBRANO OBANDO</t>
  </si>
  <si>
    <t>PATRICIA MARIBEL MARTINEZ</t>
  </si>
  <si>
    <t>EMILY ROMERO MENDOZA</t>
  </si>
  <si>
    <t>IVAN ALEXANDER BEJARANO RAMIREZ</t>
  </si>
  <si>
    <t>USAMA TATICUAN LUZ EMILIA</t>
  </si>
  <si>
    <t>ANGELA LORENA LOPEZ VALLEJO</t>
  </si>
  <si>
    <t>LEYDI GISELLA BENAVIDES LÒPEZ</t>
  </si>
  <si>
    <t>ZAMBRANO ONOFRE MYRIAM ADRIANA</t>
  </si>
  <si>
    <t>MARIA CAMILA PATIÑO DELGADO</t>
  </si>
  <si>
    <t>15/7/2025</t>
  </si>
  <si>
    <t>CARLOS ADRIAN MEDINA GUERRERO</t>
  </si>
  <si>
    <t>TABLA ANDRADE OLIVA ESPERANZA</t>
  </si>
  <si>
    <t>YANCARLO YAMIT PUCHANA RAMOS</t>
  </si>
  <si>
    <t>FANNY MIREYA LIMAS CUNDAR</t>
  </si>
  <si>
    <t>YULY MARCELA MORALES LOPEZ</t>
  </si>
  <si>
    <t>16/7/2025</t>
  </si>
  <si>
    <t>DIANA CAROLINA CORAL LOPEZ</t>
  </si>
  <si>
    <t>JERSON LEODAN LEITON TORO</t>
  </si>
  <si>
    <t>DOLLY DIGNA DAVILA</t>
  </si>
  <si>
    <t>CARLOS EDUARDO BASTIDAS OBANDO</t>
  </si>
  <si>
    <t>JEFFERSON RIGO LEITON RODRIGUEZ</t>
  </si>
  <si>
    <t>MORILLO SANTACRUZ ANGELA MARIA</t>
  </si>
  <si>
    <t>17/7/2025</t>
  </si>
  <si>
    <t>ANA GLAIR ESTRADA CASTILLO</t>
  </si>
  <si>
    <t>BUITRAGO ALZATE JERSON ALBEIRO</t>
  </si>
  <si>
    <t>BOTINA VALLEJO SANDRA YANETH</t>
  </si>
  <si>
    <t>JULIET ELIANA MORENO LOPEZ</t>
  </si>
  <si>
    <t>18/7/2025</t>
  </si>
  <si>
    <t>ORTIZ BOTINA MARIANA DE JESUS</t>
  </si>
  <si>
    <t>21/7/2025</t>
  </si>
  <si>
    <t>SANTACRUZ NARVAEZ KAREN GUISELA</t>
  </si>
  <si>
    <t>SANDRA PATRICIA GOMEZ SANCHEZ</t>
  </si>
  <si>
    <t>MARIA CAMILA JURADO PAZ</t>
  </si>
  <si>
    <t>24/7/2025</t>
  </si>
  <si>
    <t>PAOLA ANDREA ROSAS MORA</t>
  </si>
  <si>
    <t>MARIA ISABEL VELASCOS ROSERO</t>
  </si>
  <si>
    <t>29/7/2025</t>
  </si>
  <si>
    <t>NEIRA JIMENA CASTILLO ARMERO</t>
  </si>
  <si>
    <t>ISABELA CATALINA CALDERON MERA</t>
  </si>
  <si>
    <t>30/7/2025</t>
  </si>
  <si>
    <t>MONICA ALEXANDRA ORTIZ CABRERA</t>
  </si>
  <si>
    <t>ELIANA STEPHANIE CAICEDO ALVAREZ</t>
  </si>
  <si>
    <t>FRANCISCO RAFAEL ORTÍZ BENÌTEZ</t>
  </si>
  <si>
    <t>ANYI NATALY FARINANGO CHAVEZ</t>
  </si>
  <si>
    <t>PAULA ANDREA ROCHA DELGADO</t>
  </si>
  <si>
    <t>ANA VICTORIA ORTEGA GOMEZ</t>
  </si>
  <si>
    <t>PAULA ANDREA PRADO ACOSTA</t>
  </si>
  <si>
    <t>DANIELA ALEXANDRA DIAZ GUERRERO</t>
  </si>
  <si>
    <t>YULLI KAROLINA CASTILLO PAZ</t>
  </si>
  <si>
    <t>LAUREN AZENITH CORAL SAMUDIO</t>
  </si>
  <si>
    <t>MARIBEL DEL CARMEN MAIGUAL MUÑOZ</t>
  </si>
  <si>
    <t>CAROL SUVANY HERRERA ERAZO</t>
  </si>
  <si>
    <t>CAMILO JAVIER OÑATE BUCHELI</t>
  </si>
  <si>
    <t>SOFIA ESMERALDA MEJIA ORTÍZ</t>
  </si>
  <si>
    <t>JESSICA GRACE HERNANDEZ RIASCOS</t>
  </si>
  <si>
    <t>PAOLA VIVIANA HIDALGO MARCILLO</t>
  </si>
  <si>
    <t>CLARA INES APRAEZ GOMEZ</t>
  </si>
  <si>
    <t>CLARA MARIA ACOSTA</t>
  </si>
  <si>
    <t>JOHANA KATERINE GONZALEZ</t>
  </si>
  <si>
    <t>EVELYN FERNANDA ACOSTA CHICAIZA</t>
  </si>
  <si>
    <t>JAVIER FERNANDO CHILANGUAD CABRERA</t>
  </si>
  <si>
    <t>MONICA DEL ROCIO ERAZO RUIZ</t>
  </si>
  <si>
    <t>LISSETH MARISOL CUASTUMAL CASTRO</t>
  </si>
  <si>
    <t>13/8/2025</t>
  </si>
  <si>
    <t>14/08/2025</t>
  </si>
  <si>
    <t>CRISTIAN FABIAN CRIOLLO RIVERA</t>
  </si>
  <si>
    <t>FHALOM CAROLINA ROSERO TORRES</t>
  </si>
  <si>
    <t>ANGIE GABRIELA ENRIQUEZ TACAN</t>
  </si>
  <si>
    <t>15/08/2025</t>
  </si>
  <si>
    <t>ANA ALEJANDRA SALAZAR RAMIREZ</t>
  </si>
  <si>
    <t>MIRYAM ELIZABETH POPAYAN PASCUAZA</t>
  </si>
  <si>
    <t>JUAN ESTEBAN OBANDO ORDOÑEZ</t>
  </si>
  <si>
    <t>19/08/2025</t>
  </si>
  <si>
    <t>25/08/2025</t>
  </si>
  <si>
    <t>26/08/2025</t>
  </si>
  <si>
    <t>MARGARITA ANDREA BENAVIDES NASPIRAN</t>
  </si>
  <si>
    <t>LAURA CATALINA MUÑOZ LUNA</t>
  </si>
  <si>
    <t>27/8/2025</t>
  </si>
  <si>
    <t>DIANA MARCELA RODRIGUEZ MORA</t>
  </si>
  <si>
    <t>VERONICA SOFIA HUERTAS ARCINIEGAS</t>
  </si>
  <si>
    <t>MAGDA YAMILE MIDEROS MUÐOZ</t>
  </si>
  <si>
    <t>NATALIA ANDREA LATORRE RUANO</t>
  </si>
  <si>
    <t>JOHANA CAROLINA CAICEDO GOYES</t>
  </si>
  <si>
    <t>CALVACHE MARTINEZ CLAUDIA LUCY</t>
  </si>
  <si>
    <t>OLIVA ORTIZ LILIANA ANDREA</t>
  </si>
  <si>
    <t>ORFELINA DEL CARMEN OSORIO GUERRERO</t>
  </si>
  <si>
    <t>ADRIANA GABRIELA DIAZ MONTENEGRO</t>
  </si>
  <si>
    <t>AIDE CAROLINA RIASCOS ECHEVERRY</t>
  </si>
  <si>
    <t>LUCIA PATRICIA URBANO VALLEJO</t>
  </si>
  <si>
    <t>YAMILE ALEJANDRA BOTINA RODRIGUEZ</t>
  </si>
  <si>
    <t>IBONNE ALEJANDRA SILVA ARAUJO</t>
  </si>
  <si>
    <t>MARIA ALEJANDRA BENAVIDES AYALA</t>
  </si>
  <si>
    <t>ISABEL CRISTINA SANTACRUZ MUÑOZ</t>
  </si>
  <si>
    <t>15/09/25</t>
  </si>
  <si>
    <t>MIRIAN SUVANY DAVID NARVAEZ</t>
  </si>
  <si>
    <t>JENIFFER ARCOS GIL</t>
  </si>
  <si>
    <t>16/09/25</t>
  </si>
  <si>
    <t>LUZ ANGELICA CHILES CABRERA</t>
  </si>
  <si>
    <t>GUIDO DUVAN RECALDE AREVALO</t>
  </si>
  <si>
    <t>18/09/25</t>
  </si>
  <si>
    <t>LICETH YAMIL TIMANA CAEZ</t>
  </si>
  <si>
    <t>ADRIANA YESENIA BOTINA GUACAS</t>
  </si>
  <si>
    <t>NORA VIVEROS BRAVO</t>
  </si>
  <si>
    <t>NIKOLE CAROLAY IBAÑEZ ALVAREZ</t>
  </si>
  <si>
    <t>22/09/25</t>
  </si>
  <si>
    <t>DOLORES BERTINA BASANTE</t>
  </si>
  <si>
    <t>VIVIAN ROXANA JURADO BANDA</t>
  </si>
  <si>
    <t>ANGY ELISABETH ROSERO LOPEZ</t>
  </si>
  <si>
    <t>LEYDI DEL ROSARIO CUACEZ NOGUERA</t>
  </si>
  <si>
    <t>23/09/25</t>
  </si>
  <si>
    <t>PAULA ANDREA MANOSALVA UNIGARRO</t>
  </si>
  <si>
    <t>25/09/25</t>
  </si>
  <si>
    <t>LUZ AMPARO ROMAN GUANCHA</t>
  </si>
  <si>
    <t>25/9/2025</t>
  </si>
  <si>
    <t>30/9/2025</t>
  </si>
  <si>
    <t>292-2025</t>
  </si>
  <si>
    <t>303-2025</t>
  </si>
  <si>
    <t>269-2025</t>
  </si>
  <si>
    <t>461-2025</t>
  </si>
  <si>
    <t>473-2025</t>
  </si>
  <si>
    <t>468-2025</t>
  </si>
  <si>
    <t>463-2025</t>
  </si>
  <si>
    <t>220-2025</t>
  </si>
  <si>
    <t>208-2025</t>
  </si>
  <si>
    <t>194-2025</t>
  </si>
  <si>
    <t>248-2025</t>
  </si>
  <si>
    <t>182-2025</t>
  </si>
  <si>
    <t>243-2025</t>
  </si>
  <si>
    <t>198-2025</t>
  </si>
  <si>
    <t>222-2025</t>
  </si>
  <si>
    <t>235-2025</t>
  </si>
  <si>
    <t>190-2025</t>
  </si>
  <si>
    <t>180-2025</t>
  </si>
  <si>
    <t>229-2025</t>
  </si>
  <si>
    <t>185-2025</t>
  </si>
  <si>
    <t>216-2025</t>
  </si>
  <si>
    <t>246-2025</t>
  </si>
  <si>
    <t>210-2025</t>
  </si>
  <si>
    <t>192-2025</t>
  </si>
  <si>
    <t>204-2025</t>
  </si>
  <si>
    <t>247-2025</t>
  </si>
  <si>
    <t>211-2025</t>
  </si>
  <si>
    <t>244-2025</t>
  </si>
  <si>
    <t>205-2025</t>
  </si>
  <si>
    <t>258-2025</t>
  </si>
  <si>
    <t>218-2025</t>
  </si>
  <si>
    <t>254-2025</t>
  </si>
  <si>
    <t>249-2025</t>
  </si>
  <si>
    <t>186-2025</t>
  </si>
  <si>
    <t>155-2025</t>
  </si>
  <si>
    <t>277-2025</t>
  </si>
  <si>
    <t>250-2025</t>
  </si>
  <si>
    <t>189-2025</t>
  </si>
  <si>
    <t>188-2025</t>
  </si>
  <si>
    <t>177-2025</t>
  </si>
  <si>
    <t>201-2025</t>
  </si>
  <si>
    <t>187-2025</t>
  </si>
  <si>
    <t>209-2025</t>
  </si>
  <si>
    <t>276-2025</t>
  </si>
  <si>
    <t>226-2025</t>
  </si>
  <si>
    <t>214-2025</t>
  </si>
  <si>
    <t>178-2025</t>
  </si>
  <si>
    <t>240-2025</t>
  </si>
  <si>
    <t>233-2025</t>
  </si>
  <si>
    <t>238-2025</t>
  </si>
  <si>
    <t>270-2025</t>
  </si>
  <si>
    <t>223-2025</t>
  </si>
  <si>
    <t>179-2025</t>
  </si>
  <si>
    <t>263-2025</t>
  </si>
  <si>
    <t>193-2025</t>
  </si>
  <si>
    <t>271-2025</t>
  </si>
  <si>
    <t>261-2025</t>
  </si>
  <si>
    <t>302-2025</t>
  </si>
  <si>
    <t>266-2025</t>
  </si>
  <si>
    <t>228-2025</t>
  </si>
  <si>
    <t>221-2025</t>
  </si>
  <si>
    <t>267-2025</t>
  </si>
  <si>
    <t>278-2025</t>
  </si>
  <si>
    <t>262-2025</t>
  </si>
  <si>
    <t>217-2025</t>
  </si>
  <si>
    <t>265-2025</t>
  </si>
  <si>
    <t>282-2025</t>
  </si>
  <si>
    <t>245-2025</t>
  </si>
  <si>
    <t>242-2025</t>
  </si>
  <si>
    <t>202-2025</t>
  </si>
  <si>
    <t>183-2025</t>
  </si>
  <si>
    <t>227-2025</t>
  </si>
  <si>
    <t>219-2025</t>
  </si>
  <si>
    <t>200-2025</t>
  </si>
  <si>
    <t>279-2025</t>
  </si>
  <si>
    <t>281-2025</t>
  </si>
  <si>
    <t>251-2025</t>
  </si>
  <si>
    <t>274-2025</t>
  </si>
  <si>
    <t>268-2025</t>
  </si>
  <si>
    <t>310-2025</t>
  </si>
  <si>
    <t>239-2025</t>
  </si>
  <si>
    <t>184-2025</t>
  </si>
  <si>
    <t>224-2025</t>
  </si>
  <si>
    <t>259-2025</t>
  </si>
  <si>
    <t>260-2025</t>
  </si>
  <si>
    <t>311-2025</t>
  </si>
  <si>
    <t>252-2025</t>
  </si>
  <si>
    <t>304-2025</t>
  </si>
  <si>
    <t>309-2025</t>
  </si>
  <si>
    <t>314-2025</t>
  </si>
  <si>
    <t>366-2025</t>
  </si>
  <si>
    <t>346-2025</t>
  </si>
  <si>
    <t>386-2025</t>
  </si>
  <si>
    <t>196-2025</t>
  </si>
  <si>
    <t>367-2025</t>
  </si>
  <si>
    <t>363-2025</t>
  </si>
  <si>
    <t>359-2025</t>
  </si>
  <si>
    <t>358-2025</t>
  </si>
  <si>
    <t>378-2025</t>
  </si>
  <si>
    <t>448-2025</t>
  </si>
  <si>
    <t>357-2025</t>
  </si>
  <si>
    <t>450-2025</t>
  </si>
  <si>
    <t>424-2025</t>
  </si>
  <si>
    <t>350-2025</t>
  </si>
  <si>
    <t>432-2025</t>
  </si>
  <si>
    <t>433-2025</t>
  </si>
  <si>
    <t>434-2025</t>
  </si>
  <si>
    <t>431-2025</t>
  </si>
  <si>
    <t>446-2025</t>
  </si>
  <si>
    <t>368-2025</t>
  </si>
  <si>
    <t>439-2025</t>
  </si>
  <si>
    <t>429-2025</t>
  </si>
  <si>
    <t>425-2025</t>
  </si>
  <si>
    <t>451-2025</t>
  </si>
  <si>
    <t>421-2025</t>
  </si>
  <si>
    <t>466-2025</t>
  </si>
  <si>
    <t>441-2025</t>
  </si>
  <si>
    <t>442-2025</t>
  </si>
  <si>
    <t>444-2025</t>
  </si>
  <si>
    <t>427-2025</t>
  </si>
  <si>
    <t>426-2025</t>
  </si>
  <si>
    <t>423-2025</t>
  </si>
  <si>
    <t>418-2025</t>
  </si>
  <si>
    <t>430-2025</t>
  </si>
  <si>
    <t>447-2025</t>
  </si>
  <si>
    <t>471-2025</t>
  </si>
  <si>
    <t>428-2025</t>
  </si>
  <si>
    <t>443-2025</t>
  </si>
  <si>
    <t>494-2025</t>
  </si>
  <si>
    <t>452-2025</t>
  </si>
  <si>
    <t>474-2025</t>
  </si>
  <si>
    <t>440-2025</t>
  </si>
  <si>
    <t>464-2025</t>
  </si>
  <si>
    <t>459-2025</t>
  </si>
  <si>
    <t>454-2025</t>
  </si>
  <si>
    <t>436-2025</t>
  </si>
  <si>
    <t>507-2025</t>
  </si>
  <si>
    <t>467-2025</t>
  </si>
  <si>
    <t>510-2025</t>
  </si>
  <si>
    <t>490-2025</t>
  </si>
  <si>
    <t>518-2025</t>
  </si>
  <si>
    <t>453-2025</t>
  </si>
  <si>
    <t>491-2025</t>
  </si>
  <si>
    <t>543-2025</t>
  </si>
  <si>
    <t>476-2025</t>
  </si>
  <si>
    <t>458-2025</t>
  </si>
  <si>
    <t>539-2025</t>
  </si>
  <si>
    <t>573-2025</t>
  </si>
  <si>
    <t>568-2025</t>
  </si>
  <si>
    <t>572-2025</t>
  </si>
  <si>
    <t>552-2025</t>
  </si>
  <si>
    <t>504-2025</t>
  </si>
  <si>
    <t>592-2025</t>
  </si>
  <si>
    <t>606-2025</t>
  </si>
  <si>
    <t>565-2025</t>
  </si>
  <si>
    <t>498-2025</t>
  </si>
  <si>
    <t>575-2025</t>
  </si>
  <si>
    <t>607-2025</t>
  </si>
  <si>
    <t>462-2025</t>
  </si>
  <si>
    <t>500-2025</t>
  </si>
  <si>
    <t>455-2025</t>
  </si>
  <si>
    <t>514-2025</t>
  </si>
  <si>
    <t>502-2025</t>
  </si>
  <si>
    <t>550-2025</t>
  </si>
  <si>
    <t>545-2025</t>
  </si>
  <si>
    <t>533-2025</t>
  </si>
  <si>
    <t>540-2025</t>
  </si>
  <si>
    <t>576-2025</t>
  </si>
  <si>
    <t>608-2025</t>
  </si>
  <si>
    <t>605-2025</t>
  </si>
  <si>
    <t>615-2025</t>
  </si>
  <si>
    <t>594-2025</t>
  </si>
  <si>
    <t>557-2025</t>
  </si>
  <si>
    <t>515-2025</t>
  </si>
  <si>
    <t>497-2025</t>
  </si>
  <si>
    <t>503-2025</t>
  </si>
  <si>
    <t>457-2025</t>
  </si>
  <si>
    <t>537-2025</t>
  </si>
  <si>
    <t>520-2025</t>
  </si>
  <si>
    <t>547-2025</t>
  </si>
  <si>
    <t>554-2025</t>
  </si>
  <si>
    <t>535-2025</t>
  </si>
  <si>
    <t>553-2025</t>
  </si>
  <si>
    <t>548-2025</t>
  </si>
  <si>
    <t>544-2025</t>
  </si>
  <si>
    <t>484-2025</t>
  </si>
  <si>
    <t>556-2025</t>
  </si>
  <si>
    <t>525-2025</t>
  </si>
  <si>
    <t>601-2025</t>
  </si>
  <si>
    <t>522-2025</t>
  </si>
  <si>
    <t>487-2025</t>
  </si>
  <si>
    <t>549--2025</t>
  </si>
  <si>
    <t>614-2025</t>
  </si>
  <si>
    <t>643-2025</t>
  </si>
  <si>
    <t>488-2025</t>
  </si>
  <si>
    <t>532-2025</t>
  </si>
  <si>
    <t>642-2025</t>
  </si>
  <si>
    <t>609-2025</t>
  </si>
  <si>
    <t>631-2025</t>
  </si>
  <si>
    <t>475-2025</t>
  </si>
  <si>
    <t>667-2025</t>
  </si>
  <si>
    <t>663-2025</t>
  </si>
  <si>
    <t>574-2025</t>
  </si>
  <si>
    <t>207-2024</t>
  </si>
  <si>
    <t>212-2025</t>
  </si>
  <si>
    <t>234-2025</t>
  </si>
  <si>
    <t>181-2025</t>
  </si>
  <si>
    <t>199-2025</t>
  </si>
  <si>
    <t>364-2025</t>
  </si>
  <si>
    <t>225-2025</t>
  </si>
  <si>
    <t>360-2025</t>
  </si>
  <si>
    <t>375-2025</t>
  </si>
  <si>
    <t>307-2025</t>
  </si>
  <si>
    <t>438-2025</t>
  </si>
  <si>
    <t>493-2025</t>
  </si>
  <si>
    <t>524-2025</t>
  </si>
  <si>
    <t>477-2025</t>
  </si>
  <si>
    <t>499-2025</t>
  </si>
  <si>
    <t>517-2025</t>
  </si>
  <si>
    <t>513-2025</t>
  </si>
  <si>
    <t>516-2025</t>
  </si>
  <si>
    <t>495-2025</t>
  </si>
  <si>
    <t>536-2025</t>
  </si>
  <si>
    <t>521-2025</t>
  </si>
  <si>
    <t>509-2025</t>
  </si>
  <si>
    <t>472-2025</t>
  </si>
  <si>
    <t>489-2025</t>
  </si>
  <si>
    <t>465-2025</t>
  </si>
  <si>
    <t>478-2025</t>
  </si>
  <si>
    <t>241-2025</t>
  </si>
  <si>
    <t>527-2025</t>
  </si>
  <si>
    <t>480-2025</t>
  </si>
  <si>
    <t>482-2025</t>
  </si>
  <si>
    <t>483-2025</t>
  </si>
  <si>
    <t>541-2025</t>
  </si>
  <si>
    <t>496-2025</t>
  </si>
  <si>
    <t>479-2025</t>
  </si>
  <si>
    <t>481-2025</t>
  </si>
  <si>
    <t>564-2025</t>
  </si>
  <si>
    <t>637-2025</t>
  </si>
  <si>
    <t>633-2025</t>
  </si>
  <si>
    <t>654-2025</t>
  </si>
  <si>
    <t>655-2025</t>
  </si>
  <si>
    <t>590-2025</t>
  </si>
  <si>
    <t>660-2025</t>
  </si>
  <si>
    <t>580-2025</t>
  </si>
  <si>
    <t>492-2025</t>
  </si>
  <si>
    <t>689-2025</t>
  </si>
  <si>
    <t>E</t>
  </si>
  <si>
    <t>2025-09-11</t>
  </si>
  <si>
    <t>2025001907</t>
  </si>
  <si>
    <t>549-2025</t>
  </si>
  <si>
    <t>PAOLA ANDREA ESPINOSA BURBANO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</si>
</sst>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yyyy\-mm\-dd;@"/>
    <numFmt numFmtId="170" formatCode="&quot;$&quot;#,##0.00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4" fillId="0" borderId="0" xfId="0" applyNumberFormat="1" applyFont="1"/>
    <xf numFmtId="0" fontId="5" fillId="0" borderId="0" xfId="0" applyFont="1"/>
    <xf numFmtId="0" fontId="4" fillId="0" borderId="0" xfId="0" applyFont="1"/>
    <xf numFmtId="165" fontId="0" fillId="0" borderId="0" xfId="0" applyNumberFormat="1"/>
    <xf numFmtId="0" fontId="3" fillId="0" borderId="0" xfId="0" applyFont="1"/>
    <xf numFmtId="0" fontId="2" fillId="0" borderId="0" xfId="0" applyFont="1"/>
    <xf numFmtId="1" fontId="4" fillId="0" borderId="0" xfId="0" applyNumberFormat="1" applyFont="1"/>
    <xf numFmtId="1" fontId="0" fillId="0" borderId="0" xfId="0" applyNumberFormat="1"/>
    <xf numFmtId="14" fontId="0" fillId="0" borderId="0" xfId="0" applyNumberFormat="1"/>
    <xf numFmtId="0" fontId="1" fillId="0" borderId="0" xfId="0" applyFont="1"/>
    <xf numFmtId="0" fontId="7" fillId="0" borderId="0" xfId="0" applyFont="1"/>
    <xf numFmtId="170" fontId="0" fillId="0" borderId="0" xfId="0" applyNumberFormat="1"/>
    <xf numFmtId="0" fontId="0" fillId="0" borderId="0" xfId="0" applyNumberFormat="1"/>
    <xf numFmtId="165" fontId="6" fillId="0" borderId="0" xfId="0" applyNumberFormat="1" applyFont="1"/>
    <xf numFmtId="0" fontId="6" fillId="0" borderId="0" xfId="0" applyNumberFormat="1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contratos_consolidado.xlsx" TargetMode="External"/><Relationship Id="rId1" Type="http://schemas.openxmlformats.org/officeDocument/2006/relationships/externalLinkPath" Target="file:///E:\contratos_consolid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976"/>
      <sheetName val="1397"/>
      <sheetName val="1778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74E22-5B75-48FE-8295-42DA4DA42DA1}">
  <sheetPr filterMode="1"/>
  <dimension ref="A1:I31"/>
  <sheetViews>
    <sheetView workbookViewId="0">
      <selection activeCell="C29" sqref="C29"/>
    </sheetView>
  </sheetViews>
  <sheetFormatPr baseColWidth="10" defaultRowHeight="15" x14ac:dyDescent="0.25"/>
  <cols>
    <col min="4" max="4" width="15" style="8" bestFit="1" customWidth="1"/>
  </cols>
  <sheetData>
    <row r="1" spans="1:9" x14ac:dyDescent="0.25">
      <c r="A1" s="1" t="s">
        <v>0</v>
      </c>
      <c r="B1" s="2" t="s">
        <v>1</v>
      </c>
      <c r="C1" s="2" t="s">
        <v>2</v>
      </c>
      <c r="D1" s="7" t="s">
        <v>3</v>
      </c>
      <c r="E1" s="2" t="s">
        <v>4</v>
      </c>
      <c r="F1" s="2" t="s">
        <v>5</v>
      </c>
      <c r="G1" s="2" t="s">
        <v>6</v>
      </c>
      <c r="I1" t="s">
        <v>46</v>
      </c>
    </row>
    <row r="2" spans="1:9" hidden="1" x14ac:dyDescent="0.25">
      <c r="A2" s="4">
        <v>45867</v>
      </c>
      <c r="B2">
        <v>2025001462</v>
      </c>
      <c r="C2" t="s">
        <v>47</v>
      </c>
      <c r="D2" s="8">
        <v>4825000</v>
      </c>
      <c r="E2">
        <v>36751052</v>
      </c>
      <c r="F2" t="s">
        <v>48</v>
      </c>
      <c r="G2" t="s">
        <v>43</v>
      </c>
      <c r="H2" t="s">
        <v>47</v>
      </c>
      <c r="I2" t="s">
        <v>45</v>
      </c>
    </row>
    <row r="3" spans="1:9" hidden="1" x14ac:dyDescent="0.25">
      <c r="A3" s="1">
        <v>45868</v>
      </c>
      <c r="B3" s="2">
        <v>2025001471</v>
      </c>
      <c r="C3" s="2" t="s">
        <v>7</v>
      </c>
      <c r="D3" s="7">
        <v>36412170</v>
      </c>
      <c r="E3" s="2">
        <v>900994364</v>
      </c>
      <c r="F3" s="2" t="s">
        <v>8</v>
      </c>
      <c r="G3" t="s">
        <v>43</v>
      </c>
      <c r="H3" t="s">
        <v>7</v>
      </c>
      <c r="I3" s="6" t="s">
        <v>44</v>
      </c>
    </row>
    <row r="4" spans="1:9" hidden="1" x14ac:dyDescent="0.25">
      <c r="A4" s="1">
        <v>45909</v>
      </c>
      <c r="B4" s="2">
        <v>2025001854</v>
      </c>
      <c r="C4" s="3" t="s">
        <v>10</v>
      </c>
      <c r="D4" s="7">
        <v>173682694</v>
      </c>
      <c r="E4" s="2">
        <v>901340412</v>
      </c>
      <c r="F4" s="2" t="s">
        <v>11</v>
      </c>
      <c r="G4" t="s">
        <v>43</v>
      </c>
      <c r="H4" t="s">
        <v>10</v>
      </c>
      <c r="I4" s="6" t="s">
        <v>45</v>
      </c>
    </row>
    <row r="5" spans="1:9" hidden="1" x14ac:dyDescent="0.25">
      <c r="A5" s="1">
        <v>45857</v>
      </c>
      <c r="B5" s="2">
        <v>2025001907</v>
      </c>
      <c r="C5" s="2" t="s">
        <v>32</v>
      </c>
      <c r="D5" s="7">
        <v>3000000</v>
      </c>
      <c r="E5" s="2">
        <v>36861874</v>
      </c>
      <c r="F5" s="2" t="s">
        <v>12</v>
      </c>
      <c r="G5" t="s">
        <v>43</v>
      </c>
      <c r="H5" t="s">
        <v>32</v>
      </c>
      <c r="I5" s="6" t="s">
        <v>44</v>
      </c>
    </row>
    <row r="6" spans="1:9" hidden="1" x14ac:dyDescent="0.25">
      <c r="A6" s="1">
        <v>45916</v>
      </c>
      <c r="B6" s="2">
        <v>2025001951</v>
      </c>
      <c r="C6" s="2" t="s">
        <v>13</v>
      </c>
      <c r="D6" s="7">
        <v>75390000</v>
      </c>
      <c r="E6" s="2">
        <v>805021222</v>
      </c>
      <c r="F6" s="2" t="s">
        <v>14</v>
      </c>
      <c r="G6" t="s">
        <v>43</v>
      </c>
      <c r="H6" t="s">
        <v>13</v>
      </c>
      <c r="I6" s="6" t="s">
        <v>44</v>
      </c>
    </row>
    <row r="7" spans="1:9" hidden="1" x14ac:dyDescent="0.25">
      <c r="A7" s="1">
        <v>45918</v>
      </c>
      <c r="B7" s="2">
        <v>2025001980</v>
      </c>
      <c r="C7" s="2" t="s">
        <v>15</v>
      </c>
      <c r="D7" s="7">
        <v>2500000</v>
      </c>
      <c r="E7" s="2">
        <v>1087408320</v>
      </c>
      <c r="F7" s="2" t="s">
        <v>16</v>
      </c>
      <c r="G7" t="s">
        <v>43</v>
      </c>
      <c r="H7" t="s">
        <v>15</v>
      </c>
      <c r="I7" s="6" t="s">
        <v>44</v>
      </c>
    </row>
    <row r="8" spans="1:9" hidden="1" x14ac:dyDescent="0.25">
      <c r="A8" s="1">
        <v>45933</v>
      </c>
      <c r="B8" s="2">
        <v>2025002144</v>
      </c>
      <c r="C8" s="2" t="s">
        <v>13</v>
      </c>
      <c r="D8" s="7">
        <v>49606946</v>
      </c>
      <c r="E8" s="2">
        <v>805021222</v>
      </c>
      <c r="F8" s="2" t="s">
        <v>14</v>
      </c>
      <c r="G8" t="s">
        <v>43</v>
      </c>
      <c r="H8" t="s">
        <v>13</v>
      </c>
      <c r="I8" s="5" t="s">
        <v>44</v>
      </c>
    </row>
    <row r="9" spans="1:9" hidden="1" x14ac:dyDescent="0.25">
      <c r="A9" s="1">
        <v>45965</v>
      </c>
      <c r="B9">
        <v>2025002552</v>
      </c>
      <c r="C9" s="2" t="s">
        <v>28</v>
      </c>
      <c r="D9" s="7">
        <v>3000000</v>
      </c>
      <c r="E9" s="2">
        <v>1085325325</v>
      </c>
      <c r="F9" s="2" t="s">
        <v>29</v>
      </c>
      <c r="G9" t="s">
        <v>43</v>
      </c>
      <c r="H9" t="s">
        <v>28</v>
      </c>
      <c r="I9" s="6" t="s">
        <v>44</v>
      </c>
    </row>
    <row r="10" spans="1:9" hidden="1" x14ac:dyDescent="0.25">
      <c r="A10" s="1">
        <v>45965</v>
      </c>
      <c r="B10" s="2">
        <v>2025002553</v>
      </c>
      <c r="C10" s="2" t="s">
        <v>24</v>
      </c>
      <c r="D10" s="7">
        <v>3000000</v>
      </c>
      <c r="E10" s="2">
        <v>59833899</v>
      </c>
      <c r="F10" s="2" t="s">
        <v>25</v>
      </c>
      <c r="G10" t="s">
        <v>43</v>
      </c>
      <c r="H10" t="s">
        <v>24</v>
      </c>
      <c r="I10" s="6" t="s">
        <v>44</v>
      </c>
    </row>
    <row r="11" spans="1:9" hidden="1" x14ac:dyDescent="0.25">
      <c r="A11" s="1">
        <v>45965</v>
      </c>
      <c r="B11" s="2">
        <v>2025002554</v>
      </c>
      <c r="C11" s="2" t="s">
        <v>33</v>
      </c>
      <c r="D11" s="7">
        <v>3000000</v>
      </c>
      <c r="E11" s="2">
        <v>59830040</v>
      </c>
      <c r="F11" s="2" t="s">
        <v>34</v>
      </c>
      <c r="G11" t="s">
        <v>43</v>
      </c>
      <c r="H11" t="s">
        <v>33</v>
      </c>
      <c r="I11" t="s">
        <v>44</v>
      </c>
    </row>
    <row r="12" spans="1:9" hidden="1" x14ac:dyDescent="0.25">
      <c r="A12" s="1">
        <v>45966</v>
      </c>
      <c r="B12" s="2">
        <v>2025002569</v>
      </c>
      <c r="C12" s="2" t="s">
        <v>35</v>
      </c>
      <c r="D12" s="7">
        <v>3000000</v>
      </c>
      <c r="E12" s="2">
        <v>59828916</v>
      </c>
      <c r="F12" s="2" t="s">
        <v>36</v>
      </c>
      <c r="G12" t="s">
        <v>43</v>
      </c>
      <c r="H12" t="s">
        <v>35</v>
      </c>
      <c r="I12" t="s">
        <v>44</v>
      </c>
    </row>
    <row r="13" spans="1:9" hidden="1" x14ac:dyDescent="0.25">
      <c r="A13" s="1">
        <v>45974</v>
      </c>
      <c r="B13" s="2">
        <v>2025002788</v>
      </c>
      <c r="C13" s="2" t="s">
        <v>19</v>
      </c>
      <c r="D13" s="7">
        <v>3000000</v>
      </c>
      <c r="E13" s="2">
        <v>1085344795</v>
      </c>
      <c r="F13" s="2" t="s">
        <v>20</v>
      </c>
      <c r="G13" t="s">
        <v>43</v>
      </c>
      <c r="H13" t="s">
        <v>19</v>
      </c>
      <c r="I13" t="s">
        <v>44</v>
      </c>
    </row>
    <row r="14" spans="1:9" hidden="1" x14ac:dyDescent="0.25">
      <c r="A14" s="1">
        <v>45981</v>
      </c>
      <c r="B14">
        <v>2025002796</v>
      </c>
      <c r="C14" s="2" t="s">
        <v>21</v>
      </c>
      <c r="D14" s="7">
        <v>3000000</v>
      </c>
      <c r="E14" s="2">
        <v>1193271854</v>
      </c>
      <c r="F14" s="2" t="s">
        <v>9</v>
      </c>
      <c r="G14" t="s">
        <v>43</v>
      </c>
      <c r="H14" t="s">
        <v>21</v>
      </c>
      <c r="I14" t="s">
        <v>44</v>
      </c>
    </row>
    <row r="15" spans="1:9" hidden="1" x14ac:dyDescent="0.25">
      <c r="A15" s="4">
        <v>45982</v>
      </c>
      <c r="B15">
        <v>2025002797</v>
      </c>
      <c r="C15" s="5" t="s">
        <v>51</v>
      </c>
      <c r="D15" s="8">
        <v>3000000</v>
      </c>
      <c r="E15">
        <v>1080690337</v>
      </c>
      <c r="F15" s="5" t="s">
        <v>52</v>
      </c>
      <c r="G15" t="s">
        <v>43</v>
      </c>
      <c r="H15" t="s">
        <v>51</v>
      </c>
      <c r="I15" t="s">
        <v>44</v>
      </c>
    </row>
    <row r="16" spans="1:9" hidden="1" x14ac:dyDescent="0.25">
      <c r="A16" s="1">
        <v>45982</v>
      </c>
      <c r="B16" s="2">
        <v>2025002798</v>
      </c>
      <c r="C16" s="2" t="s">
        <v>17</v>
      </c>
      <c r="D16" s="7">
        <v>4825000</v>
      </c>
      <c r="E16" s="2">
        <v>1085311814</v>
      </c>
      <c r="F16" s="2" t="s">
        <v>18</v>
      </c>
      <c r="G16" t="s">
        <v>43</v>
      </c>
      <c r="H16" t="s">
        <v>17</v>
      </c>
      <c r="I16" t="s">
        <v>44</v>
      </c>
    </row>
    <row r="17" spans="1:9" hidden="1" x14ac:dyDescent="0.25">
      <c r="A17" s="1">
        <v>45986</v>
      </c>
      <c r="B17" s="2">
        <v>2025002887</v>
      </c>
      <c r="C17" s="2" t="s">
        <v>37</v>
      </c>
      <c r="D17" s="7">
        <v>3000000</v>
      </c>
      <c r="E17" s="2">
        <v>1085310466</v>
      </c>
      <c r="F17" s="2" t="s">
        <v>38</v>
      </c>
      <c r="G17" t="s">
        <v>43</v>
      </c>
      <c r="H17" t="s">
        <v>37</v>
      </c>
      <c r="I17" t="s">
        <v>44</v>
      </c>
    </row>
    <row r="18" spans="1:9" hidden="1" x14ac:dyDescent="0.25">
      <c r="A18" s="1">
        <v>45986</v>
      </c>
      <c r="B18" s="2">
        <v>2025002897</v>
      </c>
      <c r="C18" s="2" t="s">
        <v>26</v>
      </c>
      <c r="D18" s="7">
        <v>6000000</v>
      </c>
      <c r="E18" s="2">
        <v>1193223736</v>
      </c>
      <c r="F18" s="2" t="s">
        <v>27</v>
      </c>
      <c r="G18" t="s">
        <v>43</v>
      </c>
      <c r="H18" t="s">
        <v>26</v>
      </c>
      <c r="I18" t="s">
        <v>44</v>
      </c>
    </row>
    <row r="19" spans="1:9" hidden="1" x14ac:dyDescent="0.25">
      <c r="A19" s="1">
        <v>45989</v>
      </c>
      <c r="B19" s="2">
        <v>2025002997</v>
      </c>
      <c r="C19" s="2" t="s">
        <v>30</v>
      </c>
      <c r="D19" s="7">
        <v>2500000</v>
      </c>
      <c r="E19" s="2">
        <v>98386323</v>
      </c>
      <c r="F19" s="2" t="s">
        <v>31</v>
      </c>
      <c r="G19" t="s">
        <v>43</v>
      </c>
      <c r="H19" s="2" t="s">
        <v>30</v>
      </c>
      <c r="I19" t="s">
        <v>44</v>
      </c>
    </row>
    <row r="20" spans="1:9" hidden="1" x14ac:dyDescent="0.25">
      <c r="A20" s="1">
        <v>45989</v>
      </c>
      <c r="B20" s="2">
        <v>2025003001</v>
      </c>
      <c r="C20" s="2" t="s">
        <v>22</v>
      </c>
      <c r="D20" s="7">
        <v>2500000</v>
      </c>
      <c r="E20" s="2">
        <v>1085327836</v>
      </c>
      <c r="F20" s="2" t="s">
        <v>23</v>
      </c>
      <c r="G20" t="s">
        <v>43</v>
      </c>
      <c r="H20" t="s">
        <v>22</v>
      </c>
      <c r="I20" t="s">
        <v>44</v>
      </c>
    </row>
    <row r="21" spans="1:9" hidden="1" x14ac:dyDescent="0.25">
      <c r="A21" s="1">
        <v>46001</v>
      </c>
      <c r="B21" s="2">
        <v>2025003207</v>
      </c>
      <c r="C21" s="2" t="s">
        <v>15</v>
      </c>
      <c r="D21" s="7">
        <v>2500000</v>
      </c>
      <c r="E21" s="2">
        <v>1087408320</v>
      </c>
      <c r="F21" s="2" t="s">
        <v>16</v>
      </c>
      <c r="G21" t="s">
        <v>43</v>
      </c>
      <c r="H21" t="s">
        <v>15</v>
      </c>
      <c r="I21" t="s">
        <v>44</v>
      </c>
    </row>
    <row r="22" spans="1:9" hidden="1" x14ac:dyDescent="0.25">
      <c r="A22" s="4">
        <v>46007</v>
      </c>
      <c r="B22">
        <v>2025003724</v>
      </c>
      <c r="C22" s="5" t="s">
        <v>51</v>
      </c>
      <c r="D22" s="8">
        <v>3000000</v>
      </c>
      <c r="E22">
        <v>1080690337</v>
      </c>
      <c r="F22" s="5" t="s">
        <v>52</v>
      </c>
      <c r="G22" t="s">
        <v>43</v>
      </c>
      <c r="H22" t="s">
        <v>51</v>
      </c>
      <c r="I22" t="s">
        <v>44</v>
      </c>
    </row>
    <row r="23" spans="1:9" hidden="1" x14ac:dyDescent="0.25">
      <c r="A23" s="1">
        <v>46007</v>
      </c>
      <c r="B23" s="2">
        <v>2025003825</v>
      </c>
      <c r="C23" s="2" t="s">
        <v>39</v>
      </c>
      <c r="D23" s="7">
        <v>3000000</v>
      </c>
      <c r="E23" s="2">
        <v>1086222977</v>
      </c>
      <c r="F23" s="2" t="s">
        <v>40</v>
      </c>
      <c r="G23" t="s">
        <v>43</v>
      </c>
      <c r="H23" t="s">
        <v>39</v>
      </c>
      <c r="I23" t="s">
        <v>44</v>
      </c>
    </row>
    <row r="24" spans="1:9" hidden="1" x14ac:dyDescent="0.25">
      <c r="A24" s="1">
        <v>46007</v>
      </c>
      <c r="B24" s="2">
        <v>2025003830</v>
      </c>
      <c r="C24" s="2" t="s">
        <v>41</v>
      </c>
      <c r="D24" s="7">
        <v>3000000</v>
      </c>
      <c r="E24" s="2">
        <v>1086328142</v>
      </c>
      <c r="F24" s="2" t="s">
        <v>42</v>
      </c>
      <c r="G24" t="s">
        <v>43</v>
      </c>
      <c r="H24" t="s">
        <v>41</v>
      </c>
      <c r="I24" s="5" t="s">
        <v>44</v>
      </c>
    </row>
    <row r="25" spans="1:9" hidden="1" x14ac:dyDescent="0.25">
      <c r="A25" s="4">
        <v>46007</v>
      </c>
      <c r="B25">
        <v>2025003838</v>
      </c>
      <c r="C25" t="s">
        <v>47</v>
      </c>
      <c r="D25" s="8">
        <v>4825000</v>
      </c>
      <c r="E25">
        <v>36751052</v>
      </c>
      <c r="F25" t="s">
        <v>48</v>
      </c>
      <c r="G25" t="s">
        <v>43</v>
      </c>
      <c r="H25" t="s">
        <v>47</v>
      </c>
      <c r="I25" s="5" t="s">
        <v>44</v>
      </c>
    </row>
    <row r="26" spans="1:9" hidden="1" x14ac:dyDescent="0.25">
      <c r="A26" s="4">
        <v>46007</v>
      </c>
      <c r="B26">
        <v>2025003850</v>
      </c>
      <c r="C26" t="s">
        <v>49</v>
      </c>
      <c r="D26" s="8">
        <v>3000000</v>
      </c>
      <c r="E26">
        <v>1080690337</v>
      </c>
      <c r="F26" t="s">
        <v>50</v>
      </c>
      <c r="G26" t="s">
        <v>43</v>
      </c>
      <c r="H26" t="s">
        <v>49</v>
      </c>
      <c r="I26" s="5" t="s">
        <v>44</v>
      </c>
    </row>
    <row r="27" spans="1:9" hidden="1" x14ac:dyDescent="0.25">
      <c r="A27" s="1">
        <v>46007</v>
      </c>
      <c r="B27">
        <v>2025003871</v>
      </c>
      <c r="C27" t="s">
        <v>57</v>
      </c>
      <c r="D27" s="8">
        <v>6000000</v>
      </c>
      <c r="E27">
        <v>27436186</v>
      </c>
      <c r="F27" t="s">
        <v>60</v>
      </c>
      <c r="G27" t="s">
        <v>43</v>
      </c>
      <c r="H27" t="s">
        <v>57</v>
      </c>
      <c r="I27" s="6" t="s">
        <v>44</v>
      </c>
    </row>
    <row r="28" spans="1:9" hidden="1" x14ac:dyDescent="0.25">
      <c r="A28" s="4">
        <v>46007</v>
      </c>
      <c r="B28">
        <v>2025003860</v>
      </c>
      <c r="C28" t="s">
        <v>58</v>
      </c>
      <c r="D28" s="8">
        <v>12000000</v>
      </c>
      <c r="E28">
        <v>1085254626</v>
      </c>
      <c r="F28" t="s">
        <v>61</v>
      </c>
      <c r="G28" t="s">
        <v>43</v>
      </c>
      <c r="H28" t="s">
        <v>58</v>
      </c>
      <c r="I28" s="6" t="s">
        <v>44</v>
      </c>
    </row>
    <row r="29" spans="1:9" x14ac:dyDescent="0.25">
      <c r="A29" s="4">
        <v>46007</v>
      </c>
      <c r="B29">
        <v>2025003869</v>
      </c>
      <c r="C29" s="10" t="s">
        <v>59</v>
      </c>
      <c r="D29" s="8">
        <v>2500000</v>
      </c>
      <c r="E29">
        <v>1075242334</v>
      </c>
      <c r="F29" t="s">
        <v>62</v>
      </c>
      <c r="G29" t="s">
        <v>43</v>
      </c>
      <c r="H29" t="s">
        <v>59</v>
      </c>
      <c r="I29" s="6" t="s">
        <v>44</v>
      </c>
    </row>
    <row r="30" spans="1:9" hidden="1" x14ac:dyDescent="0.25">
      <c r="A30" s="4">
        <v>46007</v>
      </c>
      <c r="B30">
        <v>2025003861</v>
      </c>
      <c r="C30" s="6" t="s">
        <v>55</v>
      </c>
      <c r="D30" s="8">
        <v>9500000</v>
      </c>
      <c r="E30">
        <v>98398650</v>
      </c>
      <c r="F30" t="s">
        <v>56</v>
      </c>
      <c r="G30" t="s">
        <v>43</v>
      </c>
      <c r="H30" t="s">
        <v>55</v>
      </c>
      <c r="I30" s="6" t="s">
        <v>44</v>
      </c>
    </row>
    <row r="31" spans="1:9" hidden="1" x14ac:dyDescent="0.25">
      <c r="A31" s="4">
        <v>46007</v>
      </c>
      <c r="B31">
        <v>2025003855</v>
      </c>
      <c r="C31" s="6" t="s">
        <v>53</v>
      </c>
      <c r="D31" s="8">
        <v>9500000</v>
      </c>
      <c r="E31">
        <v>1086332188</v>
      </c>
      <c r="F31" s="6" t="s">
        <v>54</v>
      </c>
      <c r="G31" t="s">
        <v>43</v>
      </c>
      <c r="H31" t="s">
        <v>53</v>
      </c>
      <c r="I31" s="5" t="s">
        <v>44</v>
      </c>
    </row>
  </sheetData>
  <autoFilter ref="A1:I31" xr:uid="{C1174E22-5B75-48FE-8295-42DA4DA42DA1}">
    <filterColumn colId="1">
      <filters>
        <filter val="2025003869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2688F-AA64-474E-BC4C-0934EAD73BC0}">
  <dimension ref="A1:I439"/>
  <sheetViews>
    <sheetView workbookViewId="0">
      <selection sqref="A1:I1"/>
    </sheetView>
  </sheetViews>
  <sheetFormatPr baseColWidth="10" defaultRowHeight="15" x14ac:dyDescent="0.25"/>
  <cols>
    <col min="4" max="4" width="14.7109375" style="12" bestFit="1" customWidth="1"/>
    <col min="6" max="6" width="40.42578125" bestFit="1" customWidth="1"/>
    <col min="7" max="7" width="11.85546875" bestFit="1" customWidth="1"/>
  </cols>
  <sheetData>
    <row r="1" spans="1:9" x14ac:dyDescent="0.25">
      <c r="A1" s="1" t="s">
        <v>0</v>
      </c>
      <c r="B1" s="2" t="s">
        <v>1</v>
      </c>
      <c r="C1" s="2" t="s">
        <v>2</v>
      </c>
      <c r="D1" s="7" t="s">
        <v>3</v>
      </c>
      <c r="E1" s="2" t="s">
        <v>4</v>
      </c>
      <c r="F1" s="2" t="s">
        <v>5</v>
      </c>
      <c r="G1" s="2" t="s">
        <v>6</v>
      </c>
      <c r="I1" t="s">
        <v>46</v>
      </c>
    </row>
    <row r="2" spans="1:9" x14ac:dyDescent="0.25">
      <c r="A2">
        <v>45905</v>
      </c>
      <c r="B2">
        <v>2025000649</v>
      </c>
      <c r="C2" t="s">
        <v>499</v>
      </c>
      <c r="D2" s="12">
        <v>2600000</v>
      </c>
      <c r="E2">
        <v>1004233343</v>
      </c>
      <c r="F2" t="s">
        <v>63</v>
      </c>
      <c r="G2" t="e">
        <f>VLOOKUP(C2,#REF!,1,0)</f>
        <v>#REF!</v>
      </c>
    </row>
    <row r="3" spans="1:9" x14ac:dyDescent="0.25">
      <c r="A3">
        <v>45905</v>
      </c>
      <c r="B3">
        <v>2025000651</v>
      </c>
      <c r="C3" t="s">
        <v>303</v>
      </c>
      <c r="D3" s="12">
        <v>3000000</v>
      </c>
      <c r="E3">
        <v>1086329609</v>
      </c>
      <c r="F3" t="s">
        <v>64</v>
      </c>
      <c r="G3" t="e">
        <f>VLOOKUP(C3,#REF!,1,0)</f>
        <v>#REF!</v>
      </c>
    </row>
    <row r="4" spans="1:9" x14ac:dyDescent="0.25">
      <c r="A4">
        <v>45905</v>
      </c>
      <c r="B4">
        <v>2025000652</v>
      </c>
      <c r="C4" t="s">
        <v>304</v>
      </c>
      <c r="D4" s="12">
        <v>3000000</v>
      </c>
      <c r="E4">
        <v>1004234290</v>
      </c>
      <c r="F4" t="s">
        <v>65</v>
      </c>
      <c r="G4" t="e">
        <f>VLOOKUP(C4,#REF!,1,0)</f>
        <v>#REF!</v>
      </c>
    </row>
    <row r="5" spans="1:9" x14ac:dyDescent="0.25">
      <c r="A5" t="s">
        <v>66</v>
      </c>
      <c r="B5">
        <v>2025000668</v>
      </c>
      <c r="C5" t="s">
        <v>305</v>
      </c>
      <c r="D5" s="12">
        <v>4750000</v>
      </c>
      <c r="E5">
        <v>59824313</v>
      </c>
      <c r="F5" t="s">
        <v>67</v>
      </c>
      <c r="G5" t="e">
        <f>VLOOKUP(C5,#REF!,1,0)</f>
        <v>#REF!</v>
      </c>
    </row>
    <row r="6" spans="1:9" x14ac:dyDescent="0.25">
      <c r="A6" t="s">
        <v>66</v>
      </c>
      <c r="B6">
        <v>2025000669</v>
      </c>
      <c r="C6" t="s">
        <v>306</v>
      </c>
      <c r="D6" s="12">
        <v>4825000</v>
      </c>
      <c r="E6">
        <v>12748383</v>
      </c>
      <c r="F6" t="s">
        <v>68</v>
      </c>
      <c r="G6" t="e">
        <f>VLOOKUP(C6,#REF!,1,0)</f>
        <v>#REF!</v>
      </c>
    </row>
    <row r="7" spans="1:9" x14ac:dyDescent="0.25">
      <c r="A7" t="s">
        <v>66</v>
      </c>
      <c r="B7">
        <v>2025000683</v>
      </c>
      <c r="C7" t="s">
        <v>307</v>
      </c>
      <c r="D7" s="12">
        <v>3000000</v>
      </c>
      <c r="E7">
        <v>1137624011</v>
      </c>
      <c r="F7" t="s">
        <v>69</v>
      </c>
      <c r="G7" t="e">
        <f>VLOOKUP(C7,#REF!,1,0)</f>
        <v>#REF!</v>
      </c>
    </row>
    <row r="8" spans="1:9" x14ac:dyDescent="0.25">
      <c r="A8" t="s">
        <v>70</v>
      </c>
      <c r="B8">
        <v>2025000685</v>
      </c>
      <c r="C8" t="s">
        <v>308</v>
      </c>
      <c r="D8" s="12">
        <v>6000000</v>
      </c>
      <c r="E8">
        <v>1082748420</v>
      </c>
      <c r="F8" t="s">
        <v>71</v>
      </c>
      <c r="G8" t="e">
        <f>VLOOKUP(C8,#REF!,1,0)</f>
        <v>#REF!</v>
      </c>
    </row>
    <row r="9" spans="1:9" x14ac:dyDescent="0.25">
      <c r="A9" t="s">
        <v>70</v>
      </c>
      <c r="B9">
        <v>2025000686</v>
      </c>
      <c r="C9" t="s">
        <v>309</v>
      </c>
      <c r="D9" s="12">
        <v>6000000</v>
      </c>
      <c r="E9">
        <v>1085292185</v>
      </c>
      <c r="F9" t="s">
        <v>72</v>
      </c>
      <c r="G9" t="e">
        <f>VLOOKUP(C9,#REF!,1,0)</f>
        <v>#REF!</v>
      </c>
    </row>
    <row r="10" spans="1:9" x14ac:dyDescent="0.25">
      <c r="A10" t="s">
        <v>70</v>
      </c>
      <c r="B10">
        <v>2025000687</v>
      </c>
      <c r="C10" t="s">
        <v>500</v>
      </c>
      <c r="D10" s="12">
        <v>3000000</v>
      </c>
      <c r="E10">
        <v>37084285</v>
      </c>
      <c r="F10" t="s">
        <v>73</v>
      </c>
      <c r="G10" t="e">
        <f>VLOOKUP(C10,#REF!,1,0)</f>
        <v>#REF!</v>
      </c>
    </row>
    <row r="11" spans="1:9" x14ac:dyDescent="0.25">
      <c r="A11" t="s">
        <v>70</v>
      </c>
      <c r="B11">
        <v>2025000688</v>
      </c>
      <c r="C11" t="s">
        <v>298</v>
      </c>
      <c r="D11" s="12">
        <v>6000000</v>
      </c>
      <c r="E11">
        <v>36757221</v>
      </c>
      <c r="F11" t="s">
        <v>74</v>
      </c>
      <c r="G11" t="e">
        <f>VLOOKUP(C11,#REF!,1,0)</f>
        <v>#REF!</v>
      </c>
    </row>
    <row r="12" spans="1:9" x14ac:dyDescent="0.25">
      <c r="A12" t="s">
        <v>70</v>
      </c>
      <c r="B12">
        <v>2025000689</v>
      </c>
      <c r="C12" t="s">
        <v>501</v>
      </c>
      <c r="D12" s="12">
        <v>3000000</v>
      </c>
      <c r="E12">
        <v>1086223299</v>
      </c>
      <c r="F12" t="s">
        <v>75</v>
      </c>
      <c r="G12" t="e">
        <f>VLOOKUP(C12,#REF!,1,0)</f>
        <v>#REF!</v>
      </c>
    </row>
    <row r="13" spans="1:9" x14ac:dyDescent="0.25">
      <c r="A13" t="s">
        <v>70</v>
      </c>
      <c r="B13">
        <v>2025000690</v>
      </c>
      <c r="C13" t="s">
        <v>310</v>
      </c>
      <c r="D13" s="12">
        <v>4750000</v>
      </c>
      <c r="E13">
        <v>27087475</v>
      </c>
      <c r="F13" t="s">
        <v>76</v>
      </c>
      <c r="G13" t="e">
        <f>VLOOKUP(C13,#REF!,1,0)</f>
        <v>#REF!</v>
      </c>
    </row>
    <row r="14" spans="1:9" x14ac:dyDescent="0.25">
      <c r="A14" t="s">
        <v>70</v>
      </c>
      <c r="B14">
        <v>2025000691</v>
      </c>
      <c r="C14" t="s">
        <v>311</v>
      </c>
      <c r="D14" s="12">
        <v>6000000</v>
      </c>
      <c r="E14">
        <v>59820414</v>
      </c>
      <c r="F14" t="s">
        <v>77</v>
      </c>
      <c r="G14" t="e">
        <f>VLOOKUP(C14,#REF!,1,0)</f>
        <v>#REF!</v>
      </c>
    </row>
    <row r="15" spans="1:9" x14ac:dyDescent="0.25">
      <c r="A15" t="s">
        <v>70</v>
      </c>
      <c r="B15">
        <v>2025000692</v>
      </c>
      <c r="C15" t="s">
        <v>312</v>
      </c>
      <c r="D15" s="12">
        <v>3000000</v>
      </c>
      <c r="E15">
        <v>1010082397</v>
      </c>
      <c r="F15" t="s">
        <v>78</v>
      </c>
      <c r="G15" t="e">
        <f>VLOOKUP(C15,#REF!,1,0)</f>
        <v>#REF!</v>
      </c>
    </row>
    <row r="16" spans="1:9" x14ac:dyDescent="0.25">
      <c r="A16" t="s">
        <v>70</v>
      </c>
      <c r="B16">
        <v>2025000693</v>
      </c>
      <c r="C16" t="s">
        <v>313</v>
      </c>
      <c r="D16" s="12">
        <v>4825000</v>
      </c>
      <c r="E16">
        <v>1085265622</v>
      </c>
      <c r="F16" t="s">
        <v>79</v>
      </c>
      <c r="G16" t="e">
        <f>VLOOKUP(C16,#REF!,1,0)</f>
        <v>#REF!</v>
      </c>
    </row>
    <row r="17" spans="1:7" x14ac:dyDescent="0.25">
      <c r="A17" t="s">
        <v>80</v>
      </c>
      <c r="B17">
        <v>2025000694</v>
      </c>
      <c r="C17" t="s">
        <v>314</v>
      </c>
      <c r="D17" s="12">
        <v>3000000</v>
      </c>
      <c r="E17">
        <v>1004232508</v>
      </c>
      <c r="F17" t="s">
        <v>81</v>
      </c>
      <c r="G17" t="e">
        <f>VLOOKUP(C17,#REF!,1,0)</f>
        <v>#REF!</v>
      </c>
    </row>
    <row r="18" spans="1:7" x14ac:dyDescent="0.25">
      <c r="A18" t="s">
        <v>80</v>
      </c>
      <c r="B18">
        <v>2025000695</v>
      </c>
      <c r="C18" t="s">
        <v>315</v>
      </c>
      <c r="D18" s="12">
        <v>4750000</v>
      </c>
      <c r="E18">
        <v>59816986</v>
      </c>
      <c r="F18" t="s">
        <v>82</v>
      </c>
      <c r="G18" t="e">
        <f>VLOOKUP(C18,#REF!,1,0)</f>
        <v>#REF!</v>
      </c>
    </row>
    <row r="19" spans="1:7" x14ac:dyDescent="0.25">
      <c r="A19" t="s">
        <v>80</v>
      </c>
      <c r="B19">
        <v>2025000696</v>
      </c>
      <c r="C19" t="s">
        <v>316</v>
      </c>
      <c r="D19" s="12">
        <v>4750000</v>
      </c>
      <c r="E19">
        <v>1085264667</v>
      </c>
      <c r="F19" t="s">
        <v>83</v>
      </c>
      <c r="G19" t="e">
        <f>VLOOKUP(C19,#REF!,1,0)</f>
        <v>#REF!</v>
      </c>
    </row>
    <row r="20" spans="1:7" x14ac:dyDescent="0.25">
      <c r="A20" t="s">
        <v>80</v>
      </c>
      <c r="B20">
        <v>2025000697</v>
      </c>
      <c r="C20" t="s">
        <v>317</v>
      </c>
      <c r="D20" s="12">
        <v>3000000</v>
      </c>
      <c r="E20">
        <v>1030606749</v>
      </c>
      <c r="F20" t="s">
        <v>84</v>
      </c>
      <c r="G20" t="e">
        <f>VLOOKUP(C20,#REF!,1,0)</f>
        <v>#REF!</v>
      </c>
    </row>
    <row r="21" spans="1:7" x14ac:dyDescent="0.25">
      <c r="A21" t="s">
        <v>80</v>
      </c>
      <c r="B21">
        <v>2025000699</v>
      </c>
      <c r="C21" t="s">
        <v>318</v>
      </c>
      <c r="D21" s="12">
        <v>3000000</v>
      </c>
      <c r="E21">
        <v>59833899</v>
      </c>
      <c r="F21" t="s">
        <v>85</v>
      </c>
      <c r="G21" t="e">
        <f>VLOOKUP(C21,#REF!,1,0)</f>
        <v>#REF!</v>
      </c>
    </row>
    <row r="22" spans="1:7" x14ac:dyDescent="0.25">
      <c r="A22" t="s">
        <v>80</v>
      </c>
      <c r="B22">
        <v>2025000700</v>
      </c>
      <c r="C22" t="s">
        <v>319</v>
      </c>
      <c r="D22" s="12">
        <v>6000000</v>
      </c>
      <c r="E22">
        <v>59837608</v>
      </c>
      <c r="F22" t="s">
        <v>86</v>
      </c>
      <c r="G22" t="e">
        <f>VLOOKUP(C22,#REF!,1,0)</f>
        <v>#REF!</v>
      </c>
    </row>
    <row r="23" spans="1:7" x14ac:dyDescent="0.25">
      <c r="A23" t="s">
        <v>80</v>
      </c>
      <c r="B23">
        <v>2025000701</v>
      </c>
      <c r="C23" t="s">
        <v>320</v>
      </c>
      <c r="D23" s="12">
        <v>3000000</v>
      </c>
      <c r="E23">
        <v>1086328142</v>
      </c>
      <c r="F23" t="s">
        <v>42</v>
      </c>
      <c r="G23" t="e">
        <f>VLOOKUP(C23,#REF!,1,0)</f>
        <v>#REF!</v>
      </c>
    </row>
    <row r="24" spans="1:7" x14ac:dyDescent="0.25">
      <c r="A24" t="s">
        <v>80</v>
      </c>
      <c r="B24">
        <v>2025000702</v>
      </c>
      <c r="C24" t="s">
        <v>321</v>
      </c>
      <c r="D24" s="12">
        <v>3000000</v>
      </c>
      <c r="E24">
        <v>1085318688</v>
      </c>
      <c r="F24" t="s">
        <v>87</v>
      </c>
      <c r="G24" t="e">
        <f>VLOOKUP(C24,#REF!,1,0)</f>
        <v>#REF!</v>
      </c>
    </row>
    <row r="25" spans="1:7" x14ac:dyDescent="0.25">
      <c r="A25" t="s">
        <v>88</v>
      </c>
      <c r="B25">
        <v>2025000708</v>
      </c>
      <c r="C25" t="s">
        <v>322</v>
      </c>
      <c r="D25" s="12">
        <v>3000000</v>
      </c>
      <c r="E25">
        <v>1233188273</v>
      </c>
      <c r="F25" t="s">
        <v>89</v>
      </c>
      <c r="G25" t="e">
        <f>VLOOKUP(C25,#REF!,1,0)</f>
        <v>#REF!</v>
      </c>
    </row>
    <row r="26" spans="1:7" x14ac:dyDescent="0.25">
      <c r="A26" t="s">
        <v>88</v>
      </c>
      <c r="B26">
        <v>2025000709</v>
      </c>
      <c r="C26" t="s">
        <v>502</v>
      </c>
      <c r="D26" s="12">
        <v>4825000</v>
      </c>
      <c r="E26">
        <v>27087851</v>
      </c>
      <c r="F26" t="s">
        <v>90</v>
      </c>
      <c r="G26" t="e">
        <f>VLOOKUP(C26,#REF!,1,0)</f>
        <v>#REF!</v>
      </c>
    </row>
    <row r="27" spans="1:7" x14ac:dyDescent="0.25">
      <c r="A27" t="s">
        <v>88</v>
      </c>
      <c r="B27">
        <v>2025000710</v>
      </c>
      <c r="C27" t="s">
        <v>323</v>
      </c>
      <c r="D27" s="12">
        <v>3000000</v>
      </c>
      <c r="E27">
        <v>98382500</v>
      </c>
      <c r="F27" t="s">
        <v>91</v>
      </c>
      <c r="G27" t="e">
        <f>VLOOKUP(C27,#REF!,1,0)</f>
        <v>#REF!</v>
      </c>
    </row>
    <row r="28" spans="1:7" x14ac:dyDescent="0.25">
      <c r="A28" t="s">
        <v>88</v>
      </c>
      <c r="B28">
        <v>2025000711</v>
      </c>
      <c r="C28" t="s">
        <v>324</v>
      </c>
      <c r="D28" s="12">
        <v>4825000</v>
      </c>
      <c r="E28">
        <v>1085267184</v>
      </c>
      <c r="F28" t="s">
        <v>92</v>
      </c>
      <c r="G28" t="e">
        <f>VLOOKUP(C28,#REF!,1,0)</f>
        <v>#REF!</v>
      </c>
    </row>
    <row r="29" spans="1:7" x14ac:dyDescent="0.25">
      <c r="A29" t="s">
        <v>88</v>
      </c>
      <c r="B29">
        <v>2025000712</v>
      </c>
      <c r="C29" t="s">
        <v>325</v>
      </c>
      <c r="D29" s="12">
        <v>3000000</v>
      </c>
      <c r="E29">
        <v>1004235479</v>
      </c>
      <c r="F29" t="s">
        <v>93</v>
      </c>
      <c r="G29" t="e">
        <f>VLOOKUP(C29,#REF!,1,0)</f>
        <v>#REF!</v>
      </c>
    </row>
    <row r="30" spans="1:7" x14ac:dyDescent="0.25">
      <c r="A30" t="s">
        <v>88</v>
      </c>
      <c r="B30">
        <v>2025000713</v>
      </c>
      <c r="C30" t="s">
        <v>326</v>
      </c>
      <c r="D30" s="12">
        <v>3000000</v>
      </c>
      <c r="E30">
        <v>1085326791</v>
      </c>
      <c r="F30" t="s">
        <v>94</v>
      </c>
      <c r="G30" t="e">
        <f>VLOOKUP(C30,#REF!,1,0)</f>
        <v>#REF!</v>
      </c>
    </row>
    <row r="31" spans="1:7" x14ac:dyDescent="0.25">
      <c r="A31" t="s">
        <v>88</v>
      </c>
      <c r="B31">
        <v>2025000714</v>
      </c>
      <c r="C31" t="s">
        <v>327</v>
      </c>
      <c r="D31" s="12">
        <v>4750000</v>
      </c>
      <c r="E31">
        <v>1085331141</v>
      </c>
      <c r="F31" t="s">
        <v>95</v>
      </c>
      <c r="G31" t="e">
        <f>VLOOKUP(C31,#REF!,1,0)</f>
        <v>#REF!</v>
      </c>
    </row>
    <row r="32" spans="1:7" x14ac:dyDescent="0.25">
      <c r="A32" t="s">
        <v>88</v>
      </c>
      <c r="B32">
        <v>2025000715</v>
      </c>
      <c r="C32" t="s">
        <v>328</v>
      </c>
      <c r="D32" s="12">
        <v>2500000</v>
      </c>
      <c r="E32">
        <v>59310145</v>
      </c>
      <c r="F32" t="s">
        <v>96</v>
      </c>
      <c r="G32" t="e">
        <f>VLOOKUP(C32,#REF!,1,0)</f>
        <v>#REF!</v>
      </c>
    </row>
    <row r="33" spans="1:7" x14ac:dyDescent="0.25">
      <c r="A33" t="s">
        <v>88</v>
      </c>
      <c r="B33">
        <v>2025000716</v>
      </c>
      <c r="C33" t="s">
        <v>329</v>
      </c>
      <c r="D33" s="12">
        <v>4750000</v>
      </c>
      <c r="E33">
        <v>1193383306</v>
      </c>
      <c r="F33" t="s">
        <v>97</v>
      </c>
      <c r="G33" t="e">
        <f>VLOOKUP(C33,#REF!,1,0)</f>
        <v>#REF!</v>
      </c>
    </row>
    <row r="34" spans="1:7" x14ac:dyDescent="0.25">
      <c r="A34" t="s">
        <v>88</v>
      </c>
      <c r="B34">
        <v>2025000717</v>
      </c>
      <c r="C34" t="s">
        <v>330</v>
      </c>
      <c r="D34" s="12">
        <v>2500000</v>
      </c>
      <c r="E34">
        <v>1085320930</v>
      </c>
      <c r="F34" t="s">
        <v>98</v>
      </c>
      <c r="G34" t="e">
        <f>VLOOKUP(C34,#REF!,1,0)</f>
        <v>#REF!</v>
      </c>
    </row>
    <row r="35" spans="1:7" x14ac:dyDescent="0.25">
      <c r="A35" t="s">
        <v>88</v>
      </c>
      <c r="B35">
        <v>2025000718</v>
      </c>
      <c r="C35" t="s">
        <v>331</v>
      </c>
      <c r="D35" s="12">
        <v>3000000</v>
      </c>
      <c r="E35">
        <v>37083324</v>
      </c>
      <c r="F35" t="s">
        <v>99</v>
      </c>
      <c r="G35" t="e">
        <f>VLOOKUP(C35,#REF!,1,0)</f>
        <v>#REF!</v>
      </c>
    </row>
    <row r="36" spans="1:7" x14ac:dyDescent="0.25">
      <c r="A36" t="s">
        <v>88</v>
      </c>
      <c r="B36">
        <v>2025000723</v>
      </c>
      <c r="C36" t="s">
        <v>332</v>
      </c>
      <c r="D36" s="12">
        <v>2500000</v>
      </c>
      <c r="E36">
        <v>1085347173</v>
      </c>
      <c r="F36" t="s">
        <v>100</v>
      </c>
      <c r="G36" t="e">
        <f>VLOOKUP(C36,#REF!,1,0)</f>
        <v>#REF!</v>
      </c>
    </row>
    <row r="37" spans="1:7" x14ac:dyDescent="0.25">
      <c r="A37" t="s">
        <v>88</v>
      </c>
      <c r="B37">
        <v>2025000724</v>
      </c>
      <c r="C37" t="s">
        <v>333</v>
      </c>
      <c r="D37" s="12">
        <v>3000000</v>
      </c>
      <c r="E37">
        <v>1085288636</v>
      </c>
      <c r="F37" t="s">
        <v>101</v>
      </c>
      <c r="G37" t="e">
        <f>VLOOKUP(C37,#REF!,1,0)</f>
        <v>#REF!</v>
      </c>
    </row>
    <row r="38" spans="1:7" x14ac:dyDescent="0.25">
      <c r="A38" t="s">
        <v>88</v>
      </c>
      <c r="B38">
        <v>2025000725</v>
      </c>
      <c r="C38" t="s">
        <v>334</v>
      </c>
      <c r="D38" s="12">
        <v>3000000</v>
      </c>
      <c r="E38">
        <v>59834953</v>
      </c>
      <c r="F38" t="s">
        <v>102</v>
      </c>
      <c r="G38" t="e">
        <f>VLOOKUP(C38,#REF!,1,0)</f>
        <v>#REF!</v>
      </c>
    </row>
    <row r="39" spans="1:7" x14ac:dyDescent="0.25">
      <c r="A39" t="s">
        <v>88</v>
      </c>
      <c r="B39">
        <v>2025000726</v>
      </c>
      <c r="C39" t="s">
        <v>335</v>
      </c>
      <c r="D39" s="12">
        <v>4750000</v>
      </c>
      <c r="E39">
        <v>1085318684</v>
      </c>
      <c r="F39" t="s">
        <v>103</v>
      </c>
      <c r="G39" t="e">
        <f>VLOOKUP(C39,#REF!,1,0)</f>
        <v>#REF!</v>
      </c>
    </row>
    <row r="40" spans="1:7" x14ac:dyDescent="0.25">
      <c r="A40" t="s">
        <v>88</v>
      </c>
      <c r="B40">
        <v>2025000727</v>
      </c>
      <c r="C40" t="s">
        <v>336</v>
      </c>
      <c r="D40" s="12">
        <v>3000000</v>
      </c>
      <c r="E40">
        <v>13070330</v>
      </c>
      <c r="F40" t="s">
        <v>104</v>
      </c>
      <c r="G40" t="e">
        <f>VLOOKUP(C40,#REF!,1,0)</f>
        <v>#REF!</v>
      </c>
    </row>
    <row r="41" spans="1:7" x14ac:dyDescent="0.25">
      <c r="A41" t="s">
        <v>88</v>
      </c>
      <c r="B41">
        <v>2025000728</v>
      </c>
      <c r="C41" t="s">
        <v>337</v>
      </c>
      <c r="D41" s="12">
        <v>4750000</v>
      </c>
      <c r="E41">
        <v>59651018</v>
      </c>
      <c r="F41" t="s">
        <v>105</v>
      </c>
      <c r="G41" t="e">
        <f>VLOOKUP(C41,#REF!,1,0)</f>
        <v>#REF!</v>
      </c>
    </row>
    <row r="42" spans="1:7" x14ac:dyDescent="0.25">
      <c r="A42" t="s">
        <v>106</v>
      </c>
      <c r="B42">
        <v>2025000729</v>
      </c>
      <c r="C42" t="s">
        <v>338</v>
      </c>
      <c r="D42" s="12">
        <v>3000000</v>
      </c>
      <c r="E42">
        <v>1085317833</v>
      </c>
      <c r="F42" t="s">
        <v>107</v>
      </c>
      <c r="G42" t="e">
        <f>VLOOKUP(C42,#REF!,1,0)</f>
        <v>#REF!</v>
      </c>
    </row>
    <row r="43" spans="1:7" x14ac:dyDescent="0.25">
      <c r="A43" t="s">
        <v>106</v>
      </c>
      <c r="B43">
        <v>2025000730</v>
      </c>
      <c r="C43" t="s">
        <v>339</v>
      </c>
      <c r="D43" s="12">
        <v>3000000</v>
      </c>
      <c r="E43">
        <v>27436186</v>
      </c>
      <c r="F43" t="s">
        <v>60</v>
      </c>
      <c r="G43" t="e">
        <f>VLOOKUP(C43,#REF!,1,0)</f>
        <v>#REF!</v>
      </c>
    </row>
    <row r="44" spans="1:7" x14ac:dyDescent="0.25">
      <c r="A44" t="s">
        <v>106</v>
      </c>
      <c r="B44">
        <v>2025000731</v>
      </c>
      <c r="C44" t="s">
        <v>340</v>
      </c>
      <c r="D44" s="12">
        <v>4750000</v>
      </c>
      <c r="E44">
        <v>59312865</v>
      </c>
      <c r="F44" t="s">
        <v>108</v>
      </c>
      <c r="G44" t="e">
        <f>VLOOKUP(C44,#REF!,1,0)</f>
        <v>#REF!</v>
      </c>
    </row>
    <row r="45" spans="1:7" x14ac:dyDescent="0.25">
      <c r="A45" t="s">
        <v>106</v>
      </c>
      <c r="B45">
        <v>2025000732</v>
      </c>
      <c r="C45" t="s">
        <v>341</v>
      </c>
      <c r="D45" s="12">
        <v>3000000</v>
      </c>
      <c r="E45">
        <v>98391531</v>
      </c>
      <c r="F45" t="s">
        <v>109</v>
      </c>
      <c r="G45" t="e">
        <f>VLOOKUP(C45,#REF!,1,0)</f>
        <v>#REF!</v>
      </c>
    </row>
    <row r="46" spans="1:7" x14ac:dyDescent="0.25">
      <c r="A46" t="s">
        <v>106</v>
      </c>
      <c r="B46">
        <v>2025000733</v>
      </c>
      <c r="C46" t="s">
        <v>342</v>
      </c>
      <c r="D46" s="12">
        <v>4750000</v>
      </c>
      <c r="E46">
        <v>1085303067</v>
      </c>
      <c r="F46" t="s">
        <v>110</v>
      </c>
      <c r="G46" t="e">
        <f>VLOOKUP(C46,#REF!,1,0)</f>
        <v>#REF!</v>
      </c>
    </row>
    <row r="47" spans="1:7" x14ac:dyDescent="0.25">
      <c r="A47" t="s">
        <v>106</v>
      </c>
      <c r="B47">
        <v>2025000734</v>
      </c>
      <c r="C47" t="s">
        <v>343</v>
      </c>
      <c r="D47" s="12">
        <v>7500000</v>
      </c>
      <c r="E47">
        <v>1006946167</v>
      </c>
      <c r="F47" t="s">
        <v>111</v>
      </c>
      <c r="G47" t="e">
        <f>VLOOKUP(C47,#REF!,1,0)</f>
        <v>#REF!</v>
      </c>
    </row>
    <row r="48" spans="1:7" x14ac:dyDescent="0.25">
      <c r="A48" t="s">
        <v>106</v>
      </c>
      <c r="B48">
        <v>2025000735</v>
      </c>
      <c r="C48" t="s">
        <v>344</v>
      </c>
      <c r="D48" s="12">
        <v>6000000</v>
      </c>
      <c r="E48">
        <v>1085248939</v>
      </c>
      <c r="F48" t="s">
        <v>112</v>
      </c>
      <c r="G48" t="e">
        <f>VLOOKUP(C48,#REF!,1,0)</f>
        <v>#REF!</v>
      </c>
    </row>
    <row r="49" spans="1:7" x14ac:dyDescent="0.25">
      <c r="A49" t="s">
        <v>106</v>
      </c>
      <c r="B49">
        <v>2025000736</v>
      </c>
      <c r="C49" t="s">
        <v>345</v>
      </c>
      <c r="D49" s="12">
        <v>3000000</v>
      </c>
      <c r="E49">
        <v>30743783</v>
      </c>
      <c r="F49" t="s">
        <v>113</v>
      </c>
      <c r="G49" t="e">
        <f>VLOOKUP(C49,#REF!,1,0)</f>
        <v>#REF!</v>
      </c>
    </row>
    <row r="50" spans="1:7" x14ac:dyDescent="0.25">
      <c r="A50" t="s">
        <v>106</v>
      </c>
      <c r="B50">
        <v>2025000737</v>
      </c>
      <c r="C50" t="s">
        <v>346</v>
      </c>
      <c r="D50" s="12">
        <v>3000000</v>
      </c>
      <c r="E50">
        <v>1085286742</v>
      </c>
      <c r="F50" t="s">
        <v>114</v>
      </c>
      <c r="G50" t="e">
        <f>VLOOKUP(C50,#REF!,1,0)</f>
        <v>#REF!</v>
      </c>
    </row>
    <row r="51" spans="1:7" x14ac:dyDescent="0.25">
      <c r="A51" t="s">
        <v>106</v>
      </c>
      <c r="B51">
        <v>2025000738</v>
      </c>
      <c r="C51" t="s">
        <v>347</v>
      </c>
      <c r="D51" s="12">
        <v>3000000</v>
      </c>
      <c r="E51">
        <v>1004535234</v>
      </c>
      <c r="F51" t="s">
        <v>115</v>
      </c>
      <c r="G51" t="e">
        <f>VLOOKUP(C51,#REF!,1,0)</f>
        <v>#REF!</v>
      </c>
    </row>
    <row r="52" spans="1:7" x14ac:dyDescent="0.25">
      <c r="A52" t="s">
        <v>106</v>
      </c>
      <c r="B52">
        <v>2025000739</v>
      </c>
      <c r="C52" t="s">
        <v>348</v>
      </c>
      <c r="D52" s="12">
        <v>4825000</v>
      </c>
      <c r="E52">
        <v>1085324891</v>
      </c>
      <c r="F52" t="s">
        <v>116</v>
      </c>
      <c r="G52" t="e">
        <f>VLOOKUP(C52,#REF!,1,0)</f>
        <v>#REF!</v>
      </c>
    </row>
    <row r="53" spans="1:7" x14ac:dyDescent="0.25">
      <c r="A53" t="s">
        <v>106</v>
      </c>
      <c r="B53">
        <v>2025000740</v>
      </c>
      <c r="C53" t="s">
        <v>349</v>
      </c>
      <c r="D53" s="12">
        <v>3000000</v>
      </c>
      <c r="E53">
        <v>1004216993</v>
      </c>
      <c r="F53" t="s">
        <v>117</v>
      </c>
      <c r="G53" t="e">
        <f>VLOOKUP(C53,#REF!,1,0)</f>
        <v>#REF!</v>
      </c>
    </row>
    <row r="54" spans="1:7" x14ac:dyDescent="0.25">
      <c r="A54" t="s">
        <v>106</v>
      </c>
      <c r="B54">
        <v>2025000741</v>
      </c>
      <c r="C54" t="s">
        <v>350</v>
      </c>
      <c r="D54" s="12">
        <v>4750000</v>
      </c>
      <c r="E54">
        <v>1085313870</v>
      </c>
      <c r="F54" t="s">
        <v>118</v>
      </c>
      <c r="G54" t="e">
        <f>VLOOKUP(C54,#REF!,1,0)</f>
        <v>#REF!</v>
      </c>
    </row>
    <row r="55" spans="1:7" x14ac:dyDescent="0.25">
      <c r="A55" t="s">
        <v>106</v>
      </c>
      <c r="B55">
        <v>2025000742</v>
      </c>
      <c r="C55" t="s">
        <v>351</v>
      </c>
      <c r="D55" s="12">
        <v>4825000</v>
      </c>
      <c r="E55">
        <v>27088141</v>
      </c>
      <c r="F55" t="s">
        <v>119</v>
      </c>
      <c r="G55" t="e">
        <f>VLOOKUP(C55,#REF!,1,0)</f>
        <v>#REF!</v>
      </c>
    </row>
    <row r="56" spans="1:7" x14ac:dyDescent="0.25">
      <c r="A56" t="s">
        <v>120</v>
      </c>
      <c r="B56">
        <v>2025000744</v>
      </c>
      <c r="C56" t="s">
        <v>352</v>
      </c>
      <c r="D56" s="12">
        <v>2500000</v>
      </c>
      <c r="E56">
        <v>1085318898</v>
      </c>
      <c r="F56" t="s">
        <v>121</v>
      </c>
      <c r="G56" t="e">
        <f>VLOOKUP(C56,#REF!,1,0)</f>
        <v>#REF!</v>
      </c>
    </row>
    <row r="57" spans="1:7" x14ac:dyDescent="0.25">
      <c r="A57" t="s">
        <v>120</v>
      </c>
      <c r="B57">
        <v>2025000745</v>
      </c>
      <c r="C57" t="s">
        <v>353</v>
      </c>
      <c r="D57" s="12">
        <v>3000000</v>
      </c>
      <c r="E57">
        <v>27097289</v>
      </c>
      <c r="F57" t="s">
        <v>122</v>
      </c>
      <c r="G57" t="e">
        <f>VLOOKUP(C57,#REF!,1,0)</f>
        <v>#REF!</v>
      </c>
    </row>
    <row r="58" spans="1:7" x14ac:dyDescent="0.25">
      <c r="A58" t="s">
        <v>120</v>
      </c>
      <c r="B58">
        <v>2025000746</v>
      </c>
      <c r="C58" t="s">
        <v>354</v>
      </c>
      <c r="D58" s="12">
        <v>2500000</v>
      </c>
      <c r="E58">
        <v>37087268</v>
      </c>
      <c r="F58" t="s">
        <v>123</v>
      </c>
      <c r="G58" t="e">
        <f>VLOOKUP(C58,#REF!,1,0)</f>
        <v>#REF!</v>
      </c>
    </row>
    <row r="59" spans="1:7" x14ac:dyDescent="0.25">
      <c r="A59" t="s">
        <v>120</v>
      </c>
      <c r="B59">
        <v>2025000747</v>
      </c>
      <c r="C59" t="s">
        <v>355</v>
      </c>
      <c r="D59" s="12">
        <v>7500000</v>
      </c>
      <c r="E59">
        <v>87067123</v>
      </c>
      <c r="F59" t="s">
        <v>124</v>
      </c>
      <c r="G59" t="e">
        <f>VLOOKUP(C59,#REF!,1,0)</f>
        <v>#REF!</v>
      </c>
    </row>
    <row r="60" spans="1:7" x14ac:dyDescent="0.25">
      <c r="A60" t="s">
        <v>120</v>
      </c>
      <c r="B60">
        <v>2025000748</v>
      </c>
      <c r="C60" t="s">
        <v>356</v>
      </c>
      <c r="D60" s="12">
        <v>3000000</v>
      </c>
      <c r="E60">
        <v>1233191675</v>
      </c>
      <c r="F60" t="s">
        <v>125</v>
      </c>
      <c r="G60" t="e">
        <f>VLOOKUP(C60,#REF!,1,0)</f>
        <v>#REF!</v>
      </c>
    </row>
    <row r="61" spans="1:7" x14ac:dyDescent="0.25">
      <c r="A61" t="s">
        <v>120</v>
      </c>
      <c r="B61">
        <v>2025000749</v>
      </c>
      <c r="C61" t="s">
        <v>357</v>
      </c>
      <c r="D61" s="12">
        <v>3000000</v>
      </c>
      <c r="E61">
        <v>27388522</v>
      </c>
      <c r="F61" t="s">
        <v>126</v>
      </c>
      <c r="G61" t="e">
        <f>VLOOKUP(C61,#REF!,1,0)</f>
        <v>#REF!</v>
      </c>
    </row>
    <row r="62" spans="1:7" x14ac:dyDescent="0.25">
      <c r="A62" t="s">
        <v>120</v>
      </c>
      <c r="B62">
        <v>2025000750</v>
      </c>
      <c r="C62" t="s">
        <v>358</v>
      </c>
      <c r="D62" s="12">
        <v>6000000</v>
      </c>
      <c r="E62">
        <v>1085275879</v>
      </c>
      <c r="F62" t="s">
        <v>127</v>
      </c>
      <c r="G62" t="e">
        <f>VLOOKUP(C62,#REF!,1,0)</f>
        <v>#REF!</v>
      </c>
    </row>
    <row r="63" spans="1:7" x14ac:dyDescent="0.25">
      <c r="A63" t="s">
        <v>120</v>
      </c>
      <c r="B63">
        <v>2025000751</v>
      </c>
      <c r="C63" t="s">
        <v>359</v>
      </c>
      <c r="D63" s="12">
        <v>2500000</v>
      </c>
      <c r="E63">
        <v>59821094</v>
      </c>
      <c r="F63" t="s">
        <v>128</v>
      </c>
      <c r="G63" t="e">
        <f>VLOOKUP(C63,#REF!,1,0)</f>
        <v>#REF!</v>
      </c>
    </row>
    <row r="64" spans="1:7" x14ac:dyDescent="0.25">
      <c r="A64" t="s">
        <v>120</v>
      </c>
      <c r="B64">
        <v>2025000752</v>
      </c>
      <c r="C64" t="s">
        <v>360</v>
      </c>
      <c r="D64" s="12">
        <v>4750000</v>
      </c>
      <c r="E64">
        <v>27190772</v>
      </c>
      <c r="F64" t="s">
        <v>129</v>
      </c>
      <c r="G64" t="e">
        <f>VLOOKUP(C64,#REF!,1,0)</f>
        <v>#REF!</v>
      </c>
    </row>
    <row r="65" spans="1:7" x14ac:dyDescent="0.25">
      <c r="A65" t="s">
        <v>120</v>
      </c>
      <c r="B65">
        <v>2025000753</v>
      </c>
      <c r="C65" t="s">
        <v>361</v>
      </c>
      <c r="D65" s="12">
        <v>4750000</v>
      </c>
      <c r="E65">
        <v>13069636</v>
      </c>
      <c r="F65" t="s">
        <v>130</v>
      </c>
      <c r="G65" t="e">
        <f>VLOOKUP(C65,#REF!,1,0)</f>
        <v>#REF!</v>
      </c>
    </row>
    <row r="66" spans="1:7" x14ac:dyDescent="0.25">
      <c r="A66" t="s">
        <v>120</v>
      </c>
      <c r="B66">
        <v>2025000754</v>
      </c>
      <c r="C66" t="s">
        <v>362</v>
      </c>
      <c r="D66" s="12">
        <v>2500000</v>
      </c>
      <c r="E66">
        <v>12974849</v>
      </c>
      <c r="F66" t="s">
        <v>131</v>
      </c>
      <c r="G66" t="e">
        <f>VLOOKUP(C66,#REF!,1,0)</f>
        <v>#REF!</v>
      </c>
    </row>
    <row r="67" spans="1:7" x14ac:dyDescent="0.25">
      <c r="A67" t="s">
        <v>120</v>
      </c>
      <c r="B67">
        <v>2025000755</v>
      </c>
      <c r="C67" t="s">
        <v>296</v>
      </c>
      <c r="D67" s="12">
        <v>80825000</v>
      </c>
      <c r="E67">
        <v>900633448</v>
      </c>
      <c r="F67" t="s">
        <v>132</v>
      </c>
      <c r="G67" t="e">
        <f>VLOOKUP(C67,#REF!,1,0)</f>
        <v>#REF!</v>
      </c>
    </row>
    <row r="68" spans="1:7" x14ac:dyDescent="0.25">
      <c r="A68" t="s">
        <v>120</v>
      </c>
      <c r="B68">
        <v>2025000756</v>
      </c>
      <c r="C68" t="s">
        <v>363</v>
      </c>
      <c r="D68" s="12">
        <v>3000000</v>
      </c>
      <c r="E68">
        <v>1081592303</v>
      </c>
      <c r="F68" t="s">
        <v>133</v>
      </c>
      <c r="G68" t="e">
        <f>VLOOKUP(C68,#REF!,1,0)</f>
        <v>#REF!</v>
      </c>
    </row>
    <row r="69" spans="1:7" x14ac:dyDescent="0.25">
      <c r="A69" t="s">
        <v>120</v>
      </c>
      <c r="B69">
        <v>2025000757</v>
      </c>
      <c r="C69" t="s">
        <v>364</v>
      </c>
      <c r="D69" s="12">
        <v>4750000</v>
      </c>
      <c r="E69">
        <v>1085260497</v>
      </c>
      <c r="F69" t="s">
        <v>134</v>
      </c>
      <c r="G69" t="e">
        <f>VLOOKUP(C69,#REF!,1,0)</f>
        <v>#REF!</v>
      </c>
    </row>
    <row r="70" spans="1:7" x14ac:dyDescent="0.25">
      <c r="A70" t="s">
        <v>135</v>
      </c>
      <c r="B70">
        <v>2025000761</v>
      </c>
      <c r="C70" t="s">
        <v>365</v>
      </c>
      <c r="D70" s="12">
        <v>6000000</v>
      </c>
      <c r="E70">
        <v>97470681</v>
      </c>
      <c r="F70" t="s">
        <v>136</v>
      </c>
      <c r="G70" t="e">
        <f>VLOOKUP(C70,#REF!,1,0)</f>
        <v>#REF!</v>
      </c>
    </row>
    <row r="71" spans="1:7" x14ac:dyDescent="0.25">
      <c r="A71" t="s">
        <v>135</v>
      </c>
      <c r="B71">
        <v>2025000762</v>
      </c>
      <c r="C71" t="s">
        <v>366</v>
      </c>
      <c r="D71" s="12">
        <v>3000000</v>
      </c>
      <c r="E71">
        <v>1085286725</v>
      </c>
      <c r="F71" t="s">
        <v>137</v>
      </c>
      <c r="G71" t="e">
        <f>VLOOKUP(C71,#REF!,1,0)</f>
        <v>#REF!</v>
      </c>
    </row>
    <row r="72" spans="1:7" x14ac:dyDescent="0.25">
      <c r="A72" t="s">
        <v>135</v>
      </c>
      <c r="B72">
        <v>2025000763</v>
      </c>
      <c r="C72" t="s">
        <v>367</v>
      </c>
      <c r="D72" s="12">
        <v>3000000</v>
      </c>
      <c r="E72">
        <v>1085252263</v>
      </c>
      <c r="F72" t="s">
        <v>138</v>
      </c>
      <c r="G72" t="e">
        <f>VLOOKUP(C72,#REF!,1,0)</f>
        <v>#REF!</v>
      </c>
    </row>
    <row r="73" spans="1:7" x14ac:dyDescent="0.25">
      <c r="A73" t="s">
        <v>135</v>
      </c>
      <c r="B73">
        <v>2025000764</v>
      </c>
      <c r="C73" t="s">
        <v>368</v>
      </c>
      <c r="D73" s="12">
        <v>2500000</v>
      </c>
      <c r="E73">
        <v>27087720</v>
      </c>
      <c r="F73" t="s">
        <v>139</v>
      </c>
      <c r="G73" t="e">
        <f>VLOOKUP(C73,#REF!,1,0)</f>
        <v>#REF!</v>
      </c>
    </row>
    <row r="74" spans="1:7" x14ac:dyDescent="0.25">
      <c r="A74" t="s">
        <v>140</v>
      </c>
      <c r="B74">
        <v>2025000767</v>
      </c>
      <c r="C74" t="s">
        <v>503</v>
      </c>
      <c r="D74" s="12">
        <v>3000000</v>
      </c>
      <c r="E74">
        <v>1089243630</v>
      </c>
      <c r="F74" t="s">
        <v>141</v>
      </c>
      <c r="G74" t="e">
        <f>VLOOKUP(C74,#REF!,1,0)</f>
        <v>#REF!</v>
      </c>
    </row>
    <row r="75" spans="1:7" x14ac:dyDescent="0.25">
      <c r="A75" t="s">
        <v>140</v>
      </c>
      <c r="B75">
        <v>2025000768</v>
      </c>
      <c r="C75" t="s">
        <v>369</v>
      </c>
      <c r="D75" s="12">
        <v>2500000</v>
      </c>
      <c r="E75">
        <v>1085320930</v>
      </c>
      <c r="F75" t="s">
        <v>98</v>
      </c>
      <c r="G75" t="e">
        <f>VLOOKUP(C75,#REF!,1,0)</f>
        <v>#REF!</v>
      </c>
    </row>
    <row r="76" spans="1:7" x14ac:dyDescent="0.25">
      <c r="A76" t="s">
        <v>140</v>
      </c>
      <c r="B76">
        <v>2025000769</v>
      </c>
      <c r="C76" t="s">
        <v>370</v>
      </c>
      <c r="D76" s="12">
        <v>2500000</v>
      </c>
      <c r="E76">
        <v>1088729401</v>
      </c>
      <c r="F76" t="s">
        <v>142</v>
      </c>
      <c r="G76" t="e">
        <f>VLOOKUP(C76,#REF!,1,0)</f>
        <v>#REF!</v>
      </c>
    </row>
    <row r="77" spans="1:7" x14ac:dyDescent="0.25">
      <c r="A77" t="s">
        <v>143</v>
      </c>
      <c r="B77">
        <v>2025000770</v>
      </c>
      <c r="C77" t="s">
        <v>371</v>
      </c>
      <c r="D77" s="12">
        <v>4750000</v>
      </c>
      <c r="E77">
        <v>1085345772</v>
      </c>
      <c r="F77" t="s">
        <v>144</v>
      </c>
      <c r="G77" t="e">
        <f>VLOOKUP(C77,#REF!,1,0)</f>
        <v>#REF!</v>
      </c>
    </row>
    <row r="78" spans="1:7" x14ac:dyDescent="0.25">
      <c r="A78" t="s">
        <v>143</v>
      </c>
      <c r="B78">
        <v>2025000771</v>
      </c>
      <c r="C78" t="s">
        <v>372</v>
      </c>
      <c r="D78" s="12">
        <v>3000000</v>
      </c>
      <c r="E78">
        <v>13069881</v>
      </c>
      <c r="F78" t="s">
        <v>145</v>
      </c>
      <c r="G78" t="e">
        <f>VLOOKUP(C78,#REF!,1,0)</f>
        <v>#REF!</v>
      </c>
    </row>
    <row r="79" spans="1:7" x14ac:dyDescent="0.25">
      <c r="A79" t="s">
        <v>143</v>
      </c>
      <c r="B79">
        <v>2025000772</v>
      </c>
      <c r="C79" t="s">
        <v>373</v>
      </c>
      <c r="D79" s="12">
        <v>3000000</v>
      </c>
      <c r="E79">
        <v>1082747438</v>
      </c>
      <c r="F79" t="s">
        <v>146</v>
      </c>
      <c r="G79" t="e">
        <f>VLOOKUP(C79,#REF!,1,0)</f>
        <v>#REF!</v>
      </c>
    </row>
    <row r="80" spans="1:7" x14ac:dyDescent="0.25">
      <c r="A80" t="s">
        <v>143</v>
      </c>
      <c r="B80">
        <v>2025000773</v>
      </c>
      <c r="C80" t="s">
        <v>374</v>
      </c>
      <c r="D80" s="12">
        <v>2500000</v>
      </c>
      <c r="E80">
        <v>1233189896</v>
      </c>
      <c r="F80" t="s">
        <v>147</v>
      </c>
      <c r="G80" t="e">
        <f>VLOOKUP(C80,#REF!,1,0)</f>
        <v>#REF!</v>
      </c>
    </row>
    <row r="81" spans="1:7" x14ac:dyDescent="0.25">
      <c r="A81" t="s">
        <v>148</v>
      </c>
      <c r="B81">
        <v>2025000784</v>
      </c>
      <c r="C81" t="s">
        <v>375</v>
      </c>
      <c r="D81" s="12">
        <v>700000</v>
      </c>
      <c r="E81">
        <v>69028150</v>
      </c>
      <c r="F81" t="s">
        <v>149</v>
      </c>
      <c r="G81" t="e">
        <f>VLOOKUP(C81,#REF!,1,0)</f>
        <v>#REF!</v>
      </c>
    </row>
    <row r="82" spans="1:7" x14ac:dyDescent="0.25">
      <c r="A82" t="s">
        <v>148</v>
      </c>
      <c r="B82">
        <v>2025000785</v>
      </c>
      <c r="C82" t="s">
        <v>376</v>
      </c>
      <c r="D82" s="12">
        <v>3000000</v>
      </c>
      <c r="E82">
        <v>1004598784</v>
      </c>
      <c r="F82" t="s">
        <v>150</v>
      </c>
      <c r="G82" t="e">
        <f>VLOOKUP(C82,#REF!,1,0)</f>
        <v>#REF!</v>
      </c>
    </row>
    <row r="83" spans="1:7" x14ac:dyDescent="0.25">
      <c r="A83" t="s">
        <v>148</v>
      </c>
      <c r="B83">
        <v>2025000786</v>
      </c>
      <c r="C83" t="s">
        <v>377</v>
      </c>
      <c r="D83" s="12">
        <v>3000000</v>
      </c>
      <c r="E83">
        <v>1085339190</v>
      </c>
      <c r="F83" t="s">
        <v>151</v>
      </c>
      <c r="G83" t="e">
        <f>VLOOKUP(C83,#REF!,1,0)</f>
        <v>#REF!</v>
      </c>
    </row>
    <row r="84" spans="1:7" x14ac:dyDescent="0.25">
      <c r="A84" t="s">
        <v>148</v>
      </c>
      <c r="B84">
        <v>2025000787</v>
      </c>
      <c r="C84" t="s">
        <v>378</v>
      </c>
      <c r="D84" s="12">
        <v>3000000</v>
      </c>
      <c r="E84">
        <v>1081572043</v>
      </c>
      <c r="F84" t="s">
        <v>152</v>
      </c>
      <c r="G84" t="e">
        <f>VLOOKUP(C84,#REF!,1,0)</f>
        <v>#REF!</v>
      </c>
    </row>
    <row r="85" spans="1:7" x14ac:dyDescent="0.25">
      <c r="A85" t="s">
        <v>153</v>
      </c>
      <c r="B85">
        <v>2025000792</v>
      </c>
      <c r="C85" t="s">
        <v>379</v>
      </c>
      <c r="D85" s="12">
        <v>73000000</v>
      </c>
      <c r="E85">
        <v>900994364</v>
      </c>
      <c r="F85" t="s">
        <v>8</v>
      </c>
      <c r="G85" t="e">
        <f>VLOOKUP(C85,#REF!,1,0)</f>
        <v>#REF!</v>
      </c>
    </row>
    <row r="86" spans="1:7" x14ac:dyDescent="0.25">
      <c r="A86" t="s">
        <v>153</v>
      </c>
      <c r="B86">
        <v>2025000793</v>
      </c>
      <c r="C86" t="s">
        <v>380</v>
      </c>
      <c r="D86" s="12">
        <v>53502750</v>
      </c>
      <c r="E86">
        <v>900994364</v>
      </c>
      <c r="F86" t="s">
        <v>8</v>
      </c>
      <c r="G86" t="e">
        <f>VLOOKUP(C86,#REF!,1,0)</f>
        <v>#REF!</v>
      </c>
    </row>
    <row r="87" spans="1:7" x14ac:dyDescent="0.25">
      <c r="A87" t="s">
        <v>154</v>
      </c>
      <c r="B87">
        <v>2025000795</v>
      </c>
      <c r="C87" t="s">
        <v>381</v>
      </c>
      <c r="D87" s="12">
        <v>600000</v>
      </c>
      <c r="E87">
        <v>59813323</v>
      </c>
      <c r="F87" t="s">
        <v>155</v>
      </c>
      <c r="G87" t="e">
        <f>VLOOKUP(C87,#REF!,1,0)</f>
        <v>#REF!</v>
      </c>
    </row>
    <row r="88" spans="1:7" x14ac:dyDescent="0.25">
      <c r="A88" t="s">
        <v>156</v>
      </c>
      <c r="B88">
        <v>2025000797</v>
      </c>
      <c r="C88" t="s">
        <v>382</v>
      </c>
      <c r="D88" s="12">
        <v>2500000</v>
      </c>
      <c r="E88">
        <v>30736949</v>
      </c>
      <c r="F88" t="s">
        <v>157</v>
      </c>
      <c r="G88" t="e">
        <f>VLOOKUP(C88,#REF!,1,0)</f>
        <v>#REF!</v>
      </c>
    </row>
    <row r="89" spans="1:7" x14ac:dyDescent="0.25">
      <c r="A89">
        <v>45753</v>
      </c>
      <c r="B89">
        <v>2025000814</v>
      </c>
      <c r="C89" t="s">
        <v>383</v>
      </c>
      <c r="D89" s="12">
        <v>2500000</v>
      </c>
      <c r="E89">
        <v>1233188479</v>
      </c>
      <c r="F89" t="s">
        <v>158</v>
      </c>
      <c r="G89" t="e">
        <f>VLOOKUP(C89,#REF!,1,0)</f>
        <v>#REF!</v>
      </c>
    </row>
    <row r="90" spans="1:7" x14ac:dyDescent="0.25">
      <c r="A90">
        <v>45783</v>
      </c>
      <c r="B90">
        <v>2025000833</v>
      </c>
      <c r="C90" t="s">
        <v>384</v>
      </c>
      <c r="D90" s="12">
        <v>600000</v>
      </c>
      <c r="E90">
        <v>1004437571</v>
      </c>
      <c r="F90" t="s">
        <v>159</v>
      </c>
      <c r="G90" t="e">
        <f>VLOOKUP(C90,#REF!,1,0)</f>
        <v>#REF!</v>
      </c>
    </row>
    <row r="91" spans="1:7" x14ac:dyDescent="0.25">
      <c r="A91" t="s">
        <v>160</v>
      </c>
      <c r="B91">
        <v>2025000948</v>
      </c>
      <c r="C91" t="s">
        <v>297</v>
      </c>
      <c r="D91" s="12">
        <v>2500000</v>
      </c>
      <c r="E91">
        <v>1081052090</v>
      </c>
      <c r="F91" t="s">
        <v>161</v>
      </c>
      <c r="G91" t="e">
        <f>VLOOKUP(C91,#REF!,1,0)</f>
        <v>#REF!</v>
      </c>
    </row>
    <row r="92" spans="1:7" x14ac:dyDescent="0.25">
      <c r="A92" t="s">
        <v>162</v>
      </c>
      <c r="B92">
        <v>2025000957</v>
      </c>
      <c r="C92" t="s">
        <v>321</v>
      </c>
      <c r="D92" s="12">
        <v>3000000</v>
      </c>
      <c r="E92">
        <v>1085318688</v>
      </c>
      <c r="F92" t="s">
        <v>87</v>
      </c>
      <c r="G92" t="e">
        <f>VLOOKUP(C92,#REF!,1,0)</f>
        <v>#REF!</v>
      </c>
    </row>
    <row r="93" spans="1:7" x14ac:dyDescent="0.25">
      <c r="A93" t="s">
        <v>162</v>
      </c>
      <c r="B93">
        <v>2025000958</v>
      </c>
      <c r="C93" t="s">
        <v>317</v>
      </c>
      <c r="D93" s="12">
        <v>3000000</v>
      </c>
      <c r="E93">
        <v>1030606749</v>
      </c>
      <c r="F93" t="s">
        <v>84</v>
      </c>
      <c r="G93" t="e">
        <f>VLOOKUP(C93,#REF!,1,0)</f>
        <v>#REF!</v>
      </c>
    </row>
    <row r="94" spans="1:7" x14ac:dyDescent="0.25">
      <c r="A94" t="s">
        <v>162</v>
      </c>
      <c r="B94">
        <v>2025000959</v>
      </c>
      <c r="C94" t="s">
        <v>320</v>
      </c>
      <c r="D94" s="12">
        <v>3000000</v>
      </c>
      <c r="E94">
        <v>1086328142</v>
      </c>
      <c r="F94" t="s">
        <v>42</v>
      </c>
      <c r="G94" t="e">
        <f>VLOOKUP(C94,#REF!,1,0)</f>
        <v>#REF!</v>
      </c>
    </row>
    <row r="95" spans="1:7" x14ac:dyDescent="0.25">
      <c r="A95" t="s">
        <v>162</v>
      </c>
      <c r="B95">
        <v>2025000960</v>
      </c>
      <c r="C95" t="s">
        <v>318</v>
      </c>
      <c r="D95" s="12">
        <v>3000000</v>
      </c>
      <c r="E95">
        <v>59833899</v>
      </c>
      <c r="F95" t="s">
        <v>85</v>
      </c>
      <c r="G95" t="e">
        <f>VLOOKUP(C95,#REF!,1,0)</f>
        <v>#REF!</v>
      </c>
    </row>
    <row r="96" spans="1:7" x14ac:dyDescent="0.25">
      <c r="A96" t="s">
        <v>162</v>
      </c>
      <c r="B96">
        <v>2025000972</v>
      </c>
      <c r="C96" t="s">
        <v>380</v>
      </c>
      <c r="D96" s="12">
        <v>53181733</v>
      </c>
      <c r="E96">
        <v>900994364</v>
      </c>
      <c r="F96" t="s">
        <v>8</v>
      </c>
      <c r="G96" t="e">
        <f>VLOOKUP(C96,#REF!,1,0)</f>
        <v>#REF!</v>
      </c>
    </row>
    <row r="97" spans="1:7" x14ac:dyDescent="0.25">
      <c r="A97" t="s">
        <v>163</v>
      </c>
      <c r="B97">
        <v>2025001006</v>
      </c>
      <c r="C97" t="s">
        <v>379</v>
      </c>
      <c r="D97" s="12">
        <v>72562000</v>
      </c>
      <c r="E97">
        <v>900994364</v>
      </c>
      <c r="F97" t="s">
        <v>8</v>
      </c>
      <c r="G97" t="e">
        <f>VLOOKUP(C97,#REF!,1,0)</f>
        <v>#REF!</v>
      </c>
    </row>
    <row r="98" spans="1:7" x14ac:dyDescent="0.25">
      <c r="A98" t="s">
        <v>163</v>
      </c>
      <c r="B98">
        <v>2025001007</v>
      </c>
      <c r="C98" t="s">
        <v>353</v>
      </c>
      <c r="D98" s="12">
        <v>6000000</v>
      </c>
      <c r="E98">
        <v>27097289</v>
      </c>
      <c r="F98" t="s">
        <v>122</v>
      </c>
      <c r="G98" t="e">
        <f>VLOOKUP(C98,#REF!,1,0)</f>
        <v>#REF!</v>
      </c>
    </row>
    <row r="99" spans="1:7" x14ac:dyDescent="0.25">
      <c r="A99" t="s">
        <v>163</v>
      </c>
      <c r="B99">
        <v>2025001008</v>
      </c>
      <c r="C99" t="s">
        <v>352</v>
      </c>
      <c r="D99" s="12">
        <v>2500000</v>
      </c>
      <c r="E99">
        <v>1085318898</v>
      </c>
      <c r="F99" t="s">
        <v>121</v>
      </c>
      <c r="G99" t="e">
        <f>VLOOKUP(C99,#REF!,1,0)</f>
        <v>#REF!</v>
      </c>
    </row>
    <row r="100" spans="1:7" x14ac:dyDescent="0.25">
      <c r="A100" t="s">
        <v>163</v>
      </c>
      <c r="B100">
        <v>2025001009</v>
      </c>
      <c r="C100" t="s">
        <v>329</v>
      </c>
      <c r="D100" s="12">
        <v>4750000</v>
      </c>
      <c r="E100">
        <v>1193383306</v>
      </c>
      <c r="F100" t="s">
        <v>97</v>
      </c>
      <c r="G100" t="e">
        <f>VLOOKUP(C100,#REF!,1,0)</f>
        <v>#REF!</v>
      </c>
    </row>
    <row r="101" spans="1:7" x14ac:dyDescent="0.25">
      <c r="A101" t="s">
        <v>163</v>
      </c>
      <c r="B101">
        <v>2025001010</v>
      </c>
      <c r="C101" t="s">
        <v>307</v>
      </c>
      <c r="D101" s="12">
        <v>3000000</v>
      </c>
      <c r="E101">
        <v>1137624011</v>
      </c>
      <c r="F101" t="s">
        <v>69</v>
      </c>
      <c r="G101" t="e">
        <f>VLOOKUP(C101,#REF!,1,0)</f>
        <v>#REF!</v>
      </c>
    </row>
    <row r="102" spans="1:7" x14ac:dyDescent="0.25">
      <c r="A102" t="s">
        <v>163</v>
      </c>
      <c r="B102">
        <v>2025001011</v>
      </c>
      <c r="C102" t="s">
        <v>367</v>
      </c>
      <c r="D102" s="12">
        <v>3000000</v>
      </c>
      <c r="E102">
        <v>1085252263</v>
      </c>
      <c r="F102" t="s">
        <v>138</v>
      </c>
      <c r="G102" t="e">
        <f>VLOOKUP(C102,#REF!,1,0)</f>
        <v>#REF!</v>
      </c>
    </row>
    <row r="103" spans="1:7" x14ac:dyDescent="0.25">
      <c r="A103" t="s">
        <v>163</v>
      </c>
      <c r="B103">
        <v>2025001012</v>
      </c>
      <c r="C103" t="s">
        <v>313</v>
      </c>
      <c r="D103" s="12">
        <v>4825000</v>
      </c>
      <c r="E103">
        <v>1085265622</v>
      </c>
      <c r="F103" t="s">
        <v>79</v>
      </c>
      <c r="G103" t="e">
        <f>VLOOKUP(C103,#REF!,1,0)</f>
        <v>#REF!</v>
      </c>
    </row>
    <row r="104" spans="1:7" x14ac:dyDescent="0.25">
      <c r="A104" t="s">
        <v>163</v>
      </c>
      <c r="B104">
        <v>2025001013</v>
      </c>
      <c r="C104" t="s">
        <v>355</v>
      </c>
      <c r="D104" s="12">
        <v>7500000</v>
      </c>
      <c r="E104">
        <v>87067123</v>
      </c>
      <c r="F104" t="s">
        <v>124</v>
      </c>
      <c r="G104" t="e">
        <f>VLOOKUP(C104,#REF!,1,0)</f>
        <v>#REF!</v>
      </c>
    </row>
    <row r="105" spans="1:7" x14ac:dyDescent="0.25">
      <c r="A105" t="s">
        <v>163</v>
      </c>
      <c r="B105">
        <v>2025001014</v>
      </c>
      <c r="C105" t="s">
        <v>316</v>
      </c>
      <c r="D105" s="12">
        <v>4750000</v>
      </c>
      <c r="E105">
        <v>1085264667</v>
      </c>
      <c r="F105" t="s">
        <v>83</v>
      </c>
      <c r="G105" t="e">
        <f>VLOOKUP(C105,#REF!,1,0)</f>
        <v>#REF!</v>
      </c>
    </row>
    <row r="106" spans="1:7" x14ac:dyDescent="0.25">
      <c r="A106" t="s">
        <v>164</v>
      </c>
      <c r="B106">
        <v>2025001017</v>
      </c>
      <c r="C106" t="s">
        <v>324</v>
      </c>
      <c r="D106" s="12">
        <v>4825000</v>
      </c>
      <c r="E106">
        <v>1085267184</v>
      </c>
      <c r="F106" t="s">
        <v>92</v>
      </c>
      <c r="G106" t="e">
        <f>VLOOKUP(C106,#REF!,1,0)</f>
        <v>#REF!</v>
      </c>
    </row>
    <row r="107" spans="1:7" x14ac:dyDescent="0.25">
      <c r="A107" t="s">
        <v>164</v>
      </c>
      <c r="B107">
        <v>2025001018</v>
      </c>
      <c r="C107" t="s">
        <v>328</v>
      </c>
      <c r="D107" s="12">
        <v>2500000</v>
      </c>
      <c r="E107">
        <v>59310145</v>
      </c>
      <c r="F107" t="s">
        <v>96</v>
      </c>
      <c r="G107" t="e">
        <f>VLOOKUP(C107,#REF!,1,0)</f>
        <v>#REF!</v>
      </c>
    </row>
    <row r="108" spans="1:7" x14ac:dyDescent="0.25">
      <c r="A108" t="s">
        <v>164</v>
      </c>
      <c r="B108">
        <v>2025001019</v>
      </c>
      <c r="C108" t="s">
        <v>341</v>
      </c>
      <c r="D108" s="12">
        <v>3000000</v>
      </c>
      <c r="E108">
        <v>98391531</v>
      </c>
      <c r="F108" t="s">
        <v>109</v>
      </c>
      <c r="G108" t="e">
        <f>VLOOKUP(C108,#REF!,1,0)</f>
        <v>#REF!</v>
      </c>
    </row>
    <row r="109" spans="1:7" x14ac:dyDescent="0.25">
      <c r="A109" t="s">
        <v>164</v>
      </c>
      <c r="B109">
        <v>2025001020</v>
      </c>
      <c r="C109" t="s">
        <v>342</v>
      </c>
      <c r="D109" s="12">
        <v>4750000</v>
      </c>
      <c r="E109">
        <v>1085303067</v>
      </c>
      <c r="F109" t="s">
        <v>110</v>
      </c>
      <c r="G109" t="e">
        <f>VLOOKUP(C109,#REF!,1,0)</f>
        <v>#REF!</v>
      </c>
    </row>
    <row r="110" spans="1:7" x14ac:dyDescent="0.25">
      <c r="A110" t="s">
        <v>164</v>
      </c>
      <c r="B110">
        <v>2025001021</v>
      </c>
      <c r="C110" t="s">
        <v>502</v>
      </c>
      <c r="D110" s="12">
        <v>4825000</v>
      </c>
      <c r="E110">
        <v>27087851</v>
      </c>
      <c r="F110" t="s">
        <v>90</v>
      </c>
      <c r="G110" t="e">
        <f>VLOOKUP(C110,#REF!,1,0)</f>
        <v>#REF!</v>
      </c>
    </row>
    <row r="111" spans="1:7" x14ac:dyDescent="0.25">
      <c r="A111" t="s">
        <v>164</v>
      </c>
      <c r="B111">
        <v>2025001022</v>
      </c>
      <c r="C111" t="s">
        <v>359</v>
      </c>
      <c r="D111" s="12">
        <v>2500000</v>
      </c>
      <c r="E111">
        <v>59821094</v>
      </c>
      <c r="F111" t="s">
        <v>128</v>
      </c>
      <c r="G111" t="e">
        <f>VLOOKUP(C111,#REF!,1,0)</f>
        <v>#REF!</v>
      </c>
    </row>
    <row r="112" spans="1:7" x14ac:dyDescent="0.25">
      <c r="A112" t="s">
        <v>164</v>
      </c>
      <c r="B112">
        <v>2025001023</v>
      </c>
      <c r="C112" t="s">
        <v>334</v>
      </c>
      <c r="D112" s="12">
        <v>3000000</v>
      </c>
      <c r="E112">
        <v>59834953</v>
      </c>
      <c r="F112" t="s">
        <v>102</v>
      </c>
      <c r="G112" t="e">
        <f>VLOOKUP(C112,#REF!,1,0)</f>
        <v>#REF!</v>
      </c>
    </row>
    <row r="113" spans="1:7" x14ac:dyDescent="0.25">
      <c r="A113" t="s">
        <v>164</v>
      </c>
      <c r="B113">
        <v>2025001024</v>
      </c>
      <c r="C113" t="s">
        <v>337</v>
      </c>
      <c r="D113" s="12">
        <v>4750000</v>
      </c>
      <c r="E113">
        <v>59651018</v>
      </c>
      <c r="F113" t="s">
        <v>105</v>
      </c>
      <c r="G113" t="e">
        <f>VLOOKUP(C113,#REF!,1,0)</f>
        <v>#REF!</v>
      </c>
    </row>
    <row r="114" spans="1:7" x14ac:dyDescent="0.25">
      <c r="A114" t="s">
        <v>164</v>
      </c>
      <c r="B114">
        <v>2025001025</v>
      </c>
      <c r="C114" t="s">
        <v>338</v>
      </c>
      <c r="D114" s="12">
        <v>3000000</v>
      </c>
      <c r="E114">
        <v>1085317833</v>
      </c>
      <c r="F114" t="s">
        <v>107</v>
      </c>
      <c r="G114" t="e">
        <f>VLOOKUP(C114,#REF!,1,0)</f>
        <v>#REF!</v>
      </c>
    </row>
    <row r="115" spans="1:7" x14ac:dyDescent="0.25">
      <c r="A115" t="s">
        <v>164</v>
      </c>
      <c r="B115">
        <v>2025001026</v>
      </c>
      <c r="C115" t="s">
        <v>504</v>
      </c>
      <c r="D115" s="12">
        <v>2500000</v>
      </c>
      <c r="E115">
        <v>1085314334</v>
      </c>
      <c r="F115" t="s">
        <v>165</v>
      </c>
      <c r="G115" t="e">
        <f>VLOOKUP(C115,#REF!,1,0)</f>
        <v>#REF!</v>
      </c>
    </row>
    <row r="116" spans="1:7" x14ac:dyDescent="0.25">
      <c r="A116" t="s">
        <v>164</v>
      </c>
      <c r="B116">
        <v>2025001027</v>
      </c>
      <c r="C116" t="s">
        <v>365</v>
      </c>
      <c r="D116" s="12">
        <v>6000000</v>
      </c>
      <c r="E116">
        <v>97470681</v>
      </c>
      <c r="F116" t="s">
        <v>136</v>
      </c>
      <c r="G116" t="e">
        <f>VLOOKUP(C116,#REF!,1,0)</f>
        <v>#REF!</v>
      </c>
    </row>
    <row r="117" spans="1:7" x14ac:dyDescent="0.25">
      <c r="A117" t="s">
        <v>164</v>
      </c>
      <c r="B117">
        <v>2025001028</v>
      </c>
      <c r="C117" t="s">
        <v>343</v>
      </c>
      <c r="D117" s="12">
        <v>7500000</v>
      </c>
      <c r="E117">
        <v>1006946167</v>
      </c>
      <c r="F117" t="s">
        <v>111</v>
      </c>
      <c r="G117" t="e">
        <f>VLOOKUP(C117,#REF!,1,0)</f>
        <v>#REF!</v>
      </c>
    </row>
    <row r="118" spans="1:7" x14ac:dyDescent="0.25">
      <c r="A118" t="s">
        <v>164</v>
      </c>
      <c r="B118">
        <v>2025001029</v>
      </c>
      <c r="C118" t="s">
        <v>323</v>
      </c>
      <c r="D118" s="12">
        <v>3000000</v>
      </c>
      <c r="E118">
        <v>98382500</v>
      </c>
      <c r="F118" t="s">
        <v>91</v>
      </c>
      <c r="G118" t="e">
        <f>VLOOKUP(C118,#REF!,1,0)</f>
        <v>#REF!</v>
      </c>
    </row>
    <row r="119" spans="1:7" x14ac:dyDescent="0.25">
      <c r="A119" t="s">
        <v>164</v>
      </c>
      <c r="B119">
        <v>2025001030</v>
      </c>
      <c r="C119" t="s">
        <v>319</v>
      </c>
      <c r="D119" s="12">
        <v>6000000</v>
      </c>
      <c r="E119">
        <v>59837608</v>
      </c>
      <c r="F119" t="s">
        <v>86</v>
      </c>
      <c r="G119" t="e">
        <f>VLOOKUP(C119,#REF!,1,0)</f>
        <v>#REF!</v>
      </c>
    </row>
    <row r="120" spans="1:7" x14ac:dyDescent="0.25">
      <c r="A120" t="s">
        <v>164</v>
      </c>
      <c r="B120">
        <v>2025001031</v>
      </c>
      <c r="C120" t="s">
        <v>505</v>
      </c>
      <c r="D120" s="12">
        <v>3000000</v>
      </c>
      <c r="E120">
        <v>1088733625</v>
      </c>
      <c r="F120" t="s">
        <v>166</v>
      </c>
      <c r="G120" t="e">
        <f>VLOOKUP(C120,#REF!,1,0)</f>
        <v>#REF!</v>
      </c>
    </row>
    <row r="121" spans="1:7" x14ac:dyDescent="0.25">
      <c r="A121" t="s">
        <v>167</v>
      </c>
      <c r="B121">
        <v>2025001036</v>
      </c>
      <c r="C121" t="s">
        <v>385</v>
      </c>
      <c r="D121" s="12">
        <v>1400000</v>
      </c>
      <c r="E121">
        <v>1014212900</v>
      </c>
      <c r="F121" t="s">
        <v>168</v>
      </c>
      <c r="G121" t="e">
        <f>VLOOKUP(C121,#REF!,1,0)</f>
        <v>#REF!</v>
      </c>
    </row>
    <row r="122" spans="1:7" x14ac:dyDescent="0.25">
      <c r="A122" t="s">
        <v>169</v>
      </c>
      <c r="B122">
        <v>2025001037</v>
      </c>
      <c r="C122" t="s">
        <v>372</v>
      </c>
      <c r="D122" s="12">
        <v>3000000</v>
      </c>
      <c r="E122">
        <v>13069881</v>
      </c>
      <c r="F122" t="s">
        <v>145</v>
      </c>
      <c r="G122" t="e">
        <f>VLOOKUP(C122,#REF!,1,0)</f>
        <v>#REF!</v>
      </c>
    </row>
    <row r="123" spans="1:7" x14ac:dyDescent="0.25">
      <c r="A123" t="s">
        <v>169</v>
      </c>
      <c r="B123">
        <v>2025001038</v>
      </c>
      <c r="C123" t="s">
        <v>305</v>
      </c>
      <c r="D123" s="12">
        <v>4750000</v>
      </c>
      <c r="E123">
        <v>59824313</v>
      </c>
      <c r="F123" t="s">
        <v>67</v>
      </c>
      <c r="G123" t="e">
        <f>VLOOKUP(C123,#REF!,1,0)</f>
        <v>#REF!</v>
      </c>
    </row>
    <row r="124" spans="1:7" x14ac:dyDescent="0.25">
      <c r="A124" t="s">
        <v>169</v>
      </c>
      <c r="B124">
        <v>2025001039</v>
      </c>
      <c r="C124" t="s">
        <v>386</v>
      </c>
      <c r="D124" s="12">
        <v>2500000</v>
      </c>
      <c r="E124">
        <v>37083937</v>
      </c>
      <c r="F124" t="s">
        <v>170</v>
      </c>
      <c r="G124" t="e">
        <f>VLOOKUP(C124,#REF!,1,0)</f>
        <v>#REF!</v>
      </c>
    </row>
    <row r="125" spans="1:7" x14ac:dyDescent="0.25">
      <c r="A125" t="s">
        <v>169</v>
      </c>
      <c r="B125">
        <v>2025001040</v>
      </c>
      <c r="C125" t="s">
        <v>314</v>
      </c>
      <c r="D125" s="12">
        <v>3000000</v>
      </c>
      <c r="E125">
        <v>1004232508</v>
      </c>
      <c r="F125" t="s">
        <v>81</v>
      </c>
      <c r="G125" t="e">
        <f>VLOOKUP(C125,#REF!,1,0)</f>
        <v>#REF!</v>
      </c>
    </row>
    <row r="126" spans="1:7" x14ac:dyDescent="0.25">
      <c r="A126" t="s">
        <v>169</v>
      </c>
      <c r="B126">
        <v>2025001041</v>
      </c>
      <c r="C126" t="s">
        <v>315</v>
      </c>
      <c r="D126" s="12">
        <v>4750000</v>
      </c>
      <c r="E126">
        <v>59816986</v>
      </c>
      <c r="F126" t="s">
        <v>82</v>
      </c>
      <c r="G126" t="e">
        <f>VLOOKUP(C126,#REF!,1,0)</f>
        <v>#REF!</v>
      </c>
    </row>
    <row r="127" spans="1:7" x14ac:dyDescent="0.25">
      <c r="A127" t="s">
        <v>169</v>
      </c>
      <c r="B127">
        <v>2025001042</v>
      </c>
      <c r="C127" t="s">
        <v>387</v>
      </c>
      <c r="D127" s="12">
        <v>6000000</v>
      </c>
      <c r="E127">
        <v>1085245375</v>
      </c>
      <c r="F127" t="s">
        <v>171</v>
      </c>
      <c r="G127" t="e">
        <f>VLOOKUP(C127,#REF!,1,0)</f>
        <v>#REF!</v>
      </c>
    </row>
    <row r="128" spans="1:7" x14ac:dyDescent="0.25">
      <c r="A128" t="s">
        <v>169</v>
      </c>
      <c r="B128">
        <v>2025001043</v>
      </c>
      <c r="C128" t="s">
        <v>505</v>
      </c>
      <c r="D128" s="12">
        <v>3000000</v>
      </c>
      <c r="E128">
        <v>1088733625</v>
      </c>
      <c r="F128" t="s">
        <v>166</v>
      </c>
      <c r="G128" t="e">
        <f>VLOOKUP(C128,#REF!,1,0)</f>
        <v>#REF!</v>
      </c>
    </row>
    <row r="129" spans="1:7" x14ac:dyDescent="0.25">
      <c r="A129" t="s">
        <v>169</v>
      </c>
      <c r="B129">
        <v>2025001044</v>
      </c>
      <c r="C129" t="s">
        <v>322</v>
      </c>
      <c r="D129" s="12">
        <v>3000000</v>
      </c>
      <c r="E129">
        <v>1233188273</v>
      </c>
      <c r="F129" t="s">
        <v>89</v>
      </c>
      <c r="G129" t="e">
        <f>VLOOKUP(C129,#REF!,1,0)</f>
        <v>#REF!</v>
      </c>
    </row>
    <row r="130" spans="1:7" x14ac:dyDescent="0.25">
      <c r="A130" t="s">
        <v>169</v>
      </c>
      <c r="B130">
        <v>2025001045</v>
      </c>
      <c r="C130" t="s">
        <v>374</v>
      </c>
      <c r="D130" s="12">
        <v>2500000</v>
      </c>
      <c r="E130">
        <v>1233189896</v>
      </c>
      <c r="F130" t="s">
        <v>147</v>
      </c>
      <c r="G130" t="e">
        <f>VLOOKUP(C130,#REF!,1,0)</f>
        <v>#REF!</v>
      </c>
    </row>
    <row r="131" spans="1:7" x14ac:dyDescent="0.25">
      <c r="A131" t="s">
        <v>169</v>
      </c>
      <c r="B131">
        <v>2025001047</v>
      </c>
      <c r="C131" t="s">
        <v>327</v>
      </c>
      <c r="D131" s="12">
        <v>4750000</v>
      </c>
      <c r="E131">
        <v>1085331141</v>
      </c>
      <c r="F131" t="s">
        <v>95</v>
      </c>
      <c r="G131" t="e">
        <f>VLOOKUP(C131,#REF!,1,0)</f>
        <v>#REF!</v>
      </c>
    </row>
    <row r="132" spans="1:7" x14ac:dyDescent="0.25">
      <c r="A132" t="s">
        <v>169</v>
      </c>
      <c r="B132">
        <v>2025001048</v>
      </c>
      <c r="C132" t="s">
        <v>331</v>
      </c>
      <c r="D132" s="12">
        <v>3000000</v>
      </c>
      <c r="E132">
        <v>37083324</v>
      </c>
      <c r="F132" t="s">
        <v>99</v>
      </c>
      <c r="G132" t="e">
        <f>VLOOKUP(C132,#REF!,1,0)</f>
        <v>#REF!</v>
      </c>
    </row>
    <row r="133" spans="1:7" x14ac:dyDescent="0.25">
      <c r="A133" t="s">
        <v>169</v>
      </c>
      <c r="B133">
        <v>2025001049</v>
      </c>
      <c r="C133" t="s">
        <v>304</v>
      </c>
      <c r="D133" s="12">
        <v>3000000</v>
      </c>
      <c r="E133">
        <v>1004234290</v>
      </c>
      <c r="F133" t="s">
        <v>65</v>
      </c>
      <c r="G133" t="e">
        <f>VLOOKUP(C133,#REF!,1,0)</f>
        <v>#REF!</v>
      </c>
    </row>
    <row r="134" spans="1:7" x14ac:dyDescent="0.25">
      <c r="A134" t="s">
        <v>169</v>
      </c>
      <c r="B134">
        <v>2025001050</v>
      </c>
      <c r="C134" t="s">
        <v>378</v>
      </c>
      <c r="D134" s="12">
        <v>3000000</v>
      </c>
      <c r="E134">
        <v>1081572043</v>
      </c>
      <c r="F134" t="s">
        <v>152</v>
      </c>
      <c r="G134" t="e">
        <f>VLOOKUP(C134,#REF!,1,0)</f>
        <v>#REF!</v>
      </c>
    </row>
    <row r="135" spans="1:7" x14ac:dyDescent="0.25">
      <c r="A135" t="s">
        <v>169</v>
      </c>
      <c r="B135">
        <v>2025001052</v>
      </c>
      <c r="C135" t="s">
        <v>310</v>
      </c>
      <c r="D135" s="12">
        <v>4750000</v>
      </c>
      <c r="E135">
        <v>27087475</v>
      </c>
      <c r="F135" t="s">
        <v>76</v>
      </c>
      <c r="G135" t="e">
        <f>VLOOKUP(C135,#REF!,1,0)</f>
        <v>#REF!</v>
      </c>
    </row>
    <row r="136" spans="1:7" x14ac:dyDescent="0.25">
      <c r="A136" t="s">
        <v>169</v>
      </c>
      <c r="B136">
        <v>2025001054</v>
      </c>
      <c r="C136" t="s">
        <v>354</v>
      </c>
      <c r="D136" s="12">
        <v>2500000</v>
      </c>
      <c r="E136">
        <v>37087268</v>
      </c>
      <c r="F136" t="s">
        <v>123</v>
      </c>
      <c r="G136" t="e">
        <f>VLOOKUP(C136,#REF!,1,0)</f>
        <v>#REF!</v>
      </c>
    </row>
    <row r="137" spans="1:7" x14ac:dyDescent="0.25">
      <c r="A137" t="s">
        <v>169</v>
      </c>
      <c r="B137">
        <v>2025001055</v>
      </c>
      <c r="C137" t="s">
        <v>368</v>
      </c>
      <c r="D137" s="12">
        <v>2500000</v>
      </c>
      <c r="E137">
        <v>27087720</v>
      </c>
      <c r="F137" t="s">
        <v>139</v>
      </c>
      <c r="G137" t="e">
        <f>VLOOKUP(C137,#REF!,1,0)</f>
        <v>#REF!</v>
      </c>
    </row>
    <row r="138" spans="1:7" x14ac:dyDescent="0.25">
      <c r="A138" t="s">
        <v>169</v>
      </c>
      <c r="B138">
        <v>2025001056</v>
      </c>
      <c r="C138" t="s">
        <v>312</v>
      </c>
      <c r="D138" s="12">
        <v>3000000</v>
      </c>
      <c r="E138">
        <v>1010082397</v>
      </c>
      <c r="F138" t="s">
        <v>78</v>
      </c>
      <c r="G138" t="e">
        <f>VLOOKUP(C138,#REF!,1,0)</f>
        <v>#REF!</v>
      </c>
    </row>
    <row r="139" spans="1:7" x14ac:dyDescent="0.25">
      <c r="A139" t="s">
        <v>169</v>
      </c>
      <c r="B139">
        <v>2025001057</v>
      </c>
      <c r="C139" t="s">
        <v>298</v>
      </c>
      <c r="D139" s="12">
        <v>6000000</v>
      </c>
      <c r="E139">
        <v>36757221</v>
      </c>
      <c r="F139" t="s">
        <v>74</v>
      </c>
      <c r="G139" t="e">
        <f>VLOOKUP(C139,#REF!,1,0)</f>
        <v>#REF!</v>
      </c>
    </row>
    <row r="140" spans="1:7" x14ac:dyDescent="0.25">
      <c r="A140" t="s">
        <v>169</v>
      </c>
      <c r="B140">
        <v>2025001063</v>
      </c>
      <c r="C140" t="s">
        <v>375</v>
      </c>
      <c r="D140" s="12">
        <v>3000000</v>
      </c>
      <c r="E140">
        <v>69028150</v>
      </c>
      <c r="F140" t="s">
        <v>149</v>
      </c>
      <c r="G140" t="e">
        <f>VLOOKUP(C140,#REF!,1,0)</f>
        <v>#REF!</v>
      </c>
    </row>
    <row r="141" spans="1:7" x14ac:dyDescent="0.25">
      <c r="A141" t="s">
        <v>169</v>
      </c>
      <c r="B141">
        <v>2025001064</v>
      </c>
      <c r="C141" t="s">
        <v>350</v>
      </c>
      <c r="D141" s="12">
        <v>4750000</v>
      </c>
      <c r="E141">
        <v>1085313870</v>
      </c>
      <c r="F141" t="s">
        <v>118</v>
      </c>
      <c r="G141" t="e">
        <f>VLOOKUP(C141,#REF!,1,0)</f>
        <v>#REF!</v>
      </c>
    </row>
    <row r="142" spans="1:7" x14ac:dyDescent="0.25">
      <c r="A142" t="s">
        <v>169</v>
      </c>
      <c r="B142">
        <v>2025001065</v>
      </c>
      <c r="C142" t="s">
        <v>348</v>
      </c>
      <c r="D142" s="12">
        <v>4825000</v>
      </c>
      <c r="E142">
        <v>1085324891</v>
      </c>
      <c r="F142" t="s">
        <v>116</v>
      </c>
      <c r="G142" t="e">
        <f>VLOOKUP(C142,#REF!,1,0)</f>
        <v>#REF!</v>
      </c>
    </row>
    <row r="143" spans="1:7" x14ac:dyDescent="0.25">
      <c r="A143" t="s">
        <v>169</v>
      </c>
      <c r="B143">
        <v>2025001066</v>
      </c>
      <c r="C143" t="s">
        <v>388</v>
      </c>
      <c r="D143" s="12">
        <v>3000000</v>
      </c>
      <c r="E143">
        <v>37087117</v>
      </c>
      <c r="F143" t="s">
        <v>172</v>
      </c>
      <c r="G143" t="e">
        <f>VLOOKUP(C143,#REF!,1,0)</f>
        <v>#REF!</v>
      </c>
    </row>
    <row r="144" spans="1:7" x14ac:dyDescent="0.25">
      <c r="A144" t="s">
        <v>169</v>
      </c>
      <c r="B144">
        <v>2025001067</v>
      </c>
      <c r="C144" t="s">
        <v>362</v>
      </c>
      <c r="D144" s="12">
        <v>2500000</v>
      </c>
      <c r="E144">
        <v>12974849</v>
      </c>
      <c r="F144" t="s">
        <v>131</v>
      </c>
      <c r="G144" t="e">
        <f>VLOOKUP(C144,#REF!,1,0)</f>
        <v>#REF!</v>
      </c>
    </row>
    <row r="145" spans="1:7" x14ac:dyDescent="0.25">
      <c r="A145" t="s">
        <v>169</v>
      </c>
      <c r="B145">
        <v>2025001068</v>
      </c>
      <c r="C145" t="s">
        <v>383</v>
      </c>
      <c r="D145" s="12">
        <v>2500000</v>
      </c>
      <c r="E145">
        <v>1233188479</v>
      </c>
      <c r="F145" t="s">
        <v>158</v>
      </c>
      <c r="G145" t="e">
        <f>VLOOKUP(C145,#REF!,1,0)</f>
        <v>#REF!</v>
      </c>
    </row>
    <row r="146" spans="1:7" x14ac:dyDescent="0.25">
      <c r="A146" t="s">
        <v>169</v>
      </c>
      <c r="B146">
        <v>2025001069</v>
      </c>
      <c r="C146" t="s">
        <v>340</v>
      </c>
      <c r="D146" s="12">
        <v>4750000</v>
      </c>
      <c r="E146">
        <v>59312865</v>
      </c>
      <c r="F146" t="s">
        <v>108</v>
      </c>
      <c r="G146" t="e">
        <f>VLOOKUP(C146,#REF!,1,0)</f>
        <v>#REF!</v>
      </c>
    </row>
    <row r="147" spans="1:7" x14ac:dyDescent="0.25">
      <c r="A147" t="s">
        <v>169</v>
      </c>
      <c r="B147">
        <v>2025001070</v>
      </c>
      <c r="C147" t="s">
        <v>358</v>
      </c>
      <c r="D147" s="12">
        <v>6000000</v>
      </c>
      <c r="E147">
        <v>1085275879</v>
      </c>
      <c r="F147" t="s">
        <v>127</v>
      </c>
      <c r="G147" t="e">
        <f>VLOOKUP(C147,#REF!,1,0)</f>
        <v>#REF!</v>
      </c>
    </row>
    <row r="148" spans="1:7" x14ac:dyDescent="0.25">
      <c r="A148" t="s">
        <v>169</v>
      </c>
      <c r="B148">
        <v>2025001071</v>
      </c>
      <c r="C148" t="s">
        <v>369</v>
      </c>
      <c r="D148" s="12">
        <v>2500000</v>
      </c>
      <c r="E148">
        <v>1085320930</v>
      </c>
      <c r="F148" t="s">
        <v>98</v>
      </c>
      <c r="G148" t="e">
        <f>VLOOKUP(C148,#REF!,1,0)</f>
        <v>#REF!</v>
      </c>
    </row>
    <row r="149" spans="1:7" x14ac:dyDescent="0.25">
      <c r="A149" t="s">
        <v>173</v>
      </c>
      <c r="B149">
        <v>2025001053</v>
      </c>
      <c r="C149" t="s">
        <v>389</v>
      </c>
      <c r="D149" s="12">
        <v>460000</v>
      </c>
      <c r="E149">
        <v>1085324685</v>
      </c>
      <c r="F149" t="s">
        <v>174</v>
      </c>
      <c r="G149" t="e">
        <f>VLOOKUP(C149,#REF!,1,0)</f>
        <v>#REF!</v>
      </c>
    </row>
    <row r="150" spans="1:7" x14ac:dyDescent="0.25">
      <c r="A150" s="9">
        <v>45723</v>
      </c>
      <c r="B150">
        <v>2025001101</v>
      </c>
      <c r="C150" t="s">
        <v>306</v>
      </c>
      <c r="D150" s="12">
        <v>4825000</v>
      </c>
      <c r="E150">
        <v>12748383</v>
      </c>
      <c r="F150" t="s">
        <v>68</v>
      </c>
      <c r="G150" t="e">
        <f>VLOOKUP(C150,#REF!,1,0)</f>
        <v>#REF!</v>
      </c>
    </row>
    <row r="151" spans="1:7" x14ac:dyDescent="0.25">
      <c r="A151" s="9">
        <v>45723</v>
      </c>
      <c r="B151">
        <v>2025001102</v>
      </c>
      <c r="C151" t="s">
        <v>501</v>
      </c>
      <c r="D151" s="12">
        <v>3000000</v>
      </c>
      <c r="E151">
        <v>1086223299</v>
      </c>
      <c r="F151" t="s">
        <v>75</v>
      </c>
      <c r="G151" t="e">
        <f>VLOOKUP(C151,#REF!,1,0)</f>
        <v>#REF!</v>
      </c>
    </row>
    <row r="152" spans="1:7" x14ac:dyDescent="0.25">
      <c r="A152" s="9">
        <v>45754</v>
      </c>
      <c r="B152">
        <v>2025001103</v>
      </c>
      <c r="C152" t="s">
        <v>311</v>
      </c>
      <c r="D152" s="12">
        <v>6000000</v>
      </c>
      <c r="E152">
        <v>59820414</v>
      </c>
      <c r="F152" t="s">
        <v>77</v>
      </c>
      <c r="G152" t="e">
        <f>VLOOKUP(C152,#REF!,1,0)</f>
        <v>#REF!</v>
      </c>
    </row>
    <row r="153" spans="1:7" x14ac:dyDescent="0.25">
      <c r="A153" s="9">
        <v>45754</v>
      </c>
      <c r="B153">
        <v>2025001104</v>
      </c>
      <c r="C153" t="s">
        <v>500</v>
      </c>
      <c r="D153" s="12">
        <v>3000000</v>
      </c>
      <c r="E153">
        <v>37084285</v>
      </c>
      <c r="F153" t="s">
        <v>73</v>
      </c>
      <c r="G153" t="e">
        <f>VLOOKUP(C153,#REF!,1,0)</f>
        <v>#REF!</v>
      </c>
    </row>
    <row r="154" spans="1:7" x14ac:dyDescent="0.25">
      <c r="A154" s="9">
        <v>45754</v>
      </c>
      <c r="B154">
        <v>2025001105</v>
      </c>
      <c r="C154" t="s">
        <v>506</v>
      </c>
      <c r="D154" s="12">
        <v>3000000</v>
      </c>
      <c r="E154">
        <v>1085314138</v>
      </c>
      <c r="F154" t="s">
        <v>175</v>
      </c>
      <c r="G154" t="e">
        <f>VLOOKUP(C154,#REF!,1,0)</f>
        <v>#REF!</v>
      </c>
    </row>
    <row r="155" spans="1:7" x14ac:dyDescent="0.25">
      <c r="A155" s="9">
        <v>45754</v>
      </c>
      <c r="B155">
        <v>2025001106</v>
      </c>
      <c r="C155" t="s">
        <v>507</v>
      </c>
      <c r="D155" s="12">
        <v>3000000</v>
      </c>
      <c r="E155">
        <v>36753698</v>
      </c>
      <c r="F155" t="s">
        <v>176</v>
      </c>
      <c r="G155" t="e">
        <f>VLOOKUP(C155,#REF!,1,0)</f>
        <v>#REF!</v>
      </c>
    </row>
    <row r="156" spans="1:7" x14ac:dyDescent="0.25">
      <c r="A156" s="9">
        <v>45754</v>
      </c>
      <c r="B156">
        <v>2025001107</v>
      </c>
      <c r="C156" t="s">
        <v>326</v>
      </c>
      <c r="D156" s="12">
        <v>3000000</v>
      </c>
      <c r="E156">
        <v>1085326791</v>
      </c>
      <c r="F156" t="s">
        <v>94</v>
      </c>
      <c r="G156" t="e">
        <f>VLOOKUP(C156,#REF!,1,0)</f>
        <v>#REF!</v>
      </c>
    </row>
    <row r="157" spans="1:7" x14ac:dyDescent="0.25">
      <c r="A157" s="9">
        <v>45754</v>
      </c>
      <c r="B157">
        <v>2025001108</v>
      </c>
      <c r="C157" t="s">
        <v>339</v>
      </c>
      <c r="D157" s="12">
        <v>3000000</v>
      </c>
      <c r="E157">
        <v>27436186</v>
      </c>
      <c r="F157" t="s">
        <v>60</v>
      </c>
      <c r="G157" t="e">
        <f>VLOOKUP(C157,#REF!,1,0)</f>
        <v>#REF!</v>
      </c>
    </row>
    <row r="158" spans="1:7" x14ac:dyDescent="0.25">
      <c r="A158" s="9">
        <v>45754</v>
      </c>
      <c r="B158">
        <v>2025001109</v>
      </c>
      <c r="C158" t="s">
        <v>360</v>
      </c>
      <c r="D158" s="12">
        <v>4750000</v>
      </c>
      <c r="E158">
        <v>27190772</v>
      </c>
      <c r="F158" t="s">
        <v>129</v>
      </c>
      <c r="G158" t="e">
        <f>VLOOKUP(C158,#REF!,1,0)</f>
        <v>#REF!</v>
      </c>
    </row>
    <row r="159" spans="1:7" x14ac:dyDescent="0.25">
      <c r="A159" s="9">
        <v>45754</v>
      </c>
      <c r="B159">
        <v>2025001110</v>
      </c>
      <c r="C159" t="s">
        <v>377</v>
      </c>
      <c r="D159" s="12">
        <v>3000000</v>
      </c>
      <c r="E159">
        <v>1085339190</v>
      </c>
      <c r="F159" t="s">
        <v>151</v>
      </c>
      <c r="G159" t="e">
        <f>VLOOKUP(C159,#REF!,1,0)</f>
        <v>#REF!</v>
      </c>
    </row>
    <row r="160" spans="1:7" x14ac:dyDescent="0.25">
      <c r="A160" s="9">
        <v>45754</v>
      </c>
      <c r="B160">
        <v>2025001111</v>
      </c>
      <c r="C160" t="s">
        <v>373</v>
      </c>
      <c r="D160" s="12">
        <v>3000000</v>
      </c>
      <c r="E160">
        <v>1082747438</v>
      </c>
      <c r="F160" t="s">
        <v>146</v>
      </c>
      <c r="G160" t="e">
        <f>VLOOKUP(C160,#REF!,1,0)</f>
        <v>#REF!</v>
      </c>
    </row>
    <row r="161" spans="1:7" x14ac:dyDescent="0.25">
      <c r="A161" s="9">
        <v>45754</v>
      </c>
      <c r="B161">
        <v>2025001112</v>
      </c>
      <c r="C161" t="s">
        <v>508</v>
      </c>
      <c r="D161" s="12">
        <v>7500000</v>
      </c>
      <c r="E161">
        <v>1233192708</v>
      </c>
      <c r="F161" t="s">
        <v>177</v>
      </c>
      <c r="G161" t="e">
        <f>VLOOKUP(C161,#REF!,1,0)</f>
        <v>#REF!</v>
      </c>
    </row>
    <row r="162" spans="1:7" x14ac:dyDescent="0.25">
      <c r="A162" s="9">
        <v>45754</v>
      </c>
      <c r="B162">
        <v>2025001113</v>
      </c>
      <c r="C162" t="s">
        <v>308</v>
      </c>
      <c r="D162" s="12">
        <v>6000000</v>
      </c>
      <c r="E162">
        <v>1082748420</v>
      </c>
      <c r="F162" t="s">
        <v>71</v>
      </c>
      <c r="G162" t="e">
        <f>VLOOKUP(C162,#REF!,1,0)</f>
        <v>#REF!</v>
      </c>
    </row>
    <row r="163" spans="1:7" x14ac:dyDescent="0.25">
      <c r="A163" s="9">
        <v>45754</v>
      </c>
      <c r="B163">
        <v>2025001121</v>
      </c>
      <c r="C163" t="s">
        <v>366</v>
      </c>
      <c r="D163" s="12">
        <v>3000000</v>
      </c>
      <c r="E163">
        <v>1085286725</v>
      </c>
      <c r="F163" t="s">
        <v>137</v>
      </c>
      <c r="G163" t="e">
        <f>VLOOKUP(C163,#REF!,1,0)</f>
        <v>#REF!</v>
      </c>
    </row>
    <row r="164" spans="1:7" x14ac:dyDescent="0.25">
      <c r="A164" s="9">
        <v>45754</v>
      </c>
      <c r="B164">
        <v>2025001122</v>
      </c>
      <c r="C164" t="s">
        <v>381</v>
      </c>
      <c r="D164" s="12">
        <v>3000000</v>
      </c>
      <c r="E164">
        <v>59813323</v>
      </c>
      <c r="F164" t="s">
        <v>155</v>
      </c>
      <c r="G164" t="e">
        <f>VLOOKUP(C164,#REF!,1,0)</f>
        <v>#REF!</v>
      </c>
    </row>
    <row r="165" spans="1:7" x14ac:dyDescent="0.25">
      <c r="A165" s="9">
        <v>45754</v>
      </c>
      <c r="B165">
        <v>2025001123</v>
      </c>
      <c r="C165" t="s">
        <v>351</v>
      </c>
      <c r="D165" s="12">
        <v>4825000</v>
      </c>
      <c r="E165">
        <v>27088141</v>
      </c>
      <c r="F165" t="s">
        <v>119</v>
      </c>
      <c r="G165" t="e">
        <f>VLOOKUP(C165,#REF!,1,0)</f>
        <v>#REF!</v>
      </c>
    </row>
    <row r="166" spans="1:7" x14ac:dyDescent="0.25">
      <c r="A166" s="9">
        <v>45754</v>
      </c>
      <c r="B166">
        <v>2025001126</v>
      </c>
      <c r="C166" t="s">
        <v>361</v>
      </c>
      <c r="D166" s="12">
        <v>4750000</v>
      </c>
      <c r="E166">
        <v>13069636</v>
      </c>
      <c r="F166" t="s">
        <v>130</v>
      </c>
      <c r="G166" t="e">
        <f>VLOOKUP(C166,#REF!,1,0)</f>
        <v>#REF!</v>
      </c>
    </row>
    <row r="167" spans="1:7" x14ac:dyDescent="0.25">
      <c r="A167" s="9">
        <v>45754</v>
      </c>
      <c r="B167">
        <v>2025001127</v>
      </c>
      <c r="C167" t="s">
        <v>356</v>
      </c>
      <c r="D167" s="12">
        <v>3000000</v>
      </c>
      <c r="E167">
        <v>1233191675</v>
      </c>
      <c r="F167" t="s">
        <v>125</v>
      </c>
      <c r="G167" t="e">
        <f>VLOOKUP(C167,#REF!,1,0)</f>
        <v>#REF!</v>
      </c>
    </row>
    <row r="168" spans="1:7" x14ac:dyDescent="0.25">
      <c r="A168" s="9">
        <v>45754</v>
      </c>
      <c r="B168">
        <v>2025001128</v>
      </c>
      <c r="C168" t="s">
        <v>376</v>
      </c>
      <c r="D168" s="12">
        <v>3000000</v>
      </c>
      <c r="E168">
        <v>1004598784</v>
      </c>
      <c r="F168" t="s">
        <v>150</v>
      </c>
      <c r="G168" t="e">
        <f>VLOOKUP(C168,#REF!,1,0)</f>
        <v>#REF!</v>
      </c>
    </row>
    <row r="169" spans="1:7" x14ac:dyDescent="0.25">
      <c r="A169" s="9">
        <v>45754</v>
      </c>
      <c r="B169">
        <v>2025001129</v>
      </c>
      <c r="C169" t="s">
        <v>345</v>
      </c>
      <c r="D169" s="12">
        <v>3000000</v>
      </c>
      <c r="E169">
        <v>30743783</v>
      </c>
      <c r="F169" t="s">
        <v>113</v>
      </c>
      <c r="G169" t="e">
        <f>VLOOKUP(C169,#REF!,1,0)</f>
        <v>#REF!</v>
      </c>
    </row>
    <row r="170" spans="1:7" x14ac:dyDescent="0.25">
      <c r="A170" s="9">
        <v>45754</v>
      </c>
      <c r="B170">
        <v>2025001130</v>
      </c>
      <c r="C170" t="s">
        <v>347</v>
      </c>
      <c r="D170" s="12">
        <v>3000000</v>
      </c>
      <c r="E170">
        <v>1004535234</v>
      </c>
      <c r="F170" t="s">
        <v>115</v>
      </c>
      <c r="G170" t="e">
        <f>VLOOKUP(C170,#REF!,1,0)</f>
        <v>#REF!</v>
      </c>
    </row>
    <row r="171" spans="1:7" x14ac:dyDescent="0.25">
      <c r="A171" s="9">
        <v>45876</v>
      </c>
      <c r="B171">
        <v>2025001185</v>
      </c>
      <c r="C171" t="s">
        <v>370</v>
      </c>
      <c r="D171" s="12">
        <v>2500000</v>
      </c>
      <c r="E171">
        <v>1088729401</v>
      </c>
      <c r="F171" t="s">
        <v>142</v>
      </c>
      <c r="G171" t="e">
        <f>VLOOKUP(C171,#REF!,1,0)</f>
        <v>#REF!</v>
      </c>
    </row>
    <row r="172" spans="1:7" x14ac:dyDescent="0.25">
      <c r="A172" s="9">
        <v>45876</v>
      </c>
      <c r="B172">
        <v>2025001186</v>
      </c>
      <c r="C172" t="s">
        <v>385</v>
      </c>
      <c r="D172" s="12">
        <v>6000000</v>
      </c>
      <c r="E172">
        <v>1014212900</v>
      </c>
      <c r="F172" t="s">
        <v>168</v>
      </c>
      <c r="G172" t="e">
        <f>VLOOKUP(C172,#REF!,1,0)</f>
        <v>#REF!</v>
      </c>
    </row>
    <row r="173" spans="1:7" x14ac:dyDescent="0.25">
      <c r="A173" s="9">
        <v>45876</v>
      </c>
      <c r="B173">
        <v>2025001187</v>
      </c>
      <c r="C173" t="s">
        <v>384</v>
      </c>
      <c r="D173" s="12">
        <v>3000000</v>
      </c>
      <c r="E173">
        <v>1004437571</v>
      </c>
      <c r="F173" t="s">
        <v>159</v>
      </c>
      <c r="G173" t="e">
        <f>VLOOKUP(C173,#REF!,1,0)</f>
        <v>#REF!</v>
      </c>
    </row>
    <row r="174" spans="1:7" x14ac:dyDescent="0.25">
      <c r="A174" s="9">
        <v>45876</v>
      </c>
      <c r="B174">
        <v>2025001188</v>
      </c>
      <c r="C174" t="s">
        <v>508</v>
      </c>
      <c r="D174" s="12">
        <v>7500000</v>
      </c>
      <c r="E174">
        <v>1233192708</v>
      </c>
      <c r="F174" t="s">
        <v>177</v>
      </c>
      <c r="G174" t="e">
        <f>VLOOKUP(C174,#REF!,1,0)</f>
        <v>#REF!</v>
      </c>
    </row>
    <row r="175" spans="1:7" x14ac:dyDescent="0.25">
      <c r="A175" s="9">
        <v>45876</v>
      </c>
      <c r="B175">
        <v>2025001189</v>
      </c>
      <c r="C175" t="s">
        <v>390</v>
      </c>
      <c r="D175" s="12">
        <v>2500000</v>
      </c>
      <c r="E175">
        <v>12990231</v>
      </c>
      <c r="F175" t="s">
        <v>178</v>
      </c>
      <c r="G175" t="e">
        <f>VLOOKUP(C175,#REF!,1,0)</f>
        <v>#REF!</v>
      </c>
    </row>
    <row r="176" spans="1:7" x14ac:dyDescent="0.25">
      <c r="A176" s="9">
        <v>45876</v>
      </c>
      <c r="B176">
        <v>2025001190</v>
      </c>
      <c r="C176" t="s">
        <v>332</v>
      </c>
      <c r="D176" s="12">
        <v>2500000</v>
      </c>
      <c r="E176">
        <v>1085347173</v>
      </c>
      <c r="F176" t="s">
        <v>100</v>
      </c>
      <c r="G176" t="e">
        <f>VLOOKUP(C176,#REF!,1,0)</f>
        <v>#REF!</v>
      </c>
    </row>
    <row r="177" spans="1:7" x14ac:dyDescent="0.25">
      <c r="A177" s="9">
        <v>45907</v>
      </c>
      <c r="B177">
        <v>2025001195</v>
      </c>
      <c r="C177" t="s">
        <v>382</v>
      </c>
      <c r="D177" s="12">
        <v>2500000</v>
      </c>
      <c r="E177">
        <v>30736949</v>
      </c>
      <c r="F177" t="s">
        <v>157</v>
      </c>
      <c r="G177" t="e">
        <f>VLOOKUP(C177,#REF!,1,0)</f>
        <v>#REF!</v>
      </c>
    </row>
    <row r="178" spans="1:7" x14ac:dyDescent="0.25">
      <c r="A178" s="9">
        <v>45907</v>
      </c>
      <c r="B178">
        <v>2025001196</v>
      </c>
      <c r="C178" t="s">
        <v>391</v>
      </c>
      <c r="D178" s="12">
        <v>6000000</v>
      </c>
      <c r="E178">
        <v>36954410</v>
      </c>
      <c r="F178" t="s">
        <v>179</v>
      </c>
      <c r="G178" t="e">
        <f>VLOOKUP(C178,#REF!,1,0)</f>
        <v>#REF!</v>
      </c>
    </row>
    <row r="179" spans="1:7" x14ac:dyDescent="0.25">
      <c r="A179" s="9">
        <v>45907</v>
      </c>
      <c r="B179">
        <v>2025001197</v>
      </c>
      <c r="C179" t="s">
        <v>392</v>
      </c>
      <c r="D179" s="12">
        <v>6000000</v>
      </c>
      <c r="E179">
        <v>1085253062</v>
      </c>
      <c r="F179" t="s">
        <v>180</v>
      </c>
      <c r="G179" t="e">
        <f>VLOOKUP(C179,#REF!,1,0)</f>
        <v>#REF!</v>
      </c>
    </row>
    <row r="180" spans="1:7" x14ac:dyDescent="0.25">
      <c r="A180" s="9">
        <v>45907</v>
      </c>
      <c r="B180">
        <v>2025001199</v>
      </c>
      <c r="C180" t="s">
        <v>346</v>
      </c>
      <c r="D180" s="12">
        <v>3000000</v>
      </c>
      <c r="E180">
        <v>1085286742</v>
      </c>
      <c r="F180" t="s">
        <v>114</v>
      </c>
      <c r="G180" t="e">
        <f>VLOOKUP(C180,#REF!,1,0)</f>
        <v>#REF!</v>
      </c>
    </row>
    <row r="181" spans="1:7" x14ac:dyDescent="0.25">
      <c r="A181" s="9">
        <v>45907</v>
      </c>
      <c r="B181">
        <v>2025001201</v>
      </c>
      <c r="C181" t="s">
        <v>363</v>
      </c>
      <c r="D181" s="12">
        <v>3000000</v>
      </c>
      <c r="E181">
        <v>1081592303</v>
      </c>
      <c r="F181" t="s">
        <v>181</v>
      </c>
      <c r="G181" t="e">
        <f>VLOOKUP(C181,#REF!,1,0)</f>
        <v>#REF!</v>
      </c>
    </row>
    <row r="182" spans="1:7" x14ac:dyDescent="0.25">
      <c r="A182" s="9">
        <v>45907</v>
      </c>
      <c r="B182">
        <v>2025001205</v>
      </c>
      <c r="C182" t="s">
        <v>336</v>
      </c>
      <c r="D182" s="12">
        <v>3000000</v>
      </c>
      <c r="E182">
        <v>13070330</v>
      </c>
      <c r="F182" t="s">
        <v>104</v>
      </c>
      <c r="G182" t="e">
        <f>VLOOKUP(C182,#REF!,1,0)</f>
        <v>#REF!</v>
      </c>
    </row>
    <row r="183" spans="1:7" x14ac:dyDescent="0.25">
      <c r="A183" s="9">
        <v>45907</v>
      </c>
      <c r="B183">
        <v>2025001207</v>
      </c>
      <c r="C183" t="s">
        <v>357</v>
      </c>
      <c r="D183" s="12">
        <v>3000000</v>
      </c>
      <c r="E183">
        <v>27388522</v>
      </c>
      <c r="F183" t="s">
        <v>126</v>
      </c>
      <c r="G183" t="e">
        <f>VLOOKUP(C183,#REF!,1,0)</f>
        <v>#REF!</v>
      </c>
    </row>
    <row r="184" spans="1:7" x14ac:dyDescent="0.25">
      <c r="A184" s="9">
        <v>45907</v>
      </c>
      <c r="B184">
        <v>2025001208</v>
      </c>
      <c r="C184" t="s">
        <v>371</v>
      </c>
      <c r="D184" s="12">
        <v>4750000</v>
      </c>
      <c r="E184">
        <v>1085345772</v>
      </c>
      <c r="F184" t="s">
        <v>144</v>
      </c>
      <c r="G184" t="e">
        <f>VLOOKUP(C184,#REF!,1,0)</f>
        <v>#REF!</v>
      </c>
    </row>
    <row r="185" spans="1:7" x14ac:dyDescent="0.25">
      <c r="A185" s="9">
        <v>45907</v>
      </c>
      <c r="B185">
        <v>2025001209</v>
      </c>
      <c r="C185" t="s">
        <v>364</v>
      </c>
      <c r="D185" s="12">
        <v>4750000</v>
      </c>
      <c r="E185">
        <v>1085260497</v>
      </c>
      <c r="F185" t="s">
        <v>134</v>
      </c>
      <c r="G185" t="e">
        <f>VLOOKUP(C185,#REF!,1,0)</f>
        <v>#REF!</v>
      </c>
    </row>
    <row r="186" spans="1:7" x14ac:dyDescent="0.25">
      <c r="A186" s="9">
        <v>45907</v>
      </c>
      <c r="B186">
        <v>2025001210</v>
      </c>
      <c r="C186" t="s">
        <v>349</v>
      </c>
      <c r="D186" s="12">
        <v>3000000</v>
      </c>
      <c r="E186">
        <v>1004216993</v>
      </c>
      <c r="F186" t="s">
        <v>117</v>
      </c>
      <c r="G186" t="e">
        <f>VLOOKUP(C186,#REF!,1,0)</f>
        <v>#REF!</v>
      </c>
    </row>
    <row r="187" spans="1:7" x14ac:dyDescent="0.25">
      <c r="A187" s="9">
        <v>45907</v>
      </c>
      <c r="B187">
        <v>2025001211</v>
      </c>
      <c r="C187" t="s">
        <v>393</v>
      </c>
      <c r="D187" s="12">
        <v>3000000</v>
      </c>
      <c r="E187">
        <v>27082649</v>
      </c>
      <c r="F187" t="s">
        <v>182</v>
      </c>
      <c r="G187" t="e">
        <f>VLOOKUP(C187,#REF!,1,0)</f>
        <v>#REF!</v>
      </c>
    </row>
    <row r="188" spans="1:7" x14ac:dyDescent="0.25">
      <c r="A188" s="9">
        <v>45907</v>
      </c>
      <c r="B188">
        <v>2025001212</v>
      </c>
      <c r="C188" t="s">
        <v>335</v>
      </c>
      <c r="D188" s="12">
        <v>4750000</v>
      </c>
      <c r="E188">
        <v>1085318684</v>
      </c>
      <c r="F188" t="s">
        <v>103</v>
      </c>
      <c r="G188" t="e">
        <f>VLOOKUP(C188,#REF!,1,0)</f>
        <v>#REF!</v>
      </c>
    </row>
    <row r="189" spans="1:7" x14ac:dyDescent="0.25">
      <c r="A189" s="9">
        <v>45907</v>
      </c>
      <c r="B189">
        <v>2025001213</v>
      </c>
      <c r="C189" t="s">
        <v>325</v>
      </c>
      <c r="D189" s="12">
        <v>3000000</v>
      </c>
      <c r="E189">
        <v>1004235479</v>
      </c>
      <c r="F189" t="s">
        <v>93</v>
      </c>
      <c r="G189" t="e">
        <f>VLOOKUP(C189,#REF!,1,0)</f>
        <v>#REF!</v>
      </c>
    </row>
    <row r="190" spans="1:7" x14ac:dyDescent="0.25">
      <c r="A190" s="9">
        <v>45907</v>
      </c>
      <c r="B190">
        <v>2025001214</v>
      </c>
      <c r="C190" t="s">
        <v>394</v>
      </c>
      <c r="D190" s="12">
        <v>6000000</v>
      </c>
      <c r="E190">
        <v>1193223736</v>
      </c>
      <c r="F190" t="s">
        <v>183</v>
      </c>
      <c r="G190" t="e">
        <f>VLOOKUP(C190,#REF!,1,0)</f>
        <v>#REF!</v>
      </c>
    </row>
    <row r="191" spans="1:7" x14ac:dyDescent="0.25">
      <c r="A191" s="9">
        <v>45907</v>
      </c>
      <c r="B191">
        <v>2025001215</v>
      </c>
      <c r="C191" t="s">
        <v>333</v>
      </c>
      <c r="D191" s="12">
        <v>3000000</v>
      </c>
      <c r="E191">
        <v>1085288636</v>
      </c>
      <c r="F191" t="s">
        <v>101</v>
      </c>
      <c r="G191" t="e">
        <f>VLOOKUP(C191,#REF!,1,0)</f>
        <v>#REF!</v>
      </c>
    </row>
    <row r="192" spans="1:7" x14ac:dyDescent="0.25">
      <c r="A192" s="9">
        <v>45907</v>
      </c>
      <c r="B192">
        <v>2025001198</v>
      </c>
      <c r="C192" t="s">
        <v>296</v>
      </c>
      <c r="D192" s="12">
        <v>78901725</v>
      </c>
      <c r="E192">
        <v>900633448</v>
      </c>
      <c r="F192" t="s">
        <v>132</v>
      </c>
      <c r="G192" t="e">
        <f>VLOOKUP(C192,#REF!,1,0)</f>
        <v>#REF!</v>
      </c>
    </row>
    <row r="193" spans="1:7" x14ac:dyDescent="0.25">
      <c r="A193" s="9">
        <v>45907</v>
      </c>
      <c r="B193">
        <v>2025001223</v>
      </c>
      <c r="C193" t="s">
        <v>395</v>
      </c>
      <c r="D193" s="12">
        <v>7500000</v>
      </c>
      <c r="E193">
        <v>1085344794</v>
      </c>
      <c r="F193" t="s">
        <v>184</v>
      </c>
      <c r="G193" t="e">
        <f>VLOOKUP(C193,#REF!,1,0)</f>
        <v>#REF!</v>
      </c>
    </row>
    <row r="194" spans="1:7" x14ac:dyDescent="0.25">
      <c r="A194" s="9">
        <v>45937</v>
      </c>
      <c r="B194">
        <v>2025001225</v>
      </c>
      <c r="C194" t="s">
        <v>509</v>
      </c>
      <c r="D194" s="12">
        <v>3000000</v>
      </c>
      <c r="E194">
        <v>59825382</v>
      </c>
      <c r="F194" t="s">
        <v>185</v>
      </c>
      <c r="G194" t="e">
        <f>VLOOKUP(C194,#REF!,1,0)</f>
        <v>#REF!</v>
      </c>
    </row>
    <row r="195" spans="1:7" x14ac:dyDescent="0.25">
      <c r="A195" s="9">
        <v>45937</v>
      </c>
      <c r="B195">
        <v>2025001226</v>
      </c>
      <c r="C195" t="s">
        <v>396</v>
      </c>
      <c r="D195" s="12">
        <v>7500000</v>
      </c>
      <c r="E195">
        <v>1085255870</v>
      </c>
      <c r="F195" t="s">
        <v>186</v>
      </c>
      <c r="G195" t="e">
        <f>VLOOKUP(C195,#REF!,1,0)</f>
        <v>#REF!</v>
      </c>
    </row>
    <row r="196" spans="1:7" x14ac:dyDescent="0.25">
      <c r="A196" s="9">
        <v>45937</v>
      </c>
      <c r="B196">
        <v>2025001227</v>
      </c>
      <c r="C196" t="s">
        <v>303</v>
      </c>
      <c r="D196" s="12">
        <v>3000000</v>
      </c>
      <c r="E196">
        <v>1086329609</v>
      </c>
      <c r="F196" t="s">
        <v>64</v>
      </c>
      <c r="G196" t="e">
        <f>VLOOKUP(C196,#REF!,1,0)</f>
        <v>#REF!</v>
      </c>
    </row>
    <row r="197" spans="1:7" x14ac:dyDescent="0.25">
      <c r="A197" s="9">
        <v>45968</v>
      </c>
      <c r="B197">
        <v>2025001236</v>
      </c>
      <c r="C197" t="s">
        <v>397</v>
      </c>
      <c r="D197" s="12">
        <v>4750000</v>
      </c>
      <c r="E197">
        <v>1085330309</v>
      </c>
      <c r="F197" t="s">
        <v>187</v>
      </c>
      <c r="G197" t="e">
        <f>VLOOKUP(C197,#REF!,1,0)</f>
        <v>#REF!</v>
      </c>
    </row>
    <row r="198" spans="1:7" x14ac:dyDescent="0.25">
      <c r="A198" s="9">
        <v>45968</v>
      </c>
      <c r="B198">
        <v>2025001237</v>
      </c>
      <c r="C198" t="s">
        <v>398</v>
      </c>
      <c r="D198" s="12">
        <v>3000000</v>
      </c>
      <c r="E198">
        <v>37082232</v>
      </c>
      <c r="F198" t="s">
        <v>188</v>
      </c>
      <c r="G198" t="e">
        <f>VLOOKUP(C198,#REF!,1,0)</f>
        <v>#REF!</v>
      </c>
    </row>
    <row r="199" spans="1:7" x14ac:dyDescent="0.25">
      <c r="A199" s="9">
        <v>45968</v>
      </c>
      <c r="B199">
        <v>2025001238</v>
      </c>
      <c r="C199" t="s">
        <v>399</v>
      </c>
      <c r="D199" s="12">
        <v>6000000</v>
      </c>
      <c r="E199">
        <v>1233193716</v>
      </c>
      <c r="F199" t="s">
        <v>189</v>
      </c>
      <c r="G199" t="e">
        <f>VLOOKUP(C199,#REF!,1,0)</f>
        <v>#REF!</v>
      </c>
    </row>
    <row r="200" spans="1:7" x14ac:dyDescent="0.25">
      <c r="A200" t="s">
        <v>190</v>
      </c>
      <c r="B200">
        <v>2025001286</v>
      </c>
      <c r="C200" t="s">
        <v>400</v>
      </c>
      <c r="D200" s="12">
        <v>3000000</v>
      </c>
      <c r="E200">
        <v>5292370</v>
      </c>
      <c r="F200" t="s">
        <v>191</v>
      </c>
      <c r="G200" t="e">
        <f>VLOOKUP(C200,#REF!,1,0)</f>
        <v>#REF!</v>
      </c>
    </row>
    <row r="201" spans="1:7" x14ac:dyDescent="0.25">
      <c r="A201" t="s">
        <v>190</v>
      </c>
      <c r="B201">
        <v>2025001287</v>
      </c>
      <c r="C201" t="s">
        <v>401</v>
      </c>
      <c r="D201" s="12">
        <v>3000000</v>
      </c>
      <c r="E201">
        <v>36754382</v>
      </c>
      <c r="F201" t="s">
        <v>192</v>
      </c>
      <c r="G201" t="e">
        <f>VLOOKUP(C201,#REF!,1,0)</f>
        <v>#REF!</v>
      </c>
    </row>
    <row r="202" spans="1:7" x14ac:dyDescent="0.25">
      <c r="A202" t="s">
        <v>190</v>
      </c>
      <c r="B202">
        <v>2025001288</v>
      </c>
      <c r="C202" t="s">
        <v>402</v>
      </c>
      <c r="D202" s="12">
        <v>3000000</v>
      </c>
      <c r="E202">
        <v>1080690249</v>
      </c>
      <c r="F202" t="s">
        <v>193</v>
      </c>
      <c r="G202" t="e">
        <f>VLOOKUP(C202,#REF!,1,0)</f>
        <v>#REF!</v>
      </c>
    </row>
    <row r="203" spans="1:7" x14ac:dyDescent="0.25">
      <c r="A203" t="s">
        <v>190</v>
      </c>
      <c r="B203">
        <v>2025001289</v>
      </c>
      <c r="C203" t="s">
        <v>403</v>
      </c>
      <c r="D203" s="12">
        <v>3000000</v>
      </c>
      <c r="E203">
        <v>1085257949</v>
      </c>
      <c r="F203" t="s">
        <v>194</v>
      </c>
      <c r="G203" t="e">
        <f>VLOOKUP(C203,#REF!,1,0)</f>
        <v>#REF!</v>
      </c>
    </row>
    <row r="204" spans="1:7" x14ac:dyDescent="0.25">
      <c r="A204" t="s">
        <v>190</v>
      </c>
      <c r="B204">
        <v>2025001290</v>
      </c>
      <c r="C204" t="s">
        <v>404</v>
      </c>
      <c r="D204" s="12">
        <v>4750000</v>
      </c>
      <c r="E204">
        <v>1087414586</v>
      </c>
      <c r="F204" t="s">
        <v>195</v>
      </c>
      <c r="G204" t="e">
        <f>VLOOKUP(C204,#REF!,1,0)</f>
        <v>#REF!</v>
      </c>
    </row>
    <row r="205" spans="1:7" x14ac:dyDescent="0.25">
      <c r="A205" t="s">
        <v>190</v>
      </c>
      <c r="B205">
        <v>2025001291</v>
      </c>
      <c r="C205" t="s">
        <v>405</v>
      </c>
      <c r="D205" s="12">
        <v>3000000</v>
      </c>
      <c r="E205">
        <v>59830040</v>
      </c>
      <c r="F205" t="s">
        <v>34</v>
      </c>
      <c r="G205" t="e">
        <f>VLOOKUP(C205,#REF!,1,0)</f>
        <v>#REF!</v>
      </c>
    </row>
    <row r="206" spans="1:7" x14ac:dyDescent="0.25">
      <c r="A206" t="s">
        <v>196</v>
      </c>
      <c r="B206">
        <v>2025001303</v>
      </c>
      <c r="C206" t="s">
        <v>406</v>
      </c>
      <c r="D206" s="12">
        <v>7500000</v>
      </c>
      <c r="E206">
        <v>1085937671</v>
      </c>
      <c r="F206" t="s">
        <v>197</v>
      </c>
      <c r="G206" t="e">
        <f>VLOOKUP(C206,#REF!,1,0)</f>
        <v>#REF!</v>
      </c>
    </row>
    <row r="207" spans="1:7" x14ac:dyDescent="0.25">
      <c r="A207" t="s">
        <v>196</v>
      </c>
      <c r="B207">
        <v>2025001316</v>
      </c>
      <c r="C207" t="s">
        <v>407</v>
      </c>
      <c r="D207" s="12">
        <v>3000000</v>
      </c>
      <c r="E207">
        <v>1086363186</v>
      </c>
      <c r="F207" t="s">
        <v>198</v>
      </c>
      <c r="G207" t="e">
        <f>VLOOKUP(C207,#REF!,1,0)</f>
        <v>#REF!</v>
      </c>
    </row>
    <row r="208" spans="1:7" x14ac:dyDescent="0.25">
      <c r="A208" t="s">
        <v>196</v>
      </c>
      <c r="B208">
        <v>2025001317</v>
      </c>
      <c r="C208" t="s">
        <v>408</v>
      </c>
      <c r="D208" s="12">
        <v>3000000</v>
      </c>
      <c r="E208">
        <v>59706564</v>
      </c>
      <c r="F208" t="s">
        <v>199</v>
      </c>
      <c r="G208" t="e">
        <f>VLOOKUP(C208,#REF!,1,0)</f>
        <v>#REF!</v>
      </c>
    </row>
    <row r="209" spans="1:7" x14ac:dyDescent="0.25">
      <c r="A209" t="s">
        <v>196</v>
      </c>
      <c r="B209">
        <v>2025001318</v>
      </c>
      <c r="C209" t="s">
        <v>409</v>
      </c>
      <c r="D209" s="12">
        <v>3000000</v>
      </c>
      <c r="E209">
        <v>1085274630</v>
      </c>
      <c r="F209" t="s">
        <v>200</v>
      </c>
      <c r="G209" t="e">
        <f>VLOOKUP(C209,#REF!,1,0)</f>
        <v>#REF!</v>
      </c>
    </row>
    <row r="210" spans="1:7" x14ac:dyDescent="0.25">
      <c r="A210" t="s">
        <v>196</v>
      </c>
      <c r="B210">
        <v>2025001319</v>
      </c>
      <c r="C210" t="s">
        <v>410</v>
      </c>
      <c r="D210" s="12">
        <v>3000000</v>
      </c>
      <c r="E210">
        <v>1004743217</v>
      </c>
      <c r="F210" t="s">
        <v>201</v>
      </c>
      <c r="G210" t="e">
        <f>VLOOKUP(C210,#REF!,1,0)</f>
        <v>#REF!</v>
      </c>
    </row>
    <row r="211" spans="1:7" x14ac:dyDescent="0.25">
      <c r="A211" t="s">
        <v>196</v>
      </c>
      <c r="B211">
        <v>2025001336</v>
      </c>
      <c r="C211" t="s">
        <v>411</v>
      </c>
      <c r="D211" s="12">
        <v>4825000</v>
      </c>
      <c r="E211">
        <v>1085324891</v>
      </c>
      <c r="F211" t="s">
        <v>116</v>
      </c>
      <c r="G211" t="e">
        <f>VLOOKUP(C211,#REF!,1,0)</f>
        <v>#REF!</v>
      </c>
    </row>
    <row r="212" spans="1:7" x14ac:dyDescent="0.25">
      <c r="A212" t="s">
        <v>196</v>
      </c>
      <c r="B212">
        <v>2025001337</v>
      </c>
      <c r="C212" t="s">
        <v>412</v>
      </c>
      <c r="D212" s="12">
        <v>3000000</v>
      </c>
      <c r="E212">
        <v>1085267505</v>
      </c>
      <c r="F212" t="s">
        <v>202</v>
      </c>
      <c r="G212" t="e">
        <f>VLOOKUP(C212,#REF!,1,0)</f>
        <v>#REF!</v>
      </c>
    </row>
    <row r="213" spans="1:7" x14ac:dyDescent="0.25">
      <c r="A213" t="s">
        <v>203</v>
      </c>
      <c r="B213">
        <v>2025001338</v>
      </c>
      <c r="C213" t="s">
        <v>413</v>
      </c>
      <c r="D213" s="12">
        <v>6000000</v>
      </c>
      <c r="E213">
        <v>1085340697</v>
      </c>
      <c r="F213" t="s">
        <v>204</v>
      </c>
      <c r="G213" t="e">
        <f>VLOOKUP(C213,#REF!,1,0)</f>
        <v>#REF!</v>
      </c>
    </row>
    <row r="214" spans="1:7" x14ac:dyDescent="0.25">
      <c r="A214" t="s">
        <v>203</v>
      </c>
      <c r="B214">
        <v>2025001339</v>
      </c>
      <c r="C214" t="s">
        <v>414</v>
      </c>
      <c r="D214" s="12">
        <v>7500000</v>
      </c>
      <c r="E214">
        <v>1085300619</v>
      </c>
      <c r="F214" t="s">
        <v>205</v>
      </c>
      <c r="G214" t="e">
        <f>VLOOKUP(C214,#REF!,1,0)</f>
        <v>#REF!</v>
      </c>
    </row>
    <row r="215" spans="1:7" x14ac:dyDescent="0.25">
      <c r="A215" t="s">
        <v>203</v>
      </c>
      <c r="B215">
        <v>2025001340</v>
      </c>
      <c r="C215" t="s">
        <v>415</v>
      </c>
      <c r="D215" s="12">
        <v>3000000</v>
      </c>
      <c r="E215">
        <v>36950482</v>
      </c>
      <c r="F215" t="s">
        <v>206</v>
      </c>
      <c r="G215" t="e">
        <f>VLOOKUP(C215,#REF!,1,0)</f>
        <v>#REF!</v>
      </c>
    </row>
    <row r="216" spans="1:7" x14ac:dyDescent="0.25">
      <c r="A216" t="s">
        <v>203</v>
      </c>
      <c r="B216">
        <v>2025001349</v>
      </c>
      <c r="C216" t="s">
        <v>416</v>
      </c>
      <c r="D216" s="12">
        <v>3000000</v>
      </c>
      <c r="E216">
        <v>1085314608</v>
      </c>
      <c r="F216" t="s">
        <v>207</v>
      </c>
      <c r="G216" t="e">
        <f>VLOOKUP(C216,#REF!,1,0)</f>
        <v>#REF!</v>
      </c>
    </row>
    <row r="217" spans="1:7" x14ac:dyDescent="0.25">
      <c r="A217" t="s">
        <v>208</v>
      </c>
      <c r="B217">
        <v>2025001366</v>
      </c>
      <c r="C217" t="s">
        <v>417</v>
      </c>
      <c r="D217" s="12">
        <v>4750000</v>
      </c>
      <c r="E217">
        <v>59830379</v>
      </c>
      <c r="F217" t="s">
        <v>209</v>
      </c>
      <c r="G217" t="e">
        <f>VLOOKUP(C217,#REF!,1,0)</f>
        <v>#REF!</v>
      </c>
    </row>
    <row r="218" spans="1:7" x14ac:dyDescent="0.25">
      <c r="A218" t="s">
        <v>210</v>
      </c>
      <c r="B218">
        <v>2025001368</v>
      </c>
      <c r="C218" t="s">
        <v>418</v>
      </c>
      <c r="D218" s="12">
        <v>6000000</v>
      </c>
      <c r="E218">
        <v>59311844</v>
      </c>
      <c r="F218" t="s">
        <v>211</v>
      </c>
      <c r="G218" t="e">
        <f>VLOOKUP(C218,#REF!,1,0)</f>
        <v>#REF!</v>
      </c>
    </row>
    <row r="219" spans="1:7" x14ac:dyDescent="0.25">
      <c r="A219" t="s">
        <v>210</v>
      </c>
      <c r="B219">
        <v>2025001369</v>
      </c>
      <c r="C219" t="s">
        <v>419</v>
      </c>
      <c r="D219" s="12">
        <v>3000000</v>
      </c>
      <c r="E219">
        <v>59835389</v>
      </c>
      <c r="F219" t="s">
        <v>212</v>
      </c>
      <c r="G219" t="e">
        <f>VLOOKUP(C219,#REF!,1,0)</f>
        <v>#REF!</v>
      </c>
    </row>
    <row r="220" spans="1:7" x14ac:dyDescent="0.25">
      <c r="A220" t="s">
        <v>210</v>
      </c>
      <c r="B220">
        <v>2025001372</v>
      </c>
      <c r="C220" t="s">
        <v>420</v>
      </c>
      <c r="D220" s="12">
        <v>4750000</v>
      </c>
      <c r="E220">
        <v>1085313870</v>
      </c>
      <c r="F220" t="s">
        <v>118</v>
      </c>
      <c r="G220" t="e">
        <f>VLOOKUP(C220,#REF!,1,0)</f>
        <v>#REF!</v>
      </c>
    </row>
    <row r="221" spans="1:7" x14ac:dyDescent="0.25">
      <c r="A221" t="s">
        <v>210</v>
      </c>
      <c r="B221">
        <v>2025001373</v>
      </c>
      <c r="C221" t="s">
        <v>421</v>
      </c>
      <c r="D221" s="12">
        <v>7500000</v>
      </c>
      <c r="E221">
        <v>1085329980</v>
      </c>
      <c r="F221" t="s">
        <v>213</v>
      </c>
      <c r="G221" t="e">
        <f>VLOOKUP(C221,#REF!,1,0)</f>
        <v>#REF!</v>
      </c>
    </row>
    <row r="222" spans="1:7" x14ac:dyDescent="0.25">
      <c r="A222" t="s">
        <v>214</v>
      </c>
      <c r="B222">
        <v>2025001443</v>
      </c>
      <c r="C222" t="s">
        <v>422</v>
      </c>
      <c r="D222" s="12">
        <v>3000000</v>
      </c>
      <c r="E222">
        <v>1085272774</v>
      </c>
      <c r="F222" t="s">
        <v>215</v>
      </c>
      <c r="G222" t="e">
        <f>VLOOKUP(C222,#REF!,1,0)</f>
        <v>#REF!</v>
      </c>
    </row>
    <row r="223" spans="1:7" x14ac:dyDescent="0.25">
      <c r="A223" t="s">
        <v>214</v>
      </c>
      <c r="B223">
        <v>2025001444</v>
      </c>
      <c r="C223" t="s">
        <v>423</v>
      </c>
      <c r="D223" s="12">
        <v>6000000</v>
      </c>
      <c r="E223">
        <v>1085303585</v>
      </c>
      <c r="F223" t="s">
        <v>216</v>
      </c>
      <c r="G223" t="e">
        <f>VLOOKUP(C223,#REF!,1,0)</f>
        <v>#REF!</v>
      </c>
    </row>
    <row r="224" spans="1:7" x14ac:dyDescent="0.25">
      <c r="A224" t="s">
        <v>214</v>
      </c>
      <c r="B224">
        <v>2025001445</v>
      </c>
      <c r="C224" t="s">
        <v>297</v>
      </c>
      <c r="D224" s="12">
        <v>2500000</v>
      </c>
      <c r="E224">
        <v>1081052090</v>
      </c>
      <c r="F224" t="s">
        <v>161</v>
      </c>
      <c r="G224" t="e">
        <f>VLOOKUP(C224,#REF!,1,0)</f>
        <v>#REF!</v>
      </c>
    </row>
    <row r="225" spans="1:7" x14ac:dyDescent="0.25">
      <c r="A225" t="s">
        <v>217</v>
      </c>
      <c r="B225">
        <v>2025001456</v>
      </c>
      <c r="C225" t="s">
        <v>424</v>
      </c>
      <c r="D225" s="12">
        <v>6000000</v>
      </c>
      <c r="E225">
        <v>27146489</v>
      </c>
      <c r="F225" t="s">
        <v>218</v>
      </c>
      <c r="G225" t="e">
        <f>VLOOKUP(C225,#REF!,1,0)</f>
        <v>#REF!</v>
      </c>
    </row>
    <row r="226" spans="1:7" x14ac:dyDescent="0.25">
      <c r="A226" t="s">
        <v>217</v>
      </c>
      <c r="B226">
        <v>2025001461</v>
      </c>
      <c r="C226" t="s">
        <v>425</v>
      </c>
      <c r="D226" s="12">
        <v>4825000</v>
      </c>
      <c r="E226">
        <v>1004508471</v>
      </c>
      <c r="F226" t="s">
        <v>219</v>
      </c>
      <c r="G226" t="e">
        <f>VLOOKUP(C226,#REF!,1,0)</f>
        <v>#REF!</v>
      </c>
    </row>
    <row r="227" spans="1:7" x14ac:dyDescent="0.25">
      <c r="A227" t="s">
        <v>217</v>
      </c>
      <c r="B227">
        <v>2025001462</v>
      </c>
      <c r="C227" t="s">
        <v>47</v>
      </c>
      <c r="D227" s="12">
        <v>4825000</v>
      </c>
      <c r="E227">
        <v>36751052</v>
      </c>
      <c r="F227" t="s">
        <v>48</v>
      </c>
      <c r="G227" t="e">
        <f>VLOOKUP(C227,#REF!,1,0)</f>
        <v>#REF!</v>
      </c>
    </row>
    <row r="228" spans="1:7" x14ac:dyDescent="0.25">
      <c r="A228" t="s">
        <v>217</v>
      </c>
      <c r="B228">
        <v>2025001468</v>
      </c>
      <c r="C228" t="s">
        <v>426</v>
      </c>
      <c r="D228" s="12">
        <v>2500000</v>
      </c>
      <c r="E228">
        <v>1233189896</v>
      </c>
      <c r="F228" t="s">
        <v>147</v>
      </c>
      <c r="G228" t="e">
        <f>VLOOKUP(C228,#REF!,1,0)</f>
        <v>#REF!</v>
      </c>
    </row>
    <row r="229" spans="1:7" x14ac:dyDescent="0.25">
      <c r="A229" t="s">
        <v>220</v>
      </c>
      <c r="B229">
        <v>2025001471</v>
      </c>
      <c r="C229" t="s">
        <v>7</v>
      </c>
      <c r="D229" s="12">
        <v>36195000</v>
      </c>
      <c r="E229">
        <v>900994364</v>
      </c>
      <c r="F229" t="s">
        <v>8</v>
      </c>
      <c r="G229" t="e">
        <f>VLOOKUP(C229,#REF!,1,0)</f>
        <v>#REF!</v>
      </c>
    </row>
    <row r="230" spans="1:7" x14ac:dyDescent="0.25">
      <c r="A230" s="9">
        <v>45755</v>
      </c>
      <c r="B230">
        <v>2025001493</v>
      </c>
      <c r="C230" t="s">
        <v>427</v>
      </c>
      <c r="D230" s="12">
        <v>4825000</v>
      </c>
      <c r="E230">
        <v>59835376</v>
      </c>
      <c r="F230" t="s">
        <v>221</v>
      </c>
      <c r="G230" t="e">
        <f>VLOOKUP(C230,#REF!,1,0)</f>
        <v>#REF!</v>
      </c>
    </row>
    <row r="231" spans="1:7" x14ac:dyDescent="0.25">
      <c r="A231" s="9">
        <v>45755</v>
      </c>
      <c r="B231">
        <v>2025001496</v>
      </c>
      <c r="C231" t="s">
        <v>428</v>
      </c>
      <c r="D231" s="12">
        <v>6000000</v>
      </c>
      <c r="E231">
        <v>1085286476</v>
      </c>
      <c r="F231" t="s">
        <v>222</v>
      </c>
      <c r="G231" t="e">
        <f>VLOOKUP(C231,#REF!,1,0)</f>
        <v>#REF!</v>
      </c>
    </row>
    <row r="232" spans="1:7" x14ac:dyDescent="0.25">
      <c r="A232" s="9">
        <v>45755</v>
      </c>
      <c r="B232">
        <v>2025001497</v>
      </c>
      <c r="C232" t="s">
        <v>429</v>
      </c>
      <c r="D232" s="12">
        <v>3000000</v>
      </c>
      <c r="E232">
        <v>69028150</v>
      </c>
      <c r="F232" t="s">
        <v>149</v>
      </c>
      <c r="G232" t="e">
        <f>VLOOKUP(C232,#REF!,1,0)</f>
        <v>#REF!</v>
      </c>
    </row>
    <row r="233" spans="1:7" x14ac:dyDescent="0.25">
      <c r="A233" s="9">
        <v>45755</v>
      </c>
      <c r="B233">
        <v>2025001498</v>
      </c>
      <c r="C233" t="s">
        <v>430</v>
      </c>
      <c r="D233" s="12">
        <v>7500000</v>
      </c>
      <c r="E233">
        <v>80765093</v>
      </c>
      <c r="F233" t="s">
        <v>223</v>
      </c>
      <c r="G233" t="e">
        <f>VLOOKUP(C233,#REF!,1,0)</f>
        <v>#REF!</v>
      </c>
    </row>
    <row r="234" spans="1:7" x14ac:dyDescent="0.25">
      <c r="A234" s="9">
        <v>45755</v>
      </c>
      <c r="B234">
        <v>2025001499</v>
      </c>
      <c r="C234" t="s">
        <v>503</v>
      </c>
      <c r="D234" s="12">
        <v>1500000</v>
      </c>
      <c r="E234">
        <v>1089243630</v>
      </c>
      <c r="F234" t="s">
        <v>141</v>
      </c>
      <c r="G234" t="e">
        <f>VLOOKUP(C234,#REF!,1,0)</f>
        <v>#REF!</v>
      </c>
    </row>
    <row r="235" spans="1:7" x14ac:dyDescent="0.25">
      <c r="A235" s="9">
        <v>45755</v>
      </c>
      <c r="B235">
        <v>2025001503</v>
      </c>
      <c r="C235" t="s">
        <v>431</v>
      </c>
      <c r="D235" s="12">
        <v>3000000</v>
      </c>
      <c r="E235">
        <v>1030606749</v>
      </c>
      <c r="F235" t="s">
        <v>84</v>
      </c>
      <c r="G235" t="e">
        <f>VLOOKUP(C235,#REF!,1,0)</f>
        <v>#REF!</v>
      </c>
    </row>
    <row r="236" spans="1:7" x14ac:dyDescent="0.25">
      <c r="A236" s="9">
        <v>45755</v>
      </c>
      <c r="B236">
        <v>2025001504</v>
      </c>
      <c r="C236" t="s">
        <v>432</v>
      </c>
      <c r="D236" s="12">
        <v>3000000</v>
      </c>
      <c r="E236">
        <v>1081594639</v>
      </c>
      <c r="F236" t="s">
        <v>224</v>
      </c>
      <c r="G236" t="e">
        <f>VLOOKUP(C236,#REF!,1,0)</f>
        <v>#REF!</v>
      </c>
    </row>
    <row r="237" spans="1:7" x14ac:dyDescent="0.25">
      <c r="A237" s="9">
        <v>45755</v>
      </c>
      <c r="B237">
        <v>2025001505</v>
      </c>
      <c r="C237" t="s">
        <v>433</v>
      </c>
      <c r="D237" s="12">
        <v>3000000</v>
      </c>
      <c r="E237">
        <v>36752202</v>
      </c>
      <c r="F237" t="s">
        <v>225</v>
      </c>
      <c r="G237" t="e">
        <f>VLOOKUP(C237,#REF!,1,0)</f>
        <v>#REF!</v>
      </c>
    </row>
    <row r="238" spans="1:7" x14ac:dyDescent="0.25">
      <c r="A238" s="9">
        <v>45816</v>
      </c>
      <c r="B238">
        <v>2025001524</v>
      </c>
      <c r="C238" t="s">
        <v>299</v>
      </c>
      <c r="D238" s="12">
        <v>4825000</v>
      </c>
      <c r="E238">
        <v>1085338534</v>
      </c>
      <c r="F238" t="s">
        <v>226</v>
      </c>
      <c r="G238" t="e">
        <f>VLOOKUP(C238,#REF!,1,0)</f>
        <v>#REF!</v>
      </c>
    </row>
    <row r="239" spans="1:7" x14ac:dyDescent="0.25">
      <c r="A239" s="9">
        <v>45816</v>
      </c>
      <c r="B239">
        <v>2025001526</v>
      </c>
      <c r="C239" t="s">
        <v>434</v>
      </c>
      <c r="D239" s="12">
        <v>3000000</v>
      </c>
      <c r="E239">
        <v>1086222689</v>
      </c>
      <c r="F239" t="s">
        <v>227</v>
      </c>
      <c r="G239" t="e">
        <f>VLOOKUP(C239,#REF!,1,0)</f>
        <v>#REF!</v>
      </c>
    </row>
    <row r="240" spans="1:7" x14ac:dyDescent="0.25">
      <c r="A240" s="9">
        <v>45816</v>
      </c>
      <c r="B240">
        <v>2025001527</v>
      </c>
      <c r="C240" t="s">
        <v>300</v>
      </c>
      <c r="D240" s="12">
        <v>3000000</v>
      </c>
      <c r="E240">
        <v>1193271854</v>
      </c>
      <c r="F240" t="s">
        <v>9</v>
      </c>
      <c r="G240" t="e">
        <f>VLOOKUP(C240,#REF!,1,0)</f>
        <v>#REF!</v>
      </c>
    </row>
    <row r="241" spans="1:7" x14ac:dyDescent="0.25">
      <c r="A241" s="9">
        <v>45816</v>
      </c>
      <c r="B241">
        <v>2025001528</v>
      </c>
      <c r="C241" t="s">
        <v>301</v>
      </c>
      <c r="D241" s="12">
        <v>4750000</v>
      </c>
      <c r="E241">
        <v>59651018</v>
      </c>
      <c r="F241" t="s">
        <v>105</v>
      </c>
      <c r="G241" t="e">
        <f>VLOOKUP(C241,#REF!,1,0)</f>
        <v>#REF!</v>
      </c>
    </row>
    <row r="242" spans="1:7" x14ac:dyDescent="0.25">
      <c r="A242" s="9">
        <v>45816</v>
      </c>
      <c r="B242">
        <v>2025001529</v>
      </c>
      <c r="C242" t="s">
        <v>435</v>
      </c>
      <c r="D242" s="12">
        <v>3000000</v>
      </c>
      <c r="E242">
        <v>1081592303</v>
      </c>
      <c r="F242" t="s">
        <v>181</v>
      </c>
      <c r="G242" t="e">
        <f>VLOOKUP(C242,#REF!,1,0)</f>
        <v>#REF!</v>
      </c>
    </row>
    <row r="243" spans="1:7" x14ac:dyDescent="0.25">
      <c r="A243" s="9">
        <v>45877</v>
      </c>
      <c r="B243">
        <v>2025001536</v>
      </c>
      <c r="C243" t="s">
        <v>436</v>
      </c>
      <c r="D243" s="12">
        <v>3000000</v>
      </c>
      <c r="E243">
        <v>1137624011</v>
      </c>
      <c r="F243" t="s">
        <v>69</v>
      </c>
      <c r="G243" t="e">
        <f>VLOOKUP(C243,#REF!,1,0)</f>
        <v>#REF!</v>
      </c>
    </row>
    <row r="244" spans="1:7" x14ac:dyDescent="0.25">
      <c r="A244" s="9">
        <v>45877</v>
      </c>
      <c r="B244">
        <v>2025001537</v>
      </c>
      <c r="C244" t="s">
        <v>437</v>
      </c>
      <c r="D244" s="12">
        <v>4750000</v>
      </c>
      <c r="E244">
        <v>1085343783</v>
      </c>
      <c r="F244" t="s">
        <v>228</v>
      </c>
      <c r="G244" t="e">
        <f>VLOOKUP(C244,#REF!,1,0)</f>
        <v>#REF!</v>
      </c>
    </row>
    <row r="245" spans="1:7" x14ac:dyDescent="0.25">
      <c r="A245" s="9">
        <v>45877</v>
      </c>
      <c r="B245">
        <v>2025001538</v>
      </c>
      <c r="C245" t="s">
        <v>438</v>
      </c>
      <c r="D245" s="12">
        <v>4750000</v>
      </c>
      <c r="E245">
        <v>1085345772</v>
      </c>
      <c r="F245" t="s">
        <v>144</v>
      </c>
      <c r="G245" t="e">
        <f>VLOOKUP(C245,#REF!,1,0)</f>
        <v>#REF!</v>
      </c>
    </row>
    <row r="246" spans="1:7" x14ac:dyDescent="0.25">
      <c r="A246" s="9">
        <v>45877</v>
      </c>
      <c r="B246">
        <v>2025001539</v>
      </c>
      <c r="C246" t="s">
        <v>439</v>
      </c>
      <c r="D246" s="12">
        <v>3000000</v>
      </c>
      <c r="E246">
        <v>1233189234</v>
      </c>
      <c r="F246" t="s">
        <v>229</v>
      </c>
      <c r="G246" t="e">
        <f>VLOOKUP(C246,#REF!,1,0)</f>
        <v>#REF!</v>
      </c>
    </row>
    <row r="247" spans="1:7" x14ac:dyDescent="0.25">
      <c r="A247" s="9">
        <v>45877</v>
      </c>
      <c r="B247">
        <v>2025001540</v>
      </c>
      <c r="C247" t="s">
        <v>440</v>
      </c>
      <c r="D247" s="12">
        <v>4750000</v>
      </c>
      <c r="E247">
        <v>36759759</v>
      </c>
      <c r="F247" t="s">
        <v>230</v>
      </c>
      <c r="G247" t="e">
        <f>VLOOKUP(C247,#REF!,1,0)</f>
        <v>#REF!</v>
      </c>
    </row>
    <row r="248" spans="1:7" x14ac:dyDescent="0.25">
      <c r="A248" s="9">
        <v>45877</v>
      </c>
      <c r="B248">
        <v>2025001541</v>
      </c>
      <c r="C248" t="s">
        <v>441</v>
      </c>
      <c r="D248" s="12">
        <v>3000000</v>
      </c>
      <c r="E248">
        <v>59310524</v>
      </c>
      <c r="F248" t="s">
        <v>231</v>
      </c>
      <c r="G248" t="e">
        <f>VLOOKUP(C248,#REF!,1,0)</f>
        <v>#REF!</v>
      </c>
    </row>
    <row r="249" spans="1:7" x14ac:dyDescent="0.25">
      <c r="A249" s="9">
        <v>45877</v>
      </c>
      <c r="B249">
        <v>2025001542</v>
      </c>
      <c r="C249" t="s">
        <v>442</v>
      </c>
      <c r="D249" s="12">
        <v>4825000</v>
      </c>
      <c r="E249">
        <v>1085321578</v>
      </c>
      <c r="F249" t="s">
        <v>232</v>
      </c>
      <c r="G249" t="e">
        <f>VLOOKUP(C249,#REF!,1,0)</f>
        <v>#REF!</v>
      </c>
    </row>
    <row r="250" spans="1:7" x14ac:dyDescent="0.25">
      <c r="A250" s="9">
        <v>45969</v>
      </c>
      <c r="B250">
        <v>2025001548</v>
      </c>
      <c r="C250" t="s">
        <v>510</v>
      </c>
      <c r="D250" s="12">
        <v>7500000</v>
      </c>
      <c r="E250">
        <v>1085293105</v>
      </c>
      <c r="F250" t="s">
        <v>233</v>
      </c>
      <c r="G250" t="e">
        <f>VLOOKUP(C250,#REF!,1,0)</f>
        <v>#REF!</v>
      </c>
    </row>
    <row r="251" spans="1:7" x14ac:dyDescent="0.25">
      <c r="A251" s="9">
        <v>45969</v>
      </c>
      <c r="B251">
        <v>2025001549</v>
      </c>
      <c r="C251" t="s">
        <v>511</v>
      </c>
      <c r="D251" s="12">
        <v>7500000</v>
      </c>
      <c r="E251">
        <v>1085336362</v>
      </c>
      <c r="F251" t="s">
        <v>234</v>
      </c>
      <c r="G251" t="e">
        <f>VLOOKUP(C251,#REF!,1,0)</f>
        <v>#REF!</v>
      </c>
    </row>
    <row r="252" spans="1:7" x14ac:dyDescent="0.25">
      <c r="A252" s="9">
        <v>45969</v>
      </c>
      <c r="B252">
        <v>2025001550</v>
      </c>
      <c r="C252" t="s">
        <v>512</v>
      </c>
      <c r="D252" s="12">
        <v>7500000</v>
      </c>
      <c r="E252">
        <v>1006946167</v>
      </c>
      <c r="F252" t="s">
        <v>111</v>
      </c>
      <c r="G252" t="e">
        <f>VLOOKUP(C252,#REF!,1,0)</f>
        <v>#REF!</v>
      </c>
    </row>
    <row r="253" spans="1:7" x14ac:dyDescent="0.25">
      <c r="A253" s="9">
        <v>45969</v>
      </c>
      <c r="B253">
        <v>2025001551</v>
      </c>
      <c r="C253" t="s">
        <v>513</v>
      </c>
      <c r="D253" s="12">
        <v>3000000</v>
      </c>
      <c r="E253">
        <v>1085317833</v>
      </c>
      <c r="F253" t="s">
        <v>107</v>
      </c>
      <c r="G253" t="e">
        <f>VLOOKUP(C253,#REF!,1,0)</f>
        <v>#REF!</v>
      </c>
    </row>
    <row r="254" spans="1:7" x14ac:dyDescent="0.25">
      <c r="A254" s="9">
        <v>45999</v>
      </c>
      <c r="B254">
        <v>2025001554</v>
      </c>
      <c r="C254" t="s">
        <v>473</v>
      </c>
      <c r="D254" s="12">
        <v>6000000</v>
      </c>
      <c r="E254">
        <v>1085283868</v>
      </c>
      <c r="F254" t="s">
        <v>235</v>
      </c>
      <c r="G254" t="e">
        <f>VLOOKUP(C254,#REF!,1,0)</f>
        <v>#REF!</v>
      </c>
    </row>
    <row r="255" spans="1:7" x14ac:dyDescent="0.25">
      <c r="A255" s="9">
        <v>45999</v>
      </c>
      <c r="B255">
        <v>2025001555</v>
      </c>
      <c r="C255" t="s">
        <v>514</v>
      </c>
      <c r="D255" s="12">
        <v>3000000</v>
      </c>
      <c r="E255">
        <v>98382500</v>
      </c>
      <c r="F255" t="s">
        <v>91</v>
      </c>
      <c r="G255" t="e">
        <f>VLOOKUP(C255,#REF!,1,0)</f>
        <v>#REF!</v>
      </c>
    </row>
    <row r="256" spans="1:7" x14ac:dyDescent="0.25">
      <c r="A256" s="9">
        <v>45999</v>
      </c>
      <c r="B256">
        <v>2025001556</v>
      </c>
      <c r="C256" t="s">
        <v>515</v>
      </c>
      <c r="D256" s="12">
        <v>3000000</v>
      </c>
      <c r="E256">
        <v>59834953</v>
      </c>
      <c r="F256" t="s">
        <v>102</v>
      </c>
      <c r="G256" t="e">
        <f>VLOOKUP(C256,#REF!,1,0)</f>
        <v>#REF!</v>
      </c>
    </row>
    <row r="257" spans="1:7" x14ac:dyDescent="0.25">
      <c r="A257" s="9">
        <v>45999</v>
      </c>
      <c r="B257">
        <v>2025001557</v>
      </c>
      <c r="C257" t="s">
        <v>516</v>
      </c>
      <c r="D257" s="12">
        <v>3000000</v>
      </c>
      <c r="E257">
        <v>1010082397</v>
      </c>
      <c r="F257" t="s">
        <v>78</v>
      </c>
      <c r="G257" t="e">
        <f>VLOOKUP(C257,#REF!,1,0)</f>
        <v>#REF!</v>
      </c>
    </row>
    <row r="258" spans="1:7" x14ac:dyDescent="0.25">
      <c r="A258" s="9">
        <v>45999</v>
      </c>
      <c r="B258">
        <v>2025001558</v>
      </c>
      <c r="C258" t="s">
        <v>517</v>
      </c>
      <c r="D258" s="12">
        <v>3000000</v>
      </c>
      <c r="E258">
        <v>36954407</v>
      </c>
      <c r="F258" t="s">
        <v>236</v>
      </c>
      <c r="G258" t="e">
        <f>VLOOKUP(C258,#REF!,1,0)</f>
        <v>#REF!</v>
      </c>
    </row>
    <row r="259" spans="1:7" x14ac:dyDescent="0.25">
      <c r="A259" s="9">
        <v>45999</v>
      </c>
      <c r="B259">
        <v>2025001559</v>
      </c>
      <c r="C259" t="s">
        <v>518</v>
      </c>
      <c r="D259" s="12">
        <v>4825000</v>
      </c>
      <c r="E259">
        <v>1080900817</v>
      </c>
      <c r="F259" t="s">
        <v>237</v>
      </c>
      <c r="G259" t="e">
        <f>VLOOKUP(C259,#REF!,1,0)</f>
        <v>#REF!</v>
      </c>
    </row>
    <row r="260" spans="1:7" x14ac:dyDescent="0.25">
      <c r="A260" s="9">
        <v>45999</v>
      </c>
      <c r="B260">
        <v>2025001560</v>
      </c>
      <c r="C260" t="s">
        <v>519</v>
      </c>
      <c r="D260" s="12">
        <v>6000000</v>
      </c>
      <c r="E260">
        <v>59837608</v>
      </c>
      <c r="F260" t="s">
        <v>86</v>
      </c>
      <c r="G260" t="e">
        <f>VLOOKUP(C260,#REF!,1,0)</f>
        <v>#REF!</v>
      </c>
    </row>
    <row r="261" spans="1:7" x14ac:dyDescent="0.25">
      <c r="A261" s="9">
        <v>45999</v>
      </c>
      <c r="B261">
        <v>2025001561</v>
      </c>
      <c r="C261" t="s">
        <v>520</v>
      </c>
      <c r="D261" s="12">
        <v>4825000</v>
      </c>
      <c r="E261">
        <v>1085269530</v>
      </c>
      <c r="F261" t="s">
        <v>238</v>
      </c>
      <c r="G261" t="e">
        <f>VLOOKUP(C261,#REF!,1,0)</f>
        <v>#REF!</v>
      </c>
    </row>
    <row r="262" spans="1:7" x14ac:dyDescent="0.25">
      <c r="A262" s="9">
        <v>45999</v>
      </c>
      <c r="B262">
        <v>2025001562</v>
      </c>
      <c r="C262" t="s">
        <v>521</v>
      </c>
      <c r="D262" s="12">
        <v>3000000</v>
      </c>
      <c r="E262">
        <v>1085255829</v>
      </c>
      <c r="F262" t="s">
        <v>239</v>
      </c>
      <c r="G262" t="e">
        <f>VLOOKUP(C262,#REF!,1,0)</f>
        <v>#REF!</v>
      </c>
    </row>
    <row r="263" spans="1:7" x14ac:dyDescent="0.25">
      <c r="A263" s="9">
        <v>45999</v>
      </c>
      <c r="B263">
        <v>2025001563</v>
      </c>
      <c r="C263" t="s">
        <v>522</v>
      </c>
      <c r="D263" s="12">
        <v>3000000</v>
      </c>
      <c r="E263">
        <v>1193224810</v>
      </c>
      <c r="F263" t="s">
        <v>240</v>
      </c>
      <c r="G263" t="e">
        <f>VLOOKUP(C263,#REF!,1,0)</f>
        <v>#REF!</v>
      </c>
    </row>
    <row r="264" spans="1:7" x14ac:dyDescent="0.25">
      <c r="A264" s="9">
        <v>45999</v>
      </c>
      <c r="B264">
        <v>2025001564</v>
      </c>
      <c r="C264" t="s">
        <v>523</v>
      </c>
      <c r="D264" s="12">
        <v>4750000</v>
      </c>
      <c r="E264">
        <v>1085340885</v>
      </c>
      <c r="F264" t="s">
        <v>241</v>
      </c>
      <c r="G264" t="e">
        <f>VLOOKUP(C264,#REF!,1,0)</f>
        <v>#REF!</v>
      </c>
    </row>
    <row r="265" spans="1:7" x14ac:dyDescent="0.25">
      <c r="A265" s="9">
        <v>45999</v>
      </c>
      <c r="B265">
        <v>2025001565</v>
      </c>
      <c r="C265" t="s">
        <v>524</v>
      </c>
      <c r="D265" s="12">
        <v>2500000</v>
      </c>
      <c r="E265">
        <v>12974849</v>
      </c>
      <c r="F265" t="s">
        <v>131</v>
      </c>
      <c r="G265" t="e">
        <f>VLOOKUP(C265,#REF!,1,0)</f>
        <v>#REF!</v>
      </c>
    </row>
    <row r="266" spans="1:7" x14ac:dyDescent="0.25">
      <c r="A266" s="9">
        <v>45999</v>
      </c>
      <c r="B266">
        <v>2025001566</v>
      </c>
      <c r="C266" t="s">
        <v>525</v>
      </c>
      <c r="D266" s="12">
        <v>3000000</v>
      </c>
      <c r="E266">
        <v>36757213</v>
      </c>
      <c r="F266" t="s">
        <v>242</v>
      </c>
      <c r="G266" t="e">
        <f>VLOOKUP(C266,#REF!,1,0)</f>
        <v>#REF!</v>
      </c>
    </row>
    <row r="267" spans="1:7" x14ac:dyDescent="0.25">
      <c r="A267" s="9">
        <v>45999</v>
      </c>
      <c r="B267">
        <v>2025001567</v>
      </c>
      <c r="C267" t="s">
        <v>526</v>
      </c>
      <c r="D267" s="12">
        <v>4750000</v>
      </c>
      <c r="E267">
        <v>27087475</v>
      </c>
      <c r="F267" t="s">
        <v>76</v>
      </c>
      <c r="G267" t="e">
        <f>VLOOKUP(C267,#REF!,1,0)</f>
        <v>#REF!</v>
      </c>
    </row>
    <row r="268" spans="1:7" x14ac:dyDescent="0.25">
      <c r="A268" s="9">
        <v>45999</v>
      </c>
      <c r="B268">
        <v>2025001569</v>
      </c>
      <c r="C268" t="s">
        <v>527</v>
      </c>
      <c r="D268" s="12">
        <v>3000000</v>
      </c>
      <c r="E268">
        <v>1233191675</v>
      </c>
      <c r="F268" t="s">
        <v>125</v>
      </c>
      <c r="G268" t="e">
        <f>VLOOKUP(C268,#REF!,1,0)</f>
        <v>#REF!</v>
      </c>
    </row>
    <row r="269" spans="1:7" x14ac:dyDescent="0.25">
      <c r="A269" s="9">
        <v>45999</v>
      </c>
      <c r="B269">
        <v>2025001570</v>
      </c>
      <c r="C269" t="s">
        <v>528</v>
      </c>
      <c r="D269" s="12">
        <v>3000000</v>
      </c>
      <c r="E269">
        <v>37084285</v>
      </c>
      <c r="F269" t="s">
        <v>73</v>
      </c>
      <c r="G269" t="e">
        <f>VLOOKUP(C269,#REF!,1,0)</f>
        <v>#REF!</v>
      </c>
    </row>
    <row r="270" spans="1:7" x14ac:dyDescent="0.25">
      <c r="A270" s="9">
        <v>45999</v>
      </c>
      <c r="B270">
        <v>2025001572</v>
      </c>
      <c r="C270" t="s">
        <v>529</v>
      </c>
      <c r="D270" s="12">
        <v>3000000</v>
      </c>
      <c r="E270">
        <v>1085271641</v>
      </c>
      <c r="F270" t="s">
        <v>243</v>
      </c>
      <c r="G270" t="e">
        <f>VLOOKUP(C270,#REF!,1,0)</f>
        <v>#REF!</v>
      </c>
    </row>
    <row r="271" spans="1:7" x14ac:dyDescent="0.25">
      <c r="A271" s="9">
        <v>45999</v>
      </c>
      <c r="B271">
        <v>2025001574</v>
      </c>
      <c r="C271" t="s">
        <v>443</v>
      </c>
      <c r="D271" s="12">
        <v>3000000</v>
      </c>
      <c r="E271">
        <v>1004535234</v>
      </c>
      <c r="F271" t="s">
        <v>115</v>
      </c>
      <c r="G271" t="e">
        <f>VLOOKUP(C271,#REF!,1,0)</f>
        <v>#REF!</v>
      </c>
    </row>
    <row r="272" spans="1:7" x14ac:dyDescent="0.25">
      <c r="A272" t="s">
        <v>244</v>
      </c>
      <c r="B272">
        <v>2025001584</v>
      </c>
      <c r="C272" t="s">
        <v>417</v>
      </c>
      <c r="D272" s="12">
        <v>4750000</v>
      </c>
      <c r="E272">
        <v>59830379</v>
      </c>
      <c r="F272" t="s">
        <v>209</v>
      </c>
      <c r="G272" t="e">
        <f>VLOOKUP(C272,#REF!,1,0)</f>
        <v>#REF!</v>
      </c>
    </row>
    <row r="273" spans="1:7" x14ac:dyDescent="0.25">
      <c r="A273" t="s">
        <v>245</v>
      </c>
      <c r="B273">
        <v>2025001597</v>
      </c>
      <c r="C273" t="s">
        <v>444</v>
      </c>
      <c r="D273" s="12">
        <v>3000000</v>
      </c>
      <c r="E273">
        <v>1192717330</v>
      </c>
      <c r="F273" t="s">
        <v>246</v>
      </c>
      <c r="G273" t="e">
        <f>VLOOKUP(C273,#REF!,1,0)</f>
        <v>#REF!</v>
      </c>
    </row>
    <row r="274" spans="1:7" x14ac:dyDescent="0.25">
      <c r="A274" t="s">
        <v>245</v>
      </c>
      <c r="B274">
        <v>2025001599</v>
      </c>
      <c r="C274" t="s">
        <v>422</v>
      </c>
      <c r="D274" s="12">
        <v>3000000</v>
      </c>
      <c r="E274">
        <v>1085272774</v>
      </c>
      <c r="F274" t="s">
        <v>215</v>
      </c>
      <c r="G274" t="e">
        <f>VLOOKUP(C274,#REF!,1,0)</f>
        <v>#REF!</v>
      </c>
    </row>
    <row r="275" spans="1:7" x14ac:dyDescent="0.25">
      <c r="A275" t="s">
        <v>245</v>
      </c>
      <c r="B275">
        <v>2025001600</v>
      </c>
      <c r="C275" t="s">
        <v>445</v>
      </c>
      <c r="D275" s="12">
        <v>6000000</v>
      </c>
      <c r="E275">
        <v>1085275879</v>
      </c>
      <c r="F275" t="s">
        <v>127</v>
      </c>
      <c r="G275" t="e">
        <f>VLOOKUP(C275,#REF!,1,0)</f>
        <v>#REF!</v>
      </c>
    </row>
    <row r="276" spans="1:7" x14ac:dyDescent="0.25">
      <c r="A276" t="s">
        <v>245</v>
      </c>
      <c r="B276">
        <v>2025001601</v>
      </c>
      <c r="C276" t="s">
        <v>446</v>
      </c>
      <c r="D276" s="12">
        <v>3000000</v>
      </c>
      <c r="E276">
        <v>1085269090</v>
      </c>
      <c r="F276" t="s">
        <v>247</v>
      </c>
      <c r="G276" t="e">
        <f>VLOOKUP(C276,#REF!,1,0)</f>
        <v>#REF!</v>
      </c>
    </row>
    <row r="277" spans="1:7" x14ac:dyDescent="0.25">
      <c r="A277" t="s">
        <v>245</v>
      </c>
      <c r="B277">
        <v>2025001602</v>
      </c>
      <c r="C277" t="s">
        <v>447</v>
      </c>
      <c r="D277" s="12">
        <v>6000000</v>
      </c>
      <c r="E277">
        <v>1014212900</v>
      </c>
      <c r="F277" t="s">
        <v>168</v>
      </c>
      <c r="G277" t="e">
        <f>VLOOKUP(C277,#REF!,1,0)</f>
        <v>#REF!</v>
      </c>
    </row>
    <row r="278" spans="1:7" x14ac:dyDescent="0.25">
      <c r="A278" t="s">
        <v>245</v>
      </c>
      <c r="B278">
        <v>2025001603</v>
      </c>
      <c r="C278" t="s">
        <v>448</v>
      </c>
      <c r="D278" s="12">
        <v>3000000</v>
      </c>
      <c r="E278">
        <v>37082232</v>
      </c>
      <c r="F278" t="s">
        <v>188</v>
      </c>
      <c r="G278" t="e">
        <f>VLOOKUP(C278,#REF!,1,0)</f>
        <v>#REF!</v>
      </c>
    </row>
    <row r="279" spans="1:7" x14ac:dyDescent="0.25">
      <c r="A279" t="s">
        <v>245</v>
      </c>
      <c r="B279">
        <v>2025001604</v>
      </c>
      <c r="C279" t="s">
        <v>449</v>
      </c>
      <c r="D279" s="12">
        <v>3000000</v>
      </c>
      <c r="E279">
        <v>1004743217</v>
      </c>
      <c r="F279" t="s">
        <v>201</v>
      </c>
      <c r="G279" t="e">
        <f>VLOOKUP(C279,#REF!,1,0)</f>
        <v>#REF!</v>
      </c>
    </row>
    <row r="280" spans="1:7" x14ac:dyDescent="0.25">
      <c r="A280" t="s">
        <v>245</v>
      </c>
      <c r="B280">
        <v>2025001605</v>
      </c>
      <c r="C280" t="s">
        <v>450</v>
      </c>
      <c r="D280" s="12">
        <v>3000000</v>
      </c>
      <c r="E280">
        <v>1085326791</v>
      </c>
      <c r="F280" t="s">
        <v>94</v>
      </c>
      <c r="G280" t="e">
        <f>VLOOKUP(C280,#REF!,1,0)</f>
        <v>#REF!</v>
      </c>
    </row>
    <row r="281" spans="1:7" x14ac:dyDescent="0.25">
      <c r="A281" t="s">
        <v>245</v>
      </c>
      <c r="B281">
        <v>2025001606</v>
      </c>
      <c r="C281" t="s">
        <v>412</v>
      </c>
      <c r="D281" s="12">
        <v>3000000</v>
      </c>
      <c r="E281">
        <v>1085267505</v>
      </c>
      <c r="F281" t="s">
        <v>202</v>
      </c>
      <c r="G281" t="e">
        <f>VLOOKUP(C281,#REF!,1,0)</f>
        <v>#REF!</v>
      </c>
    </row>
    <row r="282" spans="1:7" x14ac:dyDescent="0.25">
      <c r="A282" t="s">
        <v>245</v>
      </c>
      <c r="B282">
        <v>2025001607</v>
      </c>
      <c r="C282" t="s">
        <v>451</v>
      </c>
      <c r="D282" s="12">
        <v>3000000</v>
      </c>
      <c r="E282">
        <v>1081272025</v>
      </c>
      <c r="F282" t="s">
        <v>248</v>
      </c>
      <c r="G282" t="e">
        <f>VLOOKUP(C282,#REF!,1,0)</f>
        <v>#REF!</v>
      </c>
    </row>
    <row r="283" spans="1:7" x14ac:dyDescent="0.25">
      <c r="A283" t="s">
        <v>245</v>
      </c>
      <c r="B283">
        <v>2025001608</v>
      </c>
      <c r="C283" t="s">
        <v>413</v>
      </c>
      <c r="D283" s="12">
        <v>6000000</v>
      </c>
      <c r="E283">
        <v>1085340697</v>
      </c>
      <c r="F283" t="s">
        <v>204</v>
      </c>
      <c r="G283" t="e">
        <f>VLOOKUP(C283,#REF!,1,0)</f>
        <v>#REF!</v>
      </c>
    </row>
    <row r="284" spans="1:7" x14ac:dyDescent="0.25">
      <c r="A284" t="s">
        <v>249</v>
      </c>
      <c r="B284">
        <v>2025001619</v>
      </c>
      <c r="C284" t="s">
        <v>452</v>
      </c>
      <c r="D284" s="12">
        <v>3000000</v>
      </c>
      <c r="E284">
        <v>1085315013</v>
      </c>
      <c r="F284" t="s">
        <v>250</v>
      </c>
      <c r="G284" t="e">
        <f>VLOOKUP(C284,#REF!,1,0)</f>
        <v>#REF!</v>
      </c>
    </row>
    <row r="285" spans="1:7" x14ac:dyDescent="0.25">
      <c r="A285" t="s">
        <v>249</v>
      </c>
      <c r="B285">
        <v>2025001620</v>
      </c>
      <c r="C285" t="s">
        <v>453</v>
      </c>
      <c r="D285" s="12">
        <v>3000000</v>
      </c>
      <c r="E285">
        <v>1086363186</v>
      </c>
      <c r="F285" t="s">
        <v>198</v>
      </c>
      <c r="G285" t="e">
        <f>VLOOKUP(C285,#REF!,1,0)</f>
        <v>#REF!</v>
      </c>
    </row>
    <row r="286" spans="1:7" x14ac:dyDescent="0.25">
      <c r="A286" t="s">
        <v>249</v>
      </c>
      <c r="B286">
        <v>2025001623</v>
      </c>
      <c r="C286" t="s">
        <v>454</v>
      </c>
      <c r="D286" s="12">
        <v>2500000</v>
      </c>
      <c r="E286">
        <v>1075242334</v>
      </c>
      <c r="F286" t="s">
        <v>62</v>
      </c>
      <c r="G286" t="e">
        <f>VLOOKUP(C286,#REF!,1,0)</f>
        <v>#REF!</v>
      </c>
    </row>
    <row r="287" spans="1:7" x14ac:dyDescent="0.25">
      <c r="A287" t="s">
        <v>249</v>
      </c>
      <c r="B287">
        <v>2025001624</v>
      </c>
      <c r="C287" t="s">
        <v>414</v>
      </c>
      <c r="D287" s="12">
        <v>7500000</v>
      </c>
      <c r="E287">
        <v>1085300619</v>
      </c>
      <c r="F287" t="s">
        <v>205</v>
      </c>
      <c r="G287" t="e">
        <f>VLOOKUP(C287,#REF!,1,0)</f>
        <v>#REF!</v>
      </c>
    </row>
    <row r="288" spans="1:7" x14ac:dyDescent="0.25">
      <c r="A288" t="s">
        <v>249</v>
      </c>
      <c r="B288">
        <v>2025001625</v>
      </c>
      <c r="C288" t="s">
        <v>415</v>
      </c>
      <c r="D288" s="12">
        <v>3000000</v>
      </c>
      <c r="E288">
        <v>36950482</v>
      </c>
      <c r="F288" t="s">
        <v>206</v>
      </c>
      <c r="G288" t="e">
        <f>VLOOKUP(C288,#REF!,1,0)</f>
        <v>#REF!</v>
      </c>
    </row>
    <row r="289" spans="1:7" x14ac:dyDescent="0.25">
      <c r="A289" t="s">
        <v>249</v>
      </c>
      <c r="B289">
        <v>2025001626</v>
      </c>
      <c r="C289" t="s">
        <v>455</v>
      </c>
      <c r="D289" s="12">
        <v>3000000</v>
      </c>
      <c r="E289">
        <v>1087006717</v>
      </c>
      <c r="F289" t="s">
        <v>251</v>
      </c>
      <c r="G289" t="e">
        <f>VLOOKUP(C289,#REF!,1,0)</f>
        <v>#REF!</v>
      </c>
    </row>
    <row r="290" spans="1:7" x14ac:dyDescent="0.25">
      <c r="A290" t="s">
        <v>249</v>
      </c>
      <c r="B290">
        <v>2025001627</v>
      </c>
      <c r="C290" t="s">
        <v>456</v>
      </c>
      <c r="D290" s="12">
        <v>7500000</v>
      </c>
      <c r="E290">
        <v>1006106084</v>
      </c>
      <c r="F290" t="s">
        <v>252</v>
      </c>
      <c r="G290" t="e">
        <f>VLOOKUP(C290,#REF!,1,0)</f>
        <v>#REF!</v>
      </c>
    </row>
    <row r="291" spans="1:7" x14ac:dyDescent="0.25">
      <c r="A291" t="s">
        <v>253</v>
      </c>
      <c r="B291">
        <v>2025001634</v>
      </c>
      <c r="C291" t="s">
        <v>457</v>
      </c>
      <c r="D291" s="12">
        <v>3000000</v>
      </c>
      <c r="E291">
        <v>1085339190</v>
      </c>
      <c r="F291" t="s">
        <v>151</v>
      </c>
      <c r="G291" t="e">
        <f>VLOOKUP(C291,#REF!,1,0)</f>
        <v>#REF!</v>
      </c>
    </row>
    <row r="292" spans="1:7" x14ac:dyDescent="0.25">
      <c r="A292" t="s">
        <v>253</v>
      </c>
      <c r="B292">
        <v>2025001642</v>
      </c>
      <c r="C292" t="s">
        <v>7</v>
      </c>
      <c r="D292" s="12">
        <v>36195000</v>
      </c>
      <c r="E292">
        <v>900994364</v>
      </c>
      <c r="F292" t="s">
        <v>8</v>
      </c>
      <c r="G292" t="e">
        <f>VLOOKUP(C292,#REF!,1,0)</f>
        <v>#REF!</v>
      </c>
    </row>
    <row r="293" spans="1:7" x14ac:dyDescent="0.25">
      <c r="A293" t="s">
        <v>254</v>
      </c>
      <c r="B293">
        <v>2025001662</v>
      </c>
      <c r="C293" t="s">
        <v>7</v>
      </c>
      <c r="D293" s="12">
        <v>35977830</v>
      </c>
      <c r="E293">
        <v>900994364</v>
      </c>
      <c r="F293" t="s">
        <v>8</v>
      </c>
      <c r="G293" t="e">
        <f>VLOOKUP(C293,#REF!,1,0)</f>
        <v>#REF!</v>
      </c>
    </row>
    <row r="294" spans="1:7" x14ac:dyDescent="0.25">
      <c r="A294" t="s">
        <v>255</v>
      </c>
      <c r="B294">
        <v>2025001717</v>
      </c>
      <c r="C294" t="s">
        <v>402</v>
      </c>
      <c r="D294" s="12">
        <v>3000000</v>
      </c>
      <c r="E294">
        <v>1080690249</v>
      </c>
      <c r="F294" t="s">
        <v>193</v>
      </c>
      <c r="G294" t="e">
        <f>VLOOKUP(C294,#REF!,1,0)</f>
        <v>#REF!</v>
      </c>
    </row>
    <row r="295" spans="1:7" x14ac:dyDescent="0.25">
      <c r="A295" t="s">
        <v>255</v>
      </c>
      <c r="B295">
        <v>2025001718</v>
      </c>
      <c r="C295" t="s">
        <v>401</v>
      </c>
      <c r="D295" s="12">
        <v>3000000</v>
      </c>
      <c r="E295">
        <v>36754382</v>
      </c>
      <c r="F295" t="s">
        <v>192</v>
      </c>
      <c r="G295" t="e">
        <f>VLOOKUP(C295,#REF!,1,0)</f>
        <v>#REF!</v>
      </c>
    </row>
    <row r="296" spans="1:7" x14ac:dyDescent="0.25">
      <c r="A296" t="s">
        <v>255</v>
      </c>
      <c r="B296">
        <v>2025001719</v>
      </c>
      <c r="C296" t="s">
        <v>403</v>
      </c>
      <c r="D296" s="12">
        <v>3000000</v>
      </c>
      <c r="E296">
        <v>1085257949</v>
      </c>
      <c r="F296" t="s">
        <v>194</v>
      </c>
      <c r="G296" t="e">
        <f>VLOOKUP(C296,#REF!,1,0)</f>
        <v>#REF!</v>
      </c>
    </row>
    <row r="297" spans="1:7" x14ac:dyDescent="0.25">
      <c r="A297" t="s">
        <v>255</v>
      </c>
      <c r="B297">
        <v>2025001720</v>
      </c>
      <c r="C297" t="s">
        <v>423</v>
      </c>
      <c r="D297" s="12">
        <v>6000000</v>
      </c>
      <c r="E297">
        <v>1085303585</v>
      </c>
      <c r="F297" t="s">
        <v>216</v>
      </c>
      <c r="G297" t="e">
        <f>VLOOKUP(C297,#REF!,1,0)</f>
        <v>#REF!</v>
      </c>
    </row>
    <row r="298" spans="1:7" x14ac:dyDescent="0.25">
      <c r="A298" t="s">
        <v>255</v>
      </c>
      <c r="B298">
        <v>2025001721</v>
      </c>
      <c r="C298" t="s">
        <v>458</v>
      </c>
      <c r="D298" s="12">
        <v>3000000</v>
      </c>
      <c r="E298">
        <v>1085286742</v>
      </c>
      <c r="F298" t="s">
        <v>114</v>
      </c>
      <c r="G298" t="e">
        <f>VLOOKUP(C298,#REF!,1,0)</f>
        <v>#REF!</v>
      </c>
    </row>
    <row r="299" spans="1:7" x14ac:dyDescent="0.25">
      <c r="A299" t="s">
        <v>255</v>
      </c>
      <c r="B299">
        <v>2025001722</v>
      </c>
      <c r="C299" t="s">
        <v>418</v>
      </c>
      <c r="D299" s="12">
        <v>6000000</v>
      </c>
      <c r="E299">
        <v>59311844</v>
      </c>
      <c r="F299" t="s">
        <v>211</v>
      </c>
      <c r="G299" t="e">
        <f>VLOOKUP(C299,#REF!,1,0)</f>
        <v>#REF!</v>
      </c>
    </row>
    <row r="300" spans="1:7" x14ac:dyDescent="0.25">
      <c r="A300" t="s">
        <v>255</v>
      </c>
      <c r="B300">
        <v>2025001725</v>
      </c>
      <c r="C300" t="s">
        <v>530</v>
      </c>
      <c r="D300" s="12">
        <v>6000000</v>
      </c>
      <c r="E300">
        <v>97470681</v>
      </c>
      <c r="F300" t="s">
        <v>136</v>
      </c>
      <c r="G300" t="e">
        <f>VLOOKUP(C300,#REF!,1,0)</f>
        <v>#REF!</v>
      </c>
    </row>
    <row r="301" spans="1:7" x14ac:dyDescent="0.25">
      <c r="A301" t="s">
        <v>255</v>
      </c>
      <c r="B301">
        <v>2025001726</v>
      </c>
      <c r="C301" t="s">
        <v>302</v>
      </c>
      <c r="D301" s="12">
        <v>6000000</v>
      </c>
      <c r="E301">
        <v>36757221</v>
      </c>
      <c r="F301" t="s">
        <v>74</v>
      </c>
      <c r="G301" t="e">
        <f>VLOOKUP(C301,#REF!,1,0)</f>
        <v>#REF!</v>
      </c>
    </row>
    <row r="302" spans="1:7" x14ac:dyDescent="0.25">
      <c r="A302" t="s">
        <v>255</v>
      </c>
      <c r="B302">
        <v>2025001727</v>
      </c>
      <c r="C302" t="s">
        <v>419</v>
      </c>
      <c r="D302" s="12">
        <v>3000000</v>
      </c>
      <c r="E302">
        <v>59835389</v>
      </c>
      <c r="F302" t="s">
        <v>212</v>
      </c>
      <c r="G302" t="e">
        <f>VLOOKUP(C302,#REF!,1,0)</f>
        <v>#REF!</v>
      </c>
    </row>
    <row r="303" spans="1:7" x14ac:dyDescent="0.25">
      <c r="A303" t="s">
        <v>255</v>
      </c>
      <c r="B303">
        <v>2025001728</v>
      </c>
      <c r="C303" t="s">
        <v>397</v>
      </c>
      <c r="D303" s="12">
        <v>4750000</v>
      </c>
      <c r="E303">
        <v>1085330309</v>
      </c>
      <c r="F303" t="s">
        <v>187</v>
      </c>
      <c r="G303" t="e">
        <f>VLOOKUP(C303,#REF!,1,0)</f>
        <v>#REF!</v>
      </c>
    </row>
    <row r="304" spans="1:7" x14ac:dyDescent="0.25">
      <c r="A304" t="s">
        <v>255</v>
      </c>
      <c r="B304">
        <v>2025001729</v>
      </c>
      <c r="C304" t="s">
        <v>459</v>
      </c>
      <c r="D304" s="12">
        <v>3000000</v>
      </c>
      <c r="E304">
        <v>1081572043</v>
      </c>
      <c r="F304" t="s">
        <v>152</v>
      </c>
      <c r="G304" t="e">
        <f>VLOOKUP(C304,#REF!,1,0)</f>
        <v>#REF!</v>
      </c>
    </row>
    <row r="305" spans="1:7" x14ac:dyDescent="0.25">
      <c r="A305" t="s">
        <v>255</v>
      </c>
      <c r="B305">
        <v>2025001730</v>
      </c>
      <c r="C305" t="s">
        <v>437</v>
      </c>
      <c r="D305" s="12">
        <v>4750000</v>
      </c>
      <c r="E305">
        <v>1085343783</v>
      </c>
      <c r="F305" t="s">
        <v>228</v>
      </c>
      <c r="G305" t="e">
        <f>VLOOKUP(C305,#REF!,1,0)</f>
        <v>#REF!</v>
      </c>
    </row>
    <row r="306" spans="1:7" x14ac:dyDescent="0.25">
      <c r="A306" t="s">
        <v>255</v>
      </c>
      <c r="B306">
        <v>2025001731</v>
      </c>
      <c r="C306" t="s">
        <v>460</v>
      </c>
      <c r="D306" s="12">
        <v>6000000</v>
      </c>
      <c r="E306">
        <v>59820414</v>
      </c>
      <c r="F306" t="s">
        <v>77</v>
      </c>
      <c r="G306" t="e">
        <f>VLOOKUP(C306,#REF!,1,0)</f>
        <v>#REF!</v>
      </c>
    </row>
    <row r="307" spans="1:7" x14ac:dyDescent="0.25">
      <c r="A307" t="s">
        <v>255</v>
      </c>
      <c r="B307">
        <v>2025001732</v>
      </c>
      <c r="C307" t="s">
        <v>395</v>
      </c>
      <c r="D307" s="12">
        <v>7500000</v>
      </c>
      <c r="E307">
        <v>1085344794</v>
      </c>
      <c r="F307" t="s">
        <v>184</v>
      </c>
      <c r="G307" t="e">
        <f>VLOOKUP(C307,#REF!,1,0)</f>
        <v>#REF!</v>
      </c>
    </row>
    <row r="308" spans="1:7" x14ac:dyDescent="0.25">
      <c r="A308" t="s">
        <v>255</v>
      </c>
      <c r="B308">
        <v>2025001733</v>
      </c>
      <c r="C308" t="s">
        <v>461</v>
      </c>
      <c r="D308" s="12">
        <v>2500000</v>
      </c>
      <c r="E308">
        <v>1085304072</v>
      </c>
      <c r="F308" t="s">
        <v>256</v>
      </c>
      <c r="G308" t="e">
        <f>VLOOKUP(C308,#REF!,1,0)</f>
        <v>#REF!</v>
      </c>
    </row>
    <row r="309" spans="1:7" x14ac:dyDescent="0.25">
      <c r="A309" t="s">
        <v>255</v>
      </c>
      <c r="B309">
        <v>2025001734</v>
      </c>
      <c r="C309" t="s">
        <v>462</v>
      </c>
      <c r="D309" s="12">
        <v>4750000</v>
      </c>
      <c r="E309">
        <v>1018492767</v>
      </c>
      <c r="F309" t="s">
        <v>257</v>
      </c>
      <c r="G309" t="e">
        <f>VLOOKUP(C309,#REF!,1,0)</f>
        <v>#REF!</v>
      </c>
    </row>
    <row r="310" spans="1:7" x14ac:dyDescent="0.25">
      <c r="A310" t="s">
        <v>255</v>
      </c>
      <c r="B310">
        <v>2025001735</v>
      </c>
      <c r="C310" t="s">
        <v>463</v>
      </c>
      <c r="D310" s="12">
        <v>2500000</v>
      </c>
      <c r="E310">
        <v>1233188479</v>
      </c>
      <c r="F310" t="s">
        <v>158</v>
      </c>
      <c r="G310" t="e">
        <f>VLOOKUP(C310,#REF!,1,0)</f>
        <v>#REF!</v>
      </c>
    </row>
    <row r="311" spans="1:7" x14ac:dyDescent="0.25">
      <c r="A311" t="s">
        <v>258</v>
      </c>
      <c r="B311">
        <v>2025001736</v>
      </c>
      <c r="C311" t="s">
        <v>431</v>
      </c>
      <c r="D311" s="12">
        <v>3000000</v>
      </c>
      <c r="E311">
        <v>1030606749</v>
      </c>
      <c r="F311" t="s">
        <v>84</v>
      </c>
      <c r="G311" t="e">
        <f>VLOOKUP(C311,#REF!,1,0)</f>
        <v>#REF!</v>
      </c>
    </row>
    <row r="312" spans="1:7" x14ac:dyDescent="0.25">
      <c r="A312" t="s">
        <v>258</v>
      </c>
      <c r="B312">
        <v>2025001737</v>
      </c>
      <c r="C312" t="s">
        <v>464</v>
      </c>
      <c r="D312" s="12">
        <v>3000000</v>
      </c>
      <c r="E312">
        <v>1085274630</v>
      </c>
      <c r="F312" t="s">
        <v>200</v>
      </c>
      <c r="G312" t="e">
        <f>VLOOKUP(C312,#REF!,1,0)</f>
        <v>#REF!</v>
      </c>
    </row>
    <row r="313" spans="1:7" x14ac:dyDescent="0.25">
      <c r="A313" t="s">
        <v>258</v>
      </c>
      <c r="B313">
        <v>2025001738</v>
      </c>
      <c r="C313" t="s">
        <v>465</v>
      </c>
      <c r="D313" s="12">
        <v>3000000</v>
      </c>
      <c r="E313">
        <v>59706564</v>
      </c>
      <c r="F313" t="s">
        <v>199</v>
      </c>
      <c r="G313" t="e">
        <f>VLOOKUP(C313,#REF!,1,0)</f>
        <v>#REF!</v>
      </c>
    </row>
    <row r="314" spans="1:7" x14ac:dyDescent="0.25">
      <c r="A314" t="s">
        <v>258</v>
      </c>
      <c r="B314">
        <v>2025001739</v>
      </c>
      <c r="C314" t="s">
        <v>466</v>
      </c>
      <c r="D314" s="12">
        <v>3000000</v>
      </c>
      <c r="E314">
        <v>1085314608</v>
      </c>
      <c r="F314" t="s">
        <v>207</v>
      </c>
      <c r="G314" t="e">
        <f>VLOOKUP(C314,#REF!,1,0)</f>
        <v>#REF!</v>
      </c>
    </row>
    <row r="315" spans="1:7" x14ac:dyDescent="0.25">
      <c r="A315" t="s">
        <v>258</v>
      </c>
      <c r="B315">
        <v>2025001740</v>
      </c>
      <c r="C315" t="s">
        <v>467</v>
      </c>
      <c r="D315" s="12">
        <v>3000000</v>
      </c>
      <c r="E315">
        <v>1086329609</v>
      </c>
      <c r="F315" t="s">
        <v>64</v>
      </c>
      <c r="G315" t="e">
        <f>VLOOKUP(C315,#REF!,1,0)</f>
        <v>#REF!</v>
      </c>
    </row>
    <row r="316" spans="1:7" x14ac:dyDescent="0.25">
      <c r="A316" t="s">
        <v>258</v>
      </c>
      <c r="B316">
        <v>2025001741</v>
      </c>
      <c r="C316" t="s">
        <v>468</v>
      </c>
      <c r="D316" s="12">
        <v>6000000</v>
      </c>
      <c r="E316">
        <v>1085299577</v>
      </c>
      <c r="F316" t="s">
        <v>259</v>
      </c>
      <c r="G316" t="e">
        <f>VLOOKUP(C316,#REF!,1,0)</f>
        <v>#REF!</v>
      </c>
    </row>
    <row r="317" spans="1:7" x14ac:dyDescent="0.25">
      <c r="A317" t="s">
        <v>258</v>
      </c>
      <c r="B317">
        <v>2025001742</v>
      </c>
      <c r="C317" t="s">
        <v>411</v>
      </c>
      <c r="D317" s="12">
        <v>4825000</v>
      </c>
      <c r="E317">
        <v>1085324891</v>
      </c>
      <c r="F317" t="s">
        <v>116</v>
      </c>
      <c r="G317" t="e">
        <f>VLOOKUP(C317,#REF!,1,0)</f>
        <v>#REF!</v>
      </c>
    </row>
    <row r="318" spans="1:7" x14ac:dyDescent="0.25">
      <c r="A318" t="s">
        <v>258</v>
      </c>
      <c r="B318">
        <v>2025001743</v>
      </c>
      <c r="C318" t="s">
        <v>509</v>
      </c>
      <c r="D318" s="12">
        <v>3000000</v>
      </c>
      <c r="E318">
        <v>59825382</v>
      </c>
      <c r="F318" t="s">
        <v>185</v>
      </c>
      <c r="G318" t="e">
        <f>VLOOKUP(C318,#REF!,1,0)</f>
        <v>#REF!</v>
      </c>
    </row>
    <row r="319" spans="1:7" x14ac:dyDescent="0.25">
      <c r="A319" t="s">
        <v>258</v>
      </c>
      <c r="B319">
        <v>2025001744</v>
      </c>
      <c r="C319" t="s">
        <v>427</v>
      </c>
      <c r="D319" s="12">
        <v>4825000</v>
      </c>
      <c r="E319">
        <v>59835376</v>
      </c>
      <c r="F319" t="s">
        <v>221</v>
      </c>
      <c r="G319" t="e">
        <f>VLOOKUP(C319,#REF!,1,0)</f>
        <v>#REF!</v>
      </c>
    </row>
    <row r="320" spans="1:7" x14ac:dyDescent="0.25">
      <c r="A320" t="s">
        <v>258</v>
      </c>
      <c r="B320">
        <v>2025001745</v>
      </c>
      <c r="C320" t="s">
        <v>430</v>
      </c>
      <c r="D320" s="12">
        <v>7500000</v>
      </c>
      <c r="E320">
        <v>80765093</v>
      </c>
      <c r="F320" t="s">
        <v>223</v>
      </c>
      <c r="G320" t="e">
        <f>VLOOKUP(C320,#REF!,1,0)</f>
        <v>#REF!</v>
      </c>
    </row>
    <row r="321" spans="1:7" x14ac:dyDescent="0.25">
      <c r="A321" t="s">
        <v>258</v>
      </c>
      <c r="B321">
        <v>2025001746</v>
      </c>
      <c r="C321" t="s">
        <v>406</v>
      </c>
      <c r="D321" s="12">
        <v>7500000</v>
      </c>
      <c r="E321">
        <v>1085937671</v>
      </c>
      <c r="F321" t="s">
        <v>197</v>
      </c>
      <c r="G321" t="e">
        <f>VLOOKUP(C321,#REF!,1,0)</f>
        <v>#REF!</v>
      </c>
    </row>
    <row r="322" spans="1:7" x14ac:dyDescent="0.25">
      <c r="A322" t="s">
        <v>258</v>
      </c>
      <c r="B322">
        <v>2025001747</v>
      </c>
      <c r="C322" t="s">
        <v>469</v>
      </c>
      <c r="D322" s="12">
        <v>7500000</v>
      </c>
      <c r="E322">
        <v>1193202097</v>
      </c>
      <c r="F322" t="s">
        <v>260</v>
      </c>
      <c r="G322" t="e">
        <f>VLOOKUP(C322,#REF!,1,0)</f>
        <v>#REF!</v>
      </c>
    </row>
    <row r="323" spans="1:7" x14ac:dyDescent="0.25">
      <c r="A323" s="9">
        <v>45697</v>
      </c>
      <c r="B323">
        <v>2025001763</v>
      </c>
      <c r="C323" t="s">
        <v>430</v>
      </c>
      <c r="D323" s="12">
        <v>7500000</v>
      </c>
      <c r="E323">
        <v>80765093</v>
      </c>
      <c r="F323" t="s">
        <v>223</v>
      </c>
      <c r="G323" t="e">
        <f>VLOOKUP(C323,#REF!,1,0)</f>
        <v>#REF!</v>
      </c>
    </row>
    <row r="324" spans="1:7" x14ac:dyDescent="0.25">
      <c r="A324" s="9">
        <v>45697</v>
      </c>
      <c r="B324">
        <v>2025001765</v>
      </c>
      <c r="C324" t="s">
        <v>470</v>
      </c>
      <c r="D324" s="12">
        <v>3000000</v>
      </c>
      <c r="E324">
        <v>1085286725</v>
      </c>
      <c r="F324" t="s">
        <v>137</v>
      </c>
      <c r="G324" t="e">
        <f>VLOOKUP(C324,#REF!,1,0)</f>
        <v>#REF!</v>
      </c>
    </row>
    <row r="325" spans="1:7" x14ac:dyDescent="0.25">
      <c r="A325" s="9">
        <v>45697</v>
      </c>
      <c r="B325">
        <v>2025001766</v>
      </c>
      <c r="C325" t="s">
        <v>471</v>
      </c>
      <c r="D325" s="12">
        <v>3000000</v>
      </c>
      <c r="E325">
        <v>27388522</v>
      </c>
      <c r="F325" t="s">
        <v>126</v>
      </c>
      <c r="G325" t="e">
        <f>VLOOKUP(C325,#REF!,1,0)</f>
        <v>#REF!</v>
      </c>
    </row>
    <row r="326" spans="1:7" x14ac:dyDescent="0.25">
      <c r="A326" s="9">
        <v>45756</v>
      </c>
      <c r="B326">
        <v>2025001797</v>
      </c>
      <c r="C326" t="s">
        <v>527</v>
      </c>
      <c r="D326" s="12">
        <v>3000000</v>
      </c>
      <c r="E326">
        <v>1233191675</v>
      </c>
      <c r="F326" t="s">
        <v>125</v>
      </c>
      <c r="G326" t="e">
        <f>VLOOKUP(C326,#REF!,1,0)</f>
        <v>#REF!</v>
      </c>
    </row>
    <row r="327" spans="1:7" x14ac:dyDescent="0.25">
      <c r="A327" s="9">
        <v>45756</v>
      </c>
      <c r="B327">
        <v>2025001803</v>
      </c>
      <c r="C327" t="s">
        <v>524</v>
      </c>
      <c r="D327" s="12">
        <v>2500000</v>
      </c>
      <c r="E327">
        <v>12974849</v>
      </c>
      <c r="F327" t="s">
        <v>131</v>
      </c>
      <c r="G327" t="e">
        <f>VLOOKUP(C327,#REF!,1,0)</f>
        <v>#REF!</v>
      </c>
    </row>
    <row r="328" spans="1:7" x14ac:dyDescent="0.25">
      <c r="A328" s="9">
        <v>45756</v>
      </c>
      <c r="B328">
        <v>2025001805</v>
      </c>
      <c r="C328" t="s">
        <v>518</v>
      </c>
      <c r="D328" s="12">
        <v>4825000</v>
      </c>
      <c r="E328">
        <v>1080900817</v>
      </c>
      <c r="F328" t="s">
        <v>237</v>
      </c>
      <c r="G328" t="e">
        <f>VLOOKUP(C328,#REF!,1,0)</f>
        <v>#REF!</v>
      </c>
    </row>
    <row r="329" spans="1:7" x14ac:dyDescent="0.25">
      <c r="A329" s="9">
        <v>45756</v>
      </c>
      <c r="B329">
        <v>2025001811</v>
      </c>
      <c r="C329" t="s">
        <v>522</v>
      </c>
      <c r="D329" s="12">
        <v>3000000</v>
      </c>
      <c r="E329">
        <v>1193224810</v>
      </c>
      <c r="F329" t="s">
        <v>240</v>
      </c>
      <c r="G329" t="e">
        <f>VLOOKUP(C329,#REF!,1,0)</f>
        <v>#REF!</v>
      </c>
    </row>
    <row r="330" spans="1:7" x14ac:dyDescent="0.25">
      <c r="A330" s="9">
        <v>45756</v>
      </c>
      <c r="B330">
        <v>2025001812</v>
      </c>
      <c r="C330" t="s">
        <v>512</v>
      </c>
      <c r="D330" s="12">
        <v>7500000</v>
      </c>
      <c r="E330">
        <v>1006946167</v>
      </c>
      <c r="F330" t="s">
        <v>111</v>
      </c>
      <c r="G330" t="e">
        <f>VLOOKUP(C330,#REF!,1,0)</f>
        <v>#REF!</v>
      </c>
    </row>
    <row r="331" spans="1:7" x14ac:dyDescent="0.25">
      <c r="A331" s="9">
        <v>45756</v>
      </c>
      <c r="B331">
        <v>2025001813</v>
      </c>
      <c r="C331" t="s">
        <v>521</v>
      </c>
      <c r="D331" s="12">
        <v>3000000</v>
      </c>
      <c r="E331">
        <v>1085255829</v>
      </c>
      <c r="F331" t="s">
        <v>239</v>
      </c>
      <c r="G331" t="e">
        <f>VLOOKUP(C331,#REF!,1,0)</f>
        <v>#REF!</v>
      </c>
    </row>
    <row r="332" spans="1:7" x14ac:dyDescent="0.25">
      <c r="A332" s="9">
        <v>45756</v>
      </c>
      <c r="B332">
        <v>2025001814</v>
      </c>
      <c r="C332" t="s">
        <v>523</v>
      </c>
      <c r="D332" s="12">
        <v>4750000</v>
      </c>
      <c r="E332">
        <v>1085340885</v>
      </c>
      <c r="F332" t="s">
        <v>241</v>
      </c>
      <c r="G332" t="e">
        <f>VLOOKUP(C332,#REF!,1,0)</f>
        <v>#REF!</v>
      </c>
    </row>
    <row r="333" spans="1:7" x14ac:dyDescent="0.25">
      <c r="A333" s="9">
        <v>45878</v>
      </c>
      <c r="B333">
        <v>2025001828</v>
      </c>
      <c r="C333" t="s">
        <v>472</v>
      </c>
      <c r="D333" s="12">
        <v>2500000</v>
      </c>
      <c r="E333">
        <v>1085255753</v>
      </c>
      <c r="F333" t="s">
        <v>261</v>
      </c>
      <c r="G333" t="e">
        <f>VLOOKUP(C333,#REF!,1,0)</f>
        <v>#REF!</v>
      </c>
    </row>
    <row r="334" spans="1:7" x14ac:dyDescent="0.25">
      <c r="A334" s="9">
        <v>45878</v>
      </c>
      <c r="B334">
        <v>2025001829</v>
      </c>
      <c r="C334" t="s">
        <v>473</v>
      </c>
      <c r="D334" s="12">
        <v>6000000</v>
      </c>
      <c r="E334">
        <v>1085283868</v>
      </c>
      <c r="F334" t="s">
        <v>235</v>
      </c>
      <c r="G334" t="e">
        <f>VLOOKUP(C334,#REF!,1,0)</f>
        <v>#REF!</v>
      </c>
    </row>
    <row r="335" spans="1:7" x14ac:dyDescent="0.25">
      <c r="A335" s="9">
        <v>45878</v>
      </c>
      <c r="B335">
        <v>2025001830</v>
      </c>
      <c r="C335" t="s">
        <v>474</v>
      </c>
      <c r="D335" s="12">
        <v>4750000</v>
      </c>
      <c r="E335">
        <v>36953206</v>
      </c>
      <c r="F335" t="s">
        <v>262</v>
      </c>
      <c r="G335" t="e">
        <f>VLOOKUP(C335,#REF!,1,0)</f>
        <v>#REF!</v>
      </c>
    </row>
    <row r="336" spans="1:7" x14ac:dyDescent="0.25">
      <c r="A336" s="9">
        <v>45878</v>
      </c>
      <c r="B336">
        <v>2025001840</v>
      </c>
      <c r="C336" t="s">
        <v>344</v>
      </c>
      <c r="D336" s="12">
        <v>6000000</v>
      </c>
      <c r="E336">
        <v>1085248939</v>
      </c>
      <c r="F336" t="s">
        <v>112</v>
      </c>
      <c r="G336" t="e">
        <f>VLOOKUP(C336,#REF!,1,0)</f>
        <v>#REF!</v>
      </c>
    </row>
    <row r="337" spans="1:7" x14ac:dyDescent="0.25">
      <c r="A337" s="9">
        <v>45878</v>
      </c>
      <c r="B337">
        <v>2025001841</v>
      </c>
      <c r="C337" t="s">
        <v>400</v>
      </c>
      <c r="D337" s="12">
        <v>1900000</v>
      </c>
      <c r="E337">
        <v>5292370</v>
      </c>
      <c r="F337" t="s">
        <v>191</v>
      </c>
      <c r="G337" t="e">
        <f>VLOOKUP(C337,#REF!,1,0)</f>
        <v>#REF!</v>
      </c>
    </row>
    <row r="338" spans="1:7" x14ac:dyDescent="0.25">
      <c r="A338" s="9">
        <v>45878</v>
      </c>
      <c r="B338">
        <v>2025001842</v>
      </c>
      <c r="C338" t="s">
        <v>404</v>
      </c>
      <c r="D338" s="12">
        <v>4750000</v>
      </c>
      <c r="E338">
        <v>1087414586</v>
      </c>
      <c r="F338" t="s">
        <v>195</v>
      </c>
      <c r="G338" t="e">
        <f>VLOOKUP(C338,#REF!,1,0)</f>
        <v>#REF!</v>
      </c>
    </row>
    <row r="339" spans="1:7" x14ac:dyDescent="0.25">
      <c r="A339" s="9">
        <v>45878</v>
      </c>
      <c r="B339">
        <v>2025001843</v>
      </c>
      <c r="C339" t="s">
        <v>475</v>
      </c>
      <c r="D339" s="12">
        <v>7500000</v>
      </c>
      <c r="E339">
        <v>37087120</v>
      </c>
      <c r="F339" t="s">
        <v>263</v>
      </c>
      <c r="G339" t="e">
        <f>VLOOKUP(C339,#REF!,1,0)</f>
        <v>#REF!</v>
      </c>
    </row>
    <row r="340" spans="1:7" x14ac:dyDescent="0.25">
      <c r="A340" s="9">
        <v>45878</v>
      </c>
      <c r="B340">
        <v>2025001844</v>
      </c>
      <c r="C340" t="s">
        <v>531</v>
      </c>
      <c r="D340" s="12">
        <v>6000000</v>
      </c>
      <c r="E340">
        <v>59825948</v>
      </c>
      <c r="F340" t="s">
        <v>264</v>
      </c>
      <c r="G340" t="e">
        <f>VLOOKUP(C340,#REF!,1,0)</f>
        <v>#REF!</v>
      </c>
    </row>
    <row r="341" spans="1:7" x14ac:dyDescent="0.25">
      <c r="A341" s="9">
        <v>45878</v>
      </c>
      <c r="B341">
        <v>2025001845</v>
      </c>
      <c r="C341" t="s">
        <v>299</v>
      </c>
      <c r="D341" s="12">
        <v>4825000</v>
      </c>
      <c r="E341">
        <v>1085338534</v>
      </c>
      <c r="F341" t="s">
        <v>226</v>
      </c>
      <c r="G341" t="e">
        <f>VLOOKUP(C341,#REF!,1,0)</f>
        <v>#REF!</v>
      </c>
    </row>
    <row r="342" spans="1:7" x14ac:dyDescent="0.25">
      <c r="A342" s="9">
        <v>45878</v>
      </c>
      <c r="B342">
        <v>2025001846</v>
      </c>
      <c r="C342" t="s">
        <v>476</v>
      </c>
      <c r="D342" s="12">
        <v>2500000</v>
      </c>
      <c r="E342">
        <v>1085347173</v>
      </c>
      <c r="F342" t="s">
        <v>100</v>
      </c>
      <c r="G342" t="e">
        <f>VLOOKUP(C342,#REF!,1,0)</f>
        <v>#REF!</v>
      </c>
    </row>
    <row r="343" spans="1:7" x14ac:dyDescent="0.25">
      <c r="A343" s="9">
        <v>45878</v>
      </c>
      <c r="B343">
        <v>2025001847</v>
      </c>
      <c r="C343" t="s">
        <v>477</v>
      </c>
      <c r="D343" s="12">
        <v>6000000</v>
      </c>
      <c r="E343">
        <v>59836480</v>
      </c>
      <c r="F343" t="s">
        <v>265</v>
      </c>
      <c r="G343" t="e">
        <f>VLOOKUP(C343,#REF!,1,0)</f>
        <v>#REF!</v>
      </c>
    </row>
    <row r="344" spans="1:7" x14ac:dyDescent="0.25">
      <c r="A344" s="9">
        <v>45909</v>
      </c>
      <c r="B344">
        <v>2025001854</v>
      </c>
      <c r="C344" t="s">
        <v>10</v>
      </c>
      <c r="D344" s="12">
        <v>169523066</v>
      </c>
      <c r="E344">
        <v>901340412</v>
      </c>
      <c r="F344" t="s">
        <v>11</v>
      </c>
      <c r="G344" t="e">
        <f>VLOOKUP(C344,#REF!,1,0)</f>
        <v>#REF!</v>
      </c>
    </row>
    <row r="345" spans="1:7" x14ac:dyDescent="0.25">
      <c r="A345" s="9">
        <v>45909</v>
      </c>
      <c r="B345">
        <v>2025001855</v>
      </c>
      <c r="C345" t="s">
        <v>425</v>
      </c>
      <c r="D345" s="12">
        <v>4825000</v>
      </c>
      <c r="E345">
        <v>1004508471</v>
      </c>
      <c r="F345" t="s">
        <v>219</v>
      </c>
      <c r="G345" t="e">
        <f>VLOOKUP(C345,#REF!,1,0)</f>
        <v>#REF!</v>
      </c>
    </row>
    <row r="346" spans="1:7" x14ac:dyDescent="0.25">
      <c r="A346" s="9">
        <v>45909</v>
      </c>
      <c r="B346">
        <v>2025001856</v>
      </c>
      <c r="C346" t="s">
        <v>478</v>
      </c>
      <c r="D346" s="12">
        <v>2500000</v>
      </c>
      <c r="E346">
        <v>30722194</v>
      </c>
      <c r="F346" t="s">
        <v>266</v>
      </c>
      <c r="G346" t="e">
        <f>VLOOKUP(C346,#REF!,1,0)</f>
        <v>#REF!</v>
      </c>
    </row>
    <row r="347" spans="1:7" x14ac:dyDescent="0.25">
      <c r="A347" s="9">
        <v>45909</v>
      </c>
      <c r="B347">
        <v>2025001857</v>
      </c>
      <c r="C347" t="s">
        <v>428</v>
      </c>
      <c r="D347" s="12">
        <v>6000000</v>
      </c>
      <c r="E347">
        <v>1085286476</v>
      </c>
      <c r="F347" t="s">
        <v>222</v>
      </c>
      <c r="G347" t="e">
        <f>VLOOKUP(C347,#REF!,1,0)</f>
        <v>#REF!</v>
      </c>
    </row>
    <row r="348" spans="1:7" x14ac:dyDescent="0.25">
      <c r="A348" s="9">
        <v>45909</v>
      </c>
      <c r="B348">
        <v>2025001858</v>
      </c>
      <c r="C348" t="s">
        <v>429</v>
      </c>
      <c r="D348" s="12">
        <v>3000000</v>
      </c>
      <c r="E348">
        <v>69028150</v>
      </c>
      <c r="F348" t="s">
        <v>149</v>
      </c>
      <c r="G348" t="e">
        <f>VLOOKUP(C348,#REF!,1,0)</f>
        <v>#REF!</v>
      </c>
    </row>
    <row r="349" spans="1:7" x14ac:dyDescent="0.25">
      <c r="A349" s="9">
        <v>45909</v>
      </c>
      <c r="B349">
        <v>2025001859</v>
      </c>
      <c r="C349" t="s">
        <v>479</v>
      </c>
      <c r="D349" s="12">
        <v>3000000</v>
      </c>
      <c r="E349">
        <v>1085252263</v>
      </c>
      <c r="F349" t="s">
        <v>138</v>
      </c>
      <c r="G349" t="e">
        <f>VLOOKUP(C349,#REF!,1,0)</f>
        <v>#REF!</v>
      </c>
    </row>
    <row r="350" spans="1:7" x14ac:dyDescent="0.25">
      <c r="A350" s="9">
        <v>45909</v>
      </c>
      <c r="B350">
        <v>2025001860</v>
      </c>
      <c r="C350" t="s">
        <v>480</v>
      </c>
      <c r="D350" s="12">
        <v>2500000</v>
      </c>
      <c r="E350">
        <v>59830219</v>
      </c>
      <c r="F350" t="s">
        <v>267</v>
      </c>
      <c r="G350" t="e">
        <f>VLOOKUP(C350,#REF!,1,0)</f>
        <v>#REF!</v>
      </c>
    </row>
    <row r="351" spans="1:7" x14ac:dyDescent="0.25">
      <c r="A351" s="9">
        <v>45909</v>
      </c>
      <c r="B351">
        <v>2025001862</v>
      </c>
      <c r="C351" t="s">
        <v>458</v>
      </c>
      <c r="D351" s="12">
        <v>3000000</v>
      </c>
      <c r="E351">
        <v>1085286742</v>
      </c>
      <c r="F351" t="s">
        <v>114</v>
      </c>
      <c r="G351" t="e">
        <f>VLOOKUP(C351,#REF!,1,0)</f>
        <v>#REF!</v>
      </c>
    </row>
    <row r="352" spans="1:7" x14ac:dyDescent="0.25">
      <c r="A352" s="9">
        <v>45909</v>
      </c>
      <c r="B352">
        <v>2025001864</v>
      </c>
      <c r="C352" t="s">
        <v>517</v>
      </c>
      <c r="D352" s="12">
        <v>3000000</v>
      </c>
      <c r="E352">
        <v>36954407</v>
      </c>
      <c r="F352" t="s">
        <v>236</v>
      </c>
      <c r="G352" t="e">
        <f>VLOOKUP(C352,#REF!,1,0)</f>
        <v>#REF!</v>
      </c>
    </row>
    <row r="353" spans="1:7" x14ac:dyDescent="0.25">
      <c r="A353" s="9">
        <v>45909</v>
      </c>
      <c r="B353">
        <v>2025001867</v>
      </c>
      <c r="C353" t="s">
        <v>301</v>
      </c>
      <c r="D353" s="12">
        <v>4750000</v>
      </c>
      <c r="E353">
        <v>59651018</v>
      </c>
      <c r="F353" t="s">
        <v>105</v>
      </c>
      <c r="G353" t="e">
        <f>VLOOKUP(C353,#REF!,1,0)</f>
        <v>#REF!</v>
      </c>
    </row>
    <row r="354" spans="1:7" x14ac:dyDescent="0.25">
      <c r="A354" s="9">
        <v>45909</v>
      </c>
      <c r="B354">
        <v>2025001870</v>
      </c>
      <c r="C354" t="s">
        <v>510</v>
      </c>
      <c r="D354" s="12">
        <v>7500000</v>
      </c>
      <c r="E354">
        <v>1085293105</v>
      </c>
      <c r="F354" t="s">
        <v>233</v>
      </c>
      <c r="G354" t="e">
        <f>VLOOKUP(C354,#REF!,1,0)</f>
        <v>#REF!</v>
      </c>
    </row>
    <row r="355" spans="1:7" x14ac:dyDescent="0.25">
      <c r="A355" s="9">
        <v>45909</v>
      </c>
      <c r="B355">
        <v>2025001872</v>
      </c>
      <c r="C355" t="s">
        <v>516</v>
      </c>
      <c r="D355" s="12">
        <v>3000000</v>
      </c>
      <c r="E355">
        <v>1010082397</v>
      </c>
      <c r="F355" t="s">
        <v>78</v>
      </c>
      <c r="G355" t="e">
        <f>VLOOKUP(C355,#REF!,1,0)</f>
        <v>#REF!</v>
      </c>
    </row>
    <row r="356" spans="1:7" x14ac:dyDescent="0.25">
      <c r="A356" s="9">
        <v>45909</v>
      </c>
      <c r="B356">
        <v>2025001873</v>
      </c>
      <c r="C356" t="s">
        <v>532</v>
      </c>
      <c r="D356" s="12">
        <v>3000000</v>
      </c>
      <c r="E356">
        <v>1085300095</v>
      </c>
      <c r="F356" t="s">
        <v>268</v>
      </c>
      <c r="G356" t="e">
        <f>VLOOKUP(C356,#REF!,1,0)</f>
        <v>#REF!</v>
      </c>
    </row>
    <row r="357" spans="1:7" x14ac:dyDescent="0.25">
      <c r="A357" s="9">
        <v>45909</v>
      </c>
      <c r="B357">
        <v>2025001874</v>
      </c>
      <c r="C357" t="s">
        <v>533</v>
      </c>
      <c r="D357" s="12">
        <v>3000000</v>
      </c>
      <c r="E357">
        <v>1088733625</v>
      </c>
      <c r="F357" t="s">
        <v>166</v>
      </c>
      <c r="G357" t="e">
        <f>VLOOKUP(C357,#REF!,1,0)</f>
        <v>#REF!</v>
      </c>
    </row>
    <row r="358" spans="1:7" x14ac:dyDescent="0.25">
      <c r="A358" s="9">
        <v>45909</v>
      </c>
      <c r="B358">
        <v>2025001875</v>
      </c>
      <c r="C358" t="s">
        <v>514</v>
      </c>
      <c r="D358" s="12">
        <v>3000000</v>
      </c>
      <c r="E358">
        <v>98382500</v>
      </c>
      <c r="F358" t="s">
        <v>91</v>
      </c>
      <c r="G358" t="e">
        <f>VLOOKUP(C358,#REF!,1,0)</f>
        <v>#REF!</v>
      </c>
    </row>
    <row r="359" spans="1:7" x14ac:dyDescent="0.25">
      <c r="A359" s="9">
        <v>45909</v>
      </c>
      <c r="B359">
        <v>2025001876</v>
      </c>
      <c r="C359" t="s">
        <v>534</v>
      </c>
      <c r="D359" s="12">
        <v>3000000</v>
      </c>
      <c r="E359">
        <v>59310853</v>
      </c>
      <c r="F359" t="s">
        <v>269</v>
      </c>
      <c r="G359" t="e">
        <f>VLOOKUP(C359,#REF!,1,0)</f>
        <v>#REF!</v>
      </c>
    </row>
    <row r="360" spans="1:7" x14ac:dyDescent="0.25">
      <c r="A360" s="9">
        <v>45939</v>
      </c>
      <c r="B360">
        <v>2025001886</v>
      </c>
      <c r="C360" t="s">
        <v>511</v>
      </c>
      <c r="D360" s="12">
        <v>7500000</v>
      </c>
      <c r="E360">
        <v>1085336362</v>
      </c>
      <c r="F360" t="s">
        <v>234</v>
      </c>
      <c r="G360" t="e">
        <f>VLOOKUP(C360,#REF!,1,0)</f>
        <v>#REF!</v>
      </c>
    </row>
    <row r="361" spans="1:7" x14ac:dyDescent="0.25">
      <c r="A361" s="9">
        <v>45970</v>
      </c>
      <c r="B361">
        <v>2025001890</v>
      </c>
      <c r="C361" t="s">
        <v>481</v>
      </c>
      <c r="D361" s="12">
        <v>2500000</v>
      </c>
      <c r="E361">
        <v>37087268</v>
      </c>
      <c r="F361" t="s">
        <v>123</v>
      </c>
      <c r="G361" t="e">
        <f>VLOOKUP(C361,#REF!,1,0)</f>
        <v>#REF!</v>
      </c>
    </row>
    <row r="362" spans="1:7" x14ac:dyDescent="0.25">
      <c r="A362" s="9">
        <v>45970</v>
      </c>
      <c r="B362">
        <v>2025001891</v>
      </c>
      <c r="C362" t="s">
        <v>420</v>
      </c>
      <c r="D362" s="12">
        <v>4750000</v>
      </c>
      <c r="E362">
        <v>1085313870</v>
      </c>
      <c r="F362" t="s">
        <v>118</v>
      </c>
      <c r="G362" t="e">
        <f>VLOOKUP(C362,#REF!,1,0)</f>
        <v>#REF!</v>
      </c>
    </row>
    <row r="363" spans="1:7" x14ac:dyDescent="0.25">
      <c r="A363" s="9">
        <v>45970</v>
      </c>
      <c r="B363">
        <v>2025001892</v>
      </c>
      <c r="C363" t="s">
        <v>433</v>
      </c>
      <c r="D363" s="12">
        <v>3000000</v>
      </c>
      <c r="E363">
        <v>36752202</v>
      </c>
      <c r="F363" t="s">
        <v>225</v>
      </c>
      <c r="G363" t="e">
        <f>VLOOKUP(C363,#REF!,1,0)</f>
        <v>#REF!</v>
      </c>
    </row>
    <row r="364" spans="1:7" x14ac:dyDescent="0.25">
      <c r="A364" s="9">
        <v>45970</v>
      </c>
      <c r="B364">
        <v>2025001893</v>
      </c>
      <c r="C364" t="s">
        <v>535</v>
      </c>
      <c r="D364" s="12">
        <v>2500000</v>
      </c>
      <c r="E364">
        <v>1085310465</v>
      </c>
      <c r="F364" t="s">
        <v>270</v>
      </c>
      <c r="G364" t="e">
        <f>VLOOKUP(C364,#REF!,1,0)</f>
        <v>#REF!</v>
      </c>
    </row>
    <row r="365" spans="1:7" x14ac:dyDescent="0.25">
      <c r="A365" s="9">
        <v>45970</v>
      </c>
      <c r="B365">
        <v>2025001894</v>
      </c>
      <c r="C365" t="s">
        <v>442</v>
      </c>
      <c r="D365" s="12">
        <v>4825000</v>
      </c>
      <c r="E365">
        <v>1085321578</v>
      </c>
      <c r="F365" t="s">
        <v>232</v>
      </c>
      <c r="G365" t="e">
        <f>VLOOKUP(C365,#REF!,1,0)</f>
        <v>#REF!</v>
      </c>
    </row>
    <row r="366" spans="1:7" x14ac:dyDescent="0.25">
      <c r="A366" s="9">
        <v>45970</v>
      </c>
      <c r="B366">
        <v>2025001895</v>
      </c>
      <c r="C366" t="s">
        <v>482</v>
      </c>
      <c r="D366" s="12">
        <v>2600000</v>
      </c>
      <c r="E366">
        <v>1004235479</v>
      </c>
      <c r="F366" t="s">
        <v>93</v>
      </c>
      <c r="G366" t="e">
        <f>VLOOKUP(C366,#REF!,1,0)</f>
        <v>#REF!</v>
      </c>
    </row>
    <row r="367" spans="1:7" x14ac:dyDescent="0.25">
      <c r="A367" s="9">
        <v>45970</v>
      </c>
      <c r="B367">
        <v>2025001896</v>
      </c>
      <c r="C367" t="s">
        <v>441</v>
      </c>
      <c r="D367" s="12">
        <v>3000000</v>
      </c>
      <c r="E367">
        <v>59310524</v>
      </c>
      <c r="F367" t="s">
        <v>231</v>
      </c>
      <c r="G367" t="e">
        <f>VLOOKUP(C367,#REF!,1,0)</f>
        <v>#REF!</v>
      </c>
    </row>
    <row r="368" spans="1:7" x14ac:dyDescent="0.25">
      <c r="A368" s="9">
        <v>45970</v>
      </c>
      <c r="B368">
        <v>2025001897</v>
      </c>
      <c r="C368" t="s">
        <v>536</v>
      </c>
      <c r="D368" s="12">
        <v>3000000</v>
      </c>
      <c r="E368">
        <v>1004592366</v>
      </c>
      <c r="F368" t="s">
        <v>271</v>
      </c>
      <c r="G368" t="e">
        <f>VLOOKUP(C368,#REF!,1,0)</f>
        <v>#REF!</v>
      </c>
    </row>
    <row r="369" spans="1:7" x14ac:dyDescent="0.25">
      <c r="A369" s="9">
        <v>45970</v>
      </c>
      <c r="B369">
        <v>2025001898</v>
      </c>
      <c r="C369" t="s">
        <v>537</v>
      </c>
      <c r="D369" s="12">
        <v>3000000</v>
      </c>
      <c r="E369">
        <v>1085266584</v>
      </c>
      <c r="F369" t="s">
        <v>272</v>
      </c>
      <c r="G369" t="e">
        <f>VLOOKUP(C369,#REF!,1,0)</f>
        <v>#REF!</v>
      </c>
    </row>
    <row r="370" spans="1:7" x14ac:dyDescent="0.25">
      <c r="A370" s="9">
        <v>45970</v>
      </c>
      <c r="B370">
        <v>2025001899</v>
      </c>
      <c r="C370" t="s">
        <v>424</v>
      </c>
      <c r="D370" s="12">
        <v>6000000</v>
      </c>
      <c r="E370">
        <v>27146489</v>
      </c>
      <c r="F370" t="s">
        <v>218</v>
      </c>
      <c r="G370" t="e">
        <f>VLOOKUP(C370,#REF!,1,0)</f>
        <v>#REF!</v>
      </c>
    </row>
    <row r="371" spans="1:7" x14ac:dyDescent="0.25">
      <c r="A371" s="9">
        <v>45970</v>
      </c>
      <c r="B371">
        <v>2025001900</v>
      </c>
      <c r="C371" t="s">
        <v>526</v>
      </c>
      <c r="D371" s="12">
        <v>4750000</v>
      </c>
      <c r="E371">
        <v>27087475</v>
      </c>
      <c r="F371" t="s">
        <v>76</v>
      </c>
      <c r="G371" t="e">
        <f>VLOOKUP(C371,#REF!,1,0)</f>
        <v>#REF!</v>
      </c>
    </row>
    <row r="372" spans="1:7" x14ac:dyDescent="0.25">
      <c r="A372" s="9">
        <v>45970</v>
      </c>
      <c r="B372">
        <v>2025001901</v>
      </c>
      <c r="C372" t="s">
        <v>483</v>
      </c>
      <c r="D372" s="12">
        <v>2500000</v>
      </c>
      <c r="E372">
        <v>12990231</v>
      </c>
      <c r="F372" t="s">
        <v>178</v>
      </c>
      <c r="G372" t="e">
        <f>VLOOKUP(C372,#REF!,1,0)</f>
        <v>#REF!</v>
      </c>
    </row>
    <row r="373" spans="1:7" x14ac:dyDescent="0.25">
      <c r="A373" s="9">
        <v>45970</v>
      </c>
      <c r="B373">
        <v>2025001902</v>
      </c>
      <c r="C373" t="s">
        <v>538</v>
      </c>
      <c r="D373" s="12">
        <v>3000000</v>
      </c>
      <c r="E373">
        <v>1085261053</v>
      </c>
      <c r="F373" t="s">
        <v>273</v>
      </c>
      <c r="G373" t="e">
        <f>VLOOKUP(C373,#REF!,1,0)</f>
        <v>#REF!</v>
      </c>
    </row>
    <row r="374" spans="1:7" x14ac:dyDescent="0.25">
      <c r="A374" s="9">
        <v>45970</v>
      </c>
      <c r="B374">
        <v>2025001903</v>
      </c>
      <c r="C374" t="s">
        <v>436</v>
      </c>
      <c r="D374" s="12">
        <v>3000000</v>
      </c>
      <c r="E374">
        <v>1137624011</v>
      </c>
      <c r="F374" t="s">
        <v>69</v>
      </c>
      <c r="G374" t="e">
        <f>VLOOKUP(C374,#REF!,1,0)</f>
        <v>#REF!</v>
      </c>
    </row>
    <row r="375" spans="1:7" x14ac:dyDescent="0.25">
      <c r="A375" s="9">
        <v>45970</v>
      </c>
      <c r="B375">
        <v>2025001904</v>
      </c>
      <c r="C375" t="s">
        <v>529</v>
      </c>
      <c r="D375" s="12">
        <v>3000000</v>
      </c>
      <c r="E375">
        <v>1085271641</v>
      </c>
      <c r="F375" t="s">
        <v>243</v>
      </c>
      <c r="G375" t="e">
        <f>VLOOKUP(C375,#REF!,1,0)</f>
        <v>#REF!</v>
      </c>
    </row>
    <row r="376" spans="1:7" x14ac:dyDescent="0.25">
      <c r="A376" s="9">
        <v>45970</v>
      </c>
      <c r="B376">
        <v>2025001905</v>
      </c>
      <c r="C376" t="s">
        <v>462</v>
      </c>
      <c r="D376" s="12">
        <v>4750000</v>
      </c>
      <c r="E376">
        <v>1018492767</v>
      </c>
      <c r="F376" t="s">
        <v>257</v>
      </c>
      <c r="G376" t="e">
        <f>VLOOKUP(C376,#REF!,1,0)</f>
        <v>#REF!</v>
      </c>
    </row>
    <row r="377" spans="1:7" x14ac:dyDescent="0.25">
      <c r="A377" s="9">
        <v>45970</v>
      </c>
      <c r="B377">
        <v>2025001906</v>
      </c>
      <c r="C377" t="s">
        <v>302</v>
      </c>
      <c r="D377" s="12">
        <v>6000000</v>
      </c>
      <c r="E377">
        <v>36757221</v>
      </c>
      <c r="F377" t="s">
        <v>74</v>
      </c>
      <c r="G377" t="e">
        <f>VLOOKUP(C377,#REF!,1,0)</f>
        <v>#REF!</v>
      </c>
    </row>
    <row r="378" spans="1:7" x14ac:dyDescent="0.25">
      <c r="A378" s="9">
        <v>45970</v>
      </c>
      <c r="B378">
        <v>2025001907</v>
      </c>
      <c r="C378" t="s">
        <v>32</v>
      </c>
      <c r="D378" s="12">
        <v>3000000</v>
      </c>
      <c r="E378">
        <v>36861874</v>
      </c>
      <c r="F378" t="s">
        <v>12</v>
      </c>
      <c r="G378" t="e">
        <f>VLOOKUP(C378,#REF!,1,0)</f>
        <v>#REF!</v>
      </c>
    </row>
    <row r="379" spans="1:7" x14ac:dyDescent="0.25">
      <c r="A379" t="s">
        <v>274</v>
      </c>
      <c r="B379">
        <v>2025001916</v>
      </c>
      <c r="C379" t="s">
        <v>513</v>
      </c>
      <c r="D379" s="12">
        <v>3000000</v>
      </c>
      <c r="E379">
        <v>1085317833</v>
      </c>
      <c r="F379" t="s">
        <v>107</v>
      </c>
      <c r="G379" t="e">
        <f>VLOOKUP(C379,#REF!,1,0)</f>
        <v>#REF!</v>
      </c>
    </row>
    <row r="380" spans="1:7" x14ac:dyDescent="0.25">
      <c r="A380" t="s">
        <v>274</v>
      </c>
      <c r="B380">
        <v>2025001917</v>
      </c>
      <c r="C380" t="s">
        <v>539</v>
      </c>
      <c r="D380" s="12">
        <v>4825000</v>
      </c>
      <c r="E380">
        <v>36951301</v>
      </c>
      <c r="F380" t="s">
        <v>275</v>
      </c>
      <c r="G380" t="e">
        <f>VLOOKUP(C380,#REF!,1,0)</f>
        <v>#REF!</v>
      </c>
    </row>
    <row r="381" spans="1:7" x14ac:dyDescent="0.25">
      <c r="A381" t="s">
        <v>274</v>
      </c>
      <c r="B381">
        <v>2025001918</v>
      </c>
      <c r="C381" t="s">
        <v>438</v>
      </c>
      <c r="D381" s="12">
        <v>4750000</v>
      </c>
      <c r="E381">
        <v>1085345772</v>
      </c>
      <c r="F381" t="s">
        <v>144</v>
      </c>
      <c r="G381" t="e">
        <f>VLOOKUP(C381,#REF!,1,0)</f>
        <v>#REF!</v>
      </c>
    </row>
    <row r="382" spans="1:7" x14ac:dyDescent="0.25">
      <c r="A382" t="s">
        <v>274</v>
      </c>
      <c r="B382">
        <v>2025001919</v>
      </c>
      <c r="C382" t="s">
        <v>451</v>
      </c>
      <c r="D382" s="12">
        <v>3000000</v>
      </c>
      <c r="E382">
        <v>1081272025</v>
      </c>
      <c r="F382" t="s">
        <v>248</v>
      </c>
      <c r="G382" t="e">
        <f>VLOOKUP(C382,#REF!,1,0)</f>
        <v>#REF!</v>
      </c>
    </row>
    <row r="383" spans="1:7" x14ac:dyDescent="0.25">
      <c r="A383" t="s">
        <v>274</v>
      </c>
      <c r="B383">
        <v>2025001920</v>
      </c>
      <c r="C383" t="s">
        <v>469</v>
      </c>
      <c r="D383" s="12">
        <v>7500000</v>
      </c>
      <c r="E383">
        <v>1193202097</v>
      </c>
      <c r="F383" t="s">
        <v>260</v>
      </c>
      <c r="G383" t="e">
        <f>VLOOKUP(C383,#REF!,1,0)</f>
        <v>#REF!</v>
      </c>
    </row>
    <row r="384" spans="1:7" x14ac:dyDescent="0.25">
      <c r="A384" t="s">
        <v>274</v>
      </c>
      <c r="B384">
        <v>2025001921</v>
      </c>
      <c r="C384" t="s">
        <v>471</v>
      </c>
      <c r="D384" s="12">
        <v>3000000</v>
      </c>
      <c r="E384">
        <v>27388522</v>
      </c>
      <c r="F384" t="s">
        <v>126</v>
      </c>
      <c r="G384" t="e">
        <f>VLOOKUP(C384,#REF!,1,0)</f>
        <v>#REF!</v>
      </c>
    </row>
    <row r="385" spans="1:7" x14ac:dyDescent="0.25">
      <c r="A385" t="s">
        <v>274</v>
      </c>
      <c r="B385">
        <v>2025001922</v>
      </c>
      <c r="C385" t="s">
        <v>540</v>
      </c>
      <c r="D385" s="12">
        <v>6000000</v>
      </c>
      <c r="E385">
        <v>1004213964</v>
      </c>
      <c r="F385" t="s">
        <v>276</v>
      </c>
      <c r="G385" t="e">
        <f>VLOOKUP(C385,#REF!,1,0)</f>
        <v>#REF!</v>
      </c>
    </row>
    <row r="386" spans="1:7" x14ac:dyDescent="0.25">
      <c r="A386" t="s">
        <v>274</v>
      </c>
      <c r="B386">
        <v>2025001923</v>
      </c>
      <c r="C386" t="s">
        <v>468</v>
      </c>
      <c r="D386" s="12">
        <v>6000000</v>
      </c>
      <c r="E386">
        <v>1085299577</v>
      </c>
      <c r="F386" t="s">
        <v>259</v>
      </c>
      <c r="G386" t="e">
        <f>VLOOKUP(C386,#REF!,1,0)</f>
        <v>#REF!</v>
      </c>
    </row>
    <row r="387" spans="1:7" x14ac:dyDescent="0.25">
      <c r="A387" t="s">
        <v>277</v>
      </c>
      <c r="B387">
        <v>2025001937</v>
      </c>
      <c r="C387" t="s">
        <v>484</v>
      </c>
      <c r="D387" s="12">
        <v>6000000</v>
      </c>
      <c r="E387">
        <v>1082748420</v>
      </c>
      <c r="F387" t="s">
        <v>71</v>
      </c>
      <c r="G387" t="e">
        <f>VLOOKUP(C387,#REF!,1,0)</f>
        <v>#REF!</v>
      </c>
    </row>
    <row r="388" spans="1:7" x14ac:dyDescent="0.25">
      <c r="A388" t="s">
        <v>277</v>
      </c>
      <c r="B388">
        <v>2025001938</v>
      </c>
      <c r="C388" t="s">
        <v>49</v>
      </c>
      <c r="D388" s="12">
        <v>3000000</v>
      </c>
      <c r="E388">
        <v>1080690337</v>
      </c>
      <c r="F388" t="s">
        <v>278</v>
      </c>
      <c r="G388" t="e">
        <f>VLOOKUP(C388,#REF!,1,0)</f>
        <v>#REF!</v>
      </c>
    </row>
    <row r="389" spans="1:7" x14ac:dyDescent="0.25">
      <c r="A389" t="s">
        <v>277</v>
      </c>
      <c r="B389">
        <v>2025001939</v>
      </c>
      <c r="C389" t="s">
        <v>534</v>
      </c>
      <c r="D389" s="12">
        <v>3000000</v>
      </c>
      <c r="E389">
        <v>59310853</v>
      </c>
      <c r="F389" t="s">
        <v>269</v>
      </c>
      <c r="G389" t="e">
        <f>VLOOKUP(C389,#REF!,1,0)</f>
        <v>#REF!</v>
      </c>
    </row>
    <row r="390" spans="1:7" x14ac:dyDescent="0.25">
      <c r="A390" t="s">
        <v>277</v>
      </c>
      <c r="B390">
        <v>2025001940</v>
      </c>
      <c r="C390" t="s">
        <v>461</v>
      </c>
      <c r="D390" s="12">
        <v>2500000</v>
      </c>
      <c r="E390">
        <v>1085304072</v>
      </c>
      <c r="F390" t="s">
        <v>256</v>
      </c>
      <c r="G390" t="e">
        <f>VLOOKUP(C390,#REF!,1,0)</f>
        <v>#REF!</v>
      </c>
    </row>
    <row r="391" spans="1:7" x14ac:dyDescent="0.25">
      <c r="A391" t="s">
        <v>277</v>
      </c>
      <c r="B391">
        <v>2025001941</v>
      </c>
      <c r="C391" t="s">
        <v>475</v>
      </c>
      <c r="D391" s="12">
        <v>7500000</v>
      </c>
      <c r="E391">
        <v>37087120</v>
      </c>
      <c r="F391" t="s">
        <v>263</v>
      </c>
      <c r="G391" t="e">
        <f>VLOOKUP(C391,#REF!,1,0)</f>
        <v>#REF!</v>
      </c>
    </row>
    <row r="392" spans="1:7" x14ac:dyDescent="0.25">
      <c r="A392" t="s">
        <v>277</v>
      </c>
      <c r="B392">
        <v>2025001942</v>
      </c>
      <c r="C392" t="s">
        <v>515</v>
      </c>
      <c r="D392" s="12">
        <v>3000000</v>
      </c>
      <c r="E392">
        <v>59834953</v>
      </c>
      <c r="F392" t="s">
        <v>102</v>
      </c>
      <c r="G392" t="e">
        <f>VLOOKUP(C392,#REF!,1,0)</f>
        <v>#REF!</v>
      </c>
    </row>
    <row r="393" spans="1:7" x14ac:dyDescent="0.25">
      <c r="A393" t="s">
        <v>277</v>
      </c>
      <c r="B393">
        <v>2025001943</v>
      </c>
      <c r="C393" t="s">
        <v>472</v>
      </c>
      <c r="D393" s="12">
        <v>2500000</v>
      </c>
      <c r="E393">
        <v>1085255753</v>
      </c>
      <c r="F393" t="s">
        <v>261</v>
      </c>
      <c r="G393" t="e">
        <f>VLOOKUP(C393,#REF!,1,0)</f>
        <v>#REF!</v>
      </c>
    </row>
    <row r="394" spans="1:7" x14ac:dyDescent="0.25">
      <c r="A394" t="s">
        <v>277</v>
      </c>
      <c r="B394">
        <v>2025001944</v>
      </c>
      <c r="C394" t="s">
        <v>485</v>
      </c>
      <c r="D394" s="12">
        <v>2500000</v>
      </c>
      <c r="E394">
        <v>1088729401</v>
      </c>
      <c r="F394" t="s">
        <v>142</v>
      </c>
      <c r="G394" t="e">
        <f>VLOOKUP(C394,#REF!,1,0)</f>
        <v>#REF!</v>
      </c>
    </row>
    <row r="395" spans="1:7" x14ac:dyDescent="0.25">
      <c r="A395" t="s">
        <v>277</v>
      </c>
      <c r="B395">
        <v>2025001945</v>
      </c>
      <c r="C395" t="s">
        <v>486</v>
      </c>
      <c r="D395" s="12">
        <v>7500000</v>
      </c>
      <c r="E395">
        <v>1087006619</v>
      </c>
      <c r="F395" t="s">
        <v>279</v>
      </c>
      <c r="G395" t="e">
        <f>VLOOKUP(C395,#REF!,1,0)</f>
        <v>#REF!</v>
      </c>
    </row>
    <row r="396" spans="1:7" x14ac:dyDescent="0.25">
      <c r="A396" t="s">
        <v>277</v>
      </c>
      <c r="B396">
        <v>2025001951</v>
      </c>
      <c r="C396" t="s">
        <v>13</v>
      </c>
      <c r="D396" s="12">
        <v>72299010</v>
      </c>
      <c r="E396">
        <v>805021222</v>
      </c>
      <c r="F396" t="s">
        <v>14</v>
      </c>
      <c r="G396" t="e">
        <f>VLOOKUP(C396,#REF!,1,0)</f>
        <v>#REF!</v>
      </c>
    </row>
    <row r="397" spans="1:7" x14ac:dyDescent="0.25">
      <c r="A397" t="s">
        <v>280</v>
      </c>
      <c r="B397">
        <v>2025001969</v>
      </c>
      <c r="C397" t="s">
        <v>439</v>
      </c>
      <c r="D397" s="12">
        <v>3000000</v>
      </c>
      <c r="E397">
        <v>1233189234</v>
      </c>
      <c r="F397" t="s">
        <v>229</v>
      </c>
      <c r="G397" t="e">
        <f>VLOOKUP(C397,#REF!,1,0)</f>
        <v>#REF!</v>
      </c>
    </row>
    <row r="398" spans="1:7" x14ac:dyDescent="0.25">
      <c r="A398" t="s">
        <v>280</v>
      </c>
      <c r="B398">
        <v>2025001970</v>
      </c>
      <c r="C398" t="s">
        <v>487</v>
      </c>
      <c r="D398" s="12">
        <v>3000000</v>
      </c>
      <c r="E398">
        <v>1087959088</v>
      </c>
      <c r="F398" t="s">
        <v>281</v>
      </c>
      <c r="G398" t="e">
        <f>VLOOKUP(C398,#REF!,1,0)</f>
        <v>#REF!</v>
      </c>
    </row>
    <row r="399" spans="1:7" x14ac:dyDescent="0.25">
      <c r="A399" t="s">
        <v>280</v>
      </c>
      <c r="B399">
        <v>2025001971</v>
      </c>
      <c r="C399" t="s">
        <v>455</v>
      </c>
      <c r="D399" s="12">
        <v>3000000</v>
      </c>
      <c r="E399">
        <v>1087006717</v>
      </c>
      <c r="F399" t="s">
        <v>251</v>
      </c>
      <c r="G399" t="e">
        <f>VLOOKUP(C399,#REF!,1,0)</f>
        <v>#REF!</v>
      </c>
    </row>
    <row r="400" spans="1:7" x14ac:dyDescent="0.25">
      <c r="A400" t="s">
        <v>280</v>
      </c>
      <c r="B400">
        <v>2025001973</v>
      </c>
      <c r="C400" t="s">
        <v>426</v>
      </c>
      <c r="D400" s="12">
        <v>2500000</v>
      </c>
      <c r="E400">
        <v>1233189896</v>
      </c>
      <c r="F400" t="s">
        <v>147</v>
      </c>
      <c r="G400" t="e">
        <f>VLOOKUP(C400,#REF!,1,0)</f>
        <v>#REF!</v>
      </c>
    </row>
    <row r="401" spans="1:7" x14ac:dyDescent="0.25">
      <c r="A401" t="s">
        <v>280</v>
      </c>
      <c r="B401">
        <v>2025001974</v>
      </c>
      <c r="C401" t="s">
        <v>456</v>
      </c>
      <c r="D401" s="12">
        <v>7500000</v>
      </c>
      <c r="E401">
        <v>1006106084</v>
      </c>
      <c r="F401" t="s">
        <v>252</v>
      </c>
      <c r="G401" t="e">
        <f>VLOOKUP(C401,#REF!,1,0)</f>
        <v>#REF!</v>
      </c>
    </row>
    <row r="402" spans="1:7" x14ac:dyDescent="0.25">
      <c r="A402" t="s">
        <v>280</v>
      </c>
      <c r="B402">
        <v>2025001975</v>
      </c>
      <c r="C402" t="s">
        <v>450</v>
      </c>
      <c r="D402" s="12">
        <v>3000000</v>
      </c>
      <c r="E402">
        <v>1085326791</v>
      </c>
      <c r="F402" t="s">
        <v>94</v>
      </c>
      <c r="G402" t="e">
        <f>VLOOKUP(C402,#REF!,1,0)</f>
        <v>#REF!</v>
      </c>
    </row>
    <row r="403" spans="1:7" x14ac:dyDescent="0.25">
      <c r="A403" t="s">
        <v>280</v>
      </c>
      <c r="B403">
        <v>2025001976</v>
      </c>
      <c r="C403" t="s">
        <v>448</v>
      </c>
      <c r="D403" s="12">
        <v>3000000</v>
      </c>
      <c r="E403">
        <v>37082232</v>
      </c>
      <c r="F403" t="s">
        <v>188</v>
      </c>
      <c r="G403" t="e">
        <f>VLOOKUP(C403,#REF!,1,0)</f>
        <v>#REF!</v>
      </c>
    </row>
    <row r="404" spans="1:7" x14ac:dyDescent="0.25">
      <c r="A404" t="s">
        <v>280</v>
      </c>
      <c r="B404">
        <v>2025001977</v>
      </c>
      <c r="C404" t="s">
        <v>488</v>
      </c>
      <c r="D404" s="12">
        <v>3000000</v>
      </c>
      <c r="E404">
        <v>1085304308</v>
      </c>
      <c r="F404" t="s">
        <v>282</v>
      </c>
      <c r="G404" t="e">
        <f>VLOOKUP(C404,#REF!,1,0)</f>
        <v>#REF!</v>
      </c>
    </row>
    <row r="405" spans="1:7" x14ac:dyDescent="0.25">
      <c r="A405" t="s">
        <v>280</v>
      </c>
      <c r="B405">
        <v>2025001978</v>
      </c>
      <c r="C405" t="s">
        <v>460</v>
      </c>
      <c r="D405" s="12">
        <v>6000000</v>
      </c>
      <c r="E405">
        <v>59820414</v>
      </c>
      <c r="F405" t="s">
        <v>77</v>
      </c>
      <c r="G405" t="e">
        <f>VLOOKUP(C405,#REF!,1,0)</f>
        <v>#REF!</v>
      </c>
    </row>
    <row r="406" spans="1:7" x14ac:dyDescent="0.25">
      <c r="A406" t="s">
        <v>280</v>
      </c>
      <c r="B406">
        <v>2025001979</v>
      </c>
      <c r="C406" t="s">
        <v>489</v>
      </c>
      <c r="D406" s="12">
        <v>6000000</v>
      </c>
      <c r="E406">
        <v>27097745</v>
      </c>
      <c r="F406" t="s">
        <v>283</v>
      </c>
      <c r="G406" t="e">
        <f>VLOOKUP(C406,#REF!,1,0)</f>
        <v>#REF!</v>
      </c>
    </row>
    <row r="407" spans="1:7" x14ac:dyDescent="0.25">
      <c r="A407" t="s">
        <v>280</v>
      </c>
      <c r="B407">
        <v>2025001980</v>
      </c>
      <c r="C407" t="s">
        <v>15</v>
      </c>
      <c r="D407" s="12">
        <v>2500000</v>
      </c>
      <c r="E407">
        <v>1087408320</v>
      </c>
      <c r="F407" t="s">
        <v>16</v>
      </c>
      <c r="G407" t="e">
        <f>VLOOKUP(C407,#REF!,1,0)</f>
        <v>#REF!</v>
      </c>
    </row>
    <row r="408" spans="1:7" x14ac:dyDescent="0.25">
      <c r="A408" t="s">
        <v>280</v>
      </c>
      <c r="B408">
        <v>2025001981</v>
      </c>
      <c r="C408" t="s">
        <v>452</v>
      </c>
      <c r="D408" s="12">
        <v>3000000</v>
      </c>
      <c r="E408">
        <v>1085315013</v>
      </c>
      <c r="F408" t="s">
        <v>250</v>
      </c>
      <c r="G408" t="e">
        <f>VLOOKUP(C408,#REF!,1,0)</f>
        <v>#REF!</v>
      </c>
    </row>
    <row r="409" spans="1:7" x14ac:dyDescent="0.25">
      <c r="A409" t="s">
        <v>280</v>
      </c>
      <c r="B409">
        <v>2025001982</v>
      </c>
      <c r="C409" t="s">
        <v>432</v>
      </c>
      <c r="D409" s="12">
        <v>3000000</v>
      </c>
      <c r="E409">
        <v>1081594639</v>
      </c>
      <c r="F409" t="s">
        <v>224</v>
      </c>
      <c r="G409" t="e">
        <f>VLOOKUP(C409,#REF!,1,0)</f>
        <v>#REF!</v>
      </c>
    </row>
    <row r="410" spans="1:7" x14ac:dyDescent="0.25">
      <c r="A410" t="s">
        <v>280</v>
      </c>
      <c r="B410">
        <v>2025001983</v>
      </c>
      <c r="C410" t="s">
        <v>443</v>
      </c>
      <c r="D410" s="12">
        <v>3000000</v>
      </c>
      <c r="E410">
        <v>1004535234</v>
      </c>
      <c r="F410" t="s">
        <v>115</v>
      </c>
      <c r="G410" t="e">
        <f>VLOOKUP(C410,#REF!,1,0)</f>
        <v>#REF!</v>
      </c>
    </row>
    <row r="411" spans="1:7" x14ac:dyDescent="0.25">
      <c r="A411" t="s">
        <v>280</v>
      </c>
      <c r="B411">
        <v>2025001984</v>
      </c>
      <c r="C411" t="s">
        <v>453</v>
      </c>
      <c r="D411" s="12">
        <v>3000000</v>
      </c>
      <c r="E411">
        <v>1086363186</v>
      </c>
      <c r="F411" t="s">
        <v>198</v>
      </c>
      <c r="G411" t="e">
        <f>VLOOKUP(C411,#REF!,1,0)</f>
        <v>#REF!</v>
      </c>
    </row>
    <row r="412" spans="1:7" x14ac:dyDescent="0.25">
      <c r="A412" t="s">
        <v>280</v>
      </c>
      <c r="B412">
        <v>2025001985</v>
      </c>
      <c r="C412" t="s">
        <v>434</v>
      </c>
      <c r="D412" s="12">
        <v>3000000</v>
      </c>
      <c r="E412">
        <v>1086222689</v>
      </c>
      <c r="F412" t="s">
        <v>227</v>
      </c>
      <c r="G412" t="e">
        <f>VLOOKUP(C412,#REF!,1,0)</f>
        <v>#REF!</v>
      </c>
    </row>
    <row r="413" spans="1:7" x14ac:dyDescent="0.25">
      <c r="A413" t="s">
        <v>280</v>
      </c>
      <c r="B413">
        <v>2025001986</v>
      </c>
      <c r="C413" t="s">
        <v>421</v>
      </c>
      <c r="D413" s="12">
        <v>7500000</v>
      </c>
      <c r="E413">
        <v>1085329980</v>
      </c>
      <c r="F413" t="s">
        <v>213</v>
      </c>
      <c r="G413" t="e">
        <f>VLOOKUP(C413,#REF!,1,0)</f>
        <v>#REF!</v>
      </c>
    </row>
    <row r="414" spans="1:7" x14ac:dyDescent="0.25">
      <c r="A414" t="s">
        <v>280</v>
      </c>
      <c r="B414">
        <v>2025001987</v>
      </c>
      <c r="C414" t="s">
        <v>490</v>
      </c>
      <c r="D414" s="12">
        <v>5000000</v>
      </c>
      <c r="E414">
        <v>1085313872</v>
      </c>
      <c r="F414" t="s">
        <v>284</v>
      </c>
      <c r="G414" t="e">
        <f>VLOOKUP(C414,#REF!,1,0)</f>
        <v>#REF!</v>
      </c>
    </row>
    <row r="415" spans="1:7" x14ac:dyDescent="0.25">
      <c r="A415" t="s">
        <v>285</v>
      </c>
      <c r="B415">
        <v>2025001988</v>
      </c>
      <c r="C415" t="s">
        <v>491</v>
      </c>
      <c r="D415" s="12">
        <v>5000000</v>
      </c>
      <c r="E415">
        <v>27220499</v>
      </c>
      <c r="F415" t="s">
        <v>286</v>
      </c>
      <c r="G415" t="e">
        <f>VLOOKUP(C415,#REF!,1,0)</f>
        <v>#REF!</v>
      </c>
    </row>
    <row r="416" spans="1:7" x14ac:dyDescent="0.25">
      <c r="A416" t="s">
        <v>285</v>
      </c>
      <c r="B416">
        <v>2025001989</v>
      </c>
      <c r="C416" t="s">
        <v>492</v>
      </c>
      <c r="D416" s="12">
        <v>3000000</v>
      </c>
      <c r="E416">
        <v>1084224968</v>
      </c>
      <c r="F416" t="s">
        <v>287</v>
      </c>
      <c r="G416" t="e">
        <f>VLOOKUP(C416,#REF!,1,0)</f>
        <v>#REF!</v>
      </c>
    </row>
    <row r="417" spans="1:7" x14ac:dyDescent="0.25">
      <c r="A417" t="s">
        <v>285</v>
      </c>
      <c r="B417">
        <v>2025001990</v>
      </c>
      <c r="C417" t="s">
        <v>446</v>
      </c>
      <c r="D417" s="12">
        <v>3000000</v>
      </c>
      <c r="E417">
        <v>1085269090</v>
      </c>
      <c r="F417" t="s">
        <v>247</v>
      </c>
      <c r="G417" t="e">
        <f>VLOOKUP(C417,#REF!,1,0)</f>
        <v>#REF!</v>
      </c>
    </row>
    <row r="418" spans="1:7" x14ac:dyDescent="0.25">
      <c r="A418" t="s">
        <v>285</v>
      </c>
      <c r="B418">
        <v>2025001991</v>
      </c>
      <c r="C418" t="s">
        <v>493</v>
      </c>
      <c r="D418" s="12">
        <v>2500000</v>
      </c>
      <c r="E418">
        <v>1084552048</v>
      </c>
      <c r="F418" t="s">
        <v>288</v>
      </c>
      <c r="G418" t="e">
        <f>VLOOKUP(C418,#REF!,1,0)</f>
        <v>#REF!</v>
      </c>
    </row>
    <row r="419" spans="1:7" x14ac:dyDescent="0.25">
      <c r="A419" t="s">
        <v>285</v>
      </c>
      <c r="B419">
        <v>2025001992</v>
      </c>
      <c r="C419" t="s">
        <v>494</v>
      </c>
      <c r="D419" s="12">
        <v>6000000</v>
      </c>
      <c r="E419">
        <v>1085253062</v>
      </c>
      <c r="F419" t="s">
        <v>180</v>
      </c>
      <c r="G419" t="e">
        <f>VLOOKUP(C419,#REF!,1,0)</f>
        <v>#REF!</v>
      </c>
    </row>
    <row r="420" spans="1:7" x14ac:dyDescent="0.25">
      <c r="A420" t="s">
        <v>285</v>
      </c>
      <c r="B420">
        <v>2025001993</v>
      </c>
      <c r="C420" t="s">
        <v>495</v>
      </c>
      <c r="D420" s="12">
        <v>6000000</v>
      </c>
      <c r="E420">
        <v>59314458</v>
      </c>
      <c r="F420" t="s">
        <v>289</v>
      </c>
      <c r="G420" t="e">
        <f>VLOOKUP(C420,#REF!,1,0)</f>
        <v>#REF!</v>
      </c>
    </row>
    <row r="421" spans="1:7" x14ac:dyDescent="0.25">
      <c r="A421" t="s">
        <v>285</v>
      </c>
      <c r="B421">
        <v>2025001994</v>
      </c>
      <c r="C421" t="s">
        <v>445</v>
      </c>
      <c r="D421" s="12">
        <v>6000000</v>
      </c>
      <c r="E421">
        <v>1085275879</v>
      </c>
      <c r="F421" t="s">
        <v>127</v>
      </c>
      <c r="G421" t="e">
        <f>VLOOKUP(C421,#REF!,1,0)</f>
        <v>#REF!</v>
      </c>
    </row>
    <row r="422" spans="1:7" x14ac:dyDescent="0.25">
      <c r="A422" t="s">
        <v>285</v>
      </c>
      <c r="B422">
        <v>2025001995</v>
      </c>
      <c r="C422" t="s">
        <v>520</v>
      </c>
      <c r="D422" s="12">
        <v>4825000</v>
      </c>
      <c r="E422">
        <v>1085269530</v>
      </c>
      <c r="F422" t="s">
        <v>238</v>
      </c>
      <c r="G422" t="e">
        <f>VLOOKUP(C422,#REF!,1,0)</f>
        <v>#REF!</v>
      </c>
    </row>
    <row r="423" spans="1:7" x14ac:dyDescent="0.25">
      <c r="A423" t="s">
        <v>285</v>
      </c>
      <c r="B423">
        <v>2025001996</v>
      </c>
      <c r="C423" t="s">
        <v>447</v>
      </c>
      <c r="D423" s="12">
        <v>6000000</v>
      </c>
      <c r="E423">
        <v>1014212900</v>
      </c>
      <c r="F423" t="s">
        <v>168</v>
      </c>
      <c r="G423" t="e">
        <f>VLOOKUP(C423,#REF!,1,0)</f>
        <v>#REF!</v>
      </c>
    </row>
    <row r="424" spans="1:7" x14ac:dyDescent="0.25">
      <c r="A424" t="s">
        <v>285</v>
      </c>
      <c r="B424">
        <v>2025001997</v>
      </c>
      <c r="C424" t="s">
        <v>440</v>
      </c>
      <c r="D424" s="12">
        <v>4750000</v>
      </c>
      <c r="E424">
        <v>36759759</v>
      </c>
      <c r="F424" t="s">
        <v>230</v>
      </c>
      <c r="G424" t="e">
        <f>VLOOKUP(C424,#REF!,1,0)</f>
        <v>#REF!</v>
      </c>
    </row>
    <row r="425" spans="1:7" x14ac:dyDescent="0.25">
      <c r="A425" t="s">
        <v>290</v>
      </c>
      <c r="B425">
        <v>2025002008</v>
      </c>
      <c r="C425" t="s">
        <v>465</v>
      </c>
      <c r="D425" s="12">
        <v>3000000</v>
      </c>
      <c r="E425">
        <v>59706564</v>
      </c>
      <c r="F425" t="s">
        <v>199</v>
      </c>
      <c r="G425" t="e">
        <f>VLOOKUP(C425,#REF!,1,0)</f>
        <v>#REF!</v>
      </c>
    </row>
    <row r="426" spans="1:7" x14ac:dyDescent="0.25">
      <c r="A426" t="s">
        <v>290</v>
      </c>
      <c r="B426">
        <v>2025002009</v>
      </c>
      <c r="C426" t="s">
        <v>541</v>
      </c>
      <c r="D426" s="12">
        <v>3000000</v>
      </c>
      <c r="E426">
        <v>27088197</v>
      </c>
      <c r="F426" t="s">
        <v>291</v>
      </c>
      <c r="G426" t="e">
        <f>VLOOKUP(C426,#REF!,1,0)</f>
        <v>#REF!</v>
      </c>
    </row>
    <row r="427" spans="1:7" x14ac:dyDescent="0.25">
      <c r="A427" t="s">
        <v>290</v>
      </c>
      <c r="B427">
        <v>2025002010</v>
      </c>
      <c r="C427" t="s">
        <v>466</v>
      </c>
      <c r="D427" s="12">
        <v>3000000</v>
      </c>
      <c r="E427">
        <v>1085314608</v>
      </c>
      <c r="F427" t="s">
        <v>207</v>
      </c>
      <c r="G427" t="e">
        <f>VLOOKUP(C427,#REF!,1,0)</f>
        <v>#REF!</v>
      </c>
    </row>
    <row r="428" spans="1:7" x14ac:dyDescent="0.25">
      <c r="A428" t="s">
        <v>290</v>
      </c>
      <c r="B428">
        <v>2025002011</v>
      </c>
      <c r="C428" t="s">
        <v>496</v>
      </c>
      <c r="D428" s="12">
        <v>3000000</v>
      </c>
      <c r="E428">
        <v>1030606749</v>
      </c>
      <c r="F428" t="s">
        <v>84</v>
      </c>
      <c r="G428" t="e">
        <f>VLOOKUP(C428,#REF!,1,0)</f>
        <v>#REF!</v>
      </c>
    </row>
    <row r="429" spans="1:7" x14ac:dyDescent="0.25">
      <c r="A429" t="s">
        <v>290</v>
      </c>
      <c r="B429">
        <v>2025002012</v>
      </c>
      <c r="C429" t="s">
        <v>467</v>
      </c>
      <c r="D429" s="12">
        <v>3000000</v>
      </c>
      <c r="E429">
        <v>1086329609</v>
      </c>
      <c r="F429" t="s">
        <v>64</v>
      </c>
      <c r="G429" t="e">
        <f>VLOOKUP(C429,#REF!,1,0)</f>
        <v>#REF!</v>
      </c>
    </row>
    <row r="430" spans="1:7" x14ac:dyDescent="0.25">
      <c r="A430" t="s">
        <v>290</v>
      </c>
      <c r="B430">
        <v>2025002013</v>
      </c>
      <c r="C430" t="s">
        <v>17</v>
      </c>
      <c r="D430" s="12">
        <v>4825000</v>
      </c>
      <c r="E430">
        <v>1085311814</v>
      </c>
      <c r="F430" t="s">
        <v>18</v>
      </c>
      <c r="G430" t="e">
        <f>VLOOKUP(C430,#REF!,1,0)</f>
        <v>#REF!</v>
      </c>
    </row>
    <row r="431" spans="1:7" x14ac:dyDescent="0.25">
      <c r="A431" t="s">
        <v>290</v>
      </c>
      <c r="B431">
        <v>2025002014</v>
      </c>
      <c r="C431" t="s">
        <v>464</v>
      </c>
      <c r="D431" s="12">
        <v>3000000</v>
      </c>
      <c r="E431">
        <v>1085274630</v>
      </c>
      <c r="F431" t="s">
        <v>200</v>
      </c>
      <c r="G431" t="e">
        <f>VLOOKUP(C431,#REF!,1,0)</f>
        <v>#REF!</v>
      </c>
    </row>
    <row r="432" spans="1:7" x14ac:dyDescent="0.25">
      <c r="A432" t="s">
        <v>290</v>
      </c>
      <c r="B432">
        <v>2025002015</v>
      </c>
      <c r="C432" t="s">
        <v>497</v>
      </c>
      <c r="D432" s="12">
        <v>6000000</v>
      </c>
      <c r="E432">
        <v>36954410</v>
      </c>
      <c r="F432" t="s">
        <v>179</v>
      </c>
      <c r="G432" t="e">
        <f>VLOOKUP(C432,#REF!,1,0)</f>
        <v>#REF!</v>
      </c>
    </row>
    <row r="433" spans="1:7" x14ac:dyDescent="0.25">
      <c r="A433" t="s">
        <v>292</v>
      </c>
      <c r="B433">
        <v>2025002033</v>
      </c>
      <c r="C433" t="s">
        <v>531</v>
      </c>
      <c r="D433" s="12">
        <v>6000000</v>
      </c>
      <c r="E433">
        <v>59825948</v>
      </c>
      <c r="F433" t="s">
        <v>264</v>
      </c>
      <c r="G433" t="e">
        <f>VLOOKUP(C433,#REF!,1,0)</f>
        <v>#REF!</v>
      </c>
    </row>
    <row r="434" spans="1:7" x14ac:dyDescent="0.25">
      <c r="A434" t="s">
        <v>292</v>
      </c>
      <c r="B434">
        <v>2025002034</v>
      </c>
      <c r="C434" t="s">
        <v>532</v>
      </c>
      <c r="D434" s="12">
        <v>3000000</v>
      </c>
      <c r="E434">
        <v>1085300095</v>
      </c>
      <c r="F434" t="s">
        <v>268</v>
      </c>
      <c r="G434" t="e">
        <f>VLOOKUP(C434,#REF!,1,0)</f>
        <v>#REF!</v>
      </c>
    </row>
    <row r="435" spans="1:7" x14ac:dyDescent="0.25">
      <c r="A435" t="s">
        <v>292</v>
      </c>
      <c r="B435">
        <v>2025002035</v>
      </c>
      <c r="C435" t="s">
        <v>533</v>
      </c>
      <c r="D435" s="12">
        <v>3000000</v>
      </c>
      <c r="E435">
        <v>1088733625</v>
      </c>
      <c r="F435" t="s">
        <v>166</v>
      </c>
      <c r="G435" t="e">
        <f>VLOOKUP(C435,#REF!,1,0)</f>
        <v>#REF!</v>
      </c>
    </row>
    <row r="436" spans="1:7" x14ac:dyDescent="0.25">
      <c r="A436" t="s">
        <v>292</v>
      </c>
      <c r="B436">
        <v>2025002036</v>
      </c>
      <c r="C436" t="s">
        <v>449</v>
      </c>
      <c r="D436" s="12">
        <v>3000000</v>
      </c>
      <c r="E436">
        <v>1004743217</v>
      </c>
      <c r="F436" t="s">
        <v>201</v>
      </c>
      <c r="G436" t="e">
        <f>VLOOKUP(C436,#REF!,1,0)</f>
        <v>#REF!</v>
      </c>
    </row>
    <row r="437" spans="1:7" x14ac:dyDescent="0.25">
      <c r="A437" t="s">
        <v>292</v>
      </c>
      <c r="B437">
        <v>2025002037</v>
      </c>
      <c r="C437" t="s">
        <v>498</v>
      </c>
      <c r="D437" s="12">
        <v>2500000</v>
      </c>
      <c r="E437">
        <v>30734666</v>
      </c>
      <c r="F437" t="s">
        <v>293</v>
      </c>
      <c r="G437" t="e">
        <f>VLOOKUP(C437,#REF!,1,0)</f>
        <v>#REF!</v>
      </c>
    </row>
    <row r="438" spans="1:7" x14ac:dyDescent="0.25">
      <c r="A438" t="s">
        <v>294</v>
      </c>
      <c r="B438">
        <v>2025002036</v>
      </c>
      <c r="C438" t="s">
        <v>449</v>
      </c>
      <c r="D438" s="12">
        <v>3000000</v>
      </c>
      <c r="E438">
        <v>1004743217</v>
      </c>
      <c r="F438" t="s">
        <v>201</v>
      </c>
      <c r="G438" t="e">
        <f>VLOOKUP(C438,#REF!,1,0)</f>
        <v>#REF!</v>
      </c>
    </row>
    <row r="439" spans="1:7" x14ac:dyDescent="0.25">
      <c r="A439" t="s">
        <v>295</v>
      </c>
      <c r="B439">
        <v>2025002094</v>
      </c>
      <c r="C439" t="s">
        <v>542</v>
      </c>
      <c r="D439" s="12">
        <v>3000000</v>
      </c>
      <c r="E439">
        <v>1086223299</v>
      </c>
      <c r="F439" t="s">
        <v>75</v>
      </c>
      <c r="G439" t="e">
        <f>VLOOKUP(C439,#REF!,1,0)</f>
        <v>#REF!</v>
      </c>
    </row>
  </sheetData>
  <autoFilter ref="A1:G439" xr:uid="{F512688F-AA64-474E-BC4C-0934EAD73BC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43EE5-B896-4690-AC84-A525380085AD}">
  <dimension ref="A1:I441"/>
  <sheetViews>
    <sheetView tabSelected="1" topLeftCell="A33" workbookViewId="0">
      <selection activeCell="G57" sqref="G57"/>
    </sheetView>
  </sheetViews>
  <sheetFormatPr baseColWidth="10" defaultRowHeight="15" x14ac:dyDescent="0.25"/>
  <cols>
    <col min="4" max="4" width="12.7109375" bestFit="1" customWidth="1"/>
  </cols>
  <sheetData>
    <row r="1" spans="1:9" x14ac:dyDescent="0.25">
      <c r="A1" s="1" t="s">
        <v>0</v>
      </c>
      <c r="B1" s="2" t="s">
        <v>1</v>
      </c>
      <c r="C1" s="2" t="s">
        <v>2</v>
      </c>
      <c r="D1" s="7" t="s">
        <v>3</v>
      </c>
      <c r="E1" s="2" t="s">
        <v>4</v>
      </c>
      <c r="F1" s="2" t="s">
        <v>5</v>
      </c>
      <c r="G1" s="2" t="s">
        <v>6</v>
      </c>
      <c r="H1" t="s">
        <v>46</v>
      </c>
    </row>
    <row r="2" spans="1:9" x14ac:dyDescent="0.25">
      <c r="A2" s="4">
        <v>46007</v>
      </c>
      <c r="B2">
        <v>2025003724</v>
      </c>
      <c r="C2" s="5" t="s">
        <v>51</v>
      </c>
      <c r="D2" s="8">
        <v>3000000</v>
      </c>
      <c r="E2">
        <v>1080690337</v>
      </c>
      <c r="F2" s="5" t="s">
        <v>52</v>
      </c>
      <c r="G2" t="s">
        <v>43</v>
      </c>
      <c r="H2" t="s">
        <v>544</v>
      </c>
    </row>
    <row r="3" spans="1:9" x14ac:dyDescent="0.25">
      <c r="A3" s="4">
        <v>46007</v>
      </c>
      <c r="B3">
        <v>2025004086</v>
      </c>
      <c r="C3" s="5" t="s">
        <v>51</v>
      </c>
      <c r="D3" s="8">
        <v>3000000</v>
      </c>
      <c r="E3">
        <v>1080690337</v>
      </c>
      <c r="F3" s="5" t="s">
        <v>52</v>
      </c>
      <c r="G3" t="s">
        <v>43</v>
      </c>
      <c r="H3" t="s">
        <v>44</v>
      </c>
    </row>
    <row r="4" spans="1:9" x14ac:dyDescent="0.25">
      <c r="A4" s="4">
        <v>46007</v>
      </c>
      <c r="B4">
        <v>2025003825</v>
      </c>
      <c r="C4" t="s">
        <v>39</v>
      </c>
      <c r="D4" s="13">
        <v>3000000</v>
      </c>
      <c r="E4" s="10">
        <v>1086222977</v>
      </c>
      <c r="F4" s="10" t="s">
        <v>40</v>
      </c>
      <c r="G4" t="s">
        <v>43</v>
      </c>
      <c r="H4" t="s">
        <v>544</v>
      </c>
    </row>
    <row r="5" spans="1:9" x14ac:dyDescent="0.25">
      <c r="A5" s="4">
        <v>46015</v>
      </c>
      <c r="B5">
        <v>2025004175</v>
      </c>
      <c r="C5" t="s">
        <v>39</v>
      </c>
      <c r="D5" s="13">
        <v>3000000</v>
      </c>
      <c r="E5" s="10">
        <v>1086222977</v>
      </c>
      <c r="F5" s="10" t="s">
        <v>40</v>
      </c>
      <c r="G5" t="s">
        <v>43</v>
      </c>
      <c r="H5" t="s">
        <v>44</v>
      </c>
    </row>
    <row r="6" spans="1:9" x14ac:dyDescent="0.25">
      <c r="A6" s="4">
        <v>46007</v>
      </c>
      <c r="B6">
        <v>2025003850</v>
      </c>
      <c r="C6" t="s">
        <v>49</v>
      </c>
      <c r="D6" s="8">
        <v>3000000</v>
      </c>
      <c r="E6">
        <v>1080690337</v>
      </c>
      <c r="F6" t="s">
        <v>50</v>
      </c>
      <c r="G6" t="s">
        <v>43</v>
      </c>
      <c r="H6" t="s">
        <v>544</v>
      </c>
      <c r="I6" s="5"/>
    </row>
    <row r="7" spans="1:9" x14ac:dyDescent="0.25">
      <c r="A7" s="4">
        <v>46007</v>
      </c>
      <c r="B7" s="11">
        <v>2025003783</v>
      </c>
      <c r="C7" s="10" t="s">
        <v>49</v>
      </c>
      <c r="D7" s="8">
        <v>3000000</v>
      </c>
      <c r="E7">
        <v>1080690337</v>
      </c>
      <c r="F7" t="s">
        <v>50</v>
      </c>
      <c r="G7" t="s">
        <v>43</v>
      </c>
      <c r="H7" t="s">
        <v>44</v>
      </c>
      <c r="I7" s="5"/>
    </row>
    <row r="8" spans="1:9" x14ac:dyDescent="0.25">
      <c r="A8" s="4">
        <v>45946</v>
      </c>
      <c r="B8" s="11">
        <v>2025001938</v>
      </c>
      <c r="C8" t="s">
        <v>49</v>
      </c>
      <c r="D8" s="8">
        <v>3000000</v>
      </c>
      <c r="E8">
        <v>1080690337</v>
      </c>
      <c r="F8" t="s">
        <v>50</v>
      </c>
      <c r="G8" t="s">
        <v>43</v>
      </c>
      <c r="H8" t="s">
        <v>44</v>
      </c>
    </row>
    <row r="9" spans="1:9" x14ac:dyDescent="0.25">
      <c r="A9" s="4">
        <v>46007</v>
      </c>
      <c r="B9">
        <v>2025003855</v>
      </c>
      <c r="C9" s="6" t="s">
        <v>53</v>
      </c>
      <c r="D9" s="8">
        <v>9500000</v>
      </c>
      <c r="E9">
        <v>1086332188</v>
      </c>
      <c r="F9" s="6" t="s">
        <v>54</v>
      </c>
      <c r="G9" t="s">
        <v>43</v>
      </c>
      <c r="H9" t="s">
        <v>544</v>
      </c>
      <c r="I9" s="5"/>
    </row>
    <row r="10" spans="1:9" x14ac:dyDescent="0.25">
      <c r="A10" s="4">
        <v>46007</v>
      </c>
      <c r="C10" s="6" t="s">
        <v>53</v>
      </c>
      <c r="D10" s="8">
        <v>9500000</v>
      </c>
      <c r="E10">
        <v>1086332188</v>
      </c>
      <c r="F10" s="6" t="s">
        <v>54</v>
      </c>
      <c r="G10" t="s">
        <v>43</v>
      </c>
      <c r="H10" s="10" t="s">
        <v>44</v>
      </c>
    </row>
    <row r="11" spans="1:9" x14ac:dyDescent="0.25">
      <c r="A11" s="4">
        <v>46007</v>
      </c>
      <c r="B11">
        <v>2025003860</v>
      </c>
      <c r="C11" t="s">
        <v>58</v>
      </c>
      <c r="D11" s="8">
        <v>12000000</v>
      </c>
      <c r="E11">
        <v>1085254626</v>
      </c>
      <c r="F11" t="s">
        <v>61</v>
      </c>
      <c r="G11" t="s">
        <v>43</v>
      </c>
      <c r="H11" s="10" t="s">
        <v>544</v>
      </c>
      <c r="I11" s="6"/>
    </row>
    <row r="12" spans="1:9" x14ac:dyDescent="0.25">
      <c r="A12" s="4">
        <v>46007</v>
      </c>
      <c r="B12">
        <v>2025003560</v>
      </c>
      <c r="C12" t="s">
        <v>58</v>
      </c>
      <c r="D12" s="8">
        <v>12000000</v>
      </c>
      <c r="E12">
        <v>1085254626</v>
      </c>
      <c r="F12" t="s">
        <v>61</v>
      </c>
      <c r="G12" t="s">
        <v>43</v>
      </c>
      <c r="H12" s="10" t="s">
        <v>44</v>
      </c>
    </row>
    <row r="13" spans="1:9" x14ac:dyDescent="0.25">
      <c r="A13" s="4">
        <v>46007</v>
      </c>
      <c r="B13">
        <v>2025003861</v>
      </c>
      <c r="C13" s="6" t="s">
        <v>55</v>
      </c>
      <c r="D13" s="8">
        <v>9500000</v>
      </c>
      <c r="E13">
        <v>98398650</v>
      </c>
      <c r="F13" t="s">
        <v>56</v>
      </c>
      <c r="G13" t="s">
        <v>43</v>
      </c>
      <c r="H13" s="10" t="s">
        <v>544</v>
      </c>
    </row>
    <row r="14" spans="1:9" x14ac:dyDescent="0.25">
      <c r="A14" s="4">
        <v>46007</v>
      </c>
      <c r="B14">
        <v>2025003779</v>
      </c>
      <c r="C14" s="6" t="s">
        <v>55</v>
      </c>
      <c r="D14" s="8">
        <v>9500000</v>
      </c>
      <c r="E14">
        <v>98398650</v>
      </c>
      <c r="F14" t="s">
        <v>56</v>
      </c>
      <c r="G14" t="s">
        <v>43</v>
      </c>
      <c r="H14" s="10" t="s">
        <v>44</v>
      </c>
    </row>
    <row r="15" spans="1:9" x14ac:dyDescent="0.25">
      <c r="A15" s="1">
        <v>46007</v>
      </c>
      <c r="B15">
        <v>2025003871</v>
      </c>
      <c r="C15" t="s">
        <v>57</v>
      </c>
      <c r="D15" s="8">
        <v>6000000</v>
      </c>
      <c r="E15">
        <v>27436186</v>
      </c>
      <c r="F15" t="s">
        <v>60</v>
      </c>
      <c r="G15" t="s">
        <v>43</v>
      </c>
      <c r="H15" s="10" t="s">
        <v>544</v>
      </c>
    </row>
    <row r="16" spans="1:9" x14ac:dyDescent="0.25">
      <c r="A16" s="1">
        <v>46007</v>
      </c>
      <c r="B16">
        <v>2025003795</v>
      </c>
      <c r="C16" t="s">
        <v>57</v>
      </c>
      <c r="D16" s="8">
        <v>6000000</v>
      </c>
      <c r="E16">
        <v>27436186</v>
      </c>
      <c r="F16" t="s">
        <v>60</v>
      </c>
      <c r="G16" t="s">
        <v>43</v>
      </c>
      <c r="H16" s="10" t="s">
        <v>44</v>
      </c>
    </row>
    <row r="17" spans="1:8" x14ac:dyDescent="0.25">
      <c r="A17" s="14" t="s">
        <v>545</v>
      </c>
      <c r="B17" s="10" t="s">
        <v>546</v>
      </c>
      <c r="C17" s="10" t="s">
        <v>547</v>
      </c>
      <c r="D17" s="15">
        <v>3000000</v>
      </c>
      <c r="E17" s="10">
        <v>1087959088</v>
      </c>
      <c r="F17" s="10" t="s">
        <v>281</v>
      </c>
      <c r="G17" t="s">
        <v>43</v>
      </c>
      <c r="H17" s="10" t="s">
        <v>544</v>
      </c>
    </row>
    <row r="18" spans="1:8" x14ac:dyDescent="0.25">
      <c r="A18" s="14">
        <v>45911</v>
      </c>
      <c r="B18">
        <v>2025001970</v>
      </c>
      <c r="C18" s="10" t="s">
        <v>547</v>
      </c>
      <c r="D18" s="15">
        <v>3000000</v>
      </c>
      <c r="E18" s="10">
        <v>1087959088</v>
      </c>
      <c r="F18" s="10" t="s">
        <v>281</v>
      </c>
      <c r="G18" t="s">
        <v>43</v>
      </c>
      <c r="H18" s="10" t="s">
        <v>44</v>
      </c>
    </row>
    <row r="19" spans="1:8" x14ac:dyDescent="0.25">
      <c r="A19" s="4">
        <v>45907</v>
      </c>
      <c r="B19">
        <v>2025001223</v>
      </c>
      <c r="C19" t="s">
        <v>395</v>
      </c>
      <c r="D19">
        <v>7500000</v>
      </c>
      <c r="E19">
        <v>1085344794</v>
      </c>
      <c r="F19" t="s">
        <v>184</v>
      </c>
      <c r="H19" s="10" t="s">
        <v>44</v>
      </c>
    </row>
    <row r="20" spans="1:8" x14ac:dyDescent="0.25">
      <c r="A20" s="4">
        <v>45937</v>
      </c>
      <c r="B20">
        <v>2025001225</v>
      </c>
      <c r="C20" t="s">
        <v>509</v>
      </c>
      <c r="D20">
        <v>3000000</v>
      </c>
      <c r="E20">
        <v>59825382</v>
      </c>
      <c r="F20" t="s">
        <v>185</v>
      </c>
      <c r="H20" s="10" t="s">
        <v>44</v>
      </c>
    </row>
    <row r="21" spans="1:8" x14ac:dyDescent="0.25">
      <c r="A21" s="4">
        <v>45853</v>
      </c>
      <c r="B21">
        <v>2025001286</v>
      </c>
      <c r="C21" t="s">
        <v>400</v>
      </c>
      <c r="D21">
        <v>3000000</v>
      </c>
      <c r="E21">
        <v>5292370</v>
      </c>
      <c r="F21" t="s">
        <v>191</v>
      </c>
      <c r="H21" s="10" t="s">
        <v>44</v>
      </c>
    </row>
    <row r="22" spans="1:8" x14ac:dyDescent="0.25">
      <c r="A22" s="4">
        <v>45853</v>
      </c>
      <c r="B22">
        <v>2025001287</v>
      </c>
      <c r="C22" t="s">
        <v>401</v>
      </c>
      <c r="D22">
        <v>3000000</v>
      </c>
      <c r="E22">
        <v>36754382</v>
      </c>
      <c r="F22" t="s">
        <v>192</v>
      </c>
      <c r="H22" s="10" t="s">
        <v>44</v>
      </c>
    </row>
    <row r="23" spans="1:8" x14ac:dyDescent="0.25">
      <c r="A23" s="4">
        <v>45853</v>
      </c>
      <c r="B23">
        <v>2025001288</v>
      </c>
      <c r="C23" t="s">
        <v>402</v>
      </c>
      <c r="D23">
        <v>3000000</v>
      </c>
      <c r="E23">
        <v>1080690249</v>
      </c>
      <c r="F23" t="s">
        <v>193</v>
      </c>
      <c r="H23" s="10" t="s">
        <v>44</v>
      </c>
    </row>
    <row r="24" spans="1:8" x14ac:dyDescent="0.25">
      <c r="A24" s="4">
        <v>45853</v>
      </c>
      <c r="B24">
        <v>2025001289</v>
      </c>
      <c r="C24" t="s">
        <v>403</v>
      </c>
      <c r="D24">
        <v>3000000</v>
      </c>
      <c r="E24">
        <v>1085257949</v>
      </c>
      <c r="F24" t="s">
        <v>194</v>
      </c>
      <c r="H24" s="10" t="s">
        <v>44</v>
      </c>
    </row>
    <row r="25" spans="1:8" x14ac:dyDescent="0.25">
      <c r="A25" s="4">
        <v>45853</v>
      </c>
      <c r="B25">
        <v>2025001290</v>
      </c>
      <c r="C25" t="s">
        <v>404</v>
      </c>
      <c r="D25">
        <v>4750000</v>
      </c>
      <c r="E25">
        <v>1087414586</v>
      </c>
      <c r="F25" t="s">
        <v>195</v>
      </c>
      <c r="H25" s="10" t="s">
        <v>44</v>
      </c>
    </row>
    <row r="26" spans="1:8" x14ac:dyDescent="0.25">
      <c r="A26" s="4">
        <v>45854</v>
      </c>
      <c r="B26">
        <v>2025001303</v>
      </c>
      <c r="C26" t="s">
        <v>406</v>
      </c>
      <c r="D26">
        <v>7500000</v>
      </c>
      <c r="E26">
        <v>1085937671</v>
      </c>
      <c r="F26" t="s">
        <v>197</v>
      </c>
      <c r="H26" s="10" t="s">
        <v>44</v>
      </c>
    </row>
    <row r="27" spans="1:8" x14ac:dyDescent="0.25">
      <c r="A27" s="4">
        <v>45854</v>
      </c>
      <c r="B27">
        <v>2025001337</v>
      </c>
      <c r="C27" t="s">
        <v>412</v>
      </c>
      <c r="D27">
        <v>3000000</v>
      </c>
      <c r="E27">
        <v>1085267505</v>
      </c>
      <c r="F27" t="s">
        <v>202</v>
      </c>
      <c r="H27" s="10" t="s">
        <v>44</v>
      </c>
    </row>
    <row r="28" spans="1:8" x14ac:dyDescent="0.25">
      <c r="A28" s="4">
        <v>45855</v>
      </c>
      <c r="B28">
        <v>2025001339</v>
      </c>
      <c r="C28" t="s">
        <v>414</v>
      </c>
      <c r="D28">
        <v>7500000</v>
      </c>
      <c r="E28">
        <v>1085300619</v>
      </c>
      <c r="F28" t="s">
        <v>205</v>
      </c>
      <c r="H28" s="10" t="s">
        <v>44</v>
      </c>
    </row>
    <row r="29" spans="1:8" x14ac:dyDescent="0.25">
      <c r="A29" s="4">
        <v>45855</v>
      </c>
      <c r="B29">
        <v>2025001340</v>
      </c>
      <c r="C29" t="s">
        <v>415</v>
      </c>
      <c r="D29">
        <v>3000000</v>
      </c>
      <c r="E29">
        <v>36950482</v>
      </c>
      <c r="F29" t="s">
        <v>206</v>
      </c>
      <c r="H29" s="10" t="s">
        <v>44</v>
      </c>
    </row>
    <row r="30" spans="1:8" x14ac:dyDescent="0.25">
      <c r="A30" s="4">
        <v>45859</v>
      </c>
      <c r="B30">
        <v>2025001369</v>
      </c>
      <c r="C30" t="s">
        <v>419</v>
      </c>
      <c r="D30">
        <v>3000000</v>
      </c>
      <c r="E30">
        <v>59835389</v>
      </c>
      <c r="F30" t="s">
        <v>212</v>
      </c>
      <c r="H30" s="10" t="s">
        <v>44</v>
      </c>
    </row>
    <row r="31" spans="1:8" x14ac:dyDescent="0.25">
      <c r="A31" s="4">
        <v>45859</v>
      </c>
      <c r="B31">
        <v>2025001372</v>
      </c>
      <c r="C31" t="s">
        <v>420</v>
      </c>
      <c r="D31">
        <v>4750000</v>
      </c>
      <c r="E31">
        <v>1085313870</v>
      </c>
      <c r="F31" t="s">
        <v>118</v>
      </c>
      <c r="H31" s="10" t="s">
        <v>44</v>
      </c>
    </row>
    <row r="32" spans="1:8" x14ac:dyDescent="0.25">
      <c r="A32" s="4">
        <v>45862</v>
      </c>
      <c r="B32">
        <v>2025001443</v>
      </c>
      <c r="C32" t="s">
        <v>422</v>
      </c>
      <c r="D32">
        <v>3000000</v>
      </c>
      <c r="E32">
        <v>1085272774</v>
      </c>
      <c r="F32" t="s">
        <v>215</v>
      </c>
      <c r="H32" s="10" t="s">
        <v>44</v>
      </c>
    </row>
    <row r="33" spans="1:8" x14ac:dyDescent="0.25">
      <c r="A33" s="4">
        <v>45755</v>
      </c>
      <c r="B33">
        <v>2025001493</v>
      </c>
      <c r="C33" t="s">
        <v>427</v>
      </c>
      <c r="D33">
        <v>4825000</v>
      </c>
      <c r="E33">
        <v>59835376</v>
      </c>
      <c r="F33" t="s">
        <v>221</v>
      </c>
      <c r="H33" s="10" t="s">
        <v>44</v>
      </c>
    </row>
    <row r="34" spans="1:8" x14ac:dyDescent="0.25">
      <c r="A34" s="4">
        <v>45755</v>
      </c>
      <c r="B34">
        <v>2025001503</v>
      </c>
      <c r="C34" t="s">
        <v>431</v>
      </c>
      <c r="D34">
        <v>3000000</v>
      </c>
      <c r="E34">
        <v>1030606749</v>
      </c>
      <c r="F34" t="s">
        <v>84</v>
      </c>
      <c r="H34" s="10" t="s">
        <v>44</v>
      </c>
    </row>
    <row r="35" spans="1:8" x14ac:dyDescent="0.25">
      <c r="A35" s="4">
        <v>45883</v>
      </c>
      <c r="B35">
        <v>2025001599</v>
      </c>
      <c r="C35" t="s">
        <v>422</v>
      </c>
      <c r="D35">
        <v>3000000</v>
      </c>
      <c r="E35">
        <v>1085272774</v>
      </c>
      <c r="F35" t="s">
        <v>215</v>
      </c>
      <c r="H35" s="10" t="s">
        <v>44</v>
      </c>
    </row>
    <row r="36" spans="1:8" x14ac:dyDescent="0.25">
      <c r="A36" s="4">
        <v>45883</v>
      </c>
      <c r="B36">
        <v>2025001606</v>
      </c>
      <c r="C36" t="s">
        <v>412</v>
      </c>
      <c r="D36">
        <v>3000000</v>
      </c>
      <c r="E36">
        <v>1085267505</v>
      </c>
      <c r="F36" t="s">
        <v>202</v>
      </c>
      <c r="H36" s="10" t="s">
        <v>44</v>
      </c>
    </row>
    <row r="37" spans="1:8" x14ac:dyDescent="0.25">
      <c r="A37" s="4">
        <v>45884</v>
      </c>
      <c r="B37">
        <v>2025001624</v>
      </c>
      <c r="C37" t="s">
        <v>414</v>
      </c>
      <c r="D37">
        <v>7500000</v>
      </c>
      <c r="E37">
        <v>1085300619</v>
      </c>
      <c r="F37" t="s">
        <v>205</v>
      </c>
      <c r="H37" s="10" t="s">
        <v>44</v>
      </c>
    </row>
    <row r="38" spans="1:8" x14ac:dyDescent="0.25">
      <c r="A38" s="4">
        <v>45884</v>
      </c>
      <c r="B38">
        <v>2025001625</v>
      </c>
      <c r="C38" t="s">
        <v>415</v>
      </c>
      <c r="D38">
        <v>3000000</v>
      </c>
      <c r="E38">
        <v>36950482</v>
      </c>
      <c r="F38" t="s">
        <v>206</v>
      </c>
      <c r="H38" s="10" t="s">
        <v>44</v>
      </c>
    </row>
    <row r="39" spans="1:8" x14ac:dyDescent="0.25">
      <c r="A39" s="4">
        <v>45895</v>
      </c>
      <c r="B39">
        <v>2025001717</v>
      </c>
      <c r="C39" t="s">
        <v>402</v>
      </c>
      <c r="D39">
        <v>3000000</v>
      </c>
      <c r="E39">
        <v>1080690249</v>
      </c>
      <c r="F39" t="s">
        <v>193</v>
      </c>
      <c r="H39" s="10" t="s">
        <v>44</v>
      </c>
    </row>
    <row r="40" spans="1:8" x14ac:dyDescent="0.25">
      <c r="A40" s="4">
        <v>45895</v>
      </c>
      <c r="B40">
        <v>2025001718</v>
      </c>
      <c r="C40" t="s">
        <v>401</v>
      </c>
      <c r="D40">
        <v>3000000</v>
      </c>
      <c r="E40">
        <v>36754382</v>
      </c>
      <c r="F40" t="s">
        <v>192</v>
      </c>
      <c r="H40" s="10" t="s">
        <v>44</v>
      </c>
    </row>
    <row r="41" spans="1:8" x14ac:dyDescent="0.25">
      <c r="A41" s="4">
        <v>45895</v>
      </c>
      <c r="B41">
        <v>2025001719</v>
      </c>
      <c r="C41" t="s">
        <v>403</v>
      </c>
      <c r="D41">
        <v>3000000</v>
      </c>
      <c r="E41">
        <v>1085257949</v>
      </c>
      <c r="F41" t="s">
        <v>194</v>
      </c>
      <c r="H41" s="10" t="s">
        <v>44</v>
      </c>
    </row>
    <row r="42" spans="1:8" x14ac:dyDescent="0.25">
      <c r="A42" s="4">
        <v>45895</v>
      </c>
      <c r="B42">
        <v>2025001727</v>
      </c>
      <c r="C42" t="s">
        <v>419</v>
      </c>
      <c r="D42">
        <v>3000000</v>
      </c>
      <c r="E42">
        <v>59835389</v>
      </c>
      <c r="F42" t="s">
        <v>212</v>
      </c>
      <c r="H42" s="10" t="s">
        <v>44</v>
      </c>
    </row>
    <row r="43" spans="1:8" x14ac:dyDescent="0.25">
      <c r="A43" s="4">
        <v>45895</v>
      </c>
      <c r="B43">
        <v>2025001732</v>
      </c>
      <c r="C43" t="s">
        <v>395</v>
      </c>
      <c r="D43">
        <v>7500000</v>
      </c>
      <c r="E43">
        <v>1085344794</v>
      </c>
      <c r="F43" t="s">
        <v>184</v>
      </c>
      <c r="H43" s="10" t="s">
        <v>44</v>
      </c>
    </row>
    <row r="44" spans="1:8" x14ac:dyDescent="0.25">
      <c r="A44" s="4">
        <v>45896</v>
      </c>
      <c r="B44">
        <v>2025001736</v>
      </c>
      <c r="C44" t="s">
        <v>431</v>
      </c>
      <c r="D44">
        <v>3000000</v>
      </c>
      <c r="E44">
        <v>1030606749</v>
      </c>
      <c r="F44" t="s">
        <v>84</v>
      </c>
      <c r="H44" s="10" t="s">
        <v>44</v>
      </c>
    </row>
    <row r="45" spans="1:8" x14ac:dyDescent="0.25">
      <c r="A45" s="4">
        <v>45896</v>
      </c>
      <c r="B45">
        <v>2025001743</v>
      </c>
      <c r="C45" t="s">
        <v>509</v>
      </c>
      <c r="D45">
        <v>3000000</v>
      </c>
      <c r="E45">
        <v>59825382</v>
      </c>
      <c r="F45" t="s">
        <v>185</v>
      </c>
      <c r="H45" s="10" t="s">
        <v>44</v>
      </c>
    </row>
    <row r="46" spans="1:8" x14ac:dyDescent="0.25">
      <c r="A46" s="4">
        <v>45896</v>
      </c>
      <c r="B46">
        <v>2025001744</v>
      </c>
      <c r="C46" t="s">
        <v>427</v>
      </c>
      <c r="D46">
        <v>4825000</v>
      </c>
      <c r="E46">
        <v>59835376</v>
      </c>
      <c r="F46" t="s">
        <v>221</v>
      </c>
      <c r="H46" s="10" t="s">
        <v>44</v>
      </c>
    </row>
    <row r="47" spans="1:8" x14ac:dyDescent="0.25">
      <c r="A47" s="4">
        <v>45896</v>
      </c>
      <c r="B47">
        <v>2025001746</v>
      </c>
      <c r="C47" t="s">
        <v>406</v>
      </c>
      <c r="D47">
        <v>7500000</v>
      </c>
      <c r="E47">
        <v>1085937671</v>
      </c>
      <c r="F47" t="s">
        <v>197</v>
      </c>
      <c r="H47" s="10" t="s">
        <v>44</v>
      </c>
    </row>
    <row r="48" spans="1:8" x14ac:dyDescent="0.25">
      <c r="A48" s="4">
        <v>45878</v>
      </c>
      <c r="B48">
        <v>2025001841</v>
      </c>
      <c r="C48" t="s">
        <v>400</v>
      </c>
      <c r="D48">
        <v>1900000</v>
      </c>
      <c r="E48">
        <v>5292370</v>
      </c>
      <c r="F48" t="s">
        <v>191</v>
      </c>
      <c r="H48" s="10" t="s">
        <v>44</v>
      </c>
    </row>
    <row r="49" spans="1:8" x14ac:dyDescent="0.25">
      <c r="A49" s="4">
        <v>45878</v>
      </c>
      <c r="B49">
        <v>2025001842</v>
      </c>
      <c r="C49" t="s">
        <v>404</v>
      </c>
      <c r="D49">
        <v>4750000</v>
      </c>
      <c r="E49">
        <v>1087414586</v>
      </c>
      <c r="F49" t="s">
        <v>195</v>
      </c>
      <c r="H49" s="10" t="s">
        <v>44</v>
      </c>
    </row>
    <row r="50" spans="1:8" x14ac:dyDescent="0.25">
      <c r="A50" s="4">
        <v>45970</v>
      </c>
      <c r="B50">
        <v>2025001891</v>
      </c>
      <c r="C50" t="s">
        <v>420</v>
      </c>
      <c r="D50">
        <v>4750000</v>
      </c>
      <c r="E50">
        <v>1085313870</v>
      </c>
      <c r="F50" t="s">
        <v>118</v>
      </c>
      <c r="H50" s="10" t="s">
        <v>44</v>
      </c>
    </row>
    <row r="51" spans="1:8" x14ac:dyDescent="0.25">
      <c r="A51" s="4">
        <v>45970</v>
      </c>
      <c r="B51">
        <v>2025001907</v>
      </c>
      <c r="C51" t="s">
        <v>32</v>
      </c>
      <c r="D51">
        <v>3000000</v>
      </c>
      <c r="E51">
        <v>36861874</v>
      </c>
      <c r="F51" t="s">
        <v>12</v>
      </c>
      <c r="H51" s="10" t="s">
        <v>44</v>
      </c>
    </row>
    <row r="52" spans="1:8" x14ac:dyDescent="0.25">
      <c r="A52" s="4">
        <v>46007</v>
      </c>
      <c r="B52">
        <v>2025003869</v>
      </c>
      <c r="C52" s="6" t="s">
        <v>59</v>
      </c>
      <c r="D52" s="8">
        <v>2500000</v>
      </c>
      <c r="E52">
        <v>1075242334</v>
      </c>
      <c r="F52" t="s">
        <v>62</v>
      </c>
      <c r="G52" t="s">
        <v>43</v>
      </c>
      <c r="H52" s="10" t="s">
        <v>544</v>
      </c>
    </row>
    <row r="53" spans="1:8" x14ac:dyDescent="0.25">
      <c r="A53" s="4">
        <v>46007</v>
      </c>
      <c r="B53">
        <v>2025003382</v>
      </c>
      <c r="C53" s="6" t="s">
        <v>59</v>
      </c>
      <c r="D53" s="8">
        <v>2500000</v>
      </c>
      <c r="E53">
        <v>1075242334</v>
      </c>
      <c r="F53" t="s">
        <v>62</v>
      </c>
      <c r="G53" t="s">
        <v>43</v>
      </c>
      <c r="H53" s="10" t="s">
        <v>44</v>
      </c>
    </row>
    <row r="54" spans="1:8" x14ac:dyDescent="0.25">
      <c r="A54" s="4"/>
      <c r="C54" s="10" t="s">
        <v>543</v>
      </c>
      <c r="D54" s="12">
        <v>3000000</v>
      </c>
      <c r="E54">
        <v>27091114</v>
      </c>
      <c r="F54" t="s">
        <v>548</v>
      </c>
      <c r="G54" t="s">
        <v>43</v>
      </c>
      <c r="H54" s="10" t="s">
        <v>44</v>
      </c>
    </row>
    <row r="68" spans="1:1" x14ac:dyDescent="0.25">
      <c r="A68" s="10"/>
    </row>
    <row r="92" spans="1:1" x14ac:dyDescent="0.25">
      <c r="A92" s="10"/>
    </row>
    <row r="140" spans="1:2" x14ac:dyDescent="0.25">
      <c r="A140" s="10"/>
      <c r="B140" s="10"/>
    </row>
    <row r="193" spans="1:1" x14ac:dyDescent="0.25">
      <c r="A193" s="10"/>
    </row>
    <row r="239" spans="1:1" x14ac:dyDescent="0.25">
      <c r="A239" s="10"/>
    </row>
    <row r="241" spans="1:1" x14ac:dyDescent="0.25">
      <c r="A241" s="10"/>
    </row>
    <row r="242" spans="1:1" x14ac:dyDescent="0.25">
      <c r="A242" s="10"/>
    </row>
    <row r="302" spans="1:2" x14ac:dyDescent="0.25">
      <c r="A302" s="10"/>
      <c r="B302" s="10"/>
    </row>
    <row r="345" spans="2:2" x14ac:dyDescent="0.25">
      <c r="B345" s="10"/>
    </row>
    <row r="354" spans="1:1" x14ac:dyDescent="0.25">
      <c r="A354" s="10"/>
    </row>
    <row r="378" spans="1:2" x14ac:dyDescent="0.25">
      <c r="A378" s="10"/>
      <c r="B378" s="10"/>
    </row>
    <row r="379" spans="1:2" x14ac:dyDescent="0.25">
      <c r="A379" s="10"/>
      <c r="B379" s="10"/>
    </row>
    <row r="397" spans="1:2" x14ac:dyDescent="0.25">
      <c r="A397" s="10"/>
      <c r="B397" s="10"/>
    </row>
    <row r="441" spans="1:1" x14ac:dyDescent="0.25">
      <c r="A441" s="10"/>
    </row>
  </sheetData>
  <autoFilter ref="A1:I53" xr:uid="{55543EE5-B896-4690-AC84-A525380085AD}"/>
  <conditionalFormatting sqref="B2:B3 B6:B8 B11 B13 B15">
    <cfRule type="duplicateValues" dxfId="11" priority="12"/>
  </conditionalFormatting>
  <conditionalFormatting sqref="B4:B5">
    <cfRule type="duplicateValues" dxfId="10" priority="9"/>
    <cfRule type="duplicateValues" dxfId="9" priority="10"/>
  </conditionalFormatting>
  <conditionalFormatting sqref="B12">
    <cfRule type="duplicateValues" dxfId="7" priority="8"/>
  </conditionalFormatting>
  <conditionalFormatting sqref="B14">
    <cfRule type="duplicateValues" dxfId="6" priority="7"/>
  </conditionalFormatting>
  <conditionalFormatting sqref="B16">
    <cfRule type="duplicateValues" dxfId="5" priority="6"/>
  </conditionalFormatting>
  <conditionalFormatting sqref="B17">
    <cfRule type="duplicateValues" dxfId="4" priority="4"/>
    <cfRule type="duplicateValues" dxfId="3" priority="5"/>
  </conditionalFormatting>
  <conditionalFormatting sqref="B5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CARGAR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JEISSON GETIAL</cp:lastModifiedBy>
  <dcterms:created xsi:type="dcterms:W3CDTF">2025-12-15T22:51:39Z</dcterms:created>
  <dcterms:modified xsi:type="dcterms:W3CDTF">2026-04-17T03:17:45Z</dcterms:modified>
</cp:coreProperties>
</file>