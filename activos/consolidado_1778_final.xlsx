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
    </mc:Choice>
  </mc:AlternateContent>
  <xr:revisionPtr revIDLastSave="0" documentId="8_{966CA4F6-6067-4757-95B2-B99086C417D5}" xr6:coauthVersionLast="47" xr6:coauthVersionMax="47" xr10:uidLastSave="{00000000-0000-0000-0000-000000000000}"/>
  <bookViews>
    <workbookView xWindow="-120" yWindow="-120" windowWidth="29040" windowHeight="15720" xr2:uid="{00000000-000D-0000-FFFF-FFFF00000000}"/>
  </bookViews>
  <sheets>
    <sheet name="Sheet1" sheetId="1" r:id="rId1"/>
    <sheet name="Hoja1" sheetId="2" r:id="rId2"/>
  </sheets>
  <externalReferences>
    <externalReference r:id="rId3"/>
  </externalReferences>
  <definedNames>
    <definedName name="_xlnm._FilterDatabase" localSheetId="0" hidden="1">Sheet1!$A$1:$M$314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36" i="1"/>
  <c r="M27" i="1"/>
  <c r="M28" i="1"/>
  <c r="M29" i="1"/>
  <c r="M30" i="1"/>
  <c r="M31" i="1"/>
  <c r="M32" i="1"/>
  <c r="M33" i="1"/>
  <c r="M34" i="1"/>
  <c r="M70" i="1"/>
  <c r="M71" i="1"/>
  <c r="M46" i="1"/>
  <c r="M87" i="1"/>
  <c r="M47" i="1"/>
  <c r="M72" i="1"/>
  <c r="M88" i="1"/>
  <c r="M56" i="1"/>
  <c r="M73" i="1"/>
  <c r="M89" i="1"/>
  <c r="M90" i="1"/>
  <c r="M91" i="1"/>
  <c r="M57" i="1"/>
  <c r="M92" i="1"/>
  <c r="M48" i="1"/>
  <c r="M49" i="1"/>
  <c r="M58" i="1"/>
  <c r="M37" i="1"/>
  <c r="M38" i="1"/>
  <c r="M59" i="1"/>
  <c r="M93" i="1"/>
  <c r="M50" i="1"/>
  <c r="M94" i="1"/>
  <c r="M74" i="1"/>
  <c r="M60" i="1"/>
  <c r="M39" i="1"/>
  <c r="M308" i="1"/>
  <c r="M172" i="1"/>
  <c r="M61" i="1"/>
  <c r="M64" i="1"/>
  <c r="M35" i="1"/>
  <c r="M95" i="1"/>
  <c r="M51" i="1"/>
  <c r="M40" i="1"/>
  <c r="M75" i="1"/>
  <c r="M76" i="1"/>
  <c r="M62" i="1"/>
  <c r="M41" i="1"/>
  <c r="M96" i="1"/>
  <c r="M63" i="1"/>
  <c r="M97" i="1"/>
  <c r="M98" i="1"/>
  <c r="M77" i="1"/>
  <c r="M52" i="1"/>
  <c r="M99" i="1"/>
  <c r="M65" i="1"/>
  <c r="M81" i="1"/>
  <c r="M42" i="1"/>
  <c r="M78" i="1"/>
  <c r="M100" i="1"/>
  <c r="M79" i="1"/>
  <c r="M66" i="1"/>
  <c r="M101" i="1"/>
  <c r="M102" i="1"/>
  <c r="M67" i="1"/>
  <c r="M53" i="1"/>
  <c r="M68" i="1"/>
  <c r="M103" i="1"/>
  <c r="M104" i="1"/>
  <c r="M105" i="1"/>
  <c r="M106" i="1"/>
  <c r="M86" i="1"/>
  <c r="M107" i="1"/>
  <c r="M108" i="1"/>
  <c r="M109" i="1"/>
  <c r="M110" i="1"/>
  <c r="M111" i="1"/>
  <c r="M80" i="1"/>
  <c r="M112" i="1"/>
  <c r="M113" i="1"/>
  <c r="M114" i="1"/>
  <c r="M69" i="1"/>
  <c r="M115" i="1"/>
  <c r="M116" i="1"/>
  <c r="M2" i="1"/>
  <c r="M82" i="1"/>
  <c r="M117" i="1"/>
  <c r="M118" i="1"/>
  <c r="M43" i="1"/>
  <c r="M119" i="1"/>
  <c r="M120" i="1"/>
  <c r="M121" i="1"/>
  <c r="M54" i="1"/>
  <c r="M122" i="1"/>
  <c r="M123" i="1"/>
  <c r="M124" i="1"/>
  <c r="M83" i="1"/>
  <c r="M125" i="1"/>
  <c r="M126" i="1"/>
  <c r="M44" i="1"/>
  <c r="M127" i="1"/>
  <c r="M84" i="1"/>
  <c r="M85" i="1"/>
  <c r="M128" i="1"/>
  <c r="M45" i="1"/>
  <c r="M55" i="1"/>
  <c r="M129" i="1"/>
  <c r="M130"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31"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132" i="1"/>
  <c r="M309" i="1"/>
  <c r="M304" i="1"/>
  <c r="M314" i="1"/>
  <c r="M218" i="1"/>
  <c r="M311" i="1"/>
  <c r="M307" i="1"/>
  <c r="M273" i="1"/>
  <c r="M226" i="1"/>
  <c r="M227" i="1"/>
  <c r="M274" i="1"/>
  <c r="M289" i="1"/>
  <c r="M290" i="1"/>
  <c r="M291" i="1"/>
  <c r="M231" i="1"/>
  <c r="M232" i="1"/>
  <c r="M233" i="1"/>
  <c r="M275" i="1"/>
  <c r="M276" i="1"/>
  <c r="M277" i="1"/>
  <c r="M234" i="1"/>
  <c r="M235" i="1"/>
  <c r="M236" i="1"/>
  <c r="M297" i="1"/>
  <c r="M278" i="1"/>
  <c r="M279" i="1"/>
  <c r="M272" i="1"/>
  <c r="M245" i="1"/>
  <c r="M237" i="1"/>
  <c r="M296" i="1"/>
  <c r="M238" i="1"/>
  <c r="M298" i="1"/>
  <c r="M239" i="1"/>
  <c r="M293" i="1"/>
  <c r="M240" i="1"/>
  <c r="M241" i="1"/>
  <c r="M242" i="1"/>
  <c r="M243" i="1"/>
  <c r="M244" i="1"/>
  <c r="M246" i="1"/>
  <c r="M280" i="1"/>
  <c r="M281" i="1"/>
  <c r="M247" i="1"/>
  <c r="M219" i="1"/>
  <c r="M248" i="1"/>
  <c r="M249" i="1"/>
  <c r="M282" i="1"/>
  <c r="M250" i="1"/>
  <c r="M251" i="1"/>
  <c r="M283" i="1"/>
  <c r="M252" i="1"/>
  <c r="M305" i="1"/>
  <c r="M253" i="1"/>
  <c r="M299" i="1"/>
  <c r="M254" i="1"/>
  <c r="M300" i="1"/>
  <c r="M255" i="1"/>
  <c r="M256" i="1"/>
  <c r="M306" i="1"/>
  <c r="M285" i="1"/>
  <c r="M301" i="1"/>
  <c r="M257" i="1"/>
  <c r="M258" i="1"/>
  <c r="M259" i="1"/>
  <c r="M260" i="1"/>
  <c r="M294" i="1"/>
  <c r="M284" i="1"/>
  <c r="M220" i="1"/>
  <c r="M261" i="1"/>
  <c r="M221" i="1"/>
  <c r="M286" i="1"/>
  <c r="M262" i="1"/>
  <c r="M312" i="1"/>
  <c r="M26" i="1"/>
  <c r="M292" i="1"/>
  <c r="M222" i="1"/>
  <c r="M263" i="1"/>
  <c r="M287" i="1"/>
  <c r="M223" i="1"/>
  <c r="M264" i="1"/>
  <c r="M224" i="1"/>
  <c r="M302" i="1"/>
  <c r="M265" i="1"/>
  <c r="M295" i="1"/>
  <c r="M266" i="1"/>
  <c r="M267" i="1"/>
  <c r="M268" i="1"/>
  <c r="M303" i="1"/>
  <c r="M225" i="1"/>
  <c r="M288" i="1"/>
  <c r="M228" i="1"/>
  <c r="M313" i="1"/>
  <c r="M310" i="1"/>
  <c r="M229" i="1"/>
  <c r="M230" i="1"/>
  <c r="M269" i="1"/>
  <c r="M270" i="1"/>
  <c r="M271" i="1"/>
  <c r="I2" i="2" l="1" a="1"/>
  <c r="I2" i="2" s="1"/>
  <c r="H2" i="2" a="1"/>
  <c r="H2" i="2" s="1"/>
  <c r="G2" i="2" a="1"/>
  <c r="G2" i="2" s="1"/>
  <c r="J2" i="2" a="1"/>
  <c r="J2" i="2" s="1"/>
  <c r="K2" i="2" a="1"/>
  <c r="K2" i="2" s="1"/>
  <c r="F2" i="2" a="1"/>
  <c r="F2" i="2" s="1"/>
  <c r="E2" i="2" a="1"/>
  <c r="E2" i="2" s="1"/>
  <c r="D2" i="2" a="1"/>
  <c r="D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<sst xmlns="http://schemas.openxmlformats.org/spreadsheetml/2006/main" count="2085" uniqueCount="726">
  <si>
    <t>numero_contrato</t>
  </si>
  <si>
    <t>142-2024</t>
  </si>
  <si>
    <t>145-2024</t>
  </si>
  <si>
    <t>146-2024</t>
  </si>
  <si>
    <t>147-2024</t>
  </si>
  <si>
    <t>148-2024</t>
  </si>
  <si>
    <t>149-2024</t>
  </si>
  <si>
    <t>150-2024</t>
  </si>
  <si>
    <t>151-2024</t>
  </si>
  <si>
    <t>152-2024</t>
  </si>
  <si>
    <t>153-2024</t>
  </si>
  <si>
    <t>154-2024</t>
  </si>
  <si>
    <t>155-2025</t>
  </si>
  <si>
    <t>156-2024</t>
  </si>
  <si>
    <t>157-2024</t>
  </si>
  <si>
    <t>158-2024</t>
  </si>
  <si>
    <t>159-2024</t>
  </si>
  <si>
    <t>160-2024</t>
  </si>
  <si>
    <t>161-2024</t>
  </si>
  <si>
    <t>162-2024</t>
  </si>
  <si>
    <t>163-2024</t>
  </si>
  <si>
    <t>164-2024</t>
  </si>
  <si>
    <t>165-2024</t>
  </si>
  <si>
    <t>166-2024</t>
  </si>
  <si>
    <t>167-2024</t>
  </si>
  <si>
    <t>168-2024</t>
  </si>
  <si>
    <t>169-2024</t>
  </si>
  <si>
    <t>170-2024</t>
  </si>
  <si>
    <t>171-2024</t>
  </si>
  <si>
    <t>173-2024</t>
  </si>
  <si>
    <t>174-2024</t>
  </si>
  <si>
    <t>175-2024</t>
  </si>
  <si>
    <t>176-2024</t>
  </si>
  <si>
    <t>177-2024</t>
  </si>
  <si>
    <t>177-2025</t>
  </si>
  <si>
    <t>178-2024</t>
  </si>
  <si>
    <t>178-2025</t>
  </si>
  <si>
    <t>179-2024</t>
  </si>
  <si>
    <t>179-2025</t>
  </si>
  <si>
    <t>180-2024</t>
  </si>
  <si>
    <t>180-2025</t>
  </si>
  <si>
    <t>181-2024</t>
  </si>
  <si>
    <t>181-2025</t>
  </si>
  <si>
    <t>182-2024</t>
  </si>
  <si>
    <t>182-2025</t>
  </si>
  <si>
    <t>183-2024</t>
  </si>
  <si>
    <t>183-2025</t>
  </si>
  <si>
    <t>184-2024</t>
  </si>
  <si>
    <t>184-2025</t>
  </si>
  <si>
    <t>185-2024</t>
  </si>
  <si>
    <t>185-2025</t>
  </si>
  <si>
    <t>186-2024</t>
  </si>
  <si>
    <t>186-2025</t>
  </si>
  <si>
    <t>187-2024</t>
  </si>
  <si>
    <t>187-2025</t>
  </si>
  <si>
    <t>188-2024</t>
  </si>
  <si>
    <t>188-2025</t>
  </si>
  <si>
    <t>189-2024</t>
  </si>
  <si>
    <t>189-2025</t>
  </si>
  <si>
    <t>190-2025</t>
  </si>
  <si>
    <t>192-2024</t>
  </si>
  <si>
    <t>192-2025</t>
  </si>
  <si>
    <t>193-2024</t>
  </si>
  <si>
    <t>193-2025</t>
  </si>
  <si>
    <t>194-2024</t>
  </si>
  <si>
    <t>194-2025</t>
  </si>
  <si>
    <t>195-2024</t>
  </si>
  <si>
    <t>196-2024</t>
  </si>
  <si>
    <t>196-2025</t>
  </si>
  <si>
    <t>197-2024</t>
  </si>
  <si>
    <t>198-2024</t>
  </si>
  <si>
    <t>198-2025</t>
  </si>
  <si>
    <t>199-2024</t>
  </si>
  <si>
    <t>199-2025</t>
  </si>
  <si>
    <t>200-2024</t>
  </si>
  <si>
    <t>200-2025</t>
  </si>
  <si>
    <t>201-2024</t>
  </si>
  <si>
    <t>201-2025</t>
  </si>
  <si>
    <t>202-2024</t>
  </si>
  <si>
    <t>202-2025</t>
  </si>
  <si>
    <t>203-2024</t>
  </si>
  <si>
    <t>204-2024</t>
  </si>
  <si>
    <t>204-2025</t>
  </si>
  <si>
    <t>205-2024</t>
  </si>
  <si>
    <t>205-2025</t>
  </si>
  <si>
    <t>206-2024</t>
  </si>
  <si>
    <t>207-2024</t>
  </si>
  <si>
    <t>208-2024</t>
  </si>
  <si>
    <t>208-2025</t>
  </si>
  <si>
    <t>209-2024</t>
  </si>
  <si>
    <t>209-2025</t>
  </si>
  <si>
    <t>210-2024</t>
  </si>
  <si>
    <t>210-2025</t>
  </si>
  <si>
    <t>211-2024</t>
  </si>
  <si>
    <t>211-2025</t>
  </si>
  <si>
    <t>212-2024</t>
  </si>
  <si>
    <t>212-2025</t>
  </si>
  <si>
    <t>213-2024</t>
  </si>
  <si>
    <t>214-2024</t>
  </si>
  <si>
    <t>214-2025</t>
  </si>
  <si>
    <t>215-2024</t>
  </si>
  <si>
    <t>216-2024</t>
  </si>
  <si>
    <t>216-2025</t>
  </si>
  <si>
    <t>217-2024</t>
  </si>
  <si>
    <t>217-2025</t>
  </si>
  <si>
    <t>218-2024</t>
  </si>
  <si>
    <t>218-2025</t>
  </si>
  <si>
    <t>219-2024</t>
  </si>
  <si>
    <t>219-2025</t>
  </si>
  <si>
    <t>220-2024</t>
  </si>
  <si>
    <t>220-2025</t>
  </si>
  <si>
    <t>221-2024</t>
  </si>
  <si>
    <t>221-2025</t>
  </si>
  <si>
    <t>222-2024</t>
  </si>
  <si>
    <t>222-2025</t>
  </si>
  <si>
    <t>223-2024</t>
  </si>
  <si>
    <t>223-2025</t>
  </si>
  <si>
    <t>224-2025</t>
  </si>
  <si>
    <t>226-2025</t>
  </si>
  <si>
    <t>227-2025</t>
  </si>
  <si>
    <t>228-2024</t>
  </si>
  <si>
    <t>228-2025</t>
  </si>
  <si>
    <t>229-2024</t>
  </si>
  <si>
    <t>229-2025</t>
  </si>
  <si>
    <t>230-2024</t>
  </si>
  <si>
    <t>231-2024</t>
  </si>
  <si>
    <t>232-2024</t>
  </si>
  <si>
    <t>233-2024</t>
  </si>
  <si>
    <t>233-2025</t>
  </si>
  <si>
    <t>234-2024</t>
  </si>
  <si>
    <t>234-2025</t>
  </si>
  <si>
    <t>235-2025</t>
  </si>
  <si>
    <t>236-2024</t>
  </si>
  <si>
    <t>237-2024</t>
  </si>
  <si>
    <t>238-2024</t>
  </si>
  <si>
    <t>238-2025</t>
  </si>
  <si>
    <t>239-2024</t>
  </si>
  <si>
    <t>239-2025</t>
  </si>
  <si>
    <t>240-2024</t>
  </si>
  <si>
    <t>240-2025</t>
  </si>
  <si>
    <t>242-2024</t>
  </si>
  <si>
    <t>242-2025</t>
  </si>
  <si>
    <t>243-2024</t>
  </si>
  <si>
    <t>243-2025</t>
  </si>
  <si>
    <t>244-2024</t>
  </si>
  <si>
    <t>244-2025</t>
  </si>
  <si>
    <t>245-2025</t>
  </si>
  <si>
    <t>246-2024</t>
  </si>
  <si>
    <t>246-2025</t>
  </si>
  <si>
    <t>247-2024</t>
  </si>
  <si>
    <t>247-2025</t>
  </si>
  <si>
    <t>248-2025</t>
  </si>
  <si>
    <t>249-2024</t>
  </si>
  <si>
    <t>249-2025</t>
  </si>
  <si>
    <t>250-2024</t>
  </si>
  <si>
    <t>250-2025</t>
  </si>
  <si>
    <t>251-2024</t>
  </si>
  <si>
    <t>251-2025</t>
  </si>
  <si>
    <t>252-2025</t>
  </si>
  <si>
    <t>253-2024</t>
  </si>
  <si>
    <t>254-2024</t>
  </si>
  <si>
    <t>254-2025</t>
  </si>
  <si>
    <t>255-2024</t>
  </si>
  <si>
    <t>256-2024</t>
  </si>
  <si>
    <t>257-2024</t>
  </si>
  <si>
    <t>258-2024</t>
  </si>
  <si>
    <t>258-2025</t>
  </si>
  <si>
    <t>259-2024</t>
  </si>
  <si>
    <t>259-2025</t>
  </si>
  <si>
    <t>260-2024</t>
  </si>
  <si>
    <t>260-2025</t>
  </si>
  <si>
    <t>261-2024</t>
  </si>
  <si>
    <t>261-2025</t>
  </si>
  <si>
    <t>262-2024</t>
  </si>
  <si>
    <t>262-2025</t>
  </si>
  <si>
    <t>263-2025</t>
  </si>
  <si>
    <t>264-2024</t>
  </si>
  <si>
    <t>265-2024</t>
  </si>
  <si>
    <t>265-2025</t>
  </si>
  <si>
    <t>266-2024</t>
  </si>
  <si>
    <t>266-2025</t>
  </si>
  <si>
    <t>267-2024</t>
  </si>
  <si>
    <t>267-2025</t>
  </si>
  <si>
    <t>268-2024</t>
  </si>
  <si>
    <t>268-2025</t>
  </si>
  <si>
    <t>269-2025</t>
  </si>
  <si>
    <t>270-2024</t>
  </si>
  <si>
    <t>270-2025</t>
  </si>
  <si>
    <t>271-2024</t>
  </si>
  <si>
    <t>271-2025</t>
  </si>
  <si>
    <t>272-2024</t>
  </si>
  <si>
    <t>274-2025</t>
  </si>
  <si>
    <t>275-2024</t>
  </si>
  <si>
    <t>276-2024</t>
  </si>
  <si>
    <t>276-2025</t>
  </si>
  <si>
    <t>277-2024</t>
  </si>
  <si>
    <t>277-2025</t>
  </si>
  <si>
    <t>278-2025</t>
  </si>
  <si>
    <t>279-2024</t>
  </si>
  <si>
    <t>279-2025</t>
  </si>
  <si>
    <t>280-2024</t>
  </si>
  <si>
    <t>281-2024</t>
  </si>
  <si>
    <t>281-2025</t>
  </si>
  <si>
    <t>282-2024</t>
  </si>
  <si>
    <t>282-2025</t>
  </si>
  <si>
    <t>283-2024</t>
  </si>
  <si>
    <t>284-2024</t>
  </si>
  <si>
    <t>285-2024</t>
  </si>
  <si>
    <t>286-2024</t>
  </si>
  <si>
    <t>287-2024</t>
  </si>
  <si>
    <t>292-2025</t>
  </si>
  <si>
    <t>302-2025</t>
  </si>
  <si>
    <t>303-2025</t>
  </si>
  <si>
    <t>304-2025</t>
  </si>
  <si>
    <t>308-2024</t>
  </si>
  <si>
    <t>310-2025</t>
  </si>
  <si>
    <t>311-2025</t>
  </si>
  <si>
    <t>319-2024</t>
  </si>
  <si>
    <t>321-2024</t>
  </si>
  <si>
    <t>322-2024</t>
  </si>
  <si>
    <t>344-2024</t>
  </si>
  <si>
    <t>360-2024</t>
  </si>
  <si>
    <t>361-2024</t>
  </si>
  <si>
    <t>362-2024</t>
  </si>
  <si>
    <t>364-2024</t>
  </si>
  <si>
    <t>365-2024</t>
  </si>
  <si>
    <t>366-2024</t>
  </si>
  <si>
    <t>367-2024</t>
  </si>
  <si>
    <t>368-2024</t>
  </si>
  <si>
    <t>373-2024</t>
  </si>
  <si>
    <t>374-2024</t>
  </si>
  <si>
    <t>375-2024</t>
  </si>
  <si>
    <t>376-2024</t>
  </si>
  <si>
    <t>377-2024</t>
  </si>
  <si>
    <t>378-2024</t>
  </si>
  <si>
    <t>381-2024</t>
  </si>
  <si>
    <t>382-2024</t>
  </si>
  <si>
    <t>383-2024</t>
  </si>
  <si>
    <t>384-2024</t>
  </si>
  <si>
    <t>385-2024</t>
  </si>
  <si>
    <t>386-2024</t>
  </si>
  <si>
    <t>387-2024</t>
  </si>
  <si>
    <t>389-2024</t>
  </si>
  <si>
    <t>390-2024</t>
  </si>
  <si>
    <t>391-2024</t>
  </si>
  <si>
    <t>392-2024</t>
  </si>
  <si>
    <t>393-2024</t>
  </si>
  <si>
    <t>394-2024</t>
  </si>
  <si>
    <t>396-2024</t>
  </si>
  <si>
    <t>398-2024</t>
  </si>
  <si>
    <t>399-2024</t>
  </si>
  <si>
    <t>400-2024</t>
  </si>
  <si>
    <t>401-2024</t>
  </si>
  <si>
    <t>402-2024</t>
  </si>
  <si>
    <t>403-2024</t>
  </si>
  <si>
    <t>404-2024</t>
  </si>
  <si>
    <t>406-2024</t>
  </si>
  <si>
    <t>408-2024</t>
  </si>
  <si>
    <t>409-2024</t>
  </si>
  <si>
    <t>412-2024</t>
  </si>
  <si>
    <t>413-2024</t>
  </si>
  <si>
    <t>415-2024</t>
  </si>
  <si>
    <t>418-2024</t>
  </si>
  <si>
    <t>438-2024</t>
  </si>
  <si>
    <t>449-2024</t>
  </si>
  <si>
    <t>452-2024</t>
  </si>
  <si>
    <t>453-2024</t>
  </si>
  <si>
    <t>454-2024</t>
  </si>
  <si>
    <t>460-2024</t>
  </si>
  <si>
    <t>461-2024</t>
  </si>
  <si>
    <t>467-2024</t>
  </si>
  <si>
    <t>469-2024</t>
  </si>
  <si>
    <t>470-2024</t>
  </si>
  <si>
    <t>471-2024</t>
  </si>
  <si>
    <t>472-2024</t>
  </si>
  <si>
    <t>473-2024</t>
  </si>
  <si>
    <t>474-2024</t>
  </si>
  <si>
    <t>476-2024</t>
  </si>
  <si>
    <t>477-2024</t>
  </si>
  <si>
    <t>478-2024</t>
  </si>
  <si>
    <t>479-2024</t>
  </si>
  <si>
    <t>480-2024</t>
  </si>
  <si>
    <t>484-2024</t>
  </si>
  <si>
    <t>485-2024</t>
  </si>
  <si>
    <t>486-2024</t>
  </si>
  <si>
    <t>487-2024</t>
  </si>
  <si>
    <t>489-2024</t>
  </si>
  <si>
    <t>490-2024</t>
  </si>
  <si>
    <t>491-2024</t>
  </si>
  <si>
    <t>492-2024</t>
  </si>
  <si>
    <t>493-2024</t>
  </si>
  <si>
    <t>495-2024</t>
  </si>
  <si>
    <t>496-2024</t>
  </si>
  <si>
    <t>497-2024</t>
  </si>
  <si>
    <t>500-2024</t>
  </si>
  <si>
    <t>501-2024</t>
  </si>
  <si>
    <t>504-2024</t>
  </si>
  <si>
    <t>507-2024</t>
  </si>
  <si>
    <t>508-2024</t>
  </si>
  <si>
    <t>509-2024</t>
  </si>
  <si>
    <t>516-2024</t>
  </si>
  <si>
    <t>517-2024</t>
  </si>
  <si>
    <t>519-2024</t>
  </si>
  <si>
    <t>524-2024</t>
  </si>
  <si>
    <t>525-2024</t>
  </si>
  <si>
    <t>551-2024</t>
  </si>
  <si>
    <t>621-2024</t>
  </si>
  <si>
    <t>652-2024</t>
  </si>
  <si>
    <t>701-2024</t>
  </si>
  <si>
    <t>704-2024</t>
  </si>
  <si>
    <t>837-2024</t>
  </si>
  <si>
    <t>868-2024</t>
  </si>
  <si>
    <t>871-2024</t>
  </si>
  <si>
    <t>959-2024</t>
  </si>
  <si>
    <t>indicador</t>
  </si>
  <si>
    <t>fecha_inicio_contrato</t>
  </si>
  <si>
    <t>fecha_termino_contrato</t>
  </si>
  <si>
    <t>objeto</t>
  </si>
  <si>
    <t>contratista_tipo_identificacion</t>
  </si>
  <si>
    <t>numero_identificacion</t>
  </si>
  <si>
    <t>nombre_contratista</t>
  </si>
  <si>
    <t>numero_supervisor</t>
  </si>
  <si>
    <t>nombre_supervisor</t>
  </si>
  <si>
    <t>valor_contratado</t>
  </si>
  <si>
    <t>valor_pagado</t>
  </si>
  <si>
    <t>I</t>
  </si>
  <si>
    <t>COMPRA DE EQUIPOS BIOMEDICOS PARA EQUIPOS BASICOS EN SALUD DE LAS DIFERENTES SEDES QUE CONFORMAN LAS REDES PRESTADORAS DE SERVICIOS EN SALUD</t>
  </si>
  <si>
    <t>BIOPTICAS DE COLOMBIA SAS</t>
  </si>
  <si>
    <t>MARIO FERNADO NARANJO LOPE</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</si>
  <si>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</si>
  <si>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CC</t>
  </si>
  <si>
    <t>ANGELA EDITH GONZALEZ PIANDA</t>
  </si>
  <si>
    <t>ALBA LUCIA MORA BENAVIDES</t>
  </si>
  <si>
    <t>MARIA CAMILA PAREDES TIMANA</t>
  </si>
  <si>
    <t>RIGOBERTO MELO ZAMBRANO</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</si>
  <si>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</si>
  <si>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VICTOR HUGO QUENGUAN BURBANO</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</si>
  <si>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</si>
  <si>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 xml:space="preserve">ANA VICTORIA ORTEGA GOMEZ </t>
  </si>
  <si>
    <t>RODRIGO DE JESUS VITERI MORENO</t>
  </si>
  <si>
    <t>AIDE CAROLINA RIASCOS ECHEVERRY</t>
  </si>
  <si>
    <t>ASTRID CAROLINA CAICEDO LUNA</t>
  </si>
  <si>
    <t>LAURA SOFIA ROSERO DAVID</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</si>
  <si>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</si>
  <si>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JOSE FERNANDO CHAÑA QUENGUAN</t>
  </si>
  <si>
    <t>JHEIBER BRANLLERT DULCE MUÑOZ</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</si>
  <si>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</si>
  <si>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JIMENA DEL ROSARIO LOPEZ MAYA</t>
  </si>
  <si>
    <t>NELLY VANESSA ORDOÑEZ BASTIDAS</t>
  </si>
  <si>
    <t>GERALDINE VIVIANA VILLOTA ARTEAGA</t>
  </si>
  <si>
    <t>SANDRA LUCERO LOPEZ LOPEZ</t>
  </si>
  <si>
    <t>ANGIE VIVIANA SACANAMBUY PAZ</t>
  </si>
  <si>
    <t>ELDER ALFREDO CAMPAÑA IMBAQUIN</t>
  </si>
  <si>
    <t>BERTHA JANETH MONTENEGRO PORTILLA</t>
  </si>
  <si>
    <t>JHONNY ALEXANDER SEPULVEDA DUERO</t>
  </si>
  <si>
    <t>MARIA JOSE LEITON ZUTTA</t>
  </si>
  <si>
    <t>PATRICIA YOLANDA PAZ DELGADO</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</si>
  <si>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</si>
  <si>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ELIZABETH ALEJANDRA TOBAR MORAN</t>
  </si>
  <si>
    <t>DIANA CAROLINA ORTEGA CAICEDO</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</si>
  <si>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</si>
  <si>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JORGE LUIS CARVAJAL GUACHAVEZ</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</si>
  <si>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</si>
  <si>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FERNANDO ROSERO PATIÑO</t>
  </si>
  <si>
    <t>MARITZA ROCIO OLIVA CUZ</t>
  </si>
  <si>
    <t>DANIEL GERARDO ERAZO OVIEDO</t>
  </si>
  <si>
    <t>PAULA XIMENA CHAVES PASMIÑO</t>
  </si>
  <si>
    <t>DIANA SOFIA AYALA DIAZ</t>
  </si>
  <si>
    <t>JAIRO ALBERTO MAIGUAL MIRAMAG</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</si>
  <si>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</si>
  <si>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DARLLY ROXANA ROSERO TIMARAN</t>
  </si>
  <si>
    <t>MEHILIN NATALIA QUIMBIAMBA ORTIZ</t>
  </si>
  <si>
    <t>JULIE ANDREA FREIRE MIER</t>
  </si>
  <si>
    <t>NAYIBI JANED MELO DELGADO</t>
  </si>
  <si>
    <t>INES MERCEDES LOPEZ TORRES</t>
  </si>
  <si>
    <t>DIANA CAROLINA CORTES TAPIA</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</si>
  <si>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</si>
  <si>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MARIA IDER CASANOVA BURBANO</t>
  </si>
  <si>
    <t>NATALIA LIZETH AGUIRRE SALAZAR</t>
  </si>
  <si>
    <t>NANCY VISITACION CHAMORRO CUAICHAR</t>
  </si>
  <si>
    <t>FANY LUCELY RODRIGUEZ CRIOLLO</t>
  </si>
  <si>
    <t>EVELYN FERNANDA ACOSTA CHICAIZA</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</si>
  <si>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</si>
  <si>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EDMER LEONARDO RUALES AYALA</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</si>
  <si>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</si>
  <si>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TULY MARCELA MRALES LOPEZ</t>
  </si>
  <si>
    <t>MONICA DEL ROCIO ERASO RUIZ</t>
  </si>
  <si>
    <t>RUTH INGRITH DIAZ VALERO</t>
  </si>
  <si>
    <t>LIDIA JIMENA RODRIGUEZ LOZA</t>
  </si>
  <si>
    <t>CARMEN LILIANA ARCINIEGAS</t>
  </si>
  <si>
    <t>VALERIA FERNANDA CUASQUER CANTUCA</t>
  </si>
  <si>
    <t>DANNY YESID DELGADO MORA</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</si>
  <si>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</si>
  <si>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CAROLINA ISABEL PORTILLA TEPUD</t>
  </si>
  <si>
    <t>SANTIAGO NICOLAS TULCAN REGALADO</t>
  </si>
  <si>
    <t>DIDIER RAIMUNDO MENESES GUERRERO</t>
  </si>
  <si>
    <t>PAOLA ANDREA VELEZ BOLAÑOS</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</si>
  <si>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</si>
  <si>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MERCY LORENA SACANAMBUY LOPEZ</t>
  </si>
  <si>
    <t>SONIA PATRICIA ESPAÑA TAPIA</t>
  </si>
  <si>
    <t>CARMEN PATRICIA CORDOBA ARTEAGA</t>
  </si>
  <si>
    <t>KELLY YURANY JOJOA BOTINA</t>
  </si>
  <si>
    <t>NATALAI ANDREA LATORRE RUANO</t>
  </si>
  <si>
    <t>ADRIANA YORLADY ARMERO BURBANO</t>
  </si>
  <si>
    <t>VERONICA SOFIA HUERTAS ARCNIEGAS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</si>
  <si>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</si>
  <si>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KEVIN STEVEN PANTOJA CEBALLOS</t>
  </si>
  <si>
    <t>ADQUISICION DE CHALECOS Y BANDERAS CON EL EMBLEMA DE MISION MEDICA PARA IDENTIFICAR A LOS MIEMBROS DE LOS EQUIPOS BASICOS EN SALUD</t>
  </si>
  <si>
    <t>FREDDY FRANCISCO PAZ MARQUEZ (DOTACIONES BALMER)</t>
  </si>
  <si>
    <t>DIANA MARÍA CARVAJAL AGUIRRE</t>
  </si>
  <si>
    <t>MARIA FERNANDA INGUILAN CABRERA</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</si>
  <si>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</si>
  <si>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JUAN CAMILO ENRIQUEZ ARCINIEGAS</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</si>
  <si>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</si>
  <si>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FUNDACION CALIDAD DE VIDA Y ESPERANZA</t>
  </si>
  <si>
    <t>CARLOS JULIO ARELLANO RUIZ</t>
  </si>
  <si>
    <t>VANESSA KATHERINE JOJOA ARIAS</t>
  </si>
  <si>
    <t>ALBA DENIS ARGOTY SANTACRUZ</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</si>
  <si>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</si>
  <si>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LEIDY CRISTINA RODRIGUEZ LOPEZ</t>
  </si>
  <si>
    <t>CINDY ESTEFANIE GONZALEZ DEL CASTILLO</t>
  </si>
  <si>
    <t xml:space="preserve"> BERTHA JANETH MONTENEGRO PORTILLA</t>
  </si>
  <si>
    <t>JERALDINE BASTIDAS OCAÑA</t>
  </si>
  <si>
    <t>ANGELA PAOLA BOLAÑOS ARGOTI</t>
  </si>
  <si>
    <t>FRANCISCO RAFAEL ORTIZ BENITEZ</t>
  </si>
  <si>
    <t>MARIA ALEJANDRA BENAVIDES AYALA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</si>
  <si>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</si>
  <si>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 ALEJANDRO ESCOBAR ANDRADE</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</si>
  <si>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</si>
  <si>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VERONICA ROXANA MORAN VILLOTA</t>
  </si>
  <si>
    <t>ANDREA PAOLA MONTES PANTOJA</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</si>
  <si>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</si>
  <si>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SANDRA MILENA GARCIA</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</si>
  <si>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</si>
  <si>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DANIELA FERNANDA ERASO VALENCIA</t>
  </si>
  <si>
    <t>ROCIO DEL PILAR RIVERA</t>
  </si>
  <si>
    <t>ANGELA PATRICIA BASTIDAS MELO</t>
  </si>
  <si>
    <t>NAYIBI ROCIO MONCADA JATIVA</t>
  </si>
  <si>
    <t>JOHANA CAROLINA CAICEDO GOYES</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</si>
  <si>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</si>
  <si>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JAZMIN ELIZABETH ARCE CALDERON</t>
  </si>
  <si>
    <t>JAZMIN DEL CARMEN NUPAN BURBANO</t>
  </si>
  <si>
    <t>LEYDI GISELLA BENAVIDES LOPEZ</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</si>
  <si>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</si>
  <si>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CLARA MARIA ACOSTA</t>
  </si>
  <si>
    <t>DEISY ANDREA MARTINEZ NARVAEZ</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</si>
  <si>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</si>
  <si>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JESSICA FERNANDA LAGOS DAVID</t>
  </si>
  <si>
    <t>CAROL SUVANY HERRERA ERAZO</t>
  </si>
  <si>
    <t>DANIELA VANESA MONTACHEZ GOMAJOA</t>
  </si>
  <si>
    <t>EDITH ANGELICA LOPEZ VILLARREAL</t>
  </si>
  <si>
    <t>LYNN JANINA ORTIZ PAZ</t>
  </si>
  <si>
    <t>JAQUELINE CAMILA GENOY 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</si>
  <si>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</si>
  <si>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YEIMY ANABELY MONCAYO ARTEAGA</t>
  </si>
  <si>
    <t>ANA CLEMENCIA BASTIDAS CERON</t>
  </si>
  <si>
    <t>CAROLINA NASTACUAS PAI</t>
  </si>
  <si>
    <t>BRENDA DAYANA TABLA PULISTAR</t>
  </si>
  <si>
    <t>IBONNE ALEJANDRA SILVA ARAUJO</t>
  </si>
  <si>
    <t>MARIA HOMAIRA GUEVARA CORAL</t>
  </si>
  <si>
    <t>DANIELA ALEXANDRA PABON YARPAS</t>
  </si>
  <si>
    <t>DIANA MILENA PAZ NANDAR</t>
  </si>
  <si>
    <t>JENIFER AREVALO CRIOLLO</t>
  </si>
  <si>
    <t>LUZDARI JARAMILLO NOGERA</t>
  </si>
  <si>
    <t>VIKY PATRICIA ASCUNTAR CRIOLLO</t>
  </si>
  <si>
    <t>ISABEL CRISTINA SANTACRUZ MUÑOZ</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</si>
  <si>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</si>
  <si>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YULY LORENA CABRERA DELGADO</t>
  </si>
  <si>
    <t>RAFAEL ARLEY ROSERO PINZA</t>
  </si>
  <si>
    <t>JUAN FERNADO ZARAMA SILVA</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</si>
  <si>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</si>
  <si>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EXPRESO SURAMERICANA DE TURISMO SAS</t>
  </si>
  <si>
    <t>LEYDI MAGALI BENAVIDES BASTIDAS</t>
  </si>
  <si>
    <t>ERIKA PAOLA ESTRADA BURBANO</t>
  </si>
  <si>
    <t>ANGIE VIVIANA AULLON VASQUEZ</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</si>
  <si>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</si>
  <si>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PABLO JOSE BADOS LOPEZ</t>
  </si>
  <si>
    <t>FERNANDO ALBERTO ROMERO SOLANO</t>
  </si>
  <si>
    <t>EDITH CRISTINA GARCIA JOJOA</t>
  </si>
  <si>
    <t>MARILIN ZAMBRANO</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</si>
  <si>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</si>
  <si>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 SOFIA ISANDARA NUPAN</t>
  </si>
  <si>
    <t>BLANCA MELVA GAVIRIA BRAVO</t>
  </si>
  <si>
    <t>NORIDA YULIETH TOBAR ARTEAGA</t>
  </si>
  <si>
    <t>MONICA PATRICIA PANTOJA DUEÑAS</t>
  </si>
  <si>
    <t>JUANITA MAYLIN VELASQUEZ REVELO</t>
  </si>
  <si>
    <t>MAYERLY NORIDIA ASMAZA GETIAL</t>
  </si>
  <si>
    <t>EDER SHINEIDER TUTISTAR TUTISTAR</t>
  </si>
  <si>
    <t>VALENTINA PASQUAZA YACUMA</t>
  </si>
  <si>
    <t>BRAYAN ANTONIO MADROÑERO QUINTERO</t>
  </si>
  <si>
    <t>LUCERITO DEL CARMEN REVELO BENAVIDES</t>
  </si>
  <si>
    <t>MARIA DE LOS ANGELES ACOSTA ROSERO</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</si>
  <si>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</si>
  <si>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JESUS ARMANDO MARTINEZ GOMEZ</t>
  </si>
  <si>
    <t>KARELIS NATALY ZHENG MONSALVE</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</si>
  <si>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</si>
  <si>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LIZETH MARCELA ORTIZ MUÑOZ</t>
  </si>
  <si>
    <t>JENIFFER ARCOS GIL</t>
  </si>
  <si>
    <t>SARA VICTORIA ALVAREZ FIGUEROA</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</si>
  <si>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</si>
  <si>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PABLO ERNESTO RIOBAMBA IPIALES</t>
  </si>
  <si>
    <t>MARIA ISABEL ALVAREZ CAICEDO</t>
  </si>
  <si>
    <t>LEIDI YURANI RAMOS</t>
  </si>
  <si>
    <t>LISSETH MARISOL CUASTUMAL CASTRO</t>
  </si>
  <si>
    <t>JINETH VANESA CONSTAIN LASSO</t>
  </si>
  <si>
    <t xml:space="preserve"> RIGOBERTO MELO ZAMBRANO</t>
  </si>
  <si>
    <t>CRISTIAN FABIAN CRIOLLO RIVERA</t>
  </si>
  <si>
    <t>KAROL DAYANA TONGUINO TORO</t>
  </si>
  <si>
    <t>YENIFER NAYIBE MENESES TOBAR</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</si>
  <si>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</si>
  <si>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YUDY LILIANA BENAVIDES OJEDA</t>
  </si>
  <si>
    <t>DEISY JOHANNA BASTIDAS JOJOA</t>
  </si>
  <si>
    <t>PAULA ANDREA ROCHA DELGADO</t>
  </si>
  <si>
    <t>MARIA FERNANDA SANCHEZ CARDENAS</t>
  </si>
  <si>
    <t>ANA MILENA ROSERO SANTANDER</t>
  </si>
  <si>
    <t>KARLA VALERIA AZA CEPEDA</t>
  </si>
  <si>
    <t>JHON SEBASTIAN NARVAEZ DEJOY</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</si>
  <si>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</si>
  <si>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SOFIA ESMERALDA MEJIA ORTIZ</t>
  </si>
  <si>
    <t>KARINA MARIBEL LUNA LOPEZ</t>
  </si>
  <si>
    <t>ELOISA YERALDIN FREYRE GOMEZ</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</si>
  <si>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</si>
  <si>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LEONEL FERNANDO JOJOA JOJOA</t>
  </si>
  <si>
    <t>MARIA CAMILA PAZ ARCOS</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</si>
  <si>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</si>
  <si>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JULIANA VALENTINA MENDEZ ORTIZ</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</si>
  <si>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</si>
  <si>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DEYANIRA BADOS DAZA</t>
  </si>
  <si>
    <t>CARMEN LILIANA ARMERO RUIZ</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</si>
  <si>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</si>
  <si>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JOHN JAIME LOPEZ GUERRERO</t>
  </si>
  <si>
    <t>CALPA CAICEDO GREACE ALEJANDRA</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</si>
  <si>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</si>
  <si>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CAROL VIVIANA RODRIGUEZ CARDENAS</t>
  </si>
  <si>
    <t>NESLY YANID MUÑOZ ORTIZ</t>
  </si>
  <si>
    <t>YULLI KAROLINA CASTILLO PAZ</t>
  </si>
  <si>
    <t>ERIKA JOHANA OBANDO SANTACRUZ</t>
  </si>
  <si>
    <t>LUIS ALONSO GUEVARA DE LOS RIOS</t>
  </si>
  <si>
    <t>KAROL ESTEFANY MIRANDA TOBAR</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</si>
  <si>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</si>
  <si>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BRYAN ANDRES BASTIDAS RUALES</t>
  </si>
  <si>
    <t>LILIANA MAYOR BOTINA CRIOLLLO</t>
  </si>
  <si>
    <t>NIEVES FERNANDA AZZA ORDOÑEZ</t>
  </si>
  <si>
    <t>RICARDO ENRIQUE VEGA MERA</t>
  </si>
  <si>
    <t>BRIGITT MARCELA BURBANO PUPIALES</t>
  </si>
  <si>
    <t>GABRIELA ALEJANDRA GUERRERO BRAVO</t>
  </si>
  <si>
    <t>DIANA CAROLINA ROSERO COCHA</t>
  </si>
  <si>
    <t>ANGIE GABRIELA ENRIQUEZ TACAN</t>
  </si>
  <si>
    <t>AMANDA LOPEZ HERNANDEZ</t>
  </si>
  <si>
    <t>MARIBEL DEL CARMEN MAIGUAL MUÑOZ</t>
  </si>
  <si>
    <t>ANGELA MARCELA OBANDO BASTIDAS</t>
  </si>
  <si>
    <t>FRANCO JESUS RODRIGUEZ ARAUJO</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</si>
  <si>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</si>
  <si>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CLAUDIA DANIELA PAZ RIVERA</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</si>
  <si>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</si>
  <si>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DIANA CAROLINA MORAN CRUZ</t>
  </si>
  <si>
    <t>DIANA CAROLINA TISOY CHASOY</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</si>
  <si>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</si>
  <si>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DANNY ALEXANDER ORTIZ MUÑOZ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</si>
  <si>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</si>
  <si>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DIEGO FERNANDO DELGADO ERASO</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</si>
  <si>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</si>
  <si>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ADRIANA GABRIELA DIAZ MONTENEGRO</t>
  </si>
  <si>
    <t>RUTH JACQUELINE GAMEZ PABON</t>
  </si>
  <si>
    <t>LESLY NATHALIA MAIGUAL JURADO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</si>
  <si>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</si>
  <si>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FHALOM CAROLINA ROSERO TORRES</t>
  </si>
  <si>
    <t>AYDE JACKELINE CABRERA CRIOLLO</t>
  </si>
  <si>
    <t>LICETH NEYIRETH RIVERAROSERO</t>
  </si>
  <si>
    <t>MARIO ANDRES ROSAS ENRIQUEZ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</si>
  <si>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</si>
  <si>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CLEOTILDE FLOR ALBA PIANDOY CUSIS</t>
  </si>
  <si>
    <t>ANGELA ESTEFANYA NASPIRAN JOJOA</t>
  </si>
  <si>
    <t>NICOLAS EMILIO MENA JOJOA</t>
  </si>
  <si>
    <t>ANGELA SOFIA CACHINOY ALVAREZ</t>
  </si>
  <si>
    <t>LUZ MARINA BENAVIDES BASTIDAS</t>
  </si>
  <si>
    <t>LORENA CATERINE ASCUNTAR CUAJIBIOY</t>
  </si>
  <si>
    <t>INDIRA TAMARA PALACIOS BUSTOS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</si>
  <si>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</si>
  <si>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LUCENY CENIDIA DAVID RODRIGUEZ</t>
  </si>
  <si>
    <t>SONIA DEL ROCIO GOMEZ NARVAEZ</t>
  </si>
  <si>
    <t>VERONICA HURTADO PASCUAZA</t>
  </si>
  <si>
    <t>NAYIBE MARCELA LARA MATABANCHOY</t>
  </si>
  <si>
    <t>LISETH MUÑOZ MARTINEZ</t>
  </si>
  <si>
    <t>MARIA FERNANDA VASQUEZ ARGOTI</t>
  </si>
  <si>
    <t xml:space="preserve"> RODRIGO DE JESUS VITERI MORENO</t>
  </si>
  <si>
    <t>ALEXANDRA MARIA ORTEGA ROSERO</t>
  </si>
  <si>
    <t>LINA YEZMIN DE LA CRUZ CUSIS</t>
  </si>
  <si>
    <t>ROSAURA CAROLINA MADROÑERO DELGADO</t>
  </si>
  <si>
    <t>SANDRA PAOLA ROMO JURADO</t>
  </si>
  <si>
    <t>ANGIE GIONELLA HERNANDEZ VILLOTA</t>
  </si>
  <si>
    <t xml:space="preserve"> ALBA LUCIA MORA BENAVIDES</t>
  </si>
  <si>
    <t>YAMILE ALEJANDRA BOTINA RODRIGUEZ</t>
  </si>
  <si>
    <t>NATHALIE CAROLINA DE LA CRUZ ESTRADA</t>
  </si>
  <si>
    <t>ANA MILENA JACANAMIJOY TREJO</t>
  </si>
  <si>
    <t>ANDREA CATALINA CUASTUMAL ESCOBAR</t>
  </si>
  <si>
    <t>MARIO ALEXANDER MENA RODRIGUEZ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</si>
  <si>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</si>
  <si>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MAURICIO JAVIER QUIÑONES TAQUEZ</t>
  </si>
  <si>
    <t xml:space="preserve">	ALBA LUCIA MORA BENAVIDES</t>
  </si>
  <si>
    <t>JESICA GERALDIN MORALES</t>
  </si>
  <si>
    <t xml:space="preserve">	RODRIGO DE JESUS VITERI MORENO</t>
  </si>
  <si>
    <t>CAICEDO ALVAREZ ELIANA ESTEFANIA</t>
  </si>
  <si>
    <t>KELLY GABRIELA CARDENAS ARCOS</t>
  </si>
  <si>
    <t>YULI XIMENA TAPIA ORDOÑEZ</t>
  </si>
  <si>
    <t>WILLIAM CARLOS VILLOTA MARTINEZ</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</si>
  <si>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</si>
  <si>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JORGE ANDRES LOPEZ VELA (PANDORA ESTUDIO GRAFICO)</t>
  </si>
  <si>
    <t>ANGELA SOFIA ORDOÑEZ BENAVIDES</t>
  </si>
  <si>
    <t>COMPRA VENTA DE ELEMENTOS CATEGORIZADOS EN LA LINEA DE CONSUMO MATERIALES Y SUMINISTROS, DE ACUERDO A LAS NECESIDADES IDENTIFICADAS PARA DESARROLLO DEL PROGRAMA DE ATENCION PRIMARIA EN SALUD, CONFORME A LA RESOLUCION 1778 DEL 31 DE OCTUBRE DE 2023.</t>
  </si>
  <si>
    <t>OVIEDO PAREDES ADRIANA LORENA (RUGLORY DISTRIBUCIONES)</t>
  </si>
  <si>
    <t xml:space="preserve">	STEFANYA RAMIREZ LOPERA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</si>
  <si>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</si>
  <si>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</si>
  <si>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</si>
  <si>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</si>
  <si>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</si>
  <si>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FANNY MARIELA CORDOBA MORENO</t>
  </si>
  <si>
    <t>KAROL IVONNE BURBANO ROSERO</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</si>
  <si>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</si>
  <si>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KAREN JULIANA ERAZO JURADO</t>
  </si>
  <si>
    <t>SE CONTRATO MAL SE PAGO CON LA 1778 Y ESTA EN LA OTRA POR ESO NO SE CONTRATO</t>
  </si>
  <si>
    <t>NI</t>
  </si>
  <si>
    <t>Prestación de servicios como gestor comunitario dirigidos al seguimiento de poblaciones especiales de riesgo según prioridades definidas por la redes operativas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</si>
  <si>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</si>
  <si>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MARY ALEXANDRA ROSERO BENAVIDES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</si>
  <si>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</si>
  <si>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NICOLAS ALEJANDRO ROSERO MORILLO</t>
  </si>
  <si>
    <t>VIVIANA MERCEDES PIZANO PORTILLA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</si>
  <si>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</si>
  <si>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</si>
  <si>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</si>
  <si>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</si>
  <si>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DIANA MARIA ERASO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</si>
  <si>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</si>
  <si>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CAROL SILVANA PATIÑO VALENCIA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</si>
  <si>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</si>
  <si>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LINA MARIA PIZANO PEREZ</t>
  </si>
  <si>
    <t>Prestación de servicios profesionales dirigidos al seguimiento de poblaciones especiales de riesgo según prioridades definidas por la Subgerencia de Salud e Investigación.</t>
  </si>
  <si>
    <t xml:space="preserve">	JUAN CARLOS MERA GUERRERO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</si>
  <si>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</si>
  <si>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</si>
  <si>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ELBER ALFREDO CAMPAÑA IMBAQUIN</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</si>
  <si>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</si>
  <si>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FERNANDO TEOFILO ROSERO PATIÑO</t>
  </si>
  <si>
    <t>ZULY MARINA HIDALGO JOJOA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</si>
  <si>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</si>
  <si>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ANGELA PAOLA BOLAÑOS ARGOTI,</t>
  </si>
  <si>
    <t>ANGIE VIVIANA SACANAMBUY PAZ,</t>
  </si>
  <si>
    <t>ANDREA LILIANA LAGUNA RUALES</t>
  </si>
  <si>
    <t>ALEJANDRA MARLENY PATIÑO VALENCIA,</t>
  </si>
  <si>
    <t>HECTOR GERMAN OJEDA CERON,</t>
  </si>
  <si>
    <t>DANNY ALEXANDER SANCHEZ ESTRADA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</si>
  <si>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</si>
  <si>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MILENA ELIZABETH ORDOÑEZ ORTIZ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</si>
  <si>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</si>
  <si>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EDIER ERNEY CORDOBA ROJAS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</si>
  <si>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</si>
  <si>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MARIA INES PAGUAY GUANCHA</t>
  </si>
  <si>
    <t>1.086.329.609.</t>
  </si>
  <si>
    <t>LORENA DEL CARMEN OJEDA VASQUEZ</t>
  </si>
  <si>
    <t>NATHALY STEPHANIE MARTINEZ MARTINEZ</t>
  </si>
  <si>
    <t>JANETH EMILSE DIAZ ARCINIEGAS</t>
  </si>
  <si>
    <t>BRIGIT ESNIT GARCIA MANCHABAJOYΥ</t>
  </si>
  <si>
    <t>TATIANA ANDREA CRIOLLO GENOY,</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</si>
  <si>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</si>
  <si>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</si>
  <si>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</si>
  <si>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EDWIN PANTOJA OTERO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</si>
  <si>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</si>
  <si>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DOLY MAYBRI TIMANA GUACAN</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</si>
  <si>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</si>
  <si>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</si>
  <si>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30,743.783</t>
  </si>
  <si>
    <t>JAQUELINE MELO MOSQUERA</t>
  </si>
  <si>
    <t>YEISON SMIT NUÑEZ ACOSTA</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</si>
  <si>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</si>
  <si>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</si>
  <si>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NATHALIA ROSERO RODRIGUEZ</t>
  </si>
  <si>
    <t>JOSE JAVIER PINTA YAQUENO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</si>
  <si>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</si>
  <si>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MARILYN ZAMBRANO OBANDO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</si>
  <si>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</si>
  <si>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ANDRES ERNESTO BRAVO ALMEIDA</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</si>
  <si>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</si>
  <si>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EDITH ANGELICA LÓPEZ VILLARREAL</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</si>
  <si>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</si>
  <si>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JEISSON STEVEN BASANTE ERAZO</t>
  </si>
  <si>
    <t>FRAN GIOVANNY GETIAL CHICAIZA</t>
  </si>
  <si>
    <t>LIGIA DEL CARMEN ERAZO GUERRERO,</t>
  </si>
  <si>
    <t>YEIMER DANILO CAEZ MORALES</t>
  </si>
  <si>
    <t>TANIA KARINA CUERO CASANOVA,</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</si>
  <si>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</si>
  <si>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FUNDACION CALIDAD DE VIDA Y ESPERANZA-FUNDAESP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</si>
  <si>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</si>
  <si>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FUNDACION CALIDAD DE VIDA Y ESPERANZA - FUNDAESP</t>
  </si>
  <si>
    <t>TANIA MARCELA DIAZ DIAZ</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</si>
  <si>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</si>
  <si>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ADRIANA PATRICIA DUEÑAS SALAZAR</t>
  </si>
  <si>
    <t>ANDREA NATHALY ALAVA BOLAÑOS</t>
  </si>
  <si>
    <t>JUAN PABLO MADROÑERO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</si>
  <si>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</si>
  <si>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NUVI GRACIELA CHAMORRO CORAL</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</si>
  <si>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</si>
  <si>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</si>
  <si>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</si>
  <si>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CONSTANZA HAIDY UNIGARRO PAZ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</si>
  <si>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</si>
  <si>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 ANDREA MENESES ERAZO,</t>
  </si>
  <si>
    <t>ANYELY ROCIO LOPEZ ROSERO</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</si>
  <si>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</si>
  <si>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ANNY MAYERLINE NARVAEZ ÑAÑEZ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</si>
  <si>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</si>
  <si>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</si>
  <si>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CARLOS ANDRES PANTOJA BENAVIDES</t>
  </si>
  <si>
    <t>MARIA ISABEL ALVAREZ CAICEDO,</t>
  </si>
  <si>
    <t>PABLO ERNESTO RIOBAMBA IPIALES,</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</si>
  <si>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</si>
  <si>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EXPRESO SURAMERICANA DE TURISMO</t>
  </si>
  <si>
    <t>JUAN PABLO LLANOS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</si>
  <si>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</si>
  <si>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</si>
  <si>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</si>
  <si>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HAROLD CAMILO QUINTERO GUEVARA</t>
  </si>
  <si>
    <t>saldo</t>
  </si>
  <si>
    <t>Este pago se equivocaron era a la resolucion 1773 se lo pusieron a la siguient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</si>
</sst>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x14ac:knownFonts="1">
    <font>
      <sz val="11"/>
      <color theme="1"/>
      <name val="Calibri"/>
      <family val="2"/>
      <scheme val="minor"/>
    </font>
    <font>
      <b/>
      <sz val="11"/>
      <name val="Calibri"/>
      <family val="2"/>
    </font>
    <font>
      <sz val="11"/>
      <color indexed="8"/>
      <name val="Aptos Narrow"/>
      <family val="2"/>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2" fillId="0" borderId="0" xfId="0" applyNumberFormat="1" applyFont="1"/>
    <xf numFmtId="164" fontId="0" fillId="0" borderId="0" xfId="0" applyNumberFormat="1"/>
    <xf numFmtId="165" fontId="0" fillId="0" borderId="0" xfId="0" applyNumberFormat="1"/>
    <xf numFmtId="2" fontId="0" fillId="0" borderId="0" xfId="0" applyNumberFormat="1"/>
    <xf numFmtId="165" fontId="1" fillId="0" borderId="1" xfId="0" applyNumberFormat="1" applyFont="1" applyBorder="1" applyAlignment="1">
      <alignment horizontal="center" vertical="top"/>
    </xf>
    <xf numFmtId="0" fontId="0" fillId="2" borderId="0" xfId="0" applyFill="1"/>
    <xf numFmtId="165" fontId="0" fillId="2" borderId="0" xfId="0" applyNumberFormat="1" applyFill="1"/>
    <xf numFmtId="164" fontId="0" fillId="2" borderId="0" xfId="0" applyNumberFormat="1" applyFill="1"/>
    <xf numFmtId="0" fontId="0" fillId="3" borderId="0" xfId="0" applyFill="1"/>
    <xf numFmtId="165" fontId="0" fillId="3" borderId="0" xfId="0" applyNumberFormat="1" applyFill="1"/>
    <xf numFmtId="164" fontId="0" fillId="3" borderId="0" xfId="0" applyNumberFormat="1" applyFill="1"/>
    <xf numFmtId="0" fontId="3" fillId="2" borderId="0" xfId="0" applyFont="1" applyFill="1"/>
    <xf numFmtId="165" fontId="3" fillId="2" borderId="0" xfId="0" applyNumberFormat="1" applyFont="1" applyFill="1"/>
    <xf numFmtId="164" fontId="3" fillId="2"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CONSOLIDADO%20BASE%20CONTRATACI&#211;N%20(1).xlsx" TargetMode="External"/><Relationship Id="rId1" Type="http://schemas.openxmlformats.org/officeDocument/2006/relationships/externalLinkPath" Target="file:///E:\CONSOLIDADO%20BASE%20CONTRATACI&#211;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19"/>
      <sheetName val="2020"/>
      <sheetName val="2021"/>
      <sheetName val="2022"/>
      <sheetName val="2023"/>
      <sheetName val="2024"/>
      <sheetName val="2025"/>
      <sheetName val="Hoja1"/>
    </sheetNames>
    <sheetDataSet>
      <sheetData sheetId="0"/>
      <sheetData sheetId="1"/>
      <sheetData sheetId="2"/>
      <sheetData sheetId="3"/>
      <sheetData sheetId="4"/>
      <sheetData sheetId="5"/>
      <sheetData sheetId="6">
        <row r="1">
          <cell r="A1" t="str">
            <v>NUMERO</v>
          </cell>
          <cell r="B1" t="str">
            <v>TIPO</v>
          </cell>
          <cell r="C1" t="str">
            <v xml:space="preserve">CONTRATISTA </v>
          </cell>
          <cell r="D1" t="str">
            <v xml:space="preserve">TIPO DE IDENTIFICACION </v>
          </cell>
          <cell r="E1" t="str">
            <v xml:space="preserve">IDENTIFICACION </v>
          </cell>
          <cell r="F1" t="str">
            <v xml:space="preserve">CODIGO DE VERIFICACIÓN </v>
          </cell>
          <cell r="G1" t="str">
            <v xml:space="preserve">MODALIDAD </v>
          </cell>
          <cell r="H1" t="str">
            <v xml:space="preserve">NATURALEZA DEL CONTRATISTA </v>
          </cell>
          <cell r="I1" t="str">
            <v xml:space="preserve">OBJETO </v>
          </cell>
          <cell r="J1">
            <v>2</v>
          </cell>
          <cell r="K1" t="str">
            <v xml:space="preserve">VALOR INICIAL </v>
          </cell>
          <cell r="L1" t="str">
            <v>FECHA INICIAL (DD/MM/AAA)</v>
          </cell>
          <cell r="M1" t="str">
            <v>FECHA DE FINALIZACION (DD/MM/AAA)</v>
          </cell>
          <cell r="N1" t="str">
            <v>SUPERVISOR Y/O INTERVENTOR</v>
          </cell>
          <cell r="O1" t="str">
            <v xml:space="preserve">IDENTIFICACION DEL SUPERVISOR Y/O INTERVENTOR </v>
          </cell>
          <cell r="P1" t="str">
            <v>CORREO CONTRATISTA</v>
          </cell>
          <cell r="Q1" t="str">
            <v>FECHA DE SUSCRIPCION (DD/MM/AAAA)</v>
          </cell>
          <cell r="R1" t="str">
            <v xml:space="preserve">PROYECTADO POR: </v>
          </cell>
          <cell r="S1" t="str">
            <v>FECHA DE PUBLICACION EN SECOP (DD/MM/AAA)</v>
          </cell>
          <cell r="T1" t="str">
            <v>FECHA DE PUBLICACION EN SIA(DD/MM/AAA)</v>
          </cell>
          <cell r="U1" t="str">
            <v xml:space="preserve">ESTADO EN SECOP </v>
          </cell>
          <cell r="V1" t="str">
            <v xml:space="preserve">RUBRO DE CDP </v>
          </cell>
          <cell r="W1" t="str">
            <v xml:space="preserve">No. DE CDP </v>
          </cell>
          <cell r="X1" t="str">
            <v>No. DE R.P</v>
          </cell>
          <cell r="Y1" t="str">
            <v xml:space="preserve">FECHA DE RADICACIÓN </v>
          </cell>
          <cell r="Z1" t="str">
            <v>FECHA DE ENVIO DE CORREO ELECTRONICO (DD/MM/AAA)</v>
          </cell>
          <cell r="AA1" t="str">
            <v xml:space="preserve">ACTA DE SUSPENCION Y REINICIO </v>
          </cell>
          <cell r="AB1" t="str">
            <v>MODIFICACION - ADICION Y/O PRORROGA</v>
          </cell>
          <cell r="AC1" t="str">
            <v xml:space="preserve">VR ADICION </v>
          </cell>
          <cell r="AD1" t="str">
            <v>PLAZO</v>
          </cell>
          <cell r="AE1" t="str">
            <v>PUBLICACION S/N - PTE</v>
          </cell>
          <cell r="AF1" t="str">
            <v>INFORMES (S/N) #</v>
          </cell>
          <cell r="AG1" t="str">
            <v>FECHA PAZ Y SALVO</v>
          </cell>
          <cell r="AH1" t="str">
            <v xml:space="preserve">FECHA ACTA DE LIQUIDACION   </v>
          </cell>
          <cell r="AI1" t="str">
            <v xml:space="preserve">PUBLICACION </v>
          </cell>
          <cell r="AJ1" t="str">
            <v xml:space="preserve">MODIFICACION DEL CTO </v>
          </cell>
          <cell r="AK1" t="str">
            <v xml:space="preserve">TIPO DE MODIFICACIÓN </v>
          </cell>
          <cell r="AL1" t="str">
            <v>ESTADO DEL CONTRATO</v>
          </cell>
          <cell r="AM1" t="str">
            <v xml:space="preserve">VALOR PAGADO AL CONTRATISTA </v>
          </cell>
          <cell r="AN1" t="str">
            <v>OBSERVACIONES</v>
          </cell>
          <cell r="AO1" t="str">
            <v>% DE CUMPLIMIENTO EN SIA</v>
          </cell>
          <cell r="AP1" t="str">
            <v>PENDIENTE EN SIA</v>
          </cell>
          <cell r="AQ1" t="str">
            <v xml:space="preserve">FECHA DE TERMINACION </v>
          </cell>
          <cell r="AR1" t="str">
            <v>FECHA LIMITE SIA</v>
          </cell>
          <cell r="AS1" t="str">
            <v>RECOMENDACIONES</v>
          </cell>
        </row>
        <row r="2">
          <cell r="A2" t="str">
            <v>001-2025</v>
          </cell>
          <cell r="B2" t="str">
            <v>PRESTACION DE SERVICIOS</v>
          </cell>
          <cell r="C2" t="str">
            <v>JUAN FELIPE GOMEZ MUÑOZ</v>
          </cell>
          <cell r="D2" t="str">
            <v>CC</v>
          </cell>
          <cell r="E2">
            <v>1152470166</v>
          </cell>
          <cell r="F2">
            <v>2</v>
          </cell>
          <cell r="G2" t="str">
            <v xml:space="preserve">CONTRATACION DIRECTA </v>
          </cell>
          <cell r="H2">
            <v>1</v>
          </cell>
          <cell r="I2" t="str">
            <v>El contratista se compromete para con la Empresa Social del Estado PASTO SALUD ESE a prestar sus servicios Profesionales para apoyar las actividades que se adelantan en la Oficina Asesora Jurídica, encaminadas al mejoramiento de los procesos de Gestión Jurídica</v>
          </cell>
          <cell r="J2">
            <v>1</v>
          </cell>
          <cell r="K2" t="str">
            <v>$22.145.538</v>
          </cell>
          <cell r="L2">
            <v>45658</v>
          </cell>
          <cell r="M2">
            <v>45900</v>
          </cell>
          <cell r="N2" t="str">
            <v>KELLY NAYIBY GUANCHA MEJIA</v>
          </cell>
          <cell r="O2">
            <v>1085256100</v>
          </cell>
          <cell r="P2" t="str">
            <v>juanfe99gomez36@gmail.com</v>
          </cell>
          <cell r="Q2">
            <v>45658</v>
          </cell>
          <cell r="R2" t="str">
            <v>CRISTINA ROSERO</v>
          </cell>
          <cell r="U2" t="str">
            <v>CELEBRADO</v>
          </cell>
          <cell r="W2" t="str">
            <v>2025-0012</v>
          </cell>
          <cell r="X2" t="str">
            <v>2025-0001</v>
          </cell>
          <cell r="AB2" t="str">
            <v>ADICION Y PRORROGA</v>
          </cell>
          <cell r="AJ2">
            <v>1</v>
          </cell>
          <cell r="AK2">
            <v>3</v>
          </cell>
          <cell r="AL2">
            <v>2</v>
          </cell>
          <cell r="AM2" t="str">
            <v>$29.527.384,00</v>
          </cell>
        </row>
        <row r="3">
          <cell r="A3" t="str">
            <v>002-2025</v>
          </cell>
          <cell r="B3" t="str">
            <v>PRESTACION DE SERVICIOS</v>
          </cell>
          <cell r="C3" t="str">
            <v>ELIANA VERONICA BENAVIDES PORTILLO</v>
          </cell>
          <cell r="D3" t="str">
            <v>CC</v>
          </cell>
          <cell r="E3">
            <v>1089846274</v>
          </cell>
          <cell r="F3">
            <v>7</v>
          </cell>
          <cell r="G3" t="str">
            <v xml:space="preserve">CONTRATACION DIRECTA </v>
          </cell>
          <cell r="H3">
            <v>1</v>
          </cell>
          <cell r="I3" t="str">
            <v>LA CONTRATISTA SE COMPROMETE PARA CON LA EMPRESA SOCIAL DEL ESTADO PASTO SALUD ESE A PRESTAR SUS SERVICIOS PROFESIONALES COMO ABOGADA, PARA APOYAR LAS DIFERENTES ACTIVIDADES JURIDICAS QUE SE ADELANTEN EN LA OFICINA ASESORA JURIDICA.</v>
          </cell>
          <cell r="J3">
            <v>1</v>
          </cell>
          <cell r="K3" t="str">
            <v>$22.145.538,00</v>
          </cell>
          <cell r="L3">
            <v>45658</v>
          </cell>
          <cell r="M3">
            <v>45900</v>
          </cell>
          <cell r="N3" t="str">
            <v>KELLY NAYIBY GUANCHA MEJIA</v>
          </cell>
          <cell r="O3">
            <v>1085256100</v>
          </cell>
          <cell r="P3" t="str">
            <v>eliana.benavidesp@gmail.com</v>
          </cell>
          <cell r="Q3">
            <v>45658</v>
          </cell>
          <cell r="R3" t="str">
            <v>ANDRES GUERRA</v>
          </cell>
          <cell r="U3" t="str">
            <v>CELEBRADO</v>
          </cell>
          <cell r="W3" t="str">
            <v>2025-0013</v>
          </cell>
          <cell r="X3" t="str">
            <v>2025-0002</v>
          </cell>
          <cell r="AB3" t="str">
            <v>ADICION Y PRORROGA</v>
          </cell>
          <cell r="AJ3">
            <v>1</v>
          </cell>
          <cell r="AK3">
            <v>3</v>
          </cell>
          <cell r="AL3">
            <v>2</v>
          </cell>
          <cell r="AM3" t="str">
            <v>$29.527.384,00</v>
          </cell>
        </row>
        <row r="4">
          <cell r="A4" t="str">
            <v>003-2025</v>
          </cell>
          <cell r="B4" t="str">
            <v>PRESTACION DE SERVICIOS</v>
          </cell>
          <cell r="C4" t="str">
            <v>ANGELA GABRIELA HERNANDEZ TIMARAN</v>
          </cell>
          <cell r="D4" t="str">
            <v>CC</v>
          </cell>
          <cell r="E4">
            <v>1085345056</v>
          </cell>
          <cell r="F4">
            <v>3</v>
          </cell>
          <cell r="G4" t="str">
            <v xml:space="preserve">CONTRATACION DIRECTA </v>
          </cell>
          <cell r="H4">
            <v>1</v>
          </cell>
          <cell r="I4" t="str">
            <v>EL CONTRATISTA SE COMPROMETE PARA CON LA EMPRESA SOCIAL DEL ESTADO PASTO SALUD ESE, A PRESTAR SUS SERVICIOS TECNICOS PARA APOYAR LAS ACTIVIDADES QUE SE ADELANTAN EN LA OFICINA ASESORA JURIDICA DE LA ENTIDAD, DANDO APLICABILIDAD A LA TABLA DE RETENCION DOCUMENTAL Y ORGANIZACION DE LOS DOCUMENTOS DE ARCHIVO</v>
          </cell>
          <cell r="J4">
            <v>1</v>
          </cell>
          <cell r="K4" t="str">
            <v>$9.888.000,00</v>
          </cell>
          <cell r="L4">
            <v>45658</v>
          </cell>
          <cell r="M4">
            <v>45900</v>
          </cell>
          <cell r="N4" t="str">
            <v>KELLY NAYIBY GUANCHA MEJIA</v>
          </cell>
          <cell r="O4">
            <v>1085256100</v>
          </cell>
          <cell r="P4" t="str">
            <v>angelitas382@gmail.com</v>
          </cell>
          <cell r="Q4">
            <v>45658</v>
          </cell>
          <cell r="R4" t="str">
            <v>RODRIGO ROSERO</v>
          </cell>
          <cell r="U4" t="str">
            <v>CELEBRADO</v>
          </cell>
          <cell r="W4" t="str">
            <v>2025-0011</v>
          </cell>
          <cell r="X4" t="str">
            <v>2025-0003</v>
          </cell>
          <cell r="AB4" t="str">
            <v>ADICION Y PRORROGA</v>
          </cell>
          <cell r="AJ4">
            <v>1</v>
          </cell>
          <cell r="AK4">
            <v>3</v>
          </cell>
          <cell r="AL4">
            <v>2</v>
          </cell>
          <cell r="AM4" t="str">
            <v>$13.184.000,00</v>
          </cell>
        </row>
        <row r="5">
          <cell r="A5" t="str">
            <v>004-2025</v>
          </cell>
          <cell r="B5" t="str">
            <v>PRESTACION DE SERVICIOS</v>
          </cell>
          <cell r="C5" t="str">
            <v>ANDRES ALEXANDER GUERRA MARTINEZ</v>
          </cell>
          <cell r="D5" t="str">
            <v>CC</v>
          </cell>
          <cell r="E5">
            <v>1085248453</v>
          </cell>
          <cell r="F5">
            <v>9</v>
          </cell>
          <cell r="G5" t="str">
            <v xml:space="preserve">CONTRATACION DIRECTA </v>
          </cell>
          <cell r="H5">
            <v>1</v>
          </cell>
          <cell r="I5" t="str">
            <v>EL CONTRATISTA SE COMPROMETE PARA CON LA EMPRESA SOCIAL DEL ESTADO PASTO SALUD E.S.E. A PRESTAR SUS SERVICIOS PROFESIONALES COMO ABOGADO PARA APOYAR EL DESARROLLO DE LOS DIFERENTES PROCESOS ADELANTADOS EN LA OFICINA ASESORA JURIDICA.</v>
          </cell>
          <cell r="J5">
            <v>1</v>
          </cell>
          <cell r="K5" t="str">
            <v>$22.145.538,00</v>
          </cell>
          <cell r="L5">
            <v>45658</v>
          </cell>
          <cell r="M5">
            <v>45900</v>
          </cell>
          <cell r="N5" t="str">
            <v>KELLY NAYIBY GUANCHA MEJIA</v>
          </cell>
          <cell r="O5">
            <v>1085256100</v>
          </cell>
          <cell r="P5" t="str">
            <v>andresgm6052@hotmail.com</v>
          </cell>
          <cell r="Q5">
            <v>45658</v>
          </cell>
          <cell r="R5" t="str">
            <v>ELIANA BENAVIDES</v>
          </cell>
          <cell r="U5" t="str">
            <v>CELEBRADO</v>
          </cell>
          <cell r="W5" t="str">
            <v>2025-0014</v>
          </cell>
          <cell r="X5" t="str">
            <v>2025-0004</v>
          </cell>
          <cell r="AB5" t="str">
            <v>ADICION Y PRORROGA</v>
          </cell>
          <cell r="AJ5">
            <v>1</v>
          </cell>
          <cell r="AK5">
            <v>3</v>
          </cell>
          <cell r="AL5">
            <v>2</v>
          </cell>
          <cell r="AM5" t="str">
            <v>$29.527.384,00</v>
          </cell>
        </row>
        <row r="6">
          <cell r="A6" t="str">
            <v>005-2025</v>
          </cell>
          <cell r="B6" t="str">
            <v>PRESTACION DE SERVICIOS</v>
          </cell>
          <cell r="C6" t="str">
            <v>VANESSA NATALIA ERAZO VILLOTA</v>
          </cell>
          <cell r="D6" t="str">
            <v>CC</v>
          </cell>
          <cell r="E6">
            <v>1085308298</v>
          </cell>
          <cell r="F6">
            <v>1</v>
          </cell>
          <cell r="G6" t="str">
            <v xml:space="preserve">CONTRATACION DIRECTA </v>
          </cell>
          <cell r="H6">
            <v>1</v>
          </cell>
          <cell r="I6" t="str">
            <v>EL CONTRATISTA SE COMPROMETE PARA CON LA EMPRESA SOCIAL DEL ESTADO PASTO SALUD ESE, A PRESENTAR SUS SERVICIOS PROFESIONALES PARA APOYAR LAS ACTIVIDADES QUE SE ADELANTAN EN LA OFICINA ASESORA JURIDICA, ENCAMINADAS AL MEJORAMIENTO DE LOS PROCEDIMIENTOS DE CARGUE DE DOCUMENTACION CONTRACTUAL, ASESORIA JURIDICA INTERNA, PROYECCION DE CONCEPTOS Y RESPUESTAS A DERECHO DE PETICION, DENTRO DEL PROCESO DE GESTION JURIDICA</v>
          </cell>
          <cell r="J6">
            <v>1</v>
          </cell>
          <cell r="K6" t="str">
            <v>$11.072.770,00</v>
          </cell>
          <cell r="L6">
            <v>45658</v>
          </cell>
          <cell r="M6">
            <v>45747</v>
          </cell>
          <cell r="N6" t="str">
            <v>KELLY NAYIBY GUANCHA MEJIA</v>
          </cell>
          <cell r="O6">
            <v>1085256100</v>
          </cell>
          <cell r="P6" t="str">
            <v>nataerazovillota@gmail.com</v>
          </cell>
          <cell r="Q6">
            <v>45658</v>
          </cell>
          <cell r="R6" t="str">
            <v>CRISTINA ROSERO</v>
          </cell>
          <cell r="U6" t="str">
            <v>CELEBRADO</v>
          </cell>
          <cell r="W6" t="str">
            <v>2025-0015</v>
          </cell>
          <cell r="X6" t="str">
            <v>2025-0006</v>
          </cell>
          <cell r="AJ6">
            <v>2</v>
          </cell>
          <cell r="AK6">
            <v>0</v>
          </cell>
          <cell r="AL6">
            <v>3</v>
          </cell>
          <cell r="AM6" t="str">
            <v>$11.072.770,00</v>
          </cell>
        </row>
        <row r="7">
          <cell r="A7" t="str">
            <v>006-2025</v>
          </cell>
          <cell r="B7" t="str">
            <v>PRESTACION DE SERVICIOS</v>
          </cell>
          <cell r="C7" t="str">
            <v>BIONEXO COLOMBIA SAS</v>
          </cell>
          <cell r="D7" t="str">
            <v>NIT</v>
          </cell>
          <cell r="E7">
            <v>900266612</v>
          </cell>
          <cell r="F7">
            <v>4</v>
          </cell>
          <cell r="G7" t="str">
            <v xml:space="preserve">CONTRATACION DIRECTA </v>
          </cell>
          <cell r="H7">
            <v>2</v>
          </cell>
          <cell r="I7" t="str">
            <v>CONTRATAR EL USO, GOCE Y EXPLOTACION DE UNA PLATAFORMA DE COMERCIO ELECTRONICO EN LA EMPRESA SOCIAL DEL ESTADO PASTO SALUD E.S.E</v>
          </cell>
          <cell r="J7">
            <v>1</v>
          </cell>
          <cell r="K7" t="str">
            <v>$42.512.400,00</v>
          </cell>
          <cell r="L7">
            <v>45658</v>
          </cell>
          <cell r="M7">
            <v>45900</v>
          </cell>
          <cell r="N7" t="str">
            <v>ANA PATRICIA CAJIGAS RUBIO</v>
          </cell>
          <cell r="O7">
            <v>36759470</v>
          </cell>
          <cell r="P7" t="str">
            <v>ycubillos@bionexo.com</v>
          </cell>
          <cell r="Q7">
            <v>45658</v>
          </cell>
          <cell r="R7" t="str">
            <v>CRISTINA ROSERO</v>
          </cell>
          <cell r="U7" t="str">
            <v>CELEBRADO</v>
          </cell>
          <cell r="W7" t="str">
            <v>2025-0010</v>
          </cell>
          <cell r="X7" t="str">
            <v>2025-0008</v>
          </cell>
          <cell r="AB7" t="str">
            <v>ADICION Y PRORROGA</v>
          </cell>
          <cell r="AJ7">
            <v>1</v>
          </cell>
          <cell r="AK7">
            <v>3</v>
          </cell>
          <cell r="AL7">
            <v>2</v>
          </cell>
          <cell r="AM7" t="str">
            <v>$42.512.400,00</v>
          </cell>
        </row>
        <row r="8">
          <cell r="A8" t="str">
            <v>007-2025</v>
          </cell>
          <cell r="B8" t="str">
            <v>PRESTACION DE SERVICIOS</v>
          </cell>
          <cell r="C8" t="str">
            <v>(CARLOSJAVIER ORTIZ)ABC CASA LIMPIA</v>
          </cell>
          <cell r="D8" t="str">
            <v>CC</v>
          </cell>
          <cell r="E8">
            <v>12962767</v>
          </cell>
          <cell r="F8">
            <v>1</v>
          </cell>
          <cell r="G8" t="str">
            <v xml:space="preserve">CONTRATACION DIRECTA </v>
          </cell>
          <cell r="H8">
            <v>1</v>
          </cell>
          <cell r="I8" t="str">
            <v>PRESTACION DEL SERVICIO DE DESINFECCION, DESRATIZACION Y FUMIGACION PARA LAS SEDES, SEDE ADMINISTRATIVA, AMBULANCIAS, UNIDAD MOVIL, ARCHIVO CENTRAL Y ALBERGUES DE LA EMPRESA SOCIAL DEL ESTADO PASTO SALUD E.S.E.</v>
          </cell>
          <cell r="J8">
            <v>1</v>
          </cell>
          <cell r="K8" t="str">
            <v>$6.874.359,00</v>
          </cell>
          <cell r="L8">
            <v>45658</v>
          </cell>
          <cell r="M8">
            <v>46022</v>
          </cell>
          <cell r="N8" t="str">
            <v>GIOVANNY FELIPE FREYRE ROMO</v>
          </cell>
          <cell r="O8">
            <v>1085294867</v>
          </cell>
          <cell r="P8" t="str">
            <v>abccasalimpi@hotmail.com</v>
          </cell>
          <cell r="Q8">
            <v>45658</v>
          </cell>
          <cell r="R8" t="str">
            <v>JUAN GOMEZ</v>
          </cell>
          <cell r="U8" t="str">
            <v>CELEBRADO</v>
          </cell>
          <cell r="W8" t="str">
            <v>2025-0002</v>
          </cell>
          <cell r="X8" t="str">
            <v>2025-0011</v>
          </cell>
          <cell r="AJ8">
            <v>2</v>
          </cell>
          <cell r="AK8">
            <v>0</v>
          </cell>
          <cell r="AL8">
            <v>2</v>
          </cell>
          <cell r="AM8" t="str">
            <v xml:space="preserve"> $6.874.359,00</v>
          </cell>
        </row>
        <row r="9">
          <cell r="A9" t="str">
            <v>008-2025</v>
          </cell>
          <cell r="B9" t="str">
            <v xml:space="preserve">ARRENDAMIENTO </v>
          </cell>
          <cell r="C9" t="str">
            <v>MARTHA ISAURA SALAZAR DE RECALDE</v>
          </cell>
          <cell r="D9" t="str">
            <v>CC</v>
          </cell>
          <cell r="E9">
            <v>30723584</v>
          </cell>
          <cell r="F9">
            <v>1</v>
          </cell>
          <cell r="G9" t="str">
            <v xml:space="preserve">CONTRATACION DIRECTA </v>
          </cell>
          <cell r="H9">
            <v>1</v>
          </cell>
          <cell r="I9" t="str">
            <v>ARRENDAMIENTO DE UN INMUEBLE UBICADO EN EL SECTOR DEL PUERTO DEL CORREGIMIENTO DEL ENCANO PARA EL PARQUEO DE LA LANCHA. EL PARQUEADERO DEBER CONTAR CON DIMENSIONES QUE GARANTICEN SEGURIDAD EN INFRAESTRUCTURA, HIGIENE Y ESPACIO PARA EVITAR RIESGOS DE DAÑOS Y ROBO. DIMENSION APROXIMADA DE 12 METROS CUADRADOS.</v>
          </cell>
          <cell r="J9">
            <v>9</v>
          </cell>
          <cell r="K9" t="str">
            <v>$1.338.000,00</v>
          </cell>
          <cell r="L9">
            <v>45658</v>
          </cell>
          <cell r="M9">
            <v>45838</v>
          </cell>
          <cell r="N9" t="str">
            <v xml:space="preserve">	ALBA LUCIA MORA BENAVIDES</v>
          </cell>
          <cell r="O9">
            <v>59822566</v>
          </cell>
          <cell r="P9" t="str">
            <v>herneyrecalde@gmail.com</v>
          </cell>
          <cell r="Q9">
            <v>45658</v>
          </cell>
          <cell r="R9" t="str">
            <v>ANDRES GUERRA</v>
          </cell>
          <cell r="U9" t="str">
            <v>CELEBRADO</v>
          </cell>
          <cell r="W9" t="str">
            <v>2025-0006</v>
          </cell>
          <cell r="X9" t="str">
            <v>2025-0013</v>
          </cell>
          <cell r="AJ9">
            <v>2</v>
          </cell>
          <cell r="AK9">
            <v>0</v>
          </cell>
          <cell r="AL9">
            <v>2</v>
          </cell>
          <cell r="AM9" t="str">
            <v>$1.338.000,00</v>
          </cell>
        </row>
        <row r="10">
          <cell r="A10" t="str">
            <v>009-2025</v>
          </cell>
          <cell r="B10" t="str">
            <v>PRESTACION DE SERVICIOS</v>
          </cell>
          <cell r="C10" t="str">
            <v>SERVIVARIOS LA MEJOR S.A.S</v>
          </cell>
          <cell r="D10" t="str">
            <v>NIT</v>
          </cell>
          <cell r="E10">
            <v>814002615</v>
          </cell>
          <cell r="F10">
            <v>1</v>
          </cell>
          <cell r="G10" t="str">
            <v xml:space="preserve">CONTRATACION DIRECTA </v>
          </cell>
          <cell r="H10">
            <v>2</v>
          </cell>
          <cell r="I10" t="str">
            <v>PRESTACION DEL SERVICIO INTEGRAL DE LIMPIEZA QUE INCLUYE ASEO, DESINFECCION GENERAL, LAVANDERIA DE ROPA HOSPITALARIA, PREPARACION Y DISTRIBUCION DE BEBIDAS CALIENTES, INCLUYENDO EL SUMINISTRO DE INSUMOS Y ELEMENTOS NECESARIOS PARA LA REALIZACION DE ESTAS ACTIVIDADES, EN LAS INSTALACIONES DE LA EMPRESA SOCIAL DEL ESTADO PASTO SALUD E.S.E SEDE ADMINISTRATIVA, SUS IPS Y UNIDADES MOVILES, DE ACUERDO CON LOS REQUERIMIENTOS DE LA INSTITUCION Y LOS ESTANDARES DE CALIDAD Y CON LAS CARACTERISTICAS Y ESPECIFICACIONES DE LA EMPRESA</v>
          </cell>
          <cell r="J10">
            <v>7</v>
          </cell>
          <cell r="K10" t="str">
            <v>$2.218.948.219,00</v>
          </cell>
          <cell r="L10">
            <v>45658</v>
          </cell>
          <cell r="M10">
            <v>45930</v>
          </cell>
          <cell r="N10" t="str">
            <v>GIOVANNY FELIPE FREYRE ROMO</v>
          </cell>
          <cell r="O10">
            <v>1085294867</v>
          </cell>
          <cell r="P10" t="str">
            <v>servilamejor@hotmail.com</v>
          </cell>
          <cell r="Q10">
            <v>45658</v>
          </cell>
          <cell r="R10" t="str">
            <v>RODRIGO ROSERO</v>
          </cell>
          <cell r="U10" t="str">
            <v>CELEBRADO</v>
          </cell>
          <cell r="W10" t="str">
            <v>2025-0001</v>
          </cell>
          <cell r="X10" t="str">
            <v>2025-0016</v>
          </cell>
          <cell r="AB10" t="str">
            <v>ADICION Y PRORROGA</v>
          </cell>
          <cell r="AJ10">
            <v>1</v>
          </cell>
          <cell r="AK10">
            <v>3</v>
          </cell>
          <cell r="AL10">
            <v>2</v>
          </cell>
          <cell r="AM10" t="str">
            <v>$2.218.948.219,00</v>
          </cell>
        </row>
        <row r="11">
          <cell r="A11" t="str">
            <v>010-2025</v>
          </cell>
          <cell r="B11" t="str">
            <v xml:space="preserve">ARRENDAMIENTO </v>
          </cell>
          <cell r="C11" t="str">
            <v>ROSA MIRIAM JOJOA JOSA</v>
          </cell>
          <cell r="D11" t="str">
            <v>CC</v>
          </cell>
          <cell r="E11">
            <v>30744044</v>
          </cell>
          <cell r="F11">
            <v>6</v>
          </cell>
          <cell r="G11" t="str">
            <v xml:space="preserve">CONTRATACION DIRECTA </v>
          </cell>
          <cell r="H11">
            <v>1</v>
          </cell>
          <cell r="I11" t="str">
            <v>ARRENDAMIENTO DE UN INMUEBLE UBICADO EN EL SECTOR DEL PUERTO DEL CORREGIMIENTO DEL ENCANO PARA EL PARQUEO DE LA AMBULANCIA. EL PARQUEADERO DEBER CONTAR CON DIMENSIONES QUE GARANTICEN SEGURIDAD EN INFRAESTRUCTURA, HIGIENE Y ESPACIO PARA EVITAR RIESGOS DE DAÑOS Y ROBO DIMENSION APROXIMADA DE 40 METROS CUADRADOS.</v>
          </cell>
          <cell r="J11">
            <v>1</v>
          </cell>
          <cell r="K11" t="str">
            <v>$1.338.000,00</v>
          </cell>
          <cell r="L11">
            <v>45658</v>
          </cell>
          <cell r="M11">
            <v>45838</v>
          </cell>
          <cell r="N11" t="str">
            <v>ALBA LUCIA MORA BENAVIDES</v>
          </cell>
          <cell r="O11">
            <v>59822566</v>
          </cell>
          <cell r="P11" t="str">
            <v>casbuho@gmail.com</v>
          </cell>
          <cell r="Q11">
            <v>45658</v>
          </cell>
          <cell r="R11" t="str">
            <v>ANDRES GUERRA</v>
          </cell>
          <cell r="U11" t="str">
            <v>CELEBRADO</v>
          </cell>
          <cell r="W11" t="str">
            <v>2025-0007</v>
          </cell>
          <cell r="X11" t="str">
            <v>2025-0018</v>
          </cell>
          <cell r="AJ11">
            <v>2</v>
          </cell>
          <cell r="AK11">
            <v>0</v>
          </cell>
          <cell r="AL11">
            <v>2</v>
          </cell>
          <cell r="AM11" t="str">
            <v>$1.338.000,00</v>
          </cell>
        </row>
        <row r="12">
          <cell r="A12" t="str">
            <v>011-2025</v>
          </cell>
          <cell r="B12" t="str">
            <v>PRESTACION DE SERVICIOS</v>
          </cell>
          <cell r="C12" t="str">
            <v>FUNDACION JARDIN DE ESPERANZAS</v>
          </cell>
          <cell r="D12" t="str">
            <v>NIT</v>
          </cell>
          <cell r="E12">
            <v>900492917</v>
          </cell>
          <cell r="F12">
            <v>3</v>
          </cell>
          <cell r="G12" t="str">
            <v xml:space="preserve">CONTRATACION DIRECTA </v>
          </cell>
          <cell r="H12">
            <v>2</v>
          </cell>
          <cell r="I12" t="str">
            <v>PRESTAR LOS SERVICIOS DE PREPARACION, LOGISTICA Y DISTRIBUCION DE DIETAS TERAPEUTICAS A PACIENTES HOSPITALIZADOS Y EN OBSERVACION. ACORDE A LA ORDEN MEDICA Y NECESIDADES DE CADA PACIENTE. EN LAS SEDES DE LA EMPRESA SOCIAL DEL ESTADO PASTO SALUD ESE QUE PRESTEN ESTOS SERVICIOS</v>
          </cell>
          <cell r="J12">
            <v>1</v>
          </cell>
          <cell r="K12" t="str">
            <v>$320.000.000,00</v>
          </cell>
          <cell r="L12">
            <v>45658</v>
          </cell>
          <cell r="M12">
            <v>45900</v>
          </cell>
          <cell r="N12" t="str">
            <v>RODRIGO DE JESUS VITERI MORENO</v>
          </cell>
          <cell r="O12">
            <v>98390119</v>
          </cell>
          <cell r="P12" t="str">
            <v>fundacionjdeelectronica@gmail.com</v>
          </cell>
          <cell r="Q12">
            <v>45658</v>
          </cell>
          <cell r="R12" t="str">
            <v>ELIANA BENAVIDES</v>
          </cell>
          <cell r="U12" t="str">
            <v>CELEBRADO</v>
          </cell>
          <cell r="W12" t="str">
            <v>2025-0004</v>
          </cell>
          <cell r="X12" t="str">
            <v>2025-0041</v>
          </cell>
          <cell r="AB12" t="str">
            <v>PRORROGA</v>
          </cell>
          <cell r="AJ12">
            <v>1</v>
          </cell>
          <cell r="AK12">
            <v>2</v>
          </cell>
          <cell r="AL12">
            <v>2</v>
          </cell>
          <cell r="AM12" t="str">
            <v>$320.000.000,00</v>
          </cell>
        </row>
        <row r="13">
          <cell r="A13" t="str">
            <v>012-2025</v>
          </cell>
          <cell r="B13" t="str">
            <v>PRESTACION DE SERVICIOS</v>
          </cell>
          <cell r="C13" t="str">
            <v>TANIA ESTEFANIA BENITEZ MELO</v>
          </cell>
          <cell r="D13" t="str">
            <v>CC</v>
          </cell>
          <cell r="E13">
            <v>1085947462</v>
          </cell>
          <cell r="F13">
            <v>4</v>
          </cell>
          <cell r="G13" t="str">
            <v xml:space="preserve">CONTRATACION DIRECTA </v>
          </cell>
          <cell r="H13">
            <v>1</v>
          </cell>
          <cell r="I13" t="str">
            <v>PRESTACION DE SERVICIOS DE UN PROFESIONAL EN INGENIERIA DE SISTEMAS PARA LA GENERACION, GESTION DE DATOS Y ANALISIS DE LA INFORMACION PARA LA EMPRESA SOCIAL DEL ESTADO PASTO SALUD E.S.E.</v>
          </cell>
          <cell r="J13">
            <v>1</v>
          </cell>
          <cell r="K13" t="str">
            <v>$22.145.562,00</v>
          </cell>
          <cell r="L13">
            <v>45658</v>
          </cell>
          <cell r="M13">
            <v>45900</v>
          </cell>
          <cell r="N13" t="str">
            <v>LYDA ARGELIS PABON LOPEZ</v>
          </cell>
          <cell r="O13">
            <v>52229702</v>
          </cell>
          <cell r="P13" t="str">
            <v>beniteztaniae@gmail.com</v>
          </cell>
          <cell r="Q13">
            <v>45658</v>
          </cell>
          <cell r="R13" t="str">
            <v>ELIANA BENAVIDES</v>
          </cell>
          <cell r="U13" t="str">
            <v>CELEBRADO</v>
          </cell>
          <cell r="W13" t="str">
            <v>2025-0028</v>
          </cell>
          <cell r="X13" t="str">
            <v>2025-0022</v>
          </cell>
          <cell r="AB13" t="str">
            <v>ADICION Y PRORROGA</v>
          </cell>
          <cell r="AJ13">
            <v>1</v>
          </cell>
          <cell r="AK13">
            <v>3</v>
          </cell>
          <cell r="AL13">
            <v>2</v>
          </cell>
          <cell r="AM13" t="str">
            <v>$29.527.416,00</v>
          </cell>
        </row>
        <row r="14">
          <cell r="A14" t="str">
            <v>013-2025</v>
          </cell>
          <cell r="B14" t="str">
            <v>PRESTACION DE SERVICIOS</v>
          </cell>
          <cell r="C14" t="str">
            <v>CLINIZAD SAS</v>
          </cell>
          <cell r="D14" t="str">
            <v>NIT</v>
          </cell>
          <cell r="E14">
            <v>900360269</v>
          </cell>
          <cell r="F14">
            <v>2</v>
          </cell>
          <cell r="G14" t="str">
            <v xml:space="preserve">CONTRATACION DIRECTA </v>
          </cell>
          <cell r="H14">
            <v>1</v>
          </cell>
          <cell r="I14" t="str">
            <v>PRESTACION DEL SERVICIO POR EXTERNALIZACION DEL PROCESAMIENTO Y ENTREGA DE RESULTADOS DE MUESTRAS DE LABORATORIO CLINICO. LO ANTERIOR CONFORME CON LA PROPUESTA ANEXA, LAS OBLIGACIONES, REQUERIMIENTOS Y ESPECIFICACIONES TECNICAS CONTENIDAS EN LOS ESTUDIOS PREVIOS CONVENIENCIA Y OPORTUNIDAD GJEPC 092 CONSECUTIVO NO. 030 DEL 01 DE ENERO DE 2025, ELABORADOS POR LA DRA. MARIA MERCEDES ASCUNTAR, EN SU CONDICION DE PROFESIONAL UNIVERSITARIO DE LA EMPRESA SOCIAL DEL ESTADO PASTO SALUD ESE, RESPECTIVAMENTE, ANEXO MATRIZ DE RIESGOS DOCUMENTOS ANTERIORES QUE HACEN PARTE INTEGRAL DEL PRESENTE CONTRATO</v>
          </cell>
          <cell r="J14">
            <v>1</v>
          </cell>
          <cell r="K14" t="str">
            <v>$108.000.000,00</v>
          </cell>
          <cell r="L14">
            <v>45658</v>
          </cell>
          <cell r="M14">
            <v>45930</v>
          </cell>
          <cell r="N14" t="str">
            <v>LAURA XIMENA SANDOVAL REDONDO</v>
          </cell>
          <cell r="O14">
            <v>30400115</v>
          </cell>
          <cell r="P14" t="str">
            <v>contabilidad@clinizad.com</v>
          </cell>
          <cell r="Q14">
            <v>45658</v>
          </cell>
          <cell r="R14" t="str">
            <v>ANDRES GUERRA</v>
          </cell>
          <cell r="U14" t="str">
            <v>CELEBRADO</v>
          </cell>
          <cell r="W14" t="str">
            <v>2025-0016</v>
          </cell>
          <cell r="X14" t="str">
            <v>2025-0005</v>
          </cell>
          <cell r="AB14" t="str">
            <v>PRORROGA</v>
          </cell>
          <cell r="AJ14">
            <v>1</v>
          </cell>
          <cell r="AK14">
            <v>2</v>
          </cell>
          <cell r="AL14">
            <v>2</v>
          </cell>
          <cell r="AM14" t="str">
            <v>$108.000.000,00</v>
          </cell>
        </row>
        <row r="15">
          <cell r="A15" t="str">
            <v>014-2025</v>
          </cell>
          <cell r="B15" t="str">
            <v>PRESTACION DE SERVICIOS</v>
          </cell>
          <cell r="C15" t="str">
            <v>ADGESTHAL SAS</v>
          </cell>
          <cell r="D15" t="str">
            <v>NIT</v>
          </cell>
          <cell r="E15">
            <v>900499076</v>
          </cell>
          <cell r="F15">
            <v>6</v>
          </cell>
          <cell r="G15" t="str">
            <v xml:space="preserve">CONTRATACION DIRECTA </v>
          </cell>
          <cell r="H15">
            <v>1</v>
          </cell>
          <cell r="I15" t="str">
            <v>PRESTACION DE SERVICIOS DE APOYO A LA GESTION A TRAVES DE PROFESIONALES, TECNOLOGOS, TECNICOS Y DE APOYOS PARA EL DESARROLLO DEL PROCESO DE ATENCION AL CLIENTE ASISTENCIAL EN LOS SERVICIOS DE ATENCION AMBULATORIA, URGENCIAS, HOSPITALIZACION, QUIROFANOS, APOYO DIAGNOSTICO Y EL PROCESO DE APOYO ADMINISTRATIVO GERENCIA DE LA INFORMACION Y COMUNICACION, AMBIENTE FISICO, GESTION DE LA TECNOLOGIA EN LAS SEDES ASISTENCIALES, SEDE ADMINISTRATIVA, AMBULANCIAS Y UNIDADES MOVILES QUE CONFORMAN LA RED DE PRESTACION DE SERVICIOS DE LA EMPRESA SOCIAL DEL ESTADO PASTO SALUD E.S.E.</v>
          </cell>
          <cell r="J15">
            <v>1</v>
          </cell>
          <cell r="K15" t="str">
            <v>$11.819.377.309,59</v>
          </cell>
          <cell r="L15">
            <v>45658</v>
          </cell>
          <cell r="M15">
            <v>45900</v>
          </cell>
          <cell r="N15" t="str">
            <v xml:space="preserve">        RODRIGO DE JESUS VITERI MORENO, ANGELA DANIELA RODRIGUEZ GOYES</v>
          </cell>
          <cell r="O15">
            <v>98390119</v>
          </cell>
          <cell r="P15" t="str">
            <v>adgesthalsas@gmail.com</v>
          </cell>
          <cell r="Q15">
            <v>45658</v>
          </cell>
          <cell r="R15" t="str">
            <v>RODRIGO ROSERO</v>
          </cell>
          <cell r="U15" t="str">
            <v>CELEBRADO</v>
          </cell>
          <cell r="W15" t="str">
            <v>2025-0046</v>
          </cell>
          <cell r="X15" t="str">
            <v>2025-0007</v>
          </cell>
          <cell r="AB15" t="str">
            <v>ADICION Y PRORROGA</v>
          </cell>
          <cell r="AJ15">
            <v>1</v>
          </cell>
          <cell r="AK15">
            <v>3</v>
          </cell>
          <cell r="AL15">
            <v>2</v>
          </cell>
          <cell r="AM15" t="str">
            <v>$11.819.377.309,59</v>
          </cell>
        </row>
        <row r="16">
          <cell r="A16" t="str">
            <v>015-2025</v>
          </cell>
          <cell r="B16" t="str">
            <v>PRESTACION DE SERVICIOS</v>
          </cell>
          <cell r="C16" t="str">
            <v>SP SISTEMAS PALACIOS LTDA</v>
          </cell>
          <cell r="D16" t="str">
            <v>NIT</v>
          </cell>
          <cell r="E16">
            <v>900163149</v>
          </cell>
          <cell r="F16">
            <v>2</v>
          </cell>
          <cell r="G16" t="str">
            <v xml:space="preserve">CONTRATACION DIRECTA </v>
          </cell>
          <cell r="H16">
            <v>2</v>
          </cell>
          <cell r="I16" t="str">
            <v>PRESTAR EL SERVICIO DE SEGURIDAD PERIMETRAL PARA LAS 22 SEDES Y LA SEDE ADMINISTRATIVA DE LA EMPRESA SOCIAL DEL ESTADO PASTO SALUD E.S.E.</v>
          </cell>
          <cell r="J16">
            <v>1</v>
          </cell>
          <cell r="K16" t="str">
            <v>$39.861.000,00</v>
          </cell>
          <cell r="L16">
            <v>45658</v>
          </cell>
          <cell r="M16">
            <v>45899</v>
          </cell>
          <cell r="N16" t="str">
            <v xml:space="preserve">	LYDA ARGELIS PABON LOPEZ</v>
          </cell>
          <cell r="O16">
            <v>52229702</v>
          </cell>
          <cell r="P16" t="str">
            <v>contabilidad@sistemaspalacios.com</v>
          </cell>
          <cell r="Q16">
            <v>45658</v>
          </cell>
          <cell r="R16" t="str">
            <v>RODRIGO ROSERO</v>
          </cell>
          <cell r="U16" t="str">
            <v>CELEBRADO</v>
          </cell>
          <cell r="W16" t="str">
            <v>2025-0024</v>
          </cell>
          <cell r="X16" t="str">
            <v>2025-0009</v>
          </cell>
          <cell r="AB16" t="str">
            <v>ADICION Y PRORROGA</v>
          </cell>
          <cell r="AJ16">
            <v>1</v>
          </cell>
          <cell r="AK16">
            <v>3</v>
          </cell>
          <cell r="AL16">
            <v>2</v>
          </cell>
          <cell r="AM16" t="str">
            <v>$39.861.000,00</v>
          </cell>
        </row>
        <row r="17">
          <cell r="A17" t="str">
            <v>016-2025</v>
          </cell>
          <cell r="B17" t="str">
            <v>PRESTACION DE SERVICIOS</v>
          </cell>
          <cell r="C17" t="str">
            <v>JUAN CARLOS REINA (CENTRO MOTORS AUTOMOTRIZ)</v>
          </cell>
          <cell r="D17" t="str">
            <v>CC</v>
          </cell>
          <cell r="E17">
            <v>98382607</v>
          </cell>
          <cell r="F17">
            <v>5</v>
          </cell>
          <cell r="G17" t="str">
            <v xml:space="preserve">CONTRATACION DIRECTA </v>
          </cell>
          <cell r="H17">
            <v>1</v>
          </cell>
          <cell r="I17" t="str">
            <v>PRESTAR EL SERVICIO DE MANTENIMIENTO INTEGRAL PREVENTIVO Y CORRECTIVO CON SUMINISTRO DE REPUESTOS, PARTES ELECTRICAS Y OTROS REPUESTOS, ELEMENTOS, INSUMOS Y MANO DE OBRA QUE SEAN NECESARIAS PARA GARANTIZAR EL FUNCIONAMIENTO DEL PARQUE AUTOMOTOR DE LA ENTIDAD.</v>
          </cell>
          <cell r="J17">
            <v>1</v>
          </cell>
          <cell r="K17" t="str">
            <v>$145.000.000,00</v>
          </cell>
          <cell r="L17">
            <v>45658</v>
          </cell>
          <cell r="M17">
            <v>46022</v>
          </cell>
          <cell r="N17" t="str">
            <v>LEYDI MAGALI BENAVIDES BASTIDAS</v>
          </cell>
          <cell r="O17">
            <v>1086017548</v>
          </cell>
          <cell r="P17" t="str">
            <v>tormentand@gmail.com</v>
          </cell>
          <cell r="Q17">
            <v>45658</v>
          </cell>
          <cell r="R17" t="str">
            <v>NATALIA ERAZO</v>
          </cell>
          <cell r="U17" t="str">
            <v>CELEBRADO</v>
          </cell>
          <cell r="W17" t="str">
            <v>2025-0037</v>
          </cell>
          <cell r="X17" t="str">
            <v>2025-0010</v>
          </cell>
          <cell r="AB17" t="str">
            <v>ADICION Y PRORROGA</v>
          </cell>
          <cell r="AJ17">
            <v>1</v>
          </cell>
          <cell r="AK17">
            <v>3</v>
          </cell>
          <cell r="AL17">
            <v>2</v>
          </cell>
          <cell r="AM17" t="str">
            <v>$145.000.000,00</v>
          </cell>
        </row>
        <row r="18">
          <cell r="A18" t="str">
            <v>017-2025</v>
          </cell>
          <cell r="B18" t="str">
            <v>PRESTACION DE SERVICIOS</v>
          </cell>
          <cell r="C18" t="str">
            <v>DISTRIBUIDORA DE TECNOLOGIAS INGENIERIAS Y COMUNICACIONES SAS</v>
          </cell>
          <cell r="D18" t="str">
            <v>NIT</v>
          </cell>
          <cell r="E18">
            <v>900444965</v>
          </cell>
          <cell r="F18">
            <v>2</v>
          </cell>
          <cell r="G18" t="str">
            <v xml:space="preserve">CONTRATACION DIRECTA </v>
          </cell>
          <cell r="H18">
            <v>2</v>
          </cell>
          <cell r="I18" t="str">
            <v>PRESTACION DEL SERVICIO DE RADIOFRECUENCIAS PARA LA RED DE RADIOCOMUNICACIONES DE LA EMPRESA SOCIAL DEL ESTADO PASTO SALUD E.S.E. Y CUSTODIA DE LOS EQUIPOS PROPIEDAD DE PASTO SALUD E.S.E</v>
          </cell>
          <cell r="J18">
            <v>1</v>
          </cell>
          <cell r="K18" t="str">
            <v>$8.404.380,00</v>
          </cell>
          <cell r="L18">
            <v>45658</v>
          </cell>
          <cell r="M18">
            <v>45838</v>
          </cell>
          <cell r="N18" t="str">
            <v>LYDA ARGELIS PABON LOPEZ</v>
          </cell>
          <cell r="O18">
            <v>52229702</v>
          </cell>
          <cell r="P18" t="str">
            <v>diteccolombia@gmail.com</v>
          </cell>
          <cell r="Q18">
            <v>45658</v>
          </cell>
          <cell r="R18" t="str">
            <v>CRISTINA ROSERO</v>
          </cell>
          <cell r="U18" t="str">
            <v>CELEBRADO</v>
          </cell>
          <cell r="W18" t="str">
            <v>2025-0025</v>
          </cell>
          <cell r="X18" t="str">
            <v>2025-0012</v>
          </cell>
          <cell r="AJ18">
            <v>2</v>
          </cell>
          <cell r="AK18">
            <v>0</v>
          </cell>
          <cell r="AL18">
            <v>2</v>
          </cell>
          <cell r="AM18" t="str">
            <v>$8.404.380,00</v>
          </cell>
        </row>
        <row r="19">
          <cell r="A19" t="str">
            <v>018-2025</v>
          </cell>
          <cell r="B19" t="str">
            <v>PRESTACION DE SERVICIOS</v>
          </cell>
          <cell r="C19" t="str">
            <v>INSTITUTO RADIOLOGICO DEL SUR SAS</v>
          </cell>
          <cell r="D19" t="str">
            <v>NIT</v>
          </cell>
          <cell r="E19">
            <v>814004822</v>
          </cell>
          <cell r="F19">
            <v>9</v>
          </cell>
          <cell r="G19" t="str">
            <v xml:space="preserve">CONTRATACION DIRECTA </v>
          </cell>
          <cell r="H19">
            <v>2</v>
          </cell>
          <cell r="I19" t="str">
            <v>PRESTAR SERVICIOS POR EXTERNALIZACION DE TOMA Y LECTURA DE ECOGRAFIAS</v>
          </cell>
          <cell r="J19">
            <v>1</v>
          </cell>
          <cell r="K19" t="str">
            <v>$350.000.000,00</v>
          </cell>
          <cell r="L19">
            <v>45658</v>
          </cell>
          <cell r="M19">
            <v>45777</v>
          </cell>
          <cell r="N19" t="str">
            <v>RIGOBERTO MELO ZAMBRANO</v>
          </cell>
          <cell r="O19">
            <v>98333941</v>
          </cell>
          <cell r="P19" t="str">
            <v>irs.pasto.contabilidad@gmail.com</v>
          </cell>
          <cell r="Q19">
            <v>45658</v>
          </cell>
          <cell r="R19" t="str">
            <v>JUAN GOMEZ</v>
          </cell>
          <cell r="U19" t="str">
            <v>CELEBRADO</v>
          </cell>
          <cell r="W19" t="str">
            <v>2025-0035</v>
          </cell>
          <cell r="X19" t="str">
            <v>2025-0014</v>
          </cell>
          <cell r="AB19" t="str">
            <v>PRORROGA</v>
          </cell>
          <cell r="AJ19">
            <v>1</v>
          </cell>
          <cell r="AK19">
            <v>1</v>
          </cell>
          <cell r="AL19">
            <v>2</v>
          </cell>
          <cell r="AM19" t="str">
            <v>$350.000.000,00</v>
          </cell>
        </row>
        <row r="20">
          <cell r="A20" t="str">
            <v>019-2025</v>
          </cell>
          <cell r="B20" t="str">
            <v>PRESTACION DE SERVICIOS</v>
          </cell>
          <cell r="C20" t="str">
            <v>INSTITUTO RADIOLOGICO DEL SUR SAS</v>
          </cell>
          <cell r="D20" t="str">
            <v>NIT</v>
          </cell>
          <cell r="E20">
            <v>814004822</v>
          </cell>
          <cell r="F20">
            <v>9</v>
          </cell>
          <cell r="G20" t="str">
            <v xml:space="preserve">CONTRATACION DIRECTA </v>
          </cell>
          <cell r="H20">
            <v>2</v>
          </cell>
          <cell r="I20" t="str">
            <v>PRESTACION DEL SERVICIO DE TOMA Y LECTURA DE RADIOGRAFIAS DE BAJA Y MEDIANA COMPLEJIDAD.</v>
          </cell>
          <cell r="J20">
            <v>1</v>
          </cell>
          <cell r="K20" t="str">
            <v>$300.000.000,00</v>
          </cell>
          <cell r="L20">
            <v>45658</v>
          </cell>
          <cell r="M20">
            <v>45777</v>
          </cell>
          <cell r="N20" t="str">
            <v>RIGOBERTO MELO ZAMBRANO</v>
          </cell>
          <cell r="O20">
            <v>98333941</v>
          </cell>
          <cell r="P20" t="str">
            <v>irs.pasto.contabilidad@gmail.com</v>
          </cell>
          <cell r="Q20">
            <v>45658</v>
          </cell>
          <cell r="R20" t="str">
            <v>ELIANA BENAVIDES</v>
          </cell>
          <cell r="U20" t="str">
            <v>CELEBRADO</v>
          </cell>
          <cell r="W20" t="str">
            <v>2025-0034</v>
          </cell>
          <cell r="X20" t="str">
            <v>2025-0015</v>
          </cell>
          <cell r="AB20" t="str">
            <v>PRORROGA</v>
          </cell>
          <cell r="AJ20">
            <v>1</v>
          </cell>
          <cell r="AK20">
            <v>1</v>
          </cell>
          <cell r="AL20">
            <v>2</v>
          </cell>
          <cell r="AM20" t="str">
            <v>$300.000.000,00</v>
          </cell>
        </row>
        <row r="21">
          <cell r="A21" t="str">
            <v>020-2025</v>
          </cell>
          <cell r="B21" t="str">
            <v>SUMINISTROS</v>
          </cell>
          <cell r="C21" t="str">
            <v>OXIGENOS DEL SUR S.A.S</v>
          </cell>
          <cell r="D21" t="str">
            <v>NIT</v>
          </cell>
          <cell r="E21">
            <v>814004018</v>
          </cell>
          <cell r="F21">
            <v>3</v>
          </cell>
          <cell r="G21" t="str">
            <v xml:space="preserve">CONTRATACION DIRECTA </v>
          </cell>
          <cell r="H21">
            <v>2</v>
          </cell>
          <cell r="I21" t="str">
            <v>SUMINISTRO DE OXIGENO MEDICINAL INSTITUCIONAL Y DOMICILIARIO PARA LOS PACIENTES QUE LO REQUIERAN Y QUE HAN SIDO ATENDIDOS EN LAS SEDES DE LA RED DE PASTO SALUD ESE</v>
          </cell>
          <cell r="J21">
            <v>1</v>
          </cell>
          <cell r="K21" t="str">
            <v>$20.000.000,00</v>
          </cell>
          <cell r="L21">
            <v>45658</v>
          </cell>
          <cell r="M21">
            <v>45777</v>
          </cell>
          <cell r="N21" t="str">
            <v>NENA DEL CARMEN RAMIREZ RAMIREZ</v>
          </cell>
          <cell r="O21">
            <v>30732589</v>
          </cell>
          <cell r="P21" t="str">
            <v>contabilidad@oxigenosdelsur.com</v>
          </cell>
          <cell r="Q21">
            <v>45658</v>
          </cell>
          <cell r="R21" t="str">
            <v>JUAN GOMEZ</v>
          </cell>
          <cell r="U21" t="str">
            <v>CELEBRADO</v>
          </cell>
          <cell r="W21" t="str">
            <v>2025-0032</v>
          </cell>
          <cell r="X21" t="str">
            <v>2025-0017</v>
          </cell>
          <cell r="AJ21">
            <v>2</v>
          </cell>
          <cell r="AK21">
            <v>0</v>
          </cell>
          <cell r="AL21">
            <v>2</v>
          </cell>
          <cell r="AM21" t="str">
            <v>$20.000.000,00</v>
          </cell>
        </row>
        <row r="22">
          <cell r="A22" t="str">
            <v>021-2025</v>
          </cell>
          <cell r="B22" t="str">
            <v>PRESTACION DE SERVICIOS</v>
          </cell>
          <cell r="C22" t="str">
            <v>CONTROL CALIDAD RX S.A.S</v>
          </cell>
          <cell r="D22" t="str">
            <v>NIT</v>
          </cell>
          <cell r="E22">
            <v>901392080</v>
          </cell>
          <cell r="F22">
            <v>9</v>
          </cell>
          <cell r="G22" t="str">
            <v xml:space="preserve">CONTRATACION DIRECTA </v>
          </cell>
          <cell r="H22">
            <v>2</v>
          </cell>
          <cell r="I22" t="str">
            <v>PRESTACION DEL SERVICIO GLOBAL DE DOSIMETRIA PERSONAL, LECTURA E INFORMES MENSUALES PARA EL PERSONAL OCUPACIONALMENTE EXPUESTO TOE DE LAS SEDES QUE TENGAN HABILITADO EL SERVICIO DE RADIOLOGIA EN PASTO SALUD ESE.</v>
          </cell>
          <cell r="J22">
            <v>1</v>
          </cell>
          <cell r="K22" t="str">
            <v>$1.998.000,00</v>
          </cell>
          <cell r="L22">
            <v>45658</v>
          </cell>
          <cell r="M22">
            <v>46022</v>
          </cell>
          <cell r="N22" t="str">
            <v xml:space="preserve">	MARIO FERNADO NARANJO LOPEZ</v>
          </cell>
          <cell r="O22">
            <v>1004189613</v>
          </cell>
          <cell r="P22" t="str">
            <v>rxcontrolcalidad@gmail.com</v>
          </cell>
          <cell r="Q22">
            <v>45658</v>
          </cell>
          <cell r="R22" t="str">
            <v>ANDRES GUERRA</v>
          </cell>
          <cell r="U22" t="str">
            <v>CELEBRADO</v>
          </cell>
          <cell r="W22" t="str">
            <v>2025-0033</v>
          </cell>
          <cell r="X22" t="str">
            <v>2025-0019</v>
          </cell>
          <cell r="AJ22">
            <v>2</v>
          </cell>
          <cell r="AK22">
            <v>0</v>
          </cell>
          <cell r="AL22">
            <v>2</v>
          </cell>
          <cell r="AM22" t="str">
            <v>$1.998.000,00</v>
          </cell>
        </row>
        <row r="23">
          <cell r="A23" t="str">
            <v>022-2025</v>
          </cell>
          <cell r="B23" t="str">
            <v>PRESTACION DE SERVICIOS</v>
          </cell>
          <cell r="C23" t="str">
            <v>ADRIAN ALEJANDRO GUZMAN CHICAIZA</v>
          </cell>
          <cell r="D23" t="str">
            <v>CC</v>
          </cell>
          <cell r="E23">
            <v>1004217212</v>
          </cell>
          <cell r="F23">
            <v>4</v>
          </cell>
          <cell r="G23" t="str">
            <v xml:space="preserve">CONTRATACION DIRECTA </v>
          </cell>
          <cell r="H23">
            <v>1</v>
          </cell>
          <cell r="I23" t="str">
            <v>PRESTAR LOS SERVICIOS PARA EL FUNCIONAMIENTO Y OPERACION DE UN CENTRO DE CONTACTOS TELEFONICOS CALL CENTER CON EL FIN DE CUMPLIR Y RESPONDER A SUS PROCESOS OPERATIVOS Y MISIONALES DE LA EMPRESA SOCIAL DEL ESTADO PASTO SALUD</v>
          </cell>
          <cell r="J23">
            <v>1</v>
          </cell>
          <cell r="K23" t="str">
            <v>$39.644.700,00</v>
          </cell>
          <cell r="L23">
            <v>45658</v>
          </cell>
          <cell r="M23">
            <v>45777</v>
          </cell>
          <cell r="N23" t="str">
            <v xml:space="preserve">	LYDA ARGELIS PABON LOPEZ</v>
          </cell>
          <cell r="O23">
            <v>52229702</v>
          </cell>
          <cell r="P23" t="str">
            <v>adrianguzmanch123@gmail.com</v>
          </cell>
          <cell r="Q23">
            <v>45658</v>
          </cell>
          <cell r="R23" t="str">
            <v>ELIANA BENAVIDES</v>
          </cell>
          <cell r="U23" t="str">
            <v>CELEBRADO</v>
          </cell>
          <cell r="W23" t="str">
            <v>2025-0018</v>
          </cell>
          <cell r="X23" t="str">
            <v>2025-0021</v>
          </cell>
          <cell r="AJ23">
            <v>2</v>
          </cell>
          <cell r="AK23">
            <v>0</v>
          </cell>
          <cell r="AL23">
            <v>4</v>
          </cell>
          <cell r="AM23" t="str">
            <v>$39.644.700,00</v>
          </cell>
        </row>
        <row r="24">
          <cell r="A24" t="str">
            <v>023-2025</v>
          </cell>
          <cell r="B24" t="str">
            <v>PRESTACION DE SERVICIOS</v>
          </cell>
          <cell r="C24" t="str">
            <v>SEGURIDAD DEL SUR LTDA</v>
          </cell>
          <cell r="D24" t="str">
            <v>NIT</v>
          </cell>
          <cell r="E24">
            <v>800085349</v>
          </cell>
          <cell r="F24">
            <v>1</v>
          </cell>
          <cell r="G24" t="str">
            <v xml:space="preserve">CONTRATACION DIRECTA </v>
          </cell>
          <cell r="H24">
            <v>2</v>
          </cell>
          <cell r="I24" t="str">
            <v>SERVICIO DE VIGILANCIA Y SEGURIDAD PRIVADA CON TALENTO HUMANO EN LOS CENTROS DE SALUD Y SEDE ADMINISTRATIVA Y EL SERVICIO DE SISTEMA DE ALARMA MONITOREADA CON COMUNICACION GPRS GSM SMS QUE GARANTICEN LA SEGURIDAD DE LAS PERSONAS Y TODOS LOS BIENES MUEBLES E INMUEBLES DE PASTO SALUD ESE Y DE AQUELLOS QUE SE ENCUENTREN BAJO SU RESPONSABILIDAD EN LAS DIFERENTES IPS Y SEDE ADMINISTRATIVA.</v>
          </cell>
          <cell r="J24">
            <v>1</v>
          </cell>
          <cell r="K24" t="str">
            <v>$555.000.000,00</v>
          </cell>
          <cell r="L24">
            <v>45658</v>
          </cell>
          <cell r="M24">
            <v>45747</v>
          </cell>
          <cell r="N24" t="str">
            <v xml:space="preserve">	LEYDI MAGALI BENAVIDES BASTIDAS</v>
          </cell>
          <cell r="O24">
            <v>1086017548</v>
          </cell>
          <cell r="P24" t="str">
            <v>contabilidad@seguridaddelsur.net</v>
          </cell>
          <cell r="Q24">
            <v>45658</v>
          </cell>
          <cell r="R24" t="str">
            <v>JUAN GOMEZ</v>
          </cell>
          <cell r="U24" t="str">
            <v>CELEBRADO</v>
          </cell>
          <cell r="W24" t="str">
            <v>2025-0045</v>
          </cell>
          <cell r="X24" t="str">
            <v>2025-0023</v>
          </cell>
          <cell r="AB24" t="str">
            <v>ADICION Y PRORROGA</v>
          </cell>
          <cell r="AJ24">
            <v>1</v>
          </cell>
          <cell r="AK24">
            <v>1</v>
          </cell>
          <cell r="AL24">
            <v>3</v>
          </cell>
          <cell r="AM24" t="str">
            <v>$555.000.000,00</v>
          </cell>
        </row>
        <row r="25">
          <cell r="A25" t="str">
            <v>024-2025</v>
          </cell>
          <cell r="B25" t="str">
            <v>PRESTACION DE SERVICIOS</v>
          </cell>
          <cell r="C25" t="str">
            <v>SOLUCIONES INTEGRALES DE INGENIERIA LR S.A.S</v>
          </cell>
          <cell r="D25" t="str">
            <v>NIT</v>
          </cell>
          <cell r="E25">
            <v>901095545</v>
          </cell>
          <cell r="F25">
            <v>8</v>
          </cell>
          <cell r="G25" t="str">
            <v xml:space="preserve">CONTRATACION DIRECTA </v>
          </cell>
          <cell r="H25">
            <v>2</v>
          </cell>
          <cell r="I25" t="str">
            <v>PRESTAR EL SERVICIO DE IMPRESION PARA LAS 22 SEDES Y LA SEDE ADMINISTRATIVA DE LA EMPRESA SOCIAL DEL ESTADO PASTO SALUD E.S.E</v>
          </cell>
          <cell r="J25">
            <v>1</v>
          </cell>
          <cell r="K25" t="str">
            <v>$65.204.653,00</v>
          </cell>
          <cell r="L25">
            <v>45658</v>
          </cell>
          <cell r="M25">
            <v>45838</v>
          </cell>
          <cell r="N25" t="str">
            <v xml:space="preserve">	LYDA ARGELIS PABON LOPEZ</v>
          </cell>
          <cell r="O25">
            <v>52229702</v>
          </cell>
          <cell r="P25" t="str">
            <v>sideingenieriasas@gmail.com</v>
          </cell>
          <cell r="Q25">
            <v>45658</v>
          </cell>
          <cell r="R25" t="str">
            <v>RODRIGO ROSERO</v>
          </cell>
          <cell r="U25" t="str">
            <v>CELEBRADO</v>
          </cell>
          <cell r="W25" t="str">
            <v>2025-0027</v>
          </cell>
          <cell r="X25" t="str">
            <v>2025-0027</v>
          </cell>
          <cell r="AJ25">
            <v>2</v>
          </cell>
          <cell r="AK25">
            <v>0</v>
          </cell>
          <cell r="AL25">
            <v>2</v>
          </cell>
          <cell r="AM25" t="str">
            <v>$65.204.653,00</v>
          </cell>
        </row>
        <row r="26">
          <cell r="A26" t="str">
            <v>025-2025</v>
          </cell>
          <cell r="B26" t="str">
            <v>PRESTACION DE SERVICIOS</v>
          </cell>
          <cell r="C26" t="str">
            <v>JHON JAIRO ROSERO BOLAÑOS (COPYPARTES)</v>
          </cell>
          <cell r="D26" t="str">
            <v>CC</v>
          </cell>
          <cell r="E26">
            <v>12746875</v>
          </cell>
          <cell r="F26">
            <v>3</v>
          </cell>
          <cell r="G26" t="str">
            <v xml:space="preserve">CONTRATACION DIRECTA </v>
          </cell>
          <cell r="H26">
            <v>1</v>
          </cell>
          <cell r="I26" t="str">
            <v>EL CONTRATISTA SE OBLIGA A PRESTAR LOS SIGUIENTES SERVICIOS A MANTENIMIENTO PREVENTIVO YO CORRECTIVO DE LOS EQUIPOS INFORMATICOS, UPS, COMUNICACIONES Y EQUIPOS PERIFERICOS RADIOS DE COMUNICACIONES, TELEFONOS, TELEVISORES, EQUIPO DE AUDIO Y VIDEO Y OTROS EQUIPOS ELECTRONICOS Y ELECTRICOS, INCLUIDO LA MANO DE OBRA, SUMINISTRO DE INSUMOS Y SUMINISTRO DE REPUESTOS, PARA LAS 22 SEDES, SEDE ADMINISTRATIVA, SIETE 7 AMBULANCIAS Y TRES 3 UNIDADES MOVILES DE LA EMPRESA SOCIAL DEL ESTADO PASTO SALUD E.S.E. B PRESTAR SERVICIOS ESPECIALIZADOS DE MANTENIMIENTO A SOFTWARE Y SOPORTE LOGICO A BASES DE DATOS, ASI COMO ACTUALIZACION Y PARCHES DE SEGURIDAD, OPTIMIZACION Y PARAMETRIZACION DEL RENDIMIENTO COMO AJUSTES PARA LA EFICIENCIA OPERATIVA. LO ANTERIOR, CON EL FIN DE CUMPLIR Y RESPONDER A LOS PROCESOS OPERATIVOS Y MISIONALES DE LA EMPRESA SOCIAL DEL ESTADO PASTO SALUD E.S.E</v>
          </cell>
          <cell r="J26">
            <v>1</v>
          </cell>
          <cell r="K26" t="str">
            <v xml:space="preserve"> $217.000.000,00</v>
          </cell>
          <cell r="L26">
            <v>45658</v>
          </cell>
          <cell r="M26">
            <v>45838</v>
          </cell>
          <cell r="N26" t="str">
            <v>LYDA ARGELIS PABON LOPEZ</v>
          </cell>
          <cell r="O26">
            <v>52229702</v>
          </cell>
          <cell r="P26" t="str">
            <v>ventascopypartes@gmail.com</v>
          </cell>
          <cell r="Q26">
            <v>45658</v>
          </cell>
          <cell r="R26" t="str">
            <v>NATALIA ERAZO</v>
          </cell>
          <cell r="U26" t="str">
            <v>CELEBRADO</v>
          </cell>
          <cell r="W26" t="str">
            <v>2025-0026</v>
          </cell>
          <cell r="X26" t="str">
            <v>2025-0026</v>
          </cell>
          <cell r="AJ26">
            <v>2</v>
          </cell>
          <cell r="AK26">
            <v>0</v>
          </cell>
          <cell r="AL26">
            <v>2</v>
          </cell>
          <cell r="AM26" t="str">
            <v>$217.000.000,00</v>
          </cell>
        </row>
        <row r="27">
          <cell r="A27" t="str">
            <v>026-2025</v>
          </cell>
          <cell r="B27" t="str">
            <v>OBRA</v>
          </cell>
          <cell r="C27" t="str">
            <v>LABORATORIO BIOMETRICAL S.A.S</v>
          </cell>
          <cell r="D27" t="str">
            <v>NIT</v>
          </cell>
          <cell r="E27">
            <v>900709554</v>
          </cell>
          <cell r="F27">
            <v>8</v>
          </cell>
          <cell r="G27" t="str">
            <v xml:space="preserve">CONTRATACION DIRECTA </v>
          </cell>
          <cell r="H27">
            <v>2</v>
          </cell>
          <cell r="I27" t="str">
            <v>La Empresa Social del Estado Pasto Salud ESE requiere contratar el "MANTENIMIENTO PREVENTIVO, CORRECTIVO Y FORTUITOS DE LA INFRAESTRUCTURA HOSPITALARIA DE LA RED DE PRESTACIÓN DE SERVICIOS Y SEDE ADMINISTRATIVA DE LA EMPRESA SOCIAL DEL ESTADO PASTO SALUD E.S.E. PERIODO ENERO-MARZO - 2025</v>
          </cell>
          <cell r="J27">
            <v>5</v>
          </cell>
          <cell r="K27" t="str">
            <v>$426.157.521,45</v>
          </cell>
          <cell r="L27">
            <v>45658</v>
          </cell>
          <cell r="M27">
            <v>45792</v>
          </cell>
          <cell r="N27" t="str">
            <v xml:space="preserve">	SEBASTIAN GRANJA ORDOÑEZ</v>
          </cell>
          <cell r="O27">
            <v>1085316703</v>
          </cell>
          <cell r="P27" t="str">
            <v>biometrical.pasto@gmail.com</v>
          </cell>
          <cell r="Q27">
            <v>45658</v>
          </cell>
          <cell r="R27" t="str">
            <v>RODRIGO ROSERO</v>
          </cell>
          <cell r="U27" t="str">
            <v>CELEBRADO</v>
          </cell>
          <cell r="W27" t="str">
            <v>2025-0009</v>
          </cell>
          <cell r="X27" t="str">
            <v>2025-0028</v>
          </cell>
          <cell r="AB27" t="str">
            <v>ADICION Y PRORROGA</v>
          </cell>
          <cell r="AJ27">
            <v>1</v>
          </cell>
          <cell r="AK27">
            <v>1</v>
          </cell>
          <cell r="AL27">
            <v>2</v>
          </cell>
          <cell r="AM27" t="str">
            <v>$426.157.521,45</v>
          </cell>
        </row>
        <row r="28">
          <cell r="A28" t="str">
            <v>027-2025</v>
          </cell>
          <cell r="B28" t="str">
            <v>PRESTACION DE SERVICIOS</v>
          </cell>
          <cell r="C28" t="str">
            <v xml:space="preserve">	LABORATORIO BIOMETRICAL</v>
          </cell>
          <cell r="D28" t="str">
            <v>NIT</v>
          </cell>
          <cell r="E28">
            <v>900709554</v>
          </cell>
          <cell r="F28">
            <v>8</v>
          </cell>
          <cell r="G28" t="str">
            <v xml:space="preserve">CONTRATACION DIRECTA </v>
          </cell>
          <cell r="H28">
            <v>2</v>
          </cell>
          <cell r="I28" t="str">
            <v>PRESTAR EL SERVICIO DE MANTENIMIENTO PREVENTIVO Y CORRECTIVO DE LOS EQUIPOS BIOMEDICOS E INDUSTRIALES DE USO HOSPITALARIO, EN LAS SEDES, UNIDADES MOVILES, AMBULANCIAS, SEDE ADMINISTRATIVA, QUE CONFORMAN LA RED PRESTADORA DE SERVICIOS DE SALUD DE LA EMPRESA PASTO SALUD E.S.E</v>
          </cell>
          <cell r="J28">
            <v>1</v>
          </cell>
          <cell r="K28" t="str">
            <v>$415.420.910,00</v>
          </cell>
          <cell r="L28">
            <v>45658</v>
          </cell>
          <cell r="M28">
            <v>45900</v>
          </cell>
          <cell r="N28" t="str">
            <v>MARIO FERNADO NARANJO LOPEZ</v>
          </cell>
          <cell r="O28">
            <v>1004189613</v>
          </cell>
          <cell r="P28" t="str">
            <v>biometrical.pasto@gmail.com</v>
          </cell>
          <cell r="Q28">
            <v>45658</v>
          </cell>
          <cell r="R28" t="str">
            <v>CRISTINA ROSERO</v>
          </cell>
          <cell r="U28" t="str">
            <v>CELEBRADO</v>
          </cell>
          <cell r="W28" t="str">
            <v>2025-0030</v>
          </cell>
          <cell r="X28" t="str">
            <v>2025-0033</v>
          </cell>
          <cell r="AB28" t="str">
            <v>ADICION Y PRORROGA</v>
          </cell>
          <cell r="AJ28">
            <v>1</v>
          </cell>
          <cell r="AK28">
            <v>2</v>
          </cell>
          <cell r="AL28">
            <v>2</v>
          </cell>
          <cell r="AM28" t="str">
            <v>$415.420.910,00</v>
          </cell>
        </row>
        <row r="29">
          <cell r="A29" t="str">
            <v>028-2025</v>
          </cell>
          <cell r="B29" t="str">
            <v>PRESTACION DE SERVICIOS</v>
          </cell>
          <cell r="C29" t="str">
            <v>EMPRESA METROPOLITANA DE ASEO EMAS</v>
          </cell>
          <cell r="D29" t="str">
            <v>NIT</v>
          </cell>
          <cell r="E29">
            <v>814000704</v>
          </cell>
          <cell r="F29">
            <v>1</v>
          </cell>
          <cell r="G29" t="str">
            <v xml:space="preserve">CONTRATACION DIRECTA </v>
          </cell>
          <cell r="H29">
            <v>2</v>
          </cell>
          <cell r="I29" t="str">
            <v>LA EMPRESA SOCIAL DEL ESTADO PASTO SALUD E.S.E REQUIERE CONTRATAR LA PRESTACION DEL SERVICIO DE RECOLECCION, TRANSPORTE, ALMACENAMIENTO TEMPORAL, TRATAMIENTO TERMICO YO CELDA DE SEGURIDAD DE LOS RESIDUOS PELIGROSOS DE LAS IPS Y SEDE ADMINISTRATIVA PARA CUMPLIR CON TODAS LAS CONDICIONES AMBIENTALES Y SANITARIAS EXIGIDAS POR EL MINISTERIO DE MEDIO AMBIENTE Y ENTES DE VIGILANCIA Y CONTROL.</v>
          </cell>
          <cell r="J29">
            <v>1</v>
          </cell>
          <cell r="K29" t="str">
            <v>$143.300.000,00</v>
          </cell>
          <cell r="L29">
            <v>45658</v>
          </cell>
          <cell r="M29">
            <v>45961</v>
          </cell>
          <cell r="N29" t="str">
            <v>GIOVANNY FELIPE FREYRE ROMO</v>
          </cell>
          <cell r="O29">
            <v>1085294867</v>
          </cell>
          <cell r="P29" t="str">
            <v>co.emaspasto@veolia.com</v>
          </cell>
          <cell r="Q29">
            <v>45658</v>
          </cell>
          <cell r="R29" t="str">
            <v>NATALIA ERAZO</v>
          </cell>
          <cell r="U29" t="str">
            <v>CELEBRADO</v>
          </cell>
          <cell r="W29" t="str">
            <v>2025-0003</v>
          </cell>
          <cell r="X29" t="str">
            <v>2025-0037</v>
          </cell>
          <cell r="AB29" t="str">
            <v>ADICION Y PRORROGA</v>
          </cell>
          <cell r="AJ29">
            <v>1</v>
          </cell>
          <cell r="AK29">
            <v>3</v>
          </cell>
          <cell r="AL29">
            <v>2</v>
          </cell>
          <cell r="AM29" t="str">
            <v>$143.300.000,00</v>
          </cell>
        </row>
        <row r="30">
          <cell r="A30" t="str">
            <v>029-2025</v>
          </cell>
          <cell r="B30" t="str">
            <v>PRESTACION DE SERVICIOS</v>
          </cell>
          <cell r="C30" t="str">
            <v>VERTICAL TECH SAS</v>
          </cell>
          <cell r="D30" t="str">
            <v>NIT</v>
          </cell>
          <cell r="E30">
            <v>901216020</v>
          </cell>
          <cell r="F30">
            <v>4</v>
          </cell>
          <cell r="G30" t="str">
            <v xml:space="preserve">CONTRATACION DIRECTA </v>
          </cell>
          <cell r="H30">
            <v>2</v>
          </cell>
          <cell r="I30" t="str">
            <v>PRESTAR EL SERVICIO DE MANTENIMIENTO PREVENTIVO Y CORRECTIVO DE LOS EQUIPOS BIOMEDICOS E INDUSTRIALES DE USO HOSPITALARIO, EN LAS SEDES, UNIDADES MOVILES, AMBULANCIAS, SEDE ADMINISTRATIVA, QUE CONFORMAN LA RED PRESTADORA DE SERVICIOS DE SALUD DE LA EMPRESA PASTO SALUD E.S.E.</v>
          </cell>
          <cell r="J30">
            <v>1</v>
          </cell>
          <cell r="K30" t="str">
            <v>$7.905.600,00</v>
          </cell>
          <cell r="L30">
            <v>45658</v>
          </cell>
          <cell r="M30">
            <v>45688</v>
          </cell>
          <cell r="N30" t="str">
            <v xml:space="preserve">	RODRIGO DE JESUS VITERI MORENO</v>
          </cell>
          <cell r="O30">
            <v>98390119</v>
          </cell>
          <cell r="P30" t="str">
            <v>gerencia@verticaltechsas.com</v>
          </cell>
          <cell r="Q30">
            <v>45658</v>
          </cell>
          <cell r="R30" t="str">
            <v>CRISTINA ROSERO</v>
          </cell>
          <cell r="U30" t="str">
            <v>CELEBRADO</v>
          </cell>
          <cell r="W30" t="str">
            <v>2025-0005</v>
          </cell>
          <cell r="X30" t="str">
            <v>2025-0038</v>
          </cell>
          <cell r="AJ30">
            <v>2</v>
          </cell>
          <cell r="AK30">
            <v>0</v>
          </cell>
          <cell r="AL30">
            <v>3</v>
          </cell>
          <cell r="AM30" t="str">
            <v>$7.905.600,00</v>
          </cell>
        </row>
        <row r="31">
          <cell r="A31" t="str">
            <v>030-2025</v>
          </cell>
          <cell r="B31" t="str">
            <v>PRESTACION DE SERVICIOS</v>
          </cell>
          <cell r="C31" t="str">
            <v>SP SISTEMAS PALACIOS LTDA</v>
          </cell>
          <cell r="D31" t="str">
            <v>NIT</v>
          </cell>
          <cell r="E31">
            <v>900163149</v>
          </cell>
          <cell r="F31">
            <v>2</v>
          </cell>
          <cell r="G31" t="str">
            <v xml:space="preserve">CONTRATACION DIRECTA </v>
          </cell>
          <cell r="H31">
            <v>2</v>
          </cell>
          <cell r="I31" t="str">
            <v>PRESTAR EL SERVICIO DE INTERNET CON UN CANAL DEDICADO PARA LAS 22 SEDES Y LA SEDE ADMINISTRATIVA DE LA EMPRESA SOCIAL DEL ESTADO PASTO SALUD E.S.E.</v>
          </cell>
          <cell r="J31">
            <v>1</v>
          </cell>
          <cell r="K31" t="str">
            <v>$36.275.817,00</v>
          </cell>
          <cell r="L31">
            <v>45658</v>
          </cell>
          <cell r="M31">
            <v>45899</v>
          </cell>
          <cell r="N31" t="str">
            <v>LYDA ARGELIS PABON LOPEZ</v>
          </cell>
          <cell r="O31">
            <v>52229702</v>
          </cell>
          <cell r="P31" t="str">
            <v>contabilidad@sistemaspalacios.com</v>
          </cell>
          <cell r="Q31">
            <v>45658</v>
          </cell>
          <cell r="R31" t="str">
            <v>NATALIA ERAZO</v>
          </cell>
          <cell r="U31" t="str">
            <v>CELEBRADO</v>
          </cell>
          <cell r="W31" t="str">
            <v>2025-0019</v>
          </cell>
          <cell r="X31" t="str">
            <v>2025-0039</v>
          </cell>
          <cell r="AJ31">
            <v>2</v>
          </cell>
          <cell r="AK31">
            <v>0</v>
          </cell>
          <cell r="AL31">
            <v>2</v>
          </cell>
          <cell r="AM31" t="str">
            <v>$36.275.817,00</v>
          </cell>
        </row>
        <row r="32">
          <cell r="A32" t="str">
            <v>031-2025</v>
          </cell>
          <cell r="B32" t="str">
            <v>PRESTACION DE SERVICIOS</v>
          </cell>
          <cell r="C32" t="str">
            <v>SP SISTEMAS PALACIOS LTDA</v>
          </cell>
          <cell r="D32" t="str">
            <v>NIT</v>
          </cell>
          <cell r="E32">
            <v>900163149</v>
          </cell>
          <cell r="F32">
            <v>2</v>
          </cell>
          <cell r="G32" t="str">
            <v xml:space="preserve">CONTRATACION DIRECTA </v>
          </cell>
          <cell r="H32">
            <v>2</v>
          </cell>
          <cell r="I32" t="str">
            <v>PRESTAR EL SERVICIO DE CONECTIVIDAD ENTRE LAS 22 SEDES Y LA SEDE ADMINISTRATIVA PARA LA EMPRESA SOCIAL DEL ESTADO PASTO SALUD E.S.E</v>
          </cell>
          <cell r="J32">
            <v>1</v>
          </cell>
          <cell r="K32" t="str">
            <v>$183.046.038,00</v>
          </cell>
          <cell r="L32">
            <v>45658</v>
          </cell>
          <cell r="M32">
            <v>45899</v>
          </cell>
          <cell r="N32" t="str">
            <v>LYDA ARGELIS PABON LOPEZ</v>
          </cell>
          <cell r="O32">
            <v>52229702</v>
          </cell>
          <cell r="P32" t="str">
            <v>contabilidad@sistemaspalacios.com</v>
          </cell>
          <cell r="Q32">
            <v>45658</v>
          </cell>
          <cell r="R32" t="str">
            <v>JUAN GOMEZ</v>
          </cell>
          <cell r="U32" t="str">
            <v>CELEBRADO</v>
          </cell>
          <cell r="W32" t="str">
            <v>2025-0017</v>
          </cell>
          <cell r="X32" t="str">
            <v>2025-0040</v>
          </cell>
          <cell r="AJ32">
            <v>2</v>
          </cell>
          <cell r="AK32">
            <v>0</v>
          </cell>
          <cell r="AL32">
            <v>2</v>
          </cell>
          <cell r="AM32" t="str">
            <v>$183.046.038,00</v>
          </cell>
        </row>
        <row r="33">
          <cell r="A33" t="str">
            <v>032-2025</v>
          </cell>
          <cell r="B33" t="str">
            <v>PRESTACION DE SERVICIOS</v>
          </cell>
          <cell r="C33" t="str">
            <v>INDUSTRIA DE METALES Y MADERAS MUEBLES EJECUTIVO SAS</v>
          </cell>
          <cell r="D33" t="str">
            <v>NIT</v>
          </cell>
          <cell r="E33">
            <v>900496881</v>
          </cell>
          <cell r="F33">
            <v>5</v>
          </cell>
          <cell r="G33" t="str">
            <v xml:space="preserve">CONTRATACION DIRECTA </v>
          </cell>
          <cell r="H33">
            <v>2</v>
          </cell>
          <cell r="I33" t="str">
            <v>PRESTAR EL SERVICIO DE MANTENIMIENTO PREVENTIVO Y CORRECTIVO DE LOS MUEBLES DE USO ADMINISTRATIVO Y ASISTENCIAL, DE LA EMPRESA SOCIAL DEL ESTADO PASTO SALUD ESE.</v>
          </cell>
          <cell r="J33">
            <v>5</v>
          </cell>
          <cell r="K33" t="str">
            <v>$246.000.000,00</v>
          </cell>
          <cell r="L33">
            <v>45658</v>
          </cell>
          <cell r="M33">
            <v>45930</v>
          </cell>
          <cell r="N33" t="str">
            <v xml:space="preserve">	STEFANYA RAMIREZ LOPERA</v>
          </cell>
          <cell r="O33">
            <v>111247705</v>
          </cell>
          <cell r="P33" t="str">
            <v>mueblesejecutivo@hotmail.com</v>
          </cell>
          <cell r="Q33">
            <v>45658</v>
          </cell>
          <cell r="R33" t="str">
            <v>CRISTINA ROSERO</v>
          </cell>
          <cell r="U33" t="str">
            <v>CELEBRADO</v>
          </cell>
          <cell r="W33" t="str">
            <v>2025-0036</v>
          </cell>
          <cell r="X33" t="str">
            <v>2025-0024</v>
          </cell>
          <cell r="AB33" t="str">
            <v>ADICION Y PRORROGA</v>
          </cell>
          <cell r="AJ33">
            <v>1</v>
          </cell>
          <cell r="AK33">
            <v>3</v>
          </cell>
          <cell r="AL33">
            <v>2</v>
          </cell>
          <cell r="AM33" t="str">
            <v>$246.000.000,00</v>
          </cell>
        </row>
        <row r="34">
          <cell r="A34" t="str">
            <v>033-2025</v>
          </cell>
          <cell r="B34" t="str">
            <v>PRESTACION DE SERVICIOS</v>
          </cell>
          <cell r="C34" t="str">
            <v>INDUSTRIALMEDIA S.A.</v>
          </cell>
          <cell r="D34" t="str">
            <v>NIT</v>
          </cell>
          <cell r="E34">
            <v>900111713</v>
          </cell>
          <cell r="F34">
            <v>4</v>
          </cell>
          <cell r="G34" t="str">
            <v xml:space="preserve">CONTRATACION DIRECTA </v>
          </cell>
          <cell r="H34">
            <v>2</v>
          </cell>
          <cell r="I34" t="str">
            <v>PRESTAR EL SERVICIO DE WEB HOSTING STREAMING DEDICADO PARA EL PORTAL CORPORATIVO PAGINA WEB DE PASTO SALUD E.S.E</v>
          </cell>
          <cell r="J34">
            <v>1</v>
          </cell>
          <cell r="K34" t="str">
            <v>$4.015.776,00</v>
          </cell>
          <cell r="L34">
            <v>45658</v>
          </cell>
          <cell r="M34">
            <v>45838</v>
          </cell>
          <cell r="N34" t="str">
            <v>LYDA ARGELIS PABON LOPEZ</v>
          </cell>
          <cell r="O34">
            <v>52229702</v>
          </cell>
          <cell r="P34" t="str">
            <v>admin@industrialm.com</v>
          </cell>
          <cell r="Q34">
            <v>45658</v>
          </cell>
          <cell r="R34" t="str">
            <v>CRISTINA ROSERO</v>
          </cell>
          <cell r="U34" t="str">
            <v>CELEBRADO</v>
          </cell>
          <cell r="W34" t="str">
            <v>2025-0023</v>
          </cell>
          <cell r="X34" t="str">
            <v>2025-0027</v>
          </cell>
          <cell r="AJ34">
            <v>2</v>
          </cell>
          <cell r="AK34">
            <v>0</v>
          </cell>
          <cell r="AL34">
            <v>2</v>
          </cell>
          <cell r="AM34" t="str">
            <v>$4.015.776,00</v>
          </cell>
        </row>
        <row r="35">
          <cell r="A35" t="str">
            <v>034-2025</v>
          </cell>
          <cell r="B35" t="str">
            <v>PRESTACION DE SERVICIOS</v>
          </cell>
          <cell r="C35" t="str">
            <v>COOPERATIVA TALENTO Y CALIDAD DE SERVICIO PROFESIONALES INTEGRALES Y EMPRESARIALES</v>
          </cell>
          <cell r="D35" t="str">
            <v>NIT</v>
          </cell>
          <cell r="E35">
            <v>900378302</v>
          </cell>
          <cell r="F35">
            <v>7</v>
          </cell>
          <cell r="G35" t="str">
            <v xml:space="preserve">CONTRATACION DIRECTA </v>
          </cell>
          <cell r="H35">
            <v>2</v>
          </cell>
          <cell r="I35" t="str">
            <v>CONTRATAR LA PRESTACION DE TRANSPORTE ESPECIAL TERRESTRE AUTOMOTOR PARA EL TRASLADO DE PERSONAS, BIENES, CORRESPONDENCIA, EQUIPOS Y MOBILIARIO, MEDICAMENTOS, MATERIAL MEDICO, MUESTRAS DE LABORATORIO ENTRE OTROS, NECESARIO PARA EL CUMPLIMIENTO DEL OBJETO SOCIAL DE LA EMPRESA SOCIAL DEL ESTADO PASTO SALUD ESE</v>
          </cell>
          <cell r="J35">
            <v>1</v>
          </cell>
          <cell r="K35" t="str">
            <v xml:space="preserve"> $146.160.000,00</v>
          </cell>
          <cell r="L35">
            <v>45658</v>
          </cell>
          <cell r="M35">
            <v>45838</v>
          </cell>
          <cell r="N35" t="str">
            <v xml:space="preserve">	BERTHA JANETH MONTENEGRO PORTILLA</v>
          </cell>
          <cell r="O35">
            <v>36950699</v>
          </cell>
          <cell r="P35" t="str">
            <v>cooempresarialcooperativa@gmail.com</v>
          </cell>
          <cell r="Q35">
            <v>45658</v>
          </cell>
          <cell r="R35" t="str">
            <v>JUAN GOMEZ</v>
          </cell>
          <cell r="U35" t="str">
            <v>CELEBRADO</v>
          </cell>
          <cell r="W35" t="str">
            <v>2025-0039</v>
          </cell>
          <cell r="X35" t="str">
            <v>2025-0029</v>
          </cell>
          <cell r="AJ35">
            <v>2</v>
          </cell>
          <cell r="AK35">
            <v>0</v>
          </cell>
          <cell r="AL35">
            <v>2</v>
          </cell>
          <cell r="AM35" t="str">
            <v>$146.160.000,00</v>
          </cell>
        </row>
        <row r="36">
          <cell r="A36" t="str">
            <v>035-2025</v>
          </cell>
          <cell r="B36" t="str">
            <v>PRESTACION DE SERVICIOS</v>
          </cell>
          <cell r="C36" t="str">
            <v>TISERIUM SAS</v>
          </cell>
          <cell r="D36" t="str">
            <v>NIT</v>
          </cell>
          <cell r="E36">
            <v>901219955</v>
          </cell>
          <cell r="F36">
            <v>9</v>
          </cell>
          <cell r="G36" t="str">
            <v xml:space="preserve">CONTRATACION DIRECTA </v>
          </cell>
          <cell r="H36">
            <v>2</v>
          </cell>
          <cell r="I36" t="str">
            <v>PRESTACION DEL SERVICIO DE FACTURACION ELECTRONICA INTEGRADA AL SISTEMA DE INFORMACION DE OPERACIONES EN SALUD SIOS PARA LA EMPRESA SOCIAL DEL ESTADO PASTO SALUD E.S.E.</v>
          </cell>
          <cell r="J36">
            <v>1</v>
          </cell>
          <cell r="K36" t="str">
            <v>$30.600.000,00</v>
          </cell>
          <cell r="L36">
            <v>45658</v>
          </cell>
          <cell r="M36">
            <v>45838</v>
          </cell>
          <cell r="N36" t="str">
            <v>LYDA ARGELIS PABON LOPEZ</v>
          </cell>
          <cell r="O36">
            <v>52229702</v>
          </cell>
          <cell r="P36" t="str">
            <v>rsolanosanchez4@gmail.com</v>
          </cell>
          <cell r="Q36">
            <v>45658</v>
          </cell>
          <cell r="R36" t="str">
            <v>ELIANA BENAVIDES</v>
          </cell>
          <cell r="U36" t="str">
            <v>CELEBRADO</v>
          </cell>
          <cell r="W36" t="str">
            <v>2025-0020</v>
          </cell>
          <cell r="X36" t="str">
            <v>2025-0030</v>
          </cell>
          <cell r="AB36" t="str">
            <v>ADICION Y PRORROGA</v>
          </cell>
          <cell r="AJ36">
            <v>1</v>
          </cell>
          <cell r="AK36">
            <v>3</v>
          </cell>
          <cell r="AL36">
            <v>2</v>
          </cell>
          <cell r="AM36" t="str">
            <v>$30.600.000,00</v>
          </cell>
        </row>
        <row r="37">
          <cell r="A37" t="str">
            <v>036-2025</v>
          </cell>
          <cell r="B37" t="str">
            <v>PRESTACION DE SERVICIOS</v>
          </cell>
          <cell r="C37" t="str">
            <v>MIGUEL ANGEL ACOSTA HUERTAS</v>
          </cell>
          <cell r="D37" t="str">
            <v>CC</v>
          </cell>
          <cell r="E37">
            <v>12978684</v>
          </cell>
          <cell r="F37">
            <v>9</v>
          </cell>
          <cell r="G37" t="str">
            <v xml:space="preserve">CONTRATACION DIRECTA </v>
          </cell>
          <cell r="H37">
            <v>2</v>
          </cell>
          <cell r="I37" t="str">
            <v>EL CONTRATISTA SE OBLIGA PARA CON EL CONTRATANTE, A PRESTAR LOS SERVICIOS DE REVISORIA FISCAL DE LA EMPRESA SOCIAL DEL ESTADO</v>
          </cell>
          <cell r="J37">
            <v>1</v>
          </cell>
          <cell r="K37" t="str">
            <v>$13.131.000,00</v>
          </cell>
          <cell r="L37">
            <v>45658</v>
          </cell>
          <cell r="M37">
            <v>45747</v>
          </cell>
          <cell r="N37" t="str">
            <v>MIRIAM RUTH BOLAÑOS DELGADO</v>
          </cell>
          <cell r="O37">
            <v>30740439</v>
          </cell>
          <cell r="P37" t="str">
            <v>cpmiguel1959@hotmail.com</v>
          </cell>
          <cell r="Q37">
            <v>45658</v>
          </cell>
          <cell r="R37" t="str">
            <v>ANDRES GUERRA</v>
          </cell>
          <cell r="U37" t="str">
            <v>CELEBRADO</v>
          </cell>
          <cell r="W37" t="str">
            <v>2025-0040</v>
          </cell>
          <cell r="X37" t="str">
            <v>2025-0031</v>
          </cell>
          <cell r="AJ37">
            <v>2</v>
          </cell>
          <cell r="AK37">
            <v>0</v>
          </cell>
          <cell r="AL37">
            <v>3</v>
          </cell>
          <cell r="AM37" t="str">
            <v>$13.131.000,00</v>
          </cell>
        </row>
        <row r="38">
          <cell r="A38" t="str">
            <v>037-2025</v>
          </cell>
          <cell r="B38" t="str">
            <v>PRESTACION DE SERVICIOS</v>
          </cell>
          <cell r="C38" t="str">
            <v>JOSE FERNANDO MORA MONTENEGRO</v>
          </cell>
          <cell r="D38" t="str">
            <v>CC</v>
          </cell>
          <cell r="E38">
            <v>87215085</v>
          </cell>
          <cell r="F38">
            <v>6</v>
          </cell>
          <cell r="G38" t="str">
            <v xml:space="preserve">CONTRATACION DIRECTA </v>
          </cell>
          <cell r="H38">
            <v>1</v>
          </cell>
          <cell r="I38" t="str">
            <v>PRESTAR LOS SERVICIOS PROFESIONALES COMO INGENIERO DE SISTEMAS PARA LA EMPRESA SOCIAL DEL ESTADO PASTO SALUD E.S.E</v>
          </cell>
          <cell r="J38">
            <v>1</v>
          </cell>
          <cell r="K38" t="str">
            <v>$22.145.562,00</v>
          </cell>
          <cell r="L38">
            <v>45658</v>
          </cell>
          <cell r="M38">
            <v>45900</v>
          </cell>
          <cell r="N38" t="str">
            <v xml:space="preserve">	LYDA ARGELIS PABON LOPEZ</v>
          </cell>
          <cell r="O38">
            <v>52229702</v>
          </cell>
          <cell r="P38" t="str">
            <v>josealone@gmail.com</v>
          </cell>
          <cell r="Q38">
            <v>45658</v>
          </cell>
          <cell r="R38" t="str">
            <v>JUAN GOMEZ</v>
          </cell>
          <cell r="U38" t="str">
            <v>CELEBRADO</v>
          </cell>
          <cell r="W38" t="str">
            <v>2025-0029</v>
          </cell>
          <cell r="X38" t="str">
            <v>2025-0032</v>
          </cell>
          <cell r="AB38" t="str">
            <v>ADICION Y PRORROGA</v>
          </cell>
          <cell r="AJ38">
            <v>1</v>
          </cell>
          <cell r="AK38">
            <v>3</v>
          </cell>
          <cell r="AL38">
            <v>2</v>
          </cell>
          <cell r="AM38" t="str">
            <v>$29.527.416,00</v>
          </cell>
        </row>
        <row r="39">
          <cell r="A39" t="str">
            <v>038-2025</v>
          </cell>
          <cell r="B39" t="str">
            <v>PRESTACION DE SERVICIOS</v>
          </cell>
          <cell r="C39" t="str">
            <v>KATHERIN CAMILA URIBE BURBANO</v>
          </cell>
          <cell r="D39" t="str">
            <v>CC</v>
          </cell>
          <cell r="E39">
            <v>1085326561</v>
          </cell>
          <cell r="F39">
            <v>0</v>
          </cell>
          <cell r="G39" t="str">
            <v xml:space="preserve">CONTRATACION DIRECTA </v>
          </cell>
          <cell r="H39">
            <v>1</v>
          </cell>
          <cell r="I39" t="str">
            <v>PRESTACION DE SERVICIOS COMO REFERENTE DEL PROGRAMA DE SALUD MENTAL Y APOYO EN LA COORDINACION DE DOCENCIA SERVICIO DE LA EMPRESA SOCIAL DEL ESTADO PASTO SALUD E.S.E.</v>
          </cell>
          <cell r="J39">
            <v>1</v>
          </cell>
          <cell r="K39" t="str">
            <v>$22.145.538,00</v>
          </cell>
          <cell r="L39">
            <v>45658</v>
          </cell>
          <cell r="M39">
            <v>45900</v>
          </cell>
          <cell r="N39" t="str">
            <v xml:space="preserve">	JUAN CARLOS MERA GUERRERO</v>
          </cell>
          <cell r="O39">
            <v>13016581</v>
          </cell>
          <cell r="P39" t="str">
            <v>psicologacamilauribeb@gmail.com</v>
          </cell>
          <cell r="Q39">
            <v>45658</v>
          </cell>
          <cell r="R39" t="str">
            <v>ELIANA BENAVIDES</v>
          </cell>
          <cell r="U39" t="str">
            <v>CELEBRADO</v>
          </cell>
          <cell r="W39" t="str">
            <v>2025-0042</v>
          </cell>
          <cell r="X39" t="str">
            <v>2025-0034</v>
          </cell>
          <cell r="AB39" t="str">
            <v>ADICION Y PRORROGA</v>
          </cell>
          <cell r="AJ39">
            <v>1</v>
          </cell>
          <cell r="AK39">
            <v>3</v>
          </cell>
          <cell r="AL39">
            <v>2</v>
          </cell>
          <cell r="AM39" t="str">
            <v>$29.527.384,00</v>
          </cell>
        </row>
        <row r="40">
          <cell r="A40" t="str">
            <v>039-2025</v>
          </cell>
          <cell r="B40" t="str">
            <v>PRESTACION DE SERVICIOS</v>
          </cell>
          <cell r="C40" t="str">
            <v>SOMEB DE NARIO SALUD OCUPACIONAL SAS</v>
          </cell>
          <cell r="D40" t="str">
            <v>NIT</v>
          </cell>
          <cell r="E40">
            <v>900893325</v>
          </cell>
          <cell r="F40">
            <v>4</v>
          </cell>
          <cell r="G40" t="str">
            <v xml:space="preserve">CONTRATACION DIRECTA </v>
          </cell>
          <cell r="H40">
            <v>2</v>
          </cell>
          <cell r="I40" t="str">
            <v>PRESTACION DE SERVICIOS DE MEDICINA DEL TRABAJO PARA LA REALIZACION DE EXAMENES MEDICO OCUPACIONALES Y PARACLINICOS ENFOCADOS AL RIESGO A LOS TRABAJADORES DE LA EMPRESA SOCIAL DEL ESTADO PASTO SALUD E.S.E.</v>
          </cell>
          <cell r="J40">
            <v>1</v>
          </cell>
          <cell r="K40" t="str">
            <v>$4.000.000,00</v>
          </cell>
          <cell r="L40">
            <v>45658</v>
          </cell>
          <cell r="M40">
            <v>45746</v>
          </cell>
          <cell r="N40" t="str">
            <v xml:space="preserve">	OSCAR MIGUEL GOYES CABRERA</v>
          </cell>
          <cell r="O40">
            <v>87711882</v>
          </cell>
          <cell r="P40" t="str">
            <v>gerentesomebips@gmail.com</v>
          </cell>
          <cell r="Q40">
            <v>45658</v>
          </cell>
          <cell r="R40" t="str">
            <v>RODRIGO ROSERO</v>
          </cell>
          <cell r="U40" t="str">
            <v>CELEBRADO</v>
          </cell>
          <cell r="W40" t="str">
            <v>2025-0008</v>
          </cell>
          <cell r="X40" t="str">
            <v>2025-0036</v>
          </cell>
          <cell r="AJ40">
            <v>2</v>
          </cell>
          <cell r="AK40">
            <v>0</v>
          </cell>
          <cell r="AL40">
            <v>3</v>
          </cell>
          <cell r="AM40" t="str">
            <v>$4.000.000,00</v>
          </cell>
        </row>
        <row r="41">
          <cell r="A41" t="str">
            <v>040-2025</v>
          </cell>
          <cell r="B41" t="str">
            <v>PRESTACION DE SERVICIOS</v>
          </cell>
          <cell r="C41" t="str">
            <v>YENIFER NAYIBE MENESES TOBAR</v>
          </cell>
          <cell r="D41" t="str">
            <v>CC</v>
          </cell>
          <cell r="E41">
            <v>1089243630</v>
          </cell>
          <cell r="F41">
            <v>8</v>
          </cell>
          <cell r="G41" t="str">
            <v xml:space="preserve">CONTRATACION DIRECTA </v>
          </cell>
          <cell r="H41">
            <v>1</v>
          </cell>
          <cell r="I41" t="str">
            <v>PRESTACION DE SERVICIOS COMO AUXILIAR DE ENFERMERIAS DIRIGIDAS AL SEGUIMIENTO DE POBLACIONES ESPECIALES DE RIESGO SEGUN PRIORIDADES DEFINIDAS POR LAS REDES OPERATIVAS.</v>
          </cell>
          <cell r="J41">
            <v>1</v>
          </cell>
          <cell r="K41" t="str">
            <v>$3.000.000,00</v>
          </cell>
          <cell r="L41">
            <v>45659</v>
          </cell>
          <cell r="M41">
            <v>45688</v>
          </cell>
          <cell r="N41" t="str">
            <v>ALBA LUCIA MORA BENAVIDES</v>
          </cell>
          <cell r="O41">
            <v>59822566</v>
          </cell>
          <cell r="P41" t="str">
            <v>menesesyenifer22@gmail.com</v>
          </cell>
          <cell r="Q41">
            <v>45659</v>
          </cell>
          <cell r="R41" t="str">
            <v>ELIANA BENAVIDES</v>
          </cell>
          <cell r="U41" t="str">
            <v>CELEBRADO</v>
          </cell>
          <cell r="W41" t="str">
            <v>2025-0047</v>
          </cell>
          <cell r="X41" t="str">
            <v>2025-0042</v>
          </cell>
          <cell r="AJ41">
            <v>2</v>
          </cell>
          <cell r="AK41">
            <v>0</v>
          </cell>
          <cell r="AL41">
            <v>3</v>
          </cell>
          <cell r="AM41" t="str">
            <v>$3.000.000,00</v>
          </cell>
        </row>
        <row r="42">
          <cell r="A42" t="str">
            <v>041-2025</v>
          </cell>
          <cell r="B42" t="str">
            <v>PRESTACION DE SERVICIOS</v>
          </cell>
          <cell r="C42" t="str">
            <v>BRIGITT MARCELA BURBANO PUPIALES</v>
          </cell>
          <cell r="D42" t="str">
            <v>CC</v>
          </cell>
          <cell r="E42">
            <v>1085292185</v>
          </cell>
          <cell r="F42">
            <v>6</v>
          </cell>
          <cell r="G42" t="str">
            <v xml:space="preserve">CONTRATACION DIRECTA </v>
          </cell>
          <cell r="H42">
            <v>1</v>
          </cell>
          <cell r="I42" t="str">
            <v>PRESTACION DE SERVICIOS PROFESIONALES DIRIGIDOS AL SEGUIMIENTO DE POBLACIONES ESPECIALES DE RIESGO SEGUN PRIORIDADES DEFINIDAS POR LA SUBGERENCIA DE SALUD E INVESTIGACION</v>
          </cell>
          <cell r="J42">
            <v>1</v>
          </cell>
          <cell r="K42" t="str">
            <v>$6.000.000,00</v>
          </cell>
          <cell r="L42">
            <v>45659</v>
          </cell>
          <cell r="M42">
            <v>45688</v>
          </cell>
          <cell r="N42" t="str">
            <v>JUAN CARLOS MERA GUERRERO</v>
          </cell>
          <cell r="O42">
            <v>13016581</v>
          </cell>
          <cell r="P42" t="str">
            <v>marcelita_1250@hotmail.com</v>
          </cell>
          <cell r="Q42">
            <v>45659</v>
          </cell>
          <cell r="R42" t="str">
            <v>CRISTINA ROSERO</v>
          </cell>
          <cell r="U42" t="str">
            <v>CELEBRADO</v>
          </cell>
          <cell r="W42" t="str">
            <v>2025-0047</v>
          </cell>
          <cell r="X42" t="str">
            <v>2025-0043</v>
          </cell>
          <cell r="AJ42">
            <v>2</v>
          </cell>
          <cell r="AK42">
            <v>0</v>
          </cell>
          <cell r="AL42">
            <v>4</v>
          </cell>
          <cell r="AM42" t="str">
            <v>$6.000.000,00</v>
          </cell>
        </row>
        <row r="43">
          <cell r="A43" t="str">
            <v>042-2025</v>
          </cell>
          <cell r="B43" t="str">
            <v>PRESTACION DE SERVICIOS</v>
          </cell>
          <cell r="C43" t="str">
            <v>NAYIBE MARCELA LARA MATABANCHOY</v>
          </cell>
          <cell r="D43" t="str">
            <v>CC</v>
          </cell>
          <cell r="E43">
            <v>1193265831</v>
          </cell>
          <cell r="F43">
            <v>3</v>
          </cell>
          <cell r="G43" t="str">
            <v xml:space="preserve">CONTRATACION DIRECTA </v>
          </cell>
          <cell r="H43">
            <v>1</v>
          </cell>
          <cell r="I43" t="str">
            <v>PRESTACION DE SERVICIOS COMO GESTOR COMUNITARIO DIRIGIDOS AL SEGUMIENTO DE POBLACIONES ESPECIALES DE RIESGO SEGUN PRIORIDADES DEFINIDAS POR LA REDES OPERATIVAS</v>
          </cell>
          <cell r="J43">
            <v>1</v>
          </cell>
          <cell r="K43" t="str">
            <v>$2.500.000,00</v>
          </cell>
          <cell r="L43">
            <v>45659</v>
          </cell>
          <cell r="M43">
            <v>45688</v>
          </cell>
          <cell r="N43" t="str">
            <v>ALBA LUCIA MORA BENAVIDES</v>
          </cell>
          <cell r="O43">
            <v>59822566</v>
          </cell>
          <cell r="P43" t="str">
            <v>nayibelara2001@gmail.com</v>
          </cell>
          <cell r="Q43">
            <v>45659</v>
          </cell>
          <cell r="R43" t="str">
            <v>CRISTINA ROSERO</v>
          </cell>
          <cell r="U43" t="str">
            <v>CELEBRADO</v>
          </cell>
          <cell r="W43" t="str">
            <v>2025-0047</v>
          </cell>
          <cell r="X43" t="str">
            <v>2025-0044</v>
          </cell>
          <cell r="AJ43">
            <v>2</v>
          </cell>
          <cell r="AK43">
            <v>0</v>
          </cell>
          <cell r="AL43">
            <v>3</v>
          </cell>
          <cell r="AM43" t="str">
            <v>$2.500.000,00</v>
          </cell>
        </row>
        <row r="44">
          <cell r="A44" t="str">
            <v>043-2025</v>
          </cell>
          <cell r="B44" t="str">
            <v>PRESTACION DE SERVICIOS</v>
          </cell>
          <cell r="C44" t="str">
            <v>LINA YEZMIN DE LA CRUZ CUSIS</v>
          </cell>
          <cell r="D44" t="str">
            <v>CC</v>
          </cell>
          <cell r="E44">
            <v>1085320930</v>
          </cell>
          <cell r="F44">
            <v>8</v>
          </cell>
          <cell r="G44" t="str">
            <v xml:space="preserve">CONTRATACION DIRECTA </v>
          </cell>
          <cell r="H44">
            <v>1</v>
          </cell>
          <cell r="I44" t="str">
            <v>PRESTACION DE SERVICIOS COMO GESTOR COMUNITARIO DIRIGIDOS AL SEGUIMIENTO DE POBLACIONES ESPECIALES DE RIESGO SEGUN PRIORIDADES DEFINIDAS POR LAS REDES OPERATIVAS.</v>
          </cell>
          <cell r="J44">
            <v>1</v>
          </cell>
          <cell r="K44" t="str">
            <v>$2.500.000,00</v>
          </cell>
          <cell r="L44">
            <v>45660</v>
          </cell>
          <cell r="M44">
            <v>45688</v>
          </cell>
          <cell r="N44" t="str">
            <v xml:space="preserve">	ALBA LUCIA MORA BENAVIDES</v>
          </cell>
          <cell r="O44">
            <v>59822566</v>
          </cell>
          <cell r="P44" t="str">
            <v>linadelacruz5143@gmail.com</v>
          </cell>
          <cell r="Q44">
            <v>45660</v>
          </cell>
          <cell r="R44" t="str">
            <v>ELIANA BENAVIDES</v>
          </cell>
          <cell r="U44" t="str">
            <v>CELEBRADO</v>
          </cell>
          <cell r="W44" t="str">
            <v>2025-0047</v>
          </cell>
          <cell r="X44" t="str">
            <v>2025-0045</v>
          </cell>
          <cell r="AJ44">
            <v>2</v>
          </cell>
          <cell r="AK44">
            <v>0</v>
          </cell>
          <cell r="AL44">
            <v>3</v>
          </cell>
          <cell r="AM44" t="str">
            <v>$2.500.000,00</v>
          </cell>
        </row>
        <row r="45">
          <cell r="A45" t="str">
            <v>044-2025</v>
          </cell>
          <cell r="B45" t="str">
            <v>PRESTACION DE SERVICIOS</v>
          </cell>
          <cell r="C45" t="str">
            <v>CAROLINA NASTACUAS PAI</v>
          </cell>
          <cell r="D45" t="str">
            <v>CC</v>
          </cell>
          <cell r="E45">
            <v>1085324107</v>
          </cell>
          <cell r="F45">
            <v>0</v>
          </cell>
          <cell r="G45" t="str">
            <v xml:space="preserve">CONTRATACION DIRECTA </v>
          </cell>
          <cell r="H45">
            <v>1</v>
          </cell>
          <cell r="I45" t="str">
            <v>PRESTACION DE SERVICIOS COMO AUXILIAR DE ENFERMERIA DIRIGIDOS AL SEGUIMIENTO DE POBLACIONES ESPECIALES DE RIESGO SEGUN PRIORIDADES DEFINIDAS POR LAS REDES OPERATIVAS.</v>
          </cell>
          <cell r="J45">
            <v>1</v>
          </cell>
          <cell r="K45" t="str">
            <v>$3.000.000,00</v>
          </cell>
          <cell r="L45">
            <v>45660</v>
          </cell>
          <cell r="M45">
            <v>45688</v>
          </cell>
          <cell r="N45" t="str">
            <v>RODRIGO DE JESUS VITERI MORENO</v>
          </cell>
          <cell r="O45">
            <v>98390119</v>
          </cell>
          <cell r="P45" t="str">
            <v>carito.naztacuaz@outlook.com</v>
          </cell>
          <cell r="Q45">
            <v>45660</v>
          </cell>
          <cell r="R45" t="str">
            <v>ANDRES GUERRA</v>
          </cell>
          <cell r="U45" t="str">
            <v>CELEBRADO</v>
          </cell>
          <cell r="W45" t="str">
            <v>2025-0047</v>
          </cell>
          <cell r="X45" t="str">
            <v>2025-0047</v>
          </cell>
          <cell r="AJ45">
            <v>2</v>
          </cell>
          <cell r="AK45">
            <v>0</v>
          </cell>
          <cell r="AL45">
            <v>3</v>
          </cell>
          <cell r="AM45" t="str">
            <v>$3.000.000,00</v>
          </cell>
        </row>
        <row r="46">
          <cell r="A46" t="str">
            <v>045-2025</v>
          </cell>
          <cell r="B46" t="str">
            <v>PRESTACION DE SERVICIOS</v>
          </cell>
          <cell r="C46" t="str">
            <v>LINA MARIA PIZANO PEREZ</v>
          </cell>
          <cell r="D46" t="str">
            <v>CC</v>
          </cell>
          <cell r="E46">
            <v>1085324685</v>
          </cell>
          <cell r="F46">
            <v>6</v>
          </cell>
          <cell r="G46" t="str">
            <v xml:space="preserve">CONTRATACION DIRECTA </v>
          </cell>
          <cell r="H46">
            <v>1</v>
          </cell>
          <cell r="I46" t="str">
            <v>PRESTACION DE SERVICIOS COMO AUXILIAR DE ENFERMERIA DIRIGIDOS AL SEGUIMIENTO DE POBLACIONES ESPECIALES DE RIESGO SEGUN PRIORIDADES DEFINIDAS POR LAS REDES OPERATIVAS</v>
          </cell>
          <cell r="J46">
            <v>1</v>
          </cell>
          <cell r="K46" t="str">
            <v>$3.000.000,00</v>
          </cell>
          <cell r="L46">
            <v>45660</v>
          </cell>
          <cell r="M46">
            <v>45688</v>
          </cell>
          <cell r="N46" t="str">
            <v xml:space="preserve">	BERTHA JANETH MONTENEGRO PORTILLA</v>
          </cell>
          <cell r="O46">
            <v>36950699</v>
          </cell>
          <cell r="P46" t="str">
            <v>linasofiapizano@gmail.com</v>
          </cell>
          <cell r="Q46">
            <v>45660</v>
          </cell>
          <cell r="R46" t="str">
            <v>JUAN GOMEZ</v>
          </cell>
          <cell r="U46" t="str">
            <v>CELEBRADO</v>
          </cell>
          <cell r="W46" t="str">
            <v>2025-0047</v>
          </cell>
          <cell r="X46" t="str">
            <v>2025-0046</v>
          </cell>
          <cell r="AJ46">
            <v>2</v>
          </cell>
          <cell r="AK46">
            <v>0</v>
          </cell>
          <cell r="AL46">
            <v>3</v>
          </cell>
          <cell r="AM46" t="str">
            <v>$3.000.000,00</v>
          </cell>
        </row>
        <row r="47">
          <cell r="A47" t="str">
            <v>046-2025</v>
          </cell>
          <cell r="B47" t="str">
            <v>ASEGURAMIENTO</v>
          </cell>
          <cell r="C47" t="str">
            <v>LA PREVISORA S. A. COMPAÑIA DE SEGUROS</v>
          </cell>
          <cell r="D47" t="str">
            <v>NIT</v>
          </cell>
          <cell r="E47">
            <v>1860002400</v>
          </cell>
          <cell r="F47">
            <v>2</v>
          </cell>
          <cell r="G47" t="str">
            <v xml:space="preserve">CONTRATACION DIRECTA </v>
          </cell>
          <cell r="H47">
            <v>2</v>
          </cell>
          <cell r="I47" t="str">
            <v>EL CONTRATISTA SE COMPROMETE CON PASTO SALUD AL CORRECTO ASEGURAMIENTO DE LOS BIENES, PERSONAS E INTERESES PATRIMONIALES Y EXTRAPATRIMONIALES ASI COMO TAMBIEN SOAT, POR LOS CUALES ES LEGALMENTE RESPONSABLE, CONFORME A LAS ESPECIFICACIONES SOBRE EL INTERES ASEGURABLE, RIESGOS ASEGURABLES O RIESGOS QUE EL ASEGURADOR TOMARA A SU CARGO, VIGENCIAS DEL CONTRATO, SUMAS ASEGURADAS, SEÑALADAS EN LOS ESTUDIOS Y DOCUMENTOS PREVIOS, LOS CUALES SE ANEXAN Y HACEN PARTE INTEGRAL DEL PRESENTE ESTUDIO DE CONFORMIDAD CON LA INFORMACION SUMINISTRADA POR LA OFICINA DE ALMACEN DE LA ESE PASTO SALUD.</v>
          </cell>
          <cell r="J47">
            <v>1</v>
          </cell>
          <cell r="K47" t="str">
            <v>$707.751.984,00</v>
          </cell>
          <cell r="L47">
            <v>45660</v>
          </cell>
          <cell r="M47">
            <v>46022</v>
          </cell>
          <cell r="N47" t="str">
            <v xml:space="preserve">	LEYDI MAGALI BENAVIDES BASTIDAS</v>
          </cell>
          <cell r="O47">
            <v>1086017548</v>
          </cell>
          <cell r="P47" t="str">
            <v>tributaria@previsora.gov.co</v>
          </cell>
          <cell r="Q47">
            <v>45660</v>
          </cell>
          <cell r="R47" t="str">
            <v>JUAN GOMEZ</v>
          </cell>
          <cell r="U47" t="str">
            <v>CELEBRADO</v>
          </cell>
          <cell r="W47" t="str">
            <v>2025-0053</v>
          </cell>
          <cell r="X47" t="str">
            <v>2025-0048</v>
          </cell>
          <cell r="AJ47">
            <v>2</v>
          </cell>
          <cell r="AK47">
            <v>0</v>
          </cell>
          <cell r="AL47">
            <v>2</v>
          </cell>
          <cell r="AM47" t="str">
            <v>$707.751.984,00</v>
          </cell>
        </row>
        <row r="48">
          <cell r="A48" t="str">
            <v>047-2025</v>
          </cell>
          <cell r="B48" t="str">
            <v>PRESTACION DE SERVICIOS</v>
          </cell>
          <cell r="C48" t="str">
            <v>OSCAR FERNANDO SANTACRUZ GRIJALBA</v>
          </cell>
          <cell r="D48" t="str">
            <v>CC</v>
          </cell>
          <cell r="E48">
            <v>12754853</v>
          </cell>
          <cell r="F48">
            <v>5</v>
          </cell>
          <cell r="G48" t="str">
            <v xml:space="preserve">CONTRATACION DIRECTA </v>
          </cell>
          <cell r="H48">
            <v>1</v>
          </cell>
          <cell r="I48" t="str">
            <v>PRESTAR SUS SERVICIOS PROFESIONALES DE APOYO EN LA EJECUCION DEL SISTEMA DE GESTION DE SEGURIDAD Y SALUD EN EL TRABAJO, Y DEMAS ACTIVIDADES QUE SE ADELANTAN EN LA EMPRESA SOCIAL DEL ESTADO PASTO SALUD E.S.E.</v>
          </cell>
          <cell r="J48">
            <v>1</v>
          </cell>
          <cell r="K48" t="str">
            <v>$21.161.292,00</v>
          </cell>
          <cell r="L48">
            <v>45666</v>
          </cell>
          <cell r="M48">
            <v>45900</v>
          </cell>
          <cell r="N48" t="str">
            <v>LEYDI MAGALI BENAVIDES BASTIDAS</v>
          </cell>
          <cell r="O48">
            <v>1086017548</v>
          </cell>
          <cell r="P48" t="str">
            <v>oscarfsantacruz777@gmail.com</v>
          </cell>
          <cell r="Q48">
            <v>45666</v>
          </cell>
          <cell r="R48" t="str">
            <v>NATALIA ERAZO</v>
          </cell>
          <cell r="U48" t="str">
            <v>CELEBRADO</v>
          </cell>
          <cell r="W48" t="str">
            <v>2025-0066</v>
          </cell>
          <cell r="X48" t="str">
            <v>2025-0074</v>
          </cell>
          <cell r="AB48" t="str">
            <v>ADICION Y PRORROGA</v>
          </cell>
          <cell r="AJ48">
            <v>1</v>
          </cell>
          <cell r="AK48">
            <v>0</v>
          </cell>
          <cell r="AL48">
            <v>3</v>
          </cell>
          <cell r="AM48" t="str">
            <v>$28.543.138,00</v>
          </cell>
        </row>
        <row r="49">
          <cell r="A49" t="str">
            <v>048-2025</v>
          </cell>
          <cell r="B49" t="str">
            <v>PRESTACION DE SERVICIOS</v>
          </cell>
          <cell r="C49" t="str">
            <v>DEYSY MARIBEL LASSO CARDENAS</v>
          </cell>
          <cell r="D49" t="str">
            <v>CC</v>
          </cell>
          <cell r="E49">
            <v>1085245386</v>
          </cell>
          <cell r="F49">
            <v>1</v>
          </cell>
          <cell r="G49" t="str">
            <v xml:space="preserve">CONTRATACION DIRECTA </v>
          </cell>
          <cell r="H49">
            <v>1</v>
          </cell>
          <cell r="I49" t="str">
            <v>PRESTACION DE SERVICIOS PROFESIONALES DIRIGIDOS A APOYAR LA PREPARACION Y REALIZACION DE INFORMES OBLIGATORIOS QUE POR DISPOSICION LEGAL DEBE PRESENTAR LA OFICINA DE CONTROL INTERNO DE PASTO SALUD ESE, Y REALIZAR APOYO Y ACOMPAÑAMIENTO EN LA IDENTIFICACION, ANALISIS Y EVALUACION DE RIESGOS INSTITUCIONALES, SU MONITOREO Y SEGUIMIENTO DE LOS CONTROLES Y TRATAMIENTOS ESTABLECIDOS EN CADA UNO DE LOS PROCESOS DE LA ENTIDAD</v>
          </cell>
          <cell r="J49">
            <v>1</v>
          </cell>
          <cell r="K49" t="str">
            <v xml:space="preserve"> $21.407.359,00</v>
          </cell>
          <cell r="L49">
            <v>45667</v>
          </cell>
          <cell r="M49">
            <v>45900</v>
          </cell>
          <cell r="N49" t="str">
            <v xml:space="preserve">	JAIME ALBERTO SANTACRUZ SANTACRUZ</v>
          </cell>
          <cell r="O49">
            <v>19478798</v>
          </cell>
          <cell r="P49" t="str">
            <v>ingeniera.lasso@gmail.com</v>
          </cell>
          <cell r="Q49">
            <v>45667</v>
          </cell>
          <cell r="R49" t="str">
            <v>JUAN GOMEZ</v>
          </cell>
          <cell r="U49" t="str">
            <v>CELEBRADO</v>
          </cell>
          <cell r="W49" t="str">
            <v>2025-0058</v>
          </cell>
          <cell r="X49" t="str">
            <v>2025-0075</v>
          </cell>
          <cell r="AB49" t="str">
            <v>CESION/ADICION Y PRORROGA</v>
          </cell>
          <cell r="AJ49">
            <v>1</v>
          </cell>
          <cell r="AK49">
            <v>3</v>
          </cell>
          <cell r="AL49">
            <v>2</v>
          </cell>
          <cell r="AM49" t="str">
            <v>$28.789.207,00</v>
          </cell>
        </row>
        <row r="50">
          <cell r="A50" t="str">
            <v>049-2025</v>
          </cell>
          <cell r="B50" t="str">
            <v>PRESTACION DE SERVICIOS</v>
          </cell>
          <cell r="C50" t="str">
            <v>YULI ANDREA MORAN MAYA</v>
          </cell>
          <cell r="D50" t="str">
            <v>CC</v>
          </cell>
          <cell r="E50">
            <v>37081336</v>
          </cell>
          <cell r="F50">
            <v>0</v>
          </cell>
          <cell r="G50" t="str">
            <v xml:space="preserve">CONTRATACION DIRECTA </v>
          </cell>
          <cell r="H50">
            <v>1</v>
          </cell>
          <cell r="I50" t="str">
            <v>PRESTACION DE SERVICIOS PROFESIONALES DIRIGIDOS A APOYAR A LOS RIESGOS ASISTENCIALES Y EVENTOS ADVERSOS DE LA VIGENCIA 2025, SEGUN LO ESTABLECIDO EN EL PLAN ANUAL DE AUDITORIAS QUE EJECUTA LA OFICINA DE CONTROL INTERNO DE PASTO SALUD ESE VIGENCIA 2025.LO ANTERIOR CONFORME CON LA PROPUESTA ANEXA, LAS OBLIGACIONES, REQUERIMIENTOS Y ESPECIFICACIONES TECNICAS CONTENIDAS EN LOS ESTUDIOS PREVIOS CONVENIENCIA Y OPORTUNIDAD GJEPC 092 CONSECUTIVO NO. 066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v>
          </cell>
          <cell r="J50">
            <v>1</v>
          </cell>
          <cell r="K50" t="str">
            <v>$20.792.205,00</v>
          </cell>
          <cell r="L50">
            <v>45670</v>
          </cell>
          <cell r="M50">
            <v>45900</v>
          </cell>
          <cell r="N50" t="str">
            <v xml:space="preserve">	JAIME ALBERTO SANTACRUZ SANTACRUZ</v>
          </cell>
          <cell r="O50">
            <v>19478798</v>
          </cell>
          <cell r="P50" t="str">
            <v>andreamoranmaya@gmail.com</v>
          </cell>
          <cell r="Q50">
            <v>45670</v>
          </cell>
          <cell r="R50" t="str">
            <v>NATALIA ERAZO</v>
          </cell>
          <cell r="U50" t="str">
            <v>CELEBRADO</v>
          </cell>
          <cell r="W50" t="str">
            <v>2025-0062</v>
          </cell>
          <cell r="X50" t="str">
            <v>2025-0078</v>
          </cell>
          <cell r="AB50" t="str">
            <v>ADICION Y PRORROGA</v>
          </cell>
          <cell r="AJ50">
            <v>1</v>
          </cell>
          <cell r="AK50">
            <v>3</v>
          </cell>
          <cell r="AL50">
            <v>2</v>
          </cell>
          <cell r="AM50" t="str">
            <v>$28.174.051,00</v>
          </cell>
        </row>
        <row r="51">
          <cell r="A51" t="str">
            <v>050-2025</v>
          </cell>
          <cell r="B51" t="str">
            <v>PRESTACION DE SERVICIOS</v>
          </cell>
          <cell r="C51" t="str">
            <v>LILIANA ANDREA GALINDEZ PEREZ</v>
          </cell>
          <cell r="D51" t="str">
            <v>CC</v>
          </cell>
          <cell r="E51">
            <v>36954793</v>
          </cell>
          <cell r="F51">
            <v>7</v>
          </cell>
          <cell r="G51" t="str">
            <v xml:space="preserve">CONTRATACION DIRECTA </v>
          </cell>
          <cell r="H51">
            <v>1</v>
          </cell>
          <cell r="I51" t="str">
            <v>PRESTACION DE SERVICIOS PROFESIONALES CON CONOCIMIENTOS EN EL AREA DE LA SALUD DIRIGIDOS A APOYAR EL MANTENIMIENTO DEL SISTEMA UNICO DE ACREDITACION Y EL SISTEMA DE GESTION DE CALIDAD BAJO LA NORMA ISO 90012015 EN CUMPLIMIENTO DE LOS REQUISITOS Y ESTANDARES APLICABLES, EN LA RED ORIENTE DE LA EMPRESA SOCIAL DEL ESTADO PASTO SALUD ESE.</v>
          </cell>
          <cell r="J51">
            <v>1</v>
          </cell>
          <cell r="K51" t="str">
            <v>$20.915.230,00</v>
          </cell>
          <cell r="L51">
            <v>45670</v>
          </cell>
          <cell r="M51">
            <v>45900</v>
          </cell>
          <cell r="N51" t="str">
            <v>JUAN CARLOS MERA GUERRERO</v>
          </cell>
          <cell r="O51">
            <v>13016581</v>
          </cell>
          <cell r="P51" t="str">
            <v>andregsol81@hotmail.com</v>
          </cell>
          <cell r="Q51">
            <v>45670</v>
          </cell>
          <cell r="R51" t="str">
            <v>JUAN GOMEZ</v>
          </cell>
          <cell r="U51" t="str">
            <v>CELEBRADO</v>
          </cell>
          <cell r="W51" t="str">
            <v>2025-0060</v>
          </cell>
          <cell r="X51" t="str">
            <v>2025-0079</v>
          </cell>
          <cell r="AB51" t="str">
            <v>ADICION Y PRORROGA</v>
          </cell>
          <cell r="AJ51">
            <v>1</v>
          </cell>
          <cell r="AK51">
            <v>3</v>
          </cell>
          <cell r="AL51">
            <v>2</v>
          </cell>
          <cell r="AM51" t="str">
            <v>$28.297.076,00</v>
          </cell>
        </row>
        <row r="52">
          <cell r="A52" t="str">
            <v>051-2025</v>
          </cell>
          <cell r="B52" t="str">
            <v>PRESTACION DE SERVICIOS</v>
          </cell>
          <cell r="C52" t="str">
            <v>ANDRES EDUARDO SUAREZ CAIZA</v>
          </cell>
          <cell r="D52" t="str">
            <v>CC</v>
          </cell>
          <cell r="E52">
            <v>1085938244</v>
          </cell>
          <cell r="F52">
            <v>7</v>
          </cell>
          <cell r="G52" t="str">
            <v xml:space="preserve">CONTRATACION DIRECTA </v>
          </cell>
          <cell r="H52">
            <v>1</v>
          </cell>
          <cell r="I52" t="str">
            <v>PRESTACION DE SERVICIOS PROFESIONALES DIRIGIDOS A APOYAR EL MANTENIMIENTO EL SISTEMA UNICO DE ACREDITACION Y EL SISTEMA DE GESTION DE CALIDAD BAJO LA NORMA ISO 90012015 EN CUMPLIMIENTO DE LOS REQUISITOS Y ESTANDARES APLICABLES, EN LA RED NORTE DE LA EMPRESA SOCIAL DEL ESTADO PASTO SALUD ESE.</v>
          </cell>
          <cell r="J52">
            <v>1</v>
          </cell>
          <cell r="K52" t="str">
            <v>$20.915.230,00</v>
          </cell>
          <cell r="L52">
            <v>45670</v>
          </cell>
          <cell r="M52">
            <v>45900</v>
          </cell>
          <cell r="N52" t="str">
            <v xml:space="preserve">	JUAN CARLOS MERA GUERRERO</v>
          </cell>
          <cell r="O52">
            <v>13016581</v>
          </cell>
          <cell r="P52" t="str">
            <v>andres_esc@outlook.com</v>
          </cell>
          <cell r="Q52">
            <v>45670</v>
          </cell>
          <cell r="R52" t="str">
            <v>ELIANA BENAVIDES</v>
          </cell>
          <cell r="U52" t="str">
            <v>CELEBRADO</v>
          </cell>
          <cell r="W52" t="str">
            <v>2025-0061</v>
          </cell>
          <cell r="X52" t="str">
            <v>2025-0080</v>
          </cell>
          <cell r="AB52" t="str">
            <v>ADICION Y PRORROGA</v>
          </cell>
          <cell r="AJ52">
            <v>1</v>
          </cell>
          <cell r="AK52">
            <v>3</v>
          </cell>
          <cell r="AL52">
            <v>2</v>
          </cell>
          <cell r="AM52" t="str">
            <v>$28.297.076,00</v>
          </cell>
        </row>
        <row r="53">
          <cell r="A53" t="str">
            <v>052-2025</v>
          </cell>
          <cell r="B53" t="str">
            <v>PRESTACION DE SERVICIOS</v>
          </cell>
          <cell r="C53" t="str">
            <v>IVAN WILFREDO BURBANO PATIÑO</v>
          </cell>
          <cell r="D53" t="str">
            <v>CC</v>
          </cell>
          <cell r="E53">
            <v>12980114</v>
          </cell>
          <cell r="F53">
            <v>9</v>
          </cell>
          <cell r="G53" t="str">
            <v xml:space="preserve">CONTRATACION DIRECTA </v>
          </cell>
          <cell r="H53">
            <v>1</v>
          </cell>
          <cell r="I53" t="str">
            <v>PRESTACION DE SERVICIOS PROFESIONALES DIRIGIDOS A APOYAR LA EJECUCION DE AUDITORIAS INTERNAS Y SEGUIMIENTOS ESTABLECIDOS EN EL PLAN ANUAL DE AUDITORIAS QUE EJECUTA LA OFICINA DE CONTROL INTERNO DE PASTO SALUD ESE VIGENCIA 2025. LO ANTERIOR CONFORME CON LA PROPUESTA ANEXA, LAS OBLIGACIONES, REQUERIMIENTOS Y ESPECIFICACIONES TECNICAS CONTENIDAS EN LOS ESTUDIOS PREVIOS CONVENIENCIA Y OPORTUNIDAD GJEPC 092 CONSECUTIVO NO. 067 DEL 8 DE ENERO DE 2025, ELABORADOS POR EL DOCTOR JAIME ALBERTO SANTACRUZ SANTACRUZ EN SU CONDICION DE JEFE DE LA OFICINA DE CONTROL INTERNO DE LA EMPRESA SOCIAL DEL ESTADO PASTO SALUD ESE, RESPECTIVAMENTE, ANEXO MATRIZ DE RIESGOS DOCUMENTOS ANTERIORES QUE HACEN PARTE INTEGRAL DEL PRESENTE CONTRATO.</v>
          </cell>
          <cell r="J53">
            <v>1</v>
          </cell>
          <cell r="K53" t="str">
            <v>$20.792.205,00</v>
          </cell>
          <cell r="L53">
            <v>45670</v>
          </cell>
          <cell r="M53">
            <v>45900</v>
          </cell>
          <cell r="N53" t="str">
            <v xml:space="preserve">	JAIME ALBERTO SANTACRUZ SANTACRUZ</v>
          </cell>
          <cell r="O53">
            <v>19478798</v>
          </cell>
          <cell r="P53" t="str">
            <v>ivanwbp15@gmail.com</v>
          </cell>
          <cell r="Q53">
            <v>45670</v>
          </cell>
          <cell r="R53" t="str">
            <v>NATALIA ERAZO</v>
          </cell>
          <cell r="U53" t="str">
            <v>CELEBRADO</v>
          </cell>
          <cell r="W53" t="str">
            <v>2025-0063</v>
          </cell>
          <cell r="X53" t="str">
            <v>2025-0081</v>
          </cell>
          <cell r="AB53" t="str">
            <v>ADICION Y PRORROGA</v>
          </cell>
          <cell r="AJ53">
            <v>1</v>
          </cell>
          <cell r="AK53">
            <v>3</v>
          </cell>
          <cell r="AL53">
            <v>2</v>
          </cell>
          <cell r="AM53" t="str">
            <v>$28.174.053,00</v>
          </cell>
        </row>
        <row r="54">
          <cell r="A54" t="str">
            <v>053-2025</v>
          </cell>
          <cell r="B54" t="str">
            <v>PRESTACION DE SERVICIOS</v>
          </cell>
          <cell r="C54" t="str">
            <v>PAOLA ANDREA SANTACRUZ BENAVIDES</v>
          </cell>
          <cell r="D54" t="str">
            <v>CC</v>
          </cell>
          <cell r="E54">
            <v>1018443747</v>
          </cell>
          <cell r="F54">
            <v>0</v>
          </cell>
          <cell r="G54" t="str">
            <v xml:space="preserve">CONTRATACION DIRECTA </v>
          </cell>
          <cell r="H54">
            <v>1</v>
          </cell>
          <cell r="I54" t="str">
            <v>PRESTACION DE SERVICIOS PROFESIONALES DIRIGIDOS A APOYAR EL MANTENIMIENTO EL SISTEMA UNICO DE ACREDITACION Y EL SISTEMA DE GESTION DE CALIDAD BAJO LA NORMA ISO 90012015 EN CUMPLIMIENTO DE LOS REQUISITOS Y ESTANDARES APLICABLES, EN LA RED OCCIDENTE DE LA EMPRESA SOCIAL DEL ESTADO PASTO SALUD ESE. LO ANTERIOR CONFORME CON LA PROPUESTA ANEXA, LAS OBLIGACIONES, REQUERIMIENTOS Y ESPECIFICACIONES TECNICAS CONTENIDAS EN LOS ESTUDIOS PREVIOS CONVENIENCIA Y OPORTUNIDAD GJEPC 092 CONSECUTIVO NO. 063 DEL 09 DE ENERO DE 2025, ELABORADOS POR EL DOCTOR JUAN CARLOS MERA GUERRERO, EN SU CONDICION DE SUBGERENTE DE SALUD E INVESTIGACION DE LA EMPRESA SOCIAL DEL ESTADO PASTO SALUD ESE, RESPECTIVAMENTE, ANEXO MATRIZ DE RIESGOS DOCUMENTOS ANTERIORES QUE HACEN PARTE INTEGRAL DEL PRESENTE CONTRATO.</v>
          </cell>
          <cell r="J54">
            <v>1</v>
          </cell>
          <cell r="K54" t="str">
            <v>$20.915.230,00</v>
          </cell>
          <cell r="L54">
            <v>45670</v>
          </cell>
          <cell r="M54">
            <v>45900</v>
          </cell>
          <cell r="N54" t="str">
            <v>JUAN CARLOS MERA GUERRERO</v>
          </cell>
          <cell r="O54">
            <v>13016581</v>
          </cell>
          <cell r="P54" t="str">
            <v>pandreasantacruzb@gmail.com</v>
          </cell>
          <cell r="Q54">
            <v>45670</v>
          </cell>
          <cell r="R54" t="str">
            <v>NATALIA ERAZO</v>
          </cell>
          <cell r="U54" t="str">
            <v>CELEBRADO</v>
          </cell>
          <cell r="W54" t="str">
            <v>2025-0064</v>
          </cell>
          <cell r="X54" t="str">
            <v>2025-0082</v>
          </cell>
          <cell r="AB54" t="str">
            <v>ADICION Y PRORROGA</v>
          </cell>
          <cell r="AJ54">
            <v>1</v>
          </cell>
          <cell r="AK54">
            <v>3</v>
          </cell>
          <cell r="AL54">
            <v>2</v>
          </cell>
          <cell r="AM54" t="str">
            <v xml:space="preserve"> $28.297.076,00</v>
          </cell>
        </row>
        <row r="55">
          <cell r="A55" t="str">
            <v>054-2025</v>
          </cell>
          <cell r="B55" t="str">
            <v>PRESTACION DE SERVICIOS</v>
          </cell>
          <cell r="C55" t="str">
            <v>SKINA TECHNOLOGIES S.A.S.</v>
          </cell>
          <cell r="D55" t="str">
            <v>NIT</v>
          </cell>
          <cell r="E55">
            <v>830129050</v>
          </cell>
          <cell r="F55">
            <v>5</v>
          </cell>
          <cell r="G55" t="str">
            <v xml:space="preserve">CONTRATACION DIRECTA </v>
          </cell>
          <cell r="H55">
            <v>2</v>
          </cell>
          <cell r="I55" t="str">
            <v>PRESTAR EL SERVICIO DE SOPORTE TECNICO DEL SISTEMA DE GESTION DOCUMENTA ORFEO PARA LA EMPRESA SOCIAL DEL ESTADO PASTO SALUD E.S.E.</v>
          </cell>
          <cell r="J55">
            <v>1</v>
          </cell>
          <cell r="K55" t="str">
            <v>$14.166.666,00</v>
          </cell>
          <cell r="L55">
            <v>45672</v>
          </cell>
          <cell r="M55">
            <v>45838</v>
          </cell>
          <cell r="N55" t="str">
            <v>LYDA ARGELIS PABON LOPEZ</v>
          </cell>
          <cell r="O55">
            <v>52229702</v>
          </cell>
          <cell r="P55" t="str">
            <v>MFLECHAS@SKINATECH.COM</v>
          </cell>
          <cell r="Q55">
            <v>45672</v>
          </cell>
          <cell r="R55" t="str">
            <v>RODRIGO ROSERO</v>
          </cell>
          <cell r="U55" t="str">
            <v>CELEBRADO</v>
          </cell>
          <cell r="W55" t="str">
            <v>2025-0022</v>
          </cell>
          <cell r="X55" t="str">
            <v>2025-0083</v>
          </cell>
          <cell r="AJ55">
            <v>2</v>
          </cell>
          <cell r="AK55">
            <v>0</v>
          </cell>
          <cell r="AL55">
            <v>2</v>
          </cell>
          <cell r="AM55" t="str">
            <v>$14.166.666,00</v>
          </cell>
        </row>
        <row r="56">
          <cell r="A56" t="str">
            <v>055-2025</v>
          </cell>
          <cell r="B56" t="str">
            <v>SUMINISTROS</v>
          </cell>
          <cell r="C56" t="str">
            <v>LUBRICANTES Y COMBUSTIBLES DEL SUR LTDA</v>
          </cell>
          <cell r="D56" t="str">
            <v>NIT</v>
          </cell>
          <cell r="E56">
            <v>891201615</v>
          </cell>
          <cell r="F56">
            <v>5</v>
          </cell>
          <cell r="G56" t="str">
            <v xml:space="preserve">CONTRATACION DIRECTA </v>
          </cell>
          <cell r="H56">
            <v>2</v>
          </cell>
          <cell r="I56" t="str">
            <v>SUMINISTRO DE COMBUSTIBLE GASOLINA CORRIENTE O REGULAR, A.C.P.M. O DIESEL, LUBRICANTES Y DEMAS ELEMENTOS RELACIONADOS A CONTINUACION PARA EL NORMAL FUNCIONAMIENTO DEL PARQUE AUTOMOTOR Y PLANTAS ELECTRICAS DE LA EMPRESA SOCIAL DEL ESTADO PASTO SALUD E.S.E.</v>
          </cell>
          <cell r="J56">
            <v>1</v>
          </cell>
          <cell r="K56" t="str">
            <v>$103.000.000,00</v>
          </cell>
          <cell r="L56">
            <v>45672</v>
          </cell>
          <cell r="M56">
            <v>45838</v>
          </cell>
          <cell r="N56" t="str">
            <v xml:space="preserve">	JUAN CARLOS OJEDA VILLOTA</v>
          </cell>
          <cell r="O56">
            <v>12986906</v>
          </cell>
          <cell r="P56" t="str">
            <v>contadora@lubrisur.com.co</v>
          </cell>
          <cell r="Q56">
            <v>45672</v>
          </cell>
          <cell r="R56" t="str">
            <v>RODRIGO ROSERO</v>
          </cell>
          <cell r="U56" t="str">
            <v>CELEBRADO</v>
          </cell>
          <cell r="W56" t="str">
            <v>2025-0038</v>
          </cell>
          <cell r="X56" t="str">
            <v>2025-0084</v>
          </cell>
          <cell r="AJ56">
            <v>2</v>
          </cell>
          <cell r="AK56">
            <v>0</v>
          </cell>
          <cell r="AL56">
            <v>2</v>
          </cell>
          <cell r="AM56" t="str">
            <v>$103.000.000,00</v>
          </cell>
        </row>
        <row r="57">
          <cell r="A57" t="str">
            <v>056-2025</v>
          </cell>
          <cell r="B57" t="str">
            <v>PRESTACION DE SERVICIOS</v>
          </cell>
          <cell r="C57" t="str">
            <v>LABORATORIOS DE ESPECIALIDADES CLINIZAD S.A.S</v>
          </cell>
          <cell r="D57" t="str">
            <v>NIT</v>
          </cell>
          <cell r="E57">
            <v>900360269</v>
          </cell>
          <cell r="F57">
            <v>2</v>
          </cell>
          <cell r="G57" t="str">
            <v xml:space="preserve">CONTRATACION DIRECTA </v>
          </cell>
          <cell r="H57">
            <v>2</v>
          </cell>
          <cell r="I57" t="str">
            <v>CONTRATAR LA PRESTACION DE SERVICIO POR EXTERNALIZACION PARA EL PROCESAMIENTO Y LECTURA DE LAS PRUEBAS ADN VPH Y CITOLOGIA EN BASE LIQUIDA CON UN LABORATORIO HABILITADO PARA ESTE FIN, QUE GARANTICE LA PRESTACION DE LOS SERVICIOS DE SALUD COMPLEMENTARIOS DE UNA MANERA EFICIENTE A FIN DE GARANTIZAR EL DIAGNOSTICO OPORTUNO DEL CANCER DE CERVIX DE ACUERDO CON LA NORMATIVIDAD VIGENTE Y LAS INDICACIONES DE PASTO SALUD E.S.E</v>
          </cell>
          <cell r="J57">
            <v>1</v>
          </cell>
          <cell r="K57" t="str">
            <v>$376.980.000,00</v>
          </cell>
          <cell r="L57">
            <v>45672</v>
          </cell>
          <cell r="M57">
            <v>45838</v>
          </cell>
          <cell r="N57" t="str">
            <v xml:space="preserve">	BERTHA JANETH MONTENEGRO PORTILLA</v>
          </cell>
          <cell r="O57">
            <v>36950699</v>
          </cell>
          <cell r="P57" t="str">
            <v>contabilidad@clinizad.com</v>
          </cell>
          <cell r="Q57">
            <v>45672</v>
          </cell>
          <cell r="R57" t="str">
            <v>CRISTINA ROSERO</v>
          </cell>
          <cell r="U57" t="str">
            <v>CELEBRADO</v>
          </cell>
          <cell r="W57" t="str">
            <v>2025-0071</v>
          </cell>
          <cell r="X57" t="str">
            <v>2025-0090</v>
          </cell>
          <cell r="AJ57">
            <v>2</v>
          </cell>
          <cell r="AK57">
            <v>0</v>
          </cell>
          <cell r="AL57">
            <v>2</v>
          </cell>
          <cell r="AM57" t="str">
            <v>$376.980.000,00</v>
          </cell>
        </row>
        <row r="58">
          <cell r="A58" t="str">
            <v>057-2025</v>
          </cell>
          <cell r="B58" t="str">
            <v>PRESTACION DE SERVICIOS</v>
          </cell>
          <cell r="C58" t="str">
            <v>FERNANDO MARTINEZ UREÑA</v>
          </cell>
          <cell r="D58" t="str">
            <v>CC</v>
          </cell>
          <cell r="E58">
            <v>16838648</v>
          </cell>
          <cell r="F58">
            <v>8</v>
          </cell>
          <cell r="G58" t="str">
            <v xml:space="preserve">CONTRATACION DIRECTA </v>
          </cell>
          <cell r="H58">
            <v>1</v>
          </cell>
          <cell r="I58" t="str">
            <v>PRESTACION DE SERVICIOS PROFESIONALES EN EL AREA JURIDICA, ORIENTADOS A LA REPRESENTACION JUDICIAL Y EXTRAJUDICIAL INTEGRAL DE LA ENTIDAD, ASI COMO TAMBIEN LA ASESORIA JURIDICA ESPECIALIZADA PARA LA EMPRESA SOCIAL DEL ESTADO PASTO E.S.E., POR PARTE DE PROFESIONALES EN DERECHO, POR PARTE DE PROFESIONALES EN DERECHO.</v>
          </cell>
          <cell r="J58">
            <v>1</v>
          </cell>
          <cell r="K58" t="str">
            <v>$108.049.704,00</v>
          </cell>
          <cell r="L58">
            <v>45672</v>
          </cell>
          <cell r="M58">
            <v>45900</v>
          </cell>
          <cell r="N58" t="str">
            <v>KELLY NAYIBY GUANCHA MEJIA</v>
          </cell>
          <cell r="O58">
            <v>1085256100</v>
          </cell>
          <cell r="P58" t="str">
            <v>ferchomaure@hotmail.com</v>
          </cell>
          <cell r="Q58">
            <v>45672</v>
          </cell>
          <cell r="R58" t="str">
            <v>JUAN GOMEZ</v>
          </cell>
          <cell r="U58" t="str">
            <v>CELEBRADO</v>
          </cell>
          <cell r="W58" t="str">
            <v>2025-0090</v>
          </cell>
          <cell r="X58" t="str">
            <v>2025-0085</v>
          </cell>
          <cell r="AB58" t="str">
            <v>ADICION Y PRORROGA</v>
          </cell>
          <cell r="AJ58">
            <v>1</v>
          </cell>
          <cell r="AK58">
            <v>3</v>
          </cell>
          <cell r="AL58">
            <v>2</v>
          </cell>
          <cell r="AM58" t="str">
            <v>$108.049.704,00</v>
          </cell>
        </row>
        <row r="59">
          <cell r="A59" t="str">
            <v>058-2025</v>
          </cell>
          <cell r="B59" t="str">
            <v>PRESTACION DE SERVICIOS</v>
          </cell>
          <cell r="C59" t="str">
            <v>CARLOS ALBERTO MAIGUAL ACHICANOY</v>
          </cell>
          <cell r="D59" t="str">
            <v>CC</v>
          </cell>
          <cell r="E59">
            <v>5278362</v>
          </cell>
          <cell r="F59">
            <v>3</v>
          </cell>
          <cell r="G59" t="str">
            <v xml:space="preserve">CONTRATACION DIRECTA </v>
          </cell>
          <cell r="H59">
            <v>1</v>
          </cell>
          <cell r="I59" t="str">
            <v>PRESTACION DE SERVICIOS PROFESIONALES EN EL AREA JURIDICA, ORIENTADOS A LA REPRESENTACION JUDICIAL Y EXTRAJUDICIAL INTEGRAL DE LA ENTIDAD, ASI COMO TAMBIEN LA ASESORIA JURIDICA ESPECIALIZADA PARA LA EMPRESA SOCIAL DEL ESTADO PASTO E.S.E., POR PARTE DE PROFESIONALES EN DERECHO, POR PARTE DE PROFESIONALES EN DERECHO.</v>
          </cell>
          <cell r="J59">
            <v>1</v>
          </cell>
          <cell r="K59" t="str">
            <v>$79.421.150,00</v>
          </cell>
          <cell r="L59">
            <v>45672</v>
          </cell>
          <cell r="M59">
            <v>45900</v>
          </cell>
          <cell r="N59" t="str">
            <v>KELLY NAYIBY GUANCHA MEJIA</v>
          </cell>
          <cell r="O59">
            <v>1085256100</v>
          </cell>
          <cell r="P59" t="str">
            <v>carlosamaigualag@gmail.com</v>
          </cell>
          <cell r="Q59">
            <v>45672</v>
          </cell>
          <cell r="R59" t="str">
            <v>JUAN GOMEZ</v>
          </cell>
          <cell r="U59" t="str">
            <v>CELEBRADO</v>
          </cell>
          <cell r="W59" t="str">
            <v>2025-0090</v>
          </cell>
          <cell r="X59" t="str">
            <v>2025-0086</v>
          </cell>
          <cell r="AB59" t="str">
            <v>ADICION Y PRORROGA</v>
          </cell>
          <cell r="AJ59">
            <v>1</v>
          </cell>
          <cell r="AK59">
            <v>3</v>
          </cell>
          <cell r="AL59">
            <v>2</v>
          </cell>
          <cell r="AM59" t="str">
            <v>$108.049.704,00</v>
          </cell>
        </row>
        <row r="60">
          <cell r="A60" t="str">
            <v>059-2025</v>
          </cell>
          <cell r="B60" t="str">
            <v>PRESTACION DE SERVICIOS</v>
          </cell>
          <cell r="C60" t="str">
            <v>MAURICIO JURADO CHAVES</v>
          </cell>
          <cell r="D60" t="str">
            <v>CC</v>
          </cell>
          <cell r="E60">
            <v>12751823</v>
          </cell>
          <cell r="F60">
            <v>0</v>
          </cell>
          <cell r="G60" t="str">
            <v xml:space="preserve">CONTRATACION DIRECTA </v>
          </cell>
          <cell r="H60">
            <v>1</v>
          </cell>
          <cell r="I60" t="str">
            <v>PRESTAR LOS SERVICIOS COMO PROFESIONAL EN EL AREA DE DISEÑO GRAFICO, AUDIOVISUAL O A FINES PARA LA EMPRESA SOCIAL DEL ESTADO PASTO SALUD E.S.E.</v>
          </cell>
          <cell r="J60">
            <v>1</v>
          </cell>
          <cell r="K60" t="str">
            <v>$20.300.099,00</v>
          </cell>
          <cell r="L60">
            <v>45672</v>
          </cell>
          <cell r="M60">
            <v>45900</v>
          </cell>
          <cell r="N60" t="str">
            <v>LYDA ARGELIS PABON LOPEZ</v>
          </cell>
          <cell r="O60">
            <v>52229702</v>
          </cell>
          <cell r="P60" t="str">
            <v>maojc82@gmail.com</v>
          </cell>
          <cell r="Q60">
            <v>45672</v>
          </cell>
          <cell r="R60" t="str">
            <v>ELIANA BENAVIDES</v>
          </cell>
          <cell r="U60" t="str">
            <v>CELEBRADO</v>
          </cell>
          <cell r="W60" t="str">
            <v>2025-0078</v>
          </cell>
          <cell r="X60" t="str">
            <v>2025-0088</v>
          </cell>
          <cell r="AB60" t="str">
            <v>ADICION Y PRORROGA</v>
          </cell>
          <cell r="AJ60">
            <v>1</v>
          </cell>
          <cell r="AK60">
            <v>3</v>
          </cell>
          <cell r="AL60">
            <v>2</v>
          </cell>
          <cell r="AM60" t="str">
            <v xml:space="preserve"> $27.681.953,00</v>
          </cell>
        </row>
        <row r="61">
          <cell r="A61" t="str">
            <v>060-2025</v>
          </cell>
          <cell r="B61" t="str">
            <v>PRESTACION DE SERVICIOS</v>
          </cell>
          <cell r="C61" t="str">
            <v>CARLOS HERNAN MORA BENAVIDES</v>
          </cell>
          <cell r="D61" t="str">
            <v>CC</v>
          </cell>
          <cell r="E61">
            <v>98378706</v>
          </cell>
          <cell r="F61">
            <v>0</v>
          </cell>
          <cell r="G61" t="str">
            <v xml:space="preserve">CONTRATACION DIRECTA </v>
          </cell>
          <cell r="H61">
            <v>1</v>
          </cell>
          <cell r="I61" t="str">
            <v>PRESTAR LOS SERVICIOS PROFESIONALES COMUNICADOR SOCIAL Y PERIODISTA PARA LA EMPRESA SOCIAL DEL ESTADO PASTO SALUD E.S.E.</v>
          </cell>
          <cell r="J61">
            <v>1</v>
          </cell>
          <cell r="K61" t="str">
            <v>$20.300.099,00</v>
          </cell>
          <cell r="L61">
            <v>45672</v>
          </cell>
          <cell r="M61">
            <v>45900</v>
          </cell>
          <cell r="N61" t="str">
            <v>LYDA ARGELIS PABON LOPEZ</v>
          </cell>
          <cell r="O61">
            <v>52229702</v>
          </cell>
          <cell r="P61" t="str">
            <v>calichenoticias@hotmail.com</v>
          </cell>
          <cell r="Q61">
            <v>45672</v>
          </cell>
          <cell r="R61" t="str">
            <v>ANDRES GUERRA</v>
          </cell>
          <cell r="U61" t="str">
            <v>CELEBRADO</v>
          </cell>
          <cell r="W61" t="str">
            <v>2025-0077</v>
          </cell>
          <cell r="X61" t="str">
            <v>2025-0089</v>
          </cell>
          <cell r="AB61" t="str">
            <v>ADICION Y PRORROGA</v>
          </cell>
          <cell r="AJ61">
            <v>1</v>
          </cell>
          <cell r="AK61">
            <v>3</v>
          </cell>
          <cell r="AL61">
            <v>2</v>
          </cell>
          <cell r="AM61" t="str">
            <v xml:space="preserve"> $27.681.953,00</v>
          </cell>
        </row>
        <row r="62">
          <cell r="A62" t="str">
            <v>061-2025</v>
          </cell>
          <cell r="B62" t="str">
            <v>PRESTACION DE SERVICIOS</v>
          </cell>
          <cell r="C62" t="str">
            <v>SEGURIDAD Y COMUNICACIONES GPS SAS</v>
          </cell>
          <cell r="D62" t="str">
            <v>NIT</v>
          </cell>
          <cell r="E62">
            <v>901214616</v>
          </cell>
          <cell r="F62">
            <v>4</v>
          </cell>
          <cell r="G62" t="str">
            <v xml:space="preserve">CONTRATACION DIRECTA </v>
          </cell>
          <cell r="H62">
            <v>2</v>
          </cell>
          <cell r="I62" t="str">
            <v>PRESTACION DEL SERVICIO DE USO DE PLATAFORMA DE MONITOREO Y RASTREO SATELITAL GPS PARA EL PARQUE AUTOMOTOR DE PASTO SALUD E.S.E. LO ANTERIOR CONFORME CON LA PROPUESTA ANEXA, LAS OBLIGACIONES, REQUERIMIENTOS Y ESPECIFICACIONES TECNICAS CONTENIDAS EN LOS ESTUDIOS PREVIOS CONVENIENCIA Y OPORTUNIDAD GJEPC 092 CONSECUTIVO NO. 070 DEL 13 DE ENERO DE 2025, ELABORADOS POR LYDA PABON LOPEZ, EN SU CONDICION DE JEFE OFICINA ASESORA DE COMUNICACIONES Y SISTEMAS DE LA EMPRESA SOCIAL DEL ESTADO PASTO SALUD ESE, RESPECTIVAMENTE, ANEXO MATRIZ DE RIESGOS DOCUMENTOS ANTERIORES QUE HACEN PARTE INTEGRAL DEL PRESENTE CONTRATO.</v>
          </cell>
          <cell r="J62">
            <v>1</v>
          </cell>
          <cell r="K62" t="str">
            <v>$15.788.500,00</v>
          </cell>
          <cell r="L62">
            <v>45673</v>
          </cell>
          <cell r="M62">
            <v>46022</v>
          </cell>
          <cell r="N62" t="str">
            <v>LYDA ARGELIS PABON LOPEZ</v>
          </cell>
          <cell r="O62">
            <v>52229702</v>
          </cell>
          <cell r="P62" t="str">
            <v>gerencia@secom.net.co</v>
          </cell>
          <cell r="Q62">
            <v>45673</v>
          </cell>
          <cell r="R62" t="str">
            <v>NATALIA ERAZO</v>
          </cell>
          <cell r="U62" t="str">
            <v>CELEBRADO</v>
          </cell>
          <cell r="W62" t="str">
            <v>2025-0021</v>
          </cell>
          <cell r="X62" t="str">
            <v>2025-0091</v>
          </cell>
          <cell r="AJ62">
            <v>2</v>
          </cell>
          <cell r="AK62">
            <v>0</v>
          </cell>
          <cell r="AL62">
            <v>2</v>
          </cell>
          <cell r="AM62" t="str">
            <v>$15.788.500,00</v>
          </cell>
        </row>
        <row r="63">
          <cell r="A63" t="str">
            <v>062-2025</v>
          </cell>
          <cell r="B63" t="str">
            <v>PRESTACION DE SERVICIOS</v>
          </cell>
          <cell r="C63" t="str">
            <v>DAVID EDUARDO MENDOZA HURTADO</v>
          </cell>
          <cell r="D63" t="str">
            <v>CC</v>
          </cell>
          <cell r="E63">
            <v>98381245</v>
          </cell>
          <cell r="F63">
            <v>8</v>
          </cell>
          <cell r="G63" t="str">
            <v xml:space="preserve">CONTRATACION DIRECTA </v>
          </cell>
          <cell r="H63">
            <v>1</v>
          </cell>
          <cell r="I63" t="str">
            <v>CONTRATAR SERVICIOS PROFESIONALES DE APOYO AL DIRECCIONAMIENTO ESTRATEGICO, PROYECTOS INSTITUCIONALES Y OPERACIONALES DE LA RED DE PRESTACION DE SERVICIOS DE SALUD Y SEDE ADMINISTRATIVA DE PASTO SALUD E.S.E</v>
          </cell>
          <cell r="J63">
            <v>1</v>
          </cell>
          <cell r="K63" t="str">
            <v>$38.500.000,00</v>
          </cell>
          <cell r="L63">
            <v>45673</v>
          </cell>
          <cell r="M63">
            <v>45838</v>
          </cell>
          <cell r="N63" t="str">
            <v>SEBASTIAN GRANJA ORDOÑEZ</v>
          </cell>
          <cell r="O63">
            <v>1085316703</v>
          </cell>
          <cell r="P63" t="str">
            <v>davidmendoza35@hotmail.com</v>
          </cell>
          <cell r="Q63">
            <v>45673</v>
          </cell>
          <cell r="R63" t="str">
            <v>CRISTINA ROSERO</v>
          </cell>
          <cell r="U63" t="str">
            <v>CELEBRADO</v>
          </cell>
          <cell r="W63" t="str">
            <v>2025-0079</v>
          </cell>
          <cell r="X63" t="str">
            <v>2025-0092</v>
          </cell>
          <cell r="AJ63">
            <v>2</v>
          </cell>
          <cell r="AK63">
            <v>0</v>
          </cell>
          <cell r="AL63">
            <v>3</v>
          </cell>
          <cell r="AM63" t="str">
            <v>$38.500.000,00</v>
          </cell>
        </row>
        <row r="64">
          <cell r="A64" t="str">
            <v>063-2025</v>
          </cell>
          <cell r="B64" t="str">
            <v>PRESTACION DE SERVICIOS</v>
          </cell>
          <cell r="C64" t="str">
            <v>JORGE HERNANDO REVELO GUERRERO</v>
          </cell>
          <cell r="D64" t="str">
            <v>CC</v>
          </cell>
          <cell r="E64">
            <v>12983571</v>
          </cell>
          <cell r="F64">
            <v>5</v>
          </cell>
          <cell r="G64" t="str">
            <v xml:space="preserve">CONTRATACION DIRECTA </v>
          </cell>
          <cell r="H64">
            <v>1</v>
          </cell>
          <cell r="I64" t="str">
            <v>PRESTAR SERVICIOS PROFESIONALES COMO ADMINISTRADOR DE EMPRESAS EN LAS DIFERENTES ACTIVIDADES QUE SE ADELANTAN EN LA OFICINA DE SUMINISTROS DE LA EMPRESA SOCIAL DEL ESTADO PASTO SALUD E.S.E.</v>
          </cell>
          <cell r="J64">
            <v>1</v>
          </cell>
          <cell r="K64" t="str">
            <v>$20.300.080,00</v>
          </cell>
          <cell r="L64">
            <v>45673</v>
          </cell>
          <cell r="M64">
            <v>45900</v>
          </cell>
          <cell r="N64" t="str">
            <v xml:space="preserve">	ANA PATRICIA CAJIGAS RUBIO</v>
          </cell>
          <cell r="O64">
            <v>36759470</v>
          </cell>
          <cell r="P64" t="str">
            <v>jorevelo1965@gmail.com</v>
          </cell>
          <cell r="Q64">
            <v>45307</v>
          </cell>
          <cell r="R64" t="str">
            <v>RODRIGO ROSERO</v>
          </cell>
          <cell r="U64" t="str">
            <v>CELEBRADO</v>
          </cell>
          <cell r="W64" t="str">
            <v>2025-0073</v>
          </cell>
          <cell r="X64" t="str">
            <v>2025-0093</v>
          </cell>
          <cell r="AB64" t="str">
            <v>ADICION Y PRORROGA</v>
          </cell>
          <cell r="AJ64">
            <v>1</v>
          </cell>
          <cell r="AK64">
            <v>3</v>
          </cell>
          <cell r="AL64">
            <v>2</v>
          </cell>
          <cell r="AM64" t="str">
            <v>$27.681.928,00</v>
          </cell>
        </row>
        <row r="65">
          <cell r="A65" t="str">
            <v>064-2025</v>
          </cell>
          <cell r="B65" t="str">
            <v>PRESTACION DE SERVICIOS</v>
          </cell>
          <cell r="C65" t="str">
            <v>CATHERYN DANIELA ANDRADE MELO</v>
          </cell>
          <cell r="D65" t="str">
            <v>CC</v>
          </cell>
          <cell r="E65">
            <v>1233194452</v>
          </cell>
          <cell r="F65">
            <v>4</v>
          </cell>
          <cell r="G65" t="str">
            <v xml:space="preserve">CONTRATACION DIRECTA </v>
          </cell>
          <cell r="H65">
            <v>1</v>
          </cell>
          <cell r="I65" t="str">
            <v>PRESTAR SERVICIOS DE APOYO JURIDICO, EN CUMPLIMIENTO DE REQUISITOS PARA JUDICATURA, EN LAS DIFERENTES ACTIVIDADES QUE SE ADELANTAN EN LA OFICINA GRUPO DE GESTION DEL TALENTO HUMANO DE LA EMPRESA SOCIAL DEL ESTADO PASTO SALUD E.S.E</v>
          </cell>
          <cell r="J65">
            <v>1</v>
          </cell>
          <cell r="K65" t="str">
            <v>$8.615.239,00</v>
          </cell>
          <cell r="L65">
            <v>45673</v>
          </cell>
          <cell r="M65">
            <v>45900</v>
          </cell>
          <cell r="N65" t="str">
            <v xml:space="preserve">	ANGELA DANIELA RODRIGUEZ GOYES</v>
          </cell>
          <cell r="O65">
            <v>1085283617</v>
          </cell>
          <cell r="P65" t="str">
            <v>catherinandradem@gmail.com</v>
          </cell>
          <cell r="Q65">
            <v>45673</v>
          </cell>
          <cell r="R65" t="str">
            <v>ANDRES GUERRA</v>
          </cell>
          <cell r="U65" t="str">
            <v>CELEBRADO</v>
          </cell>
          <cell r="W65" t="str">
            <v>2025-0082</v>
          </cell>
          <cell r="X65" t="str">
            <v>2025-0094</v>
          </cell>
          <cell r="AB65" t="str">
            <v>ADICION Y PRORROGA</v>
          </cell>
          <cell r="AJ65">
            <v>1</v>
          </cell>
          <cell r="AK65">
            <v>3</v>
          </cell>
          <cell r="AL65">
            <v>2</v>
          </cell>
          <cell r="AM65" t="str">
            <v>$11.729.181,00</v>
          </cell>
        </row>
        <row r="66">
          <cell r="A66" t="str">
            <v>065-2025</v>
          </cell>
          <cell r="B66" t="str">
            <v>PRESTACION DE SERVICIOS</v>
          </cell>
          <cell r="C66" t="str">
            <v xml:space="preserve"> OSCAR GUILLERMO REVELO ENRIQUEZ</v>
          </cell>
          <cell r="D66" t="str">
            <v>CC</v>
          </cell>
          <cell r="E66">
            <v>1085282426</v>
          </cell>
          <cell r="F66">
            <v>3</v>
          </cell>
          <cell r="G66" t="str">
            <v xml:space="preserve">CONTRATACION DIRECTA </v>
          </cell>
          <cell r="H66">
            <v>1</v>
          </cell>
          <cell r="I66" t="str">
            <v>SERVICIOS PROFESIONALES COMO DISEÑADOR GRAFICO Y MULTIMEDIA EN LA EMPRESA SOCIAL DEL ESTADO PASTO SALUD E.S.E.</v>
          </cell>
          <cell r="J66">
            <v>1</v>
          </cell>
          <cell r="K66" t="str">
            <v>$20.300.099,00</v>
          </cell>
          <cell r="L66">
            <v>45673</v>
          </cell>
          <cell r="M66">
            <v>45900</v>
          </cell>
          <cell r="N66" t="str">
            <v>LYDA ARGELIS PABON LOPEZ</v>
          </cell>
          <cell r="O66">
            <v>52229702</v>
          </cell>
          <cell r="P66" t="str">
            <v>oscarrvo90@gmail.com</v>
          </cell>
          <cell r="Q66">
            <v>45673</v>
          </cell>
          <cell r="R66" t="str">
            <v>ELIANA BENAVIDES</v>
          </cell>
          <cell r="U66" t="str">
            <v>CELEBRADO</v>
          </cell>
          <cell r="W66" t="str">
            <v>2025-0076</v>
          </cell>
          <cell r="X66" t="str">
            <v>2025-0095</v>
          </cell>
          <cell r="AB66" t="str">
            <v>ADICION Y PRORROGA</v>
          </cell>
          <cell r="AJ66">
            <v>1</v>
          </cell>
          <cell r="AK66">
            <v>3</v>
          </cell>
          <cell r="AL66">
            <v>2</v>
          </cell>
          <cell r="AM66" t="str">
            <v>$27.681.953,00</v>
          </cell>
        </row>
        <row r="67">
          <cell r="A67" t="str">
            <v>066-2025</v>
          </cell>
          <cell r="B67" t="str">
            <v>PRESTACION DE SERVICIOS</v>
          </cell>
          <cell r="C67" t="str">
            <v>PAOLA ANDREA ZARAMA BURBANO</v>
          </cell>
          <cell r="D67" t="str">
            <v>CC</v>
          </cell>
          <cell r="E67">
            <v>1085660757</v>
          </cell>
          <cell r="F67">
            <v>8</v>
          </cell>
          <cell r="G67" t="str">
            <v xml:space="preserve">CONTRATACION DIRECTA </v>
          </cell>
          <cell r="H67">
            <v>1</v>
          </cell>
          <cell r="I67" t="str">
            <v>PRESTAR SERVICIOS PROFESIONALES DE ABOGADO, EN LOS PROCEDIMIENTOS Y DEMAS ACTIVIDADES JURIDICAS QUE SE ADELANTAN EN EL GRUPO DE GESTION DEL TALENTO HUMANO DE LA EMPRESA SOCIAL DEL ESTADO PASTO SALUD E.S.E.</v>
          </cell>
          <cell r="J67">
            <v>1</v>
          </cell>
          <cell r="K67" t="str">
            <v>$20.669.174,00</v>
          </cell>
          <cell r="L67">
            <v>45673</v>
          </cell>
          <cell r="M67">
            <v>45900</v>
          </cell>
          <cell r="N67" t="str">
            <v>ANGELA DANIELA RODRIGUEZ GOYES</v>
          </cell>
          <cell r="O67">
            <v>1085283617</v>
          </cell>
          <cell r="P67" t="str">
            <v>paolaz102847@gmail.com</v>
          </cell>
          <cell r="Q67">
            <v>45673</v>
          </cell>
          <cell r="R67" t="str">
            <v>NATALIA ERAZO</v>
          </cell>
          <cell r="U67" t="str">
            <v>CELEBRADO</v>
          </cell>
          <cell r="W67" t="str">
            <v>2025-0083</v>
          </cell>
          <cell r="X67" t="str">
            <v>2025-0097</v>
          </cell>
          <cell r="AB67" t="str">
            <v>ADICION Y PRORROGA</v>
          </cell>
          <cell r="AJ67">
            <v>1</v>
          </cell>
          <cell r="AK67">
            <v>3</v>
          </cell>
          <cell r="AL67">
            <v>2</v>
          </cell>
          <cell r="AM67" t="str">
            <v>$28.051.022,00</v>
          </cell>
        </row>
        <row r="68">
          <cell r="A68" t="str">
            <v>067-2025</v>
          </cell>
          <cell r="B68" t="str">
            <v>PRESTACION DE SERVICIOS</v>
          </cell>
          <cell r="C68" t="str">
            <v>OSCAR FERNANDO SALAZAR ALEGRIA (CITOPAT)</v>
          </cell>
          <cell r="D68" t="str">
            <v>CC</v>
          </cell>
          <cell r="E68">
            <v>76316159</v>
          </cell>
          <cell r="F68">
            <v>6</v>
          </cell>
          <cell r="G68" t="str">
            <v xml:space="preserve">CONTRATACION DIRECTA </v>
          </cell>
          <cell r="H68">
            <v>1</v>
          </cell>
          <cell r="I68" t="str">
            <v>CONTRATAR LA PRESTACION DE SERVICIOS MEDICOS ESPECIALIZADOS EN PATOLOGIA PARA LA ESE PASTO SALUD</v>
          </cell>
          <cell r="J68">
            <v>1</v>
          </cell>
          <cell r="K68" t="str">
            <v>$37.080.000,00</v>
          </cell>
          <cell r="L68">
            <v>45674</v>
          </cell>
          <cell r="M68">
            <v>45838</v>
          </cell>
          <cell r="N68" t="str">
            <v>BERTHA JANETH MONTENEGRO PORTILLA</v>
          </cell>
          <cell r="O68">
            <v>36950699</v>
          </cell>
          <cell r="P68" t="str">
            <v>oscarfer72@yahoo.com</v>
          </cell>
          <cell r="Q68">
            <v>45674</v>
          </cell>
          <cell r="R68" t="str">
            <v>RODRIGO ROSERO</v>
          </cell>
          <cell r="U68" t="str">
            <v>CELEBRADO</v>
          </cell>
          <cell r="W68" t="str">
            <v>2025-0070</v>
          </cell>
          <cell r="X68" t="str">
            <v>2025-0098</v>
          </cell>
          <cell r="AJ68">
            <v>2</v>
          </cell>
          <cell r="AK68">
            <v>0</v>
          </cell>
          <cell r="AL68">
            <v>2</v>
          </cell>
          <cell r="AM68" t="str">
            <v>$37.080.000,00</v>
          </cell>
        </row>
        <row r="69">
          <cell r="A69" t="str">
            <v>068-2025</v>
          </cell>
          <cell r="B69" t="str">
            <v>PRESTACION DE SERVICIOS</v>
          </cell>
          <cell r="C69" t="str">
            <v>LEONARDO RIASCOS FERNANDEZ</v>
          </cell>
          <cell r="D69" t="str">
            <v>CC</v>
          </cell>
          <cell r="E69">
            <v>1085302867</v>
          </cell>
          <cell r="F69">
            <v>5</v>
          </cell>
          <cell r="G69" t="str">
            <v xml:space="preserve">CONTRATACION DIRECTA </v>
          </cell>
          <cell r="H69">
            <v>1</v>
          </cell>
          <cell r="I69" t="str">
            <v>PRESTAR SERVICIOS DE APOYO JURIDICO EN CUMPLIMIENTO DE REQUISITOS PARA JUDICATURA, EN LAS DIFERENTES ACTIVIDADES QUE SE ADELANTAN EN LA OFICINA DE SUMINISTROS DE LA EMPRESA SOCIAL DEL ESTADO PASTO SALUD E.S.E.</v>
          </cell>
          <cell r="J69">
            <v>1</v>
          </cell>
          <cell r="K69" t="str">
            <v>$8.563.340,00</v>
          </cell>
          <cell r="L69">
            <v>45674</v>
          </cell>
          <cell r="M69">
            <v>45900</v>
          </cell>
          <cell r="N69" t="str">
            <v>ANA PATRICIA CAJIGAS RUBIO</v>
          </cell>
          <cell r="O69">
            <v>36759470</v>
          </cell>
          <cell r="P69" t="str">
            <v>leonardoriascosfern@gmail.com</v>
          </cell>
          <cell r="Q69">
            <v>45674</v>
          </cell>
          <cell r="R69" t="str">
            <v>NATALIA ERAZO</v>
          </cell>
          <cell r="U69" t="str">
            <v>CELEBRADO</v>
          </cell>
          <cell r="W69" t="str">
            <v>2025-0074</v>
          </cell>
          <cell r="X69" t="str">
            <v>2025-0099</v>
          </cell>
          <cell r="AB69" t="str">
            <v>ADICION Y PRORROGA</v>
          </cell>
          <cell r="AJ69">
            <v>1</v>
          </cell>
          <cell r="AK69">
            <v>3</v>
          </cell>
          <cell r="AL69">
            <v>2</v>
          </cell>
          <cell r="AM69" t="str">
            <v xml:space="preserve"> $11.677.282,00</v>
          </cell>
        </row>
        <row r="70">
          <cell r="A70" t="str">
            <v>069-2025</v>
          </cell>
          <cell r="B70" t="str">
            <v>PRESTACION DE SERVICIOS</v>
          </cell>
          <cell r="C70" t="str">
            <v>SYNERGIA CONSULTORIA Y GESTION S.A.S</v>
          </cell>
          <cell r="D70" t="str">
            <v>NIT</v>
          </cell>
          <cell r="E70">
            <v>8050092807</v>
          </cell>
          <cell r="F70">
            <v>7</v>
          </cell>
          <cell r="G70" t="str">
            <v xml:space="preserve">CONTRATACION DIRECTA </v>
          </cell>
          <cell r="H70">
            <v>2</v>
          </cell>
          <cell r="I70" t="str">
            <v>CONTRATAR SERVICIOS PROFESIONALES DE APOYO AL DIRECCIONAMIENTO ESTRATEGICO, PROYECTOS INSTITUCIONALES Y OPERACIONALES DE LA RED DE PRESTACION DE SERVICIOS DE SALUD Y SEDE ADMINISTRATIVA DE PASTO SALUD E.S.E</v>
          </cell>
          <cell r="J70">
            <v>1</v>
          </cell>
          <cell r="K70" t="str">
            <v xml:space="preserve"> $25.615.800,00</v>
          </cell>
          <cell r="L70">
            <v>45677</v>
          </cell>
          <cell r="M70">
            <v>46022</v>
          </cell>
          <cell r="N70" t="str">
            <v xml:space="preserve">	MIRIAM RUTH BOLAÑOS DELGADO</v>
          </cell>
          <cell r="O70">
            <v>30740439</v>
          </cell>
          <cell r="P70" t="str">
            <v>constanza.munoz@synergiasa.com</v>
          </cell>
          <cell r="Q70">
            <v>45677</v>
          </cell>
          <cell r="R70" t="str">
            <v>CRISTINA ROSERO</v>
          </cell>
          <cell r="U70" t="str">
            <v>CELEBRADO</v>
          </cell>
          <cell r="W70" t="str">
            <v>2025-0065</v>
          </cell>
          <cell r="X70" t="str">
            <v>2025-0102</v>
          </cell>
          <cell r="AJ70">
            <v>2</v>
          </cell>
          <cell r="AK70">
            <v>0</v>
          </cell>
          <cell r="AL70">
            <v>2</v>
          </cell>
          <cell r="AM70" t="str">
            <v xml:space="preserve"> $25.615.800,00</v>
          </cell>
        </row>
        <row r="71">
          <cell r="A71" t="str">
            <v>070-2025</v>
          </cell>
          <cell r="B71" t="str">
            <v>PRESTACION DE SERVICIOS</v>
          </cell>
          <cell r="C71" t="str">
            <v>TISERIUM SAS</v>
          </cell>
          <cell r="D71" t="str">
            <v>NIT</v>
          </cell>
          <cell r="E71">
            <v>901219955</v>
          </cell>
          <cell r="F71">
            <v>9</v>
          </cell>
          <cell r="G71" t="str">
            <v xml:space="preserve">CONTRATACION DIRECTA </v>
          </cell>
          <cell r="H71">
            <v>2</v>
          </cell>
          <cell r="I71" t="str">
            <v>PRESTAR EL SERVICIO DE GENERACION, VALIDACION Y TRASMISION ANTE EL MINISTERIO DE LA PROTECCION SOCIAL, DE REGISTROS INDIVIDUALES DE PRESTACION DE SERVICIOS JSON Y RADICACION DE CUENTAS MEDICAS DIGITALES INTEGRADO AL SISTEMA DE INFORMACION DE OPERACIONES SIOS, PARA GARANTIZAR EL PROCEDIMIENTO DE RADICACION DE CUENTAS MEDICAS DENTRO DE LOS TERMINOS NORMATIVOS Y GARANTIZAR EL FLUJO DE RECURSO PARA LA EMPRESA SOCIAL DEL ESTADO PASTO SALUD ESE</v>
          </cell>
          <cell r="J71">
            <v>1</v>
          </cell>
          <cell r="K71" t="str">
            <v>$48.000.000,00</v>
          </cell>
          <cell r="L71">
            <v>45677</v>
          </cell>
          <cell r="M71">
            <v>45930</v>
          </cell>
          <cell r="N71" t="str">
            <v>NILVANA DANEY INSUASTI INSUASTY</v>
          </cell>
          <cell r="O71">
            <v>36758906</v>
          </cell>
          <cell r="P71" t="str">
            <v>financiera@tiserium.co</v>
          </cell>
          <cell r="Q71">
            <v>45677</v>
          </cell>
          <cell r="R71" t="str">
            <v>RODRIGO ROSERO</v>
          </cell>
          <cell r="U71" t="str">
            <v>CELEBRADO</v>
          </cell>
          <cell r="W71" t="str">
            <v>2025-0043</v>
          </cell>
          <cell r="X71" t="str">
            <v>2025-0103</v>
          </cell>
          <cell r="AB71" t="str">
            <v>PRORROGA</v>
          </cell>
          <cell r="AJ71">
            <v>1</v>
          </cell>
          <cell r="AK71">
            <v>2</v>
          </cell>
          <cell r="AL71">
            <v>3</v>
          </cell>
          <cell r="AM71" t="str">
            <v>$48.000.000,00</v>
          </cell>
        </row>
        <row r="72">
          <cell r="A72" t="str">
            <v>071-2025</v>
          </cell>
          <cell r="B72" t="str">
            <v>PRESTACION DE SERVICIOS</v>
          </cell>
          <cell r="C72" t="str">
            <v>JENNY ELIZABETH ROSAS ROSALES</v>
          </cell>
          <cell r="D72" t="str">
            <v>CC</v>
          </cell>
          <cell r="E72">
            <v>37087553</v>
          </cell>
          <cell r="F72">
            <v>1</v>
          </cell>
          <cell r="G72" t="str">
            <v xml:space="preserve">CONTRATACION DIRECTA </v>
          </cell>
          <cell r="H72">
            <v>1</v>
          </cell>
          <cell r="I72" t="str">
            <v>PRESTACION DE SERVICIOS PROFESIONALES CON CONOCIMIENTOS EN EL AREA DE LA SALUD DIRIGIDOS A APOYAR EL MANTENIMIENTO EL SISTEMA UNICO DE ACREDITACION Y EL SISTEMA DE GESTION DE CALIDAD BAJO LA NORMA ISO 90012015 EN CUMPLIMIENTO DE LOS REQUISITOS Y ESTANDARES APLICABLES, EN LA RED SUR DE LA EMPRESA SOCIAL DEL ESTADO PASTO SALUD ESE.</v>
          </cell>
          <cell r="J72">
            <v>1</v>
          </cell>
          <cell r="K72" t="str">
            <v>$9.227.307,00</v>
          </cell>
          <cell r="L72">
            <v>45677</v>
          </cell>
          <cell r="M72">
            <v>45747</v>
          </cell>
          <cell r="N72" t="str">
            <v>JUAN CARLOS MERA GUERRERO</v>
          </cell>
          <cell r="O72">
            <v>13016581</v>
          </cell>
          <cell r="P72" t="str">
            <v>jesuth72@hotmail.com</v>
          </cell>
          <cell r="Q72">
            <v>45677</v>
          </cell>
          <cell r="R72" t="str">
            <v>ANDRES GUERRA</v>
          </cell>
          <cell r="U72" t="str">
            <v>CELEBRADO</v>
          </cell>
          <cell r="W72" t="str">
            <v>2025-0067</v>
          </cell>
          <cell r="X72" t="str">
            <v>2025-0104</v>
          </cell>
          <cell r="AJ72">
            <v>2</v>
          </cell>
          <cell r="AK72">
            <v>0</v>
          </cell>
          <cell r="AL72">
            <v>4</v>
          </cell>
          <cell r="AM72" t="str">
            <v>$9.227.307,00</v>
          </cell>
        </row>
        <row r="73">
          <cell r="A73" t="str">
            <v>072-2025</v>
          </cell>
          <cell r="B73" t="str">
            <v>SUMINISTROS</v>
          </cell>
          <cell r="C73" t="str">
            <v>FUERTES MEJIA MEDICAMENTOS Y DISPOSITIVOS MEDICOS SAS</v>
          </cell>
          <cell r="D73" t="str">
            <v>NIT</v>
          </cell>
          <cell r="E73">
            <v>901565478</v>
          </cell>
          <cell r="F73">
            <v>1</v>
          </cell>
          <cell r="G73" t="str">
            <v xml:space="preserve">CONTRATACION DIRECTA </v>
          </cell>
          <cell r="H73">
            <v>2</v>
          </cell>
          <cell r="I73" t="str">
            <v>EL CONTRATISTA SE OBLIGA AL SUMINISTRO DE LOS MEDICAMENTOS EN LAS CANTIDADES ESTABLECIDAS EN EL ANEXO 1, EL CUAL HACE PARTE INTEGRAL DEL CONTRATO. PARA LA ESE PASTO SALUD</v>
          </cell>
          <cell r="J73">
            <v>3</v>
          </cell>
          <cell r="K73" t="str">
            <v>$7.375.875,00</v>
          </cell>
          <cell r="L73">
            <v>45677</v>
          </cell>
          <cell r="M73">
            <v>45716</v>
          </cell>
          <cell r="N73" t="str">
            <v>NENA DEL CARMEN RAMIREZ RAMIREZ</v>
          </cell>
          <cell r="O73">
            <v>30732589</v>
          </cell>
          <cell r="P73" t="str">
            <v>contabilidad@fuertesmejia.com.co</v>
          </cell>
          <cell r="Q73">
            <v>45677</v>
          </cell>
          <cell r="R73" t="str">
            <v>RODRIGO ROSERO</v>
          </cell>
          <cell r="U73" t="str">
            <v>CELEBRADO</v>
          </cell>
          <cell r="W73" t="str">
            <v>2025-0118</v>
          </cell>
          <cell r="X73" t="str">
            <v>2025-0105</v>
          </cell>
          <cell r="AB73" t="str">
            <v>ADICION</v>
          </cell>
          <cell r="AJ73">
            <v>1</v>
          </cell>
          <cell r="AK73">
            <v>3</v>
          </cell>
          <cell r="AL73">
            <v>3</v>
          </cell>
          <cell r="AM73" t="str">
            <v>$7.375.875,00</v>
          </cell>
        </row>
        <row r="74">
          <cell r="A74" t="str">
            <v>073-2025</v>
          </cell>
          <cell r="B74" t="str">
            <v>PRESTACION DE SERVICIOS</v>
          </cell>
          <cell r="C74" t="str">
            <v>LIZETH CAICEDO CHAVES</v>
          </cell>
          <cell r="D74" t="str">
            <v>CC</v>
          </cell>
          <cell r="E74">
            <v>1020817218</v>
          </cell>
          <cell r="F74">
            <v>1</v>
          </cell>
          <cell r="G74" t="str">
            <v xml:space="preserve">CONTRATACION DIRECTA </v>
          </cell>
          <cell r="H74">
            <v>1</v>
          </cell>
          <cell r="I74" t="str">
            <v>PRESTAR SERVICIOS PROFESIONALES DE ABOGADO EN LA DEPENDENCIA DE SECRETARIA GENERAL DE LA EMPRESA SOCIAL DEL ESTADO PASTO SALUD E.S.E</v>
          </cell>
          <cell r="J74">
            <v>1</v>
          </cell>
          <cell r="K74" t="str">
            <v xml:space="preserve"> $20.423.112,00</v>
          </cell>
          <cell r="L74">
            <v>45679</v>
          </cell>
          <cell r="M74">
            <v>45900</v>
          </cell>
          <cell r="N74" t="str">
            <v>LEYDI MAGALI BENAVIDES BASTIDAS</v>
          </cell>
          <cell r="O74">
            <v>1086017548</v>
          </cell>
          <cell r="P74" t="str">
            <v>Lizethcaicedo12@gmail.com</v>
          </cell>
          <cell r="Q74">
            <v>45679</v>
          </cell>
          <cell r="R74" t="str">
            <v>CRISTINA ROSERO</v>
          </cell>
          <cell r="U74" t="str">
            <v>CELEBRADO</v>
          </cell>
          <cell r="W74" t="str">
            <v>2025-0096</v>
          </cell>
          <cell r="X74" t="str">
            <v>2025-0106</v>
          </cell>
          <cell r="AB74" t="str">
            <v>ADICION Y PRORROGA</v>
          </cell>
          <cell r="AJ74">
            <v>1</v>
          </cell>
          <cell r="AK74">
            <v>3</v>
          </cell>
          <cell r="AL74">
            <v>2</v>
          </cell>
          <cell r="AM74" t="str">
            <v>$27.804.960,00</v>
          </cell>
        </row>
        <row r="75">
          <cell r="A75" t="str">
            <v>074-2025</v>
          </cell>
          <cell r="B75" t="str">
            <v>SUMINISTROS</v>
          </cell>
          <cell r="C75" t="str">
            <v>RAMEDICAS S.A.S</v>
          </cell>
          <cell r="D75" t="str">
            <v>NIT</v>
          </cell>
          <cell r="E75">
            <v>901429936</v>
          </cell>
          <cell r="F75">
            <v>1</v>
          </cell>
          <cell r="G75" t="str">
            <v xml:space="preserve">CONTRATACION DIRECTA </v>
          </cell>
          <cell r="H75">
            <v>2</v>
          </cell>
          <cell r="I75" t="str">
            <v>EL CONTRATISTA SE OBLIGA AL SUMINISTRO DE LOS MEDICAMENTOS EN LAS CANTIDADES ESTABLECIDAS EN EL ANEXO 1, EL CUAL HACE PARTE INTEGRAL DEL CONTRATO, PARA LA ESE PASTO SALUD</v>
          </cell>
          <cell r="J75">
            <v>3</v>
          </cell>
          <cell r="K75" t="str">
            <v>$5.187.000,00</v>
          </cell>
          <cell r="L75">
            <v>45679</v>
          </cell>
          <cell r="M75">
            <v>45716</v>
          </cell>
          <cell r="N75" t="str">
            <v xml:space="preserve">	NENA DEL CARMEN RAMIREZ RAMIREZ</v>
          </cell>
          <cell r="O75">
            <v>30732589</v>
          </cell>
          <cell r="P75" t="str">
            <v>administracion@ramedicas.com</v>
          </cell>
          <cell r="Q75">
            <v>45679</v>
          </cell>
          <cell r="R75" t="str">
            <v>NATALIA ERAZO</v>
          </cell>
          <cell r="U75" t="str">
            <v>CELEBRADO</v>
          </cell>
          <cell r="W75" t="str">
            <v>2025-0091</v>
          </cell>
          <cell r="X75" t="str">
            <v>2025-0107</v>
          </cell>
          <cell r="AJ75">
            <v>2</v>
          </cell>
          <cell r="AK75">
            <v>0</v>
          </cell>
          <cell r="AL75">
            <v>3</v>
          </cell>
          <cell r="AM75" t="str">
            <v>$5.187.000,00</v>
          </cell>
        </row>
        <row r="76">
          <cell r="A76" t="str">
            <v>075-2025</v>
          </cell>
          <cell r="B76" t="str">
            <v>SUMINISTROS</v>
          </cell>
          <cell r="C76" t="str">
            <v>RAMEDICAS S.A.S</v>
          </cell>
          <cell r="D76" t="str">
            <v>NIT</v>
          </cell>
          <cell r="E76">
            <v>901429936</v>
          </cell>
          <cell r="F76">
            <v>1</v>
          </cell>
          <cell r="G76" t="str">
            <v xml:space="preserve">CONTRATACION DIRECTA </v>
          </cell>
          <cell r="H76">
            <v>2</v>
          </cell>
          <cell r="I76" t="str">
            <v>EL CONTRATISTA SE OBLIGA AL SUMINISTRO DE LOS MEDICAMENTOS EN LAS CANTIDADES ESTABLECIDAS EN EL ANEXO 1, EL CUAL HACE PARTE INTEGRAL DEL CONTRATO. PARA LA ESE PASTO SALUD.</v>
          </cell>
          <cell r="J76">
            <v>3</v>
          </cell>
          <cell r="K76" t="str">
            <v>$42.658.800,00</v>
          </cell>
          <cell r="L76">
            <v>45679</v>
          </cell>
          <cell r="M76">
            <v>45716</v>
          </cell>
          <cell r="N76" t="str">
            <v>NENA DEL CARMEN RAMIREZ RAMIREZ</v>
          </cell>
          <cell r="O76">
            <v>30732589</v>
          </cell>
          <cell r="P76" t="str">
            <v>administracion@ramedicas.com</v>
          </cell>
          <cell r="Q76">
            <v>45679</v>
          </cell>
          <cell r="R76" t="str">
            <v>CRISTINA ROSERO</v>
          </cell>
          <cell r="U76" t="str">
            <v>CELEBRADO</v>
          </cell>
          <cell r="W76" t="str">
            <v>2025-0086</v>
          </cell>
          <cell r="X76" t="str">
            <v>2025-0108</v>
          </cell>
          <cell r="AJ76">
            <v>2</v>
          </cell>
          <cell r="AK76">
            <v>0</v>
          </cell>
          <cell r="AL76">
            <v>3</v>
          </cell>
          <cell r="AM76" t="str">
            <v>$42.658.800,00</v>
          </cell>
        </row>
        <row r="77">
          <cell r="A77" t="str">
            <v>076-2025</v>
          </cell>
          <cell r="B77" t="str">
            <v>PRESTACION DE SERVICIOS</v>
          </cell>
          <cell r="C77" t="str">
            <v>SERVICIOS POSTALES DE COLOMBIA S.A.S</v>
          </cell>
          <cell r="D77" t="str">
            <v>NIT</v>
          </cell>
          <cell r="E77">
            <v>811047028</v>
          </cell>
          <cell r="F77">
            <v>0</v>
          </cell>
          <cell r="G77" t="str">
            <v xml:space="preserve">CONTRATACION DIRECTA </v>
          </cell>
          <cell r="H77">
            <v>2</v>
          </cell>
          <cell r="I77" t="str">
            <v>CONTRATAR LA PRESTACION DEL SERVICIO DE MENSAJERIA O CORRESPONDENCIA ORDINARIA QUE GENERA LA EMPRESA SOCIAL DEL ESTADO PASTO SALUD.</v>
          </cell>
          <cell r="J77">
            <v>1</v>
          </cell>
          <cell r="K77" t="str">
            <v>$30.000.000,00</v>
          </cell>
          <cell r="L77">
            <v>45680</v>
          </cell>
          <cell r="M77">
            <v>46022</v>
          </cell>
          <cell r="N77" t="str">
            <v xml:space="preserve">	ROSARIO VILLALBA HIDALGO</v>
          </cell>
          <cell r="O77">
            <v>30720681</v>
          </cell>
          <cell r="P77" t="str">
            <v>gerencia@postacol.com.co</v>
          </cell>
          <cell r="Q77">
            <v>45680</v>
          </cell>
          <cell r="R77" t="str">
            <v>ELIANA BENAVIDES</v>
          </cell>
          <cell r="U77" t="str">
            <v>CELEBRADO</v>
          </cell>
          <cell r="W77" t="str">
            <v>2025-0069</v>
          </cell>
          <cell r="X77" t="str">
            <v>2025-0114</v>
          </cell>
          <cell r="AB77" t="str">
            <v xml:space="preserve">ADICION </v>
          </cell>
          <cell r="AJ77">
            <v>1</v>
          </cell>
          <cell r="AK77">
            <v>3</v>
          </cell>
          <cell r="AL77">
            <v>3</v>
          </cell>
          <cell r="AM77" t="str">
            <v>$45.000.000,00</v>
          </cell>
        </row>
        <row r="78">
          <cell r="A78" t="str">
            <v>077-2025</v>
          </cell>
          <cell r="B78" t="str">
            <v>PRESTACION DE SERVICIOS</v>
          </cell>
          <cell r="C78" t="str">
            <v>DCPROING SAS</v>
          </cell>
          <cell r="D78" t="str">
            <v>NIT</v>
          </cell>
          <cell r="E78">
            <v>901094006</v>
          </cell>
          <cell r="F78">
            <v>5</v>
          </cell>
          <cell r="G78" t="str">
            <v xml:space="preserve">CONTRATACION DIRECTA </v>
          </cell>
          <cell r="H78">
            <v>2</v>
          </cell>
          <cell r="I78" t="str">
            <v>PRESTAR EL SERVICIO DE METROLOGIA ACREDITADA Y NO ACREDITADA DEFINIDA POR PASTO SALUD ESE, PARA EQUIPOS BIOMEDICOS CON MAGNITUDES SUSCEPTIBLES DE CALIBRACION UBICADOS EN LAS DIFERENTES SEDES ASISTENCIALES, SEDE ADMINISTRATIVA, AMBULANCIAS Y UNIDADES MOVILES, DE ACUERDO CON LOS REQUERIMIENTOS TECNICOS DE LA EMPRESA SOCIAL DE ESTADO PASTO SALUD E.S.E. LO ANTERIOR CONFORME CON LA PROPUESTA ANEXA, LAS OBLIGACIONES, REQUERIMIENTOS Y ESPECIFICACIONES TECNICAS CONTENIDAS EN LOS ESTUDIOS PREVIOS CONVENIENCIA Y OPORTUNIDAD GJEPC 092 CONSECUTIVO NO. 091 DEL 16 DE ENERO DE 2025, ELABORADOS POR MARIO FERNANDO NARANJO LOPEZ EN SU CONDICION DE PROFESIONAL UNIVERSITARIO EQUIPO BIOMEDICO E INDUSTRIAL DE LA EMPRESA SOCIAL DEL ESTADO PASTO SALUD ESE, RESPECTIVAMENTE, ANEXO MATRIZ DE RIESGOS DOCUMENTOS ANTERIORES QUE HACEN PARTE INTEGRAL DEL PRESENTE CONTRATO.</v>
          </cell>
          <cell r="J78">
            <v>1</v>
          </cell>
          <cell r="K78" t="str">
            <v>$218.525.323,00</v>
          </cell>
          <cell r="L78">
            <v>45680</v>
          </cell>
          <cell r="M78" t="str">
            <v>31/09/2025</v>
          </cell>
          <cell r="N78" t="str">
            <v>MARIO FERNADO NARANJO LOPEZ</v>
          </cell>
          <cell r="O78">
            <v>1004189613</v>
          </cell>
          <cell r="P78" t="str">
            <v>dcproing@gmail.com</v>
          </cell>
          <cell r="Q78">
            <v>45680</v>
          </cell>
          <cell r="R78" t="str">
            <v>NATALIA ERAZO</v>
          </cell>
          <cell r="U78" t="str">
            <v>CELEBRADO</v>
          </cell>
          <cell r="W78" t="str">
            <v>2025-0080</v>
          </cell>
          <cell r="X78" t="str">
            <v>2025-0115</v>
          </cell>
          <cell r="AB78" t="str">
            <v>ADICION Y PROROGA</v>
          </cell>
          <cell r="AJ78">
            <v>1</v>
          </cell>
          <cell r="AK78">
            <v>3</v>
          </cell>
          <cell r="AL78">
            <v>2</v>
          </cell>
          <cell r="AM78" t="str">
            <v>$218.525.323,00</v>
          </cell>
        </row>
        <row r="79">
          <cell r="A79" t="str">
            <v>078-2025</v>
          </cell>
          <cell r="B79" t="str">
            <v>SUMINISTROS</v>
          </cell>
          <cell r="C79" t="str">
            <v>DENSALUD GRUPO EMPRESARIAL SAS</v>
          </cell>
          <cell r="D79" t="str">
            <v>NIT</v>
          </cell>
          <cell r="E79">
            <v>901105862</v>
          </cell>
          <cell r="F79">
            <v>2</v>
          </cell>
          <cell r="G79" t="str">
            <v xml:space="preserve">CONTRATACION DIRECTA </v>
          </cell>
          <cell r="H79">
            <v>2</v>
          </cell>
          <cell r="I79" t="str">
            <v>EL CONTRATISTA SE OBLIGA AL SUMINISTRO DE INDICADOR BIOLOGICO BT222, CON TIEMPO DE LECTURA DE 1 HORA, CAJA X 50 UNIDADES ESPECIFICACIONES TECNICAS EL DISPOSITIVO MEDICO SUMINISTRADOS DEBE TENER UNA VIGENCIA DE SU VIDA UTIL SUPERIOR AL 75 Y DEBE CUMPLIR CON LAS SIGUIENTES ESPECIFICACIONES 1 NOMBRE GENERICO O MARCA 2. PRESENTACION COMERCIAL 3. NOMBRE DE LA INDUSTRIA FABRICANTE. 4. REGISTRO SANITARIO CUANDO APLIQUE. ESTE DEBE ESTAR VIGENTE, NO SE ACEPTA REGISTRO SANITARIO VENCIDO, O CON PERDIDA DE LA FUERZA EJECUTORIA. 5. VIDA UTIL. CUANDO APLIQUE. 6. CLASIFICACION DE ACUERDO AL RIESGO. 7. INDICACIONES Y USOS. 8. EMPAQUE EN BUEN ESTADO DE TAL MANERA QUE CONSERVEN EL PRODUCTO SIN DETERIORARLO O CAUSAR EFECTOS PERJUDICIALES SOBRE EL CONTENIDO. ETIQUETAS EN BUEN ESTADO Y DE ACUERDO A LOS REQUISITOS ESPECIFICOS PARA EL ETIQUETADO Y ROTULADO QUE PARA EL EFECTO EXPIDA EL MINISTERIO DE SALUD Y DE LA PROTECCION SOCIAL.</v>
          </cell>
          <cell r="J79">
            <v>1</v>
          </cell>
          <cell r="K79" t="str">
            <v>$25.239.900,00</v>
          </cell>
          <cell r="L79">
            <v>45685</v>
          </cell>
          <cell r="M79">
            <v>45747</v>
          </cell>
          <cell r="N79" t="str">
            <v>NENA DEL CARMEN RAMIREZ RAMIREZ</v>
          </cell>
          <cell r="O79">
            <v>30732589</v>
          </cell>
          <cell r="P79" t="str">
            <v>info@densalud.com</v>
          </cell>
          <cell r="Q79">
            <v>45685</v>
          </cell>
          <cell r="R79" t="str">
            <v>ANDRES GUERRA</v>
          </cell>
          <cell r="U79" t="str">
            <v>CELEBRADO</v>
          </cell>
          <cell r="W79" t="str">
            <v>2025-0095</v>
          </cell>
          <cell r="X79" t="str">
            <v>2025-0139</v>
          </cell>
          <cell r="AJ79">
            <v>2</v>
          </cell>
          <cell r="AK79">
            <v>0</v>
          </cell>
          <cell r="AL79">
            <v>3</v>
          </cell>
          <cell r="AM79" t="str">
            <v>$25.239.900,00</v>
          </cell>
        </row>
        <row r="80">
          <cell r="A80" t="str">
            <v>079-2025</v>
          </cell>
          <cell r="B80" t="str">
            <v>PRESTACION DE SERVICIOS</v>
          </cell>
          <cell r="C80" t="str">
            <v>SERVICIOS INTEGRALES PASTO SERVIPAS</v>
          </cell>
          <cell r="D80" t="str">
            <v>NIT</v>
          </cell>
          <cell r="E80">
            <v>901834485</v>
          </cell>
          <cell r="F80">
            <v>6</v>
          </cell>
          <cell r="G80" t="str">
            <v xml:space="preserve">CONTRATACION DIRECTA </v>
          </cell>
          <cell r="H80">
            <v>2</v>
          </cell>
          <cell r="I80" t="str">
            <v>PRESTACION DE SERVICIOS DE APOYO A LA GESTION A TRAVES DE PROFESIONALES CON CONOCIMIENTOS EN LAS ESPECIALIDADES QUE SE REQUIERAN PARA EL DESARROLLO DEL PROCESO DE ATENCION AL CLIENTE ASISTENCIAL, SUMINISTRO DE TORRE LAPAROSCOPICA, CON SUS INSUMOS Y CONSUMIBLES DE USO PARA EL CORRECTO DESARROLLO DE LOS EVENTOS QUIRURGICOS, EQUIPOS ENDOSCOPICOS CON SUS CONSUMIBLES ASI COMO EL SUMINISTRO DE INSUMOS IMPLANTABLES E INSTRUMENTAL ESPECIALIZADO, ASESORIA EN CALIDAD E IMPLEMENTACION EN LOS SERVICIOS HABILITADOS Y EN LAS AREAS QUE SE HABILITARAN COMO LO SON ATENCION AMBULATORIA, URGENCIAS, HOSPITALIZACION Y DEMAS SERVICIOS QUE LO REQUIERAN, EN LAS DIFERENTES SEDES, QUE CONFORMAN LA RED DE PRESTACION DE SERVICIOS DE LA EMPRESA SOCIAL DEL ESTADO PASTO SALUD E.S.E</v>
          </cell>
          <cell r="J80">
            <v>1</v>
          </cell>
          <cell r="K80" t="str">
            <v xml:space="preserve"> $600.000.000,00</v>
          </cell>
          <cell r="L80">
            <v>45685</v>
          </cell>
          <cell r="M80">
            <v>45805</v>
          </cell>
          <cell r="N80" t="str">
            <v>BERTHA JANETH MONTENEGRO PORTILLA -	ALBA LUCIA MORA BENAVIDES-	RIGOBERTO MELO ZAMBRANO-RODRIGO DE JESUS VITERI MORENO</v>
          </cell>
          <cell r="O80">
            <v>36950699</v>
          </cell>
          <cell r="P80" t="str">
            <v>contabilidad.ipsunimedicsas@gmail.com</v>
          </cell>
          <cell r="Q80">
            <v>45685</v>
          </cell>
          <cell r="R80" t="str">
            <v>CRISTINA ROSERO</v>
          </cell>
          <cell r="U80" t="str">
            <v>CELEBRADO</v>
          </cell>
          <cell r="W80" t="str">
            <v>2025-0068</v>
          </cell>
          <cell r="X80" t="str">
            <v>2025-0140</v>
          </cell>
          <cell r="AJ80">
            <v>2</v>
          </cell>
          <cell r="AK80">
            <v>0</v>
          </cell>
          <cell r="AL80">
            <v>2</v>
          </cell>
          <cell r="AM80" t="str">
            <v>$600.000.000,00</v>
          </cell>
        </row>
        <row r="81">
          <cell r="A81" t="str">
            <v>080-2025</v>
          </cell>
          <cell r="B81" t="str">
            <v>SUMINISTROS</v>
          </cell>
          <cell r="C81" t="str">
            <v>FUERTES MEJIA MEDICAMENTOS Y DISPOSITIVOS MEDICOS SAS</v>
          </cell>
          <cell r="D81" t="str">
            <v>NIT</v>
          </cell>
          <cell r="E81">
            <v>901565478</v>
          </cell>
          <cell r="F81">
            <v>1</v>
          </cell>
          <cell r="G81" t="str">
            <v>BIONEXO</v>
          </cell>
          <cell r="H81">
            <v>2</v>
          </cell>
          <cell r="I81" t="str">
            <v>EL CONTRATISTA SE OBLIGA AL SUMINISTRO DE LOS MEDICAMENTOS EN LAS CANTIDADES ESTABLECIDAS EN EL ANEXO 1, EL CUAL HACE PARTE INTEGRAL DEL CONTRATO, PARA LA ESE PASTO SALUD</v>
          </cell>
          <cell r="J81">
            <v>3</v>
          </cell>
          <cell r="K81" t="str">
            <v>$194.476.461,50</v>
          </cell>
          <cell r="L81">
            <v>45685</v>
          </cell>
          <cell r="M81">
            <v>45777</v>
          </cell>
          <cell r="N81" t="str">
            <v xml:space="preserve">	NENA DEL CARMEN RAMIREZ RAMIREZ</v>
          </cell>
          <cell r="O81">
            <v>30732589</v>
          </cell>
          <cell r="P81" t="str">
            <v>contabilidad@fuertesmejia.com.co</v>
          </cell>
          <cell r="Q81">
            <v>45685</v>
          </cell>
          <cell r="R81" t="str">
            <v>NATALIA ERAZO</v>
          </cell>
          <cell r="U81" t="str">
            <v>CELEBRADO</v>
          </cell>
          <cell r="W81" t="str">
            <v>2024-0084</v>
          </cell>
          <cell r="X81" t="str">
            <v>2025-0142</v>
          </cell>
          <cell r="AJ81">
            <v>2</v>
          </cell>
          <cell r="AK81">
            <v>0</v>
          </cell>
          <cell r="AL81">
            <v>2</v>
          </cell>
          <cell r="AM81" t="str">
            <v>$194.476.461,50</v>
          </cell>
        </row>
        <row r="82">
          <cell r="A82" t="str">
            <v>081-2025</v>
          </cell>
          <cell r="B82" t="str">
            <v>SUMINISTROS</v>
          </cell>
          <cell r="C82" t="str">
            <v>RAMEDICAS S.A.S</v>
          </cell>
          <cell r="D82" t="str">
            <v>NIT</v>
          </cell>
          <cell r="E82">
            <v>901429936</v>
          </cell>
          <cell r="F82">
            <v>1</v>
          </cell>
          <cell r="G82" t="str">
            <v>BIONEXO</v>
          </cell>
          <cell r="H82">
            <v>2</v>
          </cell>
          <cell r="I82" t="str">
            <v>EL CONTRATISTA SE OBLIGA AL SUMINISTRO DE LOS MEDICAMENTOS EN LAS CANTIDADES ESTABLECIDAS EN EL ANEXO 1, EL CUAL HACE PARTE INTEGRAL DEL CONTRATO. PARA LA ESE PASTO SALUD.</v>
          </cell>
          <cell r="J82">
            <v>3</v>
          </cell>
          <cell r="K82" t="str">
            <v>$249.541.135,00</v>
          </cell>
          <cell r="L82">
            <v>45686</v>
          </cell>
          <cell r="M82">
            <v>45777</v>
          </cell>
          <cell r="N82" t="str">
            <v xml:space="preserve">	NENA DEL CARMEN RAMIREZ RAMIREZ</v>
          </cell>
          <cell r="O82">
            <v>30732589</v>
          </cell>
          <cell r="P82" t="str">
            <v>administracion@ramedicas.com</v>
          </cell>
          <cell r="Q82">
            <v>45686</v>
          </cell>
          <cell r="R82" t="str">
            <v>ANDRES GUERRA</v>
          </cell>
          <cell r="U82" t="str">
            <v>CELEBRADO</v>
          </cell>
          <cell r="W82" t="str">
            <v>2025-0084</v>
          </cell>
          <cell r="X82" t="str">
            <v>2025-0163</v>
          </cell>
          <cell r="AJ82">
            <v>2</v>
          </cell>
          <cell r="AK82">
            <v>0</v>
          </cell>
          <cell r="AL82">
            <v>2</v>
          </cell>
          <cell r="AM82" t="str">
            <v>$249.541.135,00</v>
          </cell>
        </row>
        <row r="83">
          <cell r="A83" t="str">
            <v>082-2025</v>
          </cell>
          <cell r="B83" t="str">
            <v>PRESTACION DE SERVICIOS</v>
          </cell>
          <cell r="C83" t="str">
            <v>JAIME CAICEDO CAICEDO</v>
          </cell>
          <cell r="D83" t="str">
            <v>CC</v>
          </cell>
          <cell r="E83">
            <v>13070864</v>
          </cell>
          <cell r="F83">
            <v>3</v>
          </cell>
          <cell r="G83" t="str">
            <v xml:space="preserve">CONTRATACION DIRECTA </v>
          </cell>
          <cell r="H83">
            <v>1</v>
          </cell>
          <cell r="I83" t="str">
            <v>EL CONTRATISTA SE COMPROMETE PARA CON LA EMPRESA SOCIAL DEL ESTADO PASTO SALUD ESE A PRESTAR SUS SERVICIOS PROFESIONALES COMO APOYO EN LA EJECUCION DE ACCIONES DE MEJORA PRODUCTO DE INFORME DE GENERADO POR ICONTEC, TENDIENTES AL FORTALECIMIENTO DE LOS ESTANDARES SUPERIORES DE CALIDAD EN ACREDITACION.</v>
          </cell>
          <cell r="J83">
            <v>1</v>
          </cell>
          <cell r="K83" t="str">
            <v xml:space="preserve"> $18.000.000,00</v>
          </cell>
          <cell r="L83">
            <v>45686</v>
          </cell>
          <cell r="M83">
            <v>45777</v>
          </cell>
          <cell r="N83" t="str">
            <v>EDWIN JULIO BASTIDAS BENAVIDES</v>
          </cell>
          <cell r="O83">
            <v>13068561</v>
          </cell>
          <cell r="P83" t="str">
            <v>JAIMECC369@HOTMAIL.COM</v>
          </cell>
          <cell r="Q83">
            <v>45686</v>
          </cell>
          <cell r="R83" t="str">
            <v>JUAN GOMEZ</v>
          </cell>
          <cell r="U83" t="str">
            <v>CELEBRADO</v>
          </cell>
          <cell r="W83" t="str">
            <v>2025-0059</v>
          </cell>
          <cell r="X83" t="str">
            <v>2025-0164</v>
          </cell>
          <cell r="AJ83">
            <v>2</v>
          </cell>
          <cell r="AK83">
            <v>0</v>
          </cell>
          <cell r="AL83">
            <v>4</v>
          </cell>
          <cell r="AM83" t="str">
            <v>$18.000.000,00</v>
          </cell>
        </row>
        <row r="84">
          <cell r="A84" t="str">
            <v>083-2025</v>
          </cell>
          <cell r="B84" t="str">
            <v>SUMINISTROS</v>
          </cell>
          <cell r="C84" t="str">
            <v>DISFARMA GC S.A.S</v>
          </cell>
          <cell r="D84" t="str">
            <v>NIT</v>
          </cell>
          <cell r="E84">
            <v>900580962</v>
          </cell>
          <cell r="F84">
            <v>2</v>
          </cell>
          <cell r="G84" t="str">
            <v>BIONEXO</v>
          </cell>
          <cell r="H84">
            <v>2</v>
          </cell>
          <cell r="I84" t="str">
            <v>EL CONTRATISTA SE OBLIGA AL SUMINISTRO DE LOS MEDICAMENTOS EN LAS CANTIDADES ESTABLECIDAS EN EL ANEXO 1, EL CUAL HACE PARTE INTEGRAL DEL CONTRATO. PARA LA ESE PASTO SALUD.</v>
          </cell>
          <cell r="J84">
            <v>3</v>
          </cell>
          <cell r="K84" t="str">
            <v>$155.108.982,00</v>
          </cell>
          <cell r="L84">
            <v>45687</v>
          </cell>
          <cell r="M84">
            <v>45777</v>
          </cell>
          <cell r="N84" t="str">
            <v xml:space="preserve">	NENA DEL CARMEN RAMIREZ RAMIREZ</v>
          </cell>
          <cell r="O84">
            <v>30732589</v>
          </cell>
          <cell r="P84" t="str">
            <v>contabilidad2@disfarma.com.co</v>
          </cell>
          <cell r="Q84">
            <v>45687</v>
          </cell>
          <cell r="R84" t="str">
            <v>ELIANA BENAVIDES</v>
          </cell>
          <cell r="U84" t="str">
            <v>CELEBRADO</v>
          </cell>
          <cell r="W84" t="str">
            <v>2025-0084</v>
          </cell>
          <cell r="X84" t="str">
            <v>2025-0165</v>
          </cell>
          <cell r="AJ84">
            <v>2</v>
          </cell>
          <cell r="AK84">
            <v>0</v>
          </cell>
          <cell r="AL84">
            <v>2</v>
          </cell>
          <cell r="AM84" t="str">
            <v>$155.108.982,00</v>
          </cell>
        </row>
        <row r="85">
          <cell r="A85" t="str">
            <v>084-2025</v>
          </cell>
          <cell r="B85" t="str">
            <v>PRESTACION DE SERVICIOS</v>
          </cell>
          <cell r="C85" t="str">
            <v>KAREN ANYELYS DELGADO MORENO</v>
          </cell>
          <cell r="D85" t="str">
            <v>CC</v>
          </cell>
          <cell r="E85">
            <v>1086924769</v>
          </cell>
          <cell r="F85">
            <v>4</v>
          </cell>
          <cell r="G85" t="str">
            <v xml:space="preserve">CONTRATACION DIRECTA </v>
          </cell>
          <cell r="H85">
            <v>1</v>
          </cell>
          <cell r="I85" t="str">
            <v>EL CONTRATISTA SE COMPROMETE PARA CON LA EMPRESA SOCIAL DEL ESTADO PASTO SALUD ESE A PRESTAR SUS SERVICIOS PROFESIONALES COMO QUIMICO FARMACEUTICO , QUIEN DESARROLLARA LAS ACTIVIDADES DEL PROGRAMA DE ATENCION FARMACEUTICA, SEGUIMIENTO A LA FORMULACION Y USO RACIONAL DE MEDICAMENTOS, SEGUIMIENTO AL PROCEDIMIENTO DE CONCILIACION MEDICAMENTOSA, CAPACITACION A USUARIOS Y PERSONAL ASISTENCIAL EN TEMAS RELACIONADOS CON MEDICAMENTOS Y DISPOSITIVOS MEDICOS Y ASUMIRA LA SUPLENCIA COMO JEFE DE PRODUCCION DEL AREA DE REEMPAQUE DE MEDICAMENTOS SOLIDOS PARA VIA ORAL Y VAGINAL.</v>
          </cell>
          <cell r="J85">
            <v>1</v>
          </cell>
          <cell r="K85" t="str">
            <v>$23.484.000,00</v>
          </cell>
          <cell r="L85">
            <v>45688</v>
          </cell>
          <cell r="M85">
            <v>45869</v>
          </cell>
          <cell r="N85" t="str">
            <v>NENA DEL CARMEN RAMIREZ RAMIREZ</v>
          </cell>
          <cell r="O85">
            <v>30732589</v>
          </cell>
          <cell r="P85" t="str">
            <v>karendelgadom@hotmail.com</v>
          </cell>
          <cell r="Q85">
            <v>45688</v>
          </cell>
          <cell r="R85" t="str">
            <v>ELIANA BENAVIDES</v>
          </cell>
          <cell r="U85" t="str">
            <v>CELEBRADO</v>
          </cell>
          <cell r="W85" t="str">
            <v>2025-0072</v>
          </cell>
          <cell r="X85" t="str">
            <v>2025-0176</v>
          </cell>
          <cell r="AJ85">
            <v>2</v>
          </cell>
          <cell r="AK85">
            <v>0</v>
          </cell>
          <cell r="AL85">
            <v>2</v>
          </cell>
          <cell r="AM85" t="str">
            <v>$23.484.000,00</v>
          </cell>
        </row>
        <row r="86">
          <cell r="A86" t="str">
            <v>085-2025</v>
          </cell>
          <cell r="B86" t="str">
            <v>SUMINISTROS</v>
          </cell>
          <cell r="C86" t="str">
            <v>COMPANY MEDIQBOY OC S.A.S</v>
          </cell>
          <cell r="D86" t="str">
            <v>NIT</v>
          </cell>
          <cell r="E86">
            <v>901035884</v>
          </cell>
          <cell r="F86">
            <v>3</v>
          </cell>
          <cell r="G86" t="str">
            <v>BIONEXO</v>
          </cell>
          <cell r="H86">
            <v>2</v>
          </cell>
          <cell r="I86" t="str">
            <v>EL CONTRATISTA SE OBLIGA AL SUMINISTRO DE LOS MEDICAMENTOS EN LAS CANTIDADES ESTABLECIDAS EN EL ANEXO 1, EL CUAL HACE PARTE INTEGRAL DEL CONTRATO. PARA LA ESE PASTO SALUD.</v>
          </cell>
          <cell r="J86">
            <v>1</v>
          </cell>
          <cell r="K86" t="str">
            <v>$8.674.970,00</v>
          </cell>
          <cell r="L86">
            <v>45688</v>
          </cell>
          <cell r="M86">
            <v>45777</v>
          </cell>
          <cell r="N86" t="str">
            <v>NENA DEL CARMEN RAMIREZ RAMIREZ</v>
          </cell>
          <cell r="O86">
            <v>30732589</v>
          </cell>
          <cell r="P86" t="str">
            <v>oc.secretariageneral@mediqboy.com</v>
          </cell>
          <cell r="Q86">
            <v>45688</v>
          </cell>
          <cell r="R86" t="str">
            <v>ELIANA BENAVIDES</v>
          </cell>
          <cell r="U86" t="str">
            <v>CELEBRADO</v>
          </cell>
          <cell r="W86" t="str">
            <v>2025-0084</v>
          </cell>
          <cell r="X86" t="str">
            <v>2025-0166</v>
          </cell>
          <cell r="AJ86">
            <v>2</v>
          </cell>
          <cell r="AK86">
            <v>0</v>
          </cell>
          <cell r="AL86">
            <v>2</v>
          </cell>
          <cell r="AM86" t="str">
            <v>$8.674.970,00</v>
          </cell>
        </row>
        <row r="87">
          <cell r="A87" t="str">
            <v>086-2025</v>
          </cell>
          <cell r="B87" t="str">
            <v>PRESTACION DE SERVICIOS</v>
          </cell>
          <cell r="C87" t="str">
            <v>NAYIBE MARCELA LARA MATABANCHOY</v>
          </cell>
          <cell r="D87" t="str">
            <v>CC</v>
          </cell>
          <cell r="E87">
            <v>1193265831</v>
          </cell>
          <cell r="F87">
            <v>3</v>
          </cell>
          <cell r="G87" t="str">
            <v xml:space="preserve">CONTRATACION DIRECTA </v>
          </cell>
          <cell r="H87">
            <v>1</v>
          </cell>
          <cell r="I87" t="str">
            <v>PRESTACION DE SERVICIOS COMO GESTOR COMUNITARIO DIRIGIDOS AL SEGUIMIENTO DE POBLACIONES ESPECIALES DE RIESGO SEGUN PRIORIDADES DEFINIDAS POR LAS REDES OPERATIVAS.</v>
          </cell>
          <cell r="J87">
            <v>1</v>
          </cell>
          <cell r="K87" t="str">
            <v>$2.500.000,00</v>
          </cell>
          <cell r="L87">
            <v>45691</v>
          </cell>
          <cell r="M87">
            <v>45716</v>
          </cell>
          <cell r="N87" t="str">
            <v>ALBA LUCIA MORA BENAVIDES</v>
          </cell>
          <cell r="O87">
            <v>59822566</v>
          </cell>
          <cell r="P87" t="str">
            <v>nayibelara2001@gmail.com</v>
          </cell>
          <cell r="Q87">
            <v>45691</v>
          </cell>
          <cell r="R87" t="str">
            <v>CRISTINA ROSERO</v>
          </cell>
          <cell r="U87" t="str">
            <v>CELEBRADO</v>
          </cell>
          <cell r="W87" t="str">
            <v>2025-0124</v>
          </cell>
          <cell r="X87" t="str">
            <v>2025-0168</v>
          </cell>
          <cell r="AJ87">
            <v>2</v>
          </cell>
          <cell r="AK87">
            <v>0</v>
          </cell>
          <cell r="AL87">
            <v>3</v>
          </cell>
          <cell r="AM87" t="str">
            <v>$2.500.000,00</v>
          </cell>
        </row>
        <row r="88">
          <cell r="A88" t="str">
            <v>087-2025</v>
          </cell>
          <cell r="B88" t="str">
            <v>PRESTACION DE SERVICIOS</v>
          </cell>
          <cell r="C88" t="str">
            <v>LINA YEZMIN DE LA CRUZ CUSIS</v>
          </cell>
          <cell r="D88" t="str">
            <v>CC</v>
          </cell>
          <cell r="E88">
            <v>1085320930</v>
          </cell>
          <cell r="F88">
            <v>8</v>
          </cell>
          <cell r="G88" t="str">
            <v xml:space="preserve">CONTRATACION DIRECTA </v>
          </cell>
          <cell r="H88">
            <v>1</v>
          </cell>
          <cell r="I88" t="str">
            <v>PRESTACION DE SERVICIOS COMO GESTOR COMUNITARIO DIRIGIDOS AL SEGUIMIENTO DE POBLACIONES ESPECIALES DE RIESGO SEGUN PRIORIDADES DEFINIDAS POR LAS REDES OPERATIVAS.</v>
          </cell>
          <cell r="J88">
            <v>1</v>
          </cell>
          <cell r="K88" t="str">
            <v>$2.500.000,00</v>
          </cell>
          <cell r="L88">
            <v>45691</v>
          </cell>
          <cell r="M88">
            <v>45716</v>
          </cell>
          <cell r="N88" t="str">
            <v xml:space="preserve">	ALBA LUCIA MORA BENAVIDES</v>
          </cell>
          <cell r="O88">
            <v>59822566</v>
          </cell>
          <cell r="P88" t="str">
            <v>linadelacruz5143@gmail.com</v>
          </cell>
          <cell r="Q88">
            <v>45691</v>
          </cell>
          <cell r="R88" t="str">
            <v>ELIANA BENAVIDES</v>
          </cell>
          <cell r="U88" t="str">
            <v>CELEBRADO</v>
          </cell>
          <cell r="W88" t="str">
            <v>2025-0124</v>
          </cell>
          <cell r="X88" t="str">
            <v>2025-0169</v>
          </cell>
          <cell r="AJ88">
            <v>2</v>
          </cell>
          <cell r="AK88">
            <v>0</v>
          </cell>
          <cell r="AL88">
            <v>3</v>
          </cell>
          <cell r="AM88" t="str">
            <v>$2.500.000,00</v>
          </cell>
        </row>
        <row r="89">
          <cell r="A89" t="str">
            <v>088-2025</v>
          </cell>
          <cell r="B89" t="str">
            <v>PRESTACION DE SERVICIOS</v>
          </cell>
          <cell r="C89" t="str">
            <v>CAROLINA NASTACUAS PAI</v>
          </cell>
          <cell r="D89" t="str">
            <v>CC</v>
          </cell>
          <cell r="E89">
            <v>1085324107</v>
          </cell>
          <cell r="F89">
            <v>0</v>
          </cell>
          <cell r="G89" t="str">
            <v xml:space="preserve">CONTRATACION DIRECTA </v>
          </cell>
          <cell r="H89">
            <v>1</v>
          </cell>
          <cell r="I89" t="str">
            <v>PRESTACION DE SERVICIOS COMO AUXILIAR DE ENFERMERIA DIRIGIDOS AL SEGUIMIENTO DE POBLACIONES ESPECIALES DE RIESGO SEGUN PRIORIDADES DEFINIDAS POR LAS REDES OPERATIVAS.</v>
          </cell>
          <cell r="J89">
            <v>1</v>
          </cell>
          <cell r="K89" t="str">
            <v>$3.000.000,00</v>
          </cell>
          <cell r="L89">
            <v>45691</v>
          </cell>
          <cell r="M89">
            <v>45716</v>
          </cell>
          <cell r="N89" t="str">
            <v>RODRIGO DE JESUS VITERI MORENO</v>
          </cell>
          <cell r="O89">
            <v>98390119</v>
          </cell>
          <cell r="P89" t="str">
            <v>carito.naztacuaz@outlook.com</v>
          </cell>
          <cell r="Q89">
            <v>45691</v>
          </cell>
          <cell r="R89" t="str">
            <v>ANDRES GUERRA</v>
          </cell>
          <cell r="U89" t="str">
            <v>CELEBRADO</v>
          </cell>
          <cell r="W89" t="str">
            <v>2025-0124</v>
          </cell>
          <cell r="X89" t="str">
            <v>2025-0170</v>
          </cell>
          <cell r="AJ89">
            <v>2</v>
          </cell>
          <cell r="AK89">
            <v>0</v>
          </cell>
          <cell r="AL89">
            <v>3</v>
          </cell>
          <cell r="AM89" t="str">
            <v>$3.000.000,00</v>
          </cell>
        </row>
        <row r="90">
          <cell r="A90" t="str">
            <v>089-2025</v>
          </cell>
          <cell r="B90" t="str">
            <v>PRESTACION DE SERVICIOS</v>
          </cell>
          <cell r="C90" t="str">
            <v>YENIFER NAYIBE MENESES TOBAR</v>
          </cell>
          <cell r="D90" t="str">
            <v>CC</v>
          </cell>
          <cell r="E90">
            <v>1089243630</v>
          </cell>
          <cell r="F90">
            <v>8</v>
          </cell>
          <cell r="G90" t="str">
            <v xml:space="preserve">CONTRATACION DIRECTA </v>
          </cell>
          <cell r="H90">
            <v>1</v>
          </cell>
          <cell r="I90" t="str">
            <v>PRESTACION DE SERVICIOS COMO AUXILIAR DE ENFERMERIA DIRIGIDOS AL SEGUIMIENTO DE POBLACIONES ESPECIALES DE RIESGO SEGUN PRIORIDADES DEFINIDAS POR LAS REDES OPERATIVAS.</v>
          </cell>
          <cell r="J90">
            <v>1</v>
          </cell>
          <cell r="K90" t="str">
            <v>$3.000.000,00</v>
          </cell>
          <cell r="L90">
            <v>45691</v>
          </cell>
          <cell r="M90">
            <v>45716</v>
          </cell>
          <cell r="N90" t="str">
            <v>ALBA LUCIA MORA BENAVIDES</v>
          </cell>
          <cell r="O90">
            <v>59822566</v>
          </cell>
          <cell r="P90" t="str">
            <v>menesesyenifer22@gmail.com</v>
          </cell>
          <cell r="Q90">
            <v>45691</v>
          </cell>
          <cell r="R90" t="str">
            <v>JUAN GOMEZ</v>
          </cell>
          <cell r="U90" t="str">
            <v>CELEBRADO</v>
          </cell>
          <cell r="W90" t="str">
            <v>2025-0124</v>
          </cell>
          <cell r="X90" t="str">
            <v>2025-0177</v>
          </cell>
          <cell r="AJ90">
            <v>2</v>
          </cell>
          <cell r="AK90">
            <v>0</v>
          </cell>
          <cell r="AL90">
            <v>3</v>
          </cell>
          <cell r="AM90" t="str">
            <v>$3.000.000,00</v>
          </cell>
        </row>
        <row r="91">
          <cell r="A91" t="str">
            <v>090-2025</v>
          </cell>
          <cell r="B91" t="str">
            <v>PRESTACION DE SERVICIOS</v>
          </cell>
          <cell r="C91" t="str">
            <v>LINA MARIA PIZANO PEREZ</v>
          </cell>
          <cell r="D91" t="str">
            <v>CC</v>
          </cell>
          <cell r="E91">
            <v>1085324685</v>
          </cell>
          <cell r="F91">
            <v>6</v>
          </cell>
          <cell r="G91" t="str">
            <v xml:space="preserve">CONTRATACION DIRECTA </v>
          </cell>
          <cell r="H91">
            <v>1</v>
          </cell>
          <cell r="I91" t="str">
            <v>PRESTACION DE SERVICIOS COMO AUXILIAR DE ENFERMERIA DIRIGIDOS AL SEGUIMIENTO DE POBLACIONES ESPECIALES DE RIESGO SEGUN PRIORIDADES DEFINIDAS POR LAS REDES OPERATIVAS</v>
          </cell>
          <cell r="J91">
            <v>1</v>
          </cell>
          <cell r="K91" t="str">
            <v>$3.000.000,00</v>
          </cell>
          <cell r="L91">
            <v>45691</v>
          </cell>
          <cell r="M91">
            <v>45716</v>
          </cell>
          <cell r="N91" t="str">
            <v>BERTHA JANETH MONTENEGRO PORTILLA</v>
          </cell>
          <cell r="O91">
            <v>36950699</v>
          </cell>
          <cell r="P91" t="str">
            <v>linasofiapizano@gmail.com</v>
          </cell>
          <cell r="Q91">
            <v>45691</v>
          </cell>
          <cell r="R91" t="str">
            <v>NATALIA ERAZO</v>
          </cell>
          <cell r="U91" t="str">
            <v>CELEBRADO</v>
          </cell>
          <cell r="W91" t="str">
            <v>2025-0124</v>
          </cell>
          <cell r="X91" t="str">
            <v>2025-0178</v>
          </cell>
          <cell r="AJ91">
            <v>2</v>
          </cell>
          <cell r="AK91">
            <v>0</v>
          </cell>
          <cell r="AL91">
            <v>3</v>
          </cell>
          <cell r="AM91" t="str">
            <v xml:space="preserve"> $3.000.000,00</v>
          </cell>
        </row>
        <row r="92">
          <cell r="A92" t="str">
            <v>091-2025</v>
          </cell>
          <cell r="B92" t="str">
            <v>PRESTACION DE SERVICIOS</v>
          </cell>
          <cell r="C92" t="str">
            <v>BRIGITT MARCELA BURBANO PUPIALES</v>
          </cell>
          <cell r="D92" t="str">
            <v>CC</v>
          </cell>
          <cell r="E92">
            <v>1085292185</v>
          </cell>
          <cell r="F92">
            <v>6</v>
          </cell>
          <cell r="G92" t="str">
            <v xml:space="preserve">CONTRATACION DIRECTA </v>
          </cell>
          <cell r="H92">
            <v>1</v>
          </cell>
          <cell r="I92" t="str">
            <v>PRESTACION DE SERVICIOS PROFESIONALES DIRIGIDOS AL SEGUIMIENTO DE POBLACIONES ESPECIALES DE RIESGO SEGUN PRIORIDADES DEFINIDAS POR LA SUBGERENCIA DE SALUD E INVESTIGACION.</v>
          </cell>
          <cell r="J92">
            <v>1</v>
          </cell>
          <cell r="K92" t="str">
            <v>$6.000.000,00</v>
          </cell>
          <cell r="L92">
            <v>45691</v>
          </cell>
          <cell r="M92">
            <v>45716</v>
          </cell>
          <cell r="N92" t="str">
            <v>BRIGITT MARCELA BURBANO PUPIALES</v>
          </cell>
          <cell r="O92">
            <v>1085292185</v>
          </cell>
          <cell r="P92" t="str">
            <v>marcelita_1250@hotmail.com</v>
          </cell>
          <cell r="Q92">
            <v>45691</v>
          </cell>
          <cell r="R92" t="str">
            <v>NATALIA ERAZO</v>
          </cell>
          <cell r="U92" t="str">
            <v>CELEBRADO</v>
          </cell>
          <cell r="W92" t="str">
            <v>2025-0124</v>
          </cell>
          <cell r="X92" t="str">
            <v>2025-0179</v>
          </cell>
          <cell r="AJ92">
            <v>2</v>
          </cell>
          <cell r="AK92">
            <v>0</v>
          </cell>
          <cell r="AL92">
            <v>3</v>
          </cell>
          <cell r="AM92" t="str">
            <v>$6.000.000,00</v>
          </cell>
        </row>
        <row r="93">
          <cell r="A93" t="str">
            <v>092-2025</v>
          </cell>
          <cell r="B93" t="str">
            <v>PRESTACION DE SERVICIOS</v>
          </cell>
          <cell r="C93" t="str">
            <v>EDICIONES PERIODISTICAS DIARIO DEL SUR SAS</v>
          </cell>
          <cell r="D93" t="str">
            <v>CC</v>
          </cell>
          <cell r="E93">
            <v>901804010</v>
          </cell>
          <cell r="F93">
            <v>3</v>
          </cell>
          <cell r="G93" t="str">
            <v xml:space="preserve">CONTRATACION DIRECTA </v>
          </cell>
          <cell r="H93">
            <v>2</v>
          </cell>
          <cell r="I93" t="str">
            <v>PRESTAR EL SERVICIO PARA LA ELABORACION Y PUBLICACION DE UN ARTICULO EN UN MEDIO DE COMUNICACION ESCRITO DE CIRCULACION DEPARTAMENTAL, CON EL OBJETIVO DE DIFUNDIR LOS SERVICIOS DE LA DE LA EMPRESA SOCIAL DEL ESTADO PASTO SALUD E.S.E.</v>
          </cell>
          <cell r="J93">
            <v>1</v>
          </cell>
          <cell r="K93" t="str">
            <v>$10.000.000,00</v>
          </cell>
          <cell r="L93">
            <v>45692</v>
          </cell>
          <cell r="M93">
            <v>45716</v>
          </cell>
          <cell r="N93" t="str">
            <v>LYDA ARGELIS PABON LOPEZ</v>
          </cell>
          <cell r="O93">
            <v>52229702</v>
          </cell>
          <cell r="P93" t="str">
            <v>notificacionesedicionesdiariodelsur@yahoo.com</v>
          </cell>
          <cell r="Q93">
            <v>45692</v>
          </cell>
          <cell r="R93" t="str">
            <v>JUAN GOMEZ</v>
          </cell>
          <cell r="U93" t="str">
            <v>CELEBRADO</v>
          </cell>
          <cell r="W93" t="str">
            <v>2025-0088</v>
          </cell>
          <cell r="X93" t="str">
            <v>2025-0180</v>
          </cell>
          <cell r="AJ93">
            <v>2</v>
          </cell>
          <cell r="AK93">
            <v>0</v>
          </cell>
          <cell r="AL93">
            <v>3</v>
          </cell>
          <cell r="AM93" t="str">
            <v>$10.000.000,00</v>
          </cell>
        </row>
        <row r="94">
          <cell r="A94" t="str">
            <v>093-2025</v>
          </cell>
          <cell r="B94" t="str">
            <v>SUMINISTROS</v>
          </cell>
          <cell r="C94" t="str">
            <v>DISTRIBUIDORA COLOMBIANA DE MEDICAMENTOS Y TECNOLOGIAS EN SALUD SAS</v>
          </cell>
          <cell r="D94" t="str">
            <v>NIT</v>
          </cell>
          <cell r="E94">
            <v>828002423</v>
          </cell>
          <cell r="F94">
            <v>5</v>
          </cell>
          <cell r="G94" t="str">
            <v>BIONEXO</v>
          </cell>
          <cell r="H94">
            <v>2</v>
          </cell>
          <cell r="I94" t="str">
            <v>EL CONTRATISTA SE OBLIGA AL SUMINISTRO DE LOS MEDICAMENTOS EN LAS CANTIDADES ESTABLECIDAS EN EL ANEXO 1, EL CUAL HACE PARTE INTEGRAL DEL CONTRATO. PARA LA ESE PASTO SALUD.</v>
          </cell>
          <cell r="J94">
            <v>3</v>
          </cell>
          <cell r="K94" t="str">
            <v>$2.561.845,00</v>
          </cell>
          <cell r="L94">
            <v>45692</v>
          </cell>
          <cell r="M94">
            <v>45777</v>
          </cell>
          <cell r="N94" t="str">
            <v>NENA DEL CARMEN RAMIREZ RAMIREZ</v>
          </cell>
          <cell r="O94">
            <v>30732589</v>
          </cell>
          <cell r="P94" t="str">
            <v>gerencia@discolmedica.com.co</v>
          </cell>
          <cell r="Q94">
            <v>45692</v>
          </cell>
          <cell r="R94" t="str">
            <v>ELIANA BENAVIDES</v>
          </cell>
          <cell r="U94" t="str">
            <v>CELEBRADO</v>
          </cell>
          <cell r="W94" t="str">
            <v>2025-0084</v>
          </cell>
          <cell r="X94" t="str">
            <v>2025-0182</v>
          </cell>
          <cell r="AJ94">
            <v>2</v>
          </cell>
          <cell r="AK94">
            <v>0</v>
          </cell>
          <cell r="AL94">
            <v>2</v>
          </cell>
          <cell r="AM94" t="str">
            <v xml:space="preserve"> $2.561.845,00</v>
          </cell>
        </row>
        <row r="95">
          <cell r="A95" t="str">
            <v>094-2025</v>
          </cell>
          <cell r="B95" t="str">
            <v>PRESTACION DE SERVICIOS</v>
          </cell>
          <cell r="C95" t="str">
            <v>FERNANDO JESUS MUÑOZ TORO</v>
          </cell>
          <cell r="D95" t="str">
            <v>CC</v>
          </cell>
          <cell r="E95">
            <v>87064731</v>
          </cell>
          <cell r="F95">
            <v>7</v>
          </cell>
          <cell r="G95" t="str">
            <v xml:space="preserve">CONTRATACION DIRECTA </v>
          </cell>
          <cell r="H95">
            <v>1</v>
          </cell>
          <cell r="I95" t="str">
            <v>EL CONTRATISTA SE COMPROMETE PARA CON LA EMPRESA SOCIAL DEL ESTADO PASTO SALUD ESE A PRESTAR SUS SERVICIOS COMO ADMINISTRADOR DE EMPRESAS CON EXPERIENCIA EN MANEJO DE SISTEMAS DE INFORTMACION Y TICS PARA APOYAR LAS ACTIVIDADES CONTEMPLADAS EN LA PROBLEM 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 VOS, PREMISAS, PERSPECTIVAS Y ENFOQUES DE LA ESTRATEGIA CIUDAD BIENESTAR Y LA POLITICA PUBLICA DE SALUD COLECTIV A EN EL MARCO DEL CONTRATO INTERADMINISTRATIVO NO. 20250875 DE FECHA 23 DE ENERO DE 2025, SUSCRITO ENTRE LA EMPRESA SOCIAL DEL ESTADO PASTO SALUD ESE Y LA ALCALDIA DE PASTO SECRETARIA MUNICIPAL DE SALUD</v>
          </cell>
          <cell r="J95">
            <v>1</v>
          </cell>
          <cell r="K95" t="str">
            <v>$7.480.000,00</v>
          </cell>
          <cell r="L95">
            <v>45693</v>
          </cell>
          <cell r="M95">
            <v>45747</v>
          </cell>
          <cell r="N95" t="str">
            <v>OSCAR MIGUEL GOYES CABRERA</v>
          </cell>
          <cell r="O95">
            <v>87711882</v>
          </cell>
          <cell r="P95" t="str">
            <v>fernandomunoz0314@gmail.com</v>
          </cell>
          <cell r="Q95">
            <v>45693</v>
          </cell>
          <cell r="R95" t="str">
            <v>ELIANA BENAVIDES</v>
          </cell>
          <cell r="U95" t="str">
            <v>CELEBRADO</v>
          </cell>
          <cell r="W95" t="str">
            <v>2025-0127</v>
          </cell>
          <cell r="X95" t="str">
            <v>2025-0183</v>
          </cell>
          <cell r="AJ95">
            <v>2</v>
          </cell>
          <cell r="AK95">
            <v>0</v>
          </cell>
          <cell r="AL95">
            <v>3</v>
          </cell>
          <cell r="AM95" t="str">
            <v>$7.480.000,00</v>
          </cell>
        </row>
        <row r="96">
          <cell r="A96" t="str">
            <v>095-2025</v>
          </cell>
          <cell r="B96" t="str">
            <v>COMPRAVENTA</v>
          </cell>
          <cell r="C96" t="str">
            <v>OVIEDO PAREDES ADRIANA LORENA (RUGLORY DISTRIBUCIONES)</v>
          </cell>
          <cell r="D96" t="str">
            <v>CC</v>
          </cell>
          <cell r="E96">
            <v>1061696504</v>
          </cell>
          <cell r="F96">
            <v>1</v>
          </cell>
          <cell r="G96" t="str">
            <v xml:space="preserve">CONTRATACION DIRECTA </v>
          </cell>
          <cell r="H96">
            <v>1</v>
          </cell>
          <cell r="I96" t="str">
            <v>COMPRA DE ELEMENTOS CATEGORIZADOS EN LA LINEA DE CONSUMO MATERIALES Y SUMINISTROS, DE ACUERDO A LAS NECESIDADES IDENTIFICADAS PARA DOTAR LAS 23 SEDES DE LA EMPRESA SOCIAL DEL ESTADO PASTO SALUD ESE</v>
          </cell>
          <cell r="J96">
            <v>1</v>
          </cell>
          <cell r="K96" t="str">
            <v>$17.218.750,00</v>
          </cell>
          <cell r="L96">
            <v>45694</v>
          </cell>
          <cell r="M96">
            <v>45730</v>
          </cell>
          <cell r="N96" t="str">
            <v>STEFANYA RAMIREZ LOPERA</v>
          </cell>
          <cell r="O96">
            <v>111247705</v>
          </cell>
          <cell r="P96" t="str">
            <v>adriloov@hotmail.com</v>
          </cell>
          <cell r="Q96">
            <v>45694</v>
          </cell>
          <cell r="R96" t="str">
            <v>RODRIGO ROSERO</v>
          </cell>
          <cell r="U96" t="str">
            <v>CELEBRADO</v>
          </cell>
          <cell r="W96" t="str">
            <v>2025-0094</v>
          </cell>
          <cell r="X96" t="str">
            <v>2025-0184</v>
          </cell>
          <cell r="AJ96">
            <v>2</v>
          </cell>
          <cell r="AK96">
            <v>0</v>
          </cell>
          <cell r="AL96">
            <v>4</v>
          </cell>
          <cell r="AM96" t="str">
            <v>$17.218.750,00</v>
          </cell>
        </row>
        <row r="97">
          <cell r="A97" t="str">
            <v>096-2025</v>
          </cell>
          <cell r="B97" t="str">
            <v>COMPRAVENTA</v>
          </cell>
          <cell r="C97" t="str">
            <v>OVIEDO PAREDES ADRIANA LORENA (RUGLORY DISTRIBUCIONES)</v>
          </cell>
          <cell r="D97" t="str">
            <v>CC</v>
          </cell>
          <cell r="E97">
            <v>1061696504</v>
          </cell>
          <cell r="F97">
            <v>1</v>
          </cell>
          <cell r="G97" t="str">
            <v xml:space="preserve">CONTRATACION DIRECTA </v>
          </cell>
          <cell r="H97">
            <v>1</v>
          </cell>
          <cell r="I97" t="str">
            <v>COMPRAVENTA DE ELEMENTOS DE PAPELERIA Y UTILES DE OFICINA PARA DOTAR LAS 23 SEDES DE LA EMPRESA SOCIAL DEL ESTADO PASTO SALUD ESE.</v>
          </cell>
          <cell r="J97">
            <v>1</v>
          </cell>
          <cell r="K97" t="str">
            <v>$4.284.750,00</v>
          </cell>
          <cell r="L97">
            <v>45694</v>
          </cell>
          <cell r="M97">
            <v>45730</v>
          </cell>
          <cell r="N97" t="str">
            <v>STEFANYA RAMIREZ LOPERA</v>
          </cell>
          <cell r="O97">
            <v>111247705</v>
          </cell>
          <cell r="P97" t="str">
            <v>adriloov@hotmail.com</v>
          </cell>
          <cell r="Q97">
            <v>45694</v>
          </cell>
          <cell r="R97" t="str">
            <v>NATALIA ERAZO</v>
          </cell>
          <cell r="U97" t="str">
            <v>CELEBRADO</v>
          </cell>
          <cell r="W97" t="str">
            <v>2025-0093</v>
          </cell>
          <cell r="X97" t="str">
            <v>2025-0185</v>
          </cell>
          <cell r="AJ97">
            <v>2</v>
          </cell>
          <cell r="AK97">
            <v>0</v>
          </cell>
          <cell r="AL97">
            <v>4</v>
          </cell>
          <cell r="AM97" t="str">
            <v>$4.284.750,00</v>
          </cell>
        </row>
        <row r="98">
          <cell r="A98" t="str">
            <v>097-2025</v>
          </cell>
          <cell r="B98" t="str">
            <v>PRESTACION DE SERVICIOS</v>
          </cell>
          <cell r="C98" t="str">
            <v>SYSNET S.A.S</v>
          </cell>
          <cell r="D98" t="str">
            <v>NIT</v>
          </cell>
          <cell r="E98">
            <v>806004974</v>
          </cell>
          <cell r="F98">
            <v>0</v>
          </cell>
          <cell r="G98" t="str">
            <v xml:space="preserve">CONTRATACION DIRECTA </v>
          </cell>
          <cell r="H98">
            <v>2</v>
          </cell>
          <cell r="I98" t="str">
            <v>PRESTACION DE SERVICIOS DE SOPORTE TECNICO, SOPORTE FUNCIONAL, ACTUALIZACIONES, MANTENIMIENTO Y DISPONIBILIDAD PERMANENTE PARA EL SISTEMA DE INFORMACION DE OPERACIONES EN SALUD SIOS PARA LA EMPRESA SOCIAL DEL ESTADO PASTO SALUD E.S.E</v>
          </cell>
          <cell r="J98">
            <v>1</v>
          </cell>
          <cell r="K98" t="str">
            <v>$60.000.000,00</v>
          </cell>
          <cell r="L98">
            <v>45695</v>
          </cell>
          <cell r="M98">
            <v>45930</v>
          </cell>
          <cell r="N98" t="str">
            <v>LYDA ARGELIS PABON LOPEZ</v>
          </cell>
          <cell r="O98">
            <v>52229702</v>
          </cell>
          <cell r="P98" t="str">
            <v>financiera@sysnet.com.co</v>
          </cell>
          <cell r="Q98">
            <v>45695</v>
          </cell>
          <cell r="R98" t="str">
            <v>JUAN GOMEZ</v>
          </cell>
          <cell r="U98" t="str">
            <v>CELEBRADO</v>
          </cell>
          <cell r="W98" t="str">
            <v>2025-0044</v>
          </cell>
          <cell r="X98" t="str">
            <v>2025-0188</v>
          </cell>
          <cell r="AB98" t="str">
            <v>ADICION Y PRORROGA</v>
          </cell>
          <cell r="AJ98">
            <v>1</v>
          </cell>
          <cell r="AK98">
            <v>3</v>
          </cell>
          <cell r="AL98">
            <v>2</v>
          </cell>
          <cell r="AM98" t="str">
            <v>$60.000.000,00</v>
          </cell>
        </row>
        <row r="99">
          <cell r="A99" t="str">
            <v>098-2025</v>
          </cell>
          <cell r="B99" t="str">
            <v>PRESTACION DE SERVICIOS</v>
          </cell>
          <cell r="C99" t="str">
            <v>GERARDO ANDRES OROZCO RUIZ</v>
          </cell>
          <cell r="D99" t="str">
            <v>CC</v>
          </cell>
          <cell r="E99">
            <v>1010034489</v>
          </cell>
          <cell r="F99">
            <v>1</v>
          </cell>
          <cell r="G99" t="str">
            <v xml:space="preserve">CONTRATACION DIRECTA </v>
          </cell>
          <cell r="H99">
            <v>1</v>
          </cell>
          <cell r="I99" t="str">
            <v>EL CONTRATISTA SE COMPROMETE PARA CON LA EMPRESA SOCIAL DEL ESTADO PASTO SALUD ESE A PRESTAR SUS SERVICIOS COMO TECNOLOGO EN PROMOCION DE LA SALUD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99">
            <v>1</v>
          </cell>
          <cell r="K99" t="str">
            <v xml:space="preserve"> $4.000.000,00</v>
          </cell>
          <cell r="L99">
            <v>45699</v>
          </cell>
          <cell r="M99">
            <v>45747</v>
          </cell>
          <cell r="N99" t="str">
            <v>OSCAR MIGUEL GOYES CABRERA</v>
          </cell>
          <cell r="O99">
            <v>87711882</v>
          </cell>
          <cell r="P99" t="str">
            <v>gerardooroorozco604@gmail.com</v>
          </cell>
          <cell r="Q99">
            <v>45699</v>
          </cell>
          <cell r="R99" t="str">
            <v>CRISTINA ROSERO</v>
          </cell>
          <cell r="U99" t="str">
            <v>CELEBRADO</v>
          </cell>
          <cell r="W99" t="str">
            <v>2025-0127</v>
          </cell>
          <cell r="X99" t="str">
            <v>2025-0193</v>
          </cell>
          <cell r="AJ99">
            <v>2</v>
          </cell>
          <cell r="AK99">
            <v>0</v>
          </cell>
          <cell r="AL99">
            <v>3</v>
          </cell>
          <cell r="AM99" t="str">
            <v xml:space="preserve"> $4.000.000,00</v>
          </cell>
        </row>
        <row r="100">
          <cell r="A100" t="str">
            <v>099-2025</v>
          </cell>
          <cell r="B100" t="str">
            <v>PRESTACION DE SERVICIOS</v>
          </cell>
          <cell r="C100" t="str">
            <v>YURY ALEXANDRA BRAVO GARCIA</v>
          </cell>
          <cell r="D100" t="str">
            <v>CC</v>
          </cell>
          <cell r="E100">
            <v>1085328611</v>
          </cell>
          <cell r="F100">
            <v>1</v>
          </cell>
          <cell r="G100" t="str">
            <v xml:space="preserve">CONTRATACION DIRECTA </v>
          </cell>
          <cell r="H100">
            <v>1</v>
          </cell>
          <cell r="I100" t="str">
            <v>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00">
            <v>1</v>
          </cell>
          <cell r="K100" t="str">
            <v>$6.480.000,00</v>
          </cell>
          <cell r="L100">
            <v>45699</v>
          </cell>
          <cell r="M100">
            <v>45747</v>
          </cell>
          <cell r="N100" t="str">
            <v>OSCAR MIGUEL GOYES CABRERA</v>
          </cell>
          <cell r="O100">
            <v>87711882</v>
          </cell>
          <cell r="P100" t="str">
            <v>psyurybravo@gmail.com</v>
          </cell>
          <cell r="Q100">
            <v>45699</v>
          </cell>
          <cell r="R100" t="str">
            <v>ELIANA BENAVIDES</v>
          </cell>
          <cell r="U100" t="str">
            <v>CELEBRADO</v>
          </cell>
          <cell r="W100" t="str">
            <v>2025-0127</v>
          </cell>
          <cell r="X100" t="str">
            <v>2025-0194</v>
          </cell>
          <cell r="AJ100">
            <v>2</v>
          </cell>
          <cell r="AK100">
            <v>0</v>
          </cell>
          <cell r="AL100">
            <v>3</v>
          </cell>
          <cell r="AM100" t="str">
            <v>$6.480.000,00</v>
          </cell>
        </row>
        <row r="101">
          <cell r="A101" t="str">
            <v>100-2025</v>
          </cell>
          <cell r="B101" t="str">
            <v>PRESTACION DE SERVICIOS</v>
          </cell>
          <cell r="C101" t="str">
            <v>MARIA FERNANDA MARTINEZ ARELLANO</v>
          </cell>
          <cell r="D101" t="str">
            <v>CC</v>
          </cell>
          <cell r="E101">
            <v>1085321868</v>
          </cell>
          <cell r="F101">
            <v>3</v>
          </cell>
          <cell r="G101" t="str">
            <v xml:space="preserve">CONTRATACION DIRECTA </v>
          </cell>
          <cell r="H101">
            <v>1</v>
          </cell>
          <cell r="I101" t="str">
            <v>EL CONTRATISTA SE COMPROMETE PARA CON LA EMPRESA SOCIAL DEL ESTADO PASTO SALUD ESE A PRESTAR SUS SERVICIOS COMO LICENCIADO EN ARTES YO MAESTRO EN ARTES VISUALES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01">
            <v>1</v>
          </cell>
          <cell r="K101" t="str">
            <v>$6.480.000,00</v>
          </cell>
          <cell r="L101">
            <v>45699</v>
          </cell>
          <cell r="M101">
            <v>45747</v>
          </cell>
          <cell r="N101" t="str">
            <v xml:space="preserve">	OSCAR MIGUEL GOYES CABRERA</v>
          </cell>
          <cell r="O101">
            <v>87711882</v>
          </cell>
          <cell r="P101" t="str">
            <v>mafebst@gmail.com</v>
          </cell>
          <cell r="Q101">
            <v>45699</v>
          </cell>
          <cell r="R101" t="str">
            <v>JUAN GOMEZ</v>
          </cell>
          <cell r="U101" t="str">
            <v>CELEBRADO</v>
          </cell>
          <cell r="W101" t="str">
            <v>2025-0127</v>
          </cell>
          <cell r="X101" t="str">
            <v>2025-0195</v>
          </cell>
          <cell r="AJ101">
            <v>2</v>
          </cell>
          <cell r="AK101">
            <v>0</v>
          </cell>
          <cell r="AL101">
            <v>3</v>
          </cell>
          <cell r="AM101" t="str">
            <v>$6.480.000,00</v>
          </cell>
        </row>
        <row r="102">
          <cell r="A102" t="str">
            <v>101-2025</v>
          </cell>
          <cell r="B102" t="str">
            <v>PRESTACION DE SERVICIOS</v>
          </cell>
          <cell r="C102" t="str">
            <v>VERTICAL TECH SAS</v>
          </cell>
          <cell r="D102" t="str">
            <v>NIT</v>
          </cell>
          <cell r="E102">
            <v>901216020</v>
          </cell>
          <cell r="F102">
            <v>4</v>
          </cell>
          <cell r="G102" t="str">
            <v xml:space="preserve">CONTRATACION DIRECTA </v>
          </cell>
          <cell r="H102">
            <v>2</v>
          </cell>
          <cell r="I102" t="str">
            <v>PRESTACION DEL SERVICIO DE MANTENIMIENTO PREVENTIVO Y CORRECTIVO DE LOS ASCENSORES, INCLUYENDO SUMINISTRO E INSTALACION DE REPUESTOS Y MANO DE OBRA NECESARIOS PARA SU NORMAL FUNCIONAMIENTO DE LOS ASCENSORES UBICADOS EN LAS SEDES DE PASTO SALUD E.S.E</v>
          </cell>
          <cell r="J102">
            <v>1</v>
          </cell>
          <cell r="K102" t="str">
            <v>$7.905.600,00</v>
          </cell>
          <cell r="L102">
            <v>45699</v>
          </cell>
          <cell r="M102">
            <v>45716</v>
          </cell>
          <cell r="N102" t="str">
            <v xml:space="preserve">	RODRIGO DE JESUS VITERI MORENO</v>
          </cell>
          <cell r="O102">
            <v>98390119</v>
          </cell>
          <cell r="P102" t="str">
            <v>gerencia@verticaltechsas.com</v>
          </cell>
          <cell r="Q102">
            <v>45699</v>
          </cell>
          <cell r="R102" t="str">
            <v>ALEXANDER YELA</v>
          </cell>
          <cell r="U102" t="str">
            <v>CELEBRADO</v>
          </cell>
          <cell r="W102" t="str">
            <v>2025-0005</v>
          </cell>
          <cell r="X102" t="str">
            <v>2025-0196</v>
          </cell>
          <cell r="AJ102">
            <v>2</v>
          </cell>
          <cell r="AK102">
            <v>0</v>
          </cell>
          <cell r="AL102">
            <v>3</v>
          </cell>
          <cell r="AM102" t="str">
            <v xml:space="preserve"> $7.905.600,00</v>
          </cell>
        </row>
        <row r="103">
          <cell r="A103" t="str">
            <v>102-2025</v>
          </cell>
          <cell r="B103" t="str">
            <v>PRESTACION DE SERVICIOS</v>
          </cell>
          <cell r="C103" t="str">
            <v>ANGIE CECILIA RAMIREZ ORTIZ</v>
          </cell>
          <cell r="D103" t="str">
            <v>CC</v>
          </cell>
          <cell r="E103">
            <v>1087210899</v>
          </cell>
          <cell r="F103">
            <v>2</v>
          </cell>
          <cell r="G103" t="str">
            <v xml:space="preserve">CONTRATACION DIRECTA </v>
          </cell>
          <cell r="H103">
            <v>1</v>
          </cell>
          <cell r="I103" t="str">
            <v>EL CONTRATISTA SE COMPROMETE PARA CON LA EMPRESA SOCIAL DEL ESTADO PASTO SALUD ESE A PRESTAR SUS SERVICIOS COMO SOCIOLOGO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03">
            <v>1</v>
          </cell>
          <cell r="K103" t="str">
            <v>$6.480.000,00</v>
          </cell>
          <cell r="L103">
            <v>45699</v>
          </cell>
          <cell r="M103">
            <v>45747</v>
          </cell>
          <cell r="N103" t="str">
            <v xml:space="preserve">	OSCAR MIGUEL GOYES CABRERA</v>
          </cell>
          <cell r="O103">
            <v>87711882</v>
          </cell>
          <cell r="P103" t="str">
            <v>cecyramirez423@gmail.com</v>
          </cell>
          <cell r="Q103">
            <v>45699</v>
          </cell>
          <cell r="R103" t="str">
            <v>NATALIA ERAZO</v>
          </cell>
          <cell r="U103" t="str">
            <v>CELEBRADO</v>
          </cell>
          <cell r="W103" t="str">
            <v>2025-0127</v>
          </cell>
          <cell r="X103" t="str">
            <v>2025-0197</v>
          </cell>
          <cell r="AJ103">
            <v>2</v>
          </cell>
          <cell r="AK103">
            <v>0</v>
          </cell>
          <cell r="AL103">
            <v>3</v>
          </cell>
          <cell r="AM103" t="str">
            <v>$6.480.000,00</v>
          </cell>
        </row>
        <row r="104">
          <cell r="A104" t="str">
            <v>103-2025</v>
          </cell>
          <cell r="B104" t="str">
            <v>PRESTACION DE SERVICIOS</v>
          </cell>
          <cell r="C104" t="str">
            <v>ANGELA GABRIELA MEDINA TREJO</v>
          </cell>
          <cell r="D104" t="str">
            <v>CC</v>
          </cell>
          <cell r="E104">
            <v>1085272953</v>
          </cell>
          <cell r="F104">
            <v>0</v>
          </cell>
          <cell r="G104" t="str">
            <v xml:space="preserve">CONTRATACION DIRECTA </v>
          </cell>
          <cell r="H104">
            <v>1</v>
          </cell>
          <cell r="I104" t="str">
            <v>EI CONTRATISTA SE COMPROMETE PARA CON LA EMPRESA SOCIAL DEL ESTADO PASTO SALUD ESE A PRESTAR SUS SERVICIOS COMO TECNOLOGO EN PROMOCION DE LA SALUD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04">
            <v>1</v>
          </cell>
          <cell r="K104" t="str">
            <v>$4.000.000,00</v>
          </cell>
          <cell r="L104">
            <v>45699</v>
          </cell>
          <cell r="M104">
            <v>45747</v>
          </cell>
          <cell r="N104" t="str">
            <v>OSCAR MIGUEL GOYES CABRERA</v>
          </cell>
          <cell r="O104">
            <v>87711882</v>
          </cell>
          <cell r="P104" t="str">
            <v>Agmedina87@gmail.com</v>
          </cell>
          <cell r="Q104">
            <v>45699</v>
          </cell>
          <cell r="R104" t="str">
            <v>ANDRES GUERRA</v>
          </cell>
          <cell r="U104" t="str">
            <v>CELEBRADO</v>
          </cell>
          <cell r="W104" t="str">
            <v>2025-0127</v>
          </cell>
          <cell r="X104" t="str">
            <v>2025-0198</v>
          </cell>
          <cell r="AJ104">
            <v>2</v>
          </cell>
          <cell r="AK104">
            <v>0</v>
          </cell>
          <cell r="AL104">
            <v>3</v>
          </cell>
          <cell r="AM104" t="str">
            <v>$4.000.000,00</v>
          </cell>
        </row>
        <row r="105">
          <cell r="A105" t="str">
            <v>104-2025</v>
          </cell>
          <cell r="B105" t="str">
            <v>PRESTACION DE SERVICIOS</v>
          </cell>
          <cell r="C105" t="str">
            <v>ELBA PAOLA BARCENAS PORTILLO</v>
          </cell>
          <cell r="D105" t="str">
            <v>CC</v>
          </cell>
          <cell r="E105">
            <v>1085284434</v>
          </cell>
          <cell r="F105">
            <v>1</v>
          </cell>
          <cell r="G105" t="str">
            <v xml:space="preserve">CONTRATACION DIRECTA </v>
          </cell>
          <cell r="H105">
            <v>1</v>
          </cell>
          <cell r="I105" t="str">
            <v>EL CONTRATISTA SE COMPROMETE PARA CON LA EMPRESA SOCIAL DEL ESTADO PASTO SALUD ESE A PRESTAR SUS SERVICIOS COMO TECNOLOGO EN PROMOCION DE LA SALUD PARA LIDERAR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v>
          </cell>
          <cell r="J105">
            <v>1</v>
          </cell>
          <cell r="K105" t="str">
            <v>$6.480.000,00</v>
          </cell>
          <cell r="L105">
            <v>45699</v>
          </cell>
          <cell r="M105">
            <v>45747</v>
          </cell>
          <cell r="N105" t="str">
            <v xml:space="preserve">	OSCAR MIGUEL GOYES CABRERA</v>
          </cell>
          <cell r="O105">
            <v>87711882</v>
          </cell>
          <cell r="P105" t="str">
            <v>paolabarcenasp2016@gmail.com</v>
          </cell>
          <cell r="Q105">
            <v>45699</v>
          </cell>
          <cell r="R105" t="str">
            <v>ALEXANDER YELA</v>
          </cell>
          <cell r="U105" t="str">
            <v>CELEBRADO</v>
          </cell>
          <cell r="W105" t="str">
            <v>2025-0127</v>
          </cell>
          <cell r="X105" t="str">
            <v>2025-0201</v>
          </cell>
          <cell r="AJ105">
            <v>2</v>
          </cell>
          <cell r="AK105">
            <v>0</v>
          </cell>
          <cell r="AL105">
            <v>3</v>
          </cell>
          <cell r="AM105" t="str">
            <v>$6.480.000,00</v>
          </cell>
        </row>
        <row r="106">
          <cell r="A106" t="str">
            <v>105-2025</v>
          </cell>
          <cell r="B106" t="str">
            <v>PRESTACION DE SERVICIOS</v>
          </cell>
          <cell r="C106" t="str">
            <v>AURA LEGNY MOLINA ORDOÑEZ</v>
          </cell>
          <cell r="D106" t="str">
            <v>CC</v>
          </cell>
          <cell r="E106">
            <v>37083634</v>
          </cell>
          <cell r="F106">
            <v>1</v>
          </cell>
          <cell r="G106" t="str">
            <v xml:space="preserve">CONTRATACION DIRECTA </v>
          </cell>
          <cell r="H106">
            <v>1</v>
          </cell>
          <cell r="I106" t="str">
            <v>EL CONTRATISTA SE COMPROMETE PARA CON LA EMPRESA SOCIAL DEL ESTADO PASTO SALUD ESE A PRESTAR SUS SERVICIOS COMO TECNOLOGO EN PROMOCION DE LA SALUD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06">
            <v>1</v>
          </cell>
          <cell r="K106" t="str">
            <v>$4.000.000,00</v>
          </cell>
          <cell r="L106">
            <v>45699</v>
          </cell>
          <cell r="M106">
            <v>45747</v>
          </cell>
          <cell r="N106" t="str">
            <v>OSCAR MIGUEL GOYES CABRERA</v>
          </cell>
          <cell r="O106">
            <v>87711882</v>
          </cell>
          <cell r="P106" t="str">
            <v>almoo0124@gmail.com</v>
          </cell>
          <cell r="Q106">
            <v>45699</v>
          </cell>
          <cell r="R106" t="str">
            <v>JUAN GOMEZ</v>
          </cell>
          <cell r="U106" t="str">
            <v>CELEBRADO</v>
          </cell>
          <cell r="W106" t="str">
            <v>2025-0127</v>
          </cell>
          <cell r="X106" t="str">
            <v>2025-0202</v>
          </cell>
          <cell r="AJ106">
            <v>2</v>
          </cell>
          <cell r="AK106">
            <v>0</v>
          </cell>
          <cell r="AL106">
            <v>3</v>
          </cell>
          <cell r="AM106" t="str">
            <v>$4.000.000,00</v>
          </cell>
        </row>
        <row r="107">
          <cell r="A107" t="str">
            <v>106-2025</v>
          </cell>
          <cell r="B107" t="str">
            <v>PRESTACION DE SERVICIOS</v>
          </cell>
          <cell r="C107" t="str">
            <v>DANEIRA MARIBEL NARVAEZ MELO</v>
          </cell>
          <cell r="D107" t="str">
            <v>CC</v>
          </cell>
          <cell r="E107">
            <v>1086135386</v>
          </cell>
          <cell r="F107">
            <v>1</v>
          </cell>
          <cell r="G107" t="str">
            <v xml:space="preserve">CONTRATACION DIRECTA </v>
          </cell>
          <cell r="H107">
            <v>1</v>
          </cell>
          <cell r="I107" t="str">
            <v>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v>
          </cell>
          <cell r="J107">
            <v>1</v>
          </cell>
          <cell r="K107" t="str">
            <v>$4.000.000,00</v>
          </cell>
          <cell r="L107">
            <v>45699</v>
          </cell>
          <cell r="M107">
            <v>45747</v>
          </cell>
          <cell r="N107" t="str">
            <v>OSCAR MIGUEL GOYES CABRERA</v>
          </cell>
          <cell r="O107">
            <v>87711882</v>
          </cell>
          <cell r="P107" t="str">
            <v>damna1125@hotmail.com</v>
          </cell>
          <cell r="Q107">
            <v>45699</v>
          </cell>
          <cell r="R107" t="str">
            <v>ALEXANDER YELA</v>
          </cell>
          <cell r="U107" t="str">
            <v>CELEBRADO</v>
          </cell>
          <cell r="W107" t="str">
            <v>2025-0127</v>
          </cell>
          <cell r="X107" t="str">
            <v>2025-0203</v>
          </cell>
          <cell r="AJ107">
            <v>2</v>
          </cell>
          <cell r="AK107">
            <v>0</v>
          </cell>
          <cell r="AL107">
            <v>3</v>
          </cell>
          <cell r="AM107" t="str">
            <v>$4.000.000,00</v>
          </cell>
        </row>
        <row r="108">
          <cell r="A108" t="str">
            <v>107-2025</v>
          </cell>
          <cell r="B108" t="str">
            <v>PRESTACION DE SERVICIOS</v>
          </cell>
          <cell r="C108" t="str">
            <v>GINA ELIZABETH LOPEZ OBANDO</v>
          </cell>
          <cell r="D108" t="str">
            <v>CC</v>
          </cell>
          <cell r="E108">
            <v>27093909</v>
          </cell>
          <cell r="F108">
            <v>6</v>
          </cell>
          <cell r="G108" t="str">
            <v xml:space="preserve">CONTRATACION DIRECTA </v>
          </cell>
          <cell r="H108">
            <v>1</v>
          </cell>
          <cell r="I108" t="str">
            <v>EL CONTRATISTA SE COMPROMETE PARA CON LA EMPRESA SOCIAL DEL ESTADO PASTO SALUD ESE A PRESTAR SUS SERVICIOS COMO TECNOLOGO EN PROMOCION DE LA SALUD PARA APOYAR LAS ACTIVIDADES CONTEMPLADAS EN LA PROBLEMATICA DE DEBIL VIGILANCIA EPIDEMIOLOGICA A DESARROLLARSE EN LOS TERRITORIOS URBANOS Y RURALES PRIORIZADOS YO CONCERTADOS CON LA SECRETARIA DE SALUD Y DE ACUERDO CON EL ANEXO TECNICO PARA LA EJECUCION DEL PLAN DE SALUD PUBLICA DE INTERVENCIONES COLECTIVAS CORRESPONDIENTE AL PRIMER TRIMESTRE DE LA VIGENCIA 2025</v>
          </cell>
          <cell r="J108">
            <v>1</v>
          </cell>
          <cell r="K108" t="str">
            <v>$4.000.000,00</v>
          </cell>
          <cell r="L108">
            <v>45699</v>
          </cell>
          <cell r="M108">
            <v>45747</v>
          </cell>
          <cell r="N108" t="str">
            <v>OSCAR MIGUEL GOYES CABRERA</v>
          </cell>
          <cell r="O108">
            <v>87711882</v>
          </cell>
          <cell r="P108" t="str">
            <v>ginaelizabeth.lopez@gmail.com</v>
          </cell>
          <cell r="Q108">
            <v>45699</v>
          </cell>
          <cell r="R108" t="str">
            <v>ALEXANDER YELA</v>
          </cell>
          <cell r="U108" t="str">
            <v>CELEBRADO</v>
          </cell>
          <cell r="W108" t="str">
            <v>2025-0127</v>
          </cell>
          <cell r="X108" t="str">
            <v>2025-0204</v>
          </cell>
          <cell r="AJ108">
            <v>2</v>
          </cell>
          <cell r="AK108">
            <v>0</v>
          </cell>
          <cell r="AL108">
            <v>3</v>
          </cell>
          <cell r="AM108" t="str">
            <v>$4.000.000,00</v>
          </cell>
        </row>
        <row r="109">
          <cell r="A109" t="str">
            <v>108-2025</v>
          </cell>
          <cell r="B109" t="str">
            <v>PRESTACION DE SERVICIOS</v>
          </cell>
          <cell r="C109" t="str">
            <v>MARIA FERNANDA ORTEGA SARRIA</v>
          </cell>
          <cell r="D109" t="str">
            <v>CC</v>
          </cell>
          <cell r="E109">
            <v>1085245666</v>
          </cell>
          <cell r="F109">
            <v>7</v>
          </cell>
          <cell r="G109" t="str">
            <v xml:space="preserve">CONTRATACION DIRECTA </v>
          </cell>
          <cell r="H109">
            <v>1</v>
          </cell>
          <cell r="I109" t="str">
            <v>EL CONTRATISTA SE COMPROMETE PARA CON LA EMPRESA SOCIAL DEL ESTADO PASTO SALUD ESE A PRESTAR SUS SERVICIOS COMO TRABAJADOR SOCIAL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v>
          </cell>
          <cell r="J109">
            <v>1</v>
          </cell>
          <cell r="K109" t="str">
            <v>$6.480.000,00</v>
          </cell>
          <cell r="L109">
            <v>45699</v>
          </cell>
          <cell r="M109">
            <v>45747</v>
          </cell>
          <cell r="N109" t="str">
            <v xml:space="preserve">	OSCAR MIGUEL GOYES CABRERA</v>
          </cell>
          <cell r="O109">
            <v>87711882</v>
          </cell>
          <cell r="P109" t="str">
            <v>mafesitaortga1@hotmail.com</v>
          </cell>
          <cell r="Q109">
            <v>45699</v>
          </cell>
          <cell r="R109" t="str">
            <v>ALEXANDER YELA</v>
          </cell>
          <cell r="U109" t="str">
            <v>CELEBRADO</v>
          </cell>
          <cell r="W109" t="str">
            <v>2025-0127</v>
          </cell>
          <cell r="X109" t="str">
            <v>2025-0205</v>
          </cell>
          <cell r="AJ109">
            <v>2</v>
          </cell>
          <cell r="AK109">
            <v>0</v>
          </cell>
          <cell r="AL109">
            <v>3</v>
          </cell>
          <cell r="AM109" t="str">
            <v>$6.480.000,00</v>
          </cell>
        </row>
        <row r="110">
          <cell r="A110" t="str">
            <v>109-2025</v>
          </cell>
          <cell r="B110" t="str">
            <v>PRESTACION DE SERVICIOS</v>
          </cell>
          <cell r="C110" t="str">
            <v>YOLI ELIZABETH GALVIS BARRERA</v>
          </cell>
          <cell r="D110" t="str">
            <v>CC</v>
          </cell>
          <cell r="E110">
            <v>1085303056</v>
          </cell>
          <cell r="F110">
            <v>3</v>
          </cell>
          <cell r="G110" t="str">
            <v xml:space="preserve">CONTRATACION DIRECTA </v>
          </cell>
          <cell r="H110">
            <v>1</v>
          </cell>
          <cell r="I110" t="str">
            <v>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0">
            <v>1</v>
          </cell>
          <cell r="K110" t="str">
            <v>$4.000.000,00</v>
          </cell>
          <cell r="L110">
            <v>45699</v>
          </cell>
          <cell r="M110">
            <v>45747</v>
          </cell>
          <cell r="N110" t="str">
            <v xml:space="preserve">	OSCAR MIGUEL GOYES CABRERA</v>
          </cell>
          <cell r="O110">
            <v>87711882</v>
          </cell>
          <cell r="P110" t="str">
            <v>yoligalvis42@gmail.com</v>
          </cell>
          <cell r="Q110">
            <v>45699</v>
          </cell>
          <cell r="R110" t="str">
            <v>ELIANA BENAVIDES</v>
          </cell>
          <cell r="U110" t="str">
            <v>CELEBRADO</v>
          </cell>
          <cell r="W110" t="str">
            <v>2025-0127</v>
          </cell>
          <cell r="X110" t="str">
            <v>2025-0206</v>
          </cell>
          <cell r="AJ110">
            <v>2</v>
          </cell>
          <cell r="AK110">
            <v>0</v>
          </cell>
          <cell r="AL110">
            <v>3</v>
          </cell>
          <cell r="AM110" t="str">
            <v>$4.000.000,00</v>
          </cell>
        </row>
        <row r="111">
          <cell r="A111" t="str">
            <v>110-2025</v>
          </cell>
          <cell r="B111" t="str">
            <v>PRESTACION DE SERVICIOS</v>
          </cell>
          <cell r="C111" t="str">
            <v>DAVID ALEXANDER REVELO YAQUENO</v>
          </cell>
          <cell r="D111" t="str">
            <v>CC</v>
          </cell>
          <cell r="E111">
            <v>1085264502</v>
          </cell>
          <cell r="F111">
            <v>9</v>
          </cell>
          <cell r="G111" t="str">
            <v xml:space="preserve">CONTRATACION DIRECTA </v>
          </cell>
          <cell r="H111">
            <v>1</v>
          </cell>
          <cell r="I111" t="str">
            <v>EL CONTRATISTA SE COMPROMETE PARA CON LA EMPRESA SOCIAL DEL ESTADO PASTO SALUD ESE A PRESTAR SUS SERVICIOS COMO TECNOLOGO EN PROMOCION DE LA SALUD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1">
            <v>1</v>
          </cell>
          <cell r="K111" t="str">
            <v>$4.000.000,00</v>
          </cell>
          <cell r="L111">
            <v>45699</v>
          </cell>
          <cell r="M111">
            <v>45747</v>
          </cell>
          <cell r="N111" t="str">
            <v>OSCAR MIGUEL GOYES CABRERA</v>
          </cell>
          <cell r="O111">
            <v>87711882</v>
          </cell>
          <cell r="P111" t="str">
            <v>davidumbrella@hotmail.com</v>
          </cell>
          <cell r="Q111">
            <v>45699</v>
          </cell>
          <cell r="R111" t="str">
            <v>CRISTINA ROSERO</v>
          </cell>
          <cell r="U111" t="str">
            <v>CELEBRADO</v>
          </cell>
          <cell r="W111" t="str">
            <v>2025-0127</v>
          </cell>
          <cell r="X111" t="str">
            <v>2025-0207</v>
          </cell>
          <cell r="AJ111">
            <v>2</v>
          </cell>
          <cell r="AK111">
            <v>0</v>
          </cell>
          <cell r="AL111">
            <v>3</v>
          </cell>
          <cell r="AM111" t="str">
            <v>$4.000.000,00</v>
          </cell>
        </row>
        <row r="112">
          <cell r="A112" t="str">
            <v>111-2025</v>
          </cell>
          <cell r="B112" t="str">
            <v>PRESTACION DE SERVICIOS</v>
          </cell>
          <cell r="C112" t="str">
            <v>YANA STEFHANIA CARLOSAMA RUALES</v>
          </cell>
          <cell r="D112" t="str">
            <v>CC</v>
          </cell>
          <cell r="E112">
            <v>1085257630</v>
          </cell>
          <cell r="F112">
            <v>4</v>
          </cell>
          <cell r="G112" t="str">
            <v xml:space="preserve">CONTRATACION DIRECTA </v>
          </cell>
          <cell r="H112">
            <v>1</v>
          </cell>
          <cell r="I112" t="str">
            <v>EL CONTRATISTA SE COMPROMETE PARA CON LA EMPRESA SOCIAL DEL ESTADO PASTO SALUD ESE A PRESTAR SUS SERVICIOS COMO SOCIOLOGO PARA APOYAR LAS ACTIVIDADES CONTEMPLADAS EN LA PROBLEMATICA DE EMERGENCIAS Y DESASTRES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2">
            <v>1</v>
          </cell>
          <cell r="K112" t="str">
            <v>$6.480.000,00</v>
          </cell>
          <cell r="L112">
            <v>45699</v>
          </cell>
          <cell r="M112">
            <v>45747</v>
          </cell>
          <cell r="N112" t="str">
            <v>OSCAR MIGUEL GOYES CABRERA</v>
          </cell>
          <cell r="O112">
            <v>87711882</v>
          </cell>
          <cell r="P112" t="str">
            <v>yaniscarlosama@gmail.com</v>
          </cell>
          <cell r="Q112">
            <v>45699</v>
          </cell>
          <cell r="R112" t="str">
            <v>ANDRES GUERRA</v>
          </cell>
          <cell r="U112" t="str">
            <v>CELEBRADO</v>
          </cell>
          <cell r="W112" t="str">
            <v>2025-0127</v>
          </cell>
          <cell r="X112" t="str">
            <v>2025-0208</v>
          </cell>
          <cell r="AJ112">
            <v>2</v>
          </cell>
          <cell r="AK112">
            <v>0</v>
          </cell>
          <cell r="AL112">
            <v>3</v>
          </cell>
          <cell r="AM112" t="str">
            <v>$6.480.000,00</v>
          </cell>
        </row>
        <row r="113">
          <cell r="A113" t="str">
            <v>112-2025</v>
          </cell>
          <cell r="B113" t="str">
            <v>PRESTACION DE SERVICIOS</v>
          </cell>
          <cell r="C113" t="str">
            <v>LUIS SEBASTIAN YEPEZ CAICEDO</v>
          </cell>
          <cell r="D113" t="str">
            <v>CC</v>
          </cell>
          <cell r="E113">
            <v>1085285463</v>
          </cell>
          <cell r="F113">
            <v>1</v>
          </cell>
          <cell r="G113" t="str">
            <v xml:space="preserve">CONTRATACION DIRECTA </v>
          </cell>
          <cell r="H113">
            <v>1</v>
          </cell>
          <cell r="I113" t="str">
            <v>EL CONTRATISTA SE COMPROMETE PARA CON LA EMPRESA SOCIAL DEL ESTADO PASTO SALUD ESE A PRESTAR SUS SERVICIOS COMO COMUNICADOR SOCIAL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3">
            <v>1</v>
          </cell>
          <cell r="K113" t="str">
            <v>$6.480.000,00</v>
          </cell>
          <cell r="L113">
            <v>45699</v>
          </cell>
          <cell r="M113">
            <v>45747</v>
          </cell>
          <cell r="N113" t="str">
            <v xml:space="preserve">	OSCAR MIGUEL GOYES CABRERA</v>
          </cell>
          <cell r="O113">
            <v>87711882</v>
          </cell>
          <cell r="P113" t="str">
            <v>sebasyepescomunicaciones@gmail.com</v>
          </cell>
          <cell r="Q113">
            <v>45699</v>
          </cell>
          <cell r="R113" t="str">
            <v>CRISTINA ROSERO</v>
          </cell>
          <cell r="U113" t="str">
            <v>CELEBRADO</v>
          </cell>
          <cell r="W113" t="str">
            <v>2025-0127</v>
          </cell>
          <cell r="X113" t="str">
            <v>2025-0210</v>
          </cell>
          <cell r="AJ113">
            <v>2</v>
          </cell>
          <cell r="AK113">
            <v>0</v>
          </cell>
          <cell r="AL113">
            <v>3</v>
          </cell>
          <cell r="AM113" t="str">
            <v>$6.480.000,00</v>
          </cell>
        </row>
        <row r="114">
          <cell r="A114" t="str">
            <v>113-2025</v>
          </cell>
          <cell r="B114" t="str">
            <v>PRESTACION DE SERVICIOS</v>
          </cell>
          <cell r="C114" t="str">
            <v>ENRIQUE ARMANDO CABRERA JURADO</v>
          </cell>
          <cell r="D114" t="str">
            <v>CC</v>
          </cell>
          <cell r="E114">
            <v>12981279</v>
          </cell>
          <cell r="F114">
            <v>1</v>
          </cell>
          <cell r="G114" t="str">
            <v xml:space="preserve">CONTRATACION DIRECTA </v>
          </cell>
          <cell r="H114">
            <v>1</v>
          </cell>
          <cell r="I114" t="str">
            <v>EL CONTRATISTA SE COMPROMETE PARA CON LA EMPRESA SOCIAL DEL ESTADO PASTO SALUD ESE A PRESTAR SUS SERVICIOS COMO LICENCIADO EN ARTES YO MAESTRO EN ARTES VISUALES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4">
            <v>1</v>
          </cell>
          <cell r="K114" t="str">
            <v>$6.480.000,00</v>
          </cell>
          <cell r="L114">
            <v>45699</v>
          </cell>
          <cell r="M114">
            <v>45747</v>
          </cell>
          <cell r="N114" t="str">
            <v xml:space="preserve">	OSCAR MIGUEL GOYES CABRERA</v>
          </cell>
          <cell r="O114">
            <v>87711882</v>
          </cell>
          <cell r="P114" t="str">
            <v>armandoicaro@gmail.com</v>
          </cell>
          <cell r="Q114">
            <v>45699</v>
          </cell>
          <cell r="R114" t="str">
            <v>ALEXANDER YELA</v>
          </cell>
          <cell r="U114" t="str">
            <v>CELEBRADO</v>
          </cell>
          <cell r="W114" t="str">
            <v>2025-0127</v>
          </cell>
          <cell r="X114" t="str">
            <v>2025-0211</v>
          </cell>
          <cell r="AJ114">
            <v>2</v>
          </cell>
          <cell r="AK114">
            <v>0</v>
          </cell>
          <cell r="AL114">
            <v>3</v>
          </cell>
          <cell r="AM114" t="str">
            <v xml:space="preserve"> $6.480.000,00</v>
          </cell>
        </row>
        <row r="115">
          <cell r="A115" t="str">
            <v>114-2025</v>
          </cell>
          <cell r="B115" t="str">
            <v>SUMINISTROS</v>
          </cell>
          <cell r="C115" t="str">
            <v>BIOPLAST S.A.S</v>
          </cell>
          <cell r="D115" t="str">
            <v>NIT</v>
          </cell>
          <cell r="E115">
            <v>830040574</v>
          </cell>
          <cell r="F115">
            <v>8</v>
          </cell>
          <cell r="G115" t="str">
            <v>BIONEXO</v>
          </cell>
          <cell r="H115">
            <v>2</v>
          </cell>
          <cell r="I115" t="str">
            <v>EL CONTRATISTA SE OBLIGA AL SUMINISTRO DEL MATERIAL MEDICO QUIRURGICO EN LAS CANTIDADES ESTABLECIDAS EN EL ANEXO 1, EL CUAL HACE PARTE INTEGRAL DEL CONTRATO.</v>
          </cell>
          <cell r="J115">
            <v>3</v>
          </cell>
          <cell r="K115" t="str">
            <v>$22.485.091,30</v>
          </cell>
          <cell r="L115">
            <v>45728</v>
          </cell>
          <cell r="M115">
            <v>45777</v>
          </cell>
          <cell r="N115" t="str">
            <v xml:space="preserve">	NENA DEL CARMEN RAMIREZ RAMIREZ</v>
          </cell>
          <cell r="O115">
            <v>30732589</v>
          </cell>
          <cell r="P115" t="str">
            <v>gerencia@bioplast.co</v>
          </cell>
          <cell r="Q115">
            <v>45700</v>
          </cell>
          <cell r="R115" t="str">
            <v>ALEXANDER YELA</v>
          </cell>
          <cell r="U115" t="str">
            <v>CELEBRADO</v>
          </cell>
          <cell r="W115" t="str">
            <v>2025-0095</v>
          </cell>
          <cell r="X115" t="str">
            <v>2025-0212</v>
          </cell>
          <cell r="AJ115">
            <v>2</v>
          </cell>
          <cell r="AK115">
            <v>0</v>
          </cell>
          <cell r="AL115">
            <v>2</v>
          </cell>
          <cell r="AM115" t="str">
            <v>$22.485.091,30</v>
          </cell>
        </row>
        <row r="116">
          <cell r="A116" t="str">
            <v>115-2025</v>
          </cell>
          <cell r="B116" t="str">
            <v>PRESTACION DE SERVICIOS</v>
          </cell>
          <cell r="C116" t="str">
            <v>ANGIE SOFIA ENRIQUEZ PEREZ</v>
          </cell>
          <cell r="D116" t="str">
            <v>CC</v>
          </cell>
          <cell r="E116">
            <v>1085341162</v>
          </cell>
          <cell r="F116">
            <v>8</v>
          </cell>
          <cell r="G116" t="str">
            <v xml:space="preserve">CONTRATACION DIRECTA </v>
          </cell>
          <cell r="H116">
            <v>1</v>
          </cell>
          <cell r="I116" t="str">
            <v>EL CONTRATISTA SE COMPROMETE PARA CON LA EMPRESA SOCIAL DEL ESTADO PASTO SALUD ESE A PRESTAR SUS SERVICIOS COMO TECNOLOGO EN PROMOCION DE LA SALUD PARA APOYAR LAS ACTIVIDADES CONTEMPLADAS EN LA PROBLEMATICA DE MORBI MORTALIDAD DETERMINANTES AMBIENTALES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6">
            <v>1</v>
          </cell>
          <cell r="K116" t="str">
            <v>$4.000.000,00</v>
          </cell>
          <cell r="L116">
            <v>45700</v>
          </cell>
          <cell r="M116">
            <v>45747</v>
          </cell>
          <cell r="N116" t="str">
            <v xml:space="preserve">	OSCAR MIGUEL GOYES CABRERA</v>
          </cell>
          <cell r="O116">
            <v>87711882</v>
          </cell>
          <cell r="P116" t="str">
            <v>SOFIAENRIQUEZ140@GMAIL.COM</v>
          </cell>
          <cell r="Q116">
            <v>45700</v>
          </cell>
          <cell r="R116" t="str">
            <v>JUAN GOMEZ</v>
          </cell>
          <cell r="U116" t="str">
            <v>CELEBRADO</v>
          </cell>
          <cell r="W116" t="str">
            <v>2025-0127</v>
          </cell>
          <cell r="X116" t="str">
            <v>2025-0213</v>
          </cell>
          <cell r="AJ116">
            <v>2</v>
          </cell>
          <cell r="AK116">
            <v>0</v>
          </cell>
          <cell r="AL116">
            <v>3</v>
          </cell>
          <cell r="AM116" t="str">
            <v>$4.000.000,00</v>
          </cell>
        </row>
        <row r="117">
          <cell r="A117" t="str">
            <v>116-2025</v>
          </cell>
          <cell r="B117" t="str">
            <v>PRESTACION DE SERVICIOS</v>
          </cell>
          <cell r="C117" t="str">
            <v>JORGE ALFONSO ALAVA JARRIN</v>
          </cell>
          <cell r="D117" t="str">
            <v>CC</v>
          </cell>
          <cell r="E117">
            <v>98137664</v>
          </cell>
          <cell r="F117">
            <v>6</v>
          </cell>
          <cell r="G117" t="str">
            <v xml:space="preserve">CONTRATACION DIRECTA </v>
          </cell>
          <cell r="H117">
            <v>1</v>
          </cell>
          <cell r="I117" t="str">
            <v>EL CONTRATISTA SE COMPROMETE PARA CON LA EMPRESA SOCIAL DEL ESTADO PASTO SALUD ESE A PRESTAR SUS SERVICIOS COMO SOCIOLOGO PARA APOYAR LAS ACTIVIDADES CONTEMPLADAS EN LA PROBLEMATICA DE DEFICIENTE RESOLUTIVIDAD GDPE, ESPECIALMENTE AQUELLOS RELACIONADOS CON EL TRABAJO CON GRUPOS ETNICOS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7">
            <v>1</v>
          </cell>
          <cell r="K117" t="str">
            <v>$6.480.000,00</v>
          </cell>
          <cell r="L117">
            <v>45700</v>
          </cell>
          <cell r="M117">
            <v>45747</v>
          </cell>
          <cell r="N117" t="str">
            <v xml:space="preserve">	OSCAR MIGUEL GOYES CABRERA</v>
          </cell>
          <cell r="O117">
            <v>87711882</v>
          </cell>
          <cell r="P117" t="str">
            <v>jaalava07@gmail.com</v>
          </cell>
          <cell r="Q117">
            <v>45700</v>
          </cell>
          <cell r="R117" t="str">
            <v>ELIANA BENAVIDES</v>
          </cell>
          <cell r="U117" t="str">
            <v>CELEBRADO</v>
          </cell>
          <cell r="W117" t="str">
            <v>2025-0127</v>
          </cell>
          <cell r="X117" t="str">
            <v>2025-0214</v>
          </cell>
          <cell r="AJ117">
            <v>2</v>
          </cell>
          <cell r="AK117">
            <v>0</v>
          </cell>
          <cell r="AL117">
            <v>3</v>
          </cell>
          <cell r="AM117" t="str">
            <v xml:space="preserve"> $6.480.000,00</v>
          </cell>
        </row>
        <row r="118">
          <cell r="A118" t="str">
            <v>117-2025</v>
          </cell>
          <cell r="B118" t="str">
            <v>PRESTACION DE SERVICIOS</v>
          </cell>
          <cell r="C118" t="str">
            <v>FREDY ANDRES PORTILLA ESPAÑA</v>
          </cell>
          <cell r="D118" t="str">
            <v>CC</v>
          </cell>
          <cell r="E118">
            <v>87065813</v>
          </cell>
          <cell r="F118">
            <v>7</v>
          </cell>
          <cell r="G118" t="str">
            <v xml:space="preserve">CONTRATACION DIRECTA </v>
          </cell>
          <cell r="H118">
            <v>1</v>
          </cell>
          <cell r="I118" t="str">
            <v>EL CONTRATISTA SE COMPROMETE PARA CON LA EMPRESA SOCIAL DEL ESTADO PASTO SALUD ESE A PRESTAR SUS SERVICIOS COMO DISEÑADOR GRAFICO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8">
            <v>1</v>
          </cell>
          <cell r="K118" t="str">
            <v>$6.480.000,00</v>
          </cell>
          <cell r="L118">
            <v>45700</v>
          </cell>
          <cell r="M118">
            <v>45747</v>
          </cell>
          <cell r="N118" t="str">
            <v>OSCAR MIGUEL GOYES CABRERA</v>
          </cell>
          <cell r="O118">
            <v>87711882</v>
          </cell>
          <cell r="P118" t="str">
            <v>fredy0720@gmail.com</v>
          </cell>
          <cell r="Q118">
            <v>45700</v>
          </cell>
          <cell r="R118" t="str">
            <v>ELIANA BENAVIDES</v>
          </cell>
          <cell r="U118" t="str">
            <v>CELEBRADO</v>
          </cell>
          <cell r="W118" t="str">
            <v>2025-0127</v>
          </cell>
          <cell r="X118" t="str">
            <v>2025-0215</v>
          </cell>
          <cell r="AJ118">
            <v>2</v>
          </cell>
          <cell r="AK118">
            <v>0</v>
          </cell>
          <cell r="AL118">
            <v>3</v>
          </cell>
          <cell r="AM118" t="str">
            <v>$6.480.000,00</v>
          </cell>
        </row>
        <row r="119">
          <cell r="A119" t="str">
            <v>118-2025</v>
          </cell>
          <cell r="B119" t="str">
            <v>PRESTACION DE SERVICIOS</v>
          </cell>
          <cell r="C119" t="str">
            <v>ALEXANDRA MILENA GUERRA ROSERO</v>
          </cell>
          <cell r="D119" t="str">
            <v>CC</v>
          </cell>
          <cell r="E119">
            <v>1085318152</v>
          </cell>
          <cell r="F119">
            <v>8</v>
          </cell>
          <cell r="G119" t="str">
            <v xml:space="preserve">CONTRATACION DIRECTA </v>
          </cell>
          <cell r="H119">
            <v>1</v>
          </cell>
          <cell r="I119" t="str">
            <v>EL CONTRATISTA SE COMPROMETE PARA CON LA EMPRESA SOCIAL DEL ESTADO PASTO SALUD ESE A PRESTAR SUS SERVICIOS COMO TECNOLOGO EN PROMOCION DE LA SALUD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19">
            <v>1</v>
          </cell>
          <cell r="K119" t="str">
            <v>$4.000.000,00</v>
          </cell>
          <cell r="L119">
            <v>45700</v>
          </cell>
          <cell r="M119">
            <v>45747</v>
          </cell>
          <cell r="N119" t="str">
            <v>OSCAR MIGUEL GOYES CABRERA</v>
          </cell>
          <cell r="O119">
            <v>87711882</v>
          </cell>
          <cell r="P119" t="str">
            <v>milena_agr24@hotmail.com</v>
          </cell>
          <cell r="Q119">
            <v>45700</v>
          </cell>
          <cell r="R119" t="str">
            <v>RODRIGO ROSERO</v>
          </cell>
          <cell r="U119" t="str">
            <v>CELEBRADO</v>
          </cell>
          <cell r="W119" t="str">
            <v>2025-0127</v>
          </cell>
          <cell r="X119" t="str">
            <v>2025-0209</v>
          </cell>
          <cell r="AJ119">
            <v>2</v>
          </cell>
          <cell r="AK119">
            <v>0</v>
          </cell>
          <cell r="AL119">
            <v>3</v>
          </cell>
          <cell r="AM119" t="str">
            <v xml:space="preserve"> $4.000.000,00</v>
          </cell>
        </row>
        <row r="120">
          <cell r="A120" t="str">
            <v>119-2025</v>
          </cell>
          <cell r="B120" t="str">
            <v>PRESTACION DE SERVICIOS</v>
          </cell>
          <cell r="C120" t="str">
            <v>LUZ MARICEL CAMPAÑA MURIEL</v>
          </cell>
          <cell r="D120" t="str">
            <v>CC</v>
          </cell>
          <cell r="E120">
            <v>30746862</v>
          </cell>
          <cell r="F120">
            <v>3</v>
          </cell>
          <cell r="G120" t="str">
            <v xml:space="preserve">CONTRATACION DIRECTA </v>
          </cell>
          <cell r="H120">
            <v>1</v>
          </cell>
          <cell r="I120" t="str">
            <v>EL CONTRATISTA SE COMPROMETE PARA CON LA EMPRESA SOCIAL DEL ESTADO PASTO SALUD ESE A PRESTAR SUS SERVICIOS COMO PROFESIONAL EN SST YO PROFESIONAL EN SALUD, CIENCIAS HUMANAS CON ESPECIALIZACION EN SST PARA APOYAR LAS ACTIVIDADES CONTEMPLADAS EN LA PROBLEMATICA DE AMBITO LABORAL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0">
            <v>1</v>
          </cell>
          <cell r="K120" t="str">
            <v>$6.480.000,00</v>
          </cell>
          <cell r="L120">
            <v>45701</v>
          </cell>
          <cell r="M120">
            <v>45747</v>
          </cell>
          <cell r="N120" t="str">
            <v xml:space="preserve">	OSCAR MIGUEL GOYES CABRERA</v>
          </cell>
          <cell r="O120">
            <v>87711882</v>
          </cell>
          <cell r="P120" t="str">
            <v>mariselcam25@gmail.com</v>
          </cell>
          <cell r="Q120">
            <v>45701</v>
          </cell>
          <cell r="R120" t="str">
            <v>NATALIA ERAZO</v>
          </cell>
          <cell r="U120" t="str">
            <v>CELEBRADO</v>
          </cell>
          <cell r="W120" t="str">
            <v>2025-0127</v>
          </cell>
          <cell r="X120" t="str">
            <v>2025-0216</v>
          </cell>
          <cell r="AJ120">
            <v>2</v>
          </cell>
          <cell r="AK120">
            <v>0</v>
          </cell>
          <cell r="AL120">
            <v>3</v>
          </cell>
          <cell r="AM120" t="str">
            <v>$6.480.000,00</v>
          </cell>
        </row>
        <row r="121">
          <cell r="A121" t="str">
            <v>120-2025</v>
          </cell>
          <cell r="B121" t="str">
            <v>PRESTACION DE SERVICIOS</v>
          </cell>
          <cell r="C121" t="str">
            <v>PAOLA ANDREA SUESCA BUITRAGO</v>
          </cell>
          <cell r="D121" t="str">
            <v>CC</v>
          </cell>
          <cell r="E121">
            <v>52963413</v>
          </cell>
          <cell r="F121">
            <v>1</v>
          </cell>
          <cell r="G121" t="str">
            <v xml:space="preserve">CONTRATACION DIRECTA </v>
          </cell>
          <cell r="H121">
            <v>1</v>
          </cell>
          <cell r="I121" t="str">
            <v>EL CONTRATISTA SE COMPROMETE PARA CON LA EMPRESA SOCIAL DEL ESTADO PASTO SALUD ESE A PRESTAR SUS SERVICIOS COMO PRODUCTOR AUDIO VISUAL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1">
            <v>1</v>
          </cell>
          <cell r="K121" t="str">
            <v>$6.480.000,00</v>
          </cell>
          <cell r="L121">
            <v>45701</v>
          </cell>
          <cell r="M121">
            <v>45747</v>
          </cell>
          <cell r="N121" t="str">
            <v>OSCAR MIGUEL GOYES CABRERA</v>
          </cell>
          <cell r="O121">
            <v>87711882</v>
          </cell>
          <cell r="P121" t="str">
            <v>paolaandreasuesca@gmail.com</v>
          </cell>
          <cell r="Q121">
            <v>45701</v>
          </cell>
          <cell r="R121" t="str">
            <v>NATALIA ERAZO</v>
          </cell>
          <cell r="U121" t="str">
            <v>CELEBRADO</v>
          </cell>
          <cell r="W121" t="str">
            <v>2025-0127</v>
          </cell>
          <cell r="X121" t="str">
            <v>2025-0217</v>
          </cell>
          <cell r="AJ121">
            <v>2</v>
          </cell>
          <cell r="AK121">
            <v>0</v>
          </cell>
          <cell r="AL121">
            <v>3</v>
          </cell>
          <cell r="AM121" t="str">
            <v>$6.480.000,00</v>
          </cell>
        </row>
        <row r="122">
          <cell r="A122" t="str">
            <v>121-2025</v>
          </cell>
          <cell r="B122" t="str">
            <v>PRESTACION DE SERVICIOS</v>
          </cell>
          <cell r="C122" t="str">
            <v>AMANDA ZORAIDA ANDRADE</v>
          </cell>
          <cell r="D122" t="str">
            <v>CC</v>
          </cell>
          <cell r="E122">
            <v>59818886</v>
          </cell>
          <cell r="F122">
            <v>5</v>
          </cell>
          <cell r="G122" t="str">
            <v xml:space="preserve">CONTRATACION DIRECTA </v>
          </cell>
          <cell r="H122">
            <v>1</v>
          </cell>
          <cell r="I122" t="str">
            <v>EL CONTRATISTA SE COMPROMETE PARA CON LA EMPRESA SOCIAL DEL ESTADO PASTO SALUD ESE A PRESTAR SUS SERVICIOS COMO PSICOLOGO PARA APOYAR LAS ACTIVIDADES CONTEMPLADAS EN LA PROBLEMATICA DE DEFICIENTE RESOLUTIVIDAD GDPE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2">
            <v>1</v>
          </cell>
          <cell r="K122" t="str">
            <v>$6.480.000,00</v>
          </cell>
          <cell r="L122">
            <v>45701</v>
          </cell>
          <cell r="M122">
            <v>45747</v>
          </cell>
          <cell r="N122" t="str">
            <v>OSCAR MIGUEL GOYES CABRERA</v>
          </cell>
          <cell r="O122">
            <v>87711882</v>
          </cell>
          <cell r="P122" t="str">
            <v>amandacooperacion2023@gmail.com</v>
          </cell>
          <cell r="Q122">
            <v>45701</v>
          </cell>
          <cell r="R122" t="str">
            <v>NATALIA ERAZO</v>
          </cell>
          <cell r="U122" t="str">
            <v>CELEBRADO</v>
          </cell>
          <cell r="W122" t="str">
            <v>2025-0127</v>
          </cell>
          <cell r="X122" t="str">
            <v>2025-218</v>
          </cell>
          <cell r="AJ122">
            <v>2</v>
          </cell>
          <cell r="AK122">
            <v>0</v>
          </cell>
          <cell r="AL122">
            <v>3</v>
          </cell>
          <cell r="AM122" t="str">
            <v>$6.480.000,00</v>
          </cell>
        </row>
        <row r="123">
          <cell r="A123" t="str">
            <v>122-2025</v>
          </cell>
          <cell r="B123" t="str">
            <v>PRESTACION DE SERVICIOS</v>
          </cell>
          <cell r="C123" t="str">
            <v>ROLANDO PALACIOS DELGADO</v>
          </cell>
          <cell r="D123" t="str">
            <v>CC</v>
          </cell>
          <cell r="E123">
            <v>87246930</v>
          </cell>
          <cell r="F123">
            <v>8</v>
          </cell>
          <cell r="G123" t="str">
            <v xml:space="preserve">CONTRATACION DIRECTA </v>
          </cell>
          <cell r="H123">
            <v>1</v>
          </cell>
          <cell r="I123" t="str">
            <v>EL CONTRATISTA SE COMPROMETE PARA CON LA EMPRESA SOCIAL DEL ESTADO PASTO SALUD ESE A PRESTAR SUS SERVICIOS COMO LICENCIADO EN ARTES YO MAESTRO EN ARTES VISUALES PARA APOYAR LAS ACTIVIDADES CONTEMPLADAS EN LA PROBLEMATICA DE MAL NUTRICION HEVS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v>
          </cell>
          <cell r="J123">
            <v>1</v>
          </cell>
          <cell r="K123" t="str">
            <v xml:space="preserve"> $6.480.000,00</v>
          </cell>
          <cell r="L123">
            <v>45701</v>
          </cell>
          <cell r="M123">
            <v>45747</v>
          </cell>
          <cell r="N123" t="str">
            <v xml:space="preserve">	OSCAR MIGUEL GOYES CABRERA</v>
          </cell>
          <cell r="O123">
            <v>87711882</v>
          </cell>
          <cell r="P123" t="str">
            <v>ropade72@gmail.com</v>
          </cell>
          <cell r="Q123">
            <v>45701</v>
          </cell>
          <cell r="R123" t="str">
            <v>ALEXANDER YELA</v>
          </cell>
          <cell r="U123" t="str">
            <v>CELEBRADO</v>
          </cell>
          <cell r="W123" t="str">
            <v>2025-0127</v>
          </cell>
          <cell r="X123" t="str">
            <v>2025-0219</v>
          </cell>
          <cell r="AJ123">
            <v>2</v>
          </cell>
          <cell r="AK123">
            <v>0</v>
          </cell>
          <cell r="AL123">
            <v>3</v>
          </cell>
          <cell r="AM123" t="str">
            <v>$6.480.000,00</v>
          </cell>
        </row>
        <row r="124">
          <cell r="A124" t="str">
            <v>123-2025</v>
          </cell>
          <cell r="B124" t="str">
            <v>SUMINISTROS</v>
          </cell>
          <cell r="C124" t="str">
            <v>GRUPO DAO S.A.S</v>
          </cell>
          <cell r="D124" t="str">
            <v>NIT</v>
          </cell>
          <cell r="E124">
            <v>817004260</v>
          </cell>
          <cell r="F124">
            <v>0</v>
          </cell>
          <cell r="G124" t="str">
            <v>BIONEXO</v>
          </cell>
          <cell r="H124">
            <v>2</v>
          </cell>
          <cell r="I124" t="str">
            <v>EL CONTRATISTA SE OBLIGA AL SUMINISTRO DEL MATERIAL MEDICO QUIRURGICO EN LAS CANTIDADES ESTABLECIDAS EN EL ANEXO 1, EL CUAL HACE PARTE INTEGRAL DEL CONTRATO. PARA LA ESE PASTO SALUD.</v>
          </cell>
          <cell r="J124">
            <v>3</v>
          </cell>
          <cell r="K124" t="str">
            <v>$9.530.026,50</v>
          </cell>
          <cell r="L124">
            <v>45702</v>
          </cell>
          <cell r="M124">
            <v>45777</v>
          </cell>
          <cell r="N124" t="str">
            <v xml:space="preserve">	NENA DEL CARMEN RAMIREZ RAMIREZ</v>
          </cell>
          <cell r="O124">
            <v>30732589</v>
          </cell>
          <cell r="P124" t="str">
            <v>facturacionelectronica@dao.com.co</v>
          </cell>
          <cell r="Q124">
            <v>45702</v>
          </cell>
          <cell r="R124" t="str">
            <v>JUAN GOMEZ</v>
          </cell>
          <cell r="U124" t="str">
            <v>CELEBRADO</v>
          </cell>
          <cell r="W124" t="str">
            <v>2025-0095</v>
          </cell>
          <cell r="X124" t="str">
            <v>2025-0220</v>
          </cell>
          <cell r="AJ124">
            <v>2</v>
          </cell>
          <cell r="AK124">
            <v>0</v>
          </cell>
          <cell r="AL124">
            <v>2</v>
          </cell>
          <cell r="AM124" t="str">
            <v>$9.530.026,50</v>
          </cell>
        </row>
        <row r="125">
          <cell r="A125" t="str">
            <v>124-2025</v>
          </cell>
          <cell r="B125" t="str">
            <v>SUMINISTROS</v>
          </cell>
          <cell r="C125" t="str">
            <v>FUERTES MEJIA MEDICAMENTOS Y DISPOSITIVOS MEDICOS SAS</v>
          </cell>
          <cell r="D125" t="str">
            <v>NIT</v>
          </cell>
          <cell r="E125">
            <v>901565478</v>
          </cell>
          <cell r="F125">
            <v>1</v>
          </cell>
          <cell r="G125" t="str">
            <v>BIONEXO</v>
          </cell>
          <cell r="H125">
            <v>2</v>
          </cell>
          <cell r="I125" t="str">
            <v>EL CONTRATISTA SE OBLIGA AL SUMINISTRO DEL MATERIAL MEDICO QUIRURGICO EN LAS CANTIDADES ESTABLECIDAS EN EL ANEXO 1, EL CUAL HACE PARTE INTEGRAL DEL CONTRATO. PARA LA ESE PASTO SALUD.</v>
          </cell>
          <cell r="J125">
            <v>3</v>
          </cell>
          <cell r="K125" t="str">
            <v>$17.456.451,50</v>
          </cell>
          <cell r="L125">
            <v>45702</v>
          </cell>
          <cell r="M125">
            <v>45777</v>
          </cell>
          <cell r="N125" t="str">
            <v xml:space="preserve">	NENA DEL CARMEN RAMIREZ RAMIREZ</v>
          </cell>
          <cell r="O125">
            <v>30732589</v>
          </cell>
          <cell r="P125" t="str">
            <v>contabilidad@fuertesmejia.com.co</v>
          </cell>
          <cell r="Q125">
            <v>45702</v>
          </cell>
          <cell r="R125" t="str">
            <v>NATALIA ERAZO</v>
          </cell>
          <cell r="U125" t="str">
            <v>CELEBRADO</v>
          </cell>
          <cell r="W125" t="str">
            <v>2025-0095</v>
          </cell>
          <cell r="X125" t="str">
            <v>2025-0221</v>
          </cell>
          <cell r="AJ125">
            <v>2</v>
          </cell>
          <cell r="AK125">
            <v>0</v>
          </cell>
          <cell r="AL125">
            <v>2</v>
          </cell>
          <cell r="AM125" t="str">
            <v>$17.456.451,50</v>
          </cell>
        </row>
        <row r="126">
          <cell r="A126" t="str">
            <v>125-2025</v>
          </cell>
          <cell r="B126" t="str">
            <v>PRESTACION DE SERVICIOS</v>
          </cell>
          <cell r="C126" t="str">
            <v>MARITZA MERCEDES SERRALDE PEREIRA</v>
          </cell>
          <cell r="D126" t="str">
            <v>CC</v>
          </cell>
          <cell r="E126">
            <v>59312209</v>
          </cell>
          <cell r="F126">
            <v>6</v>
          </cell>
          <cell r="G126" t="str">
            <v xml:space="preserve">CONTRATACION DIRECTA </v>
          </cell>
          <cell r="H126">
            <v>1</v>
          </cell>
          <cell r="I126" t="str">
            <v>EL CONTRATISTA SE COMPROMETE PARA CON LA EMPRESA SOCIAL DEL ESTADO PASTO SALUD ESE A PRESTAR SUS SERVICIOS COMO TECNOLOGO EN PROMOCION DE LA SALUD PARA APOYAR LAS ACTIVIDADES CONTEMPLADAS EN LA PROBLEMATICA DE MORBI MORTALIDAD ENFERMEDADES TRANSMISIBLES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6">
            <v>1</v>
          </cell>
          <cell r="K126" t="str">
            <v>$4.000.000,00</v>
          </cell>
          <cell r="L126">
            <v>45705</v>
          </cell>
          <cell r="M126">
            <v>45747</v>
          </cell>
          <cell r="N126" t="str">
            <v xml:space="preserve">	OSCAR MIGUEL GOYES CABRERA</v>
          </cell>
          <cell r="O126">
            <v>87711882</v>
          </cell>
          <cell r="P126" t="str">
            <v>maritzasarralde356@gmail.com</v>
          </cell>
          <cell r="Q126">
            <v>45705</v>
          </cell>
          <cell r="R126" t="str">
            <v>ELIANA BENAVIDES</v>
          </cell>
          <cell r="U126" t="str">
            <v>CELEBRADO</v>
          </cell>
          <cell r="W126" t="str">
            <v>2025-0127</v>
          </cell>
          <cell r="X126" t="str">
            <v>2025-0238</v>
          </cell>
          <cell r="AJ126">
            <v>2</v>
          </cell>
          <cell r="AK126">
            <v>0</v>
          </cell>
          <cell r="AL126">
            <v>3</v>
          </cell>
          <cell r="AM126" t="str">
            <v>$4.000.000,00</v>
          </cell>
        </row>
        <row r="127">
          <cell r="A127" t="str">
            <v>126-2025</v>
          </cell>
          <cell r="B127" t="str">
            <v>PRESTACION DE SERVICIOS</v>
          </cell>
          <cell r="C127" t="str">
            <v>JOHN EDISSON BRAVO BOTINA</v>
          </cell>
          <cell r="D127" t="str">
            <v>CC</v>
          </cell>
          <cell r="E127">
            <v>1085279124</v>
          </cell>
          <cell r="F127">
            <v>3</v>
          </cell>
          <cell r="G127" t="str">
            <v xml:space="preserve">CONTRATACION DIRECTA </v>
          </cell>
          <cell r="H127">
            <v>1</v>
          </cell>
          <cell r="I127" t="str">
            <v>EL CONTRATISTA SE COMPROMETE PARA CON LA EMPRESA SOCIAL DEL ESTADO PASTO SALUD ESE A PRESTAR SUS SERVICIOS COMO TECNOLOGO EN PROMOCION DE LA SALUD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7">
            <v>1</v>
          </cell>
          <cell r="K127" t="str">
            <v>$4.000.000,00</v>
          </cell>
          <cell r="L127">
            <v>45705</v>
          </cell>
          <cell r="M127">
            <v>45747</v>
          </cell>
          <cell r="N127" t="str">
            <v>OSCAR MIGUEL GOYES CABRERA</v>
          </cell>
          <cell r="O127">
            <v>87711882</v>
          </cell>
          <cell r="P127" t="str">
            <v>bravobotina@gmail.com</v>
          </cell>
          <cell r="Q127">
            <v>45705</v>
          </cell>
          <cell r="R127" t="str">
            <v>NATALIA ERAZO</v>
          </cell>
          <cell r="U127" t="str">
            <v>CELEBRADO</v>
          </cell>
          <cell r="W127" t="str">
            <v>2025-0127</v>
          </cell>
          <cell r="X127" t="str">
            <v>2025-0239</v>
          </cell>
          <cell r="AJ127">
            <v>2</v>
          </cell>
          <cell r="AK127">
            <v>0</v>
          </cell>
          <cell r="AL127">
            <v>3</v>
          </cell>
          <cell r="AM127" t="str">
            <v>$4.000.000,00</v>
          </cell>
        </row>
        <row r="128">
          <cell r="A128" t="str">
            <v>127-2025</v>
          </cell>
          <cell r="B128" t="str">
            <v>PRESTACION DE SERVICIOS</v>
          </cell>
          <cell r="C128" t="str">
            <v>DIEGO ARMANDO BENAVIDES OBANDO</v>
          </cell>
          <cell r="D128" t="str">
            <v>CC</v>
          </cell>
          <cell r="E128">
            <v>1085310456</v>
          </cell>
          <cell r="F128">
            <v>5</v>
          </cell>
          <cell r="G128" t="str">
            <v xml:space="preserve">CONTRATACION DIRECTA </v>
          </cell>
          <cell r="H128">
            <v>1</v>
          </cell>
          <cell r="I128" t="str">
            <v>EL CONTRATISTA SE COMPROMETE PARA CON LA EMPRESA SOCIAL DEL ESTADO PASTO SALUD ESE A PRESTAR SUS SERVICIOS COMO LICENCIADO EN ARTES YO MAESTRO EN ARTES VISUALES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28">
            <v>1</v>
          </cell>
          <cell r="K128" t="str">
            <v xml:space="preserve"> $6.480.000,00</v>
          </cell>
          <cell r="L128">
            <v>45705</v>
          </cell>
          <cell r="M128">
            <v>45747</v>
          </cell>
          <cell r="N128" t="str">
            <v>OSCAR MIGUEL GOYES CABRERA</v>
          </cell>
          <cell r="O128">
            <v>87711882</v>
          </cell>
          <cell r="P128" t="str">
            <v>Diegobenavides2710@gmail.com</v>
          </cell>
          <cell r="Q128">
            <v>45705</v>
          </cell>
          <cell r="R128" t="str">
            <v>CRISTINA ROSERO</v>
          </cell>
          <cell r="U128" t="str">
            <v>CELEBRADO</v>
          </cell>
          <cell r="W128" t="str">
            <v>2025-0127</v>
          </cell>
          <cell r="X128" t="str">
            <v>2025-0240</v>
          </cell>
          <cell r="AJ128">
            <v>2</v>
          </cell>
          <cell r="AK128">
            <v>0</v>
          </cell>
          <cell r="AL128">
            <v>3</v>
          </cell>
          <cell r="AM128" t="str">
            <v>$6.480.000,00</v>
          </cell>
        </row>
        <row r="129">
          <cell r="A129" t="str">
            <v>128-2025</v>
          </cell>
          <cell r="B129" t="str">
            <v>PRESTACION DE SERVICIOS</v>
          </cell>
          <cell r="C129" t="str">
            <v>DANIELA FERNANDA ERASO VALENCIA</v>
          </cell>
          <cell r="D129" t="str">
            <v>CC</v>
          </cell>
          <cell r="E129">
            <v>1085275879</v>
          </cell>
          <cell r="F129">
            <v>7</v>
          </cell>
          <cell r="G129" t="str">
            <v xml:space="preserve">CONTRATACION DIRECTA </v>
          </cell>
          <cell r="H129">
            <v>1</v>
          </cell>
          <cell r="I129" t="str">
            <v>EL CONTRATISTA SE COMPROMETE PARA CON LA EMPRESA SOCIAL DEL ESTADO PASTO SALUD ESE A PRESTAR SUS SERVICIOS COMO ENFERMERA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v>
          </cell>
          <cell r="J129">
            <v>1</v>
          </cell>
          <cell r="K129" t="str">
            <v>$6.480.000,00</v>
          </cell>
          <cell r="L129">
            <v>45705</v>
          </cell>
          <cell r="M129">
            <v>45747</v>
          </cell>
          <cell r="N129" t="str">
            <v>OSCAR MIGUEL GOYES CABRERA</v>
          </cell>
          <cell r="O129">
            <v>87711882</v>
          </cell>
          <cell r="P129" t="str">
            <v>danielafervalencia10@gmail.com</v>
          </cell>
          <cell r="Q129">
            <v>45705</v>
          </cell>
          <cell r="R129" t="str">
            <v>ALEXANDER YELA</v>
          </cell>
          <cell r="U129" t="str">
            <v>CELEBRADO</v>
          </cell>
          <cell r="W129" t="str">
            <v>2025-0127</v>
          </cell>
          <cell r="X129" t="str">
            <v>2025-0241</v>
          </cell>
          <cell r="AJ129">
            <v>2</v>
          </cell>
          <cell r="AK129">
            <v>0</v>
          </cell>
          <cell r="AL129">
            <v>3</v>
          </cell>
          <cell r="AM129" t="str">
            <v xml:space="preserve"> $6.480.000,00</v>
          </cell>
        </row>
        <row r="130">
          <cell r="A130" t="str">
            <v>129-2025</v>
          </cell>
          <cell r="B130" t="str">
            <v>PRESTACION DE SERVICIOS</v>
          </cell>
          <cell r="C130" t="str">
            <v>LEYDI VANESSA PALACIOS DELGADO</v>
          </cell>
          <cell r="D130" t="str">
            <v>CC</v>
          </cell>
          <cell r="E130">
            <v>1085336859</v>
          </cell>
          <cell r="F130">
            <v>2</v>
          </cell>
          <cell r="G130" t="str">
            <v xml:space="preserve">CONTRATACION DIRECTA </v>
          </cell>
          <cell r="H130">
            <v>1</v>
          </cell>
          <cell r="I130" t="str">
            <v>EL CONTRATISTA SE COMPROMETE PARA CON LA EMPRESA SOCIAL DEL ESTADO PASTO SALUD ESE A PRESTAR SUS SERVICIOS COMO PSICOLOGO PARA APOYAR LAS ACTIVIDADES CONTEMPLADAS EN LA PROBLEMATICA DE MORBI MORTALIDAD MATERNA SSR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30">
            <v>1</v>
          </cell>
          <cell r="K130" t="str">
            <v>$6.480.000,00</v>
          </cell>
          <cell r="L130">
            <v>45705</v>
          </cell>
          <cell r="M130">
            <v>45747</v>
          </cell>
          <cell r="N130" t="str">
            <v>OSCAR MIGUEL GOYES CABRERA</v>
          </cell>
          <cell r="O130">
            <v>87711882</v>
          </cell>
          <cell r="P130" t="str">
            <v>vpalaciosd@gmail.com</v>
          </cell>
          <cell r="Q130">
            <v>45705</v>
          </cell>
          <cell r="R130" t="str">
            <v>JUAN GOMEZ</v>
          </cell>
          <cell r="U130" t="str">
            <v>CELEBRADO</v>
          </cell>
          <cell r="W130" t="str">
            <v>2025-0127</v>
          </cell>
          <cell r="X130" t="str">
            <v>2025-0242</v>
          </cell>
          <cell r="AJ130">
            <v>2</v>
          </cell>
          <cell r="AK130">
            <v>0</v>
          </cell>
          <cell r="AL130">
            <v>3</v>
          </cell>
          <cell r="AM130" t="str">
            <v>$6.480.000,00</v>
          </cell>
        </row>
        <row r="131">
          <cell r="A131" t="str">
            <v>130-2025</v>
          </cell>
          <cell r="B131" t="str">
            <v>SUMINISTROS</v>
          </cell>
          <cell r="C131" t="str">
            <v>LUMIRA S.A.S</v>
          </cell>
          <cell r="D131" t="str">
            <v>NIT</v>
          </cell>
          <cell r="E131">
            <v>900886644</v>
          </cell>
          <cell r="F131">
            <v>1</v>
          </cell>
          <cell r="G131" t="str">
            <v>BIONEXO</v>
          </cell>
          <cell r="H131">
            <v>2</v>
          </cell>
          <cell r="I131" t="str">
            <v>SUMINISTRO DE REACTIVOS E INSUMOS GENERALES DE LABORATORIO CLINICO PARA LA EMPRESA SOCIAL DEL ESTADO PASTO SALUD E.S.E</v>
          </cell>
          <cell r="J131">
            <v>1</v>
          </cell>
          <cell r="K131" t="str">
            <v xml:space="preserve"> $47.672.000,00</v>
          </cell>
          <cell r="L131">
            <v>45706</v>
          </cell>
          <cell r="M131">
            <v>45838</v>
          </cell>
          <cell r="N131" t="str">
            <v xml:space="preserve">	LAURA XIMENA SANDOVAL REDONDO</v>
          </cell>
          <cell r="O131">
            <v>30400115</v>
          </cell>
          <cell r="P131" t="str">
            <v>lumira@lumira.com.co</v>
          </cell>
          <cell r="Q131">
            <v>45706</v>
          </cell>
          <cell r="R131" t="str">
            <v>CRISTINA ROSERO</v>
          </cell>
          <cell r="U131" t="str">
            <v>CELEBRADO</v>
          </cell>
          <cell r="W131" t="str">
            <v>2025-0133</v>
          </cell>
          <cell r="X131" t="str">
            <v>2025-0243</v>
          </cell>
          <cell r="AJ131">
            <v>2</v>
          </cell>
          <cell r="AK131">
            <v>0</v>
          </cell>
          <cell r="AL131">
            <v>2</v>
          </cell>
          <cell r="AM131" t="str">
            <v xml:space="preserve"> $47.672.000,00</v>
          </cell>
        </row>
        <row r="132">
          <cell r="A132" t="str">
            <v>131-2025</v>
          </cell>
          <cell r="B132" t="str">
            <v>SUMINISTROS</v>
          </cell>
          <cell r="C132" t="str">
            <v>ESPECIALIDADES DIAGNOSTICAS IHR SAS</v>
          </cell>
          <cell r="D132" t="str">
            <v>NIT</v>
          </cell>
          <cell r="E132">
            <v>890325601</v>
          </cell>
          <cell r="F132">
            <v>1</v>
          </cell>
          <cell r="G132" t="str">
            <v>BIONEXO</v>
          </cell>
          <cell r="H132">
            <v>2</v>
          </cell>
          <cell r="I132" t="str">
            <v>SUMINISTRO DE REACTIVOS E INSUMOS GENERALES DE LABORATORIO CLINICO PARA LA EMPRESA SOCIAL DEL ESTADO PASTO SALUD E.S.E.</v>
          </cell>
          <cell r="J132">
            <v>1</v>
          </cell>
          <cell r="K132" t="str">
            <v>$89.708.642,00</v>
          </cell>
          <cell r="L132">
            <v>45706</v>
          </cell>
          <cell r="M132">
            <v>45838</v>
          </cell>
          <cell r="N132" t="str">
            <v xml:space="preserve">	LAURA XIMENA SANDOVAL REDONDO</v>
          </cell>
          <cell r="O132">
            <v>30400115</v>
          </cell>
          <cell r="P132" t="str">
            <v>contabilidad@ediagnosticas.com</v>
          </cell>
          <cell r="Q132">
            <v>45706</v>
          </cell>
          <cell r="R132" t="str">
            <v>ALEXANDER YELA</v>
          </cell>
          <cell r="U132" t="str">
            <v>CELEBRADO</v>
          </cell>
          <cell r="W132" t="str">
            <v>2025-0133</v>
          </cell>
          <cell r="X132" t="str">
            <v>2025-0244</v>
          </cell>
          <cell r="AJ132">
            <v>2</v>
          </cell>
          <cell r="AK132">
            <v>0</v>
          </cell>
          <cell r="AL132">
            <v>2</v>
          </cell>
          <cell r="AM132" t="str">
            <v>$89.708.642,00</v>
          </cell>
        </row>
        <row r="133">
          <cell r="A133" t="str">
            <v>132-2025</v>
          </cell>
          <cell r="B133" t="str">
            <v>SUMINISTROS</v>
          </cell>
          <cell r="C133" t="str">
            <v>OPERANDO MEDICOS Y QUIRURGICOS</v>
          </cell>
          <cell r="D133" t="str">
            <v>NIT</v>
          </cell>
          <cell r="E133">
            <v>900319471</v>
          </cell>
          <cell r="F133">
            <v>1</v>
          </cell>
          <cell r="G133" t="str">
            <v>BIONEXO</v>
          </cell>
          <cell r="H133">
            <v>2</v>
          </cell>
          <cell r="I133" t="str">
            <v>EL CONTRATISTA SE OBLIGA AL SUMINISTRO DEL MATERIAL MEDICO QUIRURGICO EN LAS CANTIDADES ESTABLECIDAS EN EL ANEXO 1, EL CUAL HACE PARTE INTEGRAL DEL CONTRATO. PARA LA ESE PASTO SALUD.</v>
          </cell>
          <cell r="J133">
            <v>3</v>
          </cell>
          <cell r="K133" t="str">
            <v>$5.607.851,00</v>
          </cell>
          <cell r="L133">
            <v>45706</v>
          </cell>
          <cell r="M133">
            <v>45777</v>
          </cell>
          <cell r="N133" t="str">
            <v xml:space="preserve">	NENA DEL CARMEN RAMIREZ RAMIREZ</v>
          </cell>
          <cell r="O133">
            <v>30732589</v>
          </cell>
          <cell r="P133" t="str">
            <v>administracion@operandosa.com</v>
          </cell>
          <cell r="Q133">
            <v>45706</v>
          </cell>
          <cell r="R133" t="str">
            <v>JUAN GOMEZ</v>
          </cell>
          <cell r="U133" t="str">
            <v>CELEBRADO</v>
          </cell>
          <cell r="W133" t="str">
            <v>2025-0095</v>
          </cell>
          <cell r="X133" t="str">
            <v>2025-0245</v>
          </cell>
          <cell r="AJ133">
            <v>2</v>
          </cell>
          <cell r="AK133">
            <v>0</v>
          </cell>
          <cell r="AL133">
            <v>2</v>
          </cell>
          <cell r="AM133" t="str">
            <v xml:space="preserve"> $5.607.851,00</v>
          </cell>
        </row>
        <row r="134">
          <cell r="A134" t="str">
            <v>133-2025</v>
          </cell>
          <cell r="B134" t="str">
            <v>PRESTACION DE SERVICIOS</v>
          </cell>
          <cell r="C134" t="str">
            <v>FANNY DANIELA BASTIDAS CHALAPUD (VOLCA TOURS)</v>
          </cell>
          <cell r="D134" t="str">
            <v>CC</v>
          </cell>
          <cell r="E134">
            <v>1085308598</v>
          </cell>
          <cell r="F134">
            <v>6</v>
          </cell>
          <cell r="G134" t="str">
            <v xml:space="preserve">CONTRATACION DIRECTA </v>
          </cell>
          <cell r="H134">
            <v>1</v>
          </cell>
          <cell r="I134" t="str">
            <v>CONTRATAR LA PRESTACION DE LOS SERVICIOS DE OPERADOR LOGISTICO PARA EL DESARROLLO DE LAS ACCIONES PEDAGOGICAS, TALLERES, ENCUENTROS, INICIATIVAS, EVENTOS DE CIERRE, EVENTOS MASIVOS, CONMEMORACIONES, MESAS DE TRABAJO, MESAS TERRITORIALES DE SALUD, CUMPLIENDO LAS CONDICIONES NECESARIAS PARA LA IMPLEMENTACION DE LAS ESTRATEGIAS EXIGIDAS EN EL ANEXO TECNICO PSPIC QUE HACE PARTE INTEGRAL DEL CONTRATO INTERADMINISTRATIVO NO. 20250875 DE FECHA 23 DE ENERO DE 2025, SUSCRITO ENTRE LA EMPRESA SOCIAL DEL ESTADO PASTO SALUD ESE Y LA ALCALDIA DE PASTO SECRETARIA MUNICIPAL DE SALUD</v>
          </cell>
          <cell r="J134">
            <v>1</v>
          </cell>
          <cell r="K134" t="str">
            <v>$16.584.596,00</v>
          </cell>
          <cell r="L134">
            <v>45706</v>
          </cell>
          <cell r="M134">
            <v>45747</v>
          </cell>
          <cell r="N134" t="str">
            <v>OSCAR MIGUEL GOYES CABRERA</v>
          </cell>
          <cell r="O134">
            <v>87711882</v>
          </cell>
          <cell r="P134" t="str">
            <v>fdbastidas@hotmail.com</v>
          </cell>
          <cell r="Q134">
            <v>45706</v>
          </cell>
          <cell r="R134" t="str">
            <v>ALEXANDER YELA</v>
          </cell>
          <cell r="U134" t="str">
            <v>CELEBRADO</v>
          </cell>
          <cell r="W134" t="str">
            <v>2025-0139</v>
          </cell>
          <cell r="X134" t="str">
            <v>2025-0246</v>
          </cell>
          <cell r="AJ134">
            <v>2</v>
          </cell>
          <cell r="AK134">
            <v>0</v>
          </cell>
          <cell r="AL134">
            <v>3</v>
          </cell>
          <cell r="AM134" t="str">
            <v>$16.584.596,00</v>
          </cell>
        </row>
        <row r="135">
          <cell r="A135" t="str">
            <v>134-2025</v>
          </cell>
          <cell r="B135" t="str">
            <v>PRESTACION DE SERVICIOS</v>
          </cell>
          <cell r="C135" t="str">
            <v>DANIELA ESTEFANIA VASQUEZ ORDOÑEZ</v>
          </cell>
          <cell r="D135" t="str">
            <v>CC</v>
          </cell>
          <cell r="E135">
            <v>1085342665</v>
          </cell>
          <cell r="F135">
            <v>5</v>
          </cell>
          <cell r="G135" t="str">
            <v xml:space="preserve">CONTRATACION DIRECTA </v>
          </cell>
          <cell r="H135">
            <v>1</v>
          </cell>
          <cell r="I135" t="str">
            <v>PRESTAR SUS SERVICIOS COMO PROFESIONAL ESPECIALIZADO EN EL DESARROLLO E IMPLEMENTACION DE ACCIONES, ACTIVIDADES, PLANES Y ESTRATEGIAS EN LA EJECUCION DEL SISTEMA DE GESTION DE SEGURIDAD Y SALUD EN EL TRABAJO, Y DEMAS ACTIVIDADES QUE SE ADELANTAN EN LA EMPRESA SOCIAL DEL ESTADO PASTO SALUD E.S.E</v>
          </cell>
          <cell r="J135">
            <v>1</v>
          </cell>
          <cell r="K135" t="str">
            <v>$17.506.352,00</v>
          </cell>
          <cell r="L135">
            <v>45707</v>
          </cell>
          <cell r="M135">
            <v>45885</v>
          </cell>
          <cell r="N135" t="str">
            <v xml:space="preserve">	LEYDI MAGALI BENAVIDES BASTIDAS</v>
          </cell>
          <cell r="O135">
            <v>1086017548</v>
          </cell>
          <cell r="Q135">
            <v>45707</v>
          </cell>
          <cell r="R135" t="str">
            <v>ALEXANDER YELA</v>
          </cell>
          <cell r="U135" t="str">
            <v>CELEBRADO</v>
          </cell>
          <cell r="W135" t="str">
            <v>2025-0146</v>
          </cell>
          <cell r="X135" t="str">
            <v>2025-0248</v>
          </cell>
          <cell r="AB135" t="str">
            <v>ADICION Y PRORROGA</v>
          </cell>
          <cell r="AJ135">
            <v>2</v>
          </cell>
          <cell r="AK135">
            <v>0</v>
          </cell>
          <cell r="AL135">
            <v>2</v>
          </cell>
          <cell r="AM135" t="str">
            <v>$17.506.352,00</v>
          </cell>
        </row>
        <row r="136">
          <cell r="A136" t="str">
            <v>135-2025</v>
          </cell>
          <cell r="B136" t="str">
            <v>SUMINISTROS</v>
          </cell>
          <cell r="C136" t="str">
            <v>FUERTES MEJIA MEDICAMENTOS Y DISPOSITIVOS MEDICOS SAS</v>
          </cell>
          <cell r="D136" t="str">
            <v>NIT</v>
          </cell>
          <cell r="E136">
            <v>901565478</v>
          </cell>
          <cell r="F136">
            <v>1</v>
          </cell>
          <cell r="G136" t="str">
            <v>BIONEXO</v>
          </cell>
          <cell r="H136">
            <v>2</v>
          </cell>
          <cell r="I136" t="str">
            <v>EL CONTRATISTA SE OBLIGA AL SUMINISTRO DEL MATERIAL MEDICO QUIRURGICO EN LAS CANTIDADES ESTABLECIDAS EN EL ANEXO 1, EL CUAL HACE PARTE INTEGRAL DEL CONTRATO. PARA LA ESE PASTO SALUD.</v>
          </cell>
          <cell r="J136">
            <v>3</v>
          </cell>
          <cell r="K136" t="str">
            <v>$1.876.000,00</v>
          </cell>
          <cell r="L136">
            <v>45707</v>
          </cell>
          <cell r="M136">
            <v>45838</v>
          </cell>
          <cell r="N136" t="str">
            <v>NENA DEL CARMEN RAMIREZ RAMIREZ</v>
          </cell>
          <cell r="O136">
            <v>30732589</v>
          </cell>
          <cell r="P136" t="str">
            <v>contabilidad@fuertesmejia.com.co</v>
          </cell>
          <cell r="Q136">
            <v>45707</v>
          </cell>
          <cell r="R136" t="str">
            <v>ELIANA BENAVIDES</v>
          </cell>
          <cell r="U136" t="str">
            <v>CELEBRADO</v>
          </cell>
          <cell r="W136" t="str">
            <v>2025-0128</v>
          </cell>
          <cell r="X136" t="str">
            <v>2025-0251</v>
          </cell>
          <cell r="AJ136">
            <v>2</v>
          </cell>
          <cell r="AK136">
            <v>0</v>
          </cell>
          <cell r="AL136">
            <v>2</v>
          </cell>
          <cell r="AM136" t="str">
            <v>$1.876.000,00</v>
          </cell>
        </row>
        <row r="137">
          <cell r="A137" t="str">
            <v>136-2025</v>
          </cell>
          <cell r="B137" t="str">
            <v>PRESTACION DE SERVICIOS</v>
          </cell>
          <cell r="C137" t="str">
            <v>LA AGENCIA APP S.A.S</v>
          </cell>
          <cell r="D137" t="str">
            <v>NIT</v>
          </cell>
          <cell r="E137">
            <v>901901167</v>
          </cell>
          <cell r="F137">
            <v>6</v>
          </cell>
          <cell r="G137" t="str">
            <v xml:space="preserve">CONTRATACION DIRECTA </v>
          </cell>
          <cell r="H137">
            <v>2</v>
          </cell>
          <cell r="I137" t="str">
            <v>LA PRESTACION DE SERVICIOS DE UN OPERADOR PARA EL MANEJO Y ADMINISTRACION DEL PLAN DE MEDIOS DE LA EMPRESA SOCIAL DEL ESTADO PASTO SALUD E.S.E EN CUMPLIMIENTOS DE SU MISION INSTITUCIONAL, EN MEDIOS RADIALES, TELEVISIVOS Y ESCRITOS, EN LOS TERMINOS QUE SE ESTABLEZCAN EN EL CONTRATO.</v>
          </cell>
          <cell r="J137">
            <v>1</v>
          </cell>
          <cell r="K137" t="str">
            <v>$150.000.000,00</v>
          </cell>
          <cell r="L137">
            <v>45707</v>
          </cell>
          <cell r="M137">
            <v>45930</v>
          </cell>
          <cell r="N137" t="str">
            <v>LEYDI MAGALI BENAVIDES BASTIDAS</v>
          </cell>
          <cell r="O137">
            <v>1086017548</v>
          </cell>
          <cell r="P137" t="str">
            <v>agenciacontableapp@gmail.com</v>
          </cell>
          <cell r="Q137">
            <v>45707</v>
          </cell>
          <cell r="R137" t="str">
            <v>JUAN GOMEZ</v>
          </cell>
          <cell r="U137" t="str">
            <v>CELEBRADO</v>
          </cell>
          <cell r="W137" t="str">
            <v>2025-0131</v>
          </cell>
          <cell r="X137" t="str">
            <v>2025-0252</v>
          </cell>
          <cell r="AB137" t="str">
            <v>ADICION Y PRORROGA</v>
          </cell>
          <cell r="AJ137">
            <v>1</v>
          </cell>
          <cell r="AK137">
            <v>3</v>
          </cell>
          <cell r="AL137">
            <v>3</v>
          </cell>
          <cell r="AM137" t="str">
            <v>$150.000.000,00</v>
          </cell>
        </row>
        <row r="138">
          <cell r="A138" t="str">
            <v>137-2025</v>
          </cell>
          <cell r="B138" t="str">
            <v>PRESTACION DE SERVICIOS</v>
          </cell>
          <cell r="C138" t="str">
            <v>GUISSETT FERNANDA JIMENEZ ROMERO</v>
          </cell>
          <cell r="D138" t="str">
            <v>CC</v>
          </cell>
          <cell r="E138">
            <v>1085270920</v>
          </cell>
          <cell r="F138">
            <v>9</v>
          </cell>
          <cell r="G138" t="str">
            <v xml:space="preserve">CONTRATACION DIRECTA </v>
          </cell>
          <cell r="H138">
            <v>1</v>
          </cell>
          <cell r="I138" t="str">
            <v>EL CONTRATISTA SE COMPROMETE PARA CON LA EMPRESA SOCIAL DEL ESTADO PASTO SALUD ESE A PRESTAR SUS SERVICIOS COMO SOCIOLOGO PARA APOYAR LAS ACTIVIDADES CONTEMPLADAS EN LA PROBLEMATICA DE DEBIL GARANTIA DERECHO A LA SALUD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38">
            <v>1</v>
          </cell>
          <cell r="K138" t="str">
            <v>$6.480.000,00</v>
          </cell>
          <cell r="L138">
            <v>45708</v>
          </cell>
          <cell r="M138">
            <v>45747</v>
          </cell>
          <cell r="N138" t="str">
            <v>OSCAR MIGUEL GOYES CABRERA</v>
          </cell>
          <cell r="O138">
            <v>87711882</v>
          </cell>
          <cell r="P138" t="str">
            <v>ferasiria@gmail.com</v>
          </cell>
          <cell r="Q138">
            <v>45708</v>
          </cell>
          <cell r="R138" t="str">
            <v>ANDRES GUERRA</v>
          </cell>
          <cell r="U138" t="str">
            <v>CELEBRADO</v>
          </cell>
          <cell r="W138" t="str">
            <v>2025-0127</v>
          </cell>
          <cell r="X138" t="str">
            <v>2025-0253</v>
          </cell>
          <cell r="AJ138">
            <v>2</v>
          </cell>
          <cell r="AK138">
            <v>0</v>
          </cell>
          <cell r="AL138">
            <v>3</v>
          </cell>
          <cell r="AM138" t="str">
            <v>$6.480.000,00</v>
          </cell>
        </row>
        <row r="139">
          <cell r="A139" t="str">
            <v>138-2025</v>
          </cell>
          <cell r="B139" t="str">
            <v>PRESTACION DE SERVICIOS</v>
          </cell>
          <cell r="C139" t="str">
            <v>LUIS FERNANDO RODRIGUEZ GUTIERREZ</v>
          </cell>
          <cell r="D139" t="str">
            <v>CC</v>
          </cell>
          <cell r="E139">
            <v>12751998</v>
          </cell>
          <cell r="F139">
            <v>0</v>
          </cell>
          <cell r="G139" t="str">
            <v xml:space="preserve">CONTRATACION DIRECTA </v>
          </cell>
          <cell r="H139">
            <v>1</v>
          </cell>
          <cell r="I139" t="str">
            <v>EL CONTRATISTA SE COMPROMETE PARA CON LA EMPRESA SOCIAL DEL ESTADO PASTO SALUD ESE A PRESTAR SUS SERVICIOS COMO PSICOLOGO PARA APOYAR LAS ACTIVIDADES CONTEMPLADAS EN LA PROBLEMATICA DE LESIONES AUTOINFLIGIDAS A DESARROLLARSE EN LOS TERRITORIOS URBANOS Y RURALES PRIORIZADOS YO CONCERTADOS CON LA SECRETARIA DE SALUD Y DE ACUERDO CON EL ANEXO TECNICO PARA LA EJECUCION DEL PLAN DE SALUD PUBLICA DE INTERVENCIONES COLECTIVAS CORRESPONDIENTE AL PRIMER TRIMESTRE DE LA VIGENCIA 2025, ASEGURANDO LA INCORPORACION Y EL FORTALECIMIENTO DE LOS LINEAMIENTOS OPERATIVOS, OBJETIVOS, PREMISAS, PERSPECTIVAS Y ENFOQUES DE LA ESTRATEGIA CIUDAD BIENESTAR Y LA POLITICA PUBLICA DE SALUD COLECTIVA EN EL MARCO DEL CONTRATO INTERADMINISTRATIVO NO. 20250875 DE FECHA 23 DE ENERO DE 2025, SUSCRITO ENTRE LA EMPRESA SOCIAL DEL ESTADO PASTO SALUD ESE Y LA ALCALDIA DE PASTO SECRETARIA MUNICIPAL DE SALUD</v>
          </cell>
          <cell r="J139">
            <v>1</v>
          </cell>
          <cell r="K139" t="str">
            <v>$6.480.000,00</v>
          </cell>
          <cell r="L139">
            <v>45708</v>
          </cell>
          <cell r="M139">
            <v>45747</v>
          </cell>
          <cell r="N139" t="str">
            <v>OSCAR MIGUEL GOYES CABRERA</v>
          </cell>
          <cell r="O139">
            <v>87711882</v>
          </cell>
          <cell r="P139" t="str">
            <v>Fercho822006@gmail.com</v>
          </cell>
          <cell r="Q139">
            <v>45708</v>
          </cell>
          <cell r="R139" t="str">
            <v>CRISTINA ROSERO</v>
          </cell>
          <cell r="U139" t="str">
            <v>CELEBRADO</v>
          </cell>
          <cell r="W139" t="str">
            <v>2025-0127</v>
          </cell>
          <cell r="X139" t="str">
            <v>2025-0254</v>
          </cell>
          <cell r="AJ139">
            <v>2</v>
          </cell>
          <cell r="AK139">
            <v>0</v>
          </cell>
          <cell r="AL139">
            <v>3</v>
          </cell>
          <cell r="AM139" t="str">
            <v>$6.480.000,00</v>
          </cell>
        </row>
        <row r="140">
          <cell r="A140" t="str">
            <v>139-2025</v>
          </cell>
          <cell r="B140" t="str">
            <v>SUMINISTROS</v>
          </cell>
          <cell r="C140" t="str">
            <v>CLINIMEDICAL GROUP SAS</v>
          </cell>
          <cell r="D140" t="str">
            <v>NIT</v>
          </cell>
          <cell r="E140">
            <v>901181781</v>
          </cell>
          <cell r="F140">
            <v>8</v>
          </cell>
          <cell r="G140" t="str">
            <v>BIONEXO</v>
          </cell>
          <cell r="H140">
            <v>2</v>
          </cell>
          <cell r="I140" t="str">
            <v>SUMINISTRO DE REACTIVOS E INSUMOS GENERALES DE LABORATORIO CLINICO PARA LA EMPRESA SOCIAL DEL ESTADO PASTO SALUD E.S.E.</v>
          </cell>
          <cell r="J140">
            <v>1</v>
          </cell>
          <cell r="K140" t="str">
            <v>$75.001.200,00</v>
          </cell>
          <cell r="L140">
            <v>45709</v>
          </cell>
          <cell r="M140">
            <v>45838</v>
          </cell>
          <cell r="N140" t="str">
            <v xml:space="preserve">	LAURA XIMENA SANDOVAL REDONDO</v>
          </cell>
          <cell r="O140">
            <v>30400115</v>
          </cell>
          <cell r="P140" t="str">
            <v>maricela.arcos@clinimedical.com.co</v>
          </cell>
          <cell r="Q140">
            <v>45709</v>
          </cell>
          <cell r="R140" t="str">
            <v>ANDRES GUERRA</v>
          </cell>
          <cell r="U140" t="str">
            <v>CELEBRADO</v>
          </cell>
          <cell r="W140" t="str">
            <v>2025-0133</v>
          </cell>
          <cell r="X140" t="str">
            <v>2025-0255</v>
          </cell>
          <cell r="AJ140">
            <v>2</v>
          </cell>
          <cell r="AK140">
            <v>0</v>
          </cell>
          <cell r="AL140">
            <v>2</v>
          </cell>
          <cell r="AM140" t="str">
            <v xml:space="preserve"> $75.001.200,00</v>
          </cell>
        </row>
        <row r="141">
          <cell r="A141" t="str">
            <v>140-2025</v>
          </cell>
          <cell r="B141" t="str">
            <v>SUMINISTROS</v>
          </cell>
          <cell r="C141" t="str">
            <v>BIOPLAST S.A.S</v>
          </cell>
          <cell r="D141" t="str">
            <v>NIT</v>
          </cell>
          <cell r="E141">
            <v>830040574</v>
          </cell>
          <cell r="F141">
            <v>8</v>
          </cell>
          <cell r="G141" t="str">
            <v>BIONEXO</v>
          </cell>
          <cell r="H141">
            <v>2</v>
          </cell>
          <cell r="I141" t="str">
            <v>SUMINISTRO DE REACTIVOS E INSUMOS GENERALES DE LABORATORIO CLINICO PARA LA EMPRESA SOCIAL DEL ESTADO PASTO SALUD E.S.E</v>
          </cell>
          <cell r="J141">
            <v>1</v>
          </cell>
          <cell r="K141" t="str">
            <v>$1.953.266,00</v>
          </cell>
          <cell r="L141">
            <v>45709</v>
          </cell>
          <cell r="M141">
            <v>45838</v>
          </cell>
          <cell r="N141" t="str">
            <v xml:space="preserve">	LAURA XIMENA SANDOVAL REDONDO</v>
          </cell>
          <cell r="O141">
            <v>30400115</v>
          </cell>
          <cell r="P141" t="str">
            <v>directoriocontabilidad@bioplast.co</v>
          </cell>
          <cell r="Q141">
            <v>45709</v>
          </cell>
          <cell r="R141" t="str">
            <v>NATALIA ERAZO</v>
          </cell>
          <cell r="U141" t="str">
            <v>CELEBRADO</v>
          </cell>
          <cell r="W141" t="str">
            <v>2025-0133</v>
          </cell>
          <cell r="X141" t="str">
            <v>2025-0256</v>
          </cell>
          <cell r="AJ141">
            <v>2</v>
          </cell>
          <cell r="AK141">
            <v>0</v>
          </cell>
          <cell r="AL141">
            <v>2</v>
          </cell>
          <cell r="AM141" t="str">
            <v>$1.953.266,00</v>
          </cell>
        </row>
        <row r="142">
          <cell r="A142" t="str">
            <v>141-2025</v>
          </cell>
          <cell r="B142" t="str">
            <v>SUMINISTROS</v>
          </cell>
          <cell r="C142" t="str">
            <v>GRUPO DAO S.A.S</v>
          </cell>
          <cell r="D142" t="str">
            <v>NIT</v>
          </cell>
          <cell r="E142">
            <v>817004260</v>
          </cell>
          <cell r="F142">
            <v>0</v>
          </cell>
          <cell r="G142" t="str">
            <v>BIONEXO</v>
          </cell>
          <cell r="H142">
            <v>2</v>
          </cell>
          <cell r="I142" t="str">
            <v>SUMINISTRO DE REACTIVOS E INSUMOS GENERALES DE LABORATORIO CLINICO PARA LA EMPRESA SOCIAL DEL ESTADO PASTO SALUD E.S.E</v>
          </cell>
          <cell r="J142">
            <v>1</v>
          </cell>
          <cell r="K142" t="str">
            <v>$16.192.489,00</v>
          </cell>
          <cell r="L142">
            <v>45713</v>
          </cell>
          <cell r="M142">
            <v>45838</v>
          </cell>
          <cell r="N142" t="str">
            <v xml:space="preserve">	LAURA XIMENA SANDOVAL REDONDO</v>
          </cell>
          <cell r="O142">
            <v>30400115</v>
          </cell>
          <cell r="P142" t="str">
            <v>facturacionelectronica@dao.com.co</v>
          </cell>
          <cell r="Q142">
            <v>45713</v>
          </cell>
          <cell r="R142" t="str">
            <v>NATALIA ERAZO</v>
          </cell>
          <cell r="U142" t="str">
            <v>CELEBRADO</v>
          </cell>
          <cell r="W142" t="str">
            <v>2025-0133</v>
          </cell>
          <cell r="X142" t="str">
            <v>2025-0261</v>
          </cell>
          <cell r="AJ142">
            <v>2</v>
          </cell>
          <cell r="AK142">
            <v>0</v>
          </cell>
          <cell r="AL142">
            <v>2</v>
          </cell>
          <cell r="AM142" t="str">
            <v>$16.192.489,00</v>
          </cell>
        </row>
        <row r="143">
          <cell r="A143" t="str">
            <v>142-2025</v>
          </cell>
          <cell r="B143" t="str">
            <v>SUMINISTROS</v>
          </cell>
          <cell r="C143" t="str">
            <v>LA MUELA S.A.S</v>
          </cell>
          <cell r="D143" t="str">
            <v>NIT</v>
          </cell>
          <cell r="E143">
            <v>804009440</v>
          </cell>
          <cell r="F143">
            <v>5</v>
          </cell>
          <cell r="G143" t="str">
            <v>BIONEXO</v>
          </cell>
          <cell r="H143">
            <v>2</v>
          </cell>
          <cell r="I143" t="str">
            <v>SUMINISTRO DE MATERIAL ODONTOLOGICO PARA LA EMPRESA SOCIAL DEL ESTADO PASTO SALUD ESE</v>
          </cell>
          <cell r="J143">
            <v>3</v>
          </cell>
          <cell r="K143" t="str">
            <v xml:space="preserve"> $22.008.971,00</v>
          </cell>
          <cell r="L143">
            <v>45714</v>
          </cell>
          <cell r="M143">
            <v>45939</v>
          </cell>
          <cell r="N143" t="str">
            <v>YOLANDA LORENA GUANCHA MEJIA</v>
          </cell>
          <cell r="O143">
            <v>36950517</v>
          </cell>
          <cell r="P143" t="str">
            <v>contabilidadmuela@lamuela.com.co</v>
          </cell>
          <cell r="Q143">
            <v>45714</v>
          </cell>
          <cell r="R143" t="str">
            <v>ANDRES GUERRA</v>
          </cell>
          <cell r="U143" t="str">
            <v>CELEBRADO</v>
          </cell>
          <cell r="W143" t="str">
            <v>2025-0134</v>
          </cell>
          <cell r="X143" t="str">
            <v>2025-0262</v>
          </cell>
          <cell r="AC143" t="str">
            <v>ADICION Y PRORROGA</v>
          </cell>
          <cell r="AJ143">
            <v>1</v>
          </cell>
          <cell r="AK143">
            <v>3</v>
          </cell>
          <cell r="AL143">
            <v>2</v>
          </cell>
          <cell r="AM143" t="str">
            <v xml:space="preserve"> $22.008.971,00</v>
          </cell>
        </row>
        <row r="144">
          <cell r="A144" t="str">
            <v>143-2025</v>
          </cell>
          <cell r="B144" t="str">
            <v>SUMINISTROS</v>
          </cell>
          <cell r="C144" t="str">
            <v>DISFARMA GC S.A.S</v>
          </cell>
          <cell r="D144" t="str">
            <v>NIT</v>
          </cell>
          <cell r="E144">
            <v>900580962</v>
          </cell>
          <cell r="F144">
            <v>2</v>
          </cell>
          <cell r="G144" t="str">
            <v>BIONEXO</v>
          </cell>
          <cell r="H144">
            <v>2</v>
          </cell>
          <cell r="I144" t="str">
            <v>EL CONTRATISTA SE OBLIGA AL SUMINISTRO DE LOS MEDICAMENTOS EN LAS CANTIDADES ESTABLECIDAS EN EL ANEXO 1, EL CUAL HACE PARTE INTEGRAL DEL CONTRATO. PARA LA ESE PASTO SALUD</v>
          </cell>
          <cell r="J144">
            <v>3</v>
          </cell>
          <cell r="K144" t="str">
            <v>$252.903.900,00</v>
          </cell>
          <cell r="L144">
            <v>45715</v>
          </cell>
          <cell r="M144">
            <v>45777</v>
          </cell>
          <cell r="N144" t="str">
            <v>NENA DEL CARMEN RAMIREZ RAMIREZ</v>
          </cell>
          <cell r="O144">
            <v>30732589</v>
          </cell>
          <cell r="P144" t="str">
            <v>contabilidad2@disfarma.com</v>
          </cell>
          <cell r="Q144">
            <v>45715</v>
          </cell>
          <cell r="R144" t="str">
            <v>CRISTINA ROSERO</v>
          </cell>
          <cell r="U144" t="str">
            <v>CELEBRADO</v>
          </cell>
          <cell r="W144" t="str">
            <v>2025-0137</v>
          </cell>
          <cell r="X144" t="str">
            <v>2025-0263</v>
          </cell>
          <cell r="AJ144">
            <v>2</v>
          </cell>
          <cell r="AK144">
            <v>0</v>
          </cell>
          <cell r="AL144">
            <v>2</v>
          </cell>
          <cell r="AM144" t="str">
            <v>$252.903.900,00</v>
          </cell>
        </row>
        <row r="145">
          <cell r="A145" t="str">
            <v>144-2025</v>
          </cell>
          <cell r="B145" t="str">
            <v>SUMINISTROS</v>
          </cell>
          <cell r="C145" t="str">
            <v>DISCOLMETS S.A.S.</v>
          </cell>
          <cell r="D145" t="str">
            <v>NIT</v>
          </cell>
          <cell r="E145">
            <v>828002423</v>
          </cell>
          <cell r="F145">
            <v>5</v>
          </cell>
          <cell r="G145" t="str">
            <v>BIONEXO</v>
          </cell>
          <cell r="H145">
            <v>2</v>
          </cell>
          <cell r="I145" t="str">
            <v>EL CONTRATISTA SE OBLIGA AL SUMINISTRO DE LOS MEDICAMENTOS EN LAS CANTIDADES ESTABLECIDAS EN EL ANEXO 1, EL CUAL HACE PARTE INTEGRAL DEL CONTRATO. PARA LA ESE PASTO SALUD</v>
          </cell>
          <cell r="J145">
            <v>3</v>
          </cell>
          <cell r="K145" t="str">
            <v>$8.089.400,00</v>
          </cell>
          <cell r="L145">
            <v>45715</v>
          </cell>
          <cell r="M145">
            <v>45777</v>
          </cell>
          <cell r="N145" t="str">
            <v xml:space="preserve">	NENA DEL CARMEN RAMIREZ RAMIREZ</v>
          </cell>
          <cell r="O145">
            <v>30732589</v>
          </cell>
          <cell r="P145" t="str">
            <v>gerencia@discolmets.com.co</v>
          </cell>
          <cell r="Q145">
            <v>45715</v>
          </cell>
          <cell r="R145" t="str">
            <v>ALEXANDER YELA</v>
          </cell>
          <cell r="U145" t="str">
            <v>CELEBRADO</v>
          </cell>
          <cell r="W145" t="str">
            <v>2025-0137</v>
          </cell>
          <cell r="X145" t="str">
            <v>2025-0265</v>
          </cell>
          <cell r="AJ145">
            <v>2</v>
          </cell>
          <cell r="AK145">
            <v>0</v>
          </cell>
          <cell r="AL145">
            <v>2</v>
          </cell>
          <cell r="AM145" t="str">
            <v>$8.089.400,00</v>
          </cell>
        </row>
        <row r="146">
          <cell r="A146" t="str">
            <v>145-2025</v>
          </cell>
          <cell r="B146" t="str">
            <v>SUMINISTROS</v>
          </cell>
          <cell r="C146" t="str">
            <v>DENSALUD GRUPO EMPRESARIAL SAS</v>
          </cell>
          <cell r="D146" t="str">
            <v>NIT</v>
          </cell>
          <cell r="E146">
            <v>901105862</v>
          </cell>
          <cell r="F146">
            <v>2</v>
          </cell>
          <cell r="G146" t="str">
            <v>BIONEXO</v>
          </cell>
          <cell r="H146">
            <v>2</v>
          </cell>
          <cell r="I146" t="str">
            <v xml:space="preserve">	SUMINISTRO DE MATERIAL ODONTOLOGICO PARA LA EMPRESA SOCIAL DEL ESTADO PASTO SALUD ESE</v>
          </cell>
          <cell r="J146">
            <v>3</v>
          </cell>
          <cell r="K146" t="str">
            <v>$313.939.449,20</v>
          </cell>
          <cell r="L146">
            <v>45716</v>
          </cell>
          <cell r="M146">
            <v>45868</v>
          </cell>
          <cell r="N146" t="str">
            <v xml:space="preserve">	YOLANDA LORENA GUANCHA MEJIA</v>
          </cell>
          <cell r="O146">
            <v>36950517</v>
          </cell>
          <cell r="P146" t="str">
            <v>densalud@hotmail.com</v>
          </cell>
          <cell r="Q146">
            <v>45716</v>
          </cell>
          <cell r="R146" t="str">
            <v>RODRIGO ROSERO</v>
          </cell>
          <cell r="U146" t="str">
            <v>CELEBRADO</v>
          </cell>
          <cell r="W146" t="str">
            <v>2025-0134</v>
          </cell>
          <cell r="X146" t="str">
            <v>2025-0267</v>
          </cell>
          <cell r="AB146" t="str">
            <v>OTRO SI</v>
          </cell>
          <cell r="AC146" t="str">
            <v>ADICION Y PRORROGA</v>
          </cell>
          <cell r="AJ146">
            <v>1</v>
          </cell>
          <cell r="AK146">
            <v>3</v>
          </cell>
          <cell r="AL146">
            <v>2</v>
          </cell>
          <cell r="AM146" t="str">
            <v>$313.939.449,20</v>
          </cell>
        </row>
        <row r="147">
          <cell r="A147" t="str">
            <v>146-2025</v>
          </cell>
          <cell r="B147" t="str">
            <v>PRESTACION DE SERVICIOS</v>
          </cell>
          <cell r="C147" t="str">
            <v>ASESORIAS INTEGRALES DE SALUD SAS</v>
          </cell>
          <cell r="D147" t="str">
            <v>NIT</v>
          </cell>
          <cell r="E147">
            <v>830072365</v>
          </cell>
          <cell r="F147">
            <v>2</v>
          </cell>
          <cell r="G147" t="str">
            <v xml:space="preserve">CONTRATACION DIRECTA </v>
          </cell>
          <cell r="H147">
            <v>2</v>
          </cell>
          <cell r="I147" t="str">
            <v>PRESTAR SERVICIOS ADMINISTRATIVOS Y FINANCIEROS ESPECIALIZADOS EN LOS PROCESOS DE FACTURACION, RADICACION DE CUENTAS, AUDITORIA DE CUENTAS MEDICAS, SUSTENTACION YO CONCILIACION DE GLOSAS, OBJECIONES YO DEVOLUCIONES, GESTION Y SANEAMIENTO DE LA CARTERA A NOMBRE DE LAS COMPAÑIAS ASEGURADORAS DEL SOAT Y A NOMBRE DEL FOSYGA HOY EN DIA CONOCIDO COMO ADRES, O QUIEN HAGA SUS VECES</v>
          </cell>
          <cell r="J147">
            <v>1</v>
          </cell>
          <cell r="K147" t="str">
            <v>$12.000.000,00</v>
          </cell>
          <cell r="L147">
            <v>45716</v>
          </cell>
          <cell r="M147">
            <v>46022</v>
          </cell>
          <cell r="N147" t="str">
            <v>MIRIAM RUTH BOLAÑOS DELGADO</v>
          </cell>
          <cell r="O147">
            <v>30740439</v>
          </cell>
          <cell r="P147" t="str">
            <v>contabilidad@aseisa-sas.com.co</v>
          </cell>
          <cell r="Q147">
            <v>45716</v>
          </cell>
          <cell r="R147" t="str">
            <v>NATALIA ERAZO</v>
          </cell>
          <cell r="U147" t="str">
            <v>CELEBRADO</v>
          </cell>
          <cell r="W147" t="str">
            <v>2025-0141</v>
          </cell>
          <cell r="X147" t="str">
            <v>2025-0269</v>
          </cell>
          <cell r="AJ147">
            <v>2</v>
          </cell>
          <cell r="AK147">
            <v>0</v>
          </cell>
          <cell r="AL147">
            <v>2</v>
          </cell>
          <cell r="AM147" t="str">
            <v>$12.000.000,00</v>
          </cell>
        </row>
        <row r="148">
          <cell r="A148" t="str">
            <v>147-2025</v>
          </cell>
          <cell r="B148" t="str">
            <v>PRESTACION DE SERVICIOS</v>
          </cell>
          <cell r="C148" t="str">
            <v>EXPRESO SURAMERICANA DE TURISMO</v>
          </cell>
          <cell r="D148" t="str">
            <v>NIT</v>
          </cell>
          <cell r="E148">
            <v>900633448</v>
          </cell>
          <cell r="F148">
            <v>7</v>
          </cell>
          <cell r="G148" t="str">
            <v xml:space="preserve">CONTRATACION DIRECTA </v>
          </cell>
          <cell r="H148">
            <v>2</v>
          </cell>
          <cell r="I148" t="str">
            <v>PRESTACION DE SERVICIO DE TRANSPORTE ESPECIAL TERRESTRE AUTOMOTOR CON CAMIONETA 4X4 O MICROBUS DE ACUERDO CON LA CONCERTACION, REQUERIMIENTO Y AUTORIZACION DEL SUPERVISOR DEL CONTRATO, PARA EL TRASLADO DE PERSONAS, BIENES, CORRESPONDENCIA, ELEMENTOS, MATERIALES Y EQUIPOS PARA DAR CUMPLIMIENTO A LOS PRODUCTOS, ACTIVIDADES Y TAREAS DEFINIDAS EN EL ANEXO TECNICO PSPIC EL CUAL HACE PARTE INTEGRAL DEL CONTRATO INTERADMINISTRATIVO NO. 20250875 DE FECHA 23 DE ENERO DE 2025 SUSCRITO ENTRE LA EMPRESA SOCIAL DEL ESTADO PASTO SALUD ESE Y LA ALCALDIA DE PASTO SECRETARIA MUNICIPAL DE SALUD.</v>
          </cell>
          <cell r="J148">
            <v>1</v>
          </cell>
          <cell r="K148" t="str">
            <v>$19.000.000,00</v>
          </cell>
          <cell r="L148">
            <v>45716</v>
          </cell>
          <cell r="M148">
            <v>45747</v>
          </cell>
          <cell r="N148" t="str">
            <v xml:space="preserve">	OSCAR MIGUEL GOYES CABRERA</v>
          </cell>
          <cell r="O148">
            <v>87711882</v>
          </cell>
          <cell r="P148" t="str">
            <v>suratursas@gmail.com</v>
          </cell>
          <cell r="Q148">
            <v>45716</v>
          </cell>
          <cell r="R148" t="str">
            <v>ANDRES GUERRA</v>
          </cell>
          <cell r="U148" t="str">
            <v>CELEBRADO</v>
          </cell>
          <cell r="W148" t="str">
            <v>2025-0138</v>
          </cell>
          <cell r="X148" t="str">
            <v>2025-0270</v>
          </cell>
          <cell r="AJ148">
            <v>2</v>
          </cell>
          <cell r="AK148">
            <v>0</v>
          </cell>
          <cell r="AL148">
            <v>3</v>
          </cell>
          <cell r="AM148" t="str">
            <v xml:space="preserve"> $19.000.000,00</v>
          </cell>
        </row>
        <row r="149">
          <cell r="A149" t="str">
            <v>148-2025</v>
          </cell>
          <cell r="B149" t="str">
            <v>PRESTACION DE SERVICIOS</v>
          </cell>
          <cell r="C149" t="str">
            <v>JULIANA ANDREA BOLAÑOS ORTIZ</v>
          </cell>
          <cell r="D149" t="str">
            <v>CC</v>
          </cell>
          <cell r="E149">
            <v>1233193340</v>
          </cell>
          <cell r="F149">
            <v>3</v>
          </cell>
          <cell r="G149" t="str">
            <v xml:space="preserve">CONTRATACION DIRECTA </v>
          </cell>
          <cell r="H149">
            <v>1</v>
          </cell>
          <cell r="I149" t="str">
            <v>EL CONTRATISTA SE COMPROMETE PARA CON LA EMPRESA SOCIAL DEL ESTADO PASTO SALUD ESE A PRESTAR SUS SERVICIOS PROFESIONALES COMO QUIMICO FARMACEUTICO , QUIEN DESARROLLARA LAS ACTIVIDADES DEL PROGRAMA DE ATENCION FARMACEUTICA, SEGUIMIENTO A LA FORMULACION Y USO RACIONAL DE MEDICAMENTOS, SEGUIMIENTO AL PROCEDIMIENTO DE CONCILIACION MEDICAMENTOSA, CAPACITACION A USUARIOS Y PERSONAL ASISTENCIAL EN TEMAS RELACIONADOS CON MEDICAMENTOS Y DISPOSITIVOS MEDICOS Y ASUMIRA LA SUPLENCIA COMO JEFE DE PRODUCCION DEL AREA DE REEMPAQUE DE MEDICAMENTOS SOLIDOS PARA VIA ORAL Y VAGINAL.</v>
          </cell>
          <cell r="J149">
            <v>1</v>
          </cell>
          <cell r="K149" t="str">
            <v>$15.656.000,00</v>
          </cell>
          <cell r="L149">
            <v>45717</v>
          </cell>
          <cell r="M149">
            <v>45717</v>
          </cell>
          <cell r="N149" t="str">
            <v>NENA DEL CARMEN RAMIREZ RAMIREZ</v>
          </cell>
          <cell r="O149">
            <v>30732589</v>
          </cell>
          <cell r="P149" t="str">
            <v>andreabolanosortiz@gmail.com</v>
          </cell>
          <cell r="Q149">
            <v>45717</v>
          </cell>
          <cell r="R149" t="str">
            <v>ELIANA BENAVIDES</v>
          </cell>
          <cell r="U149" t="str">
            <v>CELEBRADO</v>
          </cell>
          <cell r="W149" t="str">
            <v>2025-0145</v>
          </cell>
          <cell r="X149" t="str">
            <v>2025-0271</v>
          </cell>
          <cell r="AJ149">
            <v>2</v>
          </cell>
          <cell r="AK149">
            <v>0</v>
          </cell>
          <cell r="AL149">
            <v>2</v>
          </cell>
          <cell r="AM149" t="str">
            <v>$15.656.000,00</v>
          </cell>
        </row>
        <row r="150">
          <cell r="A150" t="str">
            <v>149-2025</v>
          </cell>
          <cell r="B150" t="str">
            <v>PRESTACION DE SERVICIOS</v>
          </cell>
          <cell r="C150" t="str">
            <v>BRIGITT MARCELA BURBANO PUPIALES</v>
          </cell>
          <cell r="D150" t="str">
            <v>CC</v>
          </cell>
          <cell r="E150">
            <v>1085292185</v>
          </cell>
          <cell r="F150">
            <v>6</v>
          </cell>
          <cell r="G150" t="str">
            <v xml:space="preserve">CONTRATACION DIRECTA </v>
          </cell>
          <cell r="H150">
            <v>1</v>
          </cell>
          <cell r="I150" t="str">
            <v>PRESTACION DE SERVICIOS PROFESIONALES DIRIGIDOS AL SEGUIMIENTO DE POBLACIONES ESPECIALES DE RIESGO SEGUN PRIORIDADES DEFINIDAS POR LA SUBGERENCIA DE SALUD E INVESTIGACION</v>
          </cell>
          <cell r="J150">
            <v>1</v>
          </cell>
          <cell r="K150" t="str">
            <v>$6.000.000,00</v>
          </cell>
          <cell r="L150">
            <v>45717</v>
          </cell>
          <cell r="M150">
            <v>45747</v>
          </cell>
          <cell r="N150" t="str">
            <v>JUAN CARLOS MERA GUERRERO</v>
          </cell>
          <cell r="O150">
            <v>13016581</v>
          </cell>
          <cell r="P150" t="str">
            <v>marcelita_1250@hotmail.com</v>
          </cell>
          <cell r="Q150">
            <v>45717</v>
          </cell>
          <cell r="R150" t="str">
            <v>NATALIA ERAZO</v>
          </cell>
          <cell r="U150" t="str">
            <v>CELEBRADO</v>
          </cell>
          <cell r="W150" t="str">
            <v>2025-0154</v>
          </cell>
          <cell r="X150" t="str">
            <v>2025-0274</v>
          </cell>
          <cell r="AJ150">
            <v>2</v>
          </cell>
          <cell r="AK150">
            <v>0</v>
          </cell>
          <cell r="AL150">
            <v>3</v>
          </cell>
          <cell r="AM150" t="str">
            <v>$6.000.000,00</v>
          </cell>
        </row>
        <row r="151">
          <cell r="A151" t="str">
            <v>150-2025</v>
          </cell>
          <cell r="B151" t="str">
            <v>PRESTACION DE SERVICIOS</v>
          </cell>
          <cell r="C151" t="str">
            <v>LINA MARIA PIZANO PEREZ</v>
          </cell>
          <cell r="D151" t="str">
            <v>CC</v>
          </cell>
          <cell r="E151">
            <v>1085324685</v>
          </cell>
          <cell r="F151">
            <v>6</v>
          </cell>
          <cell r="G151" t="str">
            <v xml:space="preserve">CONTRATACION DIRECTA </v>
          </cell>
          <cell r="H151">
            <v>1</v>
          </cell>
          <cell r="I151" t="str">
            <v>Prestación de servicios como auxiliar de enfermería dirigidos al seguimiento de poblaciones especiales de riesgo según prioridades definidas por la redes operativas</v>
          </cell>
          <cell r="J151">
            <v>1</v>
          </cell>
          <cell r="K151" t="str">
            <v>$3.000.000,00</v>
          </cell>
          <cell r="L151">
            <v>45717</v>
          </cell>
          <cell r="M151">
            <v>45747</v>
          </cell>
          <cell r="N151" t="str">
            <v>BERTHA JANETH MONTENEGRO PORTILLA</v>
          </cell>
          <cell r="O151">
            <v>36950699</v>
          </cell>
          <cell r="P151" t="str">
            <v>linasofiapizano@gmail.com</v>
          </cell>
          <cell r="Q151">
            <v>45717</v>
          </cell>
          <cell r="R151" t="str">
            <v>JUAN GOMEZ</v>
          </cell>
          <cell r="U151" t="str">
            <v>CELEBRADO</v>
          </cell>
          <cell r="W151" t="str">
            <v>2025-0154</v>
          </cell>
          <cell r="X151" t="str">
            <v>2025-0275</v>
          </cell>
          <cell r="AJ151">
            <v>2</v>
          </cell>
          <cell r="AK151">
            <v>0</v>
          </cell>
          <cell r="AL151">
            <v>3</v>
          </cell>
          <cell r="AM151" t="str">
            <v>$3.000.000,00</v>
          </cell>
        </row>
        <row r="152">
          <cell r="A152" t="str">
            <v>151-2025</v>
          </cell>
          <cell r="B152" t="str">
            <v>PRESTACION DE SERVICIOS</v>
          </cell>
          <cell r="C152" t="str">
            <v>NAYIBE MARCELA LARA MATABANCHOY</v>
          </cell>
          <cell r="D152" t="str">
            <v>CC</v>
          </cell>
          <cell r="E152">
            <v>1193265831</v>
          </cell>
          <cell r="F152">
            <v>3</v>
          </cell>
          <cell r="G152" t="str">
            <v xml:space="preserve">CONTRATACION DIRECTA </v>
          </cell>
          <cell r="H152">
            <v>1</v>
          </cell>
          <cell r="I152" t="str">
            <v>PRESTACION DE SERVICIOS COMO GESTOR COMUNITARIO DIRIGIDOS AL SEGUIMIENTO DE POBLACIONES ESPECIALES DE RIESGO SEGUN PRIORIDADES DEFINIDAS POR LAS REDES OPERATIVAS. LO ANTERIOR CONFORME CON LA PROPUESTA ANEXA, LAS OBLIGACIONES, REQUERIMIENTOS Y ESPECIFICACIONES TECNICAS CONTENIDAS EN LOS ESTUDIOS PREVIOS CONVENIENCIA Y OPORTUNIDAD SIS GJEPC 092 CONSECUTIVO NO. 155 DEL 26 DE FEBRERO DE 2025, ELABORADOS POR EL DR. JUAN CARLOS MERA GUERRERO, EN SU CONDICION DE SUBGERENTE DE SALUD E INVESTIGACION, DE LA EMPRESA SOCIAL DEL ESTADO PASTO, RESPECTIVAMENTE, ANEXO MATRIZ DE RIESGOS DOCUMENTOS ANTERIORES QUE HACEN PARTE INTEGRAL DEL PRESENTE CONTRATO.</v>
          </cell>
          <cell r="J152">
            <v>1</v>
          </cell>
          <cell r="K152" t="str">
            <v>$2.500.000,00</v>
          </cell>
          <cell r="L152">
            <v>45717</v>
          </cell>
          <cell r="M152">
            <v>45747</v>
          </cell>
          <cell r="N152" t="str">
            <v xml:space="preserve">	ALBA LUCIA MORA BENAVIDES</v>
          </cell>
          <cell r="O152">
            <v>59822566</v>
          </cell>
          <cell r="P152" t="str">
            <v>nayibelara2001@gmail.com</v>
          </cell>
          <cell r="Q152">
            <v>45717</v>
          </cell>
          <cell r="R152" t="str">
            <v>ELIANA BENAVIDES</v>
          </cell>
          <cell r="U152" t="str">
            <v>CELEBRADO</v>
          </cell>
          <cell r="W152" t="str">
            <v>2025-0154</v>
          </cell>
          <cell r="X152" t="str">
            <v>2025-0276</v>
          </cell>
          <cell r="AJ152">
            <v>2</v>
          </cell>
          <cell r="AK152">
            <v>0</v>
          </cell>
          <cell r="AL152">
            <v>3</v>
          </cell>
          <cell r="AM152" t="str">
            <v>$2.500.000,00</v>
          </cell>
        </row>
        <row r="153">
          <cell r="A153" t="str">
            <v>152-2025</v>
          </cell>
          <cell r="B153" t="str">
            <v>PRESTACION DE SERVICIOS</v>
          </cell>
          <cell r="C153" t="str">
            <v>CAROLINA NASTACUAS PAI</v>
          </cell>
          <cell r="D153" t="str">
            <v>CC</v>
          </cell>
          <cell r="E153">
            <v>1085324107</v>
          </cell>
          <cell r="F153">
            <v>0</v>
          </cell>
          <cell r="G153" t="str">
            <v xml:space="preserve">CONTRATACION DIRECTA </v>
          </cell>
          <cell r="H153">
            <v>1</v>
          </cell>
          <cell r="I153" t="str">
            <v>Prestación de servicios como auxiliar de enfermería dirigidos al seguimiento de poblaciones especiales de riesgo según prioridades definidas por las redes operativas</v>
          </cell>
          <cell r="J153">
            <v>1</v>
          </cell>
          <cell r="K153" t="str">
            <v>$3.000.000,00</v>
          </cell>
          <cell r="L153">
            <v>45717</v>
          </cell>
          <cell r="M153">
            <v>45747</v>
          </cell>
          <cell r="N153" t="str">
            <v>RODRIGO DE JESUS VITERI MORENO</v>
          </cell>
          <cell r="O153">
            <v>98390119</v>
          </cell>
          <cell r="P153" t="str">
            <v>carito.naztacuaz@outlook.com</v>
          </cell>
          <cell r="Q153">
            <v>45717</v>
          </cell>
          <cell r="R153" t="str">
            <v>ANDRES GUERRA</v>
          </cell>
          <cell r="U153" t="str">
            <v>CELEBRADO</v>
          </cell>
          <cell r="W153" t="str">
            <v>2025-0154</v>
          </cell>
          <cell r="X153" t="str">
            <v>2025-0277</v>
          </cell>
          <cell r="AJ153">
            <v>2</v>
          </cell>
          <cell r="AK153">
            <v>0</v>
          </cell>
          <cell r="AL153">
            <v>3</v>
          </cell>
          <cell r="AM153" t="str">
            <v>$3.000.000,00</v>
          </cell>
        </row>
        <row r="154">
          <cell r="A154" t="str">
            <v>153-2025</v>
          </cell>
          <cell r="B154" t="str">
            <v>SUMINISTROS</v>
          </cell>
          <cell r="C154" t="str">
            <v>CASA DENTAL EDUARDO DAZA LTDA</v>
          </cell>
          <cell r="D154" t="str">
            <v>NIT</v>
          </cell>
          <cell r="E154">
            <v>800071243</v>
          </cell>
          <cell r="F154">
            <v>9</v>
          </cell>
          <cell r="G154" t="str">
            <v>BIONEXO</v>
          </cell>
          <cell r="H154">
            <v>2</v>
          </cell>
          <cell r="I154" t="str">
            <v>Suministro de material odontológico para la Empresa Social del Estado PASTO SALUD ESE</v>
          </cell>
          <cell r="J154">
            <v>1</v>
          </cell>
          <cell r="K154" t="str">
            <v xml:space="preserve"> $13.307.888,00</v>
          </cell>
          <cell r="L154">
            <v>45719</v>
          </cell>
          <cell r="M154">
            <v>45868</v>
          </cell>
          <cell r="N154" t="str">
            <v>YOLANDA LORENA GUANCHA MEJIA</v>
          </cell>
          <cell r="O154">
            <v>36950517</v>
          </cell>
          <cell r="P154" t="str">
            <v>contabilidad@dentaldaza.com</v>
          </cell>
          <cell r="Q154">
            <v>45719</v>
          </cell>
          <cell r="R154" t="str">
            <v>ANDRES GUERRA</v>
          </cell>
          <cell r="U154" t="str">
            <v>CELEBRADO</v>
          </cell>
          <cell r="W154" t="str">
            <v>2025-0134</v>
          </cell>
          <cell r="X154" t="str">
            <v>2025-0278</v>
          </cell>
          <cell r="AB154" t="str">
            <v>ADICION Y PRORROGA</v>
          </cell>
          <cell r="AJ154">
            <v>1</v>
          </cell>
          <cell r="AK154">
            <v>3</v>
          </cell>
          <cell r="AL154">
            <v>2</v>
          </cell>
          <cell r="AM154" t="str">
            <v xml:space="preserve"> $13.307.888,00</v>
          </cell>
        </row>
        <row r="155">
          <cell r="A155" t="str">
            <v>154-2025</v>
          </cell>
          <cell r="B155" t="str">
            <v>PRESTACION DE SERVICIOS</v>
          </cell>
          <cell r="C155" t="str">
            <v>YENIFER NAYIBE MENESES TOBAR</v>
          </cell>
          <cell r="D155" t="str">
            <v>CC</v>
          </cell>
          <cell r="E155">
            <v>1089243630</v>
          </cell>
          <cell r="F155">
            <v>8</v>
          </cell>
          <cell r="G155" t="str">
            <v xml:space="preserve">CONTRATACION DIRECTA </v>
          </cell>
          <cell r="H155">
            <v>1</v>
          </cell>
          <cell r="I155" t="str">
            <v>PRESTACION DE SERVICIOS COMO AUXILIAR DE ENFERMERIA DIRIGIDOS AL SEGUIMIENTO DE POBLACIONES ESPECIALES DE RIESGO SEGUN PRIORIDADES DEFINIDAS POR LAS REDES OPERATIVAS</v>
          </cell>
          <cell r="J155">
            <v>1</v>
          </cell>
          <cell r="K155" t="str">
            <v>$3.000.000,00</v>
          </cell>
          <cell r="L155">
            <v>45719</v>
          </cell>
          <cell r="M155">
            <v>45747</v>
          </cell>
          <cell r="N155" t="str">
            <v>ALBA LUCIA MORA BENAVIDES</v>
          </cell>
          <cell r="O155">
            <v>59822566</v>
          </cell>
          <cell r="P155" t="str">
            <v>menesesyenifer22@gmail.com</v>
          </cell>
          <cell r="Q155">
            <v>45719</v>
          </cell>
          <cell r="R155" t="str">
            <v>NATALIA ERAZO</v>
          </cell>
          <cell r="U155" t="str">
            <v>CELEBRADO</v>
          </cell>
          <cell r="W155" t="str">
            <v>2025-0154</v>
          </cell>
          <cell r="X155" t="str">
            <v>2025-0279</v>
          </cell>
          <cell r="AJ155">
            <v>2</v>
          </cell>
          <cell r="AK155">
            <v>0</v>
          </cell>
          <cell r="AL155">
            <v>3</v>
          </cell>
          <cell r="AM155" t="str">
            <v>$3.000.000,00</v>
          </cell>
        </row>
        <row r="156">
          <cell r="A156" t="str">
            <v>155-2025</v>
          </cell>
          <cell r="B156" t="str">
            <v>PRESTACION DE SERVICIOS</v>
          </cell>
          <cell r="C156" t="str">
            <v>LINA YEZMIN DE LA CRUZ CUSIS</v>
          </cell>
          <cell r="D156" t="str">
            <v>CC</v>
          </cell>
          <cell r="E156">
            <v>1085320930</v>
          </cell>
          <cell r="F156">
            <v>8</v>
          </cell>
          <cell r="G156" t="str">
            <v xml:space="preserve">CONTRATACION DIRECTA </v>
          </cell>
          <cell r="H156">
            <v>1</v>
          </cell>
          <cell r="I156" t="str">
            <v>Prestación de servicios como gestor comunitario dirigidos al seguimiento de poblaciones especiales de riesgo según prioridades definidas por la redes operativas</v>
          </cell>
          <cell r="J156">
            <v>1</v>
          </cell>
          <cell r="K156" t="str">
            <v>$2.500.000,00</v>
          </cell>
          <cell r="L156">
            <v>45719</v>
          </cell>
          <cell r="M156">
            <v>45747</v>
          </cell>
          <cell r="N156" t="str">
            <v>ALBA LUCIA MORA BENAVIDES</v>
          </cell>
          <cell r="O156">
            <v>59822566</v>
          </cell>
          <cell r="P156" t="str">
            <v>linadelacruz513@gmail.com</v>
          </cell>
          <cell r="Q156">
            <v>45719</v>
          </cell>
          <cell r="R156" t="str">
            <v>ALEXANDER YELA</v>
          </cell>
          <cell r="U156" t="str">
            <v>CELEBRADO</v>
          </cell>
          <cell r="W156" t="str">
            <v>2025-0154</v>
          </cell>
          <cell r="X156" t="str">
            <v>2025-0280</v>
          </cell>
          <cell r="AJ156">
            <v>2</v>
          </cell>
          <cell r="AK156">
            <v>0</v>
          </cell>
          <cell r="AL156">
            <v>3</v>
          </cell>
          <cell r="AM156" t="str">
            <v>$2.500.000,00</v>
          </cell>
        </row>
        <row r="157">
          <cell r="A157" t="str">
            <v>156-2025</v>
          </cell>
          <cell r="B157" t="str">
            <v>SUMINISTROS</v>
          </cell>
          <cell r="C157" t="str">
            <v>RAMEDICAS S.A.S</v>
          </cell>
          <cell r="D157" t="str">
            <v>NIT</v>
          </cell>
          <cell r="E157">
            <v>901429936</v>
          </cell>
          <cell r="F157">
            <v>1</v>
          </cell>
          <cell r="G157" t="str">
            <v xml:space="preserve">CONTRATACION DIRECTA </v>
          </cell>
          <cell r="H157">
            <v>2</v>
          </cell>
          <cell r="I157" t="str">
            <v>El contratista se obliga al suministro de los medicamentos en las cantidades establecidas en el anexo 1, el cual hace parte integral del contrato. Para la ESE Pasto Salud</v>
          </cell>
          <cell r="J157">
            <v>1</v>
          </cell>
          <cell r="K157" t="str">
            <v>$42.295.800</v>
          </cell>
          <cell r="L157">
            <v>45720</v>
          </cell>
          <cell r="M157">
            <v>45746</v>
          </cell>
          <cell r="N157" t="str">
            <v>NENA DEL CARMEN RAMIREZ RAMIREZ</v>
          </cell>
          <cell r="O157">
            <v>30732589</v>
          </cell>
          <cell r="P157" t="str">
            <v>administracion@ramedicas.com</v>
          </cell>
          <cell r="Q157">
            <v>45720</v>
          </cell>
          <cell r="R157" t="str">
            <v>JUAN GOMEZ</v>
          </cell>
          <cell r="U157" t="str">
            <v>CELEBRADO</v>
          </cell>
          <cell r="W157" t="str">
            <v>2025-0153</v>
          </cell>
          <cell r="X157" t="str">
            <v>2025-0281</v>
          </cell>
          <cell r="AJ157">
            <v>2</v>
          </cell>
          <cell r="AK157">
            <v>0</v>
          </cell>
          <cell r="AL157">
            <v>3</v>
          </cell>
          <cell r="AM157" t="str">
            <v>$42.295.800</v>
          </cell>
        </row>
        <row r="158">
          <cell r="A158" t="str">
            <v>157-2025</v>
          </cell>
          <cell r="B158" t="str">
            <v>SUMINISTROS</v>
          </cell>
          <cell r="C158" t="str">
            <v>NEW STETIC S.A</v>
          </cell>
          <cell r="D158" t="str">
            <v>NIT</v>
          </cell>
          <cell r="E158">
            <v>890900267</v>
          </cell>
          <cell r="F158">
            <v>0</v>
          </cell>
          <cell r="G158" t="str">
            <v>BIONEXO</v>
          </cell>
          <cell r="H158">
            <v>2</v>
          </cell>
          <cell r="I158" t="str">
            <v>Suministro de material odontológico para la Empresa Social del Estado PASTO SALUD ESE42</v>
          </cell>
          <cell r="J158">
            <v>1</v>
          </cell>
          <cell r="K158" t="str">
            <v>$20.882.185,00</v>
          </cell>
          <cell r="L158">
            <v>45720</v>
          </cell>
          <cell r="M158">
            <v>45868</v>
          </cell>
          <cell r="N158" t="str">
            <v>YOLANDA LORENA GUANCHA MEJIA</v>
          </cell>
          <cell r="O158">
            <v>36950517</v>
          </cell>
          <cell r="P158" t="str">
            <v>contabilidad@newstetic.com</v>
          </cell>
          <cell r="Q158">
            <v>45720</v>
          </cell>
          <cell r="R158" t="str">
            <v>CRISTINA ROSERO</v>
          </cell>
          <cell r="U158" t="str">
            <v>CELEBRADO</v>
          </cell>
          <cell r="W158" t="str">
            <v>2025-0134</v>
          </cell>
          <cell r="X158" t="str">
            <v>2025-0283</v>
          </cell>
          <cell r="AA158" t="str">
            <v>ADICION Y PROROGA</v>
          </cell>
          <cell r="AJ158">
            <v>1</v>
          </cell>
          <cell r="AK158">
            <v>1</v>
          </cell>
          <cell r="AL158">
            <v>3</v>
          </cell>
          <cell r="AM158" t="str">
            <v>$20.882.185,00</v>
          </cell>
        </row>
        <row r="159">
          <cell r="A159" t="str">
            <v>158-2025</v>
          </cell>
          <cell r="B159" t="str">
            <v>SUMINISTROS</v>
          </cell>
          <cell r="C159" t="str">
            <v>TECNOSAR SAS</v>
          </cell>
          <cell r="D159" t="str">
            <v>NIT</v>
          </cell>
          <cell r="E159">
            <v>860031724</v>
          </cell>
          <cell r="F159">
            <v>7</v>
          </cell>
          <cell r="G159" t="str">
            <v>BIONEXO</v>
          </cell>
          <cell r="H159">
            <v>2</v>
          </cell>
          <cell r="I159" t="str">
            <v>SUMINISTRO DE REACTIVOS E INSUMOS GENERALES DE LABORATORIO CLINICO PARA LA EMPRESA SOCIAL DEL ESTADO PASTO SALUD E.S.E.</v>
          </cell>
          <cell r="J159">
            <v>1</v>
          </cell>
          <cell r="K159" t="str">
            <v>$3.658.450,00</v>
          </cell>
          <cell r="L159">
            <v>45721</v>
          </cell>
          <cell r="M159">
            <v>45838</v>
          </cell>
          <cell r="N159" t="str">
            <v xml:space="preserve">	LAURA XIMENA SANDOVAL REDONDO</v>
          </cell>
          <cell r="O159">
            <v>30400115</v>
          </cell>
          <cell r="P159" t="str">
            <v>gerencia@labsar.com</v>
          </cell>
          <cell r="Q159">
            <v>45721</v>
          </cell>
          <cell r="R159" t="str">
            <v>NATALIA ERAZO</v>
          </cell>
          <cell r="U159" t="str">
            <v>CELEBRADO</v>
          </cell>
          <cell r="W159" t="str">
            <v>2025-0133</v>
          </cell>
          <cell r="X159" t="str">
            <v>2025-285</v>
          </cell>
          <cell r="AJ159">
            <v>2</v>
          </cell>
          <cell r="AK159">
            <v>0</v>
          </cell>
          <cell r="AL159">
            <v>2</v>
          </cell>
          <cell r="AM159" t="str">
            <v>$3.658.450,00</v>
          </cell>
        </row>
        <row r="160">
          <cell r="A160" t="str">
            <v>159-2025</v>
          </cell>
          <cell r="B160" t="str">
            <v>PRESTACION DE SERVICIOS</v>
          </cell>
          <cell r="C160" t="str">
            <v>IMEDSUR S.A.S</v>
          </cell>
          <cell r="D160" t="str">
            <v>NIT</v>
          </cell>
          <cell r="E160">
            <v>900363690</v>
          </cell>
          <cell r="F160">
            <v>4</v>
          </cell>
          <cell r="G160" t="str">
            <v xml:space="preserve">CONTRATACION DIRECTA </v>
          </cell>
          <cell r="H160">
            <v>2</v>
          </cell>
          <cell r="I160" t="str">
            <v>PRESTAR EL SERVICIO DE UNA PLATAFORMA WEB PARA EL MONITOREO DE TEMPERATURA - HUMEDAD RELATIVA ATRAVES DE DISPOSITIVOS ELECTRONICOS UBICADOS EN LAS SEDES ASISTENCIALES Y SEDE ADMINISTRATIVA.</v>
          </cell>
          <cell r="J160">
            <v>1</v>
          </cell>
          <cell r="K160" t="str">
            <v>$27.500.000</v>
          </cell>
          <cell r="L160">
            <v>45723</v>
          </cell>
          <cell r="M160">
            <v>45838</v>
          </cell>
          <cell r="N160" t="str">
            <v>MARIO FERNADO NARANJO LOPEZ</v>
          </cell>
          <cell r="O160">
            <v>1004189613</v>
          </cell>
          <cell r="P160" t="str">
            <v>imedsur@imedsur.com</v>
          </cell>
          <cell r="Q160">
            <v>45723</v>
          </cell>
          <cell r="R160" t="str">
            <v>JUAN GOMEZ</v>
          </cell>
          <cell r="U160" t="str">
            <v>CELEBRADO</v>
          </cell>
          <cell r="W160" t="str">
            <v>2025-0147</v>
          </cell>
          <cell r="X160" t="str">
            <v>2025-0292</v>
          </cell>
          <cell r="AJ160">
            <v>2</v>
          </cell>
          <cell r="AK160">
            <v>0</v>
          </cell>
          <cell r="AL160">
            <v>2</v>
          </cell>
          <cell r="AM160" t="str">
            <v>$27.500.000</v>
          </cell>
        </row>
        <row r="161">
          <cell r="A161" t="str">
            <v>160-2025</v>
          </cell>
          <cell r="B161" t="str">
            <v>SUMINISTROS</v>
          </cell>
          <cell r="C161" t="str">
            <v>ANNAR DIAGNOSTICA IMPORT S.A.S.</v>
          </cell>
          <cell r="D161" t="str">
            <v>NIT</v>
          </cell>
          <cell r="E161">
            <v>830025281</v>
          </cell>
          <cell r="F161">
            <v>2</v>
          </cell>
          <cell r="G161" t="str">
            <v>BIONEXO</v>
          </cell>
          <cell r="H161">
            <v>2</v>
          </cell>
          <cell r="I161" t="str">
            <v>SUMINISTRO DE REACTIVOS E INSUMOS GENERALES DE LABORATORIO CLINICO PARA LA EMPRESA SOCIAL DEL ESTADO PASTO SALUD E.S.E</v>
          </cell>
          <cell r="J161">
            <v>1</v>
          </cell>
          <cell r="K161" t="str">
            <v>$157.449.735,50</v>
          </cell>
          <cell r="L161">
            <v>45723</v>
          </cell>
          <cell r="M161">
            <v>45838</v>
          </cell>
          <cell r="N161" t="str">
            <v>LAURA XIMENA SANDOVAL REDONDO</v>
          </cell>
          <cell r="O161">
            <v>30400115</v>
          </cell>
          <cell r="P161" t="str">
            <v>notificacionesjudiciales@annardx.com</v>
          </cell>
          <cell r="Q161">
            <v>45723</v>
          </cell>
          <cell r="R161" t="str">
            <v>RODRIGO ROSERO</v>
          </cell>
          <cell r="U161" t="str">
            <v>CELEBRADO</v>
          </cell>
          <cell r="W161" t="str">
            <v>2025-0133</v>
          </cell>
          <cell r="X161" t="str">
            <v>2025-0293</v>
          </cell>
          <cell r="AJ161">
            <v>2</v>
          </cell>
          <cell r="AK161">
            <v>0</v>
          </cell>
          <cell r="AL161">
            <v>2</v>
          </cell>
          <cell r="AM161" t="str">
            <v>$157.449.735,50</v>
          </cell>
        </row>
        <row r="162">
          <cell r="A162" t="str">
            <v>161-2025</v>
          </cell>
          <cell r="B162" t="str">
            <v>PRESTACION DE SERVICIOS</v>
          </cell>
          <cell r="C162" t="str">
            <v>ICONTEC</v>
          </cell>
          <cell r="D162" t="str">
            <v>NIT</v>
          </cell>
          <cell r="E162">
            <v>860012336</v>
          </cell>
          <cell r="F162">
            <v>1</v>
          </cell>
          <cell r="G162" t="str">
            <v xml:space="preserve">CONTRATACION DIRECTA </v>
          </cell>
          <cell r="H162">
            <v>2</v>
          </cell>
          <cell r="I162" t="str">
            <v>El contratista se obliga para con la Empresa Social del Estado Pasto Salud ESE, a efectuar la evaluación Complementaria del cumplimiento de los estándares para la acreditación en salud a la Empresa Social del Estado PASTO SALUD E.S.E. en su sede administrativa ubicada en la carrera 20 No.19 B 22 y sus sedes: 1. HOSPITAL LA ROSA, ubicado en la Diagonal 12 #3-05 Barrio la Rosa. 2. HOSPITAL SANTA MONICA, ubicado en la Calle 21 # 9 este A 88 Barrio santa Mónica y 3. CENTRO DE SALUD SAN VICENTE, ubicado en la carrera  35 No. 6A 45 Barrio San Vicente de la ciudad de pasto, departamento de nariño, de acuerdo con lo establecido en la resolucion 2082 de 2014 y resolucion 5095 de 2018 o la normatividad vigente que regule la materia.</v>
          </cell>
          <cell r="J162">
            <v>1</v>
          </cell>
          <cell r="K162" t="str">
            <v>$31.537.056</v>
          </cell>
          <cell r="L162">
            <v>45723</v>
          </cell>
          <cell r="M162">
            <v>45746</v>
          </cell>
          <cell r="N162" t="str">
            <v>EDWIN JULIO BASTIDAS BENAVIDES</v>
          </cell>
          <cell r="O162">
            <v>13068561</v>
          </cell>
          <cell r="P162" t="str">
            <v>juridica@icontec.org</v>
          </cell>
          <cell r="Q162">
            <v>45723</v>
          </cell>
          <cell r="R162" t="str">
            <v>JUAN GOMEZ</v>
          </cell>
          <cell r="U162" t="str">
            <v>CELEBRADO</v>
          </cell>
          <cell r="W162" t="str">
            <v>2025-0157</v>
          </cell>
          <cell r="X162" t="str">
            <v>2025-0297</v>
          </cell>
          <cell r="AJ162">
            <v>2</v>
          </cell>
          <cell r="AK162">
            <v>0</v>
          </cell>
          <cell r="AL162">
            <v>4</v>
          </cell>
          <cell r="AM162" t="str">
            <v>$31.537.056</v>
          </cell>
        </row>
        <row r="163">
          <cell r="A163" t="str">
            <v>162-2025</v>
          </cell>
          <cell r="B163" t="str">
            <v>PRESTACION DE SERVICIOS</v>
          </cell>
          <cell r="C163" t="str">
            <v>A GROUP ASESORES Y CONSULTORES SAS</v>
          </cell>
          <cell r="D163" t="str">
            <v>NIT</v>
          </cell>
          <cell r="E163">
            <v>901203866</v>
          </cell>
          <cell r="F163">
            <v>1</v>
          </cell>
          <cell r="G163" t="str">
            <v xml:space="preserve">CONTRATACION DIRECTA </v>
          </cell>
          <cell r="H163">
            <v>2</v>
          </cell>
          <cell r="I163" t="str">
            <v>PRESTACION DEL SERVICIO DE MANTENIMIENTO PREVENTIVO Y CORRECTIVO DE LOS ASCENSORES, INCLUYENDO SUMINISTRO E INSTALACION DE REPUESTOS Y MANO DE OBRA NECESARIOS PARA SU NORMAL FUNCIONAMIENTO DE LOS ASCENSORES UBICADOS EN LAS SEDES DE PASTO SALUD E.S.E</v>
          </cell>
          <cell r="J163">
            <v>1</v>
          </cell>
          <cell r="K163" t="str">
            <v>$32.188.800,00</v>
          </cell>
          <cell r="L163">
            <v>45724</v>
          </cell>
          <cell r="M163">
            <v>45838</v>
          </cell>
          <cell r="N163" t="str">
            <v>RODRIGO DE JESUS VITERI MORENO</v>
          </cell>
          <cell r="O163">
            <v>98390119</v>
          </cell>
          <cell r="P163" t="str">
            <v>agroup.asesoria@gmail.com</v>
          </cell>
          <cell r="Q163">
            <v>45724</v>
          </cell>
          <cell r="R163" t="str">
            <v>ALEXANDER YELA</v>
          </cell>
          <cell r="U163" t="str">
            <v>CELEBRADO</v>
          </cell>
          <cell r="W163" t="str">
            <v>2025-0005</v>
          </cell>
          <cell r="X163" t="str">
            <v>2025-0298</v>
          </cell>
          <cell r="AJ163">
            <v>2</v>
          </cell>
          <cell r="AK163">
            <v>0</v>
          </cell>
          <cell r="AL163">
            <v>2</v>
          </cell>
          <cell r="AM163" t="str">
            <v>$32.188.800,00</v>
          </cell>
        </row>
        <row r="164">
          <cell r="A164" t="str">
            <v>163-2025</v>
          </cell>
          <cell r="B164" t="str">
            <v>SUMINISTROS</v>
          </cell>
          <cell r="C164" t="str">
            <v>TECNICA ELECTRO MEDICA S.A</v>
          </cell>
          <cell r="D164" t="str">
            <v>NIT</v>
          </cell>
          <cell r="E164">
            <v>830004892</v>
          </cell>
          <cell r="F164">
            <v>2</v>
          </cell>
          <cell r="G164" t="str">
            <v xml:space="preserve">CONTRATACION DIRECTA </v>
          </cell>
          <cell r="H164">
            <v>2</v>
          </cell>
          <cell r="I164" t="str">
            <v>El contratista se obliga al suministro del material médico quirúrgico en las cantidades establecidas en el anexo 1, el cual hace parte integral del contrato. Para la ESE Pasto Salud.</v>
          </cell>
          <cell r="J164">
            <v>3</v>
          </cell>
          <cell r="K164" t="str">
            <v>$3.891.776</v>
          </cell>
          <cell r="L164">
            <v>45726</v>
          </cell>
          <cell r="M164">
            <v>45777</v>
          </cell>
          <cell r="N164" t="str">
            <v>NENA DEL CARMEN RAMIREZ RAMIREZ</v>
          </cell>
          <cell r="O164">
            <v>30732589</v>
          </cell>
          <cell r="P164" t="str">
            <v>acardona@tecnicaelectromedica.com</v>
          </cell>
          <cell r="Q164">
            <v>45726</v>
          </cell>
          <cell r="R164" t="str">
            <v>ANDRES GUERRA</v>
          </cell>
          <cell r="U164" t="str">
            <v>CELEBRADO</v>
          </cell>
          <cell r="W164" t="str">
            <v>2025-0095</v>
          </cell>
          <cell r="X164" t="str">
            <v>2025-0300</v>
          </cell>
          <cell r="AJ164">
            <v>2</v>
          </cell>
          <cell r="AK164">
            <v>0</v>
          </cell>
          <cell r="AL164">
            <v>2</v>
          </cell>
          <cell r="AM164" t="str">
            <v>$3.891.776</v>
          </cell>
        </row>
        <row r="165">
          <cell r="A165" t="str">
            <v>164-2025</v>
          </cell>
          <cell r="B165" t="str">
            <v>PRESTACION DE SERVICIOS</v>
          </cell>
          <cell r="C165" t="str">
            <v>ALMERA INFORMATION MANAGEMENT S.A.S</v>
          </cell>
          <cell r="D165" t="str">
            <v>NIT</v>
          </cell>
          <cell r="E165">
            <v>900156470</v>
          </cell>
          <cell r="F165">
            <v>3</v>
          </cell>
          <cell r="G165" t="str">
            <v xml:space="preserve">CONTRATACION DIRECTA </v>
          </cell>
          <cell r="H165">
            <v>1</v>
          </cell>
          <cell r="I165" t="str">
            <v>CONTRATAR LA IMPLEMENTACION, PARAMETRIZACION, PUESTA EN MARCHA Y SOPORTE DEL SOFTWARE DE GESTION INSTITUCIONAL EN PASTO SALUD E.S.E., CON EL FIN DE FORTALECER EL SISTEMA DE GESTION DE CALIDAD, APOYAR EL PROCESO DE ACREDITACION EN SALUD Y OPTIMIZAR LA ADMINISTRACION INSTITUCIONAL A TRAVES DE LA DIGITALIZACION, AUTOMATIZACION Y GESTION INTEGRADA DE PROCESOS</v>
          </cell>
          <cell r="J165">
            <v>1</v>
          </cell>
          <cell r="K165" t="str">
            <v>$48.700.000,00</v>
          </cell>
          <cell r="L165">
            <v>45727</v>
          </cell>
          <cell r="M165">
            <v>46022</v>
          </cell>
          <cell r="N165" t="str">
            <v>SEBASTIAN GRANJA ORDOÑEZ</v>
          </cell>
          <cell r="O165">
            <v>1085316703</v>
          </cell>
          <cell r="P165" t="str">
            <v>mpena@almeraim.com</v>
          </cell>
          <cell r="Q165">
            <v>45727</v>
          </cell>
          <cell r="R165" t="str">
            <v>RODRIGO ROSERO</v>
          </cell>
          <cell r="U165" t="str">
            <v>CELEBRADO</v>
          </cell>
          <cell r="W165" t="str">
            <v>2025-0171</v>
          </cell>
          <cell r="X165" t="str">
            <v>2025-0301</v>
          </cell>
          <cell r="AJ165">
            <v>2</v>
          </cell>
          <cell r="AK165">
            <v>0</v>
          </cell>
          <cell r="AL165">
            <v>2</v>
          </cell>
          <cell r="AM165" t="str">
            <v>$48.700.000</v>
          </cell>
        </row>
        <row r="166">
          <cell r="A166" t="str">
            <v>165-2025</v>
          </cell>
          <cell r="B166" t="str">
            <v>SUMINISTROS</v>
          </cell>
          <cell r="C166" t="str">
            <v>DISTRIBUIDORA SOCIAL MAYORISTA SAS</v>
          </cell>
          <cell r="D166" t="str">
            <v>NIT</v>
          </cell>
          <cell r="E166">
            <v>901350505</v>
          </cell>
          <cell r="F166">
            <v>7</v>
          </cell>
          <cell r="G166" t="str">
            <v xml:space="preserve">CONTRATACION DIRECTA </v>
          </cell>
          <cell r="H166">
            <v>2</v>
          </cell>
          <cell r="I166" t="str">
            <v>EL CONTRATISTA SE OBLIGA AL SUMINISTRO DE LOS MEDICAMENTOS EN LAS CANTIDADES ESTABLECIDAS EN EL ANEXO 1, EL CUAL HACE PARTE INTEGRAL DEL CONTRATO. PARA LA ESE PASTO SALUD</v>
          </cell>
          <cell r="J166">
            <v>3</v>
          </cell>
          <cell r="K166" t="str">
            <v>$32.048.690,00</v>
          </cell>
          <cell r="L166">
            <v>45727</v>
          </cell>
          <cell r="M166">
            <v>45747</v>
          </cell>
          <cell r="N166" t="str">
            <v>NENA DEL CARMEN RAMIREZ RAMIREZ</v>
          </cell>
          <cell r="O166">
            <v>30732589</v>
          </cell>
          <cell r="P166" t="str">
            <v>depositosm@gmail.com</v>
          </cell>
          <cell r="Q166">
            <v>45727</v>
          </cell>
          <cell r="R166" t="str">
            <v>ALEXANDER YELA</v>
          </cell>
          <cell r="U166" t="str">
            <v>CELEBRADO</v>
          </cell>
          <cell r="W166" t="str">
            <v>2025-0169</v>
          </cell>
          <cell r="X166" t="str">
            <v>2025-0302</v>
          </cell>
          <cell r="AJ166">
            <v>2</v>
          </cell>
          <cell r="AK166">
            <v>0</v>
          </cell>
          <cell r="AL166">
            <v>3</v>
          </cell>
          <cell r="AM166" t="str">
            <v>$32.048.690,00</v>
          </cell>
        </row>
        <row r="167">
          <cell r="A167" t="str">
            <v>166-2025</v>
          </cell>
          <cell r="B167" t="str">
            <v>SUMINISTROS</v>
          </cell>
          <cell r="C167" t="str">
            <v>FUERTES MEJIA MEDICAMENTOS Y DISPOSITIVOS MEDICOS SAS</v>
          </cell>
          <cell r="D167" t="str">
            <v>NIT</v>
          </cell>
          <cell r="E167">
            <v>901565478</v>
          </cell>
          <cell r="F167">
            <v>1</v>
          </cell>
          <cell r="G167" t="str">
            <v xml:space="preserve">CONTRATACION DIRECTA </v>
          </cell>
          <cell r="H167">
            <v>2</v>
          </cell>
          <cell r="I167" t="str">
            <v>EL CONTRATISTA SE OBLIGA AL SUMINISTRO DE LOS MEDICAMENTOS EN LAS CANTIDADES ESTABLECIDAS EN EL ANEXO 1, EL CUAL HACE PARTE INTEGRAL DEL CONTRATO. PARA LA ESE PASTO SALUD</v>
          </cell>
          <cell r="J167">
            <v>3</v>
          </cell>
          <cell r="K167" t="str">
            <v>$6.957.500,00</v>
          </cell>
          <cell r="L167">
            <v>45728</v>
          </cell>
          <cell r="M167">
            <v>45747</v>
          </cell>
          <cell r="N167" t="str">
            <v xml:space="preserve">	NENA DEL CARMEN RAMIREZ RAMIREZ</v>
          </cell>
          <cell r="O167">
            <v>30732589</v>
          </cell>
          <cell r="P167" t="str">
            <v>contabilidad@fuertesmejia.com.co</v>
          </cell>
          <cell r="Q167">
            <v>45728</v>
          </cell>
          <cell r="R167" t="str">
            <v>ALEXANDER YELA</v>
          </cell>
          <cell r="U167" t="str">
            <v>CELEBRADO</v>
          </cell>
          <cell r="W167" t="str">
            <v>2025-0168</v>
          </cell>
          <cell r="X167" t="str">
            <v>2025-0303</v>
          </cell>
          <cell r="AJ167">
            <v>2</v>
          </cell>
          <cell r="AK167">
            <v>0</v>
          </cell>
          <cell r="AL167">
            <v>3</v>
          </cell>
          <cell r="AM167" t="str">
            <v>$6.957.500,00</v>
          </cell>
        </row>
        <row r="168">
          <cell r="A168" t="str">
            <v>167-2025</v>
          </cell>
          <cell r="B168" t="str">
            <v>COMPRAVENTA</v>
          </cell>
          <cell r="C168" t="str">
            <v>FUERTES MEJIA MEDICAMENTOS Y DISPOSITIVOS MEDICOS SAS</v>
          </cell>
          <cell r="D168" t="str">
            <v>NIT</v>
          </cell>
          <cell r="E168">
            <v>901565478</v>
          </cell>
          <cell r="F168">
            <v>1</v>
          </cell>
          <cell r="G168" t="str">
            <v xml:space="preserve">CONTRATACION DIRECTA </v>
          </cell>
          <cell r="H168">
            <v>2</v>
          </cell>
          <cell r="I168" t="str">
            <v>COMPRA VENTA DE ELEMENTOS DE ASEO PARA DOTAR LAS 23 SEDES DE LA EMPRESA SOCIAL DEL ESTADO PASTO SALUD ESE, CUYAS ESPECIFICACIONES SE RELACIONAN A CONTINUACION</v>
          </cell>
          <cell r="J168">
            <v>7</v>
          </cell>
          <cell r="K168" t="str">
            <v>$33.000.000,00</v>
          </cell>
          <cell r="L168">
            <v>45728</v>
          </cell>
          <cell r="M168">
            <v>45744</v>
          </cell>
          <cell r="N168" t="str">
            <v xml:space="preserve">	STEFANYA RAMIREZ LOPERA</v>
          </cell>
          <cell r="O168">
            <v>111247705</v>
          </cell>
          <cell r="P168" t="str">
            <v>contabilidad@fuertesmejia.com.co</v>
          </cell>
          <cell r="Q168">
            <v>45728</v>
          </cell>
          <cell r="R168" t="str">
            <v>CRISTINA ROSERO</v>
          </cell>
          <cell r="U168" t="str">
            <v>CELEBRADO</v>
          </cell>
          <cell r="W168" t="str">
            <v>2025-0092</v>
          </cell>
          <cell r="X168" t="str">
            <v>2025-0304</v>
          </cell>
          <cell r="AJ168">
            <v>2</v>
          </cell>
          <cell r="AK168">
            <v>0</v>
          </cell>
          <cell r="AL168">
            <v>3</v>
          </cell>
          <cell r="AM168" t="str">
            <v>$33.000.000,00</v>
          </cell>
        </row>
        <row r="169">
          <cell r="A169" t="str">
            <v>168-2025</v>
          </cell>
          <cell r="B169" t="str">
            <v>PRESTACION DE SERVICIOS</v>
          </cell>
          <cell r="C169" t="str">
            <v>JORGE ANDRES PATIÑO ROSERO</v>
          </cell>
          <cell r="D169" t="str">
            <v>CC</v>
          </cell>
          <cell r="E169">
            <v>87717590</v>
          </cell>
          <cell r="F169">
            <v>9</v>
          </cell>
          <cell r="G169" t="str">
            <v xml:space="preserve">CONTRATACION DIRECTA </v>
          </cell>
          <cell r="H169">
            <v>1</v>
          </cell>
          <cell r="I169" t="str">
            <v>Prestar servicios para apoyo a la gestión, encaminados a la estructuración e implementación de la estrategia de participación y divulgación a través de diferentes elementos comunicacionales para el cumplimiento de los parámetros legales para la rendición pública de cuentas de la Empresa Social del Estado Pasto Salud E.S.E.</v>
          </cell>
          <cell r="J169">
            <v>1</v>
          </cell>
          <cell r="K169" t="str">
            <v>$11.300.000</v>
          </cell>
          <cell r="L169">
            <v>45734</v>
          </cell>
          <cell r="M169">
            <v>45777</v>
          </cell>
          <cell r="N169" t="str">
            <v>ADRIAN MARTINEZ MARTINEZ</v>
          </cell>
          <cell r="O169">
            <v>12748271</v>
          </cell>
          <cell r="P169" t="str">
            <v>andres.consultor.btl@gmail.com</v>
          </cell>
          <cell r="Q169">
            <v>45734</v>
          </cell>
          <cell r="R169" t="str">
            <v>JUAN GOMEZ</v>
          </cell>
          <cell r="U169" t="str">
            <v>CELEBRADO</v>
          </cell>
          <cell r="W169" t="str">
            <v>2025-0142</v>
          </cell>
          <cell r="X169" t="str">
            <v>2025-0343</v>
          </cell>
          <cell r="AJ169">
            <v>2</v>
          </cell>
          <cell r="AK169">
            <v>0</v>
          </cell>
          <cell r="AL169">
            <v>3</v>
          </cell>
          <cell r="AM169" t="str">
            <v>$11.300.000</v>
          </cell>
        </row>
        <row r="170">
          <cell r="A170" t="str">
            <v>169-2025</v>
          </cell>
          <cell r="B170" t="str">
            <v>SUMINISTROS</v>
          </cell>
          <cell r="C170" t="str">
            <v>QUINBERLAB SAS</v>
          </cell>
          <cell r="D170" t="str">
            <v>NIT</v>
          </cell>
          <cell r="E170">
            <v>800005736</v>
          </cell>
          <cell r="F170">
            <v>7</v>
          </cell>
          <cell r="G170" t="str">
            <v xml:space="preserve">CONTRATACION DIRECTA </v>
          </cell>
          <cell r="H170">
            <v>2</v>
          </cell>
          <cell r="I170" t="str">
            <v>Suministro de reactivos e insumos para procesamiento y análisis de muestras clínicas de las áreas de Hematología, Química Sanguínea, Uroanálisis, Inmunología, Especialidad, coagulación y Gases arteriales en los laboratorios clínicos de la Empresa Social del Estado Pasto Salud ESE</v>
          </cell>
          <cell r="J170">
            <v>1</v>
          </cell>
          <cell r="K170" t="str">
            <v>$1.435.167.760</v>
          </cell>
          <cell r="L170">
            <v>45735</v>
          </cell>
          <cell r="M170">
            <v>46022</v>
          </cell>
          <cell r="N170" t="str">
            <v>LAURA XIMENA SANDOVAL REDONDO</v>
          </cell>
          <cell r="O170">
            <v>30400115</v>
          </cell>
          <cell r="P170" t="str">
            <v>contabilidad@quinberlab.com.co</v>
          </cell>
          <cell r="Q170">
            <v>45735</v>
          </cell>
          <cell r="R170" t="str">
            <v>CRISTINA ROSERO</v>
          </cell>
          <cell r="U170" t="str">
            <v>CELEBRADO</v>
          </cell>
          <cell r="W170" t="str">
            <v>2025-0133</v>
          </cell>
          <cell r="X170" t="str">
            <v>2025-0344</v>
          </cell>
          <cell r="AB170" t="str">
            <v>PRORROGA</v>
          </cell>
          <cell r="AJ170">
            <v>1</v>
          </cell>
          <cell r="AK170">
            <v>2</v>
          </cell>
          <cell r="AL170">
            <v>2</v>
          </cell>
          <cell r="AM170" t="str">
            <v>$1.435.167.760</v>
          </cell>
        </row>
        <row r="171">
          <cell r="A171" t="str">
            <v>170-2025</v>
          </cell>
          <cell r="B171" t="str">
            <v>SUMINISTROS</v>
          </cell>
          <cell r="C171" t="str">
            <v>DISTRICENG HOSPITALARIOS S.A.S</v>
          </cell>
          <cell r="D171" t="str">
            <v>NIT</v>
          </cell>
          <cell r="E171">
            <v>901721826</v>
          </cell>
          <cell r="F171">
            <v>9</v>
          </cell>
          <cell r="G171" t="str">
            <v>BIONEXO</v>
          </cell>
          <cell r="H171">
            <v>2</v>
          </cell>
          <cell r="I171" t="str">
            <v>Suministro de material odontológico para la Empresa Social del Estado PASTO SALUD ES</v>
          </cell>
          <cell r="J171">
            <v>1</v>
          </cell>
          <cell r="K171" t="str">
            <v>$6.762.338,65</v>
          </cell>
          <cell r="L171">
            <v>45834</v>
          </cell>
          <cell r="M171">
            <v>45868</v>
          </cell>
          <cell r="N171" t="str">
            <v>YOLANDA LORENA GUANCHA MEJIA</v>
          </cell>
          <cell r="O171">
            <v>36950517</v>
          </cell>
          <cell r="P171" t="str">
            <v>contabilidad.districeng@gmail.com</v>
          </cell>
          <cell r="Q171">
            <v>45834</v>
          </cell>
          <cell r="R171" t="str">
            <v>NATALIA ERAZO</v>
          </cell>
          <cell r="U171" t="str">
            <v>CELEBRADO</v>
          </cell>
          <cell r="W171" t="str">
            <v>2025-0134</v>
          </cell>
          <cell r="X171" t="str">
            <v>2025-0349</v>
          </cell>
          <cell r="AB171" t="str">
            <v>ADICION Y PRORROGA</v>
          </cell>
          <cell r="AJ171">
            <v>1</v>
          </cell>
          <cell r="AK171">
            <v>3</v>
          </cell>
          <cell r="AL171">
            <v>2</v>
          </cell>
          <cell r="AM171" t="str">
            <v>$6.762.338,65</v>
          </cell>
        </row>
        <row r="172">
          <cell r="A172" t="str">
            <v>171-2025</v>
          </cell>
          <cell r="B172" t="str">
            <v>COMPRAVENTA</v>
          </cell>
          <cell r="C172" t="str">
            <v>INFORTEC SOLUCIONES S.A.S</v>
          </cell>
          <cell r="D172" t="str">
            <v>NIT</v>
          </cell>
          <cell r="E172">
            <v>900991717</v>
          </cell>
          <cell r="F172">
            <v>8</v>
          </cell>
          <cell r="G172" t="str">
            <v xml:space="preserve">CONTRATACION DIRECTA </v>
          </cell>
          <cell r="H172">
            <v>2</v>
          </cell>
          <cell r="I172" t="str">
            <v xml:space="preserve">	COMPRAVENTA LICENCIAS ENDPOINT ANTIVIRUSANTIRANSOMWARE SOPHOS</v>
          </cell>
          <cell r="J172">
            <v>1</v>
          </cell>
          <cell r="K172" t="str">
            <v>$46.635.220,00</v>
          </cell>
          <cell r="L172">
            <v>45742</v>
          </cell>
          <cell r="M172">
            <v>45773</v>
          </cell>
          <cell r="N172" t="str">
            <v>LYDA ARGELIS PABON LOPEZ</v>
          </cell>
          <cell r="O172">
            <v>52229702</v>
          </cell>
          <cell r="P172" t="str">
            <v>lideradministrativa@infortec.co</v>
          </cell>
          <cell r="Q172">
            <v>45742</v>
          </cell>
          <cell r="R172" t="str">
            <v>CRISTINA ROSERO</v>
          </cell>
          <cell r="U172" t="str">
            <v>CELEBRADO</v>
          </cell>
          <cell r="W172" t="str">
            <v>2025-0165</v>
          </cell>
          <cell r="X172" t="str">
            <v>2025-0350</v>
          </cell>
          <cell r="AJ172">
            <v>2</v>
          </cell>
          <cell r="AK172">
            <v>0</v>
          </cell>
          <cell r="AL172">
            <v>2</v>
          </cell>
          <cell r="AM172" t="str">
            <v>$46.635.220,00</v>
          </cell>
        </row>
        <row r="173">
          <cell r="A173" t="str">
            <v>172-2025</v>
          </cell>
          <cell r="B173" t="str">
            <v>COMPRAVENTA</v>
          </cell>
          <cell r="C173" t="str">
            <v>NUVA S.A.S.</v>
          </cell>
          <cell r="D173" t="str">
            <v>NIT</v>
          </cell>
          <cell r="E173">
            <v>900480786</v>
          </cell>
          <cell r="F173">
            <v>3</v>
          </cell>
          <cell r="G173" t="str">
            <v xml:space="preserve">CONTRATACION DIRECTA </v>
          </cell>
          <cell r="H173">
            <v>2</v>
          </cell>
          <cell r="I173" t="str">
            <v>COMPRAVENTA LICENCIA PARA EL USO DE LA PLATAFORMA WORKSPACE, PARA LA ESE PASTO SALUD E</v>
          </cell>
          <cell r="J173">
            <v>1</v>
          </cell>
          <cell r="K173" t="str">
            <v>$159.168.786,85</v>
          </cell>
          <cell r="L173">
            <v>45743</v>
          </cell>
          <cell r="M173">
            <v>46022</v>
          </cell>
          <cell r="N173" t="str">
            <v>LYDA ARGELIS PABON LOPEZ</v>
          </cell>
          <cell r="O173">
            <v>52229702</v>
          </cell>
          <cell r="P173" t="str">
            <v>gerencia@nuva.co</v>
          </cell>
          <cell r="Q173">
            <v>45743</v>
          </cell>
          <cell r="R173" t="str">
            <v>ALEXANDER YELA</v>
          </cell>
          <cell r="U173" t="str">
            <v>CELEBRADO</v>
          </cell>
          <cell r="W173" t="str">
            <v>2025-0164</v>
          </cell>
          <cell r="X173" t="str">
            <v>2025-0351</v>
          </cell>
          <cell r="AJ173">
            <v>2</v>
          </cell>
          <cell r="AK173">
            <v>0</v>
          </cell>
          <cell r="AL173">
            <v>2</v>
          </cell>
          <cell r="AM173" t="str">
            <v>$159.168.786,85</v>
          </cell>
        </row>
        <row r="174">
          <cell r="A174" t="str">
            <v>173-2025</v>
          </cell>
          <cell r="B174" t="str">
            <v>PRESTACION DE SERVICIOS</v>
          </cell>
          <cell r="C174" t="str">
            <v>RISKS INTERNATIONAL S.A.S</v>
          </cell>
          <cell r="D174" t="str">
            <v>NIT</v>
          </cell>
          <cell r="E174">
            <v>900352786</v>
          </cell>
          <cell r="F174">
            <v>5</v>
          </cell>
          <cell r="G174" t="str">
            <v xml:space="preserve">CONTRATACION DIRECTA </v>
          </cell>
          <cell r="H174">
            <v>2</v>
          </cell>
          <cell r="I174" t="str">
            <v>Prestar el servicio de validación de listas restrictivas, cautelares y sancionatorias a través del sistema de información App Web Compliance</v>
          </cell>
          <cell r="J174">
            <v>1</v>
          </cell>
          <cell r="K174" t="str">
            <v>$3.785.200,00</v>
          </cell>
          <cell r="L174">
            <v>45743</v>
          </cell>
          <cell r="M174">
            <v>46022</v>
          </cell>
          <cell r="N174" t="str">
            <v>LYDA ARGELIS PABON LOPEZ</v>
          </cell>
          <cell r="O174">
            <v>52229702</v>
          </cell>
          <cell r="P174" t="str">
            <v>contactos@risksint.com</v>
          </cell>
          <cell r="Q174">
            <v>45743</v>
          </cell>
          <cell r="R174" t="str">
            <v>NATALIA ERAZO</v>
          </cell>
          <cell r="U174" t="str">
            <v>CELEBRADO</v>
          </cell>
          <cell r="W174" t="str">
            <v>2025-0151</v>
          </cell>
          <cell r="X174" t="str">
            <v>2025-0354</v>
          </cell>
          <cell r="AJ174">
            <v>2</v>
          </cell>
          <cell r="AK174">
            <v>0</v>
          </cell>
          <cell r="AL174">
            <v>2</v>
          </cell>
          <cell r="AM174" t="str">
            <v>$3.785.200</v>
          </cell>
        </row>
        <row r="175">
          <cell r="A175" t="str">
            <v>174-2025</v>
          </cell>
          <cell r="B175" t="str">
            <v>SUMINISTROS</v>
          </cell>
          <cell r="C175" t="str">
            <v>DISFARMA GC S.A.S</v>
          </cell>
          <cell r="D175" t="str">
            <v>NIT</v>
          </cell>
          <cell r="E175">
            <v>900580962</v>
          </cell>
          <cell r="F175">
            <v>2</v>
          </cell>
          <cell r="G175" t="str">
            <v>BIONEXO</v>
          </cell>
          <cell r="H175">
            <v>2</v>
          </cell>
          <cell r="I175" t="str">
            <v xml:space="preserve">EL CONTRATISTA SE OBLIGA AL SUMINISTRO DE LOS MEDICAMENTOS EN LAS CANTIDADES ESTABLECIDAS EN EL ANEXO 1, EL CUAL HACE PARTE INTEGRAL DEL CONTRATO, PARA LA ESE PASTO SALUD. </v>
          </cell>
          <cell r="J175">
            <v>3</v>
          </cell>
          <cell r="K175" t="str">
            <v>$466.388.876,00</v>
          </cell>
          <cell r="L175">
            <v>45747</v>
          </cell>
          <cell r="M175">
            <v>45838</v>
          </cell>
          <cell r="N175" t="str">
            <v xml:space="preserve">	NENA DEL CARMEN RAMIREZ RAMIREZ</v>
          </cell>
          <cell r="O175">
            <v>30732589</v>
          </cell>
          <cell r="P175" t="str">
            <v>rocio.medina@disfarma.com.co</v>
          </cell>
          <cell r="Q175">
            <v>45747</v>
          </cell>
          <cell r="R175" t="str">
            <v>ALEXANDER YELA</v>
          </cell>
          <cell r="U175" t="str">
            <v>CELEBRADO</v>
          </cell>
          <cell r="W175" t="str">
            <v>2025-0170</v>
          </cell>
          <cell r="X175" t="str">
            <v>2025-0355</v>
          </cell>
          <cell r="AJ175">
            <v>2</v>
          </cell>
          <cell r="AK175">
            <v>0</v>
          </cell>
          <cell r="AL175">
            <v>2</v>
          </cell>
          <cell r="AM175" t="str">
            <v>$466.388.876,00</v>
          </cell>
        </row>
        <row r="176">
          <cell r="A176" t="str">
            <v>175-2025</v>
          </cell>
          <cell r="B176" t="str">
            <v>SUMINISTROS</v>
          </cell>
          <cell r="C176" t="str">
            <v>DISCOLMETS S.A.S.</v>
          </cell>
          <cell r="D176" t="str">
            <v>NIT</v>
          </cell>
          <cell r="E176">
            <v>828002423</v>
          </cell>
          <cell r="F176">
            <v>5</v>
          </cell>
          <cell r="G176" t="str">
            <v>BIONEXO</v>
          </cell>
          <cell r="H176">
            <v>2</v>
          </cell>
          <cell r="I176" t="str">
            <v>El contratista se obliga al suministro de los medicamentos en las cantidades establecidas en el anexo 1, el cual hace parte integral del contrato. Para la ESE Pasto Salud</v>
          </cell>
          <cell r="J176">
            <v>3</v>
          </cell>
          <cell r="K176" t="str">
            <v xml:space="preserve">$10.163.201,00	</v>
          </cell>
          <cell r="L176">
            <v>45747</v>
          </cell>
          <cell r="M176">
            <v>45838</v>
          </cell>
          <cell r="N176" t="str">
            <v xml:space="preserve">	NENA DEL CARMEN RAMIREZ RAMIREZ</v>
          </cell>
          <cell r="O176">
            <v>30732589</v>
          </cell>
          <cell r="P176" t="str">
            <v>gerencia@discolmedica.com.co</v>
          </cell>
          <cell r="Q176">
            <v>45747</v>
          </cell>
          <cell r="R176" t="str">
            <v>CRISTINA ROSERO</v>
          </cell>
          <cell r="U176" t="str">
            <v>CELEBRADO</v>
          </cell>
          <cell r="W176" t="str">
            <v>2025-0170</v>
          </cell>
          <cell r="X176" t="str">
            <v>2025-0356</v>
          </cell>
          <cell r="AJ176">
            <v>2</v>
          </cell>
          <cell r="AK176">
            <v>0</v>
          </cell>
          <cell r="AL176">
            <v>2</v>
          </cell>
          <cell r="AM176" t="str">
            <v>$10.163.201</v>
          </cell>
        </row>
        <row r="177">
          <cell r="A177" t="str">
            <v>176-2025</v>
          </cell>
          <cell r="B177" t="str">
            <v>PRESTACION DE SERVICIOS</v>
          </cell>
          <cell r="C177" t="str">
            <v>JORGE LUIS CARVAJAL GUACHAVEZ</v>
          </cell>
          <cell r="D177" t="str">
            <v>CC</v>
          </cell>
          <cell r="E177">
            <v>1085325342</v>
          </cell>
          <cell r="F177">
            <v>1</v>
          </cell>
          <cell r="G177" t="str">
            <v xml:space="preserve">CONTRATACION DIRECTA </v>
          </cell>
          <cell r="H177">
            <v>1</v>
          </cell>
          <cell r="I177"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J177">
            <v>1</v>
          </cell>
          <cell r="K177" t="str">
            <v>$9.500.000,00</v>
          </cell>
          <cell r="L177">
            <v>45748</v>
          </cell>
          <cell r="M177">
            <v>45808</v>
          </cell>
          <cell r="N177" t="str">
            <v>RIGOBERTO MELO ZAMBRANO</v>
          </cell>
          <cell r="O177">
            <v>98333941</v>
          </cell>
          <cell r="P177" t="str">
            <v>gorgeluigi@hotmail.com</v>
          </cell>
          <cell r="Q177">
            <v>45748</v>
          </cell>
          <cell r="R177" t="str">
            <v>CRISTINA ROSERO</v>
          </cell>
          <cell r="U177" t="str">
            <v>CELEBRADO</v>
          </cell>
          <cell r="W177" t="str">
            <v>2025-0177</v>
          </cell>
          <cell r="X177" t="str">
            <v>2025-0358</v>
          </cell>
          <cell r="AJ177">
            <v>2</v>
          </cell>
          <cell r="AK177">
            <v>0</v>
          </cell>
          <cell r="AL177">
            <v>3</v>
          </cell>
          <cell r="AM177" t="str">
            <v>$9.500.000</v>
          </cell>
        </row>
        <row r="178">
          <cell r="A178" t="str">
            <v>177-2025</v>
          </cell>
          <cell r="B178" t="str">
            <v>PRESTACION DE SERVICIOS</v>
          </cell>
          <cell r="C178" t="str">
            <v>JENIFER AREVALO CRIOLLO</v>
          </cell>
          <cell r="D178" t="str">
            <v>CC</v>
          </cell>
          <cell r="E178">
            <v>1085318684</v>
          </cell>
          <cell r="F178">
            <v>4</v>
          </cell>
          <cell r="G178" t="str">
            <v xml:space="preserve">CONTRATACION DIRECTA </v>
          </cell>
          <cell r="H178">
            <v>1</v>
          </cell>
          <cell r="I17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J178">
            <v>1</v>
          </cell>
          <cell r="K178" t="str">
            <v>$9.500.000,00</v>
          </cell>
          <cell r="L178">
            <v>45748</v>
          </cell>
          <cell r="M178">
            <v>45808</v>
          </cell>
          <cell r="N178" t="str">
            <v>MARY ALEXANDRA ROSERO BENAVIDES</v>
          </cell>
          <cell r="O178">
            <v>43624414</v>
          </cell>
          <cell r="P178" t="str">
            <v>jenniifer flq@hotmail.com</v>
          </cell>
          <cell r="Q178">
            <v>45748</v>
          </cell>
          <cell r="R178" t="str">
            <v>ALEXANDER YELA</v>
          </cell>
          <cell r="U178" t="str">
            <v>CELEBRADO</v>
          </cell>
          <cell r="W178" t="str">
            <v>2025-0177</v>
          </cell>
          <cell r="X178" t="str">
            <v>2025-0359</v>
          </cell>
          <cell r="AJ178">
            <v>2</v>
          </cell>
          <cell r="AK178">
            <v>0</v>
          </cell>
          <cell r="AL178">
            <v>3</v>
          </cell>
          <cell r="AM178" t="str">
            <v>$9.500.000,00</v>
          </cell>
        </row>
        <row r="179">
          <cell r="A179" t="str">
            <v>178-2025</v>
          </cell>
          <cell r="B179" t="str">
            <v>PRESTACION DE SERVICIOS</v>
          </cell>
          <cell r="C179" t="str">
            <v>CINDY ESTEFANIE GONZALEZ DEL CASTILLO</v>
          </cell>
          <cell r="D179" t="str">
            <v>CC</v>
          </cell>
          <cell r="E179">
            <v>1085303067</v>
          </cell>
          <cell r="F179">
            <v>4</v>
          </cell>
          <cell r="G179" t="str">
            <v xml:space="preserve">CONTRATACION DIRECTA </v>
          </cell>
          <cell r="H179">
            <v>1</v>
          </cell>
          <cell r="I17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ell>
          <cell r="J179">
            <v>1</v>
          </cell>
          <cell r="K179" t="str">
            <v>$9.500.000,00</v>
          </cell>
          <cell r="L179">
            <v>45748</v>
          </cell>
          <cell r="M179">
            <v>45808</v>
          </cell>
          <cell r="N179" t="str">
            <v>RIGOBERTO MELO ZAMBRANO</v>
          </cell>
          <cell r="O179">
            <v>98333941</v>
          </cell>
          <cell r="P179" t="str">
            <v xml:space="preserve">Cindy doc1223@gmail.com </v>
          </cell>
          <cell r="Q179">
            <v>45748</v>
          </cell>
          <cell r="R179" t="str">
            <v>ANDRES GUERRA</v>
          </cell>
          <cell r="U179" t="str">
            <v>CELEBRADO</v>
          </cell>
          <cell r="W179" t="str">
            <v>2025-0177</v>
          </cell>
          <cell r="X179" t="str">
            <v>2025-0360</v>
          </cell>
          <cell r="AJ179">
            <v>2</v>
          </cell>
          <cell r="AK179">
            <v>0</v>
          </cell>
          <cell r="AL179">
            <v>3</v>
          </cell>
          <cell r="AM179" t="str">
            <v>$9.500.000,00</v>
          </cell>
        </row>
        <row r="180">
          <cell r="A180" t="str">
            <v>179-2025</v>
          </cell>
          <cell r="B180" t="str">
            <v>PRESTACION DE SERVICIOS</v>
          </cell>
          <cell r="C180" t="str">
            <v>NICOLAS ALEJANDRO ROSERO MORILLO</v>
          </cell>
          <cell r="D180" t="str">
            <v>CC</v>
          </cell>
          <cell r="E180">
            <v>1085324891</v>
          </cell>
          <cell r="F180">
            <v>7</v>
          </cell>
          <cell r="G180" t="str">
            <v xml:space="preserve">CONTRATACION DIRECTA </v>
          </cell>
          <cell r="H180">
            <v>1</v>
          </cell>
          <cell r="I180"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180">
            <v>1</v>
          </cell>
          <cell r="K180" t="str">
            <v>$ 9.650.000</v>
          </cell>
          <cell r="L180">
            <v>45748</v>
          </cell>
          <cell r="M180">
            <v>45808</v>
          </cell>
          <cell r="N180" t="str">
            <v>MARY ALEXANDRA ROSERO BENAVIDES</v>
          </cell>
          <cell r="O180">
            <v>43624414</v>
          </cell>
          <cell r="P180" t="str">
            <v>nicolasalejandrorosero@gmail.com</v>
          </cell>
          <cell r="Q180">
            <v>45748</v>
          </cell>
          <cell r="R180" t="str">
            <v>JUAN GOMEZ</v>
          </cell>
          <cell r="U180" t="str">
            <v>CELEBRADO</v>
          </cell>
          <cell r="W180" t="str">
            <v>2025-0177</v>
          </cell>
          <cell r="X180" t="str">
            <v>2025-0361</v>
          </cell>
          <cell r="AJ180">
            <v>2</v>
          </cell>
          <cell r="AK180">
            <v>0</v>
          </cell>
          <cell r="AL180">
            <v>3</v>
          </cell>
          <cell r="AM180" t="str">
            <v>$9.650.000</v>
          </cell>
        </row>
        <row r="181">
          <cell r="A181" t="str">
            <v>180-2025</v>
          </cell>
          <cell r="B181" t="str">
            <v>PRESTACION DE SERVICIOS</v>
          </cell>
          <cell r="C181" t="str">
            <v>VIVIANA MERCEDES PIZANO PORTILLA</v>
          </cell>
          <cell r="D181" t="str">
            <v>CC</v>
          </cell>
          <cell r="E181">
            <v>1085265622</v>
          </cell>
          <cell r="F181">
            <v>9</v>
          </cell>
          <cell r="G181" t="str">
            <v xml:space="preserve">CONTRATACION DIRECTA </v>
          </cell>
          <cell r="H181">
            <v>1</v>
          </cell>
          <cell r="I181"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181">
            <v>1</v>
          </cell>
          <cell r="K181" t="str">
            <v>$ 9.650.000</v>
          </cell>
          <cell r="L181">
            <v>45748</v>
          </cell>
          <cell r="M181">
            <v>45808</v>
          </cell>
          <cell r="N181" t="str">
            <v>DEYANIRA BADOS DAZA</v>
          </cell>
          <cell r="O181">
            <v>59836926</v>
          </cell>
          <cell r="P181" t="str">
            <v>vivianapizano01@gmail.com</v>
          </cell>
          <cell r="Q181">
            <v>45748</v>
          </cell>
          <cell r="R181" t="str">
            <v>JUAN GOMEZ</v>
          </cell>
          <cell r="U181" t="str">
            <v>CELEBRADO</v>
          </cell>
          <cell r="W181" t="str">
            <v>2025-0177</v>
          </cell>
          <cell r="X181" t="str">
            <v>2025-0362</v>
          </cell>
          <cell r="AJ181">
            <v>2</v>
          </cell>
          <cell r="AK181">
            <v>0</v>
          </cell>
          <cell r="AL181">
            <v>3</v>
          </cell>
          <cell r="AM181" t="str">
            <v>$9.650.000</v>
          </cell>
        </row>
        <row r="182">
          <cell r="A182" t="str">
            <v>181-2025</v>
          </cell>
          <cell r="B182" t="str">
            <v>PRESTACION DE SERVICIOS</v>
          </cell>
          <cell r="C182" t="str">
            <v>ADRIANA YORLADY ARMERO BURBANO</v>
          </cell>
          <cell r="D182" t="str">
            <v>CC</v>
          </cell>
          <cell r="E182">
            <v>27087851</v>
          </cell>
          <cell r="F182">
            <v>3</v>
          </cell>
          <cell r="G182" t="str">
            <v xml:space="preserve">CONTRATACION DIRECTA </v>
          </cell>
          <cell r="H182">
            <v>1</v>
          </cell>
          <cell r="I182"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182">
            <v>1</v>
          </cell>
          <cell r="K182" t="str">
            <v>$ 9.650.000</v>
          </cell>
          <cell r="L182">
            <v>45748</v>
          </cell>
          <cell r="M182">
            <v>45808</v>
          </cell>
          <cell r="N182" t="str">
            <v>RIGOBERTO MELO ZAMBRANO</v>
          </cell>
          <cell r="O182">
            <v>98333941</v>
          </cell>
          <cell r="P182" t="str">
            <v>adrianayorlady@hotmail.com</v>
          </cell>
          <cell r="Q182">
            <v>45748</v>
          </cell>
          <cell r="R182" t="str">
            <v>JUAN GOMEZ</v>
          </cell>
          <cell r="U182" t="str">
            <v>CELEBRADO</v>
          </cell>
          <cell r="W182" t="str">
            <v>2025-0177</v>
          </cell>
          <cell r="X182" t="str">
            <v>2025-0374</v>
          </cell>
          <cell r="AJ182">
            <v>2</v>
          </cell>
          <cell r="AK182">
            <v>0</v>
          </cell>
          <cell r="AL182">
            <v>3</v>
          </cell>
          <cell r="AM182" t="str">
            <v>$9.650.000</v>
          </cell>
        </row>
        <row r="183">
          <cell r="A183" t="str">
            <v>182-2025</v>
          </cell>
          <cell r="B183" t="str">
            <v>PRESTACION DE SERVICIOS</v>
          </cell>
          <cell r="C183" t="str">
            <v>KAROL DAYANA TONGUINO TORO</v>
          </cell>
          <cell r="D183" t="str">
            <v>CC</v>
          </cell>
          <cell r="E183">
            <v>1137624011</v>
          </cell>
          <cell r="F183">
            <v>8</v>
          </cell>
          <cell r="G183" t="str">
            <v xml:space="preserve">CONTRATACION DIRECTA </v>
          </cell>
          <cell r="H183">
            <v>1</v>
          </cell>
          <cell r="I18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3">
            <v>1</v>
          </cell>
          <cell r="K183" t="str">
            <v>$6.000.000,00</v>
          </cell>
          <cell r="L183">
            <v>45748</v>
          </cell>
          <cell r="M183">
            <v>45808</v>
          </cell>
          <cell r="N183" t="str">
            <v>DEYANIRA BADOS DAZA</v>
          </cell>
          <cell r="O183">
            <v>59836926</v>
          </cell>
          <cell r="P183" t="str">
            <v>Dtonguino7@gmail.com</v>
          </cell>
          <cell r="Q183">
            <v>45748</v>
          </cell>
          <cell r="R183" t="str">
            <v>NATALIA ERAZO</v>
          </cell>
          <cell r="U183" t="str">
            <v>CELEBRADO</v>
          </cell>
          <cell r="W183" t="str">
            <v>2025-0177</v>
          </cell>
          <cell r="X183" t="str">
            <v>2025-0363</v>
          </cell>
          <cell r="AJ183">
            <v>2</v>
          </cell>
          <cell r="AK183">
            <v>0</v>
          </cell>
          <cell r="AL183">
            <v>3</v>
          </cell>
          <cell r="AM183" t="str">
            <v>$6.000.000,00</v>
          </cell>
        </row>
        <row r="184">
          <cell r="A184" t="str">
            <v>183-2025</v>
          </cell>
          <cell r="B184" t="str">
            <v>PRESTACION DE SERVICIOS</v>
          </cell>
          <cell r="C184" t="str">
            <v>DIANA CAROLINA ORTEGA CAICEDO</v>
          </cell>
          <cell r="D184" t="str">
            <v>CC</v>
          </cell>
          <cell r="E184">
            <v>1085286725</v>
          </cell>
          <cell r="F184">
            <v>9</v>
          </cell>
          <cell r="G184" t="str">
            <v xml:space="preserve">CONTRATACION DIRECTA </v>
          </cell>
          <cell r="H184">
            <v>1</v>
          </cell>
          <cell r="I18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184">
            <v>1</v>
          </cell>
          <cell r="K184" t="str">
            <v>$6.000.000,00</v>
          </cell>
          <cell r="L184">
            <v>45748</v>
          </cell>
          <cell r="M184">
            <v>45808</v>
          </cell>
          <cell r="N184" t="str">
            <v>MARY ALEXANDRA ROSERO BENAVIDES</v>
          </cell>
          <cell r="O184">
            <v>43624414</v>
          </cell>
          <cell r="P184" t="str">
            <v>carito011190ortega@hotmail.com</v>
          </cell>
          <cell r="Q184">
            <v>45748</v>
          </cell>
          <cell r="R184" t="str">
            <v>NATALIA ERAZO</v>
          </cell>
          <cell r="U184" t="str">
            <v>CELEBRADO</v>
          </cell>
          <cell r="W184" t="str">
            <v>2025-0177</v>
          </cell>
          <cell r="X184" t="str">
            <v>2025-0364</v>
          </cell>
          <cell r="AJ184">
            <v>2</v>
          </cell>
          <cell r="AK184">
            <v>0</v>
          </cell>
          <cell r="AL184">
            <v>3</v>
          </cell>
          <cell r="AM184" t="str">
            <v>$6.000.000,00</v>
          </cell>
        </row>
        <row r="185">
          <cell r="A185" t="str">
            <v>184-2025</v>
          </cell>
          <cell r="B185" t="str">
            <v>PRESTACION DE SERVICIOS</v>
          </cell>
          <cell r="C185" t="str">
            <v>KELLY YURANY JOJOA BOTINA</v>
          </cell>
          <cell r="D185" t="str">
            <v>CC</v>
          </cell>
          <cell r="E185">
            <v>1085339190</v>
          </cell>
          <cell r="F185">
            <v>8</v>
          </cell>
          <cell r="G185" t="str">
            <v xml:space="preserve">CONTRATACION DIRECTA </v>
          </cell>
          <cell r="H185">
            <v>1</v>
          </cell>
          <cell r="I18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5">
            <v>1</v>
          </cell>
          <cell r="K185" t="str">
            <v>$6.000.000,00</v>
          </cell>
          <cell r="L185">
            <v>45748</v>
          </cell>
          <cell r="M185">
            <v>45808</v>
          </cell>
          <cell r="N185" t="str">
            <v>RODRIGO DE JESUS VITERI MORENO</v>
          </cell>
          <cell r="O185">
            <v>98390119</v>
          </cell>
          <cell r="P185" t="str">
            <v>kellyjojoa1998@gmail.com</v>
          </cell>
          <cell r="Q185">
            <v>45748</v>
          </cell>
          <cell r="R185" t="str">
            <v>JUAN GOMEZ</v>
          </cell>
          <cell r="U185" t="str">
            <v>CELEBRADO</v>
          </cell>
          <cell r="W185" t="str">
            <v>2025-0177</v>
          </cell>
          <cell r="X185" t="str">
            <v>2025-0365</v>
          </cell>
          <cell r="AJ185">
            <v>2</v>
          </cell>
          <cell r="AK185">
            <v>0</v>
          </cell>
          <cell r="AL185">
            <v>3</v>
          </cell>
          <cell r="AM185" t="str">
            <v>$6.000.000,00</v>
          </cell>
        </row>
        <row r="186">
          <cell r="A186" t="str">
            <v>185-2025</v>
          </cell>
          <cell r="B186" t="str">
            <v>PRESTACION DE SERVICIOS</v>
          </cell>
          <cell r="C186" t="str">
            <v>INES MERCEDES LOPEZ TORRES</v>
          </cell>
          <cell r="D186" t="str">
            <v>CC</v>
          </cell>
          <cell r="E186">
            <v>59816986</v>
          </cell>
          <cell r="F186">
            <v>4</v>
          </cell>
          <cell r="G186" t="str">
            <v xml:space="preserve">CONTRATACION DIRECTA </v>
          </cell>
          <cell r="H186">
            <v>1</v>
          </cell>
          <cell r="I186"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6">
            <v>1</v>
          </cell>
          <cell r="K186" t="str">
            <v>$9.500.000</v>
          </cell>
          <cell r="L186">
            <v>45748</v>
          </cell>
          <cell r="M186">
            <v>45808</v>
          </cell>
          <cell r="N186" t="str">
            <v>RODRIGO DE JESUS VITERI MORENO</v>
          </cell>
          <cell r="O186">
            <v>98390119</v>
          </cell>
          <cell r="P186" t="str">
            <v>inesmercedestorres@yahoo.es</v>
          </cell>
          <cell r="Q186">
            <v>45748</v>
          </cell>
          <cell r="R186" t="str">
            <v>CRISTINA ROSERO</v>
          </cell>
          <cell r="U186" t="str">
            <v>CELEBRADO</v>
          </cell>
          <cell r="W186" t="str">
            <v>2025-0177</v>
          </cell>
          <cell r="X186" t="str">
            <v>2025-0366</v>
          </cell>
          <cell r="AJ186">
            <v>2</v>
          </cell>
          <cell r="AK186">
            <v>0</v>
          </cell>
          <cell r="AL186">
            <v>3</v>
          </cell>
          <cell r="AM186" t="str">
            <v>$9.500.000</v>
          </cell>
        </row>
        <row r="187">
          <cell r="A187" t="str">
            <v>186-2025</v>
          </cell>
          <cell r="B187" t="str">
            <v>PRESTACION DE SERVICIOS</v>
          </cell>
          <cell r="C187" t="str">
            <v>MARIA DE LOS ANGELES ACOSTA ROSERO</v>
          </cell>
          <cell r="D187" t="str">
            <v>CC</v>
          </cell>
          <cell r="E187">
            <v>1193383306</v>
          </cell>
          <cell r="F187">
            <v>3</v>
          </cell>
          <cell r="G187" t="str">
            <v xml:space="preserve">CONTRATACION DIRECTA </v>
          </cell>
          <cell r="H187">
            <v>1</v>
          </cell>
          <cell r="I187"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7">
            <v>1</v>
          </cell>
          <cell r="K187" t="str">
            <v>$9.500.000</v>
          </cell>
          <cell r="L187">
            <v>45748</v>
          </cell>
          <cell r="M187">
            <v>45808</v>
          </cell>
          <cell r="N187" t="str">
            <v>DEYANIRA BADOS DAZA</v>
          </cell>
          <cell r="O187">
            <v>59836926</v>
          </cell>
          <cell r="P187" t="str">
            <v>maar010204@gmail.com</v>
          </cell>
          <cell r="Q187">
            <v>45748</v>
          </cell>
          <cell r="R187" t="str">
            <v>ELIANA BENAVIDES</v>
          </cell>
          <cell r="U187" t="str">
            <v>CELEBRADO</v>
          </cell>
          <cell r="W187" t="str">
            <v>2025-0177</v>
          </cell>
          <cell r="X187" t="str">
            <v>2025-0367</v>
          </cell>
          <cell r="AJ187">
            <v>2</v>
          </cell>
          <cell r="AK187">
            <v>0</v>
          </cell>
          <cell r="AL187">
            <v>3</v>
          </cell>
          <cell r="AM187" t="str">
            <v>$9.500.000</v>
          </cell>
        </row>
        <row r="188">
          <cell r="A188" t="str">
            <v>187-2025</v>
          </cell>
          <cell r="B188" t="str">
            <v>PRESTACION DE SERVICIOS</v>
          </cell>
          <cell r="C188" t="str">
            <v>DIANA MARIA ERASO</v>
          </cell>
          <cell r="D188" t="str">
            <v>CC</v>
          </cell>
          <cell r="E188">
            <v>59551018</v>
          </cell>
          <cell r="F188">
            <v>1</v>
          </cell>
          <cell r="G188" t="str">
            <v xml:space="preserve">CONTRATACION DIRECTA </v>
          </cell>
          <cell r="H188">
            <v>1</v>
          </cell>
          <cell r="I18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8">
            <v>1</v>
          </cell>
          <cell r="K188" t="str">
            <v>$9.500.000</v>
          </cell>
          <cell r="L188">
            <v>45748</v>
          </cell>
          <cell r="M188">
            <v>45808</v>
          </cell>
          <cell r="N188" t="str">
            <v>RIGOBERTO MELO ZAMBRANO</v>
          </cell>
          <cell r="O188">
            <v>98333941</v>
          </cell>
          <cell r="P188" t="str">
            <v>dianaeraso99@gmail.com</v>
          </cell>
          <cell r="Q188">
            <v>45748</v>
          </cell>
          <cell r="R188" t="str">
            <v>CRISTINA ROSERO</v>
          </cell>
          <cell r="U188" t="str">
            <v>CELEBRADO</v>
          </cell>
          <cell r="W188" t="str">
            <v>2025-0177</v>
          </cell>
          <cell r="X188" t="str">
            <v>2025-0368</v>
          </cell>
          <cell r="AJ188">
            <v>2</v>
          </cell>
          <cell r="AK188">
            <v>0</v>
          </cell>
          <cell r="AL188">
            <v>3</v>
          </cell>
          <cell r="AM188" t="str">
            <v>$9.500.000</v>
          </cell>
        </row>
        <row r="189">
          <cell r="A189" t="str">
            <v>188-2025</v>
          </cell>
          <cell r="B189" t="str">
            <v>PRESTACION DE SERVICIOS</v>
          </cell>
          <cell r="C189" t="str">
            <v>PATRICIA YOLANDA PAZ DELGADO</v>
          </cell>
          <cell r="D189" t="str">
            <v>CC</v>
          </cell>
          <cell r="E189">
            <v>59834953</v>
          </cell>
          <cell r="F189">
            <v>8</v>
          </cell>
          <cell r="G189" t="str">
            <v xml:space="preserve">CONTRATACION DIRECTA </v>
          </cell>
          <cell r="H189">
            <v>1</v>
          </cell>
          <cell r="I18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89">
            <v>1</v>
          </cell>
          <cell r="K189" t="str">
            <v>$6.000.000,00</v>
          </cell>
          <cell r="L189">
            <v>45748</v>
          </cell>
          <cell r="M189">
            <v>45808</v>
          </cell>
          <cell r="N189" t="str">
            <v>RIGOBERTO MELO ZAMBRANO</v>
          </cell>
          <cell r="O189">
            <v>98333941</v>
          </cell>
          <cell r="P189" t="str">
            <v>pypaz3127266560@gmail.com</v>
          </cell>
          <cell r="Q189">
            <v>45748</v>
          </cell>
          <cell r="R189" t="str">
            <v>ELIANA BENAVIDES</v>
          </cell>
          <cell r="U189" t="str">
            <v>CELEBRADO</v>
          </cell>
          <cell r="W189" t="str">
            <v>2025-0177</v>
          </cell>
          <cell r="X189" t="str">
            <v>2025-0369</v>
          </cell>
          <cell r="AJ189">
            <v>2</v>
          </cell>
          <cell r="AK189">
            <v>0</v>
          </cell>
          <cell r="AL189">
            <v>3</v>
          </cell>
          <cell r="AM189" t="str">
            <v>$6.000.000,00</v>
          </cell>
        </row>
        <row r="190">
          <cell r="A190" t="str">
            <v>189-2025</v>
          </cell>
          <cell r="B190" t="str">
            <v>PRESTACION DE SERVICIOS</v>
          </cell>
          <cell r="C190" t="str">
            <v>DIANA SOFIA AYALA DIAZ</v>
          </cell>
          <cell r="D190" t="str">
            <v>CC</v>
          </cell>
          <cell r="E190">
            <v>1085288636</v>
          </cell>
          <cell r="F190">
            <v>0</v>
          </cell>
          <cell r="G190" t="str">
            <v xml:space="preserve">CONTRATACION DIRECTA </v>
          </cell>
          <cell r="H190">
            <v>1</v>
          </cell>
          <cell r="I19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190">
            <v>1</v>
          </cell>
          <cell r="K190" t="str">
            <v>$6.000.000,00</v>
          </cell>
          <cell r="L190">
            <v>45748</v>
          </cell>
          <cell r="M190">
            <v>45808</v>
          </cell>
          <cell r="N190" t="str">
            <v>MARY ALEXANDRA ROSERO BENAVIDES</v>
          </cell>
          <cell r="O190">
            <v>43624414</v>
          </cell>
          <cell r="P190" t="str">
            <v>dianasofiaad32@gmail.com.</v>
          </cell>
          <cell r="Q190">
            <v>45748</v>
          </cell>
          <cell r="R190" t="str">
            <v>ANDRES GUERRA</v>
          </cell>
          <cell r="U190" t="str">
            <v>CELEBRADO</v>
          </cell>
          <cell r="W190" t="str">
            <v>2025-0177</v>
          </cell>
          <cell r="X190" t="str">
            <v>2025-0370</v>
          </cell>
          <cell r="AJ190">
            <v>2</v>
          </cell>
          <cell r="AK190">
            <v>0</v>
          </cell>
          <cell r="AL190">
            <v>3</v>
          </cell>
          <cell r="AM190" t="str">
            <v>$6.000.000,00</v>
          </cell>
        </row>
        <row r="191">
          <cell r="A191" t="str">
            <v>190-2025</v>
          </cell>
          <cell r="B191" t="str">
            <v>PRESTACION DE SERVICIOS</v>
          </cell>
          <cell r="C191" t="str">
            <v>JAQUELINE CAMILA GENOY VILLOTA</v>
          </cell>
          <cell r="D191" t="str">
            <v>CC</v>
          </cell>
          <cell r="E191">
            <v>1010082397</v>
          </cell>
          <cell r="F191">
            <v>7</v>
          </cell>
          <cell r="G191" t="str">
            <v xml:space="preserve">CONTRATACION DIRECTA </v>
          </cell>
          <cell r="H191">
            <v>1</v>
          </cell>
          <cell r="I19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91">
            <v>1</v>
          </cell>
          <cell r="K191" t="str">
            <v>$6.000.000,00</v>
          </cell>
          <cell r="L191">
            <v>45748</v>
          </cell>
          <cell r="M191">
            <v>45808</v>
          </cell>
          <cell r="N191" t="str">
            <v>DEYANIRA BADOS DAZA</v>
          </cell>
          <cell r="O191">
            <v>59836926</v>
          </cell>
          <cell r="P191" t="str">
            <v>camilavillota1612@gmail.com</v>
          </cell>
          <cell r="Q191">
            <v>45748</v>
          </cell>
          <cell r="R191" t="str">
            <v>JUAN GOMEZ</v>
          </cell>
          <cell r="U191" t="str">
            <v>CELEBRADO</v>
          </cell>
          <cell r="W191" t="str">
            <v>2025-0177</v>
          </cell>
          <cell r="X191" t="str">
            <v>2025-0371</v>
          </cell>
          <cell r="AJ191">
            <v>2</v>
          </cell>
          <cell r="AK191">
            <v>0</v>
          </cell>
          <cell r="AL191">
            <v>3</v>
          </cell>
          <cell r="AM191" t="str">
            <v>$6.000.000,00</v>
          </cell>
        </row>
        <row r="192">
          <cell r="A192" t="str">
            <v>191-2025</v>
          </cell>
          <cell r="B192" t="str">
            <v>PRESTACION DE SERVICIOS</v>
          </cell>
          <cell r="C192" t="str">
            <v>MIGUEL ANGEL ACOSTA HUERTAS</v>
          </cell>
          <cell r="D192" t="str">
            <v>CC</v>
          </cell>
          <cell r="E192">
            <v>12978684</v>
          </cell>
          <cell r="F192">
            <v>9</v>
          </cell>
          <cell r="G192" t="str">
            <v xml:space="preserve">CONTRATACION DIRECTA </v>
          </cell>
          <cell r="H192">
            <v>1</v>
          </cell>
          <cell r="I192" t="str">
            <v>El contratista se obliga para con el contratante, a prestar los servicios de revisoría fiscal de la Empresa Social del Estado Pasto Salud ESE</v>
          </cell>
          <cell r="J192">
            <v>1</v>
          </cell>
          <cell r="K192" t="str">
            <v>$39.393.000</v>
          </cell>
          <cell r="L192">
            <v>45748</v>
          </cell>
          <cell r="M192">
            <v>46022</v>
          </cell>
          <cell r="N192" t="str">
            <v>MYRIAM RUTH BOLAÑOS DELGADO</v>
          </cell>
          <cell r="O192">
            <v>30740439</v>
          </cell>
          <cell r="P192" t="str">
            <v>cpmiguel1959@hotmail.com</v>
          </cell>
          <cell r="Q192">
            <v>45748</v>
          </cell>
          <cell r="R192" t="str">
            <v>CRISTINA ROSERO</v>
          </cell>
          <cell r="U192" t="str">
            <v>CELEBRADO</v>
          </cell>
          <cell r="W192" t="str">
            <v>2025-0185</v>
          </cell>
          <cell r="X192" t="str">
            <v>2025-0372</v>
          </cell>
          <cell r="AJ192">
            <v>2</v>
          </cell>
          <cell r="AK192">
            <v>0</v>
          </cell>
          <cell r="AL192">
            <v>2</v>
          </cell>
          <cell r="AM192" t="str">
            <v>$39.393.000</v>
          </cell>
        </row>
        <row r="193">
          <cell r="A193" t="str">
            <v>192-2025</v>
          </cell>
          <cell r="B193" t="str">
            <v>PRESTACION DE SERVICIOS</v>
          </cell>
          <cell r="C193" t="str">
            <v>ALBA DENIS ARGOTY SANTACRUZ</v>
          </cell>
          <cell r="D193" t="str">
            <v>CC</v>
          </cell>
          <cell r="E193">
            <v>59837608</v>
          </cell>
          <cell r="F193">
            <v>5</v>
          </cell>
          <cell r="G193" t="str">
            <v xml:space="preserve">CONTRATACION DIRECTA </v>
          </cell>
          <cell r="H193">
            <v>1</v>
          </cell>
          <cell r="I19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93">
            <v>1</v>
          </cell>
          <cell r="K193" t="str">
            <v>$12.000.000,00</v>
          </cell>
          <cell r="L193">
            <v>45748</v>
          </cell>
          <cell r="M193">
            <v>45808</v>
          </cell>
          <cell r="N193" t="str">
            <v>RIGOBERTO MELO ZAMBRANO</v>
          </cell>
          <cell r="O193">
            <v>98333941</v>
          </cell>
          <cell r="P193" t="str">
            <v>dennisa1977@hotmail.com</v>
          </cell>
          <cell r="Q193">
            <v>45748</v>
          </cell>
          <cell r="R193" t="str">
            <v>JUAN GOMEZ</v>
          </cell>
          <cell r="U193" t="str">
            <v>CELEBRADO</v>
          </cell>
          <cell r="W193" t="str">
            <v>2025-0177</v>
          </cell>
          <cell r="X193" t="str">
            <v>2025-0373</v>
          </cell>
          <cell r="AJ193">
            <v>2</v>
          </cell>
          <cell r="AK193">
            <v>0</v>
          </cell>
          <cell r="AL193">
            <v>3</v>
          </cell>
          <cell r="AM193" t="str">
            <v>$12.000.000,00</v>
          </cell>
        </row>
        <row r="194">
          <cell r="A194" t="str">
            <v>193-2025</v>
          </cell>
          <cell r="B194" t="str">
            <v>PRESTACION DE SERVICIOS</v>
          </cell>
          <cell r="C194" t="str">
            <v>CAROL SILVANA PATIÑO VALENCIA</v>
          </cell>
          <cell r="D194" t="str">
            <v>CC</v>
          </cell>
          <cell r="E194">
            <v>1085313870</v>
          </cell>
          <cell r="F194">
            <v>5</v>
          </cell>
          <cell r="G194" t="str">
            <v xml:space="preserve">CONTRATACION DIRECTA </v>
          </cell>
          <cell r="H194">
            <v>1</v>
          </cell>
          <cell r="I19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94">
            <v>1</v>
          </cell>
          <cell r="K194" t="str">
            <v>$9.500.000</v>
          </cell>
          <cell r="L194">
            <v>45748</v>
          </cell>
          <cell r="M194">
            <v>45808</v>
          </cell>
          <cell r="N194" t="str">
            <v>MARY ALEXANDRA ROSERO BENAVIDES</v>
          </cell>
          <cell r="O194">
            <v>43624414</v>
          </cell>
          <cell r="P194" t="str">
            <v>carolasilvana94@gmail.com</v>
          </cell>
          <cell r="Q194">
            <v>45748</v>
          </cell>
          <cell r="R194" t="str">
            <v>ANDRES GUERRA</v>
          </cell>
          <cell r="U194" t="str">
            <v>CELEBRADO</v>
          </cell>
          <cell r="W194" t="str">
            <v>2025-0177</v>
          </cell>
          <cell r="X194" t="str">
            <v>2025-0375</v>
          </cell>
          <cell r="AJ194">
            <v>2</v>
          </cell>
          <cell r="AK194">
            <v>0</v>
          </cell>
          <cell r="AL194">
            <v>3</v>
          </cell>
          <cell r="AM194" t="str">
            <v>$9.500.000</v>
          </cell>
        </row>
        <row r="195">
          <cell r="A195" t="str">
            <v>194-2025</v>
          </cell>
          <cell r="B195" t="str">
            <v>PRESTACION DE SERVICIOS</v>
          </cell>
          <cell r="C195" t="str">
            <v>FANY LUCELY RODRIGUEZ CRIOLLO</v>
          </cell>
          <cell r="D195" t="str">
            <v>CC</v>
          </cell>
          <cell r="E195">
            <v>59824313</v>
          </cell>
          <cell r="F195">
            <v>1</v>
          </cell>
          <cell r="G195" t="str">
            <v xml:space="preserve">CONTRATACION DIRECTA </v>
          </cell>
          <cell r="H195">
            <v>1</v>
          </cell>
          <cell r="I195"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195">
            <v>1</v>
          </cell>
          <cell r="K195" t="str">
            <v>$9.500.000</v>
          </cell>
          <cell r="L195">
            <v>45748</v>
          </cell>
          <cell r="M195">
            <v>45808</v>
          </cell>
          <cell r="N195" t="str">
            <v>RODRIGO DE JESUS VITERI MORENO</v>
          </cell>
          <cell r="O195">
            <v>98390119</v>
          </cell>
          <cell r="P195" t="str">
            <v>fanylu33@gmail.com</v>
          </cell>
          <cell r="Q195">
            <v>45748</v>
          </cell>
          <cell r="R195" t="str">
            <v>ANDRES GUERRA</v>
          </cell>
          <cell r="U195" t="str">
            <v>CELEBRADO</v>
          </cell>
          <cell r="W195" t="str">
            <v>2025-0177</v>
          </cell>
          <cell r="X195" t="str">
            <v>2025-0376</v>
          </cell>
          <cell r="AJ195">
            <v>2</v>
          </cell>
          <cell r="AK195">
            <v>0</v>
          </cell>
          <cell r="AL195">
            <v>3</v>
          </cell>
          <cell r="AM195" t="str">
            <v>$9.500.000</v>
          </cell>
        </row>
        <row r="196">
          <cell r="A196" t="str">
            <v>195-2025</v>
          </cell>
          <cell r="B196" t="str">
            <v>PRESTACION DE SERVICIOS</v>
          </cell>
          <cell r="C196" t="str">
            <v>SEGURIDAD DEL SUR LTDA</v>
          </cell>
          <cell r="D196" t="str">
            <v>NIT</v>
          </cell>
          <cell r="E196">
            <v>800085349</v>
          </cell>
          <cell r="F196">
            <v>1</v>
          </cell>
          <cell r="G196" t="str">
            <v xml:space="preserve">CONTRATACION DIRECTA </v>
          </cell>
          <cell r="H196">
            <v>2</v>
          </cell>
          <cell r="I196" t="str">
            <v>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v>
          </cell>
          <cell r="J196">
            <v>7</v>
          </cell>
          <cell r="K196" t="str">
            <v>$510.000.000</v>
          </cell>
          <cell r="L196">
            <v>45748</v>
          </cell>
          <cell r="M196">
            <v>45869</v>
          </cell>
          <cell r="N196" t="str">
            <v>LEYDI MAGALI BENAVIDES BASTIDAS</v>
          </cell>
          <cell r="O196">
            <v>1086017548</v>
          </cell>
          <cell r="P196" t="str">
            <v>contabilidad@seguridaddelsur.net</v>
          </cell>
          <cell r="Q196">
            <v>45748</v>
          </cell>
          <cell r="R196" t="str">
            <v>ALEXANDER YELA</v>
          </cell>
          <cell r="U196" t="str">
            <v>CELEBRADO</v>
          </cell>
          <cell r="W196" t="str">
            <v>2025-0186</v>
          </cell>
          <cell r="X196" t="str">
            <v>2025-0377</v>
          </cell>
          <cell r="AJ196">
            <v>1</v>
          </cell>
          <cell r="AK196">
            <v>3</v>
          </cell>
          <cell r="AL196">
            <v>2</v>
          </cell>
          <cell r="AM196" t="str">
            <v xml:space="preserve"> $680.000.000,00</v>
          </cell>
        </row>
        <row r="197">
          <cell r="A197" t="str">
            <v>196-2025</v>
          </cell>
          <cell r="B197" t="str">
            <v>PRESTACION DE SERVICIOS</v>
          </cell>
          <cell r="C197" t="str">
            <v>LINA MARIA PIZANO PEREZ</v>
          </cell>
          <cell r="D197" t="str">
            <v>CC</v>
          </cell>
          <cell r="E197">
            <v>1085324685</v>
          </cell>
          <cell r="F197">
            <v>6</v>
          </cell>
          <cell r="G197" t="str">
            <v xml:space="preserve">CONTRATACION DIRECTA </v>
          </cell>
          <cell r="H197">
            <v>1</v>
          </cell>
          <cell r="I197"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v>
          </cell>
          <cell r="J197">
            <v>1</v>
          </cell>
          <cell r="K197" t="str">
            <v>$4.000.000,00</v>
          </cell>
          <cell r="L197">
            <v>45748</v>
          </cell>
          <cell r="M197">
            <v>45787</v>
          </cell>
          <cell r="N197" t="str">
            <v>DEYANIRA BADOS DAZA</v>
          </cell>
          <cell r="O197">
            <v>59836926</v>
          </cell>
          <cell r="P197" t="str">
            <v>linasofiapizano@gmail.com</v>
          </cell>
          <cell r="Q197">
            <v>45748</v>
          </cell>
          <cell r="R197" t="str">
            <v>JUAN GOMEZ</v>
          </cell>
          <cell r="U197" t="str">
            <v>CELEBRADO</v>
          </cell>
          <cell r="W197" t="str">
            <v>2025-0177</v>
          </cell>
          <cell r="X197" t="str">
            <v>2025-0381</v>
          </cell>
          <cell r="AJ197">
            <v>2</v>
          </cell>
          <cell r="AK197">
            <v>0</v>
          </cell>
          <cell r="AL197">
            <v>3</v>
          </cell>
          <cell r="AM197" t="str">
            <v>$4.000.000,00</v>
          </cell>
        </row>
        <row r="198">
          <cell r="A198" t="str">
            <v>197-2025</v>
          </cell>
          <cell r="B198" t="str">
            <v>ANULADO</v>
          </cell>
          <cell r="C198" t="str">
            <v>ANULADO</v>
          </cell>
          <cell r="D198" t="str">
            <v>ANULADO</v>
          </cell>
          <cell r="E198" t="str">
            <v>ANULADO</v>
          </cell>
        </row>
        <row r="199">
          <cell r="A199" t="str">
            <v>198-2025</v>
          </cell>
          <cell r="B199" t="str">
            <v>PRESTACION DE SERVICIOS</v>
          </cell>
          <cell r="C199" t="str">
            <v>BRIGITT MARCELA BURBANO PUPIALES</v>
          </cell>
          <cell r="D199" t="str">
            <v>CC</v>
          </cell>
          <cell r="E199">
            <v>1085292185</v>
          </cell>
          <cell r="F199">
            <v>6</v>
          </cell>
          <cell r="G199" t="str">
            <v xml:space="preserve">CONTRATACION DIRECTA </v>
          </cell>
          <cell r="H199">
            <v>1</v>
          </cell>
          <cell r="I199" t="str">
            <v>Prestación de servicios profesionales dirigidos al seguimiento de poblaciones especiales de riesgo según prioridades definidas por la Subgerencia de Salud e Investigación.</v>
          </cell>
          <cell r="J199">
            <v>1</v>
          </cell>
          <cell r="K199" t="str">
            <v>$6.000.000</v>
          </cell>
          <cell r="L199">
            <v>45748</v>
          </cell>
          <cell r="M199">
            <v>45777</v>
          </cell>
          <cell r="N199" t="str">
            <v xml:space="preserve">	JUAN CARLOS MERA GUERRERO</v>
          </cell>
          <cell r="O199">
            <v>13016581</v>
          </cell>
          <cell r="P199" t="str">
            <v>marcelita 1250@hotmail.com</v>
          </cell>
          <cell r="Q199">
            <v>45748</v>
          </cell>
          <cell r="R199" t="str">
            <v>ANDRES GUERRA</v>
          </cell>
          <cell r="U199" t="str">
            <v>CELEBRADO</v>
          </cell>
          <cell r="W199" t="str">
            <v>2025-0177</v>
          </cell>
          <cell r="X199" t="str">
            <v>2025-0383</v>
          </cell>
          <cell r="AJ199">
            <v>2</v>
          </cell>
          <cell r="AK199">
            <v>0</v>
          </cell>
          <cell r="AL199">
            <v>4</v>
          </cell>
          <cell r="AM199" t="str">
            <v>$6.000.000</v>
          </cell>
        </row>
        <row r="200">
          <cell r="A200" t="str">
            <v>199-2025</v>
          </cell>
          <cell r="B200" t="str">
            <v>PRESTACION DE SERVICIOS</v>
          </cell>
          <cell r="C200" t="str">
            <v>YENIFER NAYIBE MENESES TOBAR</v>
          </cell>
          <cell r="D200" t="str">
            <v>CC</v>
          </cell>
          <cell r="E200">
            <v>1089243630</v>
          </cell>
          <cell r="F200">
            <v>8</v>
          </cell>
          <cell r="G200" t="str">
            <v xml:space="preserve">CONTRATACION DIRECTA </v>
          </cell>
          <cell r="H200">
            <v>1</v>
          </cell>
          <cell r="I20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0">
            <v>1</v>
          </cell>
          <cell r="K200" t="str">
            <v>$6.000.000</v>
          </cell>
          <cell r="L200">
            <v>45748</v>
          </cell>
          <cell r="M200">
            <v>45808</v>
          </cell>
          <cell r="N200" t="str">
            <v>DEYANIRA BADOS DAZA</v>
          </cell>
          <cell r="O200">
            <v>59836926</v>
          </cell>
          <cell r="P200" t="str">
            <v>menesesyenifer22@gmail.com</v>
          </cell>
          <cell r="Q200">
            <v>45748</v>
          </cell>
          <cell r="R200" t="str">
            <v>ALEXANDER YELA</v>
          </cell>
          <cell r="U200" t="str">
            <v>CELEBRADO</v>
          </cell>
          <cell r="W200" t="str">
            <v>2025-0177</v>
          </cell>
          <cell r="X200" t="str">
            <v>2025-0384</v>
          </cell>
          <cell r="AJ200">
            <v>2</v>
          </cell>
          <cell r="AK200">
            <v>0</v>
          </cell>
          <cell r="AL200">
            <v>3</v>
          </cell>
          <cell r="AM200" t="str">
            <v>$6.000.000</v>
          </cell>
        </row>
        <row r="201">
          <cell r="A201" t="str">
            <v>200-2025</v>
          </cell>
          <cell r="B201" t="str">
            <v>PRESTACION DE SERVICIOS</v>
          </cell>
          <cell r="C201" t="str">
            <v>LINA YEZMIN DE LA CRUZ CUSIS</v>
          </cell>
          <cell r="D201" t="str">
            <v>CC</v>
          </cell>
          <cell r="E201">
            <v>1085320930</v>
          </cell>
          <cell r="F201">
            <v>8</v>
          </cell>
          <cell r="G201" t="str">
            <v xml:space="preserve">CONTRATACION DIRECTA </v>
          </cell>
          <cell r="H201">
            <v>1</v>
          </cell>
          <cell r="I201"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1">
            <v>1</v>
          </cell>
          <cell r="K201" t="str">
            <v>$7.500.000</v>
          </cell>
          <cell r="L201">
            <v>45748</v>
          </cell>
          <cell r="M201">
            <v>45838</v>
          </cell>
          <cell r="N201" t="str">
            <v>MARY ALEXANDRA ROSERO BENAVIDES</v>
          </cell>
          <cell r="O201">
            <v>43624414</v>
          </cell>
          <cell r="P201" t="str">
            <v>linadelazruz513@gmail.com</v>
          </cell>
          <cell r="Q201">
            <v>45748</v>
          </cell>
          <cell r="R201" t="str">
            <v>RODRIGO ROSERO</v>
          </cell>
          <cell r="U201" t="str">
            <v>CELEBRADO</v>
          </cell>
          <cell r="W201" t="str">
            <v>2025-0177</v>
          </cell>
          <cell r="X201" t="str">
            <v>2025-0385</v>
          </cell>
          <cell r="AJ201">
            <v>2</v>
          </cell>
          <cell r="AK201">
            <v>0</v>
          </cell>
          <cell r="AL201">
            <v>3</v>
          </cell>
          <cell r="AM201" t="str">
            <v>$7.500.000</v>
          </cell>
        </row>
        <row r="202">
          <cell r="A202" t="str">
            <v>201-2025</v>
          </cell>
          <cell r="B202" t="str">
            <v>PRESTACION DE SERVICIOS</v>
          </cell>
          <cell r="C202" t="str">
            <v>ELBER ALFREDO CAMPAÑA IMBAQUIN</v>
          </cell>
          <cell r="D202" t="str">
            <v>CC</v>
          </cell>
          <cell r="E202">
            <v>13070330</v>
          </cell>
          <cell r="F202">
            <v>2</v>
          </cell>
          <cell r="G202" t="str">
            <v xml:space="preserve">CONTRATACION DIRECTA </v>
          </cell>
          <cell r="H202">
            <v>1</v>
          </cell>
          <cell r="I20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2">
            <v>1</v>
          </cell>
          <cell r="K202" t="str">
            <v>$6.000.000</v>
          </cell>
          <cell r="L202">
            <v>45749</v>
          </cell>
          <cell r="M202">
            <v>45808</v>
          </cell>
          <cell r="N202" t="str">
            <v>MARY ALEXANDRA ROSERO BENAVIDES</v>
          </cell>
          <cell r="O202">
            <v>43624414</v>
          </cell>
          <cell r="P202" t="str">
            <v>dafercamro@gmail.com</v>
          </cell>
          <cell r="Q202">
            <v>45749</v>
          </cell>
          <cell r="R202" t="str">
            <v>ELIANA BENAVIDES</v>
          </cell>
          <cell r="U202" t="str">
            <v>CELEBRADO</v>
          </cell>
          <cell r="W202" t="str">
            <v>2025-0177</v>
          </cell>
          <cell r="X202" t="str">
            <v>2025-0386</v>
          </cell>
          <cell r="AJ202">
            <v>2</v>
          </cell>
          <cell r="AK202">
            <v>0</v>
          </cell>
          <cell r="AL202">
            <v>3</v>
          </cell>
          <cell r="AM202" t="str">
            <v>$6.000.000</v>
          </cell>
        </row>
        <row r="203">
          <cell r="A203" t="str">
            <v>202-2025</v>
          </cell>
          <cell r="B203" t="str">
            <v>PRESTACION DE SERVICIOS</v>
          </cell>
          <cell r="C203" t="str">
            <v>FERNANDO TEOFILO ROSERO PATIÑO</v>
          </cell>
          <cell r="D203" t="str">
            <v>CC</v>
          </cell>
          <cell r="E203">
            <v>97470681</v>
          </cell>
          <cell r="F203">
            <v>4</v>
          </cell>
          <cell r="G203" t="str">
            <v xml:space="preserve">CONTRATACION DIRECTA </v>
          </cell>
          <cell r="H203">
            <v>1</v>
          </cell>
          <cell r="I203" t="str">
            <v>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203">
            <v>1</v>
          </cell>
          <cell r="K203" t="str">
            <v>$12.000.000</v>
          </cell>
          <cell r="L203">
            <v>45749</v>
          </cell>
          <cell r="M203">
            <v>45808</v>
          </cell>
          <cell r="N203" t="str">
            <v>RIGOBERTO MELO ZAMBRANO</v>
          </cell>
          <cell r="O203">
            <v>98333941</v>
          </cell>
          <cell r="P203" t="str">
            <v>feterpa@hotmail.com</v>
          </cell>
          <cell r="Q203">
            <v>45749</v>
          </cell>
          <cell r="R203" t="str">
            <v>ALEXANDER YELA</v>
          </cell>
          <cell r="U203" t="str">
            <v>CELEBRADO</v>
          </cell>
          <cell r="W203" t="str">
            <v>2025-0177</v>
          </cell>
          <cell r="X203" t="str">
            <v>2025-0387</v>
          </cell>
          <cell r="AJ203">
            <v>2</v>
          </cell>
          <cell r="AK203">
            <v>0</v>
          </cell>
          <cell r="AL203">
            <v>3</v>
          </cell>
          <cell r="AM203" t="str">
            <v>$12.000.000</v>
          </cell>
        </row>
        <row r="204">
          <cell r="A204" t="str">
            <v>203-2025</v>
          </cell>
          <cell r="B204" t="str">
            <v>PRESTACION DE SERVICIOS</v>
          </cell>
          <cell r="C204" t="str">
            <v>NESLY YANID MUÑOZ ORTIZ</v>
          </cell>
          <cell r="D204" t="str">
            <v>CC</v>
          </cell>
          <cell r="E204">
            <v>1085331508</v>
          </cell>
          <cell r="F204">
            <v>1</v>
          </cell>
          <cell r="G204" t="str">
            <v xml:space="preserve">CONTRATACION DIRECTA </v>
          </cell>
          <cell r="H204">
            <v>1</v>
          </cell>
          <cell r="I20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4">
            <v>1</v>
          </cell>
          <cell r="K204" t="str">
            <v>$6.000.000</v>
          </cell>
          <cell r="L204">
            <v>45749</v>
          </cell>
          <cell r="M204">
            <v>45808</v>
          </cell>
          <cell r="N204" t="str">
            <v>MARY ALEXANDRA ROSERO BENAVIDES</v>
          </cell>
          <cell r="O204">
            <v>43624414</v>
          </cell>
          <cell r="P204" t="str">
            <v>neslyjairo23@hotmail.com</v>
          </cell>
          <cell r="Q204">
            <v>45749</v>
          </cell>
          <cell r="R204" t="str">
            <v>ELIANA BENAVIDES</v>
          </cell>
          <cell r="U204" t="str">
            <v>CELEBRADO</v>
          </cell>
          <cell r="W204" t="str">
            <v>2025-0177</v>
          </cell>
          <cell r="X204" t="str">
            <v>2025-0388</v>
          </cell>
          <cell r="AJ204">
            <v>2</v>
          </cell>
          <cell r="AK204">
            <v>0</v>
          </cell>
          <cell r="AL204">
            <v>3</v>
          </cell>
          <cell r="AM204" t="str">
            <v>$6.000.000</v>
          </cell>
        </row>
        <row r="205">
          <cell r="A205" t="str">
            <v>204-2025</v>
          </cell>
          <cell r="B205" t="str">
            <v>PRESTACION DE SERVICIOS</v>
          </cell>
          <cell r="C205" t="str">
            <v>ZULY MARINA HIDALGO JOJOA</v>
          </cell>
          <cell r="D205" t="str">
            <v>CC</v>
          </cell>
          <cell r="E205">
            <v>1086328142</v>
          </cell>
          <cell r="F205">
            <v>0</v>
          </cell>
          <cell r="G205" t="str">
            <v xml:space="preserve">CONTRATACION DIRECTA </v>
          </cell>
          <cell r="H205">
            <v>1</v>
          </cell>
          <cell r="I20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05">
            <v>1</v>
          </cell>
          <cell r="K205" t="str">
            <v>$6.000.000</v>
          </cell>
          <cell r="L205">
            <v>45749</v>
          </cell>
          <cell r="M205">
            <v>45808</v>
          </cell>
          <cell r="N205" t="str">
            <v>RIGOBERTO MELO ZAMBRANO</v>
          </cell>
          <cell r="O205">
            <v>98333941</v>
          </cell>
          <cell r="P205" t="str">
            <v>zulyhidalgo0208@gmail.com</v>
          </cell>
          <cell r="Q205">
            <v>45749</v>
          </cell>
          <cell r="R205" t="str">
            <v>ANDRES GUERRA</v>
          </cell>
          <cell r="U205" t="str">
            <v>CELEBRADO</v>
          </cell>
          <cell r="W205" t="str">
            <v>2025-0177</v>
          </cell>
          <cell r="X205" t="str">
            <v>2025-0389</v>
          </cell>
          <cell r="AJ205">
            <v>2</v>
          </cell>
          <cell r="AK205">
            <v>0</v>
          </cell>
          <cell r="AL205">
            <v>3</v>
          </cell>
          <cell r="AM205" t="str">
            <v>$6.000.000</v>
          </cell>
        </row>
        <row r="206">
          <cell r="A206" t="str">
            <v>205-2025</v>
          </cell>
          <cell r="B206" t="str">
            <v>PRESTACION DE SERVICIOS</v>
          </cell>
          <cell r="C206" t="str">
            <v>ANGELA PAOLA BOLAÑOS ARGOTI,</v>
          </cell>
          <cell r="D206" t="str">
            <v>CC</v>
          </cell>
          <cell r="E206">
            <v>1085267184</v>
          </cell>
          <cell r="F206">
            <v>3</v>
          </cell>
          <cell r="G206" t="str">
            <v xml:space="preserve">CONTRATACION DIRECTA </v>
          </cell>
          <cell r="H206">
            <v>1</v>
          </cell>
          <cell r="I206"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6">
            <v>1</v>
          </cell>
          <cell r="K206" t="str">
            <v>$9.650.000</v>
          </cell>
          <cell r="L206">
            <v>45749</v>
          </cell>
          <cell r="M206">
            <v>45808</v>
          </cell>
          <cell r="N206" t="str">
            <v>RIGOBERTO MELO ZAMBRANO</v>
          </cell>
          <cell r="O206">
            <v>98333941</v>
          </cell>
          <cell r="P206" t="str">
            <v>angela17odontologia@gmail.com</v>
          </cell>
          <cell r="Q206">
            <v>45749</v>
          </cell>
          <cell r="R206" t="str">
            <v>JUAN GOMEZ</v>
          </cell>
          <cell r="U206" t="str">
            <v>CELEBRADO</v>
          </cell>
          <cell r="W206" t="str">
            <v>2025-0177</v>
          </cell>
          <cell r="X206" t="str">
            <v>2025-0390</v>
          </cell>
          <cell r="AJ206">
            <v>2</v>
          </cell>
          <cell r="AK206">
            <v>0</v>
          </cell>
          <cell r="AL206">
            <v>3</v>
          </cell>
          <cell r="AM206" t="str">
            <v>$9.650.000</v>
          </cell>
        </row>
        <row r="207">
          <cell r="A207" t="str">
            <v>206-2025</v>
          </cell>
          <cell r="B207" t="str">
            <v>COMPRAVENTA</v>
          </cell>
          <cell r="C207" t="str">
            <v>COMERCIALIZADORA VALANTY SAS</v>
          </cell>
          <cell r="D207" t="str">
            <v>NIT</v>
          </cell>
          <cell r="E207">
            <v>900791264</v>
          </cell>
          <cell r="F207">
            <v>5</v>
          </cell>
          <cell r="G207" t="str">
            <v xml:space="preserve">CONTRATACION DIRECTA </v>
          </cell>
          <cell r="H207">
            <v>2</v>
          </cell>
          <cell r="I207" t="str">
            <v>Compra venta de elementos de papelería y útiles de oficina para dotar las 23 sedes de la Empresa Social del Estado Pasto Salud ESE</v>
          </cell>
          <cell r="J207">
            <v>2</v>
          </cell>
          <cell r="K207" t="str">
            <v>$3.115.938</v>
          </cell>
          <cell r="L207">
            <v>45749</v>
          </cell>
          <cell r="M207">
            <v>45777</v>
          </cell>
          <cell r="N207" t="str">
            <v xml:space="preserve">	STEFANYA RAMIREZ LOPERA</v>
          </cell>
          <cell r="O207">
            <v>111247705</v>
          </cell>
          <cell r="P207" t="str">
            <v xml:space="preserve">valantysas@hotmail.com </v>
          </cell>
          <cell r="Q207">
            <v>45749</v>
          </cell>
          <cell r="R207" t="str">
            <v>ALEXANDER YELA</v>
          </cell>
          <cell r="U207" t="str">
            <v>CELEBRADO</v>
          </cell>
          <cell r="W207" t="str">
            <v>2025-0182</v>
          </cell>
          <cell r="X207" t="str">
            <v>2025-0391</v>
          </cell>
          <cell r="AJ207">
            <v>2</v>
          </cell>
          <cell r="AK207">
            <v>0</v>
          </cell>
          <cell r="AL207">
            <v>4</v>
          </cell>
          <cell r="AM207" t="str">
            <v>$3.115.938</v>
          </cell>
        </row>
        <row r="208">
          <cell r="A208" t="str">
            <v>207-2025</v>
          </cell>
          <cell r="B208" t="str">
            <v>COMPRAVENTA</v>
          </cell>
          <cell r="C208" t="str">
            <v>COMERCIALIZADORA VALANTY SAS</v>
          </cell>
          <cell r="D208" t="str">
            <v>NIT</v>
          </cell>
          <cell r="E208">
            <v>900791264</v>
          </cell>
          <cell r="F208">
            <v>5</v>
          </cell>
          <cell r="G208" t="str">
            <v xml:space="preserve">CONTRATACION DIRECTA </v>
          </cell>
          <cell r="H208">
            <v>2</v>
          </cell>
          <cell r="I208" t="str">
            <v>compra venta de elementos de aseo para dotar las 23 sedes de la empresa social del estado pasto salud ESE</v>
          </cell>
          <cell r="J208">
            <v>2</v>
          </cell>
          <cell r="K208" t="str">
            <v>$1.977.947</v>
          </cell>
          <cell r="L208">
            <v>45749</v>
          </cell>
          <cell r="M208">
            <v>45777</v>
          </cell>
          <cell r="N208" t="str">
            <v xml:space="preserve">	STEFANYA RAMIREZ LOPERA</v>
          </cell>
          <cell r="O208">
            <v>111247705</v>
          </cell>
          <cell r="P208" t="str">
            <v>valantysas@hotmail.com</v>
          </cell>
          <cell r="Q208">
            <v>45749</v>
          </cell>
          <cell r="R208" t="str">
            <v>ALEXANDER YELA</v>
          </cell>
          <cell r="U208" t="str">
            <v>CELEBRADO</v>
          </cell>
          <cell r="W208" t="str">
            <v>2025-0181</v>
          </cell>
          <cell r="X208" t="str">
            <v>2025-0392</v>
          </cell>
          <cell r="AJ208">
            <v>2</v>
          </cell>
          <cell r="AK208">
            <v>0</v>
          </cell>
          <cell r="AL208">
            <v>4</v>
          </cell>
          <cell r="AM208" t="str">
            <v>$1.977.947</v>
          </cell>
        </row>
        <row r="209">
          <cell r="A209" t="str">
            <v>208-2025</v>
          </cell>
          <cell r="B209" t="str">
            <v>PRESTACION DE SERVICIOS</v>
          </cell>
          <cell r="C209" t="str">
            <v>LAURA SOFIA ROSERO DAVID</v>
          </cell>
          <cell r="D209" t="str">
            <v>CC</v>
          </cell>
          <cell r="E209">
            <v>1004234290</v>
          </cell>
          <cell r="F209">
            <v>1</v>
          </cell>
          <cell r="G209" t="str">
            <v xml:space="preserve">CONTRATACION DIRECTA </v>
          </cell>
          <cell r="H209">
            <v>1</v>
          </cell>
          <cell r="I20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09">
            <v>1</v>
          </cell>
          <cell r="K209" t="str">
            <v>$6.000.000</v>
          </cell>
          <cell r="L209">
            <v>45749</v>
          </cell>
          <cell r="M209">
            <v>45808</v>
          </cell>
          <cell r="N209" t="str">
            <v>RODRIGO DE JESUS VITERI MORENO</v>
          </cell>
          <cell r="O209">
            <v>98390119</v>
          </cell>
          <cell r="P209" t="str">
            <v>sofiarosero02092003@gmail.com</v>
          </cell>
          <cell r="Q209">
            <v>45749</v>
          </cell>
          <cell r="R209" t="str">
            <v>ALEXANDER YELA</v>
          </cell>
          <cell r="U209" t="str">
            <v>CELEBRADO</v>
          </cell>
          <cell r="W209" t="str">
            <v>2025-0177</v>
          </cell>
          <cell r="X209" t="str">
            <v>2025-0393</v>
          </cell>
          <cell r="AJ209">
            <v>2</v>
          </cell>
          <cell r="AK209">
            <v>0</v>
          </cell>
          <cell r="AL209">
            <v>3</v>
          </cell>
          <cell r="AM209" t="str">
            <v>$6.000.000</v>
          </cell>
        </row>
        <row r="210">
          <cell r="A210" t="str">
            <v>209-2025</v>
          </cell>
          <cell r="B210" t="str">
            <v>PRESTACION DE SERVICIOS</v>
          </cell>
          <cell r="C210" t="str">
            <v>ANGIE VIVIANA SACANAMBUY PAZ,</v>
          </cell>
          <cell r="D210" t="str">
            <v>CC</v>
          </cell>
          <cell r="E210">
            <v>1085317833</v>
          </cell>
          <cell r="F210">
            <v>0</v>
          </cell>
          <cell r="G210" t="str">
            <v xml:space="preserve">CONTRATACION DIRECTA </v>
          </cell>
          <cell r="H210">
            <v>1</v>
          </cell>
          <cell r="I21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10">
            <v>1</v>
          </cell>
          <cell r="K210" t="str">
            <v>$6.000.000</v>
          </cell>
          <cell r="L210">
            <v>45749</v>
          </cell>
          <cell r="M210">
            <v>45808</v>
          </cell>
          <cell r="N210" t="str">
            <v>RIGOBERTO MELO ZAMBRANO</v>
          </cell>
          <cell r="O210">
            <v>98333941</v>
          </cell>
          <cell r="P210" t="str">
            <v>vivianapaz1994@gmail.com</v>
          </cell>
          <cell r="Q210">
            <v>45749</v>
          </cell>
          <cell r="R210" t="str">
            <v>ANDRES GUERRA</v>
          </cell>
          <cell r="U210" t="str">
            <v>CELEBRADO</v>
          </cell>
          <cell r="W210" t="str">
            <v>2025-0177</v>
          </cell>
          <cell r="X210" t="str">
            <v>2025-0394</v>
          </cell>
          <cell r="AJ210">
            <v>2</v>
          </cell>
          <cell r="AK210">
            <v>0</v>
          </cell>
          <cell r="AL210">
            <v>3</v>
          </cell>
          <cell r="AM210" t="str">
            <v>$6.000.000</v>
          </cell>
        </row>
        <row r="211">
          <cell r="A211" t="str">
            <v>210-2025</v>
          </cell>
          <cell r="B211" t="str">
            <v>PRESTACION DE SERVICIOS</v>
          </cell>
          <cell r="C211" t="str">
            <v>ANDREA LILIANA LAGUNA RUALES</v>
          </cell>
          <cell r="D211" t="str">
            <v>CC</v>
          </cell>
          <cell r="E211">
            <v>59833899</v>
          </cell>
          <cell r="F211">
            <v>3</v>
          </cell>
          <cell r="G211" t="str">
            <v xml:space="preserve">CONTRATACION DIRECTA </v>
          </cell>
          <cell r="H211">
            <v>1</v>
          </cell>
          <cell r="I21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11">
            <v>1</v>
          </cell>
          <cell r="K211" t="str">
            <v>$6.000.000</v>
          </cell>
          <cell r="L211">
            <v>45749</v>
          </cell>
          <cell r="M211">
            <v>45808</v>
          </cell>
          <cell r="N211" t="str">
            <v>RIGOBERTO MELO ZAMBRANO</v>
          </cell>
          <cell r="O211">
            <v>98333941</v>
          </cell>
          <cell r="P211" t="str">
            <v>andrealiliana15@gmail.com</v>
          </cell>
          <cell r="Q211">
            <v>45749</v>
          </cell>
          <cell r="R211" t="str">
            <v>ANDRES GUERRA</v>
          </cell>
          <cell r="U211" t="str">
            <v>CELEBRADO</v>
          </cell>
          <cell r="W211" t="str">
            <v>2025-0177</v>
          </cell>
          <cell r="X211" t="str">
            <v>2025-0395</v>
          </cell>
          <cell r="AJ211">
            <v>2</v>
          </cell>
          <cell r="AK211">
            <v>0</v>
          </cell>
          <cell r="AL211">
            <v>3</v>
          </cell>
          <cell r="AM211" t="str">
            <v>$6.000.000</v>
          </cell>
        </row>
        <row r="212">
          <cell r="A212" t="str">
            <v>211-2025</v>
          </cell>
          <cell r="B212" t="str">
            <v>PRESTACION DE SERVICIOS</v>
          </cell>
          <cell r="C212" t="str">
            <v>ALEJANDRA MARLENY PATIÑO VALENCIA,</v>
          </cell>
          <cell r="D212" t="str">
            <v>CC</v>
          </cell>
          <cell r="E212">
            <v>1233188273</v>
          </cell>
          <cell r="F212">
            <v>8</v>
          </cell>
          <cell r="G212" t="str">
            <v xml:space="preserve">CONTRATACION DIRECTA </v>
          </cell>
          <cell r="H212">
            <v>1</v>
          </cell>
          <cell r="I21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12">
            <v>1</v>
          </cell>
          <cell r="K212" t="str">
            <v>$6.000.000</v>
          </cell>
          <cell r="L212">
            <v>45749</v>
          </cell>
          <cell r="M212">
            <v>45808</v>
          </cell>
          <cell r="N212" t="str">
            <v>RODRIGO DE JESUS VITERI MORENO</v>
          </cell>
          <cell r="O212">
            <v>98390119</v>
          </cell>
          <cell r="P212" t="str">
            <v>alejapatino1997@gmail.com</v>
          </cell>
          <cell r="Q212">
            <v>45749</v>
          </cell>
          <cell r="R212" t="str">
            <v>ANDRES GUERRA</v>
          </cell>
          <cell r="U212" t="str">
            <v>CELEBRADO</v>
          </cell>
          <cell r="W212" t="str">
            <v>2025-0177</v>
          </cell>
          <cell r="X212" t="str">
            <v>2025-0396</v>
          </cell>
          <cell r="AJ212">
            <v>2</v>
          </cell>
          <cell r="AK212">
            <v>0</v>
          </cell>
          <cell r="AL212">
            <v>3</v>
          </cell>
          <cell r="AM212" t="str">
            <v>$6.000.000</v>
          </cell>
        </row>
        <row r="213">
          <cell r="A213" t="str">
            <v>212-2025</v>
          </cell>
          <cell r="B213" t="str">
            <v>PRESTACION DE SERVICIOS</v>
          </cell>
          <cell r="C213" t="str">
            <v>JULIE ANDREA FREIRE MIER</v>
          </cell>
          <cell r="D213" t="str">
            <v>CC</v>
          </cell>
          <cell r="E213">
            <v>37084285</v>
          </cell>
          <cell r="F213">
            <v>7</v>
          </cell>
          <cell r="G213" t="str">
            <v xml:space="preserve">CONTRATACION DIRECTA </v>
          </cell>
          <cell r="H213">
            <v>1</v>
          </cell>
          <cell r="I21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13">
            <v>1</v>
          </cell>
          <cell r="K213" t="str">
            <v>$6.000.000</v>
          </cell>
          <cell r="L213">
            <v>45749</v>
          </cell>
          <cell r="M213">
            <v>45808</v>
          </cell>
          <cell r="N213" t="str">
            <v>DEYANIRA BADOS DAZA</v>
          </cell>
          <cell r="O213">
            <v>59836926</v>
          </cell>
          <cell r="P213" t="str">
            <v>juliefreire5@gmail.com</v>
          </cell>
          <cell r="Q213">
            <v>45749</v>
          </cell>
          <cell r="R213" t="str">
            <v>ANDRES GUERRA</v>
          </cell>
          <cell r="U213" t="str">
            <v>CELEBRADO</v>
          </cell>
          <cell r="W213" t="str">
            <v>2025-0177</v>
          </cell>
          <cell r="X213" t="str">
            <v>2025-0397</v>
          </cell>
          <cell r="AJ213">
            <v>2</v>
          </cell>
          <cell r="AK213">
            <v>0</v>
          </cell>
          <cell r="AL213">
            <v>3</v>
          </cell>
          <cell r="AM213" t="str">
            <v>$6.000.000</v>
          </cell>
        </row>
        <row r="214">
          <cell r="A214" t="str">
            <v>213-2025</v>
          </cell>
          <cell r="B214" t="str">
            <v>PRESTACION DE SERVICIOS</v>
          </cell>
          <cell r="C214" t="str">
            <v>EDITH TOMASITA UNIGARRO SANTACRUZ</v>
          </cell>
          <cell r="D214" t="str">
            <v>CC</v>
          </cell>
          <cell r="E214">
            <v>1032448504</v>
          </cell>
          <cell r="F214">
            <v>1</v>
          </cell>
          <cell r="G214" t="str">
            <v xml:space="preserve">CONTRATACION DIRECTA </v>
          </cell>
          <cell r="H214">
            <v>1</v>
          </cell>
          <cell r="I214" t="str">
            <v>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 y asumirá la suplencia como jefe de producción del área de reempaque de medicamentos sólidos para via oral y vaginal.</v>
          </cell>
          <cell r="J214">
            <v>1</v>
          </cell>
          <cell r="K214" t="str">
            <v>$19.570.000</v>
          </cell>
          <cell r="L214">
            <v>45749</v>
          </cell>
          <cell r="M214">
            <v>45900</v>
          </cell>
          <cell r="N214" t="str">
            <v>NENA DEL CARMEN RAMIREZ RAMIREZ</v>
          </cell>
          <cell r="O214">
            <v>30732589</v>
          </cell>
          <cell r="P214" t="str">
            <v>etunigarros@unal.edu.co</v>
          </cell>
          <cell r="Q214">
            <v>45749</v>
          </cell>
          <cell r="R214" t="str">
            <v>ELIANA BENAVIDES</v>
          </cell>
          <cell r="U214" t="str">
            <v>CELEBRADO</v>
          </cell>
          <cell r="W214" t="str">
            <v>2025-0135</v>
          </cell>
          <cell r="X214" t="str">
            <v>2025-0401</v>
          </cell>
          <cell r="AJ214">
            <v>2</v>
          </cell>
          <cell r="AK214">
            <v>0</v>
          </cell>
          <cell r="AL214">
            <v>2</v>
          </cell>
          <cell r="AM214" t="str">
            <v>$19.570.000</v>
          </cell>
        </row>
        <row r="215">
          <cell r="A215" t="str">
            <v>214-2025</v>
          </cell>
          <cell r="B215" t="str">
            <v>PRESTACION DE SERVICIOS</v>
          </cell>
          <cell r="C215" t="str">
            <v>HECTOR GERMAN OJEDA CERON,</v>
          </cell>
          <cell r="D215" t="str">
            <v>CC</v>
          </cell>
          <cell r="E215">
            <v>98391531</v>
          </cell>
          <cell r="F215">
            <v>2</v>
          </cell>
          <cell r="G215" t="str">
            <v xml:space="preserve">CONTRATACION DIRECTA </v>
          </cell>
          <cell r="H215">
            <v>1</v>
          </cell>
          <cell r="I21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15">
            <v>1</v>
          </cell>
          <cell r="K215" t="str">
            <v>$6.000.000</v>
          </cell>
          <cell r="L215">
            <v>45750</v>
          </cell>
          <cell r="M215">
            <v>45808</v>
          </cell>
          <cell r="N215" t="str">
            <v>RIGOBERTO MELO ZAMBRANO</v>
          </cell>
          <cell r="O215">
            <v>98333941</v>
          </cell>
          <cell r="P215" t="str">
            <v>germanojeda75@hotmail.com</v>
          </cell>
          <cell r="Q215">
            <v>45750</v>
          </cell>
          <cell r="R215" t="str">
            <v>ALEXANDER YELA</v>
          </cell>
          <cell r="U215" t="str">
            <v>CELEBRADO</v>
          </cell>
          <cell r="W215" t="str">
            <v>2025-0177</v>
          </cell>
          <cell r="X215" t="str">
            <v>2025-0402</v>
          </cell>
          <cell r="AJ215">
            <v>2</v>
          </cell>
          <cell r="AK215">
            <v>0</v>
          </cell>
          <cell r="AL215">
            <v>3</v>
          </cell>
          <cell r="AM215" t="str">
            <v>$6.000.000</v>
          </cell>
        </row>
        <row r="216">
          <cell r="A216" t="str">
            <v>215-2025</v>
          </cell>
          <cell r="B216" t="str">
            <v>SUMINISTROS</v>
          </cell>
          <cell r="C216" t="str">
            <v>RAMEDICAS S.A.S</v>
          </cell>
          <cell r="D216" t="str">
            <v>NIT</v>
          </cell>
          <cell r="E216">
            <v>901429936</v>
          </cell>
          <cell r="F216">
            <v>1</v>
          </cell>
          <cell r="G216" t="str">
            <v>BIONEXO</v>
          </cell>
          <cell r="H216">
            <v>2</v>
          </cell>
          <cell r="I216" t="str">
            <v>El contratista se obliga al suministro de los medicamentos en las cantidades establecidas en el anexo 1, el cual hace parte integral del contrato. Para la ESE Pasto Salud.</v>
          </cell>
          <cell r="J216">
            <v>3</v>
          </cell>
          <cell r="K216" t="str">
            <v>$595.685.086</v>
          </cell>
          <cell r="L216">
            <v>45750</v>
          </cell>
          <cell r="M216">
            <v>45838</v>
          </cell>
          <cell r="N216" t="str">
            <v>NENA DEL CARMEN RAMIREZ RAMIREZ</v>
          </cell>
          <cell r="O216">
            <v>30732589</v>
          </cell>
          <cell r="P216" t="str">
            <v>administración@ramedicas.com</v>
          </cell>
          <cell r="Q216">
            <v>45750</v>
          </cell>
          <cell r="R216" t="str">
            <v>CRISTINA ROSERO</v>
          </cell>
          <cell r="U216" t="str">
            <v>CELEBRADO</v>
          </cell>
          <cell r="W216" t="str">
            <v>2025-0170</v>
          </cell>
          <cell r="X216" t="str">
            <v>2025-0405</v>
          </cell>
          <cell r="AJ216">
            <v>2</v>
          </cell>
          <cell r="AK216">
            <v>0</v>
          </cell>
          <cell r="AL216">
            <v>3</v>
          </cell>
          <cell r="AM216" t="str">
            <v>$595.685.086</v>
          </cell>
        </row>
        <row r="217">
          <cell r="A217" t="str">
            <v>216-2025</v>
          </cell>
          <cell r="B217" t="str">
            <v>PRESTACION DE SERVICIOS</v>
          </cell>
          <cell r="C217" t="str">
            <v>DANNY ALEXANDER SANCHEZ ESTRADA</v>
          </cell>
          <cell r="D217" t="str">
            <v>CC</v>
          </cell>
          <cell r="E217">
            <v>1085264667</v>
          </cell>
          <cell r="F217">
            <v>5</v>
          </cell>
          <cell r="G217" t="str">
            <v xml:space="preserve">CONTRATACION DIRECTA </v>
          </cell>
          <cell r="H217">
            <v>1</v>
          </cell>
          <cell r="I217"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17">
            <v>1</v>
          </cell>
          <cell r="K217" t="str">
            <v>$9.500.000</v>
          </cell>
          <cell r="L217">
            <v>45750</v>
          </cell>
          <cell r="M217">
            <v>45808</v>
          </cell>
          <cell r="N217" t="str">
            <v>DEYANIRA BADOS DAZA</v>
          </cell>
          <cell r="O217">
            <v>59836926</v>
          </cell>
          <cell r="P217" t="str">
            <v>dansan8813@hotmail.com</v>
          </cell>
          <cell r="Q217">
            <v>45750</v>
          </cell>
          <cell r="R217" t="str">
            <v>ELIANA BENAVIDES</v>
          </cell>
          <cell r="U217" t="str">
            <v>CELEBRADO</v>
          </cell>
          <cell r="W217" t="str">
            <v>2025-0177</v>
          </cell>
          <cell r="X217" t="str">
            <v>2025-0406</v>
          </cell>
          <cell r="AJ217">
            <v>2</v>
          </cell>
          <cell r="AK217">
            <v>0</v>
          </cell>
          <cell r="AL217">
            <v>3</v>
          </cell>
          <cell r="AM217" t="str">
            <v>$9.500.000</v>
          </cell>
        </row>
        <row r="218">
          <cell r="A218" t="str">
            <v>217-2025</v>
          </cell>
          <cell r="B218" t="str">
            <v>PRESTACION DE SERVICIOS</v>
          </cell>
          <cell r="C218" t="str">
            <v>MILENA ELIZABETH ORDOÑEZ ORTIZ</v>
          </cell>
          <cell r="D218" t="str">
            <v>CC</v>
          </cell>
          <cell r="E218">
            <v>27190772</v>
          </cell>
          <cell r="F218">
            <v>1</v>
          </cell>
          <cell r="G218" t="str">
            <v xml:space="preserve">CONTRATACION DIRECTA </v>
          </cell>
          <cell r="H218">
            <v>1</v>
          </cell>
          <cell r="I21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218">
            <v>1</v>
          </cell>
          <cell r="K218" t="str">
            <v>$9.500.000</v>
          </cell>
          <cell r="L218">
            <v>45750</v>
          </cell>
          <cell r="M218">
            <v>45808</v>
          </cell>
          <cell r="N218" t="str">
            <v>RIGOBERTO MELO ZAMBRANO</v>
          </cell>
          <cell r="O218">
            <v>98333941</v>
          </cell>
          <cell r="P218" t="str">
            <v>mileort100@hotmail.com</v>
          </cell>
          <cell r="Q218">
            <v>45750</v>
          </cell>
          <cell r="R218" t="str">
            <v>JUAN GOMEZ</v>
          </cell>
          <cell r="U218" t="str">
            <v>CELEBRADO</v>
          </cell>
          <cell r="W218" t="str">
            <v>2025-0177</v>
          </cell>
          <cell r="X218" t="str">
            <v>2025-0407</v>
          </cell>
          <cell r="AJ218">
            <v>2</v>
          </cell>
          <cell r="AK218">
            <v>0</v>
          </cell>
          <cell r="AL218">
            <v>3</v>
          </cell>
          <cell r="AM218" t="str">
            <v>$9.500.000</v>
          </cell>
        </row>
        <row r="219">
          <cell r="A219" t="str">
            <v>218-2025</v>
          </cell>
          <cell r="B219" t="str">
            <v>PRESTACION DE SERVICIOS</v>
          </cell>
          <cell r="C219" t="str">
            <v>EDIER ERNEY CORDOBA ROJAS</v>
          </cell>
          <cell r="D219" t="str">
            <v>CC</v>
          </cell>
          <cell r="E219">
            <v>1085326791</v>
          </cell>
          <cell r="F219">
            <v>8</v>
          </cell>
          <cell r="G219" t="str">
            <v xml:space="preserve">CONTRATACION DIRECTA </v>
          </cell>
          <cell r="H219">
            <v>1</v>
          </cell>
          <cell r="I21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v>
          </cell>
          <cell r="J219">
            <v>1</v>
          </cell>
          <cell r="K219" t="str">
            <v>$6.000.000</v>
          </cell>
          <cell r="L219">
            <v>45750</v>
          </cell>
          <cell r="M219">
            <v>45808</v>
          </cell>
          <cell r="N219" t="str">
            <v>RIGOBERTO MELO ZAMBRANO</v>
          </cell>
          <cell r="O219">
            <v>98333941</v>
          </cell>
          <cell r="P219" t="str">
            <v>ediercor895@gmail.com</v>
          </cell>
          <cell r="Q219">
            <v>45750</v>
          </cell>
          <cell r="R219" t="str">
            <v>ANDRES GUERRA</v>
          </cell>
          <cell r="U219" t="str">
            <v>CELEBRADO</v>
          </cell>
          <cell r="W219" t="str">
            <v>2025-0177</v>
          </cell>
          <cell r="X219" t="str">
            <v>2025-0408</v>
          </cell>
          <cell r="AJ219">
            <v>2</v>
          </cell>
          <cell r="AK219">
            <v>0</v>
          </cell>
          <cell r="AL219">
            <v>3</v>
          </cell>
          <cell r="AM219" t="str">
            <v>$6.000.000</v>
          </cell>
        </row>
        <row r="220">
          <cell r="A220" t="str">
            <v>219-2025</v>
          </cell>
          <cell r="B220" t="str">
            <v>PRESTACION DE SERVICIOS</v>
          </cell>
          <cell r="C220" t="str">
            <v>MARIA INES PAGUAY GUANCHA</v>
          </cell>
          <cell r="D220" t="str">
            <v>CC</v>
          </cell>
          <cell r="E220">
            <v>27087720</v>
          </cell>
          <cell r="F220">
            <v>7</v>
          </cell>
          <cell r="G220" t="str">
            <v xml:space="preserve">CONTRATACION DIRECTA </v>
          </cell>
          <cell r="H220">
            <v>1</v>
          </cell>
          <cell r="I220"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220">
            <v>1</v>
          </cell>
          <cell r="K220" t="str">
            <v>$5.000.000</v>
          </cell>
          <cell r="L220">
            <v>45750</v>
          </cell>
          <cell r="M220">
            <v>45808</v>
          </cell>
          <cell r="N220" t="str">
            <v>DEYANIRA BADOS DAZA</v>
          </cell>
          <cell r="O220">
            <v>59836926</v>
          </cell>
          <cell r="P220" t="str">
            <v>mariainespaguay10@gmail.com</v>
          </cell>
          <cell r="Q220">
            <v>45750</v>
          </cell>
          <cell r="R220" t="str">
            <v>JUAN GOMEZ</v>
          </cell>
          <cell r="U220" t="str">
            <v>CELEBRADO</v>
          </cell>
          <cell r="W220" t="str">
            <v>2025-0177</v>
          </cell>
          <cell r="X220" t="str">
            <v>2025-0409</v>
          </cell>
          <cell r="AJ220">
            <v>2</v>
          </cell>
          <cell r="AK220">
            <v>0</v>
          </cell>
          <cell r="AL220">
            <v>3</v>
          </cell>
          <cell r="AM220" t="str">
            <v>$5.000.000</v>
          </cell>
        </row>
        <row r="221">
          <cell r="A221" t="str">
            <v>220-2025</v>
          </cell>
          <cell r="B221" t="str">
            <v>PRESTACION DE SERVICIOS</v>
          </cell>
          <cell r="C221" t="str">
            <v>LORENA DEL CARMEN OJEDA VASQUEZ</v>
          </cell>
          <cell r="D221" t="str">
            <v>CC</v>
          </cell>
          <cell r="E221" t="str">
            <v>1.086.329.609.</v>
          </cell>
          <cell r="F221">
            <v>2</v>
          </cell>
          <cell r="G221" t="str">
            <v xml:space="preserve">CONTRATACION DIRECTA </v>
          </cell>
          <cell r="H221">
            <v>1</v>
          </cell>
          <cell r="I22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21">
            <v>1</v>
          </cell>
          <cell r="K221" t="str">
            <v>$6.000.000</v>
          </cell>
          <cell r="L221">
            <v>45750</v>
          </cell>
          <cell r="M221">
            <v>45808</v>
          </cell>
          <cell r="N221" t="str">
            <v>RODRIGO DE JESUS VITERI MORENO</v>
          </cell>
          <cell r="O221">
            <v>98390119</v>
          </cell>
          <cell r="P221" t="str">
            <v>Heovaesmipaz@gmail.com</v>
          </cell>
          <cell r="Q221">
            <v>45750</v>
          </cell>
          <cell r="R221" t="str">
            <v>ANDRES GUERRA</v>
          </cell>
          <cell r="U221" t="str">
            <v>CELEBRADO</v>
          </cell>
          <cell r="W221" t="str">
            <v>2025-0177</v>
          </cell>
          <cell r="X221" t="str">
            <v>2025-0410</v>
          </cell>
          <cell r="AJ221">
            <v>2</v>
          </cell>
          <cell r="AK221">
            <v>0</v>
          </cell>
          <cell r="AL221">
            <v>3</v>
          </cell>
          <cell r="AM221" t="str">
            <v>$6.000.000</v>
          </cell>
        </row>
        <row r="222">
          <cell r="A222" t="str">
            <v>221-2025</v>
          </cell>
          <cell r="B222" t="str">
            <v>PRESTACION DE SERVICIOS</v>
          </cell>
          <cell r="C222" t="str">
            <v>NATHALY STEPHANIE MARTINEZ MARTINEZ</v>
          </cell>
          <cell r="D222" t="str">
            <v>CC</v>
          </cell>
          <cell r="E222">
            <v>1233191675</v>
          </cell>
          <cell r="F222">
            <v>6</v>
          </cell>
          <cell r="G222" t="str">
            <v xml:space="preserve">CONTRATACION DIRECTA </v>
          </cell>
          <cell r="H222">
            <v>1</v>
          </cell>
          <cell r="I22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22">
            <v>1</v>
          </cell>
          <cell r="K222" t="str">
            <v>$6.000.000</v>
          </cell>
          <cell r="L222">
            <v>45750</v>
          </cell>
          <cell r="M222">
            <v>45808</v>
          </cell>
          <cell r="N222" t="str">
            <v>MARY ALEXANDRA ROSERO BENAVIDES</v>
          </cell>
          <cell r="O222">
            <v>43624414</v>
          </cell>
          <cell r="P222" t="str">
            <v>stefania_2398@gmail.com</v>
          </cell>
          <cell r="Q222">
            <v>45750</v>
          </cell>
          <cell r="R222" t="str">
            <v>ANDRES GUERRA</v>
          </cell>
          <cell r="U222" t="str">
            <v>CELEBRADO</v>
          </cell>
          <cell r="W222" t="str">
            <v>2025-0177</v>
          </cell>
          <cell r="X222" t="str">
            <v>2025-0411</v>
          </cell>
          <cell r="AJ222">
            <v>2</v>
          </cell>
          <cell r="AK222">
            <v>0</v>
          </cell>
          <cell r="AL222">
            <v>3</v>
          </cell>
          <cell r="AM222" t="str">
            <v>$6.000.000</v>
          </cell>
        </row>
        <row r="223">
          <cell r="A223" t="str">
            <v>222-2025</v>
          </cell>
          <cell r="B223" t="str">
            <v>PRESTACION DE SERVICIOS</v>
          </cell>
          <cell r="C223" t="str">
            <v>JANETH EMILSE DIAZ ARCINIEGAS</v>
          </cell>
          <cell r="D223" t="str">
            <v>CC</v>
          </cell>
          <cell r="E223">
            <v>27087475</v>
          </cell>
          <cell r="F223">
            <v>7</v>
          </cell>
          <cell r="G223" t="str">
            <v xml:space="preserve">CONTRATACION DIRECTA </v>
          </cell>
          <cell r="H223">
            <v>1</v>
          </cell>
          <cell r="I22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23">
            <v>1</v>
          </cell>
          <cell r="K223" t="str">
            <v>$9.500.000</v>
          </cell>
          <cell r="L223">
            <v>45750</v>
          </cell>
          <cell r="M223">
            <v>45808</v>
          </cell>
          <cell r="N223" t="str">
            <v>DEYANIRA BADOS DAZA</v>
          </cell>
          <cell r="O223">
            <v>59836926</v>
          </cell>
          <cell r="P223" t="str">
            <v>emilsediaz10@gmail.com</v>
          </cell>
          <cell r="Q223">
            <v>45750</v>
          </cell>
          <cell r="R223" t="str">
            <v>CRISTINA ROSERO</v>
          </cell>
          <cell r="U223" t="str">
            <v>CELEBRADO</v>
          </cell>
          <cell r="W223" t="str">
            <v>2025-0177</v>
          </cell>
          <cell r="X223" t="str">
            <v>2025-0412</v>
          </cell>
          <cell r="AJ223">
            <v>2</v>
          </cell>
          <cell r="AK223">
            <v>0</v>
          </cell>
          <cell r="AL223">
            <v>3</v>
          </cell>
          <cell r="AM223" t="str">
            <v>$9.500.000</v>
          </cell>
        </row>
        <row r="224">
          <cell r="A224" t="str">
            <v>223-2025</v>
          </cell>
          <cell r="B224" t="str">
            <v>PRESTACION DE SERVICIOS</v>
          </cell>
          <cell r="C224" t="str">
            <v>BRIGIT ESNIT GARCIA MANCHABAJOYΥ</v>
          </cell>
          <cell r="D224" t="str">
            <v>CC</v>
          </cell>
          <cell r="E224">
            <v>1004535234</v>
          </cell>
          <cell r="F224">
            <v>9</v>
          </cell>
          <cell r="G224" t="str">
            <v xml:space="preserve">CONTRATACION DIRECTA </v>
          </cell>
          <cell r="H224">
            <v>1</v>
          </cell>
          <cell r="I22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24">
            <v>1</v>
          </cell>
          <cell r="K224" t="str">
            <v>$6.000.000</v>
          </cell>
          <cell r="L224">
            <v>45750</v>
          </cell>
          <cell r="M224">
            <v>45808</v>
          </cell>
          <cell r="N224" t="str">
            <v>MARY ALEXANDRA ROSERO BENAVIDES</v>
          </cell>
          <cell r="O224">
            <v>43624414</v>
          </cell>
          <cell r="P224" t="str">
            <v>brigithg75@gmail.com</v>
          </cell>
          <cell r="Q224">
            <v>45750</v>
          </cell>
          <cell r="R224" t="str">
            <v>ELIANA BENAVIDES</v>
          </cell>
          <cell r="U224" t="str">
            <v>CELEBRADO</v>
          </cell>
          <cell r="W224" t="str">
            <v>2025-0177</v>
          </cell>
          <cell r="X224" t="str">
            <v>2025-0413</v>
          </cell>
          <cell r="AJ224">
            <v>2</v>
          </cell>
          <cell r="AK224">
            <v>0</v>
          </cell>
          <cell r="AL224">
            <v>3</v>
          </cell>
          <cell r="AM224" t="str">
            <v>$6.000.000</v>
          </cell>
        </row>
        <row r="225">
          <cell r="A225" t="str">
            <v>224-2025</v>
          </cell>
          <cell r="B225" t="str">
            <v>PRESTACION DE SERVICIOS</v>
          </cell>
          <cell r="C225" t="str">
            <v>TATIANA ANDREA CRIOLLO GENOY,</v>
          </cell>
          <cell r="D225" t="str">
            <v>CC</v>
          </cell>
          <cell r="E225">
            <v>1081572043</v>
          </cell>
          <cell r="F225">
            <v>6</v>
          </cell>
          <cell r="G225" t="str">
            <v xml:space="preserve">CONTRATACION DIRECTA </v>
          </cell>
          <cell r="H225">
            <v>1</v>
          </cell>
          <cell r="I22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25">
            <v>1</v>
          </cell>
          <cell r="K225" t="str">
            <v>$6.000.000</v>
          </cell>
          <cell r="L225">
            <v>45750</v>
          </cell>
          <cell r="M225">
            <v>45808</v>
          </cell>
          <cell r="N225" t="str">
            <v>RODRIGO DE JESUS VITERI MORENO</v>
          </cell>
          <cell r="O225">
            <v>98390119</v>
          </cell>
          <cell r="P225" t="str">
            <v>tatianacriollo111@gmail.com</v>
          </cell>
          <cell r="Q225">
            <v>45750</v>
          </cell>
          <cell r="R225" t="str">
            <v>ANDRES GUERRA</v>
          </cell>
          <cell r="U225" t="str">
            <v>CELEBRADO</v>
          </cell>
          <cell r="W225" t="str">
            <v>2025-0177</v>
          </cell>
          <cell r="X225" t="str">
            <v>2025-0414</v>
          </cell>
          <cell r="AJ225">
            <v>2</v>
          </cell>
          <cell r="AK225">
            <v>0</v>
          </cell>
          <cell r="AL225">
            <v>3</v>
          </cell>
          <cell r="AM225" t="str">
            <v>$6.000.000</v>
          </cell>
        </row>
        <row r="226">
          <cell r="A226" t="str">
            <v>225-2025</v>
          </cell>
          <cell r="B226" t="str">
            <v>PRESTACION DE SERVICIOS</v>
          </cell>
          <cell r="C226" t="str">
            <v>LIZETH CABRERA FUERTES</v>
          </cell>
          <cell r="D226" t="str">
            <v>CC</v>
          </cell>
          <cell r="E226">
            <v>1088733625</v>
          </cell>
          <cell r="F226">
            <v>1</v>
          </cell>
          <cell r="G226" t="str">
            <v xml:space="preserve">CONTRATACION DIRECTA </v>
          </cell>
          <cell r="H226">
            <v>1</v>
          </cell>
          <cell r="I22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26">
            <v>1</v>
          </cell>
          <cell r="K226" t="str">
            <v>$6.000.000</v>
          </cell>
          <cell r="L226">
            <v>45750</v>
          </cell>
          <cell r="M226">
            <v>45808</v>
          </cell>
          <cell r="N226" t="str">
            <v>RODRIGO DE JESUS VITERI MORENO</v>
          </cell>
          <cell r="O226">
            <v>98390119</v>
          </cell>
          <cell r="P226" t="str">
            <v xml:space="preserve">yoldylizeth@hotmail.com </v>
          </cell>
          <cell r="Q226">
            <v>45750</v>
          </cell>
          <cell r="R226" t="str">
            <v>ALEXANDER YELA</v>
          </cell>
          <cell r="U226" t="str">
            <v>CELEBRADO</v>
          </cell>
          <cell r="W226" t="str">
            <v>2025-0177</v>
          </cell>
          <cell r="X226" t="str">
            <v>2025-0418</v>
          </cell>
          <cell r="AJ226">
            <v>2</v>
          </cell>
          <cell r="AK226">
            <v>0</v>
          </cell>
          <cell r="AL226">
            <v>3</v>
          </cell>
          <cell r="AM226" t="str">
            <v>$6.000.000</v>
          </cell>
        </row>
        <row r="227">
          <cell r="A227" t="str">
            <v>226-2025</v>
          </cell>
          <cell r="B227" t="str">
            <v>PRESTACION DE SERVICIOS</v>
          </cell>
          <cell r="C227" t="str">
            <v>DIANA CAROLINA CORTES TAPIA</v>
          </cell>
          <cell r="D227" t="str">
            <v>CC</v>
          </cell>
          <cell r="E227">
            <v>59312865</v>
          </cell>
          <cell r="F227">
            <v>8</v>
          </cell>
          <cell r="G227" t="str">
            <v xml:space="preserve">CONTRATACION DIRECTA </v>
          </cell>
          <cell r="H227">
            <v>1</v>
          </cell>
          <cell r="I227" t="str">
            <v>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27">
            <v>1</v>
          </cell>
          <cell r="K227" t="str">
            <v>$9.500.000</v>
          </cell>
          <cell r="L227">
            <v>45750</v>
          </cell>
          <cell r="M227">
            <v>45808</v>
          </cell>
          <cell r="N227" t="str">
            <v>MARY ALEXANDRA ROSERO BENAVIDES</v>
          </cell>
          <cell r="O227">
            <v>43624414</v>
          </cell>
          <cell r="P227" t="str">
            <v>tatianacriollo111@gmail.com</v>
          </cell>
          <cell r="Q227">
            <v>45750</v>
          </cell>
          <cell r="R227" t="str">
            <v>ANDRES GUERRA</v>
          </cell>
          <cell r="U227" t="str">
            <v>CELEBRADO</v>
          </cell>
          <cell r="W227" t="str">
            <v>2025-0177</v>
          </cell>
          <cell r="X227" t="str">
            <v>2025-0415</v>
          </cell>
          <cell r="AJ227">
            <v>2</v>
          </cell>
          <cell r="AK227">
            <v>0</v>
          </cell>
          <cell r="AL227">
            <v>3</v>
          </cell>
          <cell r="AM227" t="str">
            <v>$9.500.000</v>
          </cell>
        </row>
        <row r="228">
          <cell r="A228" t="str">
            <v>227-2025</v>
          </cell>
          <cell r="B228" t="str">
            <v>PRESTACION DE SERVICIOS</v>
          </cell>
          <cell r="C228" t="str">
            <v>DEISY JOHANNA BASTIDAS JOJOA</v>
          </cell>
          <cell r="D228" t="str">
            <v>CC</v>
          </cell>
          <cell r="E228">
            <v>1085252263</v>
          </cell>
          <cell r="F228">
            <v>1</v>
          </cell>
          <cell r="G228" t="str">
            <v xml:space="preserve">CONTRATACION DIRECTA </v>
          </cell>
          <cell r="H228">
            <v>1</v>
          </cell>
          <cell r="I228" t="str">
            <v>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ell>
          <cell r="J228">
            <v>1</v>
          </cell>
          <cell r="K228" t="str">
            <v>$6.000.000</v>
          </cell>
          <cell r="L228">
            <v>45750</v>
          </cell>
          <cell r="M228">
            <v>45808</v>
          </cell>
          <cell r="N228" t="str">
            <v>DEYANIRA BADOS DAZA</v>
          </cell>
          <cell r="O228">
            <v>59836926</v>
          </cell>
          <cell r="P228" t="str">
            <v>deijoba2018@gmail.com</v>
          </cell>
          <cell r="Q228">
            <v>45750</v>
          </cell>
          <cell r="R228" t="str">
            <v>RODRIGO ROSERO</v>
          </cell>
          <cell r="U228" t="str">
            <v>CELEBRADO</v>
          </cell>
          <cell r="W228" t="str">
            <v>2025-0177</v>
          </cell>
          <cell r="X228" t="str">
            <v>2025-0419</v>
          </cell>
          <cell r="AJ228">
            <v>2</v>
          </cell>
          <cell r="AK228">
            <v>0</v>
          </cell>
          <cell r="AL228">
            <v>3</v>
          </cell>
          <cell r="AM228" t="str">
            <v>$6.000.000</v>
          </cell>
        </row>
        <row r="229">
          <cell r="A229" t="str">
            <v>228-2025</v>
          </cell>
          <cell r="B229" t="str">
            <v>PRESTACION DE SERVICIOS</v>
          </cell>
          <cell r="C229" t="str">
            <v>EDWIN PANTOJA OTERO</v>
          </cell>
          <cell r="D229" t="str">
            <v>CC</v>
          </cell>
          <cell r="E229">
            <v>87067123</v>
          </cell>
          <cell r="F229">
            <v>2</v>
          </cell>
          <cell r="G229" t="str">
            <v xml:space="preserve">CONTRATACION DIRECTA </v>
          </cell>
          <cell r="H229">
            <v>1</v>
          </cell>
          <cell r="I229"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29">
            <v>1</v>
          </cell>
          <cell r="K229" t="str">
            <v>$15.000.000</v>
          </cell>
          <cell r="L229">
            <v>45750</v>
          </cell>
          <cell r="M229">
            <v>45808</v>
          </cell>
          <cell r="N229" t="str">
            <v>DEYANIRA BADOS DAZA</v>
          </cell>
          <cell r="O229">
            <v>59836926</v>
          </cell>
          <cell r="P229" t="str">
            <v>edwinpantojaotero@gmail.com</v>
          </cell>
          <cell r="Q229">
            <v>45750</v>
          </cell>
          <cell r="R229" t="str">
            <v>JUAN GOMEZ</v>
          </cell>
          <cell r="U229" t="str">
            <v>CELEBRADO</v>
          </cell>
          <cell r="W229" t="str">
            <v>2025-0177</v>
          </cell>
          <cell r="X229" t="str">
            <v>2025-0420</v>
          </cell>
          <cell r="AJ229">
            <v>2</v>
          </cell>
          <cell r="AK229">
            <v>0</v>
          </cell>
          <cell r="AL229">
            <v>3</v>
          </cell>
          <cell r="AM229" t="str">
            <v>$15.000.000</v>
          </cell>
        </row>
        <row r="230">
          <cell r="A230" t="str">
            <v>229-2025</v>
          </cell>
          <cell r="B230" t="str">
            <v>PRESTACION DE SERVICIOS</v>
          </cell>
          <cell r="C230" t="str">
            <v>PABLO JOSE BADOS LOPEZ</v>
          </cell>
          <cell r="D230" t="str">
            <v>CC</v>
          </cell>
          <cell r="E230">
            <v>1004232508</v>
          </cell>
          <cell r="F230">
            <v>0</v>
          </cell>
          <cell r="G230" t="str">
            <v xml:space="preserve">CONTRATACION DIRECTA </v>
          </cell>
          <cell r="H230">
            <v>1</v>
          </cell>
          <cell r="I23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30">
            <v>1</v>
          </cell>
          <cell r="K230" t="str">
            <v>$6.000.000</v>
          </cell>
          <cell r="L230">
            <v>45750</v>
          </cell>
          <cell r="M230">
            <v>45808</v>
          </cell>
          <cell r="N230" t="str">
            <v>RODRIGO DE JESUS VITERI MORENO</v>
          </cell>
          <cell r="O230">
            <v>98390119</v>
          </cell>
          <cell r="P230" t="str">
            <v>badoslopez10@gmail.com</v>
          </cell>
          <cell r="Q230">
            <v>45750</v>
          </cell>
          <cell r="R230" t="str">
            <v>ANDRES GUERRA</v>
          </cell>
          <cell r="U230" t="str">
            <v>CELEBRADO</v>
          </cell>
          <cell r="W230" t="str">
            <v>2025-0177</v>
          </cell>
          <cell r="X230" t="str">
            <v>2025-0421</v>
          </cell>
          <cell r="AJ230">
            <v>2</v>
          </cell>
          <cell r="AK230">
            <v>0</v>
          </cell>
          <cell r="AL230">
            <v>3</v>
          </cell>
          <cell r="AM230" t="str">
            <v>$6.000.000</v>
          </cell>
        </row>
        <row r="231">
          <cell r="A231" t="str">
            <v>230-2025</v>
          </cell>
          <cell r="B231" t="str">
            <v>SUMINISTROS</v>
          </cell>
          <cell r="C231" t="str">
            <v>CLINIMEDICAL GROUP S.A.S.</v>
          </cell>
          <cell r="D231" t="str">
            <v>NIT</v>
          </cell>
          <cell r="E231">
            <v>901181781</v>
          </cell>
          <cell r="F231">
            <v>8</v>
          </cell>
          <cell r="G231" t="str">
            <v xml:space="preserve">CONTRATACION DIRECTA </v>
          </cell>
          <cell r="H231">
            <v>2</v>
          </cell>
          <cell r="I231" t="str">
            <v>Suministro de Controles de Calidad Interno de pruebas de inmunocromatografia, para los Laboratorios Clinicos de la Empresa Social del Estado Pasto Salud ESE</v>
          </cell>
          <cell r="J231">
            <v>1</v>
          </cell>
          <cell r="K231" t="str">
            <v>$12.179.400</v>
          </cell>
          <cell r="L231">
            <v>45750</v>
          </cell>
          <cell r="M231">
            <v>45838</v>
          </cell>
          <cell r="N231" t="str">
            <v>LAURA XIMENA SANDOVAL REDONDO</v>
          </cell>
          <cell r="O231">
            <v>30400115</v>
          </cell>
          <cell r="P231" t="str">
            <v>maricela.arcos@clinimedical.com.co</v>
          </cell>
          <cell r="Q231">
            <v>45750</v>
          </cell>
          <cell r="R231" t="str">
            <v>CRISTINA ROSERO</v>
          </cell>
          <cell r="U231" t="str">
            <v>CELEBRADO</v>
          </cell>
          <cell r="W231" t="str">
            <v>2025-0167</v>
          </cell>
          <cell r="X231" t="str">
            <v>2025-0422</v>
          </cell>
          <cell r="AJ231">
            <v>2</v>
          </cell>
          <cell r="AK231">
            <v>0</v>
          </cell>
          <cell r="AL231">
            <v>3</v>
          </cell>
          <cell r="AM231" t="str">
            <v>$12.179.400</v>
          </cell>
        </row>
        <row r="232">
          <cell r="A232" t="str">
            <v>231-2025</v>
          </cell>
          <cell r="B232" t="str">
            <v>SUMINISTROS</v>
          </cell>
          <cell r="C232" t="str">
            <v>FUERTES MEJIA MEDICAMENTOS Y DISPOSITIVOS MEDICOS SAS</v>
          </cell>
          <cell r="D232" t="str">
            <v>NIT</v>
          </cell>
          <cell r="E232">
            <v>901565478</v>
          </cell>
          <cell r="F232">
            <v>1</v>
          </cell>
          <cell r="G232" t="str">
            <v>BIONEXO</v>
          </cell>
          <cell r="H232">
            <v>2</v>
          </cell>
          <cell r="I232" t="str">
            <v>El contratista se obliga al suministro de los medicamentos en las cantidades establecidas en el anexo 1, el cual hace parte integral del contrato. Para la ESE Pasto Salud.</v>
          </cell>
          <cell r="J232">
            <v>3</v>
          </cell>
          <cell r="K232" t="str">
            <v>$223.752.762</v>
          </cell>
          <cell r="L232">
            <v>45750</v>
          </cell>
          <cell r="M232">
            <v>45838</v>
          </cell>
          <cell r="N232" t="str">
            <v>NENA DEL CARMEN RAMIREZ RAMIREZ</v>
          </cell>
          <cell r="O232">
            <v>30732589</v>
          </cell>
          <cell r="P232" t="str">
            <v>contabilidad@fuertesmejia.com.co</v>
          </cell>
          <cell r="Q232">
            <v>45750</v>
          </cell>
          <cell r="R232" t="str">
            <v>ELIANA BENAVIDES</v>
          </cell>
          <cell r="U232" t="str">
            <v>CELEBRADO</v>
          </cell>
          <cell r="W232" t="str">
            <v>2025-0170</v>
          </cell>
          <cell r="X232" t="str">
            <v>2025-0416</v>
          </cell>
          <cell r="AJ232">
            <v>2</v>
          </cell>
          <cell r="AK232">
            <v>0</v>
          </cell>
          <cell r="AL232">
            <v>3</v>
          </cell>
          <cell r="AM232" t="str">
            <v>$223.752.762</v>
          </cell>
        </row>
        <row r="233">
          <cell r="A233" t="str">
            <v>232-2025</v>
          </cell>
          <cell r="B233" t="str">
            <v>SUMINISTROS</v>
          </cell>
          <cell r="C233" t="str">
            <v>FUERTES MEJIA MEDICAMENTOS Y DISPOSITIVOS MEDICOS S.A.S.,</v>
          </cell>
          <cell r="D233" t="str">
            <v>NIT</v>
          </cell>
          <cell r="E233">
            <v>901565478</v>
          </cell>
          <cell r="F233">
            <v>1</v>
          </cell>
          <cell r="G233" t="str">
            <v>BIONEXO</v>
          </cell>
          <cell r="H233">
            <v>2</v>
          </cell>
          <cell r="I233" t="str">
            <v>El contratista se obliga al suministro del material médico quirúrgico en las cantidades establecidas en el anexo 1, el cual hace parte integral del contrato. Para la ESE Pasto Salud</v>
          </cell>
          <cell r="J233">
            <v>3</v>
          </cell>
          <cell r="K233" t="str">
            <v>$148.139.268,95</v>
          </cell>
          <cell r="L233">
            <v>45750</v>
          </cell>
          <cell r="M233">
            <v>45869</v>
          </cell>
          <cell r="N233" t="str">
            <v>NENA DEL CARMEN RAMIREZ RAMIREZ</v>
          </cell>
          <cell r="O233">
            <v>30732589</v>
          </cell>
          <cell r="P233" t="str">
            <v>contabilidad@fuertesmejia.com.co</v>
          </cell>
          <cell r="Q233">
            <v>45750</v>
          </cell>
          <cell r="R233" t="str">
            <v>CRISTINA ROSERO</v>
          </cell>
          <cell r="U233" t="str">
            <v>CELEBRADO</v>
          </cell>
          <cell r="W233" t="str">
            <v>2025-0166</v>
          </cell>
          <cell r="X233" t="str">
            <v>2025-0417</v>
          </cell>
          <cell r="AJ233">
            <v>2</v>
          </cell>
          <cell r="AK233">
            <v>0</v>
          </cell>
          <cell r="AL233">
            <v>2</v>
          </cell>
          <cell r="AM233" t="str">
            <v>$148.139.268,95</v>
          </cell>
        </row>
        <row r="234">
          <cell r="A234" t="str">
            <v>233-2025</v>
          </cell>
          <cell r="B234" t="str">
            <v>PRESTACION DE SERVICIOS</v>
          </cell>
          <cell r="C234" t="str">
            <v>CARMEN LILIANA ARMERO RUIZ</v>
          </cell>
          <cell r="D234" t="str">
            <v>CC</v>
          </cell>
          <cell r="E234">
            <v>1085248939</v>
          </cell>
          <cell r="F234">
            <v>6</v>
          </cell>
          <cell r="G234" t="str">
            <v xml:space="preserve">CONTRATACION DIRECTA </v>
          </cell>
          <cell r="H234">
            <v>1</v>
          </cell>
          <cell r="I234"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234">
            <v>1</v>
          </cell>
          <cell r="K234" t="str">
            <v>$12.000.000</v>
          </cell>
          <cell r="L234">
            <v>45750</v>
          </cell>
          <cell r="M234">
            <v>45808</v>
          </cell>
          <cell r="N234" t="str">
            <v>MARY ALEXANDRA ROSERO BENAVIDES</v>
          </cell>
          <cell r="O234">
            <v>43624414</v>
          </cell>
          <cell r="P234" t="str">
            <v>ggcontadores21@gmail.com</v>
          </cell>
          <cell r="Q234">
            <v>45750</v>
          </cell>
          <cell r="R234" t="str">
            <v>ALEXANDER YELA</v>
          </cell>
          <cell r="U234" t="str">
            <v>CELEBRADO</v>
          </cell>
          <cell r="W234" t="str">
            <v>2025-0177</v>
          </cell>
          <cell r="X234" t="str">
            <v>2025-0423</v>
          </cell>
          <cell r="AJ234">
            <v>2</v>
          </cell>
          <cell r="AK234">
            <v>0</v>
          </cell>
          <cell r="AL234">
            <v>3</v>
          </cell>
          <cell r="AM234" t="str">
            <v>$12.000.000</v>
          </cell>
        </row>
        <row r="235">
          <cell r="A235" t="str">
            <v>234-2025</v>
          </cell>
          <cell r="B235" t="str">
            <v>PRESTACION DE SERVICIOS</v>
          </cell>
          <cell r="C235" t="str">
            <v>DOLY MAYBRI TIMANA GUACAN</v>
          </cell>
          <cell r="D235" t="str">
            <v>CC</v>
          </cell>
          <cell r="E235">
            <v>1086223299</v>
          </cell>
          <cell r="F235">
            <v>6</v>
          </cell>
          <cell r="G235" t="str">
            <v xml:space="preserve">CONTRATACION DIRECTA </v>
          </cell>
          <cell r="H235">
            <v>1</v>
          </cell>
          <cell r="I23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35">
            <v>1</v>
          </cell>
          <cell r="K235" t="str">
            <v>$6.000.000</v>
          </cell>
          <cell r="L235">
            <v>45750</v>
          </cell>
          <cell r="M235">
            <v>45808</v>
          </cell>
          <cell r="N235" t="str">
            <v>DEYANIRA BADOS DAZA</v>
          </cell>
          <cell r="O235">
            <v>59836926</v>
          </cell>
          <cell r="P235" t="str">
            <v>dolytimana3@gmail.com</v>
          </cell>
          <cell r="Q235">
            <v>45750</v>
          </cell>
          <cell r="R235" t="str">
            <v>ANDRES GUERRA</v>
          </cell>
          <cell r="U235" t="str">
            <v>CELEBRADO</v>
          </cell>
          <cell r="W235" t="str">
            <v>2025-0177</v>
          </cell>
          <cell r="X235" t="str">
            <v>2025-0424</v>
          </cell>
          <cell r="AJ235">
            <v>2</v>
          </cell>
          <cell r="AK235">
            <v>0</v>
          </cell>
          <cell r="AL235">
            <v>3</v>
          </cell>
          <cell r="AM235" t="str">
            <v>$6.000.000</v>
          </cell>
        </row>
        <row r="236">
          <cell r="A236" t="str">
            <v>235-2025</v>
          </cell>
          <cell r="B236" t="str">
            <v>PRESTACION DE SERVICIOS</v>
          </cell>
          <cell r="C236" t="str">
            <v>CARMEN PATRICIA CORDOBA ARTEAGA</v>
          </cell>
          <cell r="D236" t="str">
            <v>CC</v>
          </cell>
          <cell r="E236">
            <v>59820414</v>
          </cell>
          <cell r="F236">
            <v>9</v>
          </cell>
          <cell r="G236" t="str">
            <v xml:space="preserve">CONTRATACION DIRECTA </v>
          </cell>
          <cell r="H236">
            <v>1</v>
          </cell>
          <cell r="I236"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36">
            <v>1</v>
          </cell>
          <cell r="K236" t="str">
            <v>$12.000.000</v>
          </cell>
          <cell r="L236">
            <v>45750</v>
          </cell>
          <cell r="M236">
            <v>45808</v>
          </cell>
          <cell r="N236" t="str">
            <v>DEYANIRA BADOS DAZA</v>
          </cell>
          <cell r="O236">
            <v>59836926</v>
          </cell>
          <cell r="P236" t="str">
            <v>patyenfer5@gmail.com.</v>
          </cell>
          <cell r="Q236">
            <v>45750</v>
          </cell>
          <cell r="R236" t="str">
            <v>NATALIA ERAZO</v>
          </cell>
          <cell r="U236" t="str">
            <v>CELEBRADO</v>
          </cell>
          <cell r="W236" t="str">
            <v>2025-0177</v>
          </cell>
          <cell r="X236" t="str">
            <v>2025-0425</v>
          </cell>
          <cell r="AJ236">
            <v>2</v>
          </cell>
          <cell r="AK236">
            <v>0</v>
          </cell>
          <cell r="AL236">
            <v>3</v>
          </cell>
          <cell r="AM236" t="str">
            <v>$12.000.000</v>
          </cell>
        </row>
        <row r="237">
          <cell r="A237" t="str">
            <v>236-2025</v>
          </cell>
          <cell r="B237" t="str">
            <v>SUMINISTROS</v>
          </cell>
          <cell r="C237" t="str">
            <v>OPERANDO MÉDICO QUIRÚRGICOS S.A.S.</v>
          </cell>
          <cell r="D237" t="str">
            <v>NIT</v>
          </cell>
          <cell r="E237">
            <v>900319471</v>
          </cell>
          <cell r="F237">
            <v>1</v>
          </cell>
          <cell r="G237" t="str">
            <v>BIONEXO</v>
          </cell>
          <cell r="H237">
            <v>2</v>
          </cell>
          <cell r="I237" t="str">
            <v>El contratista se obliga al suministro del material médico quirúrgico en las cantidades establecidas en el anexo, 1, el cual hace parte integral del contrato. Para la ESE Pasto Salud.</v>
          </cell>
          <cell r="J237">
            <v>3</v>
          </cell>
          <cell r="K237" t="str">
            <v>$46.234.232,85</v>
          </cell>
          <cell r="L237">
            <v>45750</v>
          </cell>
          <cell r="M237">
            <v>45869</v>
          </cell>
          <cell r="N237" t="str">
            <v>NENA DEL CARMEN RAMIREZ RAMIREZ</v>
          </cell>
          <cell r="O237">
            <v>30732589</v>
          </cell>
          <cell r="P237" t="str">
            <v>administración@operandosa.com</v>
          </cell>
          <cell r="Q237">
            <v>45750</v>
          </cell>
          <cell r="R237" t="str">
            <v>ALEXANDER YELA</v>
          </cell>
          <cell r="U237" t="str">
            <v>CELEBRADO</v>
          </cell>
          <cell r="W237" t="str">
            <v>2025-0166</v>
          </cell>
          <cell r="X237" t="str">
            <v>2025-0426</v>
          </cell>
          <cell r="AJ237">
            <v>2</v>
          </cell>
          <cell r="AK237">
            <v>0</v>
          </cell>
          <cell r="AL237">
            <v>2</v>
          </cell>
          <cell r="AM237" t="str">
            <v>$46.234.232,85</v>
          </cell>
        </row>
        <row r="238">
          <cell r="A238" t="str">
            <v>237-2025</v>
          </cell>
          <cell r="B238" t="str">
            <v>SUMINISTROS</v>
          </cell>
          <cell r="C238" t="str">
            <v>DISCOLMETS SAS</v>
          </cell>
          <cell r="D238" t="str">
            <v>NIT</v>
          </cell>
          <cell r="E238">
            <v>828002423</v>
          </cell>
          <cell r="F238">
            <v>5</v>
          </cell>
          <cell r="G238" t="str">
            <v>BIONEXO</v>
          </cell>
          <cell r="H238">
            <v>2</v>
          </cell>
          <cell r="I238" t="str">
            <v>El contratista se obliga al suministro del material médico quirúrgico en las cantidades establecidas en el anexo 1, el cual hace parte integral del contrato. Para la ESE Pasto Salud.</v>
          </cell>
          <cell r="J238">
            <v>3</v>
          </cell>
          <cell r="K238" t="str">
            <v>$50.631.987,58</v>
          </cell>
          <cell r="L238">
            <v>45751</v>
          </cell>
          <cell r="M238">
            <v>45869</v>
          </cell>
          <cell r="N238" t="str">
            <v>NENA DEL CARMEN RAMIREZ RAMIREZ</v>
          </cell>
          <cell r="O238">
            <v>30732589</v>
          </cell>
          <cell r="P238" t="str">
            <v>gerencia@discolmedica.com.co</v>
          </cell>
          <cell r="Q238">
            <v>45751</v>
          </cell>
          <cell r="R238" t="str">
            <v>ALEXANDER YELA</v>
          </cell>
          <cell r="U238" t="str">
            <v>CELEBRADO</v>
          </cell>
          <cell r="W238" t="str">
            <v>2025-0166</v>
          </cell>
          <cell r="X238" t="str">
            <v>2025-0429</v>
          </cell>
          <cell r="AJ238">
            <v>2</v>
          </cell>
          <cell r="AK238">
            <v>0</v>
          </cell>
          <cell r="AL238">
            <v>2</v>
          </cell>
          <cell r="AM238" t="str">
            <v>$50.631.987,58</v>
          </cell>
        </row>
        <row r="239">
          <cell r="A239" t="str">
            <v>238-2025</v>
          </cell>
          <cell r="B239" t="str">
            <v>PRESTACION DE SERVICIOS</v>
          </cell>
          <cell r="C239" t="str">
            <v>JAQUELINE MELO MOSQUERA</v>
          </cell>
          <cell r="D239" t="str">
            <v>CC</v>
          </cell>
          <cell r="E239" t="str">
            <v>30,743.783</v>
          </cell>
          <cell r="F239">
            <v>6</v>
          </cell>
          <cell r="G239" t="str">
            <v xml:space="preserve">CONTRATACION DIRECTA </v>
          </cell>
          <cell r="H239">
            <v>1</v>
          </cell>
          <cell r="I23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239">
            <v>1</v>
          </cell>
          <cell r="K239" t="str">
            <v>$6.000.000</v>
          </cell>
          <cell r="L239">
            <v>45751</v>
          </cell>
          <cell r="M239">
            <v>45808</v>
          </cell>
          <cell r="N239" t="str">
            <v>MARY ALEXANDRA ROSERO BENAVIDES</v>
          </cell>
          <cell r="O239">
            <v>43624414</v>
          </cell>
          <cell r="P239" t="str">
            <v>jakelinemelomos@hotmail.com</v>
          </cell>
          <cell r="Q239">
            <v>45751</v>
          </cell>
          <cell r="R239" t="str">
            <v>ELIANA BENAVIDES</v>
          </cell>
          <cell r="U239" t="str">
            <v>CELEBRADO</v>
          </cell>
          <cell r="W239" t="str">
            <v>2025-0177</v>
          </cell>
          <cell r="X239" t="str">
            <v>2025-0430</v>
          </cell>
          <cell r="AJ239">
            <v>2</v>
          </cell>
          <cell r="AK239">
            <v>0</v>
          </cell>
          <cell r="AL239">
            <v>3</v>
          </cell>
          <cell r="AM239" t="str">
            <v>$6.000.000</v>
          </cell>
        </row>
        <row r="240">
          <cell r="A240" t="str">
            <v>239-2025</v>
          </cell>
          <cell r="B240" t="str">
            <v>PRESTACION DE SERVICIOS</v>
          </cell>
          <cell r="C240" t="str">
            <v>YEISON SMIT NUÑEZ ACOSTA</v>
          </cell>
          <cell r="D240" t="str">
            <v>CC</v>
          </cell>
          <cell r="E240">
            <v>1004598784</v>
          </cell>
          <cell r="F240">
            <v>8</v>
          </cell>
          <cell r="G240" t="str">
            <v xml:space="preserve">CONTRATACION DIRECTA </v>
          </cell>
          <cell r="H240">
            <v>1</v>
          </cell>
          <cell r="I24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240">
            <v>1</v>
          </cell>
          <cell r="K240" t="str">
            <v>$6.000.000</v>
          </cell>
          <cell r="L240">
            <v>45751</v>
          </cell>
          <cell r="M240">
            <v>45808</v>
          </cell>
          <cell r="N240" t="str">
            <v>MARY ALEXANDRA ROSERO BENAVIDES</v>
          </cell>
          <cell r="O240">
            <v>43624414</v>
          </cell>
          <cell r="P240" t="str">
            <v>yeisonacosta936@gmail.com</v>
          </cell>
          <cell r="Q240">
            <v>45751</v>
          </cell>
          <cell r="R240" t="str">
            <v>ELIANA BENAVIDES</v>
          </cell>
          <cell r="U240" t="str">
            <v>CELEBRADO</v>
          </cell>
          <cell r="W240" t="str">
            <v>2025-0177</v>
          </cell>
          <cell r="X240" t="str">
            <v>2025-0431</v>
          </cell>
          <cell r="AJ240">
            <v>2</v>
          </cell>
          <cell r="AK240">
            <v>0</v>
          </cell>
          <cell r="AL240">
            <v>3</v>
          </cell>
          <cell r="AM240" t="str">
            <v>$6.000.000</v>
          </cell>
        </row>
        <row r="241">
          <cell r="A241" t="str">
            <v>240-2025</v>
          </cell>
          <cell r="B241" t="str">
            <v>PRESTACION DE SERVICIOS</v>
          </cell>
          <cell r="C241" t="str">
            <v>LIZETH MARCELA ORTIZ MUÑOZ</v>
          </cell>
          <cell r="D241" t="str">
            <v>CC</v>
          </cell>
          <cell r="E241">
            <v>1006946167</v>
          </cell>
          <cell r="F241">
            <v>4</v>
          </cell>
          <cell r="G241" t="str">
            <v xml:space="preserve">CONTRATACION DIRECTA </v>
          </cell>
          <cell r="H241">
            <v>1</v>
          </cell>
          <cell r="I241"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41">
            <v>1</v>
          </cell>
          <cell r="K241" t="str">
            <v>$15.000.000</v>
          </cell>
          <cell r="L241">
            <v>45751</v>
          </cell>
          <cell r="M241">
            <v>45808</v>
          </cell>
          <cell r="N241" t="str">
            <v>RIGOBERTO MELO ZAMBRANO</v>
          </cell>
          <cell r="O241">
            <v>98333941</v>
          </cell>
          <cell r="P241" t="str">
            <v xml:space="preserve">ortizlizeth9516@gmail.com </v>
          </cell>
          <cell r="Q241">
            <v>45751</v>
          </cell>
          <cell r="R241" t="str">
            <v>ALEXANDER YELA</v>
          </cell>
          <cell r="U241" t="str">
            <v>CELEBRADO</v>
          </cell>
          <cell r="W241" t="str">
            <v>2025-0177</v>
          </cell>
          <cell r="X241" t="str">
            <v>2025-0432</v>
          </cell>
          <cell r="AJ241">
            <v>2</v>
          </cell>
          <cell r="AK241">
            <v>0</v>
          </cell>
          <cell r="AL241">
            <v>3</v>
          </cell>
          <cell r="AM241" t="str">
            <v>$15.000.000</v>
          </cell>
        </row>
        <row r="242">
          <cell r="A242" t="str">
            <v>241-2025</v>
          </cell>
          <cell r="B242" t="str">
            <v>PRESTACION DE SERVICIOS</v>
          </cell>
          <cell r="C242" t="str">
            <v>MONICA DEL ROCIO ERAZO RUIZ</v>
          </cell>
          <cell r="D242" t="str">
            <v>CC</v>
          </cell>
          <cell r="E242">
            <v>36757213</v>
          </cell>
          <cell r="F242">
            <v>2</v>
          </cell>
          <cell r="G242" t="str">
            <v xml:space="preserve">CONTRATACION DIRECTA </v>
          </cell>
          <cell r="H242">
            <v>1</v>
          </cell>
          <cell r="I24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42">
            <v>1</v>
          </cell>
          <cell r="K242" t="str">
            <v>$6.000.000</v>
          </cell>
          <cell r="L242">
            <v>45751</v>
          </cell>
          <cell r="M242">
            <v>45808</v>
          </cell>
          <cell r="N242" t="str">
            <v>RODRIGO DE JESUS VITERI MORENO</v>
          </cell>
          <cell r="O242">
            <v>98390119</v>
          </cell>
          <cell r="P242" t="str">
            <v>monicaerazo333@gmail.com</v>
          </cell>
          <cell r="Q242">
            <v>45751</v>
          </cell>
          <cell r="R242" t="str">
            <v>ELIANA BENAVIDES</v>
          </cell>
          <cell r="U242" t="str">
            <v>CELEBRADO</v>
          </cell>
          <cell r="W242" t="str">
            <v>2025-0177</v>
          </cell>
          <cell r="X242" t="str">
            <v>2025-0433</v>
          </cell>
          <cell r="AJ242">
            <v>2</v>
          </cell>
          <cell r="AK242">
            <v>0</v>
          </cell>
          <cell r="AL242">
            <v>3</v>
          </cell>
          <cell r="AM242" t="str">
            <v>$6.000.000</v>
          </cell>
        </row>
        <row r="243">
          <cell r="A243" t="str">
            <v>242-2025</v>
          </cell>
          <cell r="B243" t="str">
            <v>PRESTACION DE SERVICIOS</v>
          </cell>
          <cell r="C243" t="str">
            <v>JOSE FERNANDO CHAÑA QUENGUAN</v>
          </cell>
          <cell r="D243" t="str">
            <v>CC</v>
          </cell>
          <cell r="E243">
            <v>1085260497</v>
          </cell>
          <cell r="F243">
            <v>1</v>
          </cell>
          <cell r="G243" t="str">
            <v xml:space="preserve">CONTRATACION DIRECTA </v>
          </cell>
          <cell r="H243">
            <v>1</v>
          </cell>
          <cell r="I24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43">
            <v>1</v>
          </cell>
          <cell r="K243" t="str">
            <v>$9.500.000</v>
          </cell>
          <cell r="L243">
            <v>45751</v>
          </cell>
          <cell r="M243">
            <v>45808</v>
          </cell>
          <cell r="N243" t="str">
            <v>MARY ALEXANDRA ROSERO BENAVIDES</v>
          </cell>
          <cell r="O243">
            <v>43624414</v>
          </cell>
          <cell r="P243" t="str">
            <v>fernet26@hotmail.com</v>
          </cell>
          <cell r="Q243">
            <v>45751</v>
          </cell>
          <cell r="R243" t="str">
            <v>CRISTINA ROSERO</v>
          </cell>
          <cell r="U243" t="str">
            <v>CELEBRADO</v>
          </cell>
          <cell r="W243" t="str">
            <v>2025-0177</v>
          </cell>
          <cell r="X243" t="str">
            <v>2025-0434</v>
          </cell>
          <cell r="AJ243">
            <v>2</v>
          </cell>
          <cell r="AK243">
            <v>0</v>
          </cell>
          <cell r="AL243">
            <v>3</v>
          </cell>
          <cell r="AM243" t="str">
            <v>$9.500.000</v>
          </cell>
        </row>
        <row r="244">
          <cell r="A244" t="str">
            <v>243-2025</v>
          </cell>
          <cell r="B244" t="str">
            <v>PRESTACION DE SERVICIOS</v>
          </cell>
          <cell r="C244" t="str">
            <v>NATHALIA ROSERO RODRIGUEZ</v>
          </cell>
          <cell r="D244" t="str">
            <v>CC</v>
          </cell>
          <cell r="E244">
            <v>1082748420</v>
          </cell>
          <cell r="F244">
            <v>0</v>
          </cell>
          <cell r="G244" t="str">
            <v xml:space="preserve">CONTRATACION DIRECTA </v>
          </cell>
          <cell r="H244">
            <v>1</v>
          </cell>
          <cell r="I244" t="str">
            <v>: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244">
            <v>1</v>
          </cell>
          <cell r="K244" t="str">
            <v>$12.000.000</v>
          </cell>
          <cell r="L244">
            <v>45751</v>
          </cell>
          <cell r="M244">
            <v>45808</v>
          </cell>
          <cell r="N244" t="str">
            <v>RODRIGO DE JESUS VITERI MORENO</v>
          </cell>
          <cell r="O244">
            <v>98390119</v>
          </cell>
          <cell r="P244" t="str">
            <v>roseronat52@gmail.com</v>
          </cell>
          <cell r="Q244">
            <v>45751</v>
          </cell>
          <cell r="R244" t="str">
            <v>RODRIGO ROSERO</v>
          </cell>
          <cell r="U244" t="str">
            <v>CELEBRADO</v>
          </cell>
          <cell r="W244" t="str">
            <v>2025-0177</v>
          </cell>
          <cell r="X244" t="str">
            <v>2025-0435</v>
          </cell>
          <cell r="AJ244">
            <v>2</v>
          </cell>
          <cell r="AK244">
            <v>0</v>
          </cell>
          <cell r="AL244">
            <v>3</v>
          </cell>
          <cell r="AM244" t="str">
            <v>$12.000.000</v>
          </cell>
        </row>
        <row r="245">
          <cell r="A245" t="str">
            <v>244-2025</v>
          </cell>
          <cell r="B245" t="str">
            <v>PRESTACION DE SERVICIOS</v>
          </cell>
          <cell r="C245" t="str">
            <v>JOSE JAVIER PINTA YAQUENO</v>
          </cell>
          <cell r="D245" t="str">
            <v>CC</v>
          </cell>
          <cell r="E245">
            <v>98382500</v>
          </cell>
          <cell r="F245">
            <v>6</v>
          </cell>
          <cell r="G245" t="str">
            <v xml:space="preserve">CONTRATACION DIRECTA </v>
          </cell>
          <cell r="H245">
            <v>1</v>
          </cell>
          <cell r="I24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45">
            <v>1</v>
          </cell>
          <cell r="K245" t="str">
            <v>$6.000.000</v>
          </cell>
          <cell r="L245">
            <v>45751</v>
          </cell>
          <cell r="M245">
            <v>45808</v>
          </cell>
          <cell r="N245" t="str">
            <v>RIGOBERTO MELO ZAMBRANO</v>
          </cell>
          <cell r="O245">
            <v>98333941</v>
          </cell>
          <cell r="P245" t="str">
            <v>josejavierpinta@gmail.com</v>
          </cell>
          <cell r="Q245">
            <v>45751</v>
          </cell>
          <cell r="R245" t="str">
            <v>ANDRES GUERRA</v>
          </cell>
          <cell r="U245" t="str">
            <v>CELEBRADO</v>
          </cell>
          <cell r="W245" t="str">
            <v>2025-0177</v>
          </cell>
          <cell r="X245" t="str">
            <v>2025-0436</v>
          </cell>
          <cell r="AJ245">
            <v>2</v>
          </cell>
          <cell r="AK245">
            <v>0</v>
          </cell>
          <cell r="AL245">
            <v>3</v>
          </cell>
          <cell r="AM245" t="str">
            <v>$6.000.000</v>
          </cell>
        </row>
        <row r="246">
          <cell r="A246" t="str">
            <v>245-2025</v>
          </cell>
          <cell r="B246" t="str">
            <v>PRESTACION DE SERVICIOS</v>
          </cell>
          <cell r="C246" t="str">
            <v>MARILYN ZAMBRANO OBANDO</v>
          </cell>
          <cell r="D246" t="str">
            <v>CC</v>
          </cell>
          <cell r="E246">
            <v>1081592303</v>
          </cell>
          <cell r="F246">
            <v>1</v>
          </cell>
          <cell r="G246" t="str">
            <v xml:space="preserve">CONTRATACION DIRECTA </v>
          </cell>
          <cell r="H246">
            <v>1</v>
          </cell>
          <cell r="I24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46">
            <v>1</v>
          </cell>
          <cell r="K246" t="str">
            <v>$6.000.000</v>
          </cell>
          <cell r="L246">
            <v>45751</v>
          </cell>
          <cell r="M246">
            <v>45808</v>
          </cell>
          <cell r="N246" t="str">
            <v>MARY ALEXANDRA ROSERO BENAVIDES</v>
          </cell>
          <cell r="O246">
            <v>43624414</v>
          </cell>
          <cell r="P246" t="str">
            <v>zmarilyn701@gmail.com</v>
          </cell>
          <cell r="Q246">
            <v>45751</v>
          </cell>
          <cell r="R246" t="str">
            <v>RODRIGO ROSERO</v>
          </cell>
          <cell r="U246" t="str">
            <v>CELEBRADO</v>
          </cell>
          <cell r="W246" t="str">
            <v>2025-0177</v>
          </cell>
          <cell r="X246" t="str">
            <v>2025-0437</v>
          </cell>
          <cell r="AJ246">
            <v>2</v>
          </cell>
          <cell r="AK246">
            <v>0</v>
          </cell>
          <cell r="AL246">
            <v>3</v>
          </cell>
          <cell r="AM246" t="str">
            <v>$6.000.000</v>
          </cell>
        </row>
        <row r="247">
          <cell r="A247" t="str">
            <v>246-2025</v>
          </cell>
          <cell r="B247" t="str">
            <v>PRESTACION DE SERVICIOS</v>
          </cell>
          <cell r="C247" t="str">
            <v>ANGELA EDITH GONZALEZ PIANDA</v>
          </cell>
          <cell r="D247" t="str">
            <v>CC</v>
          </cell>
          <cell r="E247">
            <v>1030606749</v>
          </cell>
          <cell r="F247">
            <v>1</v>
          </cell>
          <cell r="G247" t="str">
            <v xml:space="preserve">CONTRATACION DIRECTA </v>
          </cell>
          <cell r="H247">
            <v>1</v>
          </cell>
          <cell r="I24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47">
            <v>1</v>
          </cell>
          <cell r="K247" t="str">
            <v>$6.000.000</v>
          </cell>
          <cell r="L247">
            <v>45751</v>
          </cell>
          <cell r="M247">
            <v>45808</v>
          </cell>
          <cell r="N247" t="str">
            <v>RIGOBERTO MELO ZAMBRANO</v>
          </cell>
          <cell r="O247">
            <v>98333941</v>
          </cell>
          <cell r="P247" t="str">
            <v>angelitagonza1991@gmail.com</v>
          </cell>
          <cell r="Q247">
            <v>45751</v>
          </cell>
          <cell r="R247" t="str">
            <v>ANDRES GUERRA</v>
          </cell>
          <cell r="U247" t="str">
            <v>CELEBRADO</v>
          </cell>
          <cell r="W247" t="str">
            <v>2025-0177</v>
          </cell>
          <cell r="X247" t="str">
            <v>2025-0438</v>
          </cell>
          <cell r="AJ247">
            <v>2</v>
          </cell>
          <cell r="AK247">
            <v>0</v>
          </cell>
          <cell r="AL247">
            <v>3</v>
          </cell>
          <cell r="AM247" t="str">
            <v>$6.000.000</v>
          </cell>
        </row>
        <row r="248">
          <cell r="A248" t="str">
            <v>247-2025</v>
          </cell>
          <cell r="B248" t="str">
            <v>PRESTACION DE SERVICIOS</v>
          </cell>
          <cell r="C248" t="str">
            <v>DARLLY ROXANA ROSERO TIMARAN</v>
          </cell>
          <cell r="D248" t="str">
            <v>CC</v>
          </cell>
          <cell r="E248">
            <v>1085318688</v>
          </cell>
          <cell r="F248">
            <v>3</v>
          </cell>
          <cell r="G248" t="str">
            <v xml:space="preserve">CONTRATACION DIRECTA </v>
          </cell>
          <cell r="H248">
            <v>1</v>
          </cell>
          <cell r="I24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248">
            <v>1</v>
          </cell>
          <cell r="K248" t="str">
            <v>$6.000.000</v>
          </cell>
          <cell r="L248">
            <v>45751</v>
          </cell>
          <cell r="M248">
            <v>45808</v>
          </cell>
          <cell r="N248" t="str">
            <v>RIGOBERTO MELO ZAMBRANO</v>
          </cell>
          <cell r="O248">
            <v>98333941</v>
          </cell>
          <cell r="P248" t="str">
            <v>roxanarosero95@gmail.com</v>
          </cell>
          <cell r="Q248">
            <v>45751</v>
          </cell>
          <cell r="R248" t="str">
            <v>ELIANA BENAVIDES</v>
          </cell>
          <cell r="U248" t="str">
            <v>CELEBRADO</v>
          </cell>
          <cell r="W248" t="str">
            <v>2025-0177</v>
          </cell>
          <cell r="X248" t="str">
            <v>2025-0439</v>
          </cell>
          <cell r="AJ248">
            <v>2</v>
          </cell>
          <cell r="AK248">
            <v>0</v>
          </cell>
          <cell r="AL248">
            <v>3</v>
          </cell>
          <cell r="AM248" t="str">
            <v>$6.000.000</v>
          </cell>
        </row>
        <row r="249">
          <cell r="A249" t="str">
            <v>248-2025</v>
          </cell>
          <cell r="B249" t="str">
            <v>PRESTACION DE SERVICIOS</v>
          </cell>
          <cell r="C249" t="str">
            <v>ANDRES ERNESTO BRAVO ALMEIDA</v>
          </cell>
          <cell r="D249" t="str">
            <v>CC</v>
          </cell>
          <cell r="E249">
            <v>12748383</v>
          </cell>
          <cell r="F249">
            <v>0</v>
          </cell>
          <cell r="G249" t="str">
            <v xml:space="preserve">CONTRATACION DIRECTA </v>
          </cell>
          <cell r="H249">
            <v>1</v>
          </cell>
          <cell r="I249"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49">
            <v>1</v>
          </cell>
          <cell r="K249" t="str">
            <v>$9.650.000</v>
          </cell>
          <cell r="L249">
            <v>45751</v>
          </cell>
          <cell r="M249">
            <v>45808</v>
          </cell>
          <cell r="N249" t="str">
            <v>DEYANIRA BADOS DAZA</v>
          </cell>
          <cell r="O249">
            <v>59836926</v>
          </cell>
          <cell r="P249" t="str">
            <v>bravoalmeidaandres@gmail.com</v>
          </cell>
          <cell r="Q249">
            <v>45751</v>
          </cell>
          <cell r="R249" t="str">
            <v>JUAN GOMEZ</v>
          </cell>
          <cell r="U249" t="str">
            <v>CELEBRADO</v>
          </cell>
          <cell r="W249" t="str">
            <v>2025-0177</v>
          </cell>
          <cell r="X249" t="str">
            <v>2025-0440</v>
          </cell>
          <cell r="AJ249">
            <v>2</v>
          </cell>
          <cell r="AK249">
            <v>0</v>
          </cell>
          <cell r="AL249">
            <v>3</v>
          </cell>
          <cell r="AM249" t="str">
            <v>$9.650.000</v>
          </cell>
        </row>
        <row r="250">
          <cell r="A250" t="str">
            <v>249-2025</v>
          </cell>
          <cell r="B250" t="str">
            <v>PRESTACION DE SERVICIOS</v>
          </cell>
          <cell r="C250" t="str">
            <v>EDITH ANGELICA LÓPEZ VILLARREAL</v>
          </cell>
          <cell r="D250" t="str">
            <v>CC</v>
          </cell>
          <cell r="E250">
            <v>59310145</v>
          </cell>
          <cell r="F250">
            <v>4</v>
          </cell>
          <cell r="G250" t="str">
            <v xml:space="preserve">CONTRATACION DIRECTA </v>
          </cell>
          <cell r="H250">
            <v>1</v>
          </cell>
          <cell r="I250" t="str">
            <v>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250">
            <v>1</v>
          </cell>
          <cell r="K250" t="str">
            <v>$5.000.000</v>
          </cell>
          <cell r="L250">
            <v>45751</v>
          </cell>
          <cell r="M250">
            <v>45808</v>
          </cell>
          <cell r="N250" t="str">
            <v>RIGOBERTO MELO ZAMBRANO</v>
          </cell>
          <cell r="O250">
            <v>98333941</v>
          </cell>
          <cell r="P250" t="str">
            <v xml:space="preserve">angelicalv23@yahoo.es </v>
          </cell>
          <cell r="Q250">
            <v>45751</v>
          </cell>
          <cell r="R250" t="str">
            <v>ALEXANDER YELA</v>
          </cell>
          <cell r="U250" t="str">
            <v>CELEBRADO</v>
          </cell>
          <cell r="W250" t="str">
            <v>2025-0177</v>
          </cell>
          <cell r="X250" t="str">
            <v>2025-0441</v>
          </cell>
          <cell r="AJ250">
            <v>2</v>
          </cell>
          <cell r="AK250">
            <v>0</v>
          </cell>
          <cell r="AL250">
            <v>3</v>
          </cell>
          <cell r="AM250" t="str">
            <v>$5.000.000</v>
          </cell>
        </row>
        <row r="251">
          <cell r="A251" t="str">
            <v>250-2025</v>
          </cell>
          <cell r="B251" t="str">
            <v>PRESTACION DE SERVICIOS</v>
          </cell>
          <cell r="C251" t="str">
            <v>JEISSON STEVEN BASANTE ERAZO</v>
          </cell>
          <cell r="D251" t="str">
            <v>CC</v>
          </cell>
          <cell r="E251">
            <v>1085347173</v>
          </cell>
          <cell r="F251">
            <v>6</v>
          </cell>
          <cell r="G251" t="str">
            <v xml:space="preserve">CONTRATACION DIRECTA </v>
          </cell>
          <cell r="H251">
            <v>1</v>
          </cell>
          <cell r="I251"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51">
            <v>1</v>
          </cell>
          <cell r="K251" t="str">
            <v>$5.000.000</v>
          </cell>
          <cell r="L251">
            <v>45751</v>
          </cell>
          <cell r="M251">
            <v>45808</v>
          </cell>
          <cell r="N251" t="str">
            <v>RIGOBERTO MELO ZAMBRANO</v>
          </cell>
          <cell r="O251">
            <v>98333941</v>
          </cell>
          <cell r="P251" t="str">
            <v>jekobasante@gmail.com</v>
          </cell>
          <cell r="Q251">
            <v>45751</v>
          </cell>
          <cell r="R251" t="str">
            <v>ANDRES GUERRA</v>
          </cell>
          <cell r="U251" t="str">
            <v>CELEBRADO</v>
          </cell>
          <cell r="W251" t="str">
            <v>2025-0177</v>
          </cell>
          <cell r="X251" t="str">
            <v>2025-0442</v>
          </cell>
          <cell r="AJ251">
            <v>2</v>
          </cell>
          <cell r="AK251">
            <v>0</v>
          </cell>
          <cell r="AL251">
            <v>3</v>
          </cell>
          <cell r="AM251" t="str">
            <v>$5.000.000</v>
          </cell>
        </row>
        <row r="252">
          <cell r="A252" t="str">
            <v>251-2025</v>
          </cell>
          <cell r="B252" t="str">
            <v>PRESTACION DE SERVICIOS</v>
          </cell>
          <cell r="C252" t="str">
            <v>FRAN GIOVANNY GETIAL CHICAIZA</v>
          </cell>
          <cell r="D252" t="str">
            <v>CC</v>
          </cell>
          <cell r="E252">
            <v>13069881</v>
          </cell>
          <cell r="F252">
            <v>7</v>
          </cell>
          <cell r="G252" t="str">
            <v xml:space="preserve">CONTRATACION DIRECTA </v>
          </cell>
          <cell r="H252">
            <v>1</v>
          </cell>
          <cell r="I25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52">
            <v>1</v>
          </cell>
          <cell r="K252" t="str">
            <v>$6.000.000</v>
          </cell>
          <cell r="L252">
            <v>45751</v>
          </cell>
          <cell r="M252">
            <v>45808</v>
          </cell>
          <cell r="N252" t="str">
            <v>RODRIGO DE JESUS VITERI MORENO</v>
          </cell>
          <cell r="O252">
            <v>98390119</v>
          </cell>
          <cell r="P252" t="str">
            <v xml:space="preserve">frankgetial@gmail.com </v>
          </cell>
          <cell r="Q252">
            <v>45751</v>
          </cell>
          <cell r="R252" t="str">
            <v>JUAN GOMEZ</v>
          </cell>
          <cell r="U252" t="str">
            <v>CELEBRADO</v>
          </cell>
          <cell r="W252" t="str">
            <v>2025-0177</v>
          </cell>
          <cell r="X252" t="str">
            <v>2025-0443</v>
          </cell>
          <cell r="AJ252">
            <v>2</v>
          </cell>
          <cell r="AK252">
            <v>0</v>
          </cell>
          <cell r="AL252">
            <v>3</v>
          </cell>
          <cell r="AM252" t="str">
            <v>$6.000.000</v>
          </cell>
        </row>
        <row r="253">
          <cell r="A253" t="str">
            <v>252-2025</v>
          </cell>
          <cell r="B253" t="str">
            <v>PRESTACION DE SERVICIOS</v>
          </cell>
          <cell r="C253" t="str">
            <v>LIGIA DEL CARMEN ERAZO GUERRERO,</v>
          </cell>
          <cell r="D253" t="str">
            <v>CC</v>
          </cell>
          <cell r="E253">
            <v>30736949</v>
          </cell>
          <cell r="F253">
            <v>2</v>
          </cell>
          <cell r="G253" t="str">
            <v xml:space="preserve">CONTRATACION DIRECTA </v>
          </cell>
          <cell r="H253">
            <v>1</v>
          </cell>
          <cell r="I253"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53">
            <v>1</v>
          </cell>
          <cell r="K253" t="str">
            <v>$5.000.000</v>
          </cell>
          <cell r="L253">
            <v>45751</v>
          </cell>
          <cell r="M253">
            <v>45808</v>
          </cell>
          <cell r="N253" t="str">
            <v>MARY ALEXANDRA ROSERO BENAVIDES</v>
          </cell>
          <cell r="O253">
            <v>43624414</v>
          </cell>
          <cell r="P253" t="str">
            <v>angelaerazo711@gmail.com</v>
          </cell>
          <cell r="Q253">
            <v>45751</v>
          </cell>
          <cell r="R253" t="str">
            <v>RODRIGO ROSERO</v>
          </cell>
          <cell r="U253" t="str">
            <v>CELEBRADO</v>
          </cell>
          <cell r="W253" t="str">
            <v>2025-0177</v>
          </cell>
          <cell r="X253" t="str">
            <v>2025-0444</v>
          </cell>
          <cell r="AJ253">
            <v>2</v>
          </cell>
          <cell r="AK253">
            <v>0</v>
          </cell>
          <cell r="AL253">
            <v>3</v>
          </cell>
          <cell r="AM253" t="str">
            <v>$5.000.000</v>
          </cell>
        </row>
        <row r="254">
          <cell r="A254" t="str">
            <v>253-2025</v>
          </cell>
          <cell r="B254" t="str">
            <v>PRESTACION DE SERVICIOS</v>
          </cell>
          <cell r="C254" t="str">
            <v>SYSNET-SAS</v>
          </cell>
          <cell r="D254" t="str">
            <v>NIT</v>
          </cell>
          <cell r="E254">
            <v>806004974</v>
          </cell>
          <cell r="F254">
            <v>0</v>
          </cell>
          <cell r="G254" t="str">
            <v xml:space="preserve">CONTRATACION DIRECTA </v>
          </cell>
          <cell r="H254">
            <v>2</v>
          </cell>
          <cell r="I254" t="str">
            <v>Prestar el servicio de integral de almacenamiento y gestión de imágenes diagnósticas (PACS) en la nube, para LA ESE PASTO SALUD ESE</v>
          </cell>
          <cell r="J254">
            <v>1</v>
          </cell>
          <cell r="K254" t="str">
            <v>$30.000.000</v>
          </cell>
          <cell r="L254">
            <v>45751</v>
          </cell>
          <cell r="M254">
            <v>46022</v>
          </cell>
          <cell r="N254" t="str">
            <v xml:space="preserve">	IVAN RODRIGO IBARRA MUÑOZ</v>
          </cell>
          <cell r="O254">
            <v>87248313</v>
          </cell>
          <cell r="P254" t="str">
            <v>financiera@sysnet.com.co</v>
          </cell>
          <cell r="Q254">
            <v>45751</v>
          </cell>
          <cell r="R254" t="str">
            <v>ALEXANDER YELA</v>
          </cell>
          <cell r="U254" t="str">
            <v>CELEBRADO</v>
          </cell>
          <cell r="W254" t="str">
            <v>2025-0192</v>
          </cell>
          <cell r="X254" t="str">
            <v>2025-0428</v>
          </cell>
          <cell r="AJ254">
            <v>2</v>
          </cell>
          <cell r="AK254">
            <v>0</v>
          </cell>
          <cell r="AL254">
            <v>2</v>
          </cell>
          <cell r="AM254" t="str">
            <v>$30.000.000</v>
          </cell>
        </row>
        <row r="255">
          <cell r="A255" t="str">
            <v>254-2025</v>
          </cell>
          <cell r="B255" t="str">
            <v>PRESTACION DE SERVICIOS</v>
          </cell>
          <cell r="C255" t="str">
            <v>YEIMER DANILO CAEZ MORALES</v>
          </cell>
          <cell r="D255" t="str">
            <v>CC</v>
          </cell>
          <cell r="E255">
            <v>1085331141</v>
          </cell>
          <cell r="F255">
            <v>0</v>
          </cell>
          <cell r="G255" t="str">
            <v xml:space="preserve">CONTRATACION DIRECTA </v>
          </cell>
          <cell r="H255">
            <v>1</v>
          </cell>
          <cell r="I255"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55">
            <v>1</v>
          </cell>
          <cell r="K255" t="str">
            <v>$9.500.000</v>
          </cell>
          <cell r="L255">
            <v>45754</v>
          </cell>
          <cell r="M255">
            <v>45808</v>
          </cell>
          <cell r="N255" t="str">
            <v>RIGOBERTO MELO ZAMBRANO</v>
          </cell>
          <cell r="O255">
            <v>98333941</v>
          </cell>
          <cell r="Q255">
            <v>45754</v>
          </cell>
          <cell r="R255" t="str">
            <v>JUAN GOMEZ</v>
          </cell>
          <cell r="U255" t="str">
            <v>CELEBRADO</v>
          </cell>
          <cell r="W255" t="str">
            <v>2025-0177</v>
          </cell>
          <cell r="X255" t="str">
            <v>2025-0449</v>
          </cell>
          <cell r="AJ255">
            <v>2</v>
          </cell>
          <cell r="AK255">
            <v>0</v>
          </cell>
          <cell r="AL255">
            <v>3</v>
          </cell>
          <cell r="AM255" t="str">
            <v>$9.500.000</v>
          </cell>
        </row>
        <row r="256">
          <cell r="A256" t="str">
            <v>255-2025</v>
          </cell>
          <cell r="B256" t="str">
            <v>COMPRAVENTA</v>
          </cell>
          <cell r="C256" t="str">
            <v>BGH COLOMBIA S.A.S</v>
          </cell>
          <cell r="D256" t="str">
            <v>NIT</v>
          </cell>
          <cell r="E256">
            <v>900322971</v>
          </cell>
          <cell r="F256">
            <v>3</v>
          </cell>
          <cell r="G256" t="str">
            <v xml:space="preserve">CONTRATACION DIRECTA </v>
          </cell>
          <cell r="H256">
            <v>2</v>
          </cell>
          <cell r="I256" t="str">
            <v>Compraventa de licencia para el acceso y uso de servicios en la nube pública, destinada a la Empresa Social del Estado Pasto Salud E.S.E. para el manejo del Sistema de Información SIOS</v>
          </cell>
          <cell r="J256">
            <v>1</v>
          </cell>
          <cell r="K256" t="str">
            <v>$96.976.000</v>
          </cell>
          <cell r="L256">
            <v>45754</v>
          </cell>
          <cell r="M256">
            <v>46022</v>
          </cell>
          <cell r="N256" t="str">
            <v xml:space="preserve">	IVAN RODRIGO IBARRA MUÑOZ</v>
          </cell>
          <cell r="O256">
            <v>87248313</v>
          </cell>
          <cell r="P256" t="str">
            <v>facturacioncolombia@bghtechpartner.com</v>
          </cell>
          <cell r="Q256">
            <v>45754</v>
          </cell>
          <cell r="R256" t="str">
            <v>ANDRES GUERRA</v>
          </cell>
          <cell r="U256" t="str">
            <v>CELEBRADO</v>
          </cell>
          <cell r="W256" t="str">
            <v>2025-0126</v>
          </cell>
          <cell r="X256" t="str">
            <v>2025-0450</v>
          </cell>
          <cell r="AJ256">
            <v>2</v>
          </cell>
          <cell r="AK256">
            <v>0</v>
          </cell>
          <cell r="AL256">
            <v>2</v>
          </cell>
          <cell r="AM256" t="str">
            <v>$96.976.000</v>
          </cell>
        </row>
        <row r="257">
          <cell r="A257" t="str">
            <v>256-2025</v>
          </cell>
          <cell r="B257" t="str">
            <v>SUMINISTROS</v>
          </cell>
          <cell r="C257" t="str">
            <v>COMPANY MEDIQBOY OC S.A.S.</v>
          </cell>
          <cell r="D257" t="str">
            <v>NIT</v>
          </cell>
          <cell r="E257">
            <v>901035884</v>
          </cell>
          <cell r="F257">
            <v>3</v>
          </cell>
          <cell r="G257" t="str">
            <v>BIONEXO</v>
          </cell>
          <cell r="H257">
            <v>2</v>
          </cell>
          <cell r="I257" t="str">
            <v>El contratista se obliga al suministro del material médico quirúrgico en las cantidades establecidas en el anexo 1, el cual hace parte integral del contrato. Para la ESE Pasto Salud.</v>
          </cell>
          <cell r="J257">
            <v>3</v>
          </cell>
          <cell r="K257" t="str">
            <v>$14.944.669,20</v>
          </cell>
          <cell r="L257">
            <v>45754</v>
          </cell>
          <cell r="M257">
            <v>45869</v>
          </cell>
          <cell r="N257" t="str">
            <v>NENA DEL CARMEN RAMIREZ RAMIREZ</v>
          </cell>
          <cell r="O257">
            <v>30732589</v>
          </cell>
          <cell r="P257" t="str">
            <v>oc.contabilidad@mediqboy.com</v>
          </cell>
          <cell r="Q257">
            <v>45754</v>
          </cell>
          <cell r="R257" t="str">
            <v>CRISTINA ROSERO</v>
          </cell>
          <cell r="U257" t="str">
            <v>CELEBRADO</v>
          </cell>
          <cell r="W257" t="str">
            <v>2025-0166</v>
          </cell>
          <cell r="X257" t="str">
            <v>2025-0451</v>
          </cell>
          <cell r="AJ257">
            <v>2</v>
          </cell>
          <cell r="AK257">
            <v>0</v>
          </cell>
          <cell r="AL257">
            <v>2</v>
          </cell>
          <cell r="AM257" t="str">
            <v>$14.944.669,20</v>
          </cell>
        </row>
        <row r="258">
          <cell r="A258" t="str">
            <v>257-2025</v>
          </cell>
          <cell r="B258" t="str">
            <v>PRESTACION DE SERVICIOS</v>
          </cell>
          <cell r="C258" t="str">
            <v>VANESSA NATALIA ERAZO VILLOTA</v>
          </cell>
          <cell r="D258" t="str">
            <v>CC</v>
          </cell>
          <cell r="E258">
            <v>1085308298</v>
          </cell>
          <cell r="F258">
            <v>1</v>
          </cell>
          <cell r="G258" t="str">
            <v xml:space="preserve">CONTRATACION DIRECTA </v>
          </cell>
          <cell r="H258">
            <v>1</v>
          </cell>
          <cell r="I258" t="str">
            <v>El contratista se compromete para con la Empresa Social del Estado PASTO SALUD ESE a presentar sus servicios profesionales para apoyar las actividades que se adelantan en la oficina Asesora Jurídica, encaminadas al mejoramiento de los procedimientos de: Cargue de documentación contractual, asesoría jurídica interna, proyección de conceptos y respuestas a derecho de petición, dentro del proceso de Gestión Jurídica.</v>
          </cell>
          <cell r="J258">
            <v>1</v>
          </cell>
          <cell r="K258" t="str">
            <v>$11.072.769</v>
          </cell>
          <cell r="L258">
            <v>45754</v>
          </cell>
          <cell r="M258">
            <v>45838</v>
          </cell>
          <cell r="N258" t="str">
            <v>KELLY NAYIBY GUANCHA MEJIA</v>
          </cell>
          <cell r="O258">
            <v>1085256100</v>
          </cell>
          <cell r="P258" t="str">
            <v>nataerazovillota@gmail.com</v>
          </cell>
          <cell r="Q258">
            <v>45754</v>
          </cell>
          <cell r="R258" t="str">
            <v>JUAN GOMEZ</v>
          </cell>
          <cell r="U258" t="str">
            <v>CELEBRADO</v>
          </cell>
          <cell r="W258" t="str">
            <v>2025-0196</v>
          </cell>
          <cell r="X258" t="str">
            <v>2025-0452</v>
          </cell>
          <cell r="AJ258">
            <v>2</v>
          </cell>
          <cell r="AK258">
            <v>0</v>
          </cell>
          <cell r="AL258">
            <v>3</v>
          </cell>
          <cell r="AM258" t="str">
            <v>$11.072.769</v>
          </cell>
        </row>
        <row r="259">
          <cell r="A259" t="str">
            <v>258-2025</v>
          </cell>
          <cell r="B259" t="str">
            <v>PRESTACION DE SERVICIOS</v>
          </cell>
          <cell r="C259" t="str">
            <v>TANIA KARINA CUERO CASANOVA,</v>
          </cell>
          <cell r="D259" t="str">
            <v>CC</v>
          </cell>
          <cell r="E259">
            <v>1004235479</v>
          </cell>
          <cell r="F259">
            <v>9</v>
          </cell>
          <cell r="G259" t="str">
            <v xml:space="preserve">CONTRATACION DIRECTA </v>
          </cell>
          <cell r="H259">
            <v>1</v>
          </cell>
          <cell r="I25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59">
            <v>1</v>
          </cell>
          <cell r="K259" t="str">
            <v>$6.000.000</v>
          </cell>
          <cell r="L259">
            <v>45755</v>
          </cell>
          <cell r="M259">
            <v>45808</v>
          </cell>
          <cell r="N259" t="str">
            <v>RIGOBERTO MELO ZAMBRANO</v>
          </cell>
          <cell r="O259">
            <v>98333941</v>
          </cell>
          <cell r="P259" t="str">
            <v>casanovat322@gmail.com.</v>
          </cell>
          <cell r="Q259">
            <v>45755</v>
          </cell>
          <cell r="R259" t="str">
            <v>ELIANA BENAVIDES</v>
          </cell>
          <cell r="U259" t="str">
            <v>CELEBRADO</v>
          </cell>
          <cell r="W259" t="str">
            <v>2022-0177</v>
          </cell>
          <cell r="X259" t="str">
            <v>2025-0455</v>
          </cell>
          <cell r="AJ259">
            <v>2</v>
          </cell>
          <cell r="AK259">
            <v>0</v>
          </cell>
          <cell r="AL259">
            <v>3</v>
          </cell>
          <cell r="AM259" t="str">
            <v>$6.000.000</v>
          </cell>
        </row>
        <row r="260">
          <cell r="A260" t="str">
            <v>259-2025</v>
          </cell>
          <cell r="B260" t="str">
            <v>PRESTACION DE SERVICIOS</v>
          </cell>
          <cell r="C260" t="str">
            <v>FUNDACION CALIDAD DE VIDA Y ESPERANZA-FUNDAESP</v>
          </cell>
          <cell r="D260" t="str">
            <v>NIT</v>
          </cell>
          <cell r="E260">
            <v>900994364</v>
          </cell>
          <cell r="F260">
            <v>5</v>
          </cell>
          <cell r="G260" t="str">
            <v xml:space="preserve">CONTRATACION DIRECTA </v>
          </cell>
          <cell r="H260">
            <v>2</v>
          </cell>
          <cell r="I260" t="str">
            <v>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v>
          </cell>
          <cell r="J260">
            <v>1</v>
          </cell>
          <cell r="K260" t="str">
            <v>$146.000.000</v>
          </cell>
          <cell r="L260">
            <v>45756</v>
          </cell>
          <cell r="M260">
            <v>45808</v>
          </cell>
          <cell r="N260" t="str">
            <v xml:space="preserve">	JUAN CARLOS MERA GUERRERO</v>
          </cell>
          <cell r="O260">
            <v>13016581</v>
          </cell>
          <cell r="P260" t="str">
            <v>echavezvallejo@gmail.com</v>
          </cell>
          <cell r="Q260">
            <v>45756</v>
          </cell>
          <cell r="R260" t="str">
            <v>ALEXANDER YELA</v>
          </cell>
          <cell r="U260" t="str">
            <v>CELEBRADO</v>
          </cell>
          <cell r="W260" t="str">
            <v>2025-0177</v>
          </cell>
          <cell r="X260" t="str">
            <v>2025-0456</v>
          </cell>
          <cell r="AJ260">
            <v>2</v>
          </cell>
          <cell r="AK260">
            <v>0</v>
          </cell>
          <cell r="AL260">
            <v>3</v>
          </cell>
          <cell r="AM260" t="str">
            <v>$146.000.000</v>
          </cell>
        </row>
        <row r="261">
          <cell r="A261" t="str">
            <v>260-2025</v>
          </cell>
          <cell r="B261" t="str">
            <v>PRESTACION DE SERVICIOS</v>
          </cell>
          <cell r="C261" t="str">
            <v>FUNDACION CALIDAD DE VIDA Y ESPERANZA - FUNDAESP</v>
          </cell>
          <cell r="D261" t="str">
            <v>NIT</v>
          </cell>
          <cell r="E261">
            <v>900994364</v>
          </cell>
          <cell r="F261">
            <v>5</v>
          </cell>
          <cell r="G261" t="str">
            <v xml:space="preserve">CONTRATACION DIRECTA </v>
          </cell>
          <cell r="H261">
            <v>2</v>
          </cell>
          <cell r="I261" t="str">
            <v>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v>
          </cell>
          <cell r="J261">
            <v>1</v>
          </cell>
          <cell r="K261" t="str">
            <v>$107.005.500</v>
          </cell>
          <cell r="L261">
            <v>45756</v>
          </cell>
          <cell r="M261">
            <v>45808</v>
          </cell>
          <cell r="N261" t="str">
            <v xml:space="preserve">	JUAN CARLOS MERA GUERRERO</v>
          </cell>
          <cell r="O261">
            <v>13016581</v>
          </cell>
          <cell r="P261" t="str">
            <v>echavezvallejo@gmail.com</v>
          </cell>
          <cell r="Q261">
            <v>45756</v>
          </cell>
          <cell r="R261" t="str">
            <v>ALEXANDER YELA</v>
          </cell>
          <cell r="U261" t="str">
            <v>CELEBRADO</v>
          </cell>
          <cell r="W261" t="str">
            <v>2025-0176</v>
          </cell>
          <cell r="X261" t="str">
            <v>2025-0457</v>
          </cell>
          <cell r="AJ261">
            <v>2</v>
          </cell>
          <cell r="AK261">
            <v>0</v>
          </cell>
          <cell r="AL261">
            <v>3</v>
          </cell>
          <cell r="AM261" t="str">
            <v>$107.005.500</v>
          </cell>
        </row>
        <row r="262">
          <cell r="A262" t="str">
            <v>261-2025</v>
          </cell>
          <cell r="B262" t="str">
            <v>PRESTACION DE SERVICIOS</v>
          </cell>
          <cell r="C262" t="str">
            <v>TANIA MARCELA DIAZ DIAZ</v>
          </cell>
          <cell r="D262" t="str">
            <v>CC</v>
          </cell>
          <cell r="E262">
            <v>1085318898</v>
          </cell>
          <cell r="F262">
            <v>3</v>
          </cell>
          <cell r="G262" t="str">
            <v xml:space="preserve">CONTRATACION DIRECTA </v>
          </cell>
          <cell r="H262">
            <v>1</v>
          </cell>
          <cell r="I262"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62">
            <v>1</v>
          </cell>
          <cell r="K262" t="str">
            <v>$5.000.000</v>
          </cell>
          <cell r="L262">
            <v>45756</v>
          </cell>
          <cell r="M262">
            <v>45808</v>
          </cell>
          <cell r="N262" t="str">
            <v>DEYANIRA BADOS DAZA</v>
          </cell>
          <cell r="O262">
            <v>59836926</v>
          </cell>
          <cell r="P262" t="str">
            <v>tanmarcella22@hotmail.com</v>
          </cell>
          <cell r="Q262">
            <v>45756</v>
          </cell>
          <cell r="R262" t="str">
            <v>ELIANA BENAVIDES</v>
          </cell>
          <cell r="U262" t="str">
            <v>CELEBRADO</v>
          </cell>
          <cell r="W262" t="str">
            <v>2025-0177</v>
          </cell>
          <cell r="X262" t="str">
            <v>2025-0458</v>
          </cell>
          <cell r="AJ262">
            <v>2</v>
          </cell>
          <cell r="AK262">
            <v>0</v>
          </cell>
          <cell r="AL262">
            <v>3</v>
          </cell>
          <cell r="AM262" t="str">
            <v>$5.000.000</v>
          </cell>
        </row>
        <row r="263">
          <cell r="A263" t="str">
            <v>262-2025</v>
          </cell>
          <cell r="B263" t="str">
            <v>PRESTACION DE SERVICIOS</v>
          </cell>
          <cell r="C263" t="str">
            <v>ADRIANA PATRICIA DUEÑAS SALAZAR</v>
          </cell>
          <cell r="D263" t="str">
            <v>CC</v>
          </cell>
          <cell r="E263">
            <v>59821094</v>
          </cell>
          <cell r="F263">
            <v>1</v>
          </cell>
          <cell r="G263" t="str">
            <v xml:space="preserve">CONTRATACION DIRECTA </v>
          </cell>
          <cell r="H263">
            <v>1</v>
          </cell>
          <cell r="I263" t="str">
            <v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v>
          </cell>
          <cell r="J263">
            <v>1</v>
          </cell>
          <cell r="K263" t="str">
            <v>$5.000.000</v>
          </cell>
          <cell r="L263">
            <v>45756</v>
          </cell>
          <cell r="M263">
            <v>45808</v>
          </cell>
          <cell r="N263" t="str">
            <v>RIGOBERTO MELO ZAMBRANO</v>
          </cell>
          <cell r="O263">
            <v>98333941</v>
          </cell>
          <cell r="P263" t="str">
            <v>adrianaduenas23@gmail.com</v>
          </cell>
          <cell r="Q263">
            <v>45756</v>
          </cell>
          <cell r="R263" t="str">
            <v>ELIANA BENAVIDES</v>
          </cell>
          <cell r="U263" t="str">
            <v>CELEBRADO</v>
          </cell>
          <cell r="W263" t="str">
            <v>2025-0177</v>
          </cell>
          <cell r="X263" t="str">
            <v>2025-0459</v>
          </cell>
          <cell r="AJ263">
            <v>2</v>
          </cell>
          <cell r="AK263">
            <v>0</v>
          </cell>
          <cell r="AL263">
            <v>3</v>
          </cell>
          <cell r="AM263" t="str">
            <v>$5.000.000</v>
          </cell>
        </row>
        <row r="264">
          <cell r="A264" t="str">
            <v>263-2025</v>
          </cell>
          <cell r="B264" t="str">
            <v>PRESTACION DE SERVICIOS</v>
          </cell>
          <cell r="C264" t="str">
            <v>ANDREA NATHALY ALAVA BOLAÑOS</v>
          </cell>
          <cell r="D264" t="str">
            <v>CC</v>
          </cell>
          <cell r="E264">
            <v>1004216993</v>
          </cell>
          <cell r="F264">
            <v>2</v>
          </cell>
          <cell r="G264" t="str">
            <v xml:space="preserve">CONTRATACION DIRECTA </v>
          </cell>
          <cell r="H264">
            <v>1</v>
          </cell>
          <cell r="I26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264">
            <v>1</v>
          </cell>
          <cell r="K264" t="str">
            <v>$6.000.000</v>
          </cell>
          <cell r="L264">
            <v>45756</v>
          </cell>
          <cell r="M264">
            <v>45808</v>
          </cell>
          <cell r="N264" t="str">
            <v>MARY ALEXANDRA ROSERO BENAVIDES</v>
          </cell>
          <cell r="O264">
            <v>43624414</v>
          </cell>
          <cell r="P264" t="str">
            <v>nathalyalava69@gmail.com</v>
          </cell>
          <cell r="Q264">
            <v>45756</v>
          </cell>
          <cell r="R264" t="str">
            <v>ANDRES GUERRA</v>
          </cell>
          <cell r="U264" t="str">
            <v>CELEBRADO</v>
          </cell>
          <cell r="W264" t="str">
            <v>2025-0177</v>
          </cell>
          <cell r="X264" t="str">
            <v>2025-0460</v>
          </cell>
          <cell r="AJ264">
            <v>2</v>
          </cell>
          <cell r="AK264">
            <v>0</v>
          </cell>
          <cell r="AL264">
            <v>3</v>
          </cell>
          <cell r="AM264" t="str">
            <v>$6.000.000</v>
          </cell>
        </row>
        <row r="265">
          <cell r="A265" t="str">
            <v>264-2025</v>
          </cell>
          <cell r="B265" t="str">
            <v>PRESTACION DE SERVICIOS</v>
          </cell>
          <cell r="C265" t="str">
            <v>CARLOS ANDRÉS RODRIGUEZ DORADO</v>
          </cell>
          <cell r="D265" t="str">
            <v>CC</v>
          </cell>
          <cell r="E265">
            <v>93406609</v>
          </cell>
          <cell r="F265">
            <v>7</v>
          </cell>
          <cell r="G265" t="str">
            <v xml:space="preserve">CONTRATACION DIRECTA </v>
          </cell>
          <cell r="H265">
            <v>1</v>
          </cell>
          <cell r="I265" t="str">
            <v>Prestación de servicios profesionales como INGENIERO CIVIL en la Empresa Social del Estado Pasto Salud E.S.E., para apoyar al equipo de Infraestructura de la Oficina Asesora de Planeación en la supervisión técnico administrativa, organización, dirección,control y comprobación en campo del cumplimiento de las actividades del mantenimiento de la infraestructura hospitalaria</v>
          </cell>
          <cell r="J265">
            <v>1</v>
          </cell>
          <cell r="K265" t="str">
            <v>$11.072.781</v>
          </cell>
          <cell r="L265">
            <v>45756</v>
          </cell>
          <cell r="M265">
            <v>45838</v>
          </cell>
          <cell r="N265" t="str">
            <v xml:space="preserve">	SEBASTIAN GRANJA ORDOÑEZ</v>
          </cell>
          <cell r="O265">
            <v>1085316703</v>
          </cell>
          <cell r="P265" t="str">
            <v>carlosandres rd@hotmail.com</v>
          </cell>
          <cell r="Q265">
            <v>45756</v>
          </cell>
          <cell r="R265" t="str">
            <v>ALEXANDER YELA</v>
          </cell>
          <cell r="U265" t="str">
            <v>CELEBRADO</v>
          </cell>
          <cell r="W265" t="str">
            <v>2025-0172</v>
          </cell>
          <cell r="X265" t="str">
            <v>2025-0461</v>
          </cell>
          <cell r="AJ265">
            <v>2</v>
          </cell>
          <cell r="AK265">
            <v>0</v>
          </cell>
          <cell r="AL265">
            <v>3</v>
          </cell>
          <cell r="AM265" t="str">
            <v>$11.072.769</v>
          </cell>
        </row>
        <row r="266">
          <cell r="A266" t="str">
            <v>265-2025</v>
          </cell>
          <cell r="B266" t="str">
            <v>PRESTACION DE SERVICIOS</v>
          </cell>
          <cell r="C266" t="str">
            <v>JUAN PABLO MADROÑERO MUÑOZ</v>
          </cell>
          <cell r="D266" t="str">
            <v>CC</v>
          </cell>
          <cell r="E266">
            <v>13069636</v>
          </cell>
          <cell r="F266">
            <v>9</v>
          </cell>
          <cell r="G266" t="str">
            <v xml:space="preserve">CONTRATACION DIRECTA </v>
          </cell>
          <cell r="H266">
            <v>1</v>
          </cell>
          <cell r="I266"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66">
            <v>1</v>
          </cell>
          <cell r="K266" t="str">
            <v>$9.500.000</v>
          </cell>
          <cell r="L266">
            <v>45756</v>
          </cell>
          <cell r="M266">
            <v>45808</v>
          </cell>
          <cell r="N266" t="str">
            <v>MARY ALEXANDRA ROSERO BENAVIDES</v>
          </cell>
          <cell r="O266">
            <v>43624414</v>
          </cell>
          <cell r="P266" t="str">
            <v>juanpamm05@hotmail.com</v>
          </cell>
          <cell r="Q266">
            <v>45756</v>
          </cell>
          <cell r="R266" t="str">
            <v>JUAN GOMEZ</v>
          </cell>
          <cell r="U266" t="str">
            <v>CELEBRADO</v>
          </cell>
          <cell r="W266" t="str">
            <v>2025-0177</v>
          </cell>
          <cell r="X266" t="str">
            <v>2025-0462</v>
          </cell>
          <cell r="AJ266">
            <v>2</v>
          </cell>
          <cell r="AK266">
            <v>0</v>
          </cell>
          <cell r="AL266">
            <v>3</v>
          </cell>
          <cell r="AM266" t="str">
            <v>$9.500.000</v>
          </cell>
        </row>
        <row r="267">
          <cell r="A267" t="str">
            <v>266-2025</v>
          </cell>
          <cell r="B267" t="str">
            <v>PRESTACION DE SERVICIOS</v>
          </cell>
          <cell r="C267" t="str">
            <v>ALEXANDRA MARIA ORTEGA ROSERO</v>
          </cell>
          <cell r="D267" t="str">
            <v>CC</v>
          </cell>
          <cell r="E267">
            <v>37087268</v>
          </cell>
          <cell r="F267">
            <v>5</v>
          </cell>
          <cell r="G267" t="str">
            <v xml:space="preserve">CONTRATACION DIRECTA </v>
          </cell>
          <cell r="H267">
            <v>1</v>
          </cell>
          <cell r="I26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67">
            <v>1</v>
          </cell>
          <cell r="K267" t="str">
            <v>$5.000.000</v>
          </cell>
          <cell r="L267">
            <v>45756</v>
          </cell>
          <cell r="M267">
            <v>45808</v>
          </cell>
          <cell r="N267" t="str">
            <v>DEYANIRA BADOS DAZA</v>
          </cell>
          <cell r="O267">
            <v>59836926</v>
          </cell>
          <cell r="P267" t="str">
            <v>alexandraortega.069@gmail.com</v>
          </cell>
          <cell r="Q267">
            <v>45756</v>
          </cell>
          <cell r="R267" t="str">
            <v>CRISTINA ROSERO</v>
          </cell>
          <cell r="U267" t="str">
            <v>CELEBRADO</v>
          </cell>
          <cell r="W267" t="str">
            <v>2025-0177</v>
          </cell>
          <cell r="X267" t="str">
            <v>2025-0463</v>
          </cell>
          <cell r="AJ267">
            <v>2</v>
          </cell>
          <cell r="AK267">
            <v>0</v>
          </cell>
          <cell r="AL267">
            <v>3</v>
          </cell>
          <cell r="AM267" t="str">
            <v>$5.000.000</v>
          </cell>
        </row>
        <row r="268">
          <cell r="A268" t="str">
            <v>267-2025</v>
          </cell>
          <cell r="B268" t="str">
            <v>PRESTACION DE SERVICIOS</v>
          </cell>
          <cell r="C268" t="str">
            <v>NUVI GRACIELA CHAMORRO CORAL</v>
          </cell>
          <cell r="D268" t="str">
            <v>CC</v>
          </cell>
          <cell r="E268">
            <v>27388522</v>
          </cell>
          <cell r="F268">
            <v>7</v>
          </cell>
          <cell r="G268" t="str">
            <v xml:space="preserve">CONTRATACION DIRECTA </v>
          </cell>
          <cell r="H268">
            <v>1</v>
          </cell>
          <cell r="I26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68">
            <v>1</v>
          </cell>
          <cell r="K268" t="str">
            <v>$6.000.000</v>
          </cell>
          <cell r="L268">
            <v>45756</v>
          </cell>
          <cell r="M268">
            <v>45808</v>
          </cell>
          <cell r="N268" t="str">
            <v>MARY ALEXANDRA ROSERO BENAVIDES</v>
          </cell>
          <cell r="O268">
            <v>43624414</v>
          </cell>
          <cell r="P268" t="str">
            <v>nubichamorro@hotmail.com</v>
          </cell>
          <cell r="Q268">
            <v>45756</v>
          </cell>
          <cell r="R268" t="str">
            <v>CRISTINA ROSERO</v>
          </cell>
          <cell r="U268" t="str">
            <v>CELEBRADO</v>
          </cell>
          <cell r="W268" t="str">
            <v>2025-0177</v>
          </cell>
          <cell r="X268" t="str">
            <v>2025-0464</v>
          </cell>
          <cell r="AJ268">
            <v>2</v>
          </cell>
          <cell r="AK268">
            <v>0</v>
          </cell>
          <cell r="AL268">
            <v>3</v>
          </cell>
          <cell r="AM268" t="str">
            <v>$6.000.000</v>
          </cell>
        </row>
        <row r="269">
          <cell r="A269" t="str">
            <v>268-2025</v>
          </cell>
          <cell r="B269" t="str">
            <v>PRESTACION DE SERVICIOS</v>
          </cell>
          <cell r="C269" t="str">
            <v>NICOLAS EMILIO MENA JOJOA</v>
          </cell>
          <cell r="D269" t="str">
            <v>CC</v>
          </cell>
          <cell r="E269">
            <v>1233189896</v>
          </cell>
          <cell r="F269">
            <v>0</v>
          </cell>
          <cell r="G269" t="str">
            <v xml:space="preserve">CONTRATACION DIRECTA </v>
          </cell>
          <cell r="H269">
            <v>1</v>
          </cell>
          <cell r="I269"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v>
          </cell>
          <cell r="J269">
            <v>1</v>
          </cell>
          <cell r="K269" t="str">
            <v>$5.000.000</v>
          </cell>
          <cell r="L269">
            <v>45756</v>
          </cell>
          <cell r="M269">
            <v>45808</v>
          </cell>
          <cell r="N269" t="str">
            <v>RODRIGO DE JESUS VITERI MORENO</v>
          </cell>
          <cell r="O269">
            <v>98390119</v>
          </cell>
          <cell r="P269" t="str">
            <v>пісomena008@gmail.com</v>
          </cell>
          <cell r="Q269">
            <v>45756</v>
          </cell>
          <cell r="R269" t="str">
            <v>JUAN GOMEZ</v>
          </cell>
          <cell r="U269" t="str">
            <v>CELEBRADO</v>
          </cell>
          <cell r="W269" t="str">
            <v>2025-0177</v>
          </cell>
          <cell r="X269" t="str">
            <v>2025-0465</v>
          </cell>
          <cell r="AJ269">
            <v>2</v>
          </cell>
          <cell r="AK269">
            <v>0</v>
          </cell>
          <cell r="AL269">
            <v>3</v>
          </cell>
          <cell r="AM269" t="str">
            <v>$5.000.000</v>
          </cell>
        </row>
        <row r="270">
          <cell r="A270" t="str">
            <v>269-2025</v>
          </cell>
          <cell r="B270" t="str">
            <v>PRESTACION DE SERVICIOS</v>
          </cell>
          <cell r="C270" t="str">
            <v>FANNY MARIELA CORDOBA MORENO</v>
          </cell>
          <cell r="D270" t="str">
            <v>CC</v>
          </cell>
          <cell r="E270">
            <v>36757221</v>
          </cell>
          <cell r="F270">
            <v>1</v>
          </cell>
          <cell r="G270" t="str">
            <v xml:space="preserve">CONTRATACION DIRECTA </v>
          </cell>
          <cell r="H270">
            <v>1</v>
          </cell>
          <cell r="I270"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ell>
          <cell r="J270">
            <v>1</v>
          </cell>
          <cell r="K270" t="str">
            <v>$12.000.000</v>
          </cell>
          <cell r="L270">
            <v>45756</v>
          </cell>
          <cell r="M270">
            <v>45808</v>
          </cell>
          <cell r="N270" t="str">
            <v>DEYANIRA BADOS DAZA</v>
          </cell>
          <cell r="O270">
            <v>59836926</v>
          </cell>
          <cell r="P270" t="str">
            <v>marie829@hotmail.com</v>
          </cell>
          <cell r="Q270">
            <v>45756</v>
          </cell>
          <cell r="R270" t="str">
            <v>ALEXANDER YELA</v>
          </cell>
          <cell r="U270" t="str">
            <v>CELEBRADO</v>
          </cell>
          <cell r="W270" t="str">
            <v>2025-0177</v>
          </cell>
          <cell r="X270" t="str">
            <v>2025-0466</v>
          </cell>
          <cell r="AJ270">
            <v>2</v>
          </cell>
          <cell r="AK270">
            <v>0</v>
          </cell>
          <cell r="AL270">
            <v>3</v>
          </cell>
          <cell r="AM270" t="str">
            <v>$12.000.000</v>
          </cell>
        </row>
        <row r="271">
          <cell r="A271" t="str">
            <v>270-2025</v>
          </cell>
          <cell r="B271" t="str">
            <v>PRESTACION DE SERVICIOS</v>
          </cell>
          <cell r="C271" t="str">
            <v>VANESSA KATHERINE JOJOA ARIAS</v>
          </cell>
          <cell r="D271" t="str">
            <v>CC</v>
          </cell>
          <cell r="E271">
            <v>1085286742</v>
          </cell>
          <cell r="F271">
            <v>4</v>
          </cell>
          <cell r="G271" t="str">
            <v xml:space="preserve">CONTRATACION DIRECTA </v>
          </cell>
          <cell r="H271">
            <v>1</v>
          </cell>
          <cell r="I27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v>
          </cell>
          <cell r="J271">
            <v>1</v>
          </cell>
          <cell r="K271" t="str">
            <v>$6.000.000</v>
          </cell>
          <cell r="L271">
            <v>45756</v>
          </cell>
          <cell r="M271">
            <v>45808</v>
          </cell>
          <cell r="N271" t="str">
            <v>MARY ALEXANDRA ROSERO BENAVIDES</v>
          </cell>
          <cell r="O271">
            <v>43624414</v>
          </cell>
          <cell r="P271" t="str">
            <v>vanek104@hotmail.com</v>
          </cell>
          <cell r="Q271">
            <v>45756</v>
          </cell>
          <cell r="R271" t="str">
            <v>ANDRES GUERRA</v>
          </cell>
          <cell r="U271" t="str">
            <v>CELEBRADO</v>
          </cell>
          <cell r="W271" t="str">
            <v>2025-0177</v>
          </cell>
          <cell r="X271" t="str">
            <v>2025-0467</v>
          </cell>
          <cell r="AJ271">
            <v>2</v>
          </cell>
          <cell r="AK271">
            <v>0</v>
          </cell>
          <cell r="AL271">
            <v>3</v>
          </cell>
          <cell r="AM271" t="str">
            <v>$6.000.000</v>
          </cell>
        </row>
        <row r="272">
          <cell r="A272" t="str">
            <v>271-2025</v>
          </cell>
          <cell r="B272" t="str">
            <v>PRESTACION DE SERVICIOS</v>
          </cell>
          <cell r="C272" t="str">
            <v>CONSTANZA HAIDY UNIGARRO PAZ</v>
          </cell>
          <cell r="D272" t="str">
            <v>CC</v>
          </cell>
          <cell r="E272">
            <v>27088141</v>
          </cell>
          <cell r="F272">
            <v>7</v>
          </cell>
          <cell r="G272" t="str">
            <v xml:space="preserve">CONTRATACION DIRECTA </v>
          </cell>
          <cell r="H272">
            <v>1</v>
          </cell>
          <cell r="I272"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72">
            <v>1</v>
          </cell>
          <cell r="K272" t="str">
            <v>$9.650.000</v>
          </cell>
          <cell r="L272">
            <v>45756</v>
          </cell>
          <cell r="M272">
            <v>45808</v>
          </cell>
          <cell r="N272" t="str">
            <v>MARY ALEXANDRA ROSERO BENAVIDES</v>
          </cell>
          <cell r="O272">
            <v>43624414</v>
          </cell>
          <cell r="P272" t="str">
            <v xml:space="preserve">haco777@hotmail.com </v>
          </cell>
          <cell r="Q272">
            <v>45756</v>
          </cell>
          <cell r="R272" t="str">
            <v>CRISTINA ROSERO</v>
          </cell>
          <cell r="U272" t="str">
            <v>CELEBRADO</v>
          </cell>
          <cell r="W272" t="str">
            <v>2025-0177</v>
          </cell>
          <cell r="X272" t="str">
            <v>2025-0468</v>
          </cell>
          <cell r="AJ272">
            <v>2</v>
          </cell>
          <cell r="AK272">
            <v>0</v>
          </cell>
          <cell r="AL272">
            <v>3</v>
          </cell>
          <cell r="AM272" t="str">
            <v>$9.650.000</v>
          </cell>
        </row>
        <row r="273">
          <cell r="A273" t="str">
            <v>272-2025</v>
          </cell>
          <cell r="B273" t="str">
            <v>SUMINISTROS</v>
          </cell>
          <cell r="C273" t="str">
            <v>DISPAPELES S.A.S</v>
          </cell>
          <cell r="D273" t="str">
            <v>NIT</v>
          </cell>
          <cell r="E273">
            <v>860028580</v>
          </cell>
          <cell r="F273">
            <v>2</v>
          </cell>
          <cell r="G273" t="str">
            <v xml:space="preserve">CONTRATACION DIRECTA </v>
          </cell>
          <cell r="H273">
            <v>2</v>
          </cell>
          <cell r="I273" t="str">
            <v>"Suministro de elementos de aseo para dotar las 23 sedes de la empresa social del estado pasto salud ESE, cuyas especificaciones se relacionan a continuación:</v>
          </cell>
          <cell r="J273">
            <v>2</v>
          </cell>
          <cell r="K273" t="str">
            <v>$40.890.392</v>
          </cell>
          <cell r="L273">
            <v>45756</v>
          </cell>
          <cell r="M273">
            <v>45835</v>
          </cell>
          <cell r="N273" t="str">
            <v xml:space="preserve">	STEFANYA RAMIREZ LOPERA</v>
          </cell>
          <cell r="O273">
            <v>111247705</v>
          </cell>
          <cell r="P273" t="str">
            <v>notificacionesjudiciales@dispapeles.com</v>
          </cell>
          <cell r="Q273">
            <v>45756</v>
          </cell>
          <cell r="R273" t="str">
            <v>CRISTINA ROSERO</v>
          </cell>
          <cell r="U273" t="str">
            <v>CELEBRADO</v>
          </cell>
          <cell r="W273" t="str">
            <v>2025-0181</v>
          </cell>
          <cell r="X273" t="str">
            <v>2025-0469</v>
          </cell>
          <cell r="AJ273">
            <v>2</v>
          </cell>
          <cell r="AK273">
            <v>0</v>
          </cell>
          <cell r="AL273">
            <v>4</v>
          </cell>
          <cell r="AM273" t="str">
            <v>$40.890.392</v>
          </cell>
        </row>
        <row r="274">
          <cell r="A274" t="str">
            <v>273-2025</v>
          </cell>
          <cell r="B274" t="str">
            <v>SUMINISTROS</v>
          </cell>
          <cell r="C274" t="str">
            <v>DISPAPELES S.A.S</v>
          </cell>
          <cell r="D274" t="str">
            <v>NIT</v>
          </cell>
          <cell r="E274">
            <v>860028580</v>
          </cell>
          <cell r="F274">
            <v>2</v>
          </cell>
          <cell r="G274" t="str">
            <v xml:space="preserve">CONTRATACION DIRECTA </v>
          </cell>
          <cell r="H274">
            <v>2</v>
          </cell>
          <cell r="I274" t="str">
            <v>Suministro de elementos de papelería y útiles de oficina para dotar las 23 sedes de la Empresa Social del Estado Pasto Salud ESE</v>
          </cell>
          <cell r="J274">
            <v>2</v>
          </cell>
          <cell r="K274" t="str">
            <v>$17.901.765</v>
          </cell>
          <cell r="L274">
            <v>45756</v>
          </cell>
          <cell r="M274">
            <v>45835</v>
          </cell>
          <cell r="N274" t="str">
            <v xml:space="preserve">	STEFANYA RAMIREZ LOPERA</v>
          </cell>
          <cell r="O274">
            <v>111247705</v>
          </cell>
          <cell r="P274" t="str">
            <v>notificacionesjudiciales@dispapeles.com</v>
          </cell>
          <cell r="Q274">
            <v>45756</v>
          </cell>
          <cell r="R274" t="str">
            <v>ALEXANDER YELA</v>
          </cell>
          <cell r="U274" t="str">
            <v>CELEBRADO</v>
          </cell>
          <cell r="W274" t="str">
            <v>2025-0182</v>
          </cell>
          <cell r="X274" t="str">
            <v>2025-0470</v>
          </cell>
          <cell r="AJ274">
            <v>2</v>
          </cell>
          <cell r="AK274">
            <v>0</v>
          </cell>
          <cell r="AL274">
            <v>4</v>
          </cell>
          <cell r="AM274" t="str">
            <v>$17.901.765</v>
          </cell>
        </row>
        <row r="275">
          <cell r="A275" t="str">
            <v>274-2025</v>
          </cell>
          <cell r="B275" t="str">
            <v>PRESTACION DE SERVICIOS</v>
          </cell>
          <cell r="C275" t="str">
            <v>PAOLA ANDREA MENESES ERAZO,</v>
          </cell>
          <cell r="D275" t="str">
            <v>CC</v>
          </cell>
          <cell r="E275">
            <v>1082747438</v>
          </cell>
          <cell r="F275">
            <v>8</v>
          </cell>
          <cell r="G275" t="str">
            <v xml:space="preserve">CONTRATACION DIRECTA </v>
          </cell>
          <cell r="H275">
            <v>1</v>
          </cell>
          <cell r="I27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75">
            <v>1</v>
          </cell>
          <cell r="K275" t="str">
            <v>$6.000.000</v>
          </cell>
          <cell r="L275">
            <v>45757</v>
          </cell>
          <cell r="M275">
            <v>45808</v>
          </cell>
          <cell r="N275" t="str">
            <v>RODRIGO DE JESUS VITERI MORENO</v>
          </cell>
          <cell r="O275">
            <v>98390119</v>
          </cell>
          <cell r="P275" t="str">
            <v>paolameneses602@gmail.com</v>
          </cell>
          <cell r="Q275">
            <v>45757</v>
          </cell>
          <cell r="R275" t="str">
            <v>ALEXANDER YELA</v>
          </cell>
          <cell r="U275" t="str">
            <v>CELEBRADO</v>
          </cell>
          <cell r="W275" t="str">
            <v>2025-0177</v>
          </cell>
          <cell r="X275" t="str">
            <v>2025-0471</v>
          </cell>
          <cell r="AJ275">
            <v>2</v>
          </cell>
          <cell r="AK275">
            <v>0</v>
          </cell>
          <cell r="AL275">
            <v>3</v>
          </cell>
          <cell r="AM275" t="str">
            <v>$6.000.000</v>
          </cell>
        </row>
        <row r="276">
          <cell r="A276" t="str">
            <v>275-2025</v>
          </cell>
          <cell r="B276" t="str">
            <v>COMPRAVENTA</v>
          </cell>
          <cell r="C276" t="str">
            <v>BIOCLINICOS DE/COLOMBIA S.A.S,</v>
          </cell>
          <cell r="D276" t="str">
            <v>NIT</v>
          </cell>
          <cell r="E276">
            <v>830054700</v>
          </cell>
          <cell r="F276">
            <v>0</v>
          </cell>
          <cell r="G276" t="str">
            <v xml:space="preserve">CONTRATACION DIRECTA </v>
          </cell>
          <cell r="H276">
            <v>2</v>
          </cell>
          <cell r="I276" t="str">
            <v>"COMPRA DE INSTRUMENTAL DE COLPOSCOPIA PARA EL HOSPITAL LA ROSA DE ACUERDO AL PLAN ANUAL DE ADQUISICIONES DE PASTO SALUD E.S.E 2025 DE LA EMPRESA SOCIAL DEL ESTADO PASTO SALUD ESE</v>
          </cell>
          <cell r="J276">
            <v>1</v>
          </cell>
          <cell r="K276" t="str">
            <v>$11.150.442</v>
          </cell>
          <cell r="L276">
            <v>45757</v>
          </cell>
          <cell r="M276">
            <v>45807</v>
          </cell>
          <cell r="N276" t="str">
            <v>LEYDY MARISOL CRIOLLO CRIOLLO</v>
          </cell>
          <cell r="O276">
            <v>1085326239</v>
          </cell>
          <cell r="P276" t="str">
            <v>financiera@bioclinicos.com</v>
          </cell>
          <cell r="Q276">
            <v>45757</v>
          </cell>
          <cell r="R276" t="str">
            <v>CRISTINA ROSERO</v>
          </cell>
          <cell r="U276" t="str">
            <v>CELEBRADO</v>
          </cell>
          <cell r="W276" t="str">
            <v>2025-0158</v>
          </cell>
          <cell r="X276" t="str">
            <v>2025-0472</v>
          </cell>
          <cell r="AJ276">
            <v>2</v>
          </cell>
          <cell r="AK276">
            <v>0</v>
          </cell>
          <cell r="AL276">
            <v>3</v>
          </cell>
          <cell r="AM276" t="str">
            <v>$11.150.442</v>
          </cell>
        </row>
        <row r="277">
          <cell r="A277" t="str">
            <v>276-2025</v>
          </cell>
          <cell r="B277" t="str">
            <v>PRESTACION DE SERVICIOS</v>
          </cell>
          <cell r="C277" t="str">
            <v>ANYELY ROCIO LOPEZ ROSERO</v>
          </cell>
          <cell r="D277" t="str">
            <v>CC</v>
          </cell>
          <cell r="E277">
            <v>27436186</v>
          </cell>
          <cell r="F277">
            <v>1</v>
          </cell>
          <cell r="G277" t="str">
            <v xml:space="preserve">CONTRATACION DIRECTA </v>
          </cell>
          <cell r="H277">
            <v>1</v>
          </cell>
          <cell r="I27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77">
            <v>1</v>
          </cell>
          <cell r="K277" t="str">
            <v>$6.000.000</v>
          </cell>
          <cell r="L277">
            <v>45757</v>
          </cell>
          <cell r="M277">
            <v>45808</v>
          </cell>
          <cell r="N277" t="str">
            <v>RIGOBERTO MELO ZAMBRANO</v>
          </cell>
          <cell r="O277">
            <v>98333941</v>
          </cell>
          <cell r="P277" t="str">
            <v>anyelilopez2743@gmail.com</v>
          </cell>
          <cell r="Q277">
            <v>45757</v>
          </cell>
          <cell r="R277" t="str">
            <v>JUAN GOMEZ</v>
          </cell>
          <cell r="U277" t="str">
            <v>CELEBRADO</v>
          </cell>
          <cell r="W277" t="str">
            <v>2025-0177</v>
          </cell>
          <cell r="X277" t="str">
            <v>2025-0473</v>
          </cell>
          <cell r="AJ277">
            <v>2</v>
          </cell>
          <cell r="AK277">
            <v>0</v>
          </cell>
          <cell r="AL277">
            <v>3</v>
          </cell>
          <cell r="AM277" t="str">
            <v>$6.000.000</v>
          </cell>
        </row>
        <row r="278">
          <cell r="A278" t="str">
            <v>277-2025</v>
          </cell>
          <cell r="B278" t="str">
            <v>PRESTACION DE SERVICIOS</v>
          </cell>
          <cell r="C278" t="str">
            <v>ANNY MAYERLINE NARVAEZ ÑAÑEZ</v>
          </cell>
          <cell r="D278" t="str">
            <v>CC</v>
          </cell>
          <cell r="E278">
            <v>37083324</v>
          </cell>
          <cell r="F278">
            <v>1</v>
          </cell>
          <cell r="G278" t="str">
            <v xml:space="preserve">CONTRATACION DIRECTA </v>
          </cell>
          <cell r="H278">
            <v>1</v>
          </cell>
          <cell r="I278" t="str">
            <v>: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78">
            <v>1</v>
          </cell>
          <cell r="K278" t="str">
            <v>$6.000.000</v>
          </cell>
          <cell r="L278">
            <v>45757</v>
          </cell>
          <cell r="M278">
            <v>45808</v>
          </cell>
          <cell r="N278" t="str">
            <v>RIGOBERTO MELO ZAMBRANO</v>
          </cell>
          <cell r="O278">
            <v>98333941</v>
          </cell>
          <cell r="P278" t="str">
            <v>anynarvaez@hotmail.com</v>
          </cell>
          <cell r="Q278">
            <v>45757</v>
          </cell>
          <cell r="R278" t="str">
            <v>JUAN GOMEZ</v>
          </cell>
          <cell r="U278" t="str">
            <v>CELEBRADO</v>
          </cell>
          <cell r="W278" t="str">
            <v>2025-0177</v>
          </cell>
          <cell r="X278" t="str">
            <v>2025-0474</v>
          </cell>
          <cell r="AJ278">
            <v>2</v>
          </cell>
          <cell r="AK278">
            <v>0</v>
          </cell>
          <cell r="AL278">
            <v>3</v>
          </cell>
          <cell r="AM278" t="str">
            <v>$6.000.000</v>
          </cell>
        </row>
        <row r="279">
          <cell r="A279" t="str">
            <v>278-2025</v>
          </cell>
          <cell r="B279" t="str">
            <v>PRESTACION DE SERVICIOS</v>
          </cell>
          <cell r="C279" t="str">
            <v>DANIELA FERNANDA ERASO VALENCIA</v>
          </cell>
          <cell r="D279" t="str">
            <v>CC</v>
          </cell>
          <cell r="E279">
            <v>1085275879</v>
          </cell>
          <cell r="F279">
            <v>7</v>
          </cell>
          <cell r="G279" t="str">
            <v xml:space="preserve">CONTRATACION DIRECTA </v>
          </cell>
          <cell r="H279">
            <v>1</v>
          </cell>
          <cell r="I279"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79">
            <v>1</v>
          </cell>
          <cell r="K279" t="str">
            <v>$12.000.000</v>
          </cell>
          <cell r="L279">
            <v>45757</v>
          </cell>
          <cell r="M279">
            <v>45808</v>
          </cell>
          <cell r="N279" t="str">
            <v>MARY ALEXANDRA ROSERO BENAVIDES</v>
          </cell>
          <cell r="O279">
            <v>43624414</v>
          </cell>
          <cell r="P279" t="str">
            <v>danielafervalencia10@gmail.com</v>
          </cell>
          <cell r="Q279">
            <v>45757</v>
          </cell>
          <cell r="R279" t="str">
            <v>JUAN GOMEZ</v>
          </cell>
          <cell r="U279" t="str">
            <v>CELEBRADO</v>
          </cell>
          <cell r="W279" t="str">
            <v>2025-0177</v>
          </cell>
          <cell r="X279" t="str">
            <v>2025-0475</v>
          </cell>
          <cell r="AJ279">
            <v>2</v>
          </cell>
          <cell r="AK279">
            <v>0</v>
          </cell>
          <cell r="AL279">
            <v>3</v>
          </cell>
          <cell r="AM279" t="str">
            <v>$12.000.000</v>
          </cell>
        </row>
        <row r="280">
          <cell r="A280" t="str">
            <v>279-2025</v>
          </cell>
          <cell r="B280" t="str">
            <v>PRESTACION DE SERVICIOS</v>
          </cell>
          <cell r="C280" t="str">
            <v>CARLOS ANDRES PANTOJA BENAVIDES</v>
          </cell>
          <cell r="D280" t="str">
            <v>CC</v>
          </cell>
          <cell r="E280">
            <v>1088729401</v>
          </cell>
          <cell r="F280">
            <v>1</v>
          </cell>
          <cell r="G280" t="str">
            <v xml:space="preserve">CONTRATACION DIRECTA </v>
          </cell>
          <cell r="H280">
            <v>1</v>
          </cell>
          <cell r="I280"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80">
            <v>1</v>
          </cell>
          <cell r="K280" t="str">
            <v>$5.000.000</v>
          </cell>
          <cell r="L280">
            <v>45758</v>
          </cell>
          <cell r="M280">
            <v>45808</v>
          </cell>
          <cell r="N280" t="str">
            <v>RIGOBERTO MELO ZAMBRANO</v>
          </cell>
          <cell r="O280">
            <v>98333941</v>
          </cell>
          <cell r="P280" t="str">
            <v>pantoja8710@gmail.com</v>
          </cell>
          <cell r="Q280">
            <v>45758</v>
          </cell>
          <cell r="R280" t="str">
            <v>CRISTINA ROSERO</v>
          </cell>
          <cell r="U280" t="str">
            <v>CELEBRADO</v>
          </cell>
          <cell r="W280" t="str">
            <v>2025-0177</v>
          </cell>
          <cell r="X280" t="str">
            <v>2025-0480</v>
          </cell>
          <cell r="AJ280">
            <v>2</v>
          </cell>
          <cell r="AK280">
            <v>0</v>
          </cell>
          <cell r="AL280">
            <v>3</v>
          </cell>
          <cell r="AM280" t="str">
            <v>$5.000.000</v>
          </cell>
        </row>
        <row r="281">
          <cell r="A281" t="str">
            <v>280-2025</v>
          </cell>
          <cell r="B281" t="str">
            <v>PRESTACION DE SERVICIOS</v>
          </cell>
          <cell r="C281" t="str">
            <v>LUCY GABRIELA SALDAÑA BRAVO,</v>
          </cell>
          <cell r="D281" t="str">
            <v>CC</v>
          </cell>
          <cell r="E281">
            <v>59815435</v>
          </cell>
          <cell r="F281">
            <v>3</v>
          </cell>
          <cell r="G281" t="str">
            <v xml:space="preserve">CONTRATACION DIRECTA </v>
          </cell>
          <cell r="H281">
            <v>1</v>
          </cell>
          <cell r="I281" t="str">
            <v>: PRESTACIÓN DE SERVICIOS PROFESIONALES EN PSICOLOGIA TENDIENTES A IMPLEMENTAR ESTRATEGIAS DE INFORMACIÓN, EDUCACIÓN Y COMUNICACIÓN EN TRES PROBLEMATICAS: INASISTENCIA A CITAS, ENFERMEDADES CRÓNICAS Y BINOMIO MADRE E HIJO, ASI COMO PORTAFOLIO DE SERVICIOS, PARA LA POBLACION USUARIA DE PASTO SALUD ESE</v>
          </cell>
          <cell r="J281">
            <v>1</v>
          </cell>
          <cell r="K281" t="str">
            <v>$12.000.000</v>
          </cell>
          <cell r="L281">
            <v>45758</v>
          </cell>
          <cell r="M281">
            <v>45838</v>
          </cell>
          <cell r="N281" t="str">
            <v>RODRIGO DE JESUS VITERI MORENO</v>
          </cell>
          <cell r="O281">
            <v>98390119</v>
          </cell>
          <cell r="P281" t="str">
            <v>lavozdelpueblopasto@hotmail.com</v>
          </cell>
          <cell r="Q281">
            <v>45758</v>
          </cell>
          <cell r="R281" t="str">
            <v>ALEXANDER YELA</v>
          </cell>
          <cell r="U281" t="str">
            <v>CELEBRADO</v>
          </cell>
          <cell r="W281" t="str">
            <v>2025-0194</v>
          </cell>
          <cell r="X281" t="str">
            <v>2025-0481</v>
          </cell>
          <cell r="AJ281">
            <v>1</v>
          </cell>
          <cell r="AK281">
            <v>2</v>
          </cell>
          <cell r="AL281">
            <v>3</v>
          </cell>
          <cell r="AM281" t="str">
            <v>$12.000.000</v>
          </cell>
        </row>
        <row r="282">
          <cell r="A282" t="str">
            <v>281-2025</v>
          </cell>
          <cell r="B282" t="str">
            <v>PRESTACION DE SERVICIOS</v>
          </cell>
          <cell r="C282" t="str">
            <v>MARIA ISABEL ALVAREZ CAICEDO,</v>
          </cell>
          <cell r="D282" t="str">
            <v>CC</v>
          </cell>
          <cell r="E282">
            <v>1085345772</v>
          </cell>
          <cell r="F282">
            <v>9</v>
          </cell>
          <cell r="G282" t="str">
            <v xml:space="preserve">CONTRATACION DIRECTA </v>
          </cell>
          <cell r="H282">
            <v>1</v>
          </cell>
          <cell r="I282"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82">
            <v>1</v>
          </cell>
          <cell r="K282" t="str">
            <v>$9.500.000</v>
          </cell>
          <cell r="L282">
            <v>45758</v>
          </cell>
          <cell r="M282">
            <v>45808</v>
          </cell>
          <cell r="N282" t="str">
            <v>MARY ALEXANDRA ROSERO BENAVIDES</v>
          </cell>
          <cell r="O282">
            <v>43624414</v>
          </cell>
          <cell r="P282" t="str">
            <v>isabelalvarezc99@gmail.com</v>
          </cell>
          <cell r="Q282">
            <v>45758</v>
          </cell>
          <cell r="R282" t="str">
            <v>ALEXANDER YELA</v>
          </cell>
          <cell r="U282" t="str">
            <v>CELEBRADO</v>
          </cell>
          <cell r="W282" t="str">
            <v>2025-0177</v>
          </cell>
          <cell r="X282" t="str">
            <v>2025-0482</v>
          </cell>
          <cell r="AJ282">
            <v>2</v>
          </cell>
          <cell r="AK282">
            <v>0</v>
          </cell>
          <cell r="AL282">
            <v>3</v>
          </cell>
          <cell r="AM282" t="str">
            <v>$9.500.000</v>
          </cell>
        </row>
        <row r="283">
          <cell r="A283" t="str">
            <v>282-2025</v>
          </cell>
          <cell r="B283" t="str">
            <v>PRESTACION DE SERVICIOS</v>
          </cell>
          <cell r="C283" t="str">
            <v>PABLO ERNESTO RIOBAMBA IPIALES,</v>
          </cell>
          <cell r="D283" t="str">
            <v>CC</v>
          </cell>
          <cell r="E283">
            <v>12974849</v>
          </cell>
          <cell r="F283">
            <v>9</v>
          </cell>
          <cell r="G283" t="str">
            <v xml:space="preserve">CONTRATACION DIRECTA </v>
          </cell>
          <cell r="H283">
            <v>1</v>
          </cell>
          <cell r="I283"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283">
            <v>1</v>
          </cell>
          <cell r="K283" t="str">
            <v>$5.000.000</v>
          </cell>
          <cell r="L283">
            <v>45758</v>
          </cell>
          <cell r="M283">
            <v>45808</v>
          </cell>
          <cell r="N283" t="str">
            <v>MARY ALEXANDRA ROSERO BENAVIDES</v>
          </cell>
          <cell r="O283">
            <v>43624414</v>
          </cell>
          <cell r="P283" t="str">
            <v xml:space="preserve">drogbrisur@gmail.com </v>
          </cell>
          <cell r="Q283">
            <v>45758</v>
          </cell>
          <cell r="R283" t="str">
            <v>ANDRES GUERRA</v>
          </cell>
          <cell r="U283" t="str">
            <v>CELEBRADO</v>
          </cell>
          <cell r="W283" t="str">
            <v>2025-0177</v>
          </cell>
          <cell r="X283" t="str">
            <v>2025-0483</v>
          </cell>
          <cell r="AJ283">
            <v>2</v>
          </cell>
          <cell r="AK283">
            <v>0</v>
          </cell>
          <cell r="AL283">
            <v>3</v>
          </cell>
          <cell r="AM283" t="str">
            <v>$5.000.000</v>
          </cell>
        </row>
        <row r="284">
          <cell r="A284" t="str">
            <v>283-2025</v>
          </cell>
          <cell r="B284" t="str">
            <v>SUMINISTROS</v>
          </cell>
          <cell r="C284" t="str">
            <v>BIOPLAST SAS</v>
          </cell>
          <cell r="D284" t="str">
            <v>NIT</v>
          </cell>
          <cell r="E284">
            <v>830040574</v>
          </cell>
          <cell r="F284">
            <v>8</v>
          </cell>
          <cell r="G284" t="str">
            <v xml:space="preserve">CONTRATACION DIRECTA </v>
          </cell>
          <cell r="H284">
            <v>2</v>
          </cell>
          <cell r="I284" t="str">
            <v>El contratista se obliga al suministro del material médico quirúrgico en las cantidades establecidas en el anexo 1, el cual hace parte integral del contrato, para la/ESE Pasto Salud</v>
          </cell>
          <cell r="J284">
            <v>3</v>
          </cell>
          <cell r="K284" t="str">
            <v>$29.964.625,50</v>
          </cell>
          <cell r="L284">
            <v>45758</v>
          </cell>
          <cell r="M284">
            <v>45869</v>
          </cell>
          <cell r="N284" t="str">
            <v>NENA DEL CARMEN RAMIREZ RAMIREZ</v>
          </cell>
          <cell r="O284">
            <v>30732589</v>
          </cell>
          <cell r="P284" t="str">
            <v>gerencia@bioplast.co</v>
          </cell>
          <cell r="Q284">
            <v>45758</v>
          </cell>
          <cell r="R284" t="str">
            <v>ALEXANDER YELA</v>
          </cell>
          <cell r="U284" t="str">
            <v>CELEBRADO</v>
          </cell>
          <cell r="W284" t="str">
            <v>2025-0166</v>
          </cell>
          <cell r="X284" t="str">
            <v>2025-0484</v>
          </cell>
          <cell r="AJ284">
            <v>2</v>
          </cell>
          <cell r="AK284">
            <v>0</v>
          </cell>
          <cell r="AL284">
            <v>2</v>
          </cell>
          <cell r="AM284" t="str">
            <v>$29.964.625,50</v>
          </cell>
        </row>
        <row r="285">
          <cell r="A285" t="str">
            <v>284-2025</v>
          </cell>
          <cell r="B285" t="str">
            <v>PRESTACION DE SERVICIOS</v>
          </cell>
          <cell r="C285" t="str">
            <v>ZULMA VICTORIA ZAMBRANO SEGURA</v>
          </cell>
          <cell r="D285" t="str">
            <v>CC</v>
          </cell>
          <cell r="E285">
            <v>27359486</v>
          </cell>
          <cell r="F285">
            <v>6</v>
          </cell>
          <cell r="G285" t="str">
            <v xml:space="preserve">CONTRATACION DIRECTA </v>
          </cell>
          <cell r="H285">
            <v>1</v>
          </cell>
          <cell r="I285" t="str">
            <v>El contratista se compromete para con la Empresa Social del Estado PASTO SALUD ESE a prestar sus servicios como geógrafo para el desarrollo de las actividades contempladas en el componente de Débil Garantía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285">
            <v>1</v>
          </cell>
          <cell r="K285" t="str">
            <v>$22.100.000</v>
          </cell>
          <cell r="L285">
            <v>45763</v>
          </cell>
          <cell r="M285">
            <v>45961</v>
          </cell>
          <cell r="N285" t="str">
            <v xml:space="preserve">	OSCAR MIGUEL GOYES CABRERA</v>
          </cell>
          <cell r="O285">
            <v>87711882</v>
          </cell>
          <cell r="P285" t="str">
            <v>zulmitta86vic@gmail.com</v>
          </cell>
          <cell r="Q285">
            <v>45763</v>
          </cell>
          <cell r="R285" t="str">
            <v>ELIANA BENAVIDES</v>
          </cell>
          <cell r="U285" t="str">
            <v>CELEBRADO</v>
          </cell>
          <cell r="W285" t="str">
            <v>2025-0200</v>
          </cell>
          <cell r="X285" t="str">
            <v>2025-0486</v>
          </cell>
          <cell r="AJ285">
            <v>2</v>
          </cell>
          <cell r="AK285">
            <v>0</v>
          </cell>
          <cell r="AL285">
            <v>2</v>
          </cell>
          <cell r="AM285" t="str">
            <v>$22.100.000</v>
          </cell>
        </row>
        <row r="286">
          <cell r="A286" t="str">
            <v>285-2025</v>
          </cell>
          <cell r="B286" t="str">
            <v>PRESTACION DE SERVICIOS</v>
          </cell>
          <cell r="C286" t="str">
            <v>AMANDA ZORAIDA ANDRADE</v>
          </cell>
          <cell r="D286" t="str">
            <v>CC</v>
          </cell>
          <cell r="E286">
            <v>59818886</v>
          </cell>
          <cell r="F286">
            <v>5</v>
          </cell>
          <cell r="G286" t="str">
            <v xml:space="preserve">CONTRATACION DIRECTA </v>
          </cell>
          <cell r="H286">
            <v>1</v>
          </cell>
          <cell r="I286" t="str">
            <v>El contratista se compromete para con la Empresa Social del Estado PASTO SALUD ESE a prestar sus servicios como psicólogo para el desarrollo de las actividades contempladas en el componente de Lesiones Autoinfligidas -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86">
            <v>1</v>
          </cell>
          <cell r="K286" t="str">
            <v>$22.100.000</v>
          </cell>
          <cell r="L286">
            <v>45763</v>
          </cell>
          <cell r="M286">
            <v>45961</v>
          </cell>
          <cell r="N286" t="str">
            <v xml:space="preserve">	OSCAR MIGUEL GOYES CABRERA</v>
          </cell>
          <cell r="O286">
            <v>87711882</v>
          </cell>
          <cell r="P286" t="str">
            <v>zoraidaandrade72@yahoo.es</v>
          </cell>
          <cell r="Q286">
            <v>45763</v>
          </cell>
          <cell r="R286" t="str">
            <v>ELIANA BENAVIDES</v>
          </cell>
          <cell r="U286" t="str">
            <v>CELEBRADO</v>
          </cell>
          <cell r="W286" t="str">
            <v>2025-0200</v>
          </cell>
          <cell r="X286" t="str">
            <v>2025-0487</v>
          </cell>
          <cell r="AJ286">
            <v>2</v>
          </cell>
          <cell r="AK286">
            <v>0</v>
          </cell>
          <cell r="AL286">
            <v>2</v>
          </cell>
          <cell r="AM286" t="str">
            <v>$22.100.000</v>
          </cell>
        </row>
        <row r="287">
          <cell r="A287" t="str">
            <v>286-2025</v>
          </cell>
          <cell r="B287" t="str">
            <v>PRESTACION DE SERVICIOS</v>
          </cell>
          <cell r="C287" t="str">
            <v>DIEGO ALEJANDRO CORDOBA ROSERO</v>
          </cell>
          <cell r="D287" t="str">
            <v>CC</v>
          </cell>
          <cell r="E287">
            <v>1085287990</v>
          </cell>
          <cell r="F287">
            <v>9</v>
          </cell>
          <cell r="G287" t="str">
            <v xml:space="preserve">CONTRATACION DIRECTA </v>
          </cell>
          <cell r="H287">
            <v>1</v>
          </cell>
          <cell r="I287" t="str">
            <v>El contratista se compromete para con la Empresa Social del Estado PASTO SALUD ESE aprestar sus servicios como diseñador gráfico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87">
            <v>1</v>
          </cell>
          <cell r="K287" t="str">
            <v>$22.100.000</v>
          </cell>
          <cell r="L287">
            <v>45763</v>
          </cell>
          <cell r="M287">
            <v>45961</v>
          </cell>
          <cell r="N287" t="str">
            <v xml:space="preserve">	OSCAR MIGUEL GOYES CABRERA</v>
          </cell>
          <cell r="O287">
            <v>87711882</v>
          </cell>
          <cell r="P287" t="str">
            <v>diegoalecordoba@gmail.com</v>
          </cell>
          <cell r="Q287">
            <v>45763</v>
          </cell>
          <cell r="R287" t="str">
            <v>CRISTINA ROSERO</v>
          </cell>
          <cell r="U287" t="str">
            <v>CELEBRADO</v>
          </cell>
          <cell r="W287" t="str">
            <v>2025-0200</v>
          </cell>
          <cell r="X287" t="str">
            <v>2025-0488</v>
          </cell>
          <cell r="AJ287">
            <v>2</v>
          </cell>
          <cell r="AK287">
            <v>0</v>
          </cell>
          <cell r="AL287">
            <v>2</v>
          </cell>
          <cell r="AM287" t="str">
            <v>$22.100.000</v>
          </cell>
        </row>
        <row r="288">
          <cell r="A288" t="str">
            <v>287-2025</v>
          </cell>
          <cell r="B288" t="str">
            <v>PRESTACION DE SERVICIOS</v>
          </cell>
          <cell r="C288" t="str">
            <v>ANGIE CECILIA RAMIREZ ORTIZ,</v>
          </cell>
          <cell r="D288" t="str">
            <v>CC</v>
          </cell>
          <cell r="E288">
            <v>1087210899</v>
          </cell>
          <cell r="F288">
            <v>2</v>
          </cell>
          <cell r="G288" t="str">
            <v xml:space="preserve">CONTRATACION DIRECTA </v>
          </cell>
          <cell r="H288">
            <v>1</v>
          </cell>
          <cell r="I288" t="str">
            <v>EI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288">
            <v>1</v>
          </cell>
          <cell r="K288" t="str">
            <v>$22.100.000</v>
          </cell>
          <cell r="L288">
            <v>45763</v>
          </cell>
          <cell r="M288">
            <v>45961</v>
          </cell>
          <cell r="N288" t="str">
            <v xml:space="preserve">	OSCAR MIGUEL GOYES CABRERA</v>
          </cell>
          <cell r="O288">
            <v>87711882</v>
          </cell>
          <cell r="P288" t="str">
            <v>Cecyramirez423@gmail.com</v>
          </cell>
          <cell r="Q288">
            <v>45763</v>
          </cell>
          <cell r="R288" t="str">
            <v>ANDRES GUERRA</v>
          </cell>
          <cell r="U288" t="str">
            <v>CELEBRADO</v>
          </cell>
          <cell r="W288" t="str">
            <v>2025-0200</v>
          </cell>
          <cell r="X288" t="str">
            <v>2025-0489</v>
          </cell>
          <cell r="AJ288">
            <v>2</v>
          </cell>
          <cell r="AK288">
            <v>0</v>
          </cell>
          <cell r="AL288">
            <v>2</v>
          </cell>
          <cell r="AM288" t="str">
            <v>$22.100.000</v>
          </cell>
        </row>
        <row r="289">
          <cell r="A289" t="str">
            <v>288-2025</v>
          </cell>
          <cell r="B289" t="str">
            <v>PRESTACION DE SERVICIOS</v>
          </cell>
          <cell r="C289" t="str">
            <v>MARIA FERNANDA MARTINEZ ARELLANO</v>
          </cell>
          <cell r="D289" t="str">
            <v>CC</v>
          </cell>
          <cell r="E289">
            <v>1085321868</v>
          </cell>
          <cell r="F289">
            <v>3</v>
          </cell>
          <cell r="G289" t="str">
            <v xml:space="preserve">CONTRATACION DIRECTA </v>
          </cell>
          <cell r="H289">
            <v>1</v>
          </cell>
          <cell r="I289" t="str">
            <v>El contratista se compromete para con la Empresa Social del Estado PASTO SALUD ESE a prestar sus servicios como licenciado en artes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PARÁGRAFO: LUGAR DE ENTREGAS Y/O EJECUCIÓN: En el municipio de Pasto</v>
          </cell>
          <cell r="J289">
            <v>1</v>
          </cell>
          <cell r="K289" t="str">
            <v>$22.100.000</v>
          </cell>
          <cell r="L289">
            <v>45763</v>
          </cell>
          <cell r="M289">
            <v>45961</v>
          </cell>
          <cell r="N289" t="str">
            <v xml:space="preserve">	OSCAR MIGUEL GOYES CABRERA</v>
          </cell>
          <cell r="O289">
            <v>87711882</v>
          </cell>
          <cell r="P289" t="str">
            <v>mafebst@gmail.com</v>
          </cell>
          <cell r="Q289">
            <v>45763</v>
          </cell>
          <cell r="R289" t="str">
            <v>JUAN GOMEZ</v>
          </cell>
          <cell r="U289" t="str">
            <v>CELEBRADO</v>
          </cell>
          <cell r="W289" t="str">
            <v>2025-0200</v>
          </cell>
          <cell r="X289" t="str">
            <v>2025-0490</v>
          </cell>
          <cell r="AJ289">
            <v>2</v>
          </cell>
          <cell r="AK289">
            <v>0</v>
          </cell>
          <cell r="AL289">
            <v>2</v>
          </cell>
          <cell r="AM289" t="str">
            <v>$22.100.000</v>
          </cell>
        </row>
        <row r="290">
          <cell r="A290" t="str">
            <v>289-2025</v>
          </cell>
          <cell r="B290" t="str">
            <v>PRESTACION DE SERVICIOS</v>
          </cell>
          <cell r="C290" t="str">
            <v>ENRIQUE ARMANDO CABRERA JURADO</v>
          </cell>
          <cell r="D290" t="str">
            <v>CC</v>
          </cell>
          <cell r="E290">
            <v>12981279</v>
          </cell>
          <cell r="F290">
            <v>1</v>
          </cell>
          <cell r="G290" t="str">
            <v xml:space="preserve">CONTRATACION DIRECTA </v>
          </cell>
          <cell r="H290">
            <v>1</v>
          </cell>
          <cell r="I290" t="str">
            <v>El contratista se compromete para con la Empresa Social del Estado PASTO SALUD ESE a prestar sus servicios como licenciado en artes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90">
            <v>1</v>
          </cell>
          <cell r="K290" t="str">
            <v>$22.100.000</v>
          </cell>
          <cell r="L290">
            <v>45763</v>
          </cell>
          <cell r="M290">
            <v>45961</v>
          </cell>
          <cell r="N290" t="str">
            <v xml:space="preserve">	OSCAR MIGUEL GOYES CABRERA</v>
          </cell>
          <cell r="O290">
            <v>87711882</v>
          </cell>
          <cell r="P290" t="str">
            <v>armandoicaro@gmail.com</v>
          </cell>
          <cell r="Q290">
            <v>45763</v>
          </cell>
          <cell r="R290" t="str">
            <v>ANDRES GUERRA</v>
          </cell>
          <cell r="U290" t="str">
            <v>CELEBRADO</v>
          </cell>
          <cell r="W290" t="str">
            <v>2025-0200</v>
          </cell>
          <cell r="X290" t="str">
            <v>2025-0491</v>
          </cell>
          <cell r="AJ290">
            <v>2</v>
          </cell>
          <cell r="AK290">
            <v>0</v>
          </cell>
          <cell r="AL290">
            <v>2</v>
          </cell>
          <cell r="AM290" t="str">
            <v>$22.100.000</v>
          </cell>
        </row>
        <row r="291">
          <cell r="A291" t="str">
            <v>290-2025</v>
          </cell>
          <cell r="B291" t="str">
            <v>PRESTACION DE SERVICIOS</v>
          </cell>
          <cell r="C291" t="str">
            <v>LUIS SEBASTIAN YEPES CAICEDO,</v>
          </cell>
          <cell r="D291" t="str">
            <v>CC</v>
          </cell>
          <cell r="E291">
            <v>1085285463</v>
          </cell>
          <cell r="F291">
            <v>1</v>
          </cell>
          <cell r="G291" t="str">
            <v xml:space="preserve">CONTRATACION DIRECTA </v>
          </cell>
          <cell r="H291">
            <v>1</v>
          </cell>
          <cell r="I291" t="str">
            <v>El contratista se compromete para con la Empresa Social del Estado PASTO SALUD ESE aprestar sus servicios como comunicador social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91">
            <v>1</v>
          </cell>
          <cell r="K291" t="str">
            <v>$22.100.000</v>
          </cell>
          <cell r="L291">
            <v>45763</v>
          </cell>
          <cell r="M291">
            <v>45961</v>
          </cell>
          <cell r="N291" t="str">
            <v xml:space="preserve">	OSCAR MIGUEL GOYES CABRERA</v>
          </cell>
          <cell r="O291">
            <v>87711882</v>
          </cell>
          <cell r="P291" t="str">
            <v>sebasyepescomunicaciones@gmail.com</v>
          </cell>
          <cell r="Q291">
            <v>45763</v>
          </cell>
          <cell r="R291" t="str">
            <v>CRISTINA ROSERO</v>
          </cell>
          <cell r="U291" t="str">
            <v>CELEBRADO</v>
          </cell>
          <cell r="W291" t="str">
            <v>2025-0200</v>
          </cell>
          <cell r="X291" t="str">
            <v>2025-0492</v>
          </cell>
          <cell r="AJ291">
            <v>2</v>
          </cell>
          <cell r="AK291">
            <v>0</v>
          </cell>
          <cell r="AL291">
            <v>2</v>
          </cell>
          <cell r="AM291" t="str">
            <v>$22.100.000</v>
          </cell>
        </row>
        <row r="292">
          <cell r="A292" t="str">
            <v>291-2025</v>
          </cell>
          <cell r="B292" t="str">
            <v>PRESTACION DE SERVICIOS</v>
          </cell>
          <cell r="C292" t="str">
            <v>ANDERSON SCHNEIDER VIDAL CEBALLOS</v>
          </cell>
          <cell r="D292" t="str">
            <v>CC</v>
          </cell>
          <cell r="E292">
            <v>1085245340</v>
          </cell>
          <cell r="F292">
            <v>1</v>
          </cell>
          <cell r="G292" t="str">
            <v xml:space="preserve">CONTRATACION DIRECTA </v>
          </cell>
          <cell r="H292">
            <v>1</v>
          </cell>
          <cell r="I292" t="str">
            <v>El contratista se compromete para con la Empresa Social del Estado PASTO SALUD ESE a prestar sus servicios como ingeniero agroforestal para el desarrollo de las actividades contempladas en el componente de Mal Nutrición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92">
            <v>1</v>
          </cell>
          <cell r="K292" t="str">
            <v>$22.100.000</v>
          </cell>
          <cell r="L292">
            <v>45763</v>
          </cell>
          <cell r="M292">
            <v>45961</v>
          </cell>
          <cell r="N292" t="str">
            <v xml:space="preserve">	OSCAR MIGUEL GOYES CABRERA</v>
          </cell>
          <cell r="O292">
            <v>87711882</v>
          </cell>
          <cell r="P292" t="str">
            <v>anders175@hotmail.com.</v>
          </cell>
          <cell r="Q292">
            <v>45763</v>
          </cell>
          <cell r="R292" t="str">
            <v>NATALIA ERAZO</v>
          </cell>
          <cell r="U292" t="str">
            <v>CELEBRADO</v>
          </cell>
          <cell r="W292" t="str">
            <v>2025-0200</v>
          </cell>
          <cell r="X292" t="str">
            <v>2025-0493</v>
          </cell>
          <cell r="AJ292">
            <v>2</v>
          </cell>
          <cell r="AK292">
            <v>0</v>
          </cell>
          <cell r="AL292">
            <v>2</v>
          </cell>
          <cell r="AM292" t="str">
            <v>$22.100.000</v>
          </cell>
        </row>
        <row r="293">
          <cell r="A293" t="str">
            <v>292-2025</v>
          </cell>
          <cell r="B293" t="str">
            <v>PRESTACION DE SERVICIOS</v>
          </cell>
          <cell r="C293" t="str">
            <v>EXPRESO SURAMERICANA DE TURISMO</v>
          </cell>
          <cell r="D293" t="str">
            <v>NIT</v>
          </cell>
          <cell r="E293">
            <v>900633448</v>
          </cell>
          <cell r="F293">
            <v>7</v>
          </cell>
          <cell r="G293" t="str">
            <v xml:space="preserve">CONTRATACION DIRECTA </v>
          </cell>
          <cell r="H293">
            <v>2</v>
          </cell>
          <cell r="I293" t="str">
            <v>: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v>
          </cell>
          <cell r="J293">
            <v>1</v>
          </cell>
          <cell r="K293" t="str">
            <v>$163.200.000</v>
          </cell>
          <cell r="L293">
            <v>45763</v>
          </cell>
          <cell r="M293">
            <v>45808</v>
          </cell>
          <cell r="N293" t="str">
            <v>JUAN PABLO LLANOS</v>
          </cell>
          <cell r="O293">
            <v>17658216</v>
          </cell>
          <cell r="P293" t="str">
            <v>suratursas@gmail.com</v>
          </cell>
          <cell r="Q293">
            <v>45763</v>
          </cell>
          <cell r="R293" t="str">
            <v>RODRIGO ROSERO</v>
          </cell>
          <cell r="U293" t="str">
            <v>CELEBRADO</v>
          </cell>
          <cell r="W293" t="str">
            <v>2025-0178</v>
          </cell>
          <cell r="X293" t="str">
            <v>2025-0494</v>
          </cell>
          <cell r="AJ293">
            <v>2</v>
          </cell>
          <cell r="AK293">
            <v>0</v>
          </cell>
          <cell r="AL293">
            <v>3</v>
          </cell>
          <cell r="AM293" t="str">
            <v>$163.200.000</v>
          </cell>
        </row>
        <row r="294">
          <cell r="A294" t="str">
            <v>293-2025</v>
          </cell>
          <cell r="B294" t="str">
            <v>PRESTACION DE SERVICIOS</v>
          </cell>
          <cell r="C294" t="str">
            <v>DIEGO ARMANDO BENAVIDES OBANDO</v>
          </cell>
          <cell r="D294" t="str">
            <v>CC</v>
          </cell>
          <cell r="E294">
            <v>1085310456</v>
          </cell>
          <cell r="F294">
            <v>5</v>
          </cell>
          <cell r="G294" t="str">
            <v xml:space="preserve">CONTRATACION DIRECTA </v>
          </cell>
          <cell r="H294">
            <v>1</v>
          </cell>
          <cell r="I294" t="str">
            <v>El contratista se compromete para con la Empresa Social del Estado PASTO SALUD ESE a prestar sus servicios como licenciado en artes visuales para el desarrollo de las actividades contempladas en el componente de Débil Garantia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v>
          </cell>
          <cell r="J294">
            <v>1</v>
          </cell>
          <cell r="K294" t="str">
            <v>$22.100.000</v>
          </cell>
          <cell r="L294">
            <v>45763</v>
          </cell>
          <cell r="M294">
            <v>45961</v>
          </cell>
          <cell r="N294" t="str">
            <v xml:space="preserve">	OSCAR MIGUEL GOYES CABRERA</v>
          </cell>
          <cell r="O294">
            <v>87711882</v>
          </cell>
          <cell r="P294" t="str">
            <v>diegobenavides2710@gmail.com</v>
          </cell>
          <cell r="Q294">
            <v>45763</v>
          </cell>
          <cell r="R294" t="str">
            <v>ELIANA BENAVIDES</v>
          </cell>
          <cell r="U294" t="str">
            <v>CELEBRADO</v>
          </cell>
          <cell r="W294" t="str">
            <v>2025-0200</v>
          </cell>
          <cell r="X294" t="str">
            <v>2025-0495</v>
          </cell>
          <cell r="AJ294">
            <v>2</v>
          </cell>
          <cell r="AK294">
            <v>0</v>
          </cell>
          <cell r="AL294">
            <v>2</v>
          </cell>
          <cell r="AM294" t="str">
            <v>$22.100.000</v>
          </cell>
        </row>
        <row r="295">
          <cell r="A295" t="str">
            <v>294-2025</v>
          </cell>
          <cell r="B295" t="str">
            <v>PRESTACION DE SERVICIOS</v>
          </cell>
          <cell r="C295" t="str">
            <v>FERNANDO JESUS MUÑOZ TORO</v>
          </cell>
          <cell r="D295" t="str">
            <v>CC</v>
          </cell>
          <cell r="E295">
            <v>87064731</v>
          </cell>
          <cell r="F295">
            <v>7</v>
          </cell>
          <cell r="G295" t="str">
            <v xml:space="preserve">CONTRATACION DIRECTA </v>
          </cell>
          <cell r="H295">
            <v>1</v>
          </cell>
          <cell r="I295" t="str">
            <v>El contratista se compromete para. con la Empresa Social del Estado PASTO SALUD ESE aprestar sus servicios como administrador de empresas con experiencia en el manejo de sistemas de información y TICS para apoyar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295">
            <v>1</v>
          </cell>
          <cell r="K295" t="str">
            <v>$20.400.000</v>
          </cell>
          <cell r="L295">
            <v>45763</v>
          </cell>
          <cell r="M295">
            <v>45930</v>
          </cell>
          <cell r="N295" t="str">
            <v xml:space="preserve">	OSCAR MIGUEL GOYES CABRERA</v>
          </cell>
          <cell r="O295">
            <v>87711882</v>
          </cell>
          <cell r="P295" t="str">
            <v>fernandomunoz0314@gmail.com</v>
          </cell>
          <cell r="Q295">
            <v>45763</v>
          </cell>
          <cell r="R295" t="str">
            <v>JUAN GOMEZ</v>
          </cell>
          <cell r="U295" t="str">
            <v>CELEBRADO</v>
          </cell>
          <cell r="W295" t="str">
            <v>2025-0200</v>
          </cell>
          <cell r="X295" t="str">
            <v>2025-0496</v>
          </cell>
          <cell r="AJ295">
            <v>2</v>
          </cell>
          <cell r="AK295">
            <v>0</v>
          </cell>
          <cell r="AL295">
            <v>2</v>
          </cell>
          <cell r="AM295" t="str">
            <v>$20.400.000</v>
          </cell>
        </row>
        <row r="296">
          <cell r="A296" t="str">
            <v>295-2025</v>
          </cell>
          <cell r="B296" t="str">
            <v>PRESTACION DE SERVICIOS</v>
          </cell>
          <cell r="C296" t="str">
            <v>YESICA STEFANIA JURADO MARTINEZ</v>
          </cell>
          <cell r="D296" t="str">
            <v>CC</v>
          </cell>
          <cell r="E296">
            <v>1085319775</v>
          </cell>
          <cell r="F296">
            <v>0</v>
          </cell>
          <cell r="G296" t="str">
            <v xml:space="preserve">CONTRATACION DIRECTA </v>
          </cell>
          <cell r="H296">
            <v>1</v>
          </cell>
          <cell r="I296" t="str">
            <v>El contratista se compromete para con la Empresa Social del Estado PASTO SALUD ESE aprestar sus servicios como psicólogo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296">
            <v>1</v>
          </cell>
          <cell r="K296" t="str">
            <v>$22.100.000</v>
          </cell>
          <cell r="L296">
            <v>45763</v>
          </cell>
          <cell r="M296">
            <v>45961</v>
          </cell>
          <cell r="N296" t="str">
            <v xml:space="preserve">	OSCAR MIGUEL GOYES CABRERA</v>
          </cell>
          <cell r="O296">
            <v>87711882</v>
          </cell>
          <cell r="P296" t="str">
            <v>Yesicajurado2025@gmail.com</v>
          </cell>
          <cell r="Q296">
            <v>45763</v>
          </cell>
          <cell r="R296" t="str">
            <v>CRISTINA ROSERO</v>
          </cell>
          <cell r="U296" t="str">
            <v>CELEBRADO</v>
          </cell>
          <cell r="W296" t="str">
            <v>2025-0200</v>
          </cell>
          <cell r="X296" t="str">
            <v>2025-0497</v>
          </cell>
          <cell r="AJ296">
            <v>2</v>
          </cell>
          <cell r="AK296">
            <v>0</v>
          </cell>
          <cell r="AL296">
            <v>2</v>
          </cell>
          <cell r="AM296" t="str">
            <v>$22.100.000</v>
          </cell>
        </row>
        <row r="297">
          <cell r="A297" t="str">
            <v>296-2025</v>
          </cell>
          <cell r="B297" t="str">
            <v>PRESTACION DE SERVICIOS</v>
          </cell>
          <cell r="C297" t="str">
            <v>PAOLA ANDREA SUESCA BUITRAGO</v>
          </cell>
          <cell r="D297" t="str">
            <v>CC</v>
          </cell>
          <cell r="E297">
            <v>52963413</v>
          </cell>
          <cell r="F297">
            <v>1</v>
          </cell>
          <cell r="G297" t="str">
            <v xml:space="preserve">CONTRATACION DIRECTA </v>
          </cell>
          <cell r="H297">
            <v>1</v>
          </cell>
          <cell r="I297" t="str">
            <v>El contratista se compromete para con la Empresa Social del Estado PASTO SALUD ESE a prestar sus servicios como profesional en medios audiovisuales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297">
            <v>1</v>
          </cell>
          <cell r="K297" t="str">
            <v>$22.100.000</v>
          </cell>
          <cell r="L297">
            <v>45763</v>
          </cell>
          <cell r="M297">
            <v>45961</v>
          </cell>
          <cell r="N297" t="str">
            <v xml:space="preserve">	OSCAR MIGUEL GOYES CABRERA</v>
          </cell>
          <cell r="O297">
            <v>87711882</v>
          </cell>
          <cell r="P297" t="str">
            <v>paolaandreasuesca@gmail.com</v>
          </cell>
          <cell r="Q297">
            <v>45763</v>
          </cell>
          <cell r="R297" t="str">
            <v>ANDRES GUERRA</v>
          </cell>
          <cell r="U297" t="str">
            <v>CELEBRADO</v>
          </cell>
          <cell r="W297" t="str">
            <v>2025-0200</v>
          </cell>
          <cell r="X297" t="str">
            <v>2025-0498</v>
          </cell>
          <cell r="AJ297">
            <v>2</v>
          </cell>
          <cell r="AK297">
            <v>0</v>
          </cell>
          <cell r="AL297">
            <v>2</v>
          </cell>
          <cell r="AM297" t="str">
            <v>$22.100.000</v>
          </cell>
        </row>
        <row r="298">
          <cell r="A298" t="str">
            <v>297-2025</v>
          </cell>
          <cell r="B298" t="str">
            <v>PRESTACION DE SERVICIOS</v>
          </cell>
          <cell r="C298" t="str">
            <v>JORGE ALFONSO ALAVA JARRIN,</v>
          </cell>
          <cell r="D298" t="str">
            <v>CC</v>
          </cell>
          <cell r="E298">
            <v>98137664</v>
          </cell>
          <cell r="F298">
            <v>6</v>
          </cell>
          <cell r="G298" t="str">
            <v xml:space="preserve">CONTRATACION DIRECTA </v>
          </cell>
          <cell r="H298">
            <v>1</v>
          </cell>
          <cell r="I298" t="str">
            <v>El contratista se compromete para con la Empresa Social del Estado PASTO SALUD ESE aprestar sus servicios como sociólogo para liderar el trabajo con grupos étnicos para el desarrollo de las actividades contempladas en el componente de Deficiente Resolutividad GDPE y procesos transversales, especialmente los relacionados con el trabajo con grupos étnicos y vulnerables,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298">
            <v>1</v>
          </cell>
          <cell r="K298" t="str">
            <v>$22.100.000</v>
          </cell>
          <cell r="L298">
            <v>45763</v>
          </cell>
          <cell r="M298">
            <v>45961</v>
          </cell>
          <cell r="N298" t="str">
            <v xml:space="preserve">	OSCAR MIGUEL GOYES CABRERA</v>
          </cell>
          <cell r="O298">
            <v>87711882</v>
          </cell>
          <cell r="P298" t="str">
            <v>jaalava07@gmail.com</v>
          </cell>
          <cell r="Q298">
            <v>45763</v>
          </cell>
          <cell r="R298" t="str">
            <v>RODRIGO ROSERO</v>
          </cell>
          <cell r="U298" t="str">
            <v>CELEBRADO</v>
          </cell>
          <cell r="W298" t="str">
            <v>2025-0200</v>
          </cell>
          <cell r="X298" t="str">
            <v>2025-0499</v>
          </cell>
          <cell r="AJ298">
            <v>2</v>
          </cell>
          <cell r="AK298">
            <v>0</v>
          </cell>
          <cell r="AL298">
            <v>2</v>
          </cell>
          <cell r="AM298" t="str">
            <v>$22.100.000</v>
          </cell>
        </row>
        <row r="299">
          <cell r="A299" t="str">
            <v>298-2025</v>
          </cell>
          <cell r="B299" t="str">
            <v>PRESTACION DE SERVICIOS</v>
          </cell>
          <cell r="C299" t="str">
            <v>YURY ALEXANDRA BRAVO GARCIA,</v>
          </cell>
          <cell r="D299" t="str">
            <v>CC</v>
          </cell>
          <cell r="E299">
            <v>1085328611</v>
          </cell>
          <cell r="F299">
            <v>1</v>
          </cell>
          <cell r="G299" t="str">
            <v xml:space="preserve">CONTRATACION DIRECTA </v>
          </cell>
          <cell r="H299">
            <v>1</v>
          </cell>
          <cell r="I299" t="str">
            <v>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v>
          </cell>
          <cell r="J299">
            <v>1</v>
          </cell>
          <cell r="K299" t="str">
            <v>$22.100.000</v>
          </cell>
          <cell r="L299">
            <v>45763</v>
          </cell>
          <cell r="M299">
            <v>45961</v>
          </cell>
          <cell r="N299" t="str">
            <v xml:space="preserve">	OSCAR MIGUEL GOYES CABRERA</v>
          </cell>
          <cell r="O299">
            <v>87711882</v>
          </cell>
          <cell r="P299" t="str">
            <v>yurys96@hotmail.com</v>
          </cell>
          <cell r="Q299">
            <v>45763</v>
          </cell>
          <cell r="R299" t="str">
            <v>NATALIA ERAZO</v>
          </cell>
          <cell r="U299" t="str">
            <v>CELEBRADO</v>
          </cell>
          <cell r="W299" t="str">
            <v>2025-0200</v>
          </cell>
          <cell r="X299" t="str">
            <v>2025-0500</v>
          </cell>
          <cell r="AJ299">
            <v>2</v>
          </cell>
          <cell r="AK299">
            <v>0</v>
          </cell>
          <cell r="AL299">
            <v>2</v>
          </cell>
          <cell r="AM299" t="str">
            <v>$22.100.000</v>
          </cell>
        </row>
        <row r="300">
          <cell r="A300" t="str">
            <v>299-2025</v>
          </cell>
          <cell r="B300" t="str">
            <v>PRESTACION DE SERVICIOS</v>
          </cell>
          <cell r="C300" t="str">
            <v>LEYDI VANESSA PALACIOS DELGADO</v>
          </cell>
          <cell r="D300" t="str">
            <v>CC</v>
          </cell>
          <cell r="E300">
            <v>1085336859</v>
          </cell>
          <cell r="F300">
            <v>2</v>
          </cell>
          <cell r="G300" t="str">
            <v xml:space="preserve">CONTRATACION DIRECTA </v>
          </cell>
          <cell r="H300">
            <v>1</v>
          </cell>
          <cell r="I300" t="str">
            <v>El contratista se compromete para con la Empresa Social del Estado PASTO SALUD ESE a prestar sus servicios como psicólogo para el desarrollo de las actividades contempladas en el componente de Morbi Mortalidad Materna -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300">
            <v>1</v>
          </cell>
          <cell r="K300" t="str">
            <v>$22.100.000</v>
          </cell>
          <cell r="L300">
            <v>45763</v>
          </cell>
          <cell r="M300">
            <v>45961</v>
          </cell>
          <cell r="N300" t="str">
            <v xml:space="preserve">	OSCAR MIGUEL GOYES CABRERA</v>
          </cell>
          <cell r="O300">
            <v>87711882</v>
          </cell>
          <cell r="P300" t="str">
            <v>vpalaciosd@gmail.com</v>
          </cell>
          <cell r="Q300">
            <v>45763</v>
          </cell>
          <cell r="R300" t="str">
            <v>ALEXANDER YELA</v>
          </cell>
          <cell r="U300" t="str">
            <v>CELEBRADO</v>
          </cell>
          <cell r="W300" t="str">
            <v>2025-0200</v>
          </cell>
          <cell r="X300" t="str">
            <v>2025-0501</v>
          </cell>
          <cell r="AJ300">
            <v>2</v>
          </cell>
          <cell r="AK300">
            <v>0</v>
          </cell>
          <cell r="AL300">
            <v>2</v>
          </cell>
          <cell r="AM300" t="str">
            <v>$22.100.000</v>
          </cell>
        </row>
        <row r="301">
          <cell r="A301" t="str">
            <v>300-2025</v>
          </cell>
          <cell r="B301" t="str">
            <v>SUMINISTROS</v>
          </cell>
          <cell r="C301" t="str">
            <v>SURGICON &amp; CIA SAS</v>
          </cell>
          <cell r="D301" t="str">
            <v>NIT</v>
          </cell>
          <cell r="E301">
            <v>860519267</v>
          </cell>
          <cell r="F301">
            <v>9</v>
          </cell>
          <cell r="G301" t="str">
            <v xml:space="preserve">CONTRATACION DIRECTA </v>
          </cell>
          <cell r="H301">
            <v>2</v>
          </cell>
          <cell r="I301" t="str">
            <v>Suministro de reactivos e insumos generales de laboratorio clínico para la Empresa Social del Estado Pasto Salud E.S.E.</v>
          </cell>
          <cell r="J301">
            <v>1</v>
          </cell>
          <cell r="K301" t="str">
            <v>$6.017.592</v>
          </cell>
          <cell r="L301">
            <v>45763</v>
          </cell>
          <cell r="M301">
            <v>45838</v>
          </cell>
          <cell r="N301" t="str">
            <v>LAURA XIMENA SANDOVAL REDONDO</v>
          </cell>
          <cell r="O301">
            <v>30400115</v>
          </cell>
          <cell r="P301" t="str">
            <v>info@surgicon.com.co</v>
          </cell>
          <cell r="Q301">
            <v>45763</v>
          </cell>
          <cell r="R301" t="str">
            <v>ALEXANDER YELA</v>
          </cell>
          <cell r="U301" t="str">
            <v>CELEBRADO</v>
          </cell>
          <cell r="W301" t="str">
            <v>2025-0133</v>
          </cell>
          <cell r="X301" t="str">
            <v>2025-0502</v>
          </cell>
          <cell r="AJ301">
            <v>2</v>
          </cell>
          <cell r="AK301">
            <v>0</v>
          </cell>
          <cell r="AL301">
            <v>3</v>
          </cell>
          <cell r="AM301" t="str">
            <v>$6.017.592</v>
          </cell>
        </row>
        <row r="302">
          <cell r="A302" t="str">
            <v>301-2025</v>
          </cell>
          <cell r="B302" t="str">
            <v>SUMINISTROS</v>
          </cell>
          <cell r="C302" t="str">
            <v xml:space="preserve"> PRODUCTORA Y COMERCIALIZADORA ODONTOLOGICA NEW STETIC S.A,</v>
          </cell>
          <cell r="D302" t="str">
            <v>NIT</v>
          </cell>
          <cell r="E302">
            <v>890900267</v>
          </cell>
          <cell r="F302">
            <v>0</v>
          </cell>
          <cell r="G302" t="str">
            <v xml:space="preserve">CONTRATACION DIRECTA </v>
          </cell>
          <cell r="H302">
            <v>2</v>
          </cell>
          <cell r="I302" t="str">
            <v>EI contratista se obliga al suministro del material médico quirúrgico en las cantidades establecidasjen el anexo 1, el cual hace parte integral del contrato. Para la ESE Pasto-Salud</v>
          </cell>
          <cell r="J302">
            <v>3</v>
          </cell>
          <cell r="K302" t="str">
            <v>$1.844.500</v>
          </cell>
          <cell r="L302">
            <v>45768</v>
          </cell>
          <cell r="M302">
            <v>45869</v>
          </cell>
          <cell r="N302" t="str">
            <v>NENA DEL CARMEN RAMIREZ RAMIREZ</v>
          </cell>
          <cell r="O302">
            <v>30732589</v>
          </cell>
          <cell r="P302" t="str">
            <v>contabilidad@newstetic.com</v>
          </cell>
          <cell r="Q302">
            <v>45768</v>
          </cell>
          <cell r="R302" t="str">
            <v>JUAN GOMEZ</v>
          </cell>
          <cell r="U302" t="str">
            <v>CELEBRADO</v>
          </cell>
          <cell r="W302" t="str">
            <v>2025-0166</v>
          </cell>
          <cell r="X302" t="str">
            <v>2025-0505</v>
          </cell>
          <cell r="AJ302">
            <v>2</v>
          </cell>
          <cell r="AK302">
            <v>0</v>
          </cell>
          <cell r="AL302">
            <v>2</v>
          </cell>
          <cell r="AM302" t="str">
            <v>$1.844.500</v>
          </cell>
        </row>
        <row r="303">
          <cell r="A303" t="str">
            <v>302-2025</v>
          </cell>
          <cell r="B303" t="str">
            <v>PRESTACION DE SERVICIOS</v>
          </cell>
          <cell r="C303" t="str">
            <v>BLANCA MELVA GAVIRIA BRAVO</v>
          </cell>
          <cell r="D303" t="str">
            <v>CC</v>
          </cell>
          <cell r="E303">
            <v>27097289</v>
          </cell>
          <cell r="F303">
            <v>6</v>
          </cell>
          <cell r="G303" t="str">
            <v xml:space="preserve">CONTRATACION DIRECTA </v>
          </cell>
          <cell r="H303">
            <v>1</v>
          </cell>
          <cell r="I30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303">
            <v>1</v>
          </cell>
          <cell r="K303" t="str">
            <v>$9.000.000</v>
          </cell>
          <cell r="L303">
            <v>45768</v>
          </cell>
          <cell r="M303">
            <v>45808</v>
          </cell>
          <cell r="N303" t="str">
            <v>DEYANIRA BADOS DAZA</v>
          </cell>
          <cell r="O303">
            <v>59836926</v>
          </cell>
          <cell r="P303" t="str">
            <v>blankisgaby38@hotmail.com</v>
          </cell>
          <cell r="Q303">
            <v>45768</v>
          </cell>
          <cell r="R303" t="str">
            <v>NATALIA ERAZO</v>
          </cell>
          <cell r="U303" t="str">
            <v>CELEBRADO</v>
          </cell>
          <cell r="W303" t="str">
            <v>2025-0177</v>
          </cell>
          <cell r="X303" t="str">
            <v>2025-0507</v>
          </cell>
          <cell r="AJ303">
            <v>2</v>
          </cell>
          <cell r="AK303">
            <v>0</v>
          </cell>
          <cell r="AL303">
            <v>3</v>
          </cell>
          <cell r="AM303" t="str">
            <v>$9.000.000</v>
          </cell>
        </row>
        <row r="304">
          <cell r="A304" t="str">
            <v>303-2025</v>
          </cell>
          <cell r="B304" t="str">
            <v>PRESTACION DE SERVICIOS</v>
          </cell>
          <cell r="C304" t="str">
            <v>DIANA CAROLINA TISOY CHASOY</v>
          </cell>
          <cell r="D304" t="str">
            <v>CC</v>
          </cell>
          <cell r="E304">
            <v>1081052090</v>
          </cell>
          <cell r="F304">
            <v>1</v>
          </cell>
          <cell r="G304" t="str">
            <v xml:space="preserve">CONTRATACION DIRECTA </v>
          </cell>
          <cell r="H304">
            <v>1</v>
          </cell>
          <cell r="I304"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04">
            <v>1</v>
          </cell>
          <cell r="K304" t="str">
            <v>$5.000.000</v>
          </cell>
          <cell r="L304">
            <v>45768</v>
          </cell>
          <cell r="M304">
            <v>45808</v>
          </cell>
          <cell r="N304" t="str">
            <v>MARY ALEXANDRA ROSERO BENAVIDES</v>
          </cell>
          <cell r="O304">
            <v>43624414</v>
          </cell>
          <cell r="P304" t="str">
            <v>dianasalome569@gmail.com</v>
          </cell>
          <cell r="Q304">
            <v>45768</v>
          </cell>
          <cell r="R304" t="str">
            <v>CRISTINA ROSERO</v>
          </cell>
          <cell r="U304" t="str">
            <v>CELEBRADO</v>
          </cell>
          <cell r="W304" t="str">
            <v>2025-0177</v>
          </cell>
          <cell r="X304" t="str">
            <v>2025-0508</v>
          </cell>
          <cell r="AJ304">
            <v>2</v>
          </cell>
          <cell r="AK304">
            <v>0</v>
          </cell>
          <cell r="AL304">
            <v>3</v>
          </cell>
          <cell r="AM304" t="str">
            <v>$5.000.000</v>
          </cell>
        </row>
        <row r="305">
          <cell r="A305" t="str">
            <v>304-2025</v>
          </cell>
          <cell r="B305" t="str">
            <v>PRESTACION DE SERVICIOS</v>
          </cell>
          <cell r="C305" t="str">
            <v>HAROLD CAMILO QUINTERO GUEVARA</v>
          </cell>
          <cell r="D305" t="str">
            <v>CC</v>
          </cell>
          <cell r="E305">
            <v>1233188479</v>
          </cell>
          <cell r="F305">
            <v>8</v>
          </cell>
          <cell r="G305" t="str">
            <v xml:space="preserve">CONTRATACION DIRECTA </v>
          </cell>
          <cell r="H305">
            <v>1</v>
          </cell>
          <cell r="I30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v>
          </cell>
          <cell r="J305">
            <v>1</v>
          </cell>
          <cell r="K305" t="str">
            <v>$5.000.000</v>
          </cell>
          <cell r="L305">
            <v>45769</v>
          </cell>
          <cell r="M305">
            <v>45808</v>
          </cell>
          <cell r="N305" t="str">
            <v>MARY ALEXANDRA ROSERO BENAVIDES</v>
          </cell>
          <cell r="O305">
            <v>43624414</v>
          </cell>
          <cell r="P305" t="str">
            <v>frazkoquintero@gmail.com</v>
          </cell>
          <cell r="Q305">
            <v>45769</v>
          </cell>
          <cell r="R305" t="str">
            <v>RODRIGO ROSERO</v>
          </cell>
          <cell r="U305" t="str">
            <v>CELEBRADO</v>
          </cell>
          <cell r="W305" t="str">
            <v>2025-0177</v>
          </cell>
          <cell r="X305" t="str">
            <v>2025-0509</v>
          </cell>
          <cell r="AJ305">
            <v>2</v>
          </cell>
          <cell r="AK305">
            <v>0</v>
          </cell>
          <cell r="AL305">
            <v>3</v>
          </cell>
          <cell r="AM305" t="str">
            <v>$5.000.000</v>
          </cell>
        </row>
        <row r="306">
          <cell r="A306" t="str">
            <v>305-2025</v>
          </cell>
          <cell r="B306" t="str">
            <v>PRESTACION DE SERVICIOS</v>
          </cell>
          <cell r="C306" t="str">
            <v>DIANA SOFIA ALBORNOZ MARIN,</v>
          </cell>
          <cell r="D306" t="str">
            <v>CC</v>
          </cell>
          <cell r="E306">
            <v>1085287262</v>
          </cell>
          <cell r="F306">
            <v>2</v>
          </cell>
          <cell r="G306" t="str">
            <v xml:space="preserve">CONTRATACION DIRECTA </v>
          </cell>
          <cell r="H306">
            <v>1</v>
          </cell>
          <cell r="I306" t="str">
            <v>El contratista se compromete para con la Empresa Social del Estado PASTO SALUD ESE a prestar sus servicios como comunicador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06">
            <v>1</v>
          </cell>
          <cell r="K306" t="str">
            <v>$22.100.000</v>
          </cell>
          <cell r="L306">
            <v>45769</v>
          </cell>
          <cell r="M306">
            <v>45961</v>
          </cell>
          <cell r="N306" t="str">
            <v xml:space="preserve">	OSCAR MIGUEL GOYES CABRERA</v>
          </cell>
          <cell r="O306">
            <v>87711882</v>
          </cell>
          <cell r="P306" t="str">
            <v>dsalbornozm@gmail.com</v>
          </cell>
          <cell r="Q306">
            <v>45769</v>
          </cell>
          <cell r="R306" t="str">
            <v>ALEXANDER YELA</v>
          </cell>
          <cell r="U306" t="str">
            <v>CELEBRADO</v>
          </cell>
          <cell r="W306" t="str">
            <v>2025-0200</v>
          </cell>
          <cell r="X306" t="str">
            <v>2025-0510</v>
          </cell>
          <cell r="AJ306">
            <v>2</v>
          </cell>
          <cell r="AK306">
            <v>0</v>
          </cell>
          <cell r="AL306">
            <v>2</v>
          </cell>
          <cell r="AM306" t="str">
            <v>$22.100.000</v>
          </cell>
        </row>
        <row r="307">
          <cell r="A307" t="str">
            <v>306-2025</v>
          </cell>
          <cell r="B307" t="str">
            <v>PRESTACION DE SERVICIOS</v>
          </cell>
          <cell r="C307" t="str">
            <v>ANGELA MABEL RODRIGUEZ TIMARAN</v>
          </cell>
          <cell r="D307" t="str">
            <v>CC</v>
          </cell>
          <cell r="E307">
            <v>36750556</v>
          </cell>
          <cell r="F307">
            <v>1</v>
          </cell>
          <cell r="G307" t="str">
            <v xml:space="preserve">CONTRATACION DIRECTA </v>
          </cell>
          <cell r="H307">
            <v>1</v>
          </cell>
          <cell r="I307" t="str">
            <v>El contratista se compromete para con la Empresa Social del Estado PASTO SALUD ESE aprestar sus servicios como profesional con especialización en seguridad y salud en el trabajo o profesional en SST para el desarrollo de-las actividades contempladas en el componente de Débil Vigilancia Epidemiológica Formación Trabajador Popular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307">
            <v>1</v>
          </cell>
          <cell r="K307" t="str">
            <v>$22.100.000</v>
          </cell>
          <cell r="L307">
            <v>45769</v>
          </cell>
          <cell r="M307">
            <v>45967</v>
          </cell>
          <cell r="N307" t="str">
            <v xml:space="preserve">	OSCAR MIGUEL GOYES CABRERA</v>
          </cell>
          <cell r="O307">
            <v>87711882</v>
          </cell>
          <cell r="P307" t="str">
            <v>mabelrt@gmail.com</v>
          </cell>
          <cell r="Q307">
            <v>45769</v>
          </cell>
          <cell r="R307" t="str">
            <v>CRISTINA ROSERO</v>
          </cell>
          <cell r="U307" t="str">
            <v>CELEBRADO</v>
          </cell>
          <cell r="W307" t="str">
            <v>2025-0200</v>
          </cell>
          <cell r="X307" t="str">
            <v>2025-0511</v>
          </cell>
          <cell r="AJ307">
            <v>2</v>
          </cell>
          <cell r="AK307">
            <v>0</v>
          </cell>
          <cell r="AL307">
            <v>2</v>
          </cell>
          <cell r="AM307" t="str">
            <v>$22.100.000</v>
          </cell>
        </row>
        <row r="308">
          <cell r="A308" t="str">
            <v>307-2025</v>
          </cell>
          <cell r="B308" t="str">
            <v>PRESTACION DE SERVICIOS</v>
          </cell>
          <cell r="C308" t="str">
            <v>DIANA SOFIA PANTOJA RUANO</v>
          </cell>
          <cell r="D308" t="str">
            <v>CC</v>
          </cell>
          <cell r="E308">
            <v>1233192708</v>
          </cell>
          <cell r="F308">
            <v>5</v>
          </cell>
          <cell r="G308" t="str">
            <v xml:space="preserve">CONTRATACION DIRECTA </v>
          </cell>
          <cell r="H308">
            <v>1</v>
          </cell>
          <cell r="I308" t="str">
            <v>: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08">
            <v>1</v>
          </cell>
          <cell r="K308" t="str">
            <v>$15.000.000</v>
          </cell>
          <cell r="L308">
            <v>45770</v>
          </cell>
          <cell r="M308">
            <v>45808</v>
          </cell>
          <cell r="N308" t="str">
            <v>RIGOBERTO MELO ZAMBRANO</v>
          </cell>
          <cell r="O308">
            <v>98333941</v>
          </cell>
          <cell r="P308" t="str">
            <v>diana.sofiapantojar27@gmail.com</v>
          </cell>
          <cell r="Q308">
            <v>45770</v>
          </cell>
          <cell r="R308" t="str">
            <v>CRISTINA ROSERO</v>
          </cell>
          <cell r="U308" t="str">
            <v>CELEBRADO</v>
          </cell>
          <cell r="W308" t="str">
            <v>2025-0177</v>
          </cell>
          <cell r="X308" t="str">
            <v>2025-0513</v>
          </cell>
          <cell r="AJ308">
            <v>2</v>
          </cell>
          <cell r="AK308">
            <v>0</v>
          </cell>
          <cell r="AL308">
            <v>3</v>
          </cell>
          <cell r="AM308" t="str">
            <v>$15.000.000</v>
          </cell>
        </row>
        <row r="309">
          <cell r="A309" t="str">
            <v>308-2025</v>
          </cell>
          <cell r="B309" t="str">
            <v>SUMINISTROS</v>
          </cell>
          <cell r="C309" t="str">
            <v>DENSALUD GRUPO EMPRESARIAL SAS</v>
          </cell>
          <cell r="D309" t="str">
            <v>NIT</v>
          </cell>
          <cell r="E309">
            <v>901105862</v>
          </cell>
          <cell r="F309">
            <v>2</v>
          </cell>
          <cell r="G309" t="str">
            <v xml:space="preserve">CONTRATACION DIRECTA </v>
          </cell>
          <cell r="H309">
            <v>2</v>
          </cell>
          <cell r="I309" t="str">
            <v>El contratista se obliga al suministro de indicador biologico BT222, con tiempo de lectura de 1 hora, caja x 50 unidades</v>
          </cell>
          <cell r="J309">
            <v>1</v>
          </cell>
          <cell r="K309" t="str">
            <v>$25.239.900</v>
          </cell>
          <cell r="L309">
            <v>45771</v>
          </cell>
          <cell r="M309">
            <v>45838</v>
          </cell>
          <cell r="N309" t="str">
            <v>NENA DEL CARMEN RAMIREZ RAMIREZ</v>
          </cell>
          <cell r="O309">
            <v>30732589</v>
          </cell>
          <cell r="P309" t="str">
            <v>densalud@hotmail.com</v>
          </cell>
          <cell r="Q309">
            <v>45771</v>
          </cell>
          <cell r="R309" t="str">
            <v>JUAN GOMEZ</v>
          </cell>
          <cell r="U309" t="str">
            <v>CELEBRADO</v>
          </cell>
          <cell r="W309" t="str">
            <v>2025-0193</v>
          </cell>
          <cell r="X309" t="str">
            <v>2025-0521</v>
          </cell>
          <cell r="AJ309">
            <v>2</v>
          </cell>
          <cell r="AK309">
            <v>0</v>
          </cell>
          <cell r="AL309">
            <v>3</v>
          </cell>
          <cell r="AM309" t="str">
            <v>$25.239.900</v>
          </cell>
        </row>
        <row r="310">
          <cell r="A310" t="str">
            <v>309-2025</v>
          </cell>
          <cell r="B310" t="str">
            <v>PRESTACION DE SERVICIOS</v>
          </cell>
          <cell r="C310" t="str">
            <v>JULIANA ANDREA PAZ JOJOA</v>
          </cell>
          <cell r="D310" t="str">
            <v>CC</v>
          </cell>
          <cell r="E310">
            <v>1004437571</v>
          </cell>
          <cell r="F310">
            <v>6</v>
          </cell>
          <cell r="G310" t="str">
            <v xml:space="preserve">CONTRATACION DIRECTA </v>
          </cell>
          <cell r="H310">
            <v>1</v>
          </cell>
          <cell r="I31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10">
            <v>1</v>
          </cell>
          <cell r="K310" t="str">
            <v>$3.600.000</v>
          </cell>
          <cell r="L310">
            <v>45772</v>
          </cell>
          <cell r="M310">
            <v>45808</v>
          </cell>
          <cell r="N310" t="str">
            <v>MARY ALEXANDRA ROSERO BENAVIDES</v>
          </cell>
          <cell r="O310">
            <v>43624414</v>
          </cell>
          <cell r="P310" t="str">
            <v>pazjojoajulianaandrea6@gmail.com</v>
          </cell>
          <cell r="Q310">
            <v>45772</v>
          </cell>
          <cell r="R310" t="str">
            <v>ALEXANDER YELA</v>
          </cell>
          <cell r="U310" t="str">
            <v>CELEBRADO</v>
          </cell>
          <cell r="W310" t="str">
            <v>2025-0177</v>
          </cell>
          <cell r="X310" t="str">
            <v>2025-0522</v>
          </cell>
          <cell r="AJ310">
            <v>2</v>
          </cell>
          <cell r="AK310">
            <v>0</v>
          </cell>
          <cell r="AL310">
            <v>3</v>
          </cell>
          <cell r="AM310" t="str">
            <v>$3.600.000</v>
          </cell>
        </row>
        <row r="311">
          <cell r="A311" t="str">
            <v>310-2025</v>
          </cell>
          <cell r="B311" t="str">
            <v>PRESTACION DE SERVICIOS</v>
          </cell>
          <cell r="C311" t="str">
            <v>LYNN JANINA ORTIZ PAZ</v>
          </cell>
          <cell r="D311" t="str">
            <v>CC</v>
          </cell>
          <cell r="E311">
            <v>69028150</v>
          </cell>
          <cell r="F311">
            <v>1</v>
          </cell>
          <cell r="G311" t="str">
            <v xml:space="preserve">CONTRATACION DIRECTA </v>
          </cell>
          <cell r="H311">
            <v>1</v>
          </cell>
          <cell r="I31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11">
            <v>1</v>
          </cell>
          <cell r="K311" t="str">
            <v>$3.700.000</v>
          </cell>
          <cell r="L311">
            <v>45775</v>
          </cell>
          <cell r="M311">
            <v>45808</v>
          </cell>
          <cell r="N311" t="str">
            <v>MARY ALEXANDRA ROSERO BENAVIDES</v>
          </cell>
          <cell r="O311">
            <v>43624414</v>
          </cell>
          <cell r="P311" t="str">
            <v>lynnjaninaortiz64@gmail.com</v>
          </cell>
          <cell r="Q311">
            <v>45775</v>
          </cell>
          <cell r="R311" t="str">
            <v>ELIANA BENAVIDES</v>
          </cell>
          <cell r="U311" t="str">
            <v>CELEBRADO</v>
          </cell>
          <cell r="W311" t="str">
            <v>2025-0177</v>
          </cell>
          <cell r="X311" t="str">
            <v>2025-0524</v>
          </cell>
          <cell r="AJ311">
            <v>2</v>
          </cell>
          <cell r="AK311">
            <v>0</v>
          </cell>
          <cell r="AL311">
            <v>3</v>
          </cell>
          <cell r="AM311" t="str">
            <v>$3.700.000,00</v>
          </cell>
        </row>
        <row r="312">
          <cell r="A312" t="str">
            <v>311-2025</v>
          </cell>
          <cell r="B312" t="str">
            <v>PRESTACION DE SERVICIOS</v>
          </cell>
          <cell r="C312" t="str">
            <v>EDITH CRISTINA GARCIA JOJOA</v>
          </cell>
          <cell r="D312" t="str">
            <v>CC</v>
          </cell>
          <cell r="E312">
            <v>59813323</v>
          </cell>
          <cell r="F312">
            <v>8</v>
          </cell>
          <cell r="G312" t="str">
            <v xml:space="preserve">CONTRATACION DIRECTA </v>
          </cell>
          <cell r="H312">
            <v>1</v>
          </cell>
          <cell r="I31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12">
            <v>1</v>
          </cell>
          <cell r="K312" t="str">
            <v>$3.600.000,00</v>
          </cell>
          <cell r="L312">
            <v>45775</v>
          </cell>
          <cell r="M312">
            <v>45808</v>
          </cell>
          <cell r="N312" t="str">
            <v>MARY ALEXANDRA ROSERO BENAVIDES</v>
          </cell>
          <cell r="O312">
            <v>43624414</v>
          </cell>
          <cell r="P312" t="str">
            <v>jakerrero@gmial.com</v>
          </cell>
          <cell r="Q312">
            <v>45775</v>
          </cell>
          <cell r="R312" t="str">
            <v>CRISTINA ROSERO</v>
          </cell>
          <cell r="U312" t="str">
            <v>CELEBRADO</v>
          </cell>
          <cell r="W312" t="str">
            <v>2025-0177</v>
          </cell>
          <cell r="X312" t="str">
            <v>2025-0525</v>
          </cell>
          <cell r="AJ312">
            <v>2</v>
          </cell>
          <cell r="AK312">
            <v>0</v>
          </cell>
          <cell r="AL312">
            <v>3</v>
          </cell>
          <cell r="AM312" t="str">
            <v>$3.600.000,00</v>
          </cell>
        </row>
        <row r="313">
          <cell r="A313" t="str">
            <v>312-2025</v>
          </cell>
          <cell r="B313" t="str">
            <v>PRESTACION DE SERVICIOS</v>
          </cell>
          <cell r="C313" t="str">
            <v>MARÍA GUADALUPE GELPUD CARPIO</v>
          </cell>
          <cell r="D313" t="str">
            <v>CC</v>
          </cell>
          <cell r="E313">
            <v>1004410787</v>
          </cell>
          <cell r="F313">
            <v>2</v>
          </cell>
          <cell r="G313" t="str">
            <v xml:space="preserve">CONTRATACION DIRECTA </v>
          </cell>
          <cell r="H313">
            <v>1</v>
          </cell>
          <cell r="I313" t="str">
            <v>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13">
            <v>1</v>
          </cell>
          <cell r="K313" t="str">
            <v>$14.400.000,00</v>
          </cell>
          <cell r="L313">
            <v>45775</v>
          </cell>
          <cell r="M313">
            <v>45955</v>
          </cell>
          <cell r="N313" t="str">
            <v xml:space="preserve">	OSCAR MIGUEL GOYES CABRERA</v>
          </cell>
          <cell r="O313">
            <v>87711882</v>
          </cell>
          <cell r="P313" t="str">
            <v xml:space="preserve">guadalupegelpud12@gmail.com </v>
          </cell>
          <cell r="Q313">
            <v>45775</v>
          </cell>
          <cell r="R313" t="str">
            <v>ALEXANDER YELA</v>
          </cell>
          <cell r="U313" t="str">
            <v>CELEBRADO</v>
          </cell>
          <cell r="W313" t="str">
            <v>2025-0200</v>
          </cell>
          <cell r="X313" t="str">
            <v>2025-0526</v>
          </cell>
          <cell r="AJ313">
            <v>2</v>
          </cell>
          <cell r="AK313">
            <v>0</v>
          </cell>
          <cell r="AL313">
            <v>2</v>
          </cell>
          <cell r="AM313" t="str">
            <v>$14.400.000,00</v>
          </cell>
        </row>
        <row r="314">
          <cell r="A314" t="str">
            <v>313-2025</v>
          </cell>
          <cell r="B314" t="str">
            <v>SUMINISTROS</v>
          </cell>
          <cell r="C314" t="str">
            <v>GRUPO DAO S.A.S</v>
          </cell>
          <cell r="D314" t="str">
            <v>NIT</v>
          </cell>
          <cell r="E314">
            <v>817004260</v>
          </cell>
          <cell r="F314">
            <v>0</v>
          </cell>
          <cell r="G314" t="str">
            <v xml:space="preserve">CONTRATACION DIRECTA </v>
          </cell>
          <cell r="H314">
            <v>2</v>
          </cell>
          <cell r="I314" t="str">
            <v>EL CONTRATISTA SE OBLIGA AL SUMINISTRO DEL MATERIAL MEDICO QUIRURGICO EN LAS CANTIDADES ESTABLECIDAS EN EL ANEXO 1, EL CUAL HACE PARTE INTEGRAL DEL CONTRATO, PARA LA ESE PASTO SALUD</v>
          </cell>
          <cell r="J314">
            <v>3</v>
          </cell>
          <cell r="K314" t="str">
            <v>$11.797.439,60</v>
          </cell>
          <cell r="L314">
            <v>45775</v>
          </cell>
          <cell r="M314">
            <v>45869</v>
          </cell>
          <cell r="N314" t="str">
            <v>NENA DEL CARMEN RAMIREZ RAMIREZ</v>
          </cell>
          <cell r="O314">
            <v>30732589</v>
          </cell>
          <cell r="P314" t="str">
            <v>contador@dao.com.co</v>
          </cell>
          <cell r="Q314">
            <v>45775</v>
          </cell>
          <cell r="R314" t="str">
            <v>ALEXANDER YELA</v>
          </cell>
          <cell r="U314" t="str">
            <v>CELEBRADO</v>
          </cell>
          <cell r="W314" t="str">
            <v>2025-0166</v>
          </cell>
          <cell r="X314" t="str">
            <v>2025-0527</v>
          </cell>
          <cell r="AJ314">
            <v>2</v>
          </cell>
          <cell r="AK314">
            <v>0</v>
          </cell>
          <cell r="AL314">
            <v>2</v>
          </cell>
          <cell r="AM314" t="str">
            <v>$11.797.439,60</v>
          </cell>
        </row>
        <row r="315">
          <cell r="A315" t="str">
            <v>314-2025</v>
          </cell>
          <cell r="B315" t="str">
            <v>PRESTACION DE SERVICIOS</v>
          </cell>
          <cell r="C315" t="str">
            <v>LADY CAROLINA TIBAQUIRA BALLESTEROS</v>
          </cell>
          <cell r="D315" t="str">
            <v>CC</v>
          </cell>
          <cell r="E315">
            <v>1014212900</v>
          </cell>
          <cell r="F315">
            <v>6</v>
          </cell>
          <cell r="G315" t="str">
            <v xml:space="preserve">CONTRATACION DIRECTA </v>
          </cell>
          <cell r="H315">
            <v>1</v>
          </cell>
          <cell r="I315"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ell>
          <cell r="J315">
            <v>1</v>
          </cell>
          <cell r="K315" t="str">
            <v>$7.400.000,00</v>
          </cell>
          <cell r="L315">
            <v>45776</v>
          </cell>
          <cell r="M315">
            <v>45808</v>
          </cell>
          <cell r="N315" t="str">
            <v>RIGOBERTO MELO ZAMBRANO</v>
          </cell>
          <cell r="O315">
            <v>98333941</v>
          </cell>
          <cell r="P315" t="str">
            <v>caritotb1308@hotmail.com</v>
          </cell>
          <cell r="Q315">
            <v>45776</v>
          </cell>
          <cell r="R315" t="str">
            <v>NATALIA ERAZO</v>
          </cell>
          <cell r="U315" t="str">
            <v>CELEBRADO</v>
          </cell>
          <cell r="W315" t="str">
            <v>2025-0177</v>
          </cell>
          <cell r="X315" t="str">
            <v>2025-0528</v>
          </cell>
          <cell r="AJ315">
            <v>2</v>
          </cell>
          <cell r="AK315">
            <v>0</v>
          </cell>
          <cell r="AL315">
            <v>3</v>
          </cell>
          <cell r="AM315" t="str">
            <v>$7.400.000,00</v>
          </cell>
        </row>
        <row r="316">
          <cell r="A316" t="str">
            <v>315-2025</v>
          </cell>
          <cell r="B316" t="str">
            <v>PRESTACION DE SERVICIOS</v>
          </cell>
          <cell r="C316" t="str">
            <v>GERARDO ANDRES OROZCO RUIZ</v>
          </cell>
          <cell r="D316" t="str">
            <v>CC</v>
          </cell>
          <cell r="E316">
            <v>1010034489</v>
          </cell>
          <cell r="F316">
            <v>1</v>
          </cell>
          <cell r="G316" t="str">
            <v xml:space="preserve">CONTRATACION DIRECTA </v>
          </cell>
          <cell r="H316">
            <v>1</v>
          </cell>
          <cell r="I316" t="str">
            <v>EL CONTRATISTA SE COMPROMETE PARA CON LA EMPRESA SOCIAL DEL ESTADO PASTO SALUD ESE APRESTAR SUS SERVICIOS COMO TECNOLOGO EN PROMOCION DE LA SALUD PARA EL DESARROLLO DE LAS ACTIVIDADES CONTEMPLADAS EN EL COMPONENTE DE LESIONES AUTOINFLIGIDAS ESTRATEGIAS SALUD MENTAL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v>
          </cell>
          <cell r="J316">
            <v>1</v>
          </cell>
          <cell r="K316" t="str">
            <v>$14.400.000,00</v>
          </cell>
          <cell r="L316">
            <v>45776</v>
          </cell>
          <cell r="M316">
            <v>45955</v>
          </cell>
          <cell r="N316" t="str">
            <v xml:space="preserve">	OSCAR MIGUEL GOYES CABRERA</v>
          </cell>
          <cell r="O316">
            <v>87711882</v>
          </cell>
          <cell r="P316" t="str">
            <v>gerardoorozco604@gmail.com</v>
          </cell>
          <cell r="Q316">
            <v>45776</v>
          </cell>
          <cell r="R316" t="str">
            <v>RODRIGO ROSERO</v>
          </cell>
          <cell r="U316" t="str">
            <v>CELEBRADO</v>
          </cell>
          <cell r="W316" t="str">
            <v>2025-0200</v>
          </cell>
          <cell r="X316" t="str">
            <v>2025-0529</v>
          </cell>
          <cell r="AJ316">
            <v>2</v>
          </cell>
          <cell r="AK316">
            <v>0</v>
          </cell>
          <cell r="AL316">
            <v>2</v>
          </cell>
          <cell r="AM316" t="str">
            <v>$14.400.000,00</v>
          </cell>
        </row>
        <row r="317">
          <cell r="A317" t="str">
            <v>316-2025</v>
          </cell>
          <cell r="B317" t="str">
            <v>PRESTACION DE SERVICIOS</v>
          </cell>
          <cell r="C317" t="str">
            <v>ESTEFANY SOFIA MUNARES CEBALLOS</v>
          </cell>
          <cell r="D317" t="str">
            <v>CC</v>
          </cell>
          <cell r="E317">
            <v>1193271904</v>
          </cell>
          <cell r="F317">
            <v>7</v>
          </cell>
          <cell r="G317" t="str">
            <v xml:space="preserve">CONTRATACION DIRECTA </v>
          </cell>
          <cell r="H317">
            <v>1</v>
          </cell>
          <cell r="I317" t="str">
            <v>El contratista se compromete para con la Empresa Social del Estado PASTO SALUD ESE aprestar sus servicios como administrador en servicios de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17">
            <v>1</v>
          </cell>
          <cell r="K317" t="str">
            <v>$14.400.000,00</v>
          </cell>
          <cell r="L317">
            <v>45776</v>
          </cell>
          <cell r="M317">
            <v>45955</v>
          </cell>
          <cell r="N317" t="str">
            <v xml:space="preserve">	OSCAR MIGUEL GOYES CABRERA</v>
          </cell>
          <cell r="O317">
            <v>87711882</v>
          </cell>
          <cell r="P317" t="str">
            <v>Sofiamunares22@gmail.com</v>
          </cell>
          <cell r="Q317">
            <v>45776</v>
          </cell>
          <cell r="R317" t="str">
            <v>CRISTINA ROSERO</v>
          </cell>
          <cell r="U317" t="str">
            <v>CELEBRADO</v>
          </cell>
          <cell r="W317" t="str">
            <v>2025-0200</v>
          </cell>
          <cell r="X317" t="str">
            <v>2025-0530</v>
          </cell>
          <cell r="AJ317">
            <v>2</v>
          </cell>
          <cell r="AK317">
            <v>0</v>
          </cell>
          <cell r="AL317">
            <v>2</v>
          </cell>
          <cell r="AM317" t="str">
            <v>$14.400.000,00</v>
          </cell>
        </row>
        <row r="318">
          <cell r="A318" t="str">
            <v>317-2025</v>
          </cell>
          <cell r="B318" t="str">
            <v>PRESTACION DE SERVICIOS</v>
          </cell>
          <cell r="C318" t="str">
            <v>MARY YESENIA SOLARTE ROMO</v>
          </cell>
          <cell r="D318" t="str">
            <v>CC</v>
          </cell>
          <cell r="E318">
            <v>1085318412</v>
          </cell>
          <cell r="F318">
            <v>8</v>
          </cell>
          <cell r="G318" t="str">
            <v xml:space="preserve">CONTRATACION DIRECTA </v>
          </cell>
          <cell r="H318">
            <v>1</v>
          </cell>
          <cell r="I318" t="str">
            <v>El contratista se compromete para con la Empresa Social del Estado PASTO SALUD ESE a prestar sus servicios como comunicador social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318">
            <v>1</v>
          </cell>
          <cell r="K318" t="str">
            <v xml:space="preserve"> $20.400.000,00</v>
          </cell>
          <cell r="L318">
            <v>45776</v>
          </cell>
          <cell r="M318">
            <v>45955</v>
          </cell>
          <cell r="N318" t="str">
            <v xml:space="preserve">	OSCAR MIGUEL GOYES CABRERA</v>
          </cell>
          <cell r="O318">
            <v>87711882</v>
          </cell>
          <cell r="P318" t="str">
            <v>yeseniasolarte95@gmail.com</v>
          </cell>
          <cell r="Q318">
            <v>45776</v>
          </cell>
          <cell r="R318" t="str">
            <v>ELIANA BENAVIDES</v>
          </cell>
          <cell r="U318" t="str">
            <v>CELEBRADO</v>
          </cell>
          <cell r="W318" t="str">
            <v>2025-0200</v>
          </cell>
          <cell r="X318" t="str">
            <v>2025-0531</v>
          </cell>
          <cell r="AJ318">
            <v>2</v>
          </cell>
          <cell r="AK318">
            <v>0</v>
          </cell>
          <cell r="AL318">
            <v>2</v>
          </cell>
          <cell r="AM318" t="str">
            <v>$20.400.000,00</v>
          </cell>
        </row>
        <row r="319">
          <cell r="A319" t="str">
            <v>318-2025</v>
          </cell>
          <cell r="B319" t="str">
            <v>PRESTACION DE SERVICIOS</v>
          </cell>
          <cell r="C319" t="str">
            <v>ELBA PAOLA BARCENAS PORTILLO</v>
          </cell>
          <cell r="D319" t="str">
            <v>CC</v>
          </cell>
          <cell r="E319">
            <v>1085284434</v>
          </cell>
          <cell r="F319">
            <v>1</v>
          </cell>
          <cell r="G319" t="str">
            <v xml:space="preserve">CONTRATACION DIRECTA </v>
          </cell>
          <cell r="H319">
            <v>1</v>
          </cell>
          <cell r="I319" t="str">
            <v>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19">
            <v>1</v>
          </cell>
          <cell r="K319" t="str">
            <v>$14.400.000,00</v>
          </cell>
          <cell r="L319">
            <v>45776</v>
          </cell>
          <cell r="M319">
            <v>45955</v>
          </cell>
          <cell r="N319" t="str">
            <v xml:space="preserve">	OSCAR MIGUEL GOYES CABRERA</v>
          </cell>
          <cell r="O319">
            <v>87711882</v>
          </cell>
          <cell r="P319" t="str">
            <v>paolabp224@gmail.com</v>
          </cell>
          <cell r="Q319">
            <v>45776</v>
          </cell>
          <cell r="R319" t="str">
            <v>RODRIGO ROSERO</v>
          </cell>
          <cell r="U319" t="str">
            <v>CELEBRADO</v>
          </cell>
          <cell r="W319" t="str">
            <v>2025-0200</v>
          </cell>
          <cell r="X319" t="str">
            <v>2025-0532</v>
          </cell>
          <cell r="AJ319">
            <v>2</v>
          </cell>
          <cell r="AK319">
            <v>0</v>
          </cell>
          <cell r="AL319">
            <v>2</v>
          </cell>
          <cell r="AM319" t="str">
            <v>$14.400.000,00</v>
          </cell>
        </row>
        <row r="320">
          <cell r="A320" t="str">
            <v>319-2025</v>
          </cell>
          <cell r="B320" t="str">
            <v>PRESTACION DE SERVICIOS</v>
          </cell>
          <cell r="C320" t="str">
            <v>DENNY LICET HERNANDEZ OSEJO</v>
          </cell>
          <cell r="D320" t="str">
            <v>CC</v>
          </cell>
          <cell r="E320">
            <v>59651730</v>
          </cell>
          <cell r="F320">
            <v>6</v>
          </cell>
          <cell r="G320" t="str">
            <v xml:space="preserve">CONTRATACION DIRECTA </v>
          </cell>
          <cell r="H320">
            <v>1</v>
          </cell>
          <cell r="I320" t="str">
            <v>El contratista se compromete para con la Empresa Social del Estado PASTO SALUD ESE a prestar sus servicios como técnico y/o tecnólogo en SST para el desarrollo de las actividades contempladas en el componente de Débil Vigilancia Epidemiológica Formación Trabajador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20">
            <v>1</v>
          </cell>
          <cell r="K320" t="str">
            <v>$13.000.000,00</v>
          </cell>
          <cell r="L320">
            <v>45776</v>
          </cell>
          <cell r="M320">
            <v>45967</v>
          </cell>
          <cell r="N320" t="str">
            <v xml:space="preserve">	OSCAR MIGUEL GOYES CABRERA</v>
          </cell>
          <cell r="O320">
            <v>87711882</v>
          </cell>
          <cell r="P320" t="str">
            <v>Dennyosejo26@gmail.com</v>
          </cell>
          <cell r="Q320">
            <v>45776</v>
          </cell>
          <cell r="R320" t="str">
            <v>JUAN GOMEZ</v>
          </cell>
          <cell r="U320" t="str">
            <v>CELEBRADO</v>
          </cell>
          <cell r="W320" t="str">
            <v>2025-0200</v>
          </cell>
          <cell r="X320" t="str">
            <v>2025-0533</v>
          </cell>
          <cell r="AJ320">
            <v>2</v>
          </cell>
          <cell r="AK320">
            <v>0</v>
          </cell>
          <cell r="AL320">
            <v>2</v>
          </cell>
          <cell r="AM320" t="str">
            <v>$13.000.000,00</v>
          </cell>
        </row>
        <row r="321">
          <cell r="A321" t="str">
            <v>320-2025</v>
          </cell>
          <cell r="B321" t="str">
            <v>PRESTACION DE SERVICIOS</v>
          </cell>
          <cell r="C321" t="str">
            <v>JULIXA ALEJANDRA PEREZ MERA</v>
          </cell>
          <cell r="D321" t="str">
            <v>CC</v>
          </cell>
          <cell r="E321">
            <v>1004624750</v>
          </cell>
          <cell r="F321">
            <v>1</v>
          </cell>
          <cell r="G321" t="str">
            <v xml:space="preserve">CONTRATACION DIRECTA </v>
          </cell>
          <cell r="H321">
            <v>1</v>
          </cell>
          <cell r="I321" t="str">
            <v>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Alcaldía/de Pasto - Secretaría Municipal de Salud.</v>
          </cell>
          <cell r="J321">
            <v>1</v>
          </cell>
          <cell r="K321" t="str">
            <v>$14.400.000,00</v>
          </cell>
          <cell r="L321">
            <v>45776</v>
          </cell>
          <cell r="M321">
            <v>45955</v>
          </cell>
          <cell r="N321" t="str">
            <v xml:space="preserve">	OSCAR MIGUEL GOYES CABRERA</v>
          </cell>
          <cell r="O321">
            <v>87711882</v>
          </cell>
          <cell r="P321" t="str">
            <v>Julixaalejandraperez2002@gmail.com</v>
          </cell>
          <cell r="Q321">
            <v>45776</v>
          </cell>
          <cell r="R321" t="str">
            <v>JUAN GOMEZ</v>
          </cell>
          <cell r="U321" t="str">
            <v>CELEBRADO</v>
          </cell>
          <cell r="W321" t="str">
            <v>2025-0200</v>
          </cell>
          <cell r="X321" t="str">
            <v>2025-0534</v>
          </cell>
          <cell r="AJ321">
            <v>2</v>
          </cell>
          <cell r="AK321">
            <v>0</v>
          </cell>
          <cell r="AL321">
            <v>2</v>
          </cell>
          <cell r="AM321" t="str">
            <v>$14.400.000,00</v>
          </cell>
        </row>
        <row r="322">
          <cell r="A322" t="str">
            <v>321-2025</v>
          </cell>
          <cell r="B322" t="str">
            <v>PRESTACION DE SERVICIOS</v>
          </cell>
          <cell r="C322" t="str">
            <v>ALEX MARTIN BASTIDAS PATIÑO</v>
          </cell>
          <cell r="D322" t="str">
            <v>CC</v>
          </cell>
          <cell r="E322">
            <v>98393970</v>
          </cell>
          <cell r="F322">
            <v>1</v>
          </cell>
          <cell r="G322" t="str">
            <v xml:space="preserve">CONTRATACION DIRECTA </v>
          </cell>
          <cell r="H322">
            <v>1</v>
          </cell>
          <cell r="I322" t="str">
            <v>El contratista se compromete para con la Empresa Social del Estado PASTO SALUD ESE a prestar sus servicios como licenciado en artes para el desarrollo de las actividades contempladas en el componente de Mal Nutrición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22">
            <v>1</v>
          </cell>
          <cell r="K322" t="str">
            <v>$20.400.000,00</v>
          </cell>
          <cell r="L322">
            <v>45776</v>
          </cell>
          <cell r="M322">
            <v>45955</v>
          </cell>
          <cell r="N322" t="str">
            <v xml:space="preserve">	OSCAR MIGUEL GOYES CABRERA</v>
          </cell>
          <cell r="O322">
            <v>87711882</v>
          </cell>
          <cell r="P322" t="str">
            <v>zarandeartecolectivo@gmail.com</v>
          </cell>
          <cell r="Q322">
            <v>45776</v>
          </cell>
          <cell r="R322" t="str">
            <v>ELIANA BENAVIDES</v>
          </cell>
          <cell r="U322" t="str">
            <v>CELEBRADO</v>
          </cell>
          <cell r="W322" t="str">
            <v>2025-0200</v>
          </cell>
          <cell r="X322" t="str">
            <v>2025-0535</v>
          </cell>
          <cell r="AJ322">
            <v>2</v>
          </cell>
          <cell r="AK322">
            <v>0</v>
          </cell>
          <cell r="AL322">
            <v>2</v>
          </cell>
          <cell r="AM322" t="str">
            <v>$20.400.000,00</v>
          </cell>
        </row>
        <row r="323">
          <cell r="A323" t="str">
            <v>322-2025</v>
          </cell>
          <cell r="B323" t="str">
            <v>PRESTACION DE SERVICIOS</v>
          </cell>
          <cell r="C323" t="str">
            <v>ALEX FERNEY MAIGUAL BOTINA</v>
          </cell>
          <cell r="D323" t="str">
            <v>CC</v>
          </cell>
          <cell r="E323">
            <v>5207190</v>
          </cell>
          <cell r="F323">
            <v>1</v>
          </cell>
          <cell r="G323" t="str">
            <v xml:space="preserve">CONTRATACION DIRECTA </v>
          </cell>
          <cell r="H323">
            <v>1</v>
          </cell>
          <cell r="I323" t="str">
            <v>El contratista se compromete para con la Empresa Social del Estado PASTO SALUD ESE aprestar sus servicios como comunicador social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323">
            <v>1</v>
          </cell>
          <cell r="K323" t="str">
            <v>$20.400.000,00</v>
          </cell>
          <cell r="L323">
            <v>45776</v>
          </cell>
          <cell r="M323">
            <v>45955</v>
          </cell>
          <cell r="N323" t="str">
            <v xml:space="preserve">	OSCAR MIGUEL GOYES CABRERA</v>
          </cell>
          <cell r="O323">
            <v>87711882</v>
          </cell>
          <cell r="P323" t="str">
            <v>alexmai9@hotmail.com</v>
          </cell>
          <cell r="Q323">
            <v>45776</v>
          </cell>
          <cell r="R323" t="str">
            <v>RODRIGO ROSERO</v>
          </cell>
          <cell r="U323" t="str">
            <v>CELEBRADO</v>
          </cell>
          <cell r="W323" t="str">
            <v>2025-0200</v>
          </cell>
          <cell r="X323" t="str">
            <v>2025-0536</v>
          </cell>
          <cell r="AJ323">
            <v>2</v>
          </cell>
          <cell r="AK323">
            <v>0</v>
          </cell>
          <cell r="AL323">
            <v>2</v>
          </cell>
          <cell r="AM323" t="str">
            <v>$20.400.000,00</v>
          </cell>
        </row>
        <row r="324">
          <cell r="A324" t="str">
            <v>323-2025</v>
          </cell>
          <cell r="B324" t="str">
            <v>PRESTACION DE SERVICIOS</v>
          </cell>
          <cell r="C324" t="str">
            <v>ANGIE SOFIA ENRIQUEZ PEREZ</v>
          </cell>
          <cell r="D324" t="str">
            <v>CC</v>
          </cell>
          <cell r="E324">
            <v>1085341162</v>
          </cell>
          <cell r="F324">
            <v>8</v>
          </cell>
          <cell r="G324" t="str">
            <v xml:space="preserve">CONTRATACION DIRECTA </v>
          </cell>
          <cell r="H324">
            <v>1</v>
          </cell>
          <cell r="I324" t="str">
            <v>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24">
            <v>1</v>
          </cell>
          <cell r="K324" t="str">
            <v>$14.400.000,00</v>
          </cell>
          <cell r="L324">
            <v>45776</v>
          </cell>
          <cell r="M324">
            <v>45955</v>
          </cell>
          <cell r="N324" t="str">
            <v xml:space="preserve">	OSCAR MIGUEL GOYES CABRERA</v>
          </cell>
          <cell r="O324">
            <v>87711882</v>
          </cell>
          <cell r="P324" t="str">
            <v>SOFIAENRIQUEZ140@gmail.com</v>
          </cell>
          <cell r="Q324">
            <v>45776</v>
          </cell>
          <cell r="R324" t="str">
            <v>JUAN GOMEZ</v>
          </cell>
          <cell r="U324" t="str">
            <v>CELEBRADO</v>
          </cell>
          <cell r="W324" t="str">
            <v>2025-0200</v>
          </cell>
          <cell r="X324" t="str">
            <v>2025-0537</v>
          </cell>
          <cell r="AJ324">
            <v>2</v>
          </cell>
          <cell r="AK324">
            <v>0</v>
          </cell>
          <cell r="AL324">
            <v>2</v>
          </cell>
          <cell r="AM324" t="str">
            <v>$14.400.000,00</v>
          </cell>
        </row>
        <row r="325">
          <cell r="A325" t="str">
            <v>324-2025</v>
          </cell>
          <cell r="B325" t="str">
            <v>PRESTACION DE SERVICIOS</v>
          </cell>
          <cell r="C325" t="str">
            <v>MARITZA MERCEDES SARRALDE PEREIRA</v>
          </cell>
          <cell r="D325" t="str">
            <v>CC</v>
          </cell>
          <cell r="E325">
            <v>59312209</v>
          </cell>
          <cell r="F325">
            <v>6</v>
          </cell>
          <cell r="G325" t="str">
            <v xml:space="preserve">CONTRATACION DIRECTA </v>
          </cell>
          <cell r="H325">
            <v>1</v>
          </cell>
          <cell r="I325" t="str">
            <v>El contratista se compromete para con la Empresa Social del Estado PASTO SALUD ESE aprestar sus servicios como tecnólogo en promoción de la salud para el desarrollo de las actividades contempladas en el componente de Morbi Mortalidad Enfermedades Transmisibles -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25">
            <v>1</v>
          </cell>
          <cell r="K325" t="str">
            <v>$14.400.000,00</v>
          </cell>
          <cell r="L325">
            <v>45776</v>
          </cell>
          <cell r="M325">
            <v>45955</v>
          </cell>
          <cell r="N325" t="str">
            <v xml:space="preserve">	OSCAR MIGUEL GOYES CABRERA</v>
          </cell>
          <cell r="O325">
            <v>87711882</v>
          </cell>
          <cell r="P325" t="str">
            <v>maritzasarralde356@gmail.com</v>
          </cell>
          <cell r="Q325">
            <v>45776</v>
          </cell>
          <cell r="R325" t="str">
            <v>CRISTINA ROSERO</v>
          </cell>
          <cell r="U325" t="str">
            <v>CELEBRADO</v>
          </cell>
          <cell r="W325" t="str">
            <v>2025-0200</v>
          </cell>
          <cell r="X325" t="str">
            <v>2025-0538</v>
          </cell>
          <cell r="AJ325">
            <v>2</v>
          </cell>
          <cell r="AK325">
            <v>0</v>
          </cell>
          <cell r="AL325">
            <v>2</v>
          </cell>
          <cell r="AM325" t="str">
            <v>$14.400.000,00</v>
          </cell>
        </row>
        <row r="326">
          <cell r="A326" t="str">
            <v>325-2025</v>
          </cell>
          <cell r="B326" t="str">
            <v>PRESTACION DE SERVICIOS</v>
          </cell>
          <cell r="C326" t="str">
            <v>ARMANDO DAVID GUSTIN OBANDO</v>
          </cell>
          <cell r="D326" t="str">
            <v>CC</v>
          </cell>
          <cell r="E326">
            <v>1193522335</v>
          </cell>
          <cell r="F326">
            <v>4</v>
          </cell>
          <cell r="G326" t="str">
            <v xml:space="preserve">CONTRATACION DIRECTA </v>
          </cell>
          <cell r="H326">
            <v>1</v>
          </cell>
          <cell r="I326" t="str">
            <v>El contratista se compromete para con la Empresa Social del Estado PASTO SALUD ESE a prestar sus servicios como tecnólogo en promoción de la salud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26">
            <v>1</v>
          </cell>
          <cell r="K326" t="str">
            <v>$14.400.000,00</v>
          </cell>
          <cell r="L326">
            <v>45776</v>
          </cell>
          <cell r="M326">
            <v>45955</v>
          </cell>
          <cell r="N326" t="str">
            <v xml:space="preserve">	OSCAR MIGUEL GOYES CABRERA</v>
          </cell>
          <cell r="O326">
            <v>87711882</v>
          </cell>
          <cell r="P326" t="str">
            <v>armandogustin2001@gmail.com</v>
          </cell>
          <cell r="Q326">
            <v>45776</v>
          </cell>
          <cell r="R326" t="str">
            <v>ANDRES GUERRA</v>
          </cell>
          <cell r="U326" t="str">
            <v>CELEBRADO</v>
          </cell>
          <cell r="W326" t="str">
            <v>2025-0200</v>
          </cell>
          <cell r="X326" t="str">
            <v>2025-0540</v>
          </cell>
          <cell r="AJ326">
            <v>2</v>
          </cell>
          <cell r="AK326">
            <v>0</v>
          </cell>
          <cell r="AL326">
            <v>2</v>
          </cell>
          <cell r="AM326" t="str">
            <v>$14.400.000,00</v>
          </cell>
        </row>
        <row r="327">
          <cell r="A327" t="str">
            <v>326-2025</v>
          </cell>
          <cell r="B327" t="str">
            <v>SUMINISTROS</v>
          </cell>
          <cell r="C327" t="str">
            <v>HOSPITECNICA S.A.S</v>
          </cell>
          <cell r="D327" t="str">
            <v>NIT</v>
          </cell>
          <cell r="E327">
            <v>830131869</v>
          </cell>
          <cell r="F327">
            <v>6</v>
          </cell>
          <cell r="G327" t="str">
            <v xml:space="preserve">CONTRATACION DIRECTA </v>
          </cell>
          <cell r="H327">
            <v>2</v>
          </cell>
          <cell r="I327" t="str">
            <v>EL CONTRATISTA SE OBLIGA AL SUMINISTRO DEL MATERIAL MEDICO QUIRURGICO EN LAS CANTIDADES ESTABLECIDAS EN EL ANEXO 1, EL CUAL HACE PARTE INTEGRAL DEL CONTRATO, PARA LA ESE PASTO SALUD</v>
          </cell>
          <cell r="J327">
            <v>3</v>
          </cell>
          <cell r="K327" t="str">
            <v>$640.220,00</v>
          </cell>
          <cell r="L327">
            <v>45776</v>
          </cell>
          <cell r="M327">
            <v>45869</v>
          </cell>
          <cell r="N327" t="str">
            <v>NENA DEL CARMEN RAMIREZ RAMIREZ</v>
          </cell>
          <cell r="O327">
            <v>30732589</v>
          </cell>
          <cell r="P327" t="str">
            <v>gerencia@hospitecnica.com.co</v>
          </cell>
          <cell r="Q327">
            <v>45776</v>
          </cell>
          <cell r="R327" t="str">
            <v>ALEXANDER YELA</v>
          </cell>
          <cell r="U327" t="str">
            <v>CELEBRADO</v>
          </cell>
          <cell r="W327" t="str">
            <v>2025-0166</v>
          </cell>
          <cell r="X327" t="str">
            <v>2025-0541</v>
          </cell>
          <cell r="AJ327">
            <v>2</v>
          </cell>
          <cell r="AK327">
            <v>0</v>
          </cell>
          <cell r="AL327">
            <v>2</v>
          </cell>
          <cell r="AM327" t="str">
            <v>$640.220,00</v>
          </cell>
        </row>
        <row r="328">
          <cell r="A328" t="str">
            <v>327-2025</v>
          </cell>
          <cell r="B328" t="str">
            <v>PRESTACION DE SERVICIOS</v>
          </cell>
          <cell r="C328" t="str">
            <v>NATALIA CATALINA BENITEZ YEPEZ</v>
          </cell>
          <cell r="D328" t="str">
            <v>CC</v>
          </cell>
          <cell r="E328">
            <v>1018428049</v>
          </cell>
          <cell r="F328">
            <v>5</v>
          </cell>
          <cell r="G328" t="str">
            <v xml:space="preserve">CONTRATACION DIRECTA </v>
          </cell>
          <cell r="H328">
            <v>1</v>
          </cell>
          <cell r="I328" t="str">
            <v>El contratista se compromete para con la Empresa Social del Estado PASTO SALUD ESE a prestar sus servicios como comunicador social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28">
            <v>1</v>
          </cell>
          <cell r="K328" t="str">
            <v>$20.400.000,00</v>
          </cell>
          <cell r="L328">
            <v>45776</v>
          </cell>
          <cell r="M328">
            <v>45955</v>
          </cell>
          <cell r="N328" t="str">
            <v xml:space="preserve">	OSCAR MIGUEL GOYES CABRERA</v>
          </cell>
          <cell r="O328">
            <v>87711882</v>
          </cell>
          <cell r="P328" t="str">
            <v>nataliabenitezy@gmail.com</v>
          </cell>
          <cell r="Q328">
            <v>45776</v>
          </cell>
          <cell r="R328" t="str">
            <v>ANDRES GUERRA</v>
          </cell>
          <cell r="U328" t="str">
            <v>CELEBRADO</v>
          </cell>
          <cell r="W328" t="str">
            <v>2025-0200</v>
          </cell>
          <cell r="X328" t="str">
            <v>2025-0542</v>
          </cell>
          <cell r="AJ328">
            <v>2</v>
          </cell>
          <cell r="AK328">
            <v>0</v>
          </cell>
          <cell r="AL328">
            <v>2</v>
          </cell>
          <cell r="AM328" t="str">
            <v>$20.400.000,00</v>
          </cell>
        </row>
        <row r="329">
          <cell r="A329" t="str">
            <v>328-2025</v>
          </cell>
          <cell r="B329" t="str">
            <v>PRESTACION DE SERVICIOS</v>
          </cell>
          <cell r="C329" t="str">
            <v>MAYRA ALEJANDRA CABRERA QUINTANA</v>
          </cell>
          <cell r="D329" t="str">
            <v>CC</v>
          </cell>
          <cell r="E329">
            <v>1085336581</v>
          </cell>
          <cell r="F329">
            <v>0</v>
          </cell>
          <cell r="G329" t="str">
            <v xml:space="preserve">CONTRATACION DIRECTA </v>
          </cell>
          <cell r="H329">
            <v>1</v>
          </cell>
          <cell r="I329" t="str">
            <v>El contratista se compromete para con la Empresa Social del Estado PASTO SALUD ESE aprestar sus servicios como tecnólogo en promoción de la salud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29">
            <v>1</v>
          </cell>
          <cell r="K329" t="str">
            <v>$14.400.000,00</v>
          </cell>
          <cell r="L329">
            <v>45776</v>
          </cell>
          <cell r="M329">
            <v>45955</v>
          </cell>
          <cell r="N329" t="str">
            <v xml:space="preserve">	OSCAR MIGUEL GOYES CABRERA</v>
          </cell>
          <cell r="O329">
            <v>87711882</v>
          </cell>
          <cell r="P329" t="str">
            <v xml:space="preserve">alejandracabreraq118@gmail.com </v>
          </cell>
          <cell r="Q329">
            <v>45776</v>
          </cell>
          <cell r="R329" t="str">
            <v>CRISTINA ROSERO</v>
          </cell>
          <cell r="U329" t="str">
            <v>CELEBRADO</v>
          </cell>
          <cell r="W329" t="str">
            <v>2025-0200</v>
          </cell>
          <cell r="X329" t="str">
            <v>2025-0543</v>
          </cell>
          <cell r="AJ329">
            <v>2</v>
          </cell>
          <cell r="AK329">
            <v>0</v>
          </cell>
          <cell r="AL329">
            <v>2</v>
          </cell>
          <cell r="AM329" t="str">
            <v>$14.400.000,00</v>
          </cell>
        </row>
        <row r="330">
          <cell r="A330" t="str">
            <v>329-2025</v>
          </cell>
          <cell r="B330" t="str">
            <v>PRESTACION DE SERVICIOS</v>
          </cell>
          <cell r="C330" t="str">
            <v>DARMELY MILENA TOBAR MORA</v>
          </cell>
          <cell r="D330" t="str">
            <v>CC</v>
          </cell>
          <cell r="E330">
            <v>27308991</v>
          </cell>
          <cell r="F330">
            <v>6</v>
          </cell>
          <cell r="G330" t="str">
            <v xml:space="preserve">CONTRATACION DIRECTA </v>
          </cell>
          <cell r="H330">
            <v>1</v>
          </cell>
          <cell r="I330" t="str">
            <v>PRESTACION DEL SERVICIO DE ANALISIS FISICO QUIMICO DE LAS AGUAS RESIDUALES VERTIDAS EN LA CAJILLA FINAL DE RECOLECCION DE CADA SEDE Y ENTRADA Y SALIDA DE LAS PTARS DE LAS SEDES PERTENECIENTES A LA EMPRESA SOCIAL DEL ESTADO PASTO SALUD ESE</v>
          </cell>
          <cell r="J330">
            <v>1</v>
          </cell>
          <cell r="K330" t="str">
            <v>$55.314.600,00</v>
          </cell>
          <cell r="L330">
            <v>45777</v>
          </cell>
          <cell r="M330">
            <v>45808</v>
          </cell>
          <cell r="N330" t="str">
            <v>GIOVANNY FELIPE FREYRE ROMO</v>
          </cell>
          <cell r="O330">
            <v>1085294867</v>
          </cell>
          <cell r="P330" t="str">
            <v>tobarmoradarmelymilena@gmail.com</v>
          </cell>
          <cell r="Q330">
            <v>45777</v>
          </cell>
          <cell r="R330" t="str">
            <v>CRISTINA ROSERO</v>
          </cell>
          <cell r="U330" t="str">
            <v>CELEBRADO</v>
          </cell>
          <cell r="W330" t="str">
            <v>2025-0217</v>
          </cell>
          <cell r="X330" t="str">
            <v>2025-0558</v>
          </cell>
          <cell r="AJ330">
            <v>2</v>
          </cell>
          <cell r="AK330">
            <v>0</v>
          </cell>
          <cell r="AL330">
            <v>3</v>
          </cell>
          <cell r="AM330" t="str">
            <v>$55.314.600,00</v>
          </cell>
        </row>
        <row r="331">
          <cell r="A331" t="str">
            <v>330-2025</v>
          </cell>
          <cell r="B331" t="str">
            <v>PRESTACION DE SERVICIOS</v>
          </cell>
          <cell r="C331" t="str">
            <v>DARMELY MILENA TOBAR MORA</v>
          </cell>
          <cell r="D331" t="str">
            <v>CC</v>
          </cell>
          <cell r="E331">
            <v>27308991</v>
          </cell>
          <cell r="F331">
            <v>6</v>
          </cell>
          <cell r="G331" t="str">
            <v xml:space="preserve">CONTRATACION DIRECTA </v>
          </cell>
          <cell r="H331">
            <v>1</v>
          </cell>
          <cell r="I331" t="str">
            <v>PRESTACION DE SERVICIOS TECNICOS ESPECIALIZADOS PARA LA LIMPIEZA DE TUBERIAS SANITARIAS Y LA APLICACION DE BIOENZIMAS CATALIZADORAS EN LOS SISTEMAS DE TRATAMIENTO DE AGUAS RESIDUALES NO DOMESTICAS DE LAS SEDES CENTRO DE SALUD DE SAN VICENTE Y HOSPITAL LA ROSA, CON EL FIN DE GARANTIZAR EL MANTENIMIENTO CORRECTIVO Y PREVENTIVO DE LA INFRAESTRUCTURA SANITARIA, LA ELIMINACION DE RESIDUOS ADHERIDOS Y OLORES, Y EL CUMPLIMIENTO DE LAS CONDICIONES HIGIENICOSANITARIAS EXIGIDAS POR LA NORMATIVIDAD VIGENTE EN EL MARCO DEL SISTEMA GENERAL DE SEGURIDAD SOCIAL EN SALUD.</v>
          </cell>
          <cell r="J331">
            <v>1</v>
          </cell>
          <cell r="K331" t="str">
            <v>$8.902.397,00</v>
          </cell>
          <cell r="L331">
            <v>45777</v>
          </cell>
          <cell r="M331">
            <v>45808</v>
          </cell>
          <cell r="N331" t="str">
            <v>GIOVANNY FELIPE FREYRE ROMO</v>
          </cell>
          <cell r="O331">
            <v>1085294867</v>
          </cell>
          <cell r="P331" t="str">
            <v>milena tobar m@yahoo.es.</v>
          </cell>
          <cell r="Q331">
            <v>45777</v>
          </cell>
          <cell r="R331" t="str">
            <v>ELIANA BENAVIDES</v>
          </cell>
          <cell r="U331" t="str">
            <v>CELEBRADO</v>
          </cell>
          <cell r="W331" t="str">
            <v>2025-0172</v>
          </cell>
          <cell r="X331" t="str">
            <v>2025-0559</v>
          </cell>
          <cell r="AJ331">
            <v>2</v>
          </cell>
          <cell r="AK331">
            <v>0</v>
          </cell>
          <cell r="AL331">
            <v>3</v>
          </cell>
          <cell r="AM331" t="str">
            <v>$8.902.397,00</v>
          </cell>
        </row>
        <row r="332">
          <cell r="A332" t="str">
            <v>331-2025</v>
          </cell>
          <cell r="B332" t="str">
            <v>PRESTACION DE SERVICIOS</v>
          </cell>
          <cell r="C332" t="str">
            <v>MARIA FERNANDA ORTEGA SARRIA</v>
          </cell>
          <cell r="D332" t="str">
            <v>CC</v>
          </cell>
          <cell r="E332">
            <v>1085245666</v>
          </cell>
          <cell r="F332">
            <v>7</v>
          </cell>
          <cell r="G332" t="str">
            <v xml:space="preserve">CONTRATACION DIRECTA </v>
          </cell>
          <cell r="H332">
            <v>1</v>
          </cell>
          <cell r="I332" t="str">
            <v>El contratista se compromete para con la Empresa Social del Estado PASTO SALUD ESE a prestar sus servicios como trabajador social para el desarrollo de las actividades contempladas en el componente de Débil Garantia Derecho a la Salud Participación Social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332">
            <v>1</v>
          </cell>
          <cell r="K332" t="str">
            <v>$20.400.000,00</v>
          </cell>
          <cell r="L332">
            <v>45777</v>
          </cell>
          <cell r="M332">
            <v>45955</v>
          </cell>
          <cell r="N332" t="str">
            <v>OSCAR MIGUEL GOYES CABRERA</v>
          </cell>
          <cell r="O332">
            <v>87711882</v>
          </cell>
          <cell r="P332" t="str">
            <v>mafesitaortga1@hotmail.com</v>
          </cell>
          <cell r="Q332">
            <v>45777</v>
          </cell>
          <cell r="R332" t="str">
            <v>ELIANA BENAVIDES</v>
          </cell>
          <cell r="U332" t="str">
            <v>CELEBRADO</v>
          </cell>
          <cell r="W332" t="str">
            <v>2025-0200</v>
          </cell>
          <cell r="X332" t="str">
            <v>2025-0565</v>
          </cell>
          <cell r="AJ332">
            <v>2</v>
          </cell>
          <cell r="AK332">
            <v>0</v>
          </cell>
          <cell r="AL332">
            <v>2</v>
          </cell>
          <cell r="AM332" t="str">
            <v>$20.400.000,00</v>
          </cell>
        </row>
        <row r="333">
          <cell r="A333" t="str">
            <v>332-2025</v>
          </cell>
          <cell r="B333" t="str">
            <v>OBRA</v>
          </cell>
          <cell r="C333" t="str">
            <v>LABORATORIO BIOMETRICAL SAS</v>
          </cell>
          <cell r="D333" t="str">
            <v>NIT</v>
          </cell>
          <cell r="E333">
            <v>900709554</v>
          </cell>
          <cell r="F333">
            <v>8</v>
          </cell>
          <cell r="G333" t="str">
            <v xml:space="preserve">CONTRATACION DIRECTA </v>
          </cell>
          <cell r="H333">
            <v>2</v>
          </cell>
          <cell r="I333" t="str">
            <v>La Empresa Social del Estado Pasto Salud ESE requiere contratar el *MANTENIMIENTO PREVENTIVO, CORRECTIVO Y FORTUITOS DE LA INFRAESTRUCTURA HOSPITALARIA DE LA RED DE PRESTACIÓN DE SERVICIOS Y SEDE ADMINISTRATIVA DE LA EMPRESA SOCIAL DEL ESTADO PASTO SALUD E.S.E.</v>
          </cell>
          <cell r="J333">
            <v>5</v>
          </cell>
          <cell r="K333" t="str">
            <v>$1.191.496.466,32</v>
          </cell>
          <cell r="L333">
            <v>45777</v>
          </cell>
          <cell r="M333">
            <v>46022</v>
          </cell>
          <cell r="N333" t="str">
            <v>SEBASTIAN GRANJA ORDOÑEZ</v>
          </cell>
          <cell r="O333">
            <v>1085316703</v>
          </cell>
          <cell r="P333" t="str">
            <v>biometrical.pasto@gmail.com</v>
          </cell>
          <cell r="Q333">
            <v>45777</v>
          </cell>
          <cell r="R333" t="str">
            <v>RODRIGO ROSERO</v>
          </cell>
          <cell r="U333" t="str">
            <v>CELEBRADO</v>
          </cell>
          <cell r="AJ333">
            <v>2</v>
          </cell>
          <cell r="AK333">
            <v>0</v>
          </cell>
          <cell r="AL333">
            <v>2</v>
          </cell>
          <cell r="AM333" t="str">
            <v>$1.191.496.466,32</v>
          </cell>
        </row>
        <row r="334">
          <cell r="A334" t="str">
            <v>333-2025</v>
          </cell>
          <cell r="B334" t="str">
            <v>PRESTACION DE SERVICIOS</v>
          </cell>
          <cell r="C334" t="str">
            <v>SONIA JOHANA ESTRELLA ESTRELLA</v>
          </cell>
          <cell r="D334" t="str">
            <v>CC</v>
          </cell>
          <cell r="E334">
            <v>1086921875</v>
          </cell>
          <cell r="F334">
            <v>3</v>
          </cell>
          <cell r="G334" t="str">
            <v xml:space="preserve">CONTRATACION DIRECTA </v>
          </cell>
          <cell r="H334">
            <v>1</v>
          </cell>
          <cell r="I334" t="str">
            <v>EL CONTRATISTA SE COMPROMETE PARA CON LA EMPRESA SOCIAL DEL ESTADO PASTO SALUD ESE A PRESTAR SUS SERVICIOS COMO PROFESIONAL DE CIENCIAS AMBIENTALES PARA EL DESARROLLO DE LAS ACTIVIDADES CONTEMPLADAS EN EL COMPONENTE DE DEFICIENTE RESOLUTIVIDAD GDPE Y PROCESOS TRANSVERSALES, DE ACUERDO CON LOS CONTENIDOS DE LA POLITICA PUBLICA DE SALUD COLECTIVA LA SALUD EN TODOS LOS DERECHOS, FORTALECIENDO LOS ENTORNOS EDUCATIVO, COMUNITARIO, LABORAL E INSTITUCIONAL SEGUN SEA NECESARIO Y GARANTIZANDO LA INCORPORACION DE LA ESTRATEGIA CIUDAD BIENESTAR EN SUS LINEAMIENTOS OPERATIVOS, OBJETIVOS, PREMISAS, PERSPECTIVAS Y ENFOQUES. LO ANTERIOR EN EL MARCO DEL ANEXO TECNICO DEL PLAN DE SALUD PUBLICA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34">
            <v>1</v>
          </cell>
          <cell r="K334" t="str">
            <v>$20.400.000,00</v>
          </cell>
          <cell r="L334">
            <v>45777</v>
          </cell>
          <cell r="M334">
            <v>45955</v>
          </cell>
          <cell r="N334" t="str">
            <v>OSCAR MIGUEL GOYES CABRERA</v>
          </cell>
          <cell r="O334">
            <v>87711882</v>
          </cell>
          <cell r="P334" t="str">
            <v>johastrellita@hotmail.com</v>
          </cell>
          <cell r="Q334">
            <v>45777</v>
          </cell>
          <cell r="R334" t="str">
            <v>JUAN GOMEZ</v>
          </cell>
          <cell r="U334" t="str">
            <v>CELEBRADO</v>
          </cell>
          <cell r="W334" t="str">
            <v>2025-0200</v>
          </cell>
          <cell r="X334" t="str">
            <v>2025-0567</v>
          </cell>
          <cell r="AJ334">
            <v>2</v>
          </cell>
          <cell r="AK334">
            <v>0</v>
          </cell>
          <cell r="AL334">
            <v>2</v>
          </cell>
          <cell r="AM334" t="str">
            <v>$20.400.000,00</v>
          </cell>
        </row>
        <row r="335">
          <cell r="A335" t="str">
            <v>334-2025</v>
          </cell>
          <cell r="B335" t="str">
            <v>PRESTACION DE SERVICIOS</v>
          </cell>
          <cell r="C335" t="str">
            <v>JOSE DAVID USAMA TATICUAN</v>
          </cell>
          <cell r="D335" t="str">
            <v>CC</v>
          </cell>
          <cell r="E335">
            <v>1085275452</v>
          </cell>
          <cell r="F335">
            <v>6</v>
          </cell>
          <cell r="G335" t="str">
            <v xml:space="preserve">CONTRATACION DIRECTA </v>
          </cell>
          <cell r="H335">
            <v>1</v>
          </cell>
          <cell r="I335" t="str">
            <v>ΕΙ contratista se compromete para con la Empresa Social del Estado PASTO SALUD ESE a prestar sus servicios como sociólogo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35">
            <v>1</v>
          </cell>
          <cell r="K335" t="str">
            <v>$20.400.000,00</v>
          </cell>
          <cell r="L335">
            <v>45777</v>
          </cell>
          <cell r="M335">
            <v>45961</v>
          </cell>
          <cell r="N335" t="str">
            <v>OSCAR MIGUEL GOYES CABRERA</v>
          </cell>
          <cell r="O335">
            <v>87711882</v>
          </cell>
          <cell r="P335" t="str">
            <v>Josejosama1@gmail.com</v>
          </cell>
          <cell r="Q335">
            <v>45777</v>
          </cell>
          <cell r="R335" t="str">
            <v>ANDRES GUERRA</v>
          </cell>
          <cell r="U335" t="str">
            <v>CELEBRADO</v>
          </cell>
          <cell r="W335" t="str">
            <v>2025-0200</v>
          </cell>
          <cell r="X335" t="str">
            <v>2025-0568</v>
          </cell>
          <cell r="AJ335">
            <v>2</v>
          </cell>
          <cell r="AK335">
            <v>0</v>
          </cell>
          <cell r="AL335">
            <v>2</v>
          </cell>
          <cell r="AM335" t="str">
            <v>$20.400.000,00</v>
          </cell>
        </row>
        <row r="336">
          <cell r="A336" t="str">
            <v>335-2025</v>
          </cell>
          <cell r="B336" t="str">
            <v>PRESTACION DE SERVICIOS</v>
          </cell>
          <cell r="C336" t="str">
            <v>INSTITUTO RADIOLOGICO DEL SUR SAS</v>
          </cell>
          <cell r="D336" t="str">
            <v>NIT</v>
          </cell>
          <cell r="E336">
            <v>814004822</v>
          </cell>
          <cell r="F336">
            <v>9</v>
          </cell>
          <cell r="G336" t="str">
            <v xml:space="preserve">CONTRATACION DIRECTA </v>
          </cell>
          <cell r="H336">
            <v>2</v>
          </cell>
          <cell r="I336" t="str">
            <v>PRESTAR SERVICIOS POR EXTERNALIZACION DE TOMA Y LECTURA DE ECOGRAFIAS</v>
          </cell>
          <cell r="J336">
            <v>1</v>
          </cell>
          <cell r="K336" t="str">
            <v xml:space="preserve"> $300.000.000,00</v>
          </cell>
          <cell r="L336">
            <v>45777</v>
          </cell>
          <cell r="M336">
            <v>46022</v>
          </cell>
          <cell r="N336" t="str">
            <v>RIGOBERTO MELO ZAMBRANO</v>
          </cell>
          <cell r="O336">
            <v>98333941</v>
          </cell>
          <cell r="P336" t="str">
            <v>irs.pasto.contabilidad@gmail.com</v>
          </cell>
          <cell r="Q336">
            <v>45777</v>
          </cell>
          <cell r="R336" t="str">
            <v>JUAN GOMEZ</v>
          </cell>
          <cell r="U336" t="str">
            <v>CELEBRADO</v>
          </cell>
          <cell r="W336" t="str">
            <v>2025-0214</v>
          </cell>
          <cell r="X336" t="str">
            <v>2025-0569</v>
          </cell>
          <cell r="AB336" t="str">
            <v>ADICION Y PRORROGA</v>
          </cell>
          <cell r="AJ336">
            <v>1</v>
          </cell>
          <cell r="AK336">
            <v>3</v>
          </cell>
          <cell r="AL336">
            <v>2</v>
          </cell>
          <cell r="AM336" t="str">
            <v>$450.000.000,00</v>
          </cell>
        </row>
        <row r="337">
          <cell r="A337" t="str">
            <v>336-2025</v>
          </cell>
          <cell r="B337" t="str">
            <v>PRESTACION DE SERVICIOS</v>
          </cell>
          <cell r="C337" t="str">
            <v>INSTITUTO RADIOLOGICO DEL SUR SAS</v>
          </cell>
          <cell r="D337" t="str">
            <v>NIT</v>
          </cell>
          <cell r="E337">
            <v>814004822</v>
          </cell>
          <cell r="F337">
            <v>9</v>
          </cell>
          <cell r="G337" t="str">
            <v xml:space="preserve">CONTRATACION DIRECTA </v>
          </cell>
          <cell r="H337">
            <v>2</v>
          </cell>
          <cell r="I337" t="str">
            <v>PRESTACIÓN DEL SERVICIO DE TOMA Y LECTURA DE RADIOGRAFÍAS DE BAJA Y MEDIANA COMPLEJIDAD</v>
          </cell>
          <cell r="J337">
            <v>1</v>
          </cell>
          <cell r="K337" t="str">
            <v>$450.000.000,00</v>
          </cell>
          <cell r="L337">
            <v>45777</v>
          </cell>
          <cell r="M337">
            <v>46022</v>
          </cell>
          <cell r="N337" t="str">
            <v>RIGOBERTO MELO ZAMBRANO</v>
          </cell>
          <cell r="O337">
            <v>98333941</v>
          </cell>
          <cell r="P337" t="str">
            <v>irs.pasto.contabilidad@gmail.com</v>
          </cell>
          <cell r="Q337">
            <v>45777</v>
          </cell>
          <cell r="R337" t="str">
            <v>ALEXANDER YELA</v>
          </cell>
          <cell r="U337" t="str">
            <v>CELEBRADO</v>
          </cell>
          <cell r="AB337" t="str">
            <v>ADICION Y PRORROGA</v>
          </cell>
          <cell r="AJ337">
            <v>1</v>
          </cell>
          <cell r="AK337">
            <v>3</v>
          </cell>
          <cell r="AL337">
            <v>2</v>
          </cell>
          <cell r="AM337" t="str">
            <v>$450.000.000,00</v>
          </cell>
        </row>
        <row r="338">
          <cell r="A338" t="str">
            <v>337-2025</v>
          </cell>
          <cell r="B338" t="str">
            <v>PRESTACION DE SERVICIOS</v>
          </cell>
          <cell r="C338" t="str">
            <v>DANEIRA MARIBEL NARVAEZ MELO</v>
          </cell>
          <cell r="D338" t="str">
            <v>CC</v>
          </cell>
          <cell r="E338">
            <v>1086135386</v>
          </cell>
          <cell r="F338">
            <v>1</v>
          </cell>
          <cell r="G338" t="str">
            <v xml:space="preserve">CONTRATACION DIRECTA </v>
          </cell>
          <cell r="H338">
            <v>1</v>
          </cell>
          <cell r="I338" t="str">
            <v>El contratista se compromete para con la Empresa Social del Estado PASTO SALUD ESE a 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38">
            <v>1</v>
          </cell>
          <cell r="K338" t="str">
            <v>$ 14.400.000</v>
          </cell>
          <cell r="L338">
            <v>45779</v>
          </cell>
          <cell r="M338">
            <v>45955</v>
          </cell>
          <cell r="N338" t="str">
            <v>OSCAR MIGUEL GOYES CABRERA</v>
          </cell>
          <cell r="O338">
            <v>87711882</v>
          </cell>
          <cell r="P338" t="str">
            <v>daneiranarvaez@gmail.com</v>
          </cell>
          <cell r="Q338">
            <v>45779</v>
          </cell>
          <cell r="R338" t="str">
            <v>ANDRES GUERRA</v>
          </cell>
          <cell r="U338" t="str">
            <v>CELEBRADO</v>
          </cell>
          <cell r="W338" t="str">
            <v>2025-0200</v>
          </cell>
          <cell r="X338" t="str">
            <v>2025-0571</v>
          </cell>
          <cell r="AJ338">
            <v>2</v>
          </cell>
          <cell r="AK338">
            <v>0</v>
          </cell>
          <cell r="AL338">
            <v>2</v>
          </cell>
          <cell r="AM338" t="str">
            <v>$14.400.000,00</v>
          </cell>
        </row>
        <row r="339">
          <cell r="A339" t="str">
            <v>338-2025</v>
          </cell>
          <cell r="B339" t="str">
            <v>PRESTACION DE SERVICIOS</v>
          </cell>
          <cell r="C339" t="str">
            <v>YOLI ELIZABETH GALVIS BARRERA</v>
          </cell>
          <cell r="D339" t="str">
            <v>CC</v>
          </cell>
          <cell r="E339">
            <v>1085303056</v>
          </cell>
          <cell r="F339">
            <v>3</v>
          </cell>
          <cell r="G339" t="str">
            <v xml:space="preserve">CONTRATACION DIRECTA </v>
          </cell>
          <cell r="H339">
            <v>1</v>
          </cell>
          <cell r="I339" t="str">
            <v>El contratista se compromete para con la Empresa Social del Estado PASTO SALUD ESE aprestar sus servicios como tecnólogo en promoción de la salud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339">
            <v>1</v>
          </cell>
          <cell r="K339" t="str">
            <v>$ 14.400.000</v>
          </cell>
          <cell r="L339">
            <v>45779</v>
          </cell>
          <cell r="M339">
            <v>45955</v>
          </cell>
          <cell r="N339" t="str">
            <v>OSCAR MIGUEL GOYES CABRERA</v>
          </cell>
          <cell r="O339">
            <v>87711882</v>
          </cell>
          <cell r="P339" t="str">
            <v>yoligalvisgalvis42@gmail.com</v>
          </cell>
          <cell r="Q339">
            <v>45779</v>
          </cell>
          <cell r="R339" t="str">
            <v>RODRIGO ROSERO</v>
          </cell>
          <cell r="U339" t="str">
            <v>CELEBRADO</v>
          </cell>
          <cell r="W339" t="str">
            <v>2025-0200</v>
          </cell>
          <cell r="X339" t="str">
            <v>2025-0572</v>
          </cell>
          <cell r="AJ339">
            <v>2</v>
          </cell>
          <cell r="AK339">
            <v>0</v>
          </cell>
          <cell r="AL339">
            <v>2</v>
          </cell>
          <cell r="AM339" t="str">
            <v>$14.400.000,00</v>
          </cell>
        </row>
        <row r="340">
          <cell r="A340" t="str">
            <v>339-2025</v>
          </cell>
          <cell r="B340" t="str">
            <v>PRESTACION DE SERVICIOS</v>
          </cell>
          <cell r="C340" t="str">
            <v>CAROL VIVIANA RODRIGUEZ CARDENAS</v>
          </cell>
          <cell r="D340" t="str">
            <v>CC</v>
          </cell>
          <cell r="E340">
            <v>59314601</v>
          </cell>
          <cell r="F340">
            <v>1</v>
          </cell>
          <cell r="G340" t="str">
            <v xml:space="preserve">CONTRATACION DIRECTA </v>
          </cell>
          <cell r="H340">
            <v>1</v>
          </cell>
          <cell r="I340" t="str">
            <v>ΕΙ contratista se compromete para con la Empresa Social del Estado PASTO SALUD ESE a prestar sus servicios como auxiliar de enfermería para el desarrollo de las actividades contempladas en el componente de Morbi Mortalidad Enfermedades Transmisibles Infancia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40">
            <v>1</v>
          </cell>
          <cell r="K340" t="str">
            <v>$12.000.000</v>
          </cell>
          <cell r="L340">
            <v>45779</v>
          </cell>
          <cell r="M340">
            <v>45955</v>
          </cell>
          <cell r="N340" t="str">
            <v>OSCAR MIGUEL GOYES CABRERA</v>
          </cell>
          <cell r="O340">
            <v>87711882</v>
          </cell>
          <cell r="P340" t="str">
            <v>cvrodri1484@gmail.com</v>
          </cell>
          <cell r="Q340">
            <v>45779</v>
          </cell>
          <cell r="R340" t="str">
            <v>ANDRES GUERRA</v>
          </cell>
          <cell r="U340" t="str">
            <v>CELEBRADO</v>
          </cell>
          <cell r="W340" t="str">
            <v>2025-0200</v>
          </cell>
          <cell r="X340" t="str">
            <v>2025-0573</v>
          </cell>
          <cell r="AJ340">
            <v>2</v>
          </cell>
          <cell r="AK340">
            <v>0</v>
          </cell>
          <cell r="AL340">
            <v>2</v>
          </cell>
          <cell r="AM340" t="str">
            <v>$12.000.000</v>
          </cell>
        </row>
        <row r="341">
          <cell r="A341" t="str">
            <v>340-2025</v>
          </cell>
          <cell r="B341" t="str">
            <v>PRESTACION DE SERVICIOS</v>
          </cell>
          <cell r="C341" t="str">
            <v>ALEXANDRA MILENA GUERRA ROSERO</v>
          </cell>
          <cell r="D341" t="str">
            <v>CC</v>
          </cell>
          <cell r="E341">
            <v>1085318152</v>
          </cell>
          <cell r="F341">
            <v>8</v>
          </cell>
          <cell r="G341" t="str">
            <v xml:space="preserve">CONTRATACION DIRECTA </v>
          </cell>
          <cell r="H341">
            <v>1</v>
          </cell>
          <cell r="I341" t="str">
            <v>El contratista se compromete para con la Empresa Social del Estado PASTO SALUD ESE a 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41">
            <v>1</v>
          </cell>
          <cell r="K341" t="str">
            <v>$14.400.000,00</v>
          </cell>
          <cell r="L341">
            <v>45779</v>
          </cell>
          <cell r="M341">
            <v>45955</v>
          </cell>
          <cell r="N341" t="str">
            <v>OSCAR MIGUEL GOYES CABRERA</v>
          </cell>
          <cell r="O341">
            <v>87711882</v>
          </cell>
          <cell r="P341" t="str">
            <v>milena agr24@hotmail.com</v>
          </cell>
          <cell r="Q341">
            <v>45779</v>
          </cell>
          <cell r="R341" t="str">
            <v>ELIANA BENAVIDES</v>
          </cell>
          <cell r="U341" t="str">
            <v>CELEBRADO</v>
          </cell>
          <cell r="W341" t="str">
            <v>2025-0200</v>
          </cell>
          <cell r="X341" t="str">
            <v>2025-0574</v>
          </cell>
          <cell r="AJ341">
            <v>2</v>
          </cell>
          <cell r="AK341">
            <v>0</v>
          </cell>
          <cell r="AL341">
            <v>2</v>
          </cell>
          <cell r="AM341" t="str">
            <v>$14.400.000,00</v>
          </cell>
        </row>
        <row r="342">
          <cell r="A342" t="str">
            <v>341-2025</v>
          </cell>
          <cell r="B342" t="str">
            <v>PRESTACION DE SERVICIOS</v>
          </cell>
          <cell r="C342" t="str">
            <v>DAVID ALEXANDER REVELO YAQUENO</v>
          </cell>
          <cell r="D342" t="str">
            <v>CC</v>
          </cell>
          <cell r="E342">
            <v>1085264502</v>
          </cell>
          <cell r="F342">
            <v>9</v>
          </cell>
          <cell r="G342" t="str">
            <v xml:space="preserve">CONTRATACION DIRECTA </v>
          </cell>
          <cell r="H342">
            <v>1</v>
          </cell>
          <cell r="I342" t="str">
            <v>El contratista se compromete para con la Empresa Social del Estado PASTO SALUD ESE a prestar sus servicios como tecnólogo en promoción de la salud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342">
            <v>1</v>
          </cell>
          <cell r="K342" t="str">
            <v>$14.400.000,00</v>
          </cell>
          <cell r="L342">
            <v>45779</v>
          </cell>
          <cell r="M342">
            <v>45955</v>
          </cell>
          <cell r="N342" t="str">
            <v>OSCAR MIGUEL GOYES CABRERA</v>
          </cell>
          <cell r="O342">
            <v>87711882</v>
          </cell>
          <cell r="P342" t="str">
            <v>davidumbrella@hotmail.com</v>
          </cell>
          <cell r="Q342">
            <v>45779</v>
          </cell>
          <cell r="R342" t="str">
            <v>RODRIGO ROSERO</v>
          </cell>
          <cell r="U342" t="str">
            <v>CELEBRADO</v>
          </cell>
          <cell r="W342" t="str">
            <v>2025-0200</v>
          </cell>
          <cell r="X342" t="str">
            <v>2025-0575</v>
          </cell>
          <cell r="AJ342">
            <v>2</v>
          </cell>
          <cell r="AK342">
            <v>0</v>
          </cell>
          <cell r="AL342">
            <v>2</v>
          </cell>
          <cell r="AM342" t="str">
            <v>$14.400.000,00</v>
          </cell>
        </row>
        <row r="343">
          <cell r="A343" t="str">
            <v>342-2025</v>
          </cell>
          <cell r="B343" t="str">
            <v>PRESTACION DE SERVICIOS</v>
          </cell>
          <cell r="C343" t="str">
            <v>XIMENA ANDREA ORDOÑEZ ORDOÑEZ</v>
          </cell>
          <cell r="D343" t="str">
            <v>CC</v>
          </cell>
          <cell r="E343">
            <v>1085247120</v>
          </cell>
          <cell r="F343">
            <v>7</v>
          </cell>
          <cell r="G343" t="str">
            <v xml:space="preserve">CONTRATACION DIRECTA </v>
          </cell>
          <cell r="H343">
            <v>1</v>
          </cell>
          <cell r="I343" t="str">
            <v>El contratista se compromete para con la Empresa Social del Estado PASTO SALUD ESE aprestar sus servicios como bachiller con conocimientos en lenguaje de señas colombiano para apoyar el desarrollo de las actividades contempladas en el componente de Débil Garantia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Publica de Intervenciones Colectivas correspondiente al periodo abril-diciembre de 2025, el cual hace parte integral del contrato interadministrativo No. 20252190 de fecha 02 de abril de 2025, suscrito entre la Empresa Social del Estado Pasto Salud ESE v la Alcaldía de Pasto - Secretaria Municipal de Salud.</v>
          </cell>
          <cell r="J343">
            <v>1</v>
          </cell>
          <cell r="K343" t="str">
            <v>$12.000.000,00</v>
          </cell>
          <cell r="L343">
            <v>45779</v>
          </cell>
          <cell r="M343">
            <v>45955</v>
          </cell>
          <cell r="N343" t="str">
            <v>OSCAR MIGUEL GOYES CABRERA</v>
          </cell>
          <cell r="O343">
            <v>87711882</v>
          </cell>
          <cell r="P343" t="str">
            <v>ximenandrea2020@gmail.com</v>
          </cell>
          <cell r="Q343">
            <v>45779</v>
          </cell>
          <cell r="R343" t="str">
            <v>RODRIGO ROSERO</v>
          </cell>
          <cell r="U343" t="str">
            <v>CELEBRADO</v>
          </cell>
          <cell r="W343" t="str">
            <v>2025-0200</v>
          </cell>
          <cell r="X343" t="str">
            <v>2025-0576</v>
          </cell>
          <cell r="AJ343">
            <v>2</v>
          </cell>
          <cell r="AK343">
            <v>0</v>
          </cell>
          <cell r="AL343">
            <v>2</v>
          </cell>
          <cell r="AM343" t="str">
            <v>$12.000.000,00</v>
          </cell>
        </row>
        <row r="344">
          <cell r="A344" t="str">
            <v>343-2025</v>
          </cell>
          <cell r="B344" t="str">
            <v>PRESTACION DE SERVICIOS</v>
          </cell>
          <cell r="C344" t="str">
            <v>DIANA OBEIDA ROSERO TELLO</v>
          </cell>
          <cell r="D344" t="str">
            <v>CC</v>
          </cell>
          <cell r="E344">
            <v>1089196659</v>
          </cell>
          <cell r="F344">
            <v>9</v>
          </cell>
          <cell r="G344" t="str">
            <v xml:space="preserve">CONTRATACION DIRECTA </v>
          </cell>
          <cell r="H344">
            <v>1</v>
          </cell>
          <cell r="I344" t="str">
            <v>El contratista se compromete para con la Empresa Social del Estado PASTO SALUD ESE a 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44">
            <v>1</v>
          </cell>
          <cell r="K344" t="str">
            <v>$20.400.000</v>
          </cell>
          <cell r="L344">
            <v>45782</v>
          </cell>
          <cell r="M344">
            <v>45955</v>
          </cell>
          <cell r="N344" t="str">
            <v>OSCAR MIGUEL GOYES CABRERA</v>
          </cell>
          <cell r="O344">
            <v>87711882</v>
          </cell>
          <cell r="P344" t="str">
            <v>dorosero14@gmail.com</v>
          </cell>
          <cell r="Q344">
            <v>45782</v>
          </cell>
          <cell r="R344" t="str">
            <v>JUAN GOMEZ</v>
          </cell>
          <cell r="U344" t="str">
            <v>CELEBRADO</v>
          </cell>
          <cell r="W344" t="str">
            <v>2025-0200</v>
          </cell>
          <cell r="X344" t="str">
            <v>2025-0578</v>
          </cell>
          <cell r="AJ344">
            <v>2</v>
          </cell>
          <cell r="AK344">
            <v>0</v>
          </cell>
          <cell r="AL344">
            <v>2</v>
          </cell>
          <cell r="AM344" t="str">
            <v>$20.400.000</v>
          </cell>
        </row>
        <row r="345">
          <cell r="A345" t="str">
            <v>344-2025</v>
          </cell>
          <cell r="B345" t="str">
            <v>PRESTACION DE SERVICIOS</v>
          </cell>
          <cell r="C345" t="str">
            <v>NORIDA YULIETH TOBAR ARTEAGA</v>
          </cell>
          <cell r="D345" t="str">
            <v>CC</v>
          </cell>
          <cell r="E345">
            <v>1004726758</v>
          </cell>
          <cell r="F345">
            <v>6</v>
          </cell>
          <cell r="G345" t="str">
            <v xml:space="preserve">CONTRATACION DIRECTA </v>
          </cell>
          <cell r="H345">
            <v>1</v>
          </cell>
          <cell r="I345" t="str">
            <v>El contratista se compromete para con la Empresa Social del Estado PASTO SALUD ESE aprestar sus servicios como tecnólogo en promoción de la salud para el desarrollo de las actividades contempladas en el componente de Débil Garantía Derecho a la Salud Participación Social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45">
            <v>1</v>
          </cell>
          <cell r="K345" t="str">
            <v>$14.400.000,00</v>
          </cell>
          <cell r="L345">
            <v>45782</v>
          </cell>
          <cell r="M345">
            <v>45961</v>
          </cell>
          <cell r="N345" t="str">
            <v>OSCAR MIGUEL GOYES CABRERA</v>
          </cell>
          <cell r="O345">
            <v>87711882</v>
          </cell>
          <cell r="P345" t="str">
            <v>tobarjulieth5@gmail.com</v>
          </cell>
          <cell r="Q345">
            <v>45782</v>
          </cell>
          <cell r="R345" t="str">
            <v>CRISTINA ROSERO</v>
          </cell>
          <cell r="U345" t="str">
            <v>CELEBRADO</v>
          </cell>
          <cell r="W345" t="str">
            <v>2025-0200</v>
          </cell>
          <cell r="X345" t="str">
            <v>2025-0579</v>
          </cell>
          <cell r="AJ345">
            <v>2</v>
          </cell>
          <cell r="AK345">
            <v>0</v>
          </cell>
          <cell r="AL345">
            <v>2</v>
          </cell>
          <cell r="AM345" t="str">
            <v>$14.400.000,00</v>
          </cell>
        </row>
        <row r="346">
          <cell r="A346" t="str">
            <v>345-2025</v>
          </cell>
          <cell r="B346" t="str">
            <v>PRESTACION DE SERVICIOS</v>
          </cell>
          <cell r="C346" t="str">
            <v>ADRIANA SOFIA ISANDARA NUPAN,</v>
          </cell>
          <cell r="D346" t="str">
            <v>CC</v>
          </cell>
          <cell r="E346">
            <v>1193265360</v>
          </cell>
          <cell r="F346">
            <v>6</v>
          </cell>
          <cell r="G346" t="str">
            <v xml:space="preserve">CONTRATACION DIRECTA </v>
          </cell>
          <cell r="H346">
            <v>1</v>
          </cell>
          <cell r="I346" t="str">
            <v>El contratista se compromete para con la Empresa Social del Estado PASTO SALUD ESE aprestar sus servicios como tecnólogo en promoción de la salud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46">
            <v>1</v>
          </cell>
          <cell r="K346" t="str">
            <v>$15.600.000</v>
          </cell>
          <cell r="L346">
            <v>45782</v>
          </cell>
          <cell r="M346">
            <v>45974</v>
          </cell>
          <cell r="N346" t="str">
            <v>OSCAR MIGUEL GOYES CABRERA</v>
          </cell>
          <cell r="O346">
            <v>87711882</v>
          </cell>
          <cell r="P346" t="str">
            <v>adrianaisandara@gmail.com</v>
          </cell>
          <cell r="Q346">
            <v>45782</v>
          </cell>
          <cell r="R346" t="str">
            <v>CRISTINA ROSERO</v>
          </cell>
          <cell r="U346" t="str">
            <v>CELEBRADO</v>
          </cell>
          <cell r="W346" t="str">
            <v>2025-0200</v>
          </cell>
          <cell r="X346" t="str">
            <v>2025-0580</v>
          </cell>
          <cell r="AJ346">
            <v>2</v>
          </cell>
          <cell r="AK346">
            <v>0</v>
          </cell>
          <cell r="AL346">
            <v>2</v>
          </cell>
          <cell r="AM346" t="str">
            <v>$15.600.000</v>
          </cell>
        </row>
        <row r="347">
          <cell r="A347" t="str">
            <v>346-2025</v>
          </cell>
          <cell r="B347" t="str">
            <v>PRESTACION DE SERVICIOS</v>
          </cell>
          <cell r="C347" t="str">
            <v>PAOLA ANDREA RIOS TAPIA</v>
          </cell>
          <cell r="D347" t="str">
            <v>CC</v>
          </cell>
          <cell r="E347">
            <v>1085245375</v>
          </cell>
          <cell r="F347">
            <v>9</v>
          </cell>
          <cell r="G347" t="str">
            <v xml:space="preserve">CONTRATACION DIRECTA </v>
          </cell>
          <cell r="H347">
            <v>1</v>
          </cell>
          <cell r="I347"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47">
            <v>1</v>
          </cell>
          <cell r="K347" t="str">
            <v>$6.000.000</v>
          </cell>
          <cell r="L347">
            <v>45782</v>
          </cell>
          <cell r="M347">
            <v>45808</v>
          </cell>
          <cell r="N347" t="str">
            <v>RODRIGO DE JESUS VITERI MORENO</v>
          </cell>
          <cell r="O347">
            <v>98390119</v>
          </cell>
          <cell r="P347" t="str">
            <v>salpaorios@gmail.com</v>
          </cell>
          <cell r="Q347">
            <v>45782</v>
          </cell>
          <cell r="R347" t="str">
            <v>JUAN GOMEZ</v>
          </cell>
          <cell r="U347" t="str">
            <v>CELEBRADO</v>
          </cell>
          <cell r="W347" t="str">
            <v>2025-0177</v>
          </cell>
          <cell r="X347" t="str">
            <v>2025-0582</v>
          </cell>
          <cell r="AJ347">
            <v>2</v>
          </cell>
          <cell r="AK347">
            <v>0</v>
          </cell>
          <cell r="AL347">
            <v>3</v>
          </cell>
          <cell r="AM347" t="str">
            <v>$6.000.000</v>
          </cell>
        </row>
        <row r="348">
          <cell r="A348" t="str">
            <v>347-2025</v>
          </cell>
          <cell r="B348" t="str">
            <v>PRESTACION DE SERVICIOS</v>
          </cell>
          <cell r="C348" t="str">
            <v>LAURA FERNANDA PULZARA VILLOTA</v>
          </cell>
          <cell r="D348" t="str">
            <v>CC</v>
          </cell>
          <cell r="E348">
            <v>1193405577</v>
          </cell>
          <cell r="F348">
            <v>9</v>
          </cell>
          <cell r="G348" t="str">
            <v xml:space="preserve">CONTRATACION DIRECTA </v>
          </cell>
          <cell r="H348">
            <v>1</v>
          </cell>
          <cell r="I348" t="str">
            <v>El contratista se compromete para con la Empresa Social del Estado PASTO SALUD ESE aprestar sus servicios como tecnólogo en promoción de la salud para el desarrollo de las actividades contempladas en el componente de Débil Vigilancia Epidemiológica Vigilancia Comunitaria y procesos transversales, de acuerdo con los contenidos de la Política Pública de Salud Colectiva 'La Salud en Todos los Derechos', fortaleciendo los entomos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48">
            <v>1</v>
          </cell>
          <cell r="K348" t="str">
            <v>$14.400.000,00</v>
          </cell>
          <cell r="L348">
            <v>45782</v>
          </cell>
          <cell r="M348">
            <v>45961</v>
          </cell>
          <cell r="N348" t="str">
            <v>OSCAR MIGUEL GOYES CABRERA</v>
          </cell>
          <cell r="O348">
            <v>87711882</v>
          </cell>
          <cell r="P348" t="str">
            <v>Laurafernandapv9@gmail.com</v>
          </cell>
          <cell r="Q348">
            <v>45782</v>
          </cell>
          <cell r="R348" t="str">
            <v>CRISTINA ROSERO</v>
          </cell>
          <cell r="U348" t="str">
            <v>CELEBRADO</v>
          </cell>
          <cell r="W348" t="str">
            <v>2025-0200</v>
          </cell>
          <cell r="X348" t="str">
            <v>2025-0583</v>
          </cell>
          <cell r="AJ348">
            <v>2</v>
          </cell>
          <cell r="AK348">
            <v>0</v>
          </cell>
          <cell r="AL348">
            <v>2</v>
          </cell>
          <cell r="AM348" t="str">
            <v>$14.400.000,00</v>
          </cell>
        </row>
        <row r="349">
          <cell r="A349" t="str">
            <v>348-2025</v>
          </cell>
          <cell r="B349" t="str">
            <v>PRESTACION DE SERVICIOS</v>
          </cell>
          <cell r="C349" t="str">
            <v>ELIZABETH NATALIA HUERTAS MORENO</v>
          </cell>
          <cell r="D349" t="str">
            <v>CC</v>
          </cell>
          <cell r="E349">
            <v>36754932</v>
          </cell>
          <cell r="F349">
            <v>6</v>
          </cell>
          <cell r="G349" t="str">
            <v xml:space="preserve">CONTRATACION DIRECTA </v>
          </cell>
          <cell r="H349">
            <v>1</v>
          </cell>
          <cell r="I349" t="str">
            <v>"El contratista se compromete para con la Empresa Social del Estado PASTO SALUD ESE aprestar sus servicios como tecnólogo en promoción de la salud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49">
            <v>1</v>
          </cell>
          <cell r="K349" t="str">
            <v>$15.600.000,00</v>
          </cell>
          <cell r="L349">
            <v>45782</v>
          </cell>
          <cell r="M349">
            <v>45974</v>
          </cell>
          <cell r="N349" t="str">
            <v>OSCAR MIGUEL GOYES CABRERA</v>
          </cell>
          <cell r="O349">
            <v>87711882</v>
          </cell>
          <cell r="P349" t="str">
            <v>nataliahuertas19@gmail.com</v>
          </cell>
          <cell r="Q349">
            <v>45782</v>
          </cell>
          <cell r="R349" t="str">
            <v>CRISTINA ROSERO</v>
          </cell>
          <cell r="U349" t="str">
            <v>CELEBRADO</v>
          </cell>
          <cell r="W349" t="str">
            <v>2025-0200</v>
          </cell>
          <cell r="X349" t="str">
            <v>2025-0584</v>
          </cell>
          <cell r="AJ349">
            <v>2</v>
          </cell>
          <cell r="AK349">
            <v>0</v>
          </cell>
          <cell r="AL349">
            <v>2</v>
          </cell>
          <cell r="AM349" t="str">
            <v>$15.600.000</v>
          </cell>
        </row>
        <row r="350">
          <cell r="A350" t="str">
            <v>349-2025</v>
          </cell>
          <cell r="B350" t="str">
            <v>COMPRAVENTA</v>
          </cell>
          <cell r="C350" t="str">
            <v>LABORATORIO BIOMETRICAL SAS</v>
          </cell>
          <cell r="D350" t="str">
            <v>NIT</v>
          </cell>
          <cell r="E350">
            <v>900709554</v>
          </cell>
          <cell r="F350">
            <v>8</v>
          </cell>
          <cell r="G350" t="str">
            <v xml:space="preserve">CONTRATACION DIRECTA </v>
          </cell>
          <cell r="H350">
            <v>2</v>
          </cell>
          <cell r="I350" t="str">
            <v>compra de cortinas hospitalarias y cortineros para el área urgencias del hospital local civil de PASTO SALUD ESE</v>
          </cell>
          <cell r="J350">
            <v>1</v>
          </cell>
          <cell r="K350" t="str">
            <v>$8.992.500,00</v>
          </cell>
          <cell r="L350">
            <v>45782</v>
          </cell>
          <cell r="M350">
            <v>45793</v>
          </cell>
          <cell r="N350" t="str">
            <v>STEFANYA RAMIREZ LOPERA</v>
          </cell>
          <cell r="O350">
            <v>111247705</v>
          </cell>
          <cell r="P350" t="str">
            <v>biometrical.pasto@gmail.com</v>
          </cell>
          <cell r="Q350">
            <v>45782</v>
          </cell>
          <cell r="R350" t="str">
            <v>ELIANA BENAVIDES</v>
          </cell>
          <cell r="U350" t="str">
            <v>CELEBRADO</v>
          </cell>
          <cell r="W350" t="str">
            <v>2025-0199</v>
          </cell>
          <cell r="X350" t="str">
            <v>2025-0585</v>
          </cell>
          <cell r="AJ350">
            <v>2</v>
          </cell>
          <cell r="AK350">
            <v>0</v>
          </cell>
          <cell r="AL350">
            <v>4</v>
          </cell>
          <cell r="AM350" t="str">
            <v>$8.992.500,00</v>
          </cell>
        </row>
        <row r="351">
          <cell r="A351" t="str">
            <v>350-2025</v>
          </cell>
          <cell r="B351" t="str">
            <v>PRESTACION DE SERVICIOS</v>
          </cell>
          <cell r="C351" t="str">
            <v>MARÍA CAMILA PATIÑO DELGADO</v>
          </cell>
          <cell r="D351" t="str">
            <v>CC</v>
          </cell>
          <cell r="E351">
            <v>1233193716</v>
          </cell>
          <cell r="F351">
            <v>9</v>
          </cell>
          <cell r="G351" t="str">
            <v xml:space="preserve">CONTRATACION DIRECTA </v>
          </cell>
          <cell r="H351">
            <v>1</v>
          </cell>
          <cell r="I351"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351">
            <v>1</v>
          </cell>
          <cell r="K351" t="str">
            <v>$6.000.000</v>
          </cell>
          <cell r="L351">
            <v>45783</v>
          </cell>
          <cell r="M351">
            <v>45808</v>
          </cell>
          <cell r="N351" t="str">
            <v xml:space="preserve">RIGOBERTO MELO ZAMBRANO        </v>
          </cell>
          <cell r="O351">
            <v>98333941</v>
          </cell>
          <cell r="P351" t="str">
            <v>mariaca.patino@umariana.edu.co</v>
          </cell>
          <cell r="Q351">
            <v>45783</v>
          </cell>
          <cell r="R351" t="str">
            <v>ALEXANDER YELA</v>
          </cell>
          <cell r="U351" t="str">
            <v>CELEBRADO</v>
          </cell>
          <cell r="W351" t="str">
            <v>2025-0177</v>
          </cell>
          <cell r="X351" t="str">
            <v>2025-0586</v>
          </cell>
          <cell r="AJ351">
            <v>2</v>
          </cell>
          <cell r="AK351">
            <v>0</v>
          </cell>
          <cell r="AL351">
            <v>3</v>
          </cell>
          <cell r="AM351" t="str">
            <v>$6.000.000</v>
          </cell>
        </row>
        <row r="352">
          <cell r="A352" t="str">
            <v>351-2025</v>
          </cell>
          <cell r="B352" t="str">
            <v>PRESTACION DE SERVICIOS</v>
          </cell>
          <cell r="C352" t="str">
            <v>MARCO ANDRES TOVAR MEJIA</v>
          </cell>
          <cell r="D352" t="str">
            <v>CC</v>
          </cell>
          <cell r="E352">
            <v>13071542</v>
          </cell>
          <cell r="F352">
            <v>1</v>
          </cell>
          <cell r="G352" t="str">
            <v xml:space="preserve">CONTRATACION DIRECTA </v>
          </cell>
          <cell r="H352">
            <v>1</v>
          </cell>
          <cell r="I352" t="str">
            <v>El contratista se compromete para con la Empresa Social del Estado PASTO SALUD ESE aprestar sus servicios como socióloge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52">
            <v>1</v>
          </cell>
          <cell r="K352" t="str">
            <v>$20.400.000</v>
          </cell>
          <cell r="L352">
            <v>45783</v>
          </cell>
          <cell r="M352">
            <v>45961</v>
          </cell>
          <cell r="N352" t="str">
            <v>OSCAR MIGUEL GOYES CABRERA</v>
          </cell>
          <cell r="O352">
            <v>87711882</v>
          </cell>
          <cell r="P352" t="str">
            <v>seguridadculturavias@outlook.com</v>
          </cell>
          <cell r="Q352">
            <v>45783</v>
          </cell>
          <cell r="R352" t="str">
            <v>ELIANA BENAVIDES</v>
          </cell>
          <cell r="U352" t="str">
            <v>CELEBRADO</v>
          </cell>
          <cell r="W352" t="str">
            <v>2025-0200</v>
          </cell>
          <cell r="X352" t="str">
            <v>2025-0587</v>
          </cell>
          <cell r="AJ352">
            <v>2</v>
          </cell>
          <cell r="AK352">
            <v>0</v>
          </cell>
          <cell r="AL352">
            <v>2</v>
          </cell>
          <cell r="AM352" t="str">
            <v>$20.400.000</v>
          </cell>
        </row>
        <row r="353">
          <cell r="A353" t="str">
            <v>352-2025</v>
          </cell>
          <cell r="B353" t="str">
            <v>PRESTACION DE SERVICIOS</v>
          </cell>
          <cell r="C353" t="str">
            <v>ADRIANA GUICELLA RIVAS BURBANO</v>
          </cell>
          <cell r="D353" t="str">
            <v>CC</v>
          </cell>
          <cell r="E353">
            <v>59311558</v>
          </cell>
          <cell r="F353">
            <v>7</v>
          </cell>
          <cell r="G353" t="str">
            <v xml:space="preserve">CONTRATACION DIRECTA </v>
          </cell>
          <cell r="H353">
            <v>1</v>
          </cell>
          <cell r="I353" t="str">
            <v>El contratista se compromete para con la Empresa Social del Estado PASTO SALUD ESE aprestar sus servicios como tecnólogo en promoción de la salud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53">
            <v>1</v>
          </cell>
          <cell r="K353" t="str">
            <v>$14.400.000,00</v>
          </cell>
          <cell r="L353">
            <v>45783</v>
          </cell>
          <cell r="M353">
            <v>45961</v>
          </cell>
          <cell r="N353" t="str">
            <v>OSCAR MIGUEL GOYES CABRERA</v>
          </cell>
          <cell r="O353">
            <v>87711882</v>
          </cell>
          <cell r="P353" t="str">
            <v>adrianarivasb@gmail.com</v>
          </cell>
          <cell r="Q353">
            <v>45783</v>
          </cell>
          <cell r="R353" t="str">
            <v>ALEXANDER YELA</v>
          </cell>
          <cell r="U353" t="str">
            <v>CELEBRADO</v>
          </cell>
          <cell r="W353" t="str">
            <v>2025-0200</v>
          </cell>
          <cell r="X353" t="str">
            <v>2025-0588</v>
          </cell>
          <cell r="AJ353">
            <v>2</v>
          </cell>
          <cell r="AK353">
            <v>0</v>
          </cell>
          <cell r="AL353">
            <v>2</v>
          </cell>
          <cell r="AM353" t="str">
            <v>$14.400.000,00</v>
          </cell>
        </row>
        <row r="354">
          <cell r="A354" t="str">
            <v>353-2025</v>
          </cell>
          <cell r="B354" t="str">
            <v>PRESTACION DE SERVICIOS</v>
          </cell>
          <cell r="C354" t="str">
            <v>AYLIN IBETH CUASTUMAL RODRIGUEZ,</v>
          </cell>
          <cell r="D354" t="str">
            <v>CC</v>
          </cell>
          <cell r="E354">
            <v>1193029598</v>
          </cell>
          <cell r="F354">
            <v>0</v>
          </cell>
          <cell r="G354" t="str">
            <v xml:space="preserve">CONTRATACION DIRECTA </v>
          </cell>
          <cell r="H354">
            <v>1</v>
          </cell>
          <cell r="I354" t="str">
            <v>El contratista se compromete para con la Empresa Social del Estado PASTO SALUD ESE aprestar sus servicios como tecnólogo en promoción de la salud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354">
            <v>1</v>
          </cell>
          <cell r="K354" t="str">
            <v>$15.600.000</v>
          </cell>
          <cell r="L354">
            <v>45783</v>
          </cell>
          <cell r="M354">
            <v>45954</v>
          </cell>
          <cell r="N354" t="str">
            <v>OSCAR MIGUEL GOYES CABRERA</v>
          </cell>
          <cell r="O354">
            <v>87711882</v>
          </cell>
          <cell r="P354" t="str">
            <v>aylinicr06@gmail.com</v>
          </cell>
          <cell r="Q354">
            <v>45783</v>
          </cell>
          <cell r="R354" t="str">
            <v>ALEXANDER YELA</v>
          </cell>
          <cell r="U354" t="str">
            <v>CELEBRADO</v>
          </cell>
          <cell r="W354" t="str">
            <v>2025-0200</v>
          </cell>
          <cell r="X354" t="str">
            <v>2025-0589</v>
          </cell>
          <cell r="AJ354">
            <v>2</v>
          </cell>
          <cell r="AK354">
            <v>0</v>
          </cell>
          <cell r="AL354">
            <v>2</v>
          </cell>
          <cell r="AM354" t="str">
            <v>$15.600.000</v>
          </cell>
        </row>
        <row r="355">
          <cell r="A355" t="str">
            <v>354-2025</v>
          </cell>
          <cell r="B355" t="str">
            <v>PRESTACION DE SERVICIOS</v>
          </cell>
          <cell r="C355" t="str">
            <v>ADRIAN ALEJANDRO GUZMAN CHICAIZA</v>
          </cell>
          <cell r="D355" t="str">
            <v>CC</v>
          </cell>
          <cell r="E355">
            <v>1004217212</v>
          </cell>
          <cell r="F355">
            <v>3</v>
          </cell>
          <cell r="G355" t="str">
            <v xml:space="preserve">CONTRATACION DIRECTA </v>
          </cell>
          <cell r="H355">
            <v>1</v>
          </cell>
          <cell r="I355" t="str">
            <v>Prestar los servicios para el funcionamiento y operación de un centro de contactos telefónicos Call Center con el fin de cumplir y responder a sus procesos operativos y misionales de la Empresa Social del Estado Pasto Salud.</v>
          </cell>
          <cell r="J355">
            <v>1</v>
          </cell>
          <cell r="K355" t="str">
            <v>$39.644.700</v>
          </cell>
          <cell r="L355">
            <v>45783</v>
          </cell>
          <cell r="M355">
            <v>45900</v>
          </cell>
          <cell r="N355" t="str">
            <v xml:space="preserve">	IVAN RODRIGO IBARRA MUÑOZ</v>
          </cell>
          <cell r="O355">
            <v>87248313</v>
          </cell>
          <cell r="P355" t="str">
            <v>adrianguzmanch123@gmail.com</v>
          </cell>
          <cell r="Q355">
            <v>45783</v>
          </cell>
          <cell r="R355" t="str">
            <v>ELIANA BENAVIDES</v>
          </cell>
          <cell r="U355" t="str">
            <v>CELEBRADO</v>
          </cell>
          <cell r="W355" t="str">
            <v>2025-0210</v>
          </cell>
          <cell r="X355" t="str">
            <v>2025-0590</v>
          </cell>
          <cell r="AJ355">
            <v>2</v>
          </cell>
          <cell r="AK355">
            <v>0</v>
          </cell>
          <cell r="AL355">
            <v>2</v>
          </cell>
          <cell r="AM355" t="str">
            <v>$39.644.700</v>
          </cell>
        </row>
        <row r="356">
          <cell r="A356" t="str">
            <v>355-2025</v>
          </cell>
          <cell r="B356" t="str">
            <v>PRESTACION DE SERVICIOS</v>
          </cell>
          <cell r="C356" t="str">
            <v>GINA ELIZABETH LOPEZ OBANDO</v>
          </cell>
          <cell r="D356" t="str">
            <v>CC</v>
          </cell>
          <cell r="E356">
            <v>27093909</v>
          </cell>
          <cell r="F356">
            <v>6</v>
          </cell>
          <cell r="G356" t="str">
            <v xml:space="preserve">CONTRATACION DIRECTA </v>
          </cell>
          <cell r="H356">
            <v>1</v>
          </cell>
          <cell r="I356" t="str">
            <v>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356">
            <v>1</v>
          </cell>
          <cell r="K356" t="str">
            <v>$14.400.000,00</v>
          </cell>
          <cell r="L356">
            <v>45783</v>
          </cell>
          <cell r="M356">
            <v>45961</v>
          </cell>
          <cell r="N356" t="str">
            <v>OSCAR MIGUEL GOYES CABRERA</v>
          </cell>
          <cell r="O356">
            <v>87711882</v>
          </cell>
          <cell r="P356" t="str">
            <v>ginaelizabeth.lopez@gmail.com</v>
          </cell>
          <cell r="Q356">
            <v>45783</v>
          </cell>
          <cell r="R356" t="str">
            <v>ELIANA BENAVIDES</v>
          </cell>
          <cell r="U356" t="str">
            <v>CELEBRADO</v>
          </cell>
          <cell r="W356" t="str">
            <v>2025-0200</v>
          </cell>
          <cell r="X356" t="str">
            <v>2025-0591</v>
          </cell>
          <cell r="AJ356">
            <v>2</v>
          </cell>
          <cell r="AK356">
            <v>0</v>
          </cell>
          <cell r="AL356">
            <v>2</v>
          </cell>
          <cell r="AM356" t="str">
            <v>$14.400.000,00</v>
          </cell>
        </row>
        <row r="357">
          <cell r="A357" t="str">
            <v>356-2025</v>
          </cell>
          <cell r="B357" t="str">
            <v>PRESTACION DE SERVICIOS</v>
          </cell>
          <cell r="C357" t="str">
            <v>AURA LEGNY MOLINA ORDOÑEZ</v>
          </cell>
          <cell r="D357" t="str">
            <v>CC</v>
          </cell>
          <cell r="E357">
            <v>37083634</v>
          </cell>
          <cell r="F357">
            <v>1</v>
          </cell>
          <cell r="G357" t="str">
            <v xml:space="preserve">CONTRATACION DIRECTA </v>
          </cell>
          <cell r="H357">
            <v>1</v>
          </cell>
          <cell r="I357" t="str">
            <v>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57">
            <v>1</v>
          </cell>
          <cell r="K357" t="str">
            <v>$14.400.000,00</v>
          </cell>
          <cell r="L357">
            <v>45783</v>
          </cell>
          <cell r="M357">
            <v>45961</v>
          </cell>
          <cell r="N357" t="str">
            <v>OSCAR MIGUEL GOYES CABRERA</v>
          </cell>
          <cell r="O357">
            <v>87711882</v>
          </cell>
          <cell r="P357" t="str">
            <v>almoo0124@gmail.com</v>
          </cell>
          <cell r="Q357">
            <v>45783</v>
          </cell>
          <cell r="R357" t="str">
            <v>ANDRES GUERRA</v>
          </cell>
          <cell r="U357" t="str">
            <v>CELEBRADO</v>
          </cell>
          <cell r="W357" t="str">
            <v>2025-0200</v>
          </cell>
          <cell r="X357" t="str">
            <v>2025-0592</v>
          </cell>
          <cell r="AJ357">
            <v>2</v>
          </cell>
          <cell r="AK357">
            <v>0</v>
          </cell>
          <cell r="AL357">
            <v>2</v>
          </cell>
          <cell r="AM357" t="str">
            <v>$14.400.000,00</v>
          </cell>
        </row>
        <row r="358">
          <cell r="A358" t="str">
            <v>357-2025</v>
          </cell>
          <cell r="B358" t="str">
            <v>PRESTACION DE SERVICIOS</v>
          </cell>
          <cell r="C358" t="str">
            <v>ANGELA LORENA LOPEZ VALLEJO</v>
          </cell>
          <cell r="D358" t="str">
            <v>CC</v>
          </cell>
          <cell r="E358">
            <v>1085255870</v>
          </cell>
          <cell r="F358">
            <v>6</v>
          </cell>
          <cell r="G358" t="str">
            <v xml:space="preserve">CONTRATACION DIRECTA </v>
          </cell>
          <cell r="H358">
            <v>1</v>
          </cell>
          <cell r="I358"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58">
            <v>1</v>
          </cell>
          <cell r="K358" t="str">
            <v>$7.500.000</v>
          </cell>
          <cell r="L358">
            <v>45783</v>
          </cell>
          <cell r="M358">
            <v>45808</v>
          </cell>
          <cell r="N358" t="str">
            <v>RODRIGO DE JESUS VITERI MORENO</v>
          </cell>
          <cell r="O358">
            <v>98390119</v>
          </cell>
          <cell r="P358" t="str">
            <v>angelitalopezx2010@hotmail.com</v>
          </cell>
          <cell r="Q358">
            <v>45783</v>
          </cell>
          <cell r="R358" t="str">
            <v>JUAN GOMEZ</v>
          </cell>
          <cell r="U358" t="str">
            <v>CELEBRADO</v>
          </cell>
          <cell r="W358" t="str">
            <v>2025-0177</v>
          </cell>
          <cell r="X358" t="str">
            <v>2025-0593</v>
          </cell>
          <cell r="AJ358">
            <v>2</v>
          </cell>
          <cell r="AK358">
            <v>0</v>
          </cell>
          <cell r="AL358">
            <v>3</v>
          </cell>
          <cell r="AM358" t="str">
            <v>$7.500.000</v>
          </cell>
        </row>
        <row r="359">
          <cell r="A359" t="str">
            <v>358-2025</v>
          </cell>
          <cell r="B359" t="str">
            <v>PRESTACION DE SERVICIOS</v>
          </cell>
          <cell r="C359" t="str">
            <v>PATRICIA MARIBEL MARTINEZ</v>
          </cell>
          <cell r="D359" t="str">
            <v>CC</v>
          </cell>
          <cell r="E359">
            <v>27082649</v>
          </cell>
          <cell r="F359">
            <v>9</v>
          </cell>
          <cell r="G359" t="str">
            <v xml:space="preserve">CONTRATACION DIRECTA </v>
          </cell>
          <cell r="H359">
            <v>1</v>
          </cell>
          <cell r="I35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359">
            <v>1</v>
          </cell>
          <cell r="K359" t="str">
            <v>$3.000.000</v>
          </cell>
          <cell r="L359">
            <v>45783</v>
          </cell>
          <cell r="M359">
            <v>45808</v>
          </cell>
          <cell r="N359" t="str">
            <v>RIGOBERTO MELO ZAMBRANO</v>
          </cell>
          <cell r="O359">
            <v>98333941</v>
          </cell>
          <cell r="P359" t="str">
            <v>patriciamaribelm@yahoo.com</v>
          </cell>
          <cell r="Q359">
            <v>45783</v>
          </cell>
          <cell r="R359" t="str">
            <v>ANDRES GUERRA</v>
          </cell>
          <cell r="U359" t="str">
            <v>CELEBRADO</v>
          </cell>
          <cell r="W359" t="str">
            <v>2025-0177</v>
          </cell>
          <cell r="X359" t="str">
            <v>2025-0594</v>
          </cell>
          <cell r="AJ359">
            <v>2</v>
          </cell>
          <cell r="AK359">
            <v>0</v>
          </cell>
          <cell r="AL359">
            <v>3</v>
          </cell>
          <cell r="AM359" t="str">
            <v>$3.000.000</v>
          </cell>
        </row>
        <row r="360">
          <cell r="A360" t="str">
            <v>359-2025</v>
          </cell>
          <cell r="B360" t="str">
            <v>PRESTACION DE SERVICIOS</v>
          </cell>
          <cell r="C360" t="str">
            <v>LILIANA MAYER BOTINA CRIOLLO</v>
          </cell>
          <cell r="D360" t="str">
            <v>CC</v>
          </cell>
          <cell r="E360">
            <v>1085253062</v>
          </cell>
          <cell r="F360">
            <v>2</v>
          </cell>
          <cell r="G360" t="str">
            <v xml:space="preserve">CONTRATACION DIRECTA </v>
          </cell>
          <cell r="H360">
            <v>1</v>
          </cell>
          <cell r="I360"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360">
            <v>1</v>
          </cell>
          <cell r="K360" t="str">
            <v>$6.000.000</v>
          </cell>
          <cell r="L360">
            <v>45783</v>
          </cell>
          <cell r="M360">
            <v>45808</v>
          </cell>
          <cell r="N360" t="str">
            <v>MARY ALEXANDRA ROSERO BENAVIDES</v>
          </cell>
          <cell r="O360">
            <v>43624414</v>
          </cell>
          <cell r="P360" t="str">
            <v>libotina16@hotmail.com</v>
          </cell>
          <cell r="Q360">
            <v>45783</v>
          </cell>
          <cell r="R360" t="str">
            <v>ALEXANDER YELA</v>
          </cell>
          <cell r="U360" t="str">
            <v>CELEBRADO</v>
          </cell>
          <cell r="W360" t="str">
            <v>2025-0177</v>
          </cell>
          <cell r="X360" t="str">
            <v>2025-0595</v>
          </cell>
          <cell r="AJ360">
            <v>2</v>
          </cell>
          <cell r="AK360">
            <v>0</v>
          </cell>
          <cell r="AL360">
            <v>3</v>
          </cell>
          <cell r="AM360" t="str">
            <v>$6.000.000</v>
          </cell>
        </row>
        <row r="361">
          <cell r="A361" t="str">
            <v>360-2025</v>
          </cell>
          <cell r="B361" t="str">
            <v>PRESTACION DE SERVICIOS</v>
          </cell>
          <cell r="C361" t="str">
            <v>NATHALIA ELIZABETH TULCAN GAMBOA</v>
          </cell>
          <cell r="D361" t="str">
            <v>CC</v>
          </cell>
          <cell r="E361">
            <v>1085314138</v>
          </cell>
          <cell r="F361">
            <v>6</v>
          </cell>
          <cell r="G361" t="str">
            <v xml:space="preserve">CONTRATACION DIRECTA </v>
          </cell>
          <cell r="H361">
            <v>1</v>
          </cell>
          <cell r="I36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361">
            <v>1</v>
          </cell>
          <cell r="K361" t="str">
            <v>$3.000.000</v>
          </cell>
          <cell r="L361">
            <v>45783</v>
          </cell>
          <cell r="M361">
            <v>45808</v>
          </cell>
          <cell r="N361" t="str">
            <v>RIGOBERTO MELO ZAMBRANO</v>
          </cell>
          <cell r="O361">
            <v>98333941</v>
          </cell>
          <cell r="P361" t="str">
            <v>nathaliatulcan368@gmail.com</v>
          </cell>
          <cell r="Q361">
            <v>45783</v>
          </cell>
          <cell r="R361" t="str">
            <v>ANDRES GUERRA</v>
          </cell>
          <cell r="U361" t="str">
            <v>CELEBRADO</v>
          </cell>
          <cell r="W361" t="str">
            <v>2025-0177</v>
          </cell>
          <cell r="X361" t="str">
            <v>2025-0596</v>
          </cell>
          <cell r="AJ361">
            <v>2</v>
          </cell>
          <cell r="AK361">
            <v>0</v>
          </cell>
          <cell r="AL361">
            <v>3</v>
          </cell>
          <cell r="AM361" t="str">
            <v>$3.000.000</v>
          </cell>
        </row>
        <row r="362">
          <cell r="A362" t="str">
            <v>361-2025</v>
          </cell>
          <cell r="B362" t="str">
            <v>PRESTACION DE SERVICIOS</v>
          </cell>
          <cell r="C362" t="str">
            <v>KATHERINE ANDREA TORRES GÓMEZ</v>
          </cell>
          <cell r="D362" t="str">
            <v>CC</v>
          </cell>
          <cell r="E362">
            <v>1085275802</v>
          </cell>
          <cell r="F362">
            <v>0</v>
          </cell>
          <cell r="G362" t="str">
            <v xml:space="preserve">CONTRATACION DIRECTA </v>
          </cell>
          <cell r="H362">
            <v>1</v>
          </cell>
          <cell r="I362" t="str">
            <v>El contratista se compromete para con la Empresa Social del Estado PASTO SALUD ESE aprestar sus servicios como trabajador(a) social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62">
            <v>1</v>
          </cell>
          <cell r="K362" t="str">
            <v>$20.400.000</v>
          </cell>
          <cell r="L362">
            <v>45783</v>
          </cell>
          <cell r="M362">
            <v>45961</v>
          </cell>
          <cell r="N362" t="str">
            <v>OSCAR MIGUEL GOYES CABRERA</v>
          </cell>
          <cell r="O362">
            <v>87711882</v>
          </cell>
          <cell r="P362" t="str">
            <v>t.skatherinetorresg@hotmail.com</v>
          </cell>
          <cell r="Q362">
            <v>45783</v>
          </cell>
          <cell r="R362" t="str">
            <v>ALEXANDER YELA</v>
          </cell>
          <cell r="U362" t="str">
            <v>CELEBRADO</v>
          </cell>
          <cell r="W362" t="str">
            <v>2025-0200</v>
          </cell>
          <cell r="X362" t="str">
            <v>2025-0597</v>
          </cell>
          <cell r="AJ362">
            <v>2</v>
          </cell>
          <cell r="AK362">
            <v>0</v>
          </cell>
          <cell r="AL362">
            <v>2</v>
          </cell>
          <cell r="AM362" t="str">
            <v>$20.400.000</v>
          </cell>
        </row>
        <row r="363">
          <cell r="A363" t="str">
            <v>362-2025</v>
          </cell>
          <cell r="B363" t="str">
            <v>PRESTACION DE SERVICIOS</v>
          </cell>
          <cell r="C363" t="str">
            <v>ANGELA GABRIELA MEDINA TREJO</v>
          </cell>
          <cell r="D363" t="str">
            <v>CC</v>
          </cell>
          <cell r="E363">
            <v>1085272953</v>
          </cell>
          <cell r="F363">
            <v>0</v>
          </cell>
          <cell r="G363" t="str">
            <v xml:space="preserve">CONTRATACION DIRECTA </v>
          </cell>
          <cell r="H363">
            <v>1</v>
          </cell>
          <cell r="I363" t="str">
            <v>El contratista se compromete para con la Empresa Social del Estado PASTO SALUD ESE aprestar sus servicios como tecnólogo en promoción de la salud para el desarrollo de las actividades contempladas en el componente de Emergencias y Desastres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Paste - Secretaría Municipal de Salud</v>
          </cell>
          <cell r="J363">
            <v>1</v>
          </cell>
          <cell r="K363" t="str">
            <v>$14.400.000,00</v>
          </cell>
          <cell r="L363">
            <v>45784</v>
          </cell>
          <cell r="M363">
            <v>45961</v>
          </cell>
          <cell r="N363" t="str">
            <v>OSCAR MIGUEL GOYES CABRERA</v>
          </cell>
          <cell r="O363">
            <v>87711882</v>
          </cell>
          <cell r="P363" t="str">
            <v>agmedina87@gmail.com</v>
          </cell>
          <cell r="Q363">
            <v>45784</v>
          </cell>
          <cell r="R363" t="str">
            <v>ALEXANDER YELA</v>
          </cell>
          <cell r="U363" t="str">
            <v>CELEBRADO</v>
          </cell>
          <cell r="W363" t="str">
            <v>2025-0200</v>
          </cell>
          <cell r="X363" t="str">
            <v>2025-0598</v>
          </cell>
          <cell r="AJ363">
            <v>2</v>
          </cell>
          <cell r="AK363">
            <v>0</v>
          </cell>
          <cell r="AL363">
            <v>2</v>
          </cell>
          <cell r="AM363" t="str">
            <v>$14.400.000,00</v>
          </cell>
        </row>
        <row r="364">
          <cell r="A364" t="str">
            <v>363-2025</v>
          </cell>
          <cell r="B364" t="str">
            <v>PRESTACION DE SERVICIOS</v>
          </cell>
          <cell r="C364" t="str">
            <v>KARINA MARIBEL LUNA LOPEZ</v>
          </cell>
          <cell r="D364" t="str">
            <v>CC</v>
          </cell>
          <cell r="E364">
            <v>36954410</v>
          </cell>
          <cell r="F364">
            <v>1</v>
          </cell>
          <cell r="G364" t="str">
            <v xml:space="preserve">CONTRATACION DIRECTA </v>
          </cell>
          <cell r="H364">
            <v>1</v>
          </cell>
          <cell r="I364"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64">
            <v>1</v>
          </cell>
          <cell r="K364" t="str">
            <v>$6.000.000</v>
          </cell>
          <cell r="L364">
            <v>45784</v>
          </cell>
          <cell r="M364">
            <v>45808</v>
          </cell>
          <cell r="N364" t="str">
            <v>MARY ALEXANDRA ROSERO BENAVIDES</v>
          </cell>
          <cell r="O364">
            <v>43624414</v>
          </cell>
          <cell r="P364" t="str">
            <v>karitomaribelluna@gmail.com</v>
          </cell>
          <cell r="Q364">
            <v>45784</v>
          </cell>
          <cell r="R364" t="str">
            <v>JUAN GOMEZ</v>
          </cell>
          <cell r="U364" t="str">
            <v>CELEBRADO</v>
          </cell>
          <cell r="W364" t="str">
            <v>2025-0177</v>
          </cell>
          <cell r="X364" t="str">
            <v>2025-0599</v>
          </cell>
          <cell r="AJ364">
            <v>2</v>
          </cell>
          <cell r="AK364">
            <v>0</v>
          </cell>
          <cell r="AL364">
            <v>3</v>
          </cell>
          <cell r="AM364" t="str">
            <v>$6.000.000</v>
          </cell>
        </row>
        <row r="365">
          <cell r="A365" t="str">
            <v>364-2025</v>
          </cell>
          <cell r="B365" t="str">
            <v>PRESTACION DE SERVICIOS</v>
          </cell>
          <cell r="C365" t="str">
            <v>NELSY MARITZA JOJOA JOJOA</v>
          </cell>
          <cell r="D365" t="str">
            <v>CC</v>
          </cell>
          <cell r="E365">
            <v>1085314334</v>
          </cell>
          <cell r="F365">
            <v>3</v>
          </cell>
          <cell r="G365" t="str">
            <v xml:space="preserve">CONTRATACION DIRECTA </v>
          </cell>
          <cell r="H365">
            <v>1</v>
          </cell>
          <cell r="I365" t="str">
            <v>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365">
            <v>1</v>
          </cell>
          <cell r="K365" t="str">
            <v>$2.500.000</v>
          </cell>
          <cell r="L365">
            <v>45784</v>
          </cell>
          <cell r="M365">
            <v>45808</v>
          </cell>
          <cell r="N365" t="str">
            <v xml:space="preserve">RIGOBERTO MELO ZAMBRANO        </v>
          </cell>
          <cell r="O365">
            <v>98333941</v>
          </cell>
          <cell r="P365" t="str">
            <v>nmjj1994@gmail.com</v>
          </cell>
          <cell r="Q365">
            <v>45784</v>
          </cell>
          <cell r="R365" t="str">
            <v>ALEXANDER YELA</v>
          </cell>
          <cell r="U365" t="str">
            <v>CELEBRADO</v>
          </cell>
          <cell r="W365" t="str">
            <v>2025-0177</v>
          </cell>
          <cell r="X365" t="str">
            <v>2025-0600</v>
          </cell>
          <cell r="AJ365">
            <v>2</v>
          </cell>
          <cell r="AK365">
            <v>0</v>
          </cell>
          <cell r="AL365">
            <v>3</v>
          </cell>
          <cell r="AM365" t="str">
            <v>$2.500.000</v>
          </cell>
        </row>
        <row r="366">
          <cell r="A366" t="str">
            <v>365-2025</v>
          </cell>
          <cell r="B366" t="str">
            <v>COMPRAVENTA</v>
          </cell>
          <cell r="C366" t="str">
            <v>COMERCIALIZADORA VALANTY S.A.S</v>
          </cell>
          <cell r="D366" t="str">
            <v>NIT</v>
          </cell>
          <cell r="E366">
            <v>900791264</v>
          </cell>
          <cell r="F366">
            <v>5</v>
          </cell>
          <cell r="G366" t="str">
            <v xml:space="preserve">CONTRATACION DIRECTA </v>
          </cell>
          <cell r="H366">
            <v>2</v>
          </cell>
          <cell r="I366" t="str">
            <v>Compra de mobiliario para dotar el área de quirófano del Hospital Santa Mónica de la empresa social del estado Pasto Salud ESE</v>
          </cell>
          <cell r="J366">
            <v>1</v>
          </cell>
          <cell r="K366" t="str">
            <v>$8.876.313,00</v>
          </cell>
          <cell r="L366">
            <v>45784</v>
          </cell>
          <cell r="M366">
            <v>45807</v>
          </cell>
          <cell r="N366" t="str">
            <v>STEFANYA RAMIREZ LOPERA</v>
          </cell>
          <cell r="O366">
            <v>111247705</v>
          </cell>
          <cell r="P366" t="str">
            <v>valantysas@hotmail.com</v>
          </cell>
          <cell r="Q366">
            <v>45784</v>
          </cell>
          <cell r="R366" t="str">
            <v>CRISTINA ROSERO</v>
          </cell>
          <cell r="U366" t="str">
            <v>CELEBRADO</v>
          </cell>
          <cell r="W366" t="str">
            <v>2025-0220</v>
          </cell>
          <cell r="X366" t="str">
            <v>2025-0601</v>
          </cell>
          <cell r="AJ366">
            <v>2</v>
          </cell>
          <cell r="AK366">
            <v>0</v>
          </cell>
          <cell r="AL366">
            <v>3</v>
          </cell>
          <cell r="AM366" t="str">
            <v>$8.876.313,00</v>
          </cell>
        </row>
        <row r="367">
          <cell r="A367" t="str">
            <v>366-2025</v>
          </cell>
          <cell r="B367" t="str">
            <v>PRESTACION DE SERVICIOS</v>
          </cell>
          <cell r="C367" t="str">
            <v>MERCEDES OLIVIA POVEDA</v>
          </cell>
          <cell r="D367" t="str">
            <v>CC</v>
          </cell>
          <cell r="E367">
            <v>37083937</v>
          </cell>
          <cell r="F367">
            <v>6</v>
          </cell>
          <cell r="G367" t="str">
            <v xml:space="preserve">CONTRATACION DIRECTA </v>
          </cell>
          <cell r="H367">
            <v>1</v>
          </cell>
          <cell r="I36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ell>
          <cell r="J367">
            <v>1</v>
          </cell>
          <cell r="K367" t="str">
            <v>$2.500.000</v>
          </cell>
          <cell r="L367">
            <v>45784</v>
          </cell>
          <cell r="M367">
            <v>45808</v>
          </cell>
          <cell r="N367" t="str">
            <v>RODRIGO DE JESUS VITERI MORENO</v>
          </cell>
          <cell r="O367">
            <v>98390119</v>
          </cell>
          <cell r="P367" t="str">
            <v>mercedespoveda214@gmail.com</v>
          </cell>
          <cell r="Q367">
            <v>45784</v>
          </cell>
          <cell r="R367" t="str">
            <v>ALEXANDER YELA</v>
          </cell>
          <cell r="U367" t="str">
            <v>CELEBRADO</v>
          </cell>
          <cell r="W367" t="str">
            <v>2025-0177</v>
          </cell>
          <cell r="X367" t="str">
            <v>2025-0602</v>
          </cell>
          <cell r="AJ367">
            <v>2</v>
          </cell>
          <cell r="AK367">
            <v>0</v>
          </cell>
          <cell r="AL367">
            <v>3</v>
          </cell>
          <cell r="AM367" t="str">
            <v>$2.500.000</v>
          </cell>
        </row>
        <row r="368">
          <cell r="A368" t="str">
            <v>367-2025</v>
          </cell>
          <cell r="B368" t="str">
            <v>PRESTACION DE SERVICIOS</v>
          </cell>
          <cell r="C368" t="str">
            <v>EDUARDO MAURICIO NARVAEZ GUERRA</v>
          </cell>
          <cell r="D368" t="str">
            <v>CC</v>
          </cell>
          <cell r="E368">
            <v>12990231</v>
          </cell>
          <cell r="F368">
            <v>5</v>
          </cell>
          <cell r="G368" t="str">
            <v xml:space="preserve">CONTRATACION DIRECTA </v>
          </cell>
          <cell r="H368">
            <v>1</v>
          </cell>
          <cell r="I368"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68">
            <v>1</v>
          </cell>
          <cell r="K368" t="str">
            <v>$2.500.000</v>
          </cell>
          <cell r="L368">
            <v>45784</v>
          </cell>
          <cell r="M368">
            <v>45808</v>
          </cell>
          <cell r="N368" t="str">
            <v>RODRIGO DE JESUS VITERI MORENO</v>
          </cell>
          <cell r="O368">
            <v>98390119</v>
          </cell>
          <cell r="P368" t="str">
            <v>narvaezmauricio418@gmail.com</v>
          </cell>
          <cell r="Q368">
            <v>45784</v>
          </cell>
          <cell r="R368" t="str">
            <v>ANDRES GUERRA</v>
          </cell>
          <cell r="U368" t="str">
            <v>CELEBRADO</v>
          </cell>
          <cell r="W368" t="str">
            <v>2025-0177</v>
          </cell>
          <cell r="X368" t="str">
            <v>2025-0603</v>
          </cell>
          <cell r="AJ368">
            <v>2</v>
          </cell>
          <cell r="AK368">
            <v>0</v>
          </cell>
          <cell r="AL368">
            <v>3</v>
          </cell>
          <cell r="AM368" t="str">
            <v>$2.500.000</v>
          </cell>
        </row>
        <row r="369">
          <cell r="A369" t="str">
            <v>368-2025</v>
          </cell>
          <cell r="B369" t="str">
            <v>PRESTACION DE SERVICIOS</v>
          </cell>
          <cell r="C369" t="str">
            <v>ANA CLEMENCIA BASTIDAS CERON</v>
          </cell>
          <cell r="D369" t="str">
            <v>CC</v>
          </cell>
          <cell r="E369">
            <v>59830040</v>
          </cell>
          <cell r="F369">
            <v>0</v>
          </cell>
          <cell r="G369" t="str">
            <v xml:space="preserve">CONTRATACION DIRECTA </v>
          </cell>
          <cell r="H369">
            <v>1</v>
          </cell>
          <cell r="I36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69">
            <v>1</v>
          </cell>
          <cell r="K369" t="str">
            <v>$3.000.000</v>
          </cell>
          <cell r="L369">
            <v>45784</v>
          </cell>
          <cell r="M369">
            <v>45808</v>
          </cell>
          <cell r="N369" t="str">
            <v>MARY ALEXANDRA ROSERO BENAVIDES</v>
          </cell>
          <cell r="O369">
            <v>43624414</v>
          </cell>
          <cell r="P369" t="str">
            <v>bastidasana351@gmail.com</v>
          </cell>
          <cell r="Q369">
            <v>45784</v>
          </cell>
          <cell r="R369" t="str">
            <v>JUAN GOMEZ</v>
          </cell>
          <cell r="U369" t="str">
            <v>CELEBRADO</v>
          </cell>
          <cell r="W369" t="str">
            <v>2025-0177</v>
          </cell>
          <cell r="X369" t="str">
            <v>2025-0604</v>
          </cell>
          <cell r="AJ369">
            <v>2</v>
          </cell>
          <cell r="AK369">
            <v>0</v>
          </cell>
          <cell r="AL369">
            <v>3</v>
          </cell>
          <cell r="AM369" t="str">
            <v>$3.000.000</v>
          </cell>
        </row>
        <row r="370">
          <cell r="A370" t="str">
            <v>369-2025</v>
          </cell>
          <cell r="B370" t="str">
            <v>COMPRAVENTA</v>
          </cell>
          <cell r="C370" t="str">
            <v>CARMEN ALICIA VALLEJO IBARRA</v>
          </cell>
          <cell r="D370" t="str">
            <v>CC</v>
          </cell>
          <cell r="E370">
            <v>30710116</v>
          </cell>
          <cell r="F370">
            <v>1</v>
          </cell>
          <cell r="G370" t="str">
            <v xml:space="preserve">CONTRATACION DIRECTA </v>
          </cell>
          <cell r="H370">
            <v>1</v>
          </cell>
          <cell r="I370" t="str">
            <v>COMPRA DE PAQUETES ABDOMINALES, BATAS Y CAMPOS QUIRÚRGICOS PARA EL HOSPITAL SANTA MONICA DE ACUERDO AL PLAN ANUAL DE ADQUISICIONES 2025 DE LA EMPRESA SOCIAL DEL ESTADO PASTO SALUD ESE</v>
          </cell>
          <cell r="J370">
            <v>1</v>
          </cell>
          <cell r="K370" t="str">
            <v>$29.800.000</v>
          </cell>
          <cell r="L370">
            <v>45784</v>
          </cell>
          <cell r="M370">
            <v>45822</v>
          </cell>
          <cell r="N370" t="str">
            <v>Leydy Marisol Criollo Criollo</v>
          </cell>
          <cell r="O370">
            <v>1085326239</v>
          </cell>
          <cell r="P370" t="str">
            <v>carmenaliciavallejo@hotmail.com</v>
          </cell>
          <cell r="Q370">
            <v>45784</v>
          </cell>
          <cell r="R370" t="str">
            <v>CRISTINA ROSERO</v>
          </cell>
          <cell r="U370" t="str">
            <v>CELEBRADO</v>
          </cell>
          <cell r="W370" t="str">
            <v>2025-0204</v>
          </cell>
          <cell r="X370" t="str">
            <v>2025-0605</v>
          </cell>
          <cell r="AJ370">
            <v>2</v>
          </cell>
          <cell r="AK370">
            <v>0</v>
          </cell>
          <cell r="AL370">
            <v>3</v>
          </cell>
          <cell r="AM370" t="str">
            <v>$29.800.000</v>
          </cell>
        </row>
        <row r="371">
          <cell r="A371" t="str">
            <v>370-2025</v>
          </cell>
          <cell r="B371" t="str">
            <v>PRESTACION DE SERVICIOS</v>
          </cell>
          <cell r="C371" t="str">
            <v>JUAN CARLOS PRADO BENAVIDES</v>
          </cell>
          <cell r="D371" t="str">
            <v>CC</v>
          </cell>
          <cell r="E371">
            <v>1085250756</v>
          </cell>
          <cell r="F371">
            <v>1</v>
          </cell>
          <cell r="G371" t="str">
            <v xml:space="preserve">CONTRATACION DIRECTA </v>
          </cell>
          <cell r="H371">
            <v>1</v>
          </cell>
          <cell r="I371" t="str">
            <v>El contratista se compromete para con la Empresa Social del Estado PASTO SALUD ESE a prestar sus servicios como diseñador gráfico para el desarrollo de las actividades contempladas en el componente de Débil Garantía Derecho a la Salud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71">
            <v>1</v>
          </cell>
          <cell r="K371" t="str">
            <v>$20.400.000</v>
          </cell>
          <cell r="L371">
            <v>45784</v>
          </cell>
          <cell r="M371">
            <v>45961</v>
          </cell>
          <cell r="N371" t="str">
            <v>OSCAR MIGUEL GOYES CABRERA</v>
          </cell>
          <cell r="O371">
            <v>87711882</v>
          </cell>
          <cell r="P371" t="str">
            <v>jotacepradobe@gmail.com</v>
          </cell>
          <cell r="Q371">
            <v>45784</v>
          </cell>
          <cell r="R371" t="str">
            <v>ALEXANDER YELA</v>
          </cell>
          <cell r="U371" t="str">
            <v>CELEBRADO</v>
          </cell>
          <cell r="W371" t="str">
            <v>2025-0200</v>
          </cell>
          <cell r="X371" t="str">
            <v>2025-0606</v>
          </cell>
          <cell r="AJ371">
            <v>2</v>
          </cell>
          <cell r="AK371">
            <v>0</v>
          </cell>
          <cell r="AL371">
            <v>2</v>
          </cell>
          <cell r="AM371" t="str">
            <v>$20.400.000</v>
          </cell>
        </row>
        <row r="372">
          <cell r="A372" t="str">
            <v>371-2025</v>
          </cell>
          <cell r="B372" t="str">
            <v>PRESTACION DE SERVICIOS</v>
          </cell>
          <cell r="C372" t="str">
            <v>VERONICA ROXANA MORAN VILLOTA</v>
          </cell>
          <cell r="D372" t="str">
            <v>CC</v>
          </cell>
          <cell r="E372">
            <v>1085296353</v>
          </cell>
          <cell r="F372">
            <v>5</v>
          </cell>
          <cell r="G372" t="str">
            <v xml:space="preserve">CONTRATACION DIRECTA </v>
          </cell>
          <cell r="H372">
            <v>1</v>
          </cell>
          <cell r="I372" t="str">
            <v>EI contratista se compromete para con la Empresa Social del Estado PASTO SALUD ESE a prestar sus servicios como auxiliar de enfermeria para el desarrollo de las actividades contempladas en el componente de Débil Vigilancia Epidemiológica - Vigilancia Comunitaria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72">
            <v>1</v>
          </cell>
          <cell r="K372" t="str">
            <v>$12.000.000</v>
          </cell>
          <cell r="L372">
            <v>45784</v>
          </cell>
          <cell r="M372">
            <v>45961</v>
          </cell>
          <cell r="N372" t="str">
            <v>OSCAR MIGUEL GOYES CABRERA</v>
          </cell>
          <cell r="O372">
            <v>87711882</v>
          </cell>
          <cell r="P372" t="str">
            <v>trabajoalcaldia1250@gmail.com</v>
          </cell>
          <cell r="Q372">
            <v>45784</v>
          </cell>
          <cell r="R372" t="str">
            <v>ANDRES GUERRA</v>
          </cell>
          <cell r="U372" t="str">
            <v>CELEBRADO</v>
          </cell>
          <cell r="W372" t="str">
            <v>2025-0200</v>
          </cell>
          <cell r="X372" t="str">
            <v>2025-0607</v>
          </cell>
          <cell r="AJ372">
            <v>2</v>
          </cell>
          <cell r="AK372">
            <v>0</v>
          </cell>
          <cell r="AL372">
            <v>2</v>
          </cell>
          <cell r="AM372" t="str">
            <v>$12.000.000</v>
          </cell>
        </row>
        <row r="373">
          <cell r="A373" t="str">
            <v>372-2025</v>
          </cell>
          <cell r="B373" t="str">
            <v>SUMINISTROS</v>
          </cell>
          <cell r="C373" t="str">
            <v>SOLUCIONES INTEGRALES DE INGENIERIA LR S.AS</v>
          </cell>
          <cell r="D373" t="str">
            <v>NIT</v>
          </cell>
          <cell r="E373">
            <v>901095545</v>
          </cell>
          <cell r="F373">
            <v>8</v>
          </cell>
          <cell r="G373" t="str">
            <v xml:space="preserve">CONTRATACION DIRECTA </v>
          </cell>
          <cell r="H373">
            <v>2</v>
          </cell>
          <cell r="I373" t="str">
            <v>Suministro de llantas, neumáticos, protectores, válvulas, accesorios necesarios con su correspondiente montaje en el parque automotor de la Empresa Social del Estado Pasto Salud E.S.E.</v>
          </cell>
          <cell r="J373">
            <v>1</v>
          </cell>
          <cell r="K373" t="str">
            <v>$45.000.000</v>
          </cell>
          <cell r="L373">
            <v>45784</v>
          </cell>
          <cell r="M373">
            <v>46022</v>
          </cell>
          <cell r="N373" t="str">
            <v>JUAN CARLOS OJEDA VILLOTA</v>
          </cell>
          <cell r="O373">
            <v>12986906</v>
          </cell>
          <cell r="P373" t="str">
            <v>sideingenieriasas@gmail.com</v>
          </cell>
          <cell r="Q373">
            <v>45784</v>
          </cell>
          <cell r="R373" t="str">
            <v>NATALIA ERAZO</v>
          </cell>
          <cell r="U373" t="str">
            <v>CELEBRADO</v>
          </cell>
          <cell r="W373" t="str">
            <v>2025-0179</v>
          </cell>
          <cell r="X373" t="str">
            <v>2025-0608</v>
          </cell>
          <cell r="AJ373">
            <v>2</v>
          </cell>
          <cell r="AK373">
            <v>0</v>
          </cell>
          <cell r="AL373">
            <v>2</v>
          </cell>
          <cell r="AM373" t="str">
            <v>$45.000.000</v>
          </cell>
        </row>
        <row r="374">
          <cell r="A374" t="str">
            <v>373-2025</v>
          </cell>
          <cell r="B374" t="str">
            <v>PRESTACION DE SERVICIOS</v>
          </cell>
          <cell r="C374" t="str">
            <v>JESSICA STEFANNY FRANCO ERASO</v>
          </cell>
          <cell r="D374" t="str">
            <v>CC</v>
          </cell>
          <cell r="E374">
            <v>1085272491</v>
          </cell>
          <cell r="F374">
            <v>1</v>
          </cell>
          <cell r="G374" t="str">
            <v xml:space="preserve">CONTRATACION DIRECTA </v>
          </cell>
          <cell r="H374">
            <v>1</v>
          </cell>
          <cell r="I374" t="str">
            <v>El contratista se compromete para con la Empresa Social del Estado PASTO SALUD ESE aprestar sus servicios como enfermera para el desarrollo de las actividades contempladas en el componente de Morbi Mortalidad Materna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74">
            <v>1</v>
          </cell>
          <cell r="K374" t="str">
            <v>$20.400.000</v>
          </cell>
          <cell r="L374">
            <v>45784</v>
          </cell>
          <cell r="M374">
            <v>45961</v>
          </cell>
          <cell r="N374" t="str">
            <v>OSCAR MIGUEL GOYES CABRERA</v>
          </cell>
          <cell r="O374">
            <v>87711882</v>
          </cell>
          <cell r="P374" t="str">
            <v>jessicafranco 29@hotmail.com</v>
          </cell>
          <cell r="Q374">
            <v>45784</v>
          </cell>
          <cell r="R374" t="str">
            <v>ELIANA BENAVIDES</v>
          </cell>
          <cell r="U374" t="str">
            <v>CELEBRADO</v>
          </cell>
          <cell r="W374" t="str">
            <v>2025-0200</v>
          </cell>
          <cell r="X374" t="str">
            <v>2025-0609</v>
          </cell>
          <cell r="AJ374">
            <v>2</v>
          </cell>
          <cell r="AK374">
            <v>0</v>
          </cell>
          <cell r="AL374">
            <v>2</v>
          </cell>
          <cell r="AM374" t="str">
            <v>$20.400.000</v>
          </cell>
        </row>
        <row r="375">
          <cell r="A375" t="str">
            <v>374-2025</v>
          </cell>
          <cell r="B375" t="str">
            <v>PRESTACION DE SERVICIOS</v>
          </cell>
          <cell r="C375" t="str">
            <v>KAREN YURANI MELO DOMINGUEZ</v>
          </cell>
          <cell r="D375" t="str">
            <v>CC</v>
          </cell>
          <cell r="E375">
            <v>1193385491</v>
          </cell>
          <cell r="F375">
            <v>7</v>
          </cell>
          <cell r="G375" t="str">
            <v xml:space="preserve">CONTRATACION DIRECTA </v>
          </cell>
          <cell r="H375">
            <v>1</v>
          </cell>
          <cell r="I375" t="str">
            <v>El contratista se compromete para con la Empresa Social del Estado PASTO SALUD ESE aprestar sus servicios como nutricionista para el desarrollo de las actividades contempladas en el componente de Mal Nutrición - SAN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75">
            <v>1</v>
          </cell>
          <cell r="K375" t="str">
            <v>$20.400.000</v>
          </cell>
          <cell r="L375">
            <v>45784</v>
          </cell>
          <cell r="M375">
            <v>45961</v>
          </cell>
          <cell r="N375" t="str">
            <v>OSCAR MIGUEL GOYES CABRERA</v>
          </cell>
          <cell r="O375">
            <v>87711882</v>
          </cell>
          <cell r="P375" t="str">
            <v>karendominguez05012001@gmail.com</v>
          </cell>
          <cell r="Q375">
            <v>45784</v>
          </cell>
          <cell r="R375" t="str">
            <v>CRISTINA ROSERO</v>
          </cell>
          <cell r="U375" t="str">
            <v>CELEBRADO</v>
          </cell>
          <cell r="W375" t="str">
            <v>2025-0200</v>
          </cell>
          <cell r="X375" t="str">
            <v>2025-0610</v>
          </cell>
          <cell r="AJ375">
            <v>2</v>
          </cell>
          <cell r="AK375">
            <v>0</v>
          </cell>
          <cell r="AL375">
            <v>2</v>
          </cell>
          <cell r="AM375" t="str">
            <v>$20.400.000</v>
          </cell>
        </row>
        <row r="376">
          <cell r="A376" t="str">
            <v>375-2025</v>
          </cell>
          <cell r="B376" t="str">
            <v>PRESTACION DE SERVICIOS</v>
          </cell>
          <cell r="C376" t="str">
            <v>ANA MILENA JACANAMIJOY TREJO</v>
          </cell>
          <cell r="D376" t="str">
            <v>CC</v>
          </cell>
          <cell r="E376">
            <v>36753698</v>
          </cell>
          <cell r="F376">
            <v>2</v>
          </cell>
          <cell r="G376" t="str">
            <v xml:space="preserve">CONTRATACION DIRECTA </v>
          </cell>
          <cell r="H376">
            <v>1</v>
          </cell>
          <cell r="I37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ell>
          <cell r="J376">
            <v>1</v>
          </cell>
          <cell r="K376" t="str">
            <v>$3.000.000</v>
          </cell>
          <cell r="L376">
            <v>45784</v>
          </cell>
          <cell r="M376">
            <v>45808</v>
          </cell>
          <cell r="N376" t="str">
            <v>RIGOBERTO MELO ZAMBRANO</v>
          </cell>
          <cell r="O376">
            <v>98333941</v>
          </cell>
          <cell r="P376" t="str">
            <v>jacanamijoymile@gmail.com</v>
          </cell>
          <cell r="Q376">
            <v>45784</v>
          </cell>
          <cell r="R376" t="str">
            <v>ANDRES GUERRA</v>
          </cell>
          <cell r="U376" t="str">
            <v>CELEBRADO</v>
          </cell>
          <cell r="W376" t="str">
            <v>2025-0177</v>
          </cell>
          <cell r="X376" t="str">
            <v>2025-0611</v>
          </cell>
          <cell r="AJ376">
            <v>2</v>
          </cell>
          <cell r="AK376">
            <v>0</v>
          </cell>
          <cell r="AL376">
            <v>3</v>
          </cell>
          <cell r="AM376" t="str">
            <v>$3.000.000</v>
          </cell>
        </row>
        <row r="377">
          <cell r="A377" t="str">
            <v>376-2025</v>
          </cell>
          <cell r="B377" t="str">
            <v>PRESTACION DE SERVICIOS</v>
          </cell>
          <cell r="C377" t="str">
            <v>YANIRA DEL ROSARIO LOPEZ BASANTE</v>
          </cell>
          <cell r="D377" t="str">
            <v>CC</v>
          </cell>
          <cell r="E377">
            <v>36757298</v>
          </cell>
          <cell r="F377">
            <v>8</v>
          </cell>
          <cell r="G377" t="str">
            <v xml:space="preserve">CONTRATACION DIRECTA </v>
          </cell>
          <cell r="H377">
            <v>1</v>
          </cell>
          <cell r="I377" t="str">
            <v>EI contratista se compromete para con la Empresa Social del Estado PASTO SALUD ESE a prestar sus servicios como tecnólogo en promoción de la salud para el desarrollo de las actividades contempladas en el componente de Mal Nutrición HEVS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77">
            <v>1</v>
          </cell>
          <cell r="K377" t="str">
            <v>$15.600.000</v>
          </cell>
          <cell r="L377">
            <v>45784</v>
          </cell>
          <cell r="M377">
            <v>45976</v>
          </cell>
          <cell r="N377" t="str">
            <v>OSCAR MIGUEL GOYES CABRERA</v>
          </cell>
          <cell r="O377">
            <v>87711882</v>
          </cell>
          <cell r="P377" t="str">
            <v>yaroloba2020@gmail.com</v>
          </cell>
          <cell r="Q377">
            <v>45784</v>
          </cell>
          <cell r="R377" t="str">
            <v>ANDRES GUERRA</v>
          </cell>
          <cell r="U377" t="str">
            <v>CELEBRADO</v>
          </cell>
          <cell r="W377" t="str">
            <v>2025-0200</v>
          </cell>
          <cell r="X377" t="str">
            <v>2025-0612</v>
          </cell>
          <cell r="AJ377">
            <v>2</v>
          </cell>
          <cell r="AK377">
            <v>0</v>
          </cell>
          <cell r="AL377">
            <v>2</v>
          </cell>
          <cell r="AM377" t="str">
            <v>$15.600.000</v>
          </cell>
        </row>
        <row r="378">
          <cell r="A378" t="str">
            <v>377-2025</v>
          </cell>
          <cell r="B378" t="str">
            <v>PRESTACION DE SERVICIOS</v>
          </cell>
          <cell r="C378" t="str">
            <v>JOHN EDISSON BRAVO BOTINA</v>
          </cell>
          <cell r="D378" t="str">
            <v>CC</v>
          </cell>
          <cell r="E378">
            <v>1085279124</v>
          </cell>
          <cell r="F378">
            <v>3</v>
          </cell>
          <cell r="G378" t="str">
            <v xml:space="preserve">CONTRATACION DIRECTA </v>
          </cell>
          <cell r="H378">
            <v>1</v>
          </cell>
          <cell r="I378" t="str">
            <v>El contratista se compromete para con la Empresa Social del Estado PASTO SALUD ESE a prestar sus servicios como tecnólogo en promoción de la salud para el desarrollo de las actividades contempladas en el componente de Morbi Mortalidad Materna SSR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Salúd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Secretaría Municipal de Salud.</v>
          </cell>
          <cell r="J378">
            <v>1</v>
          </cell>
          <cell r="K378" t="str">
            <v>$14.400.000,00</v>
          </cell>
          <cell r="L378">
            <v>45785</v>
          </cell>
          <cell r="M378">
            <v>45961</v>
          </cell>
          <cell r="N378" t="str">
            <v>OSCAR MIGUEL GOYES CABRERA</v>
          </cell>
          <cell r="O378">
            <v>87711882</v>
          </cell>
          <cell r="P378" t="str">
            <v>bravobotina@gmail.com</v>
          </cell>
          <cell r="Q378">
            <v>45785</v>
          </cell>
          <cell r="R378" t="str">
            <v>ELIANA BENAVIDES</v>
          </cell>
          <cell r="U378" t="str">
            <v>CELEBRADO</v>
          </cell>
          <cell r="W378" t="str">
            <v>2025-0200</v>
          </cell>
          <cell r="X378" t="str">
            <v>2025-0621</v>
          </cell>
          <cell r="AJ378">
            <v>2</v>
          </cell>
          <cell r="AK378">
            <v>0</v>
          </cell>
          <cell r="AL378">
            <v>2</v>
          </cell>
          <cell r="AM378" t="str">
            <v>$14.400.000,00</v>
          </cell>
        </row>
        <row r="379">
          <cell r="A379" t="str">
            <v>378-2025</v>
          </cell>
          <cell r="B379" t="str">
            <v>PRESTACION DE SERVICIOS</v>
          </cell>
          <cell r="C379" t="str">
            <v>EMILY ROMERO MENDOZA</v>
          </cell>
          <cell r="D379" t="str">
            <v>CC</v>
          </cell>
          <cell r="E379">
            <v>1193223736</v>
          </cell>
          <cell r="F379">
            <v>1</v>
          </cell>
          <cell r="G379" t="str">
            <v xml:space="preserve">CONTRATACION DIRECTA </v>
          </cell>
          <cell r="H379">
            <v>1</v>
          </cell>
          <cell r="I379"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79">
            <v>1</v>
          </cell>
          <cell r="K379" t="str">
            <v>$6.000.000</v>
          </cell>
          <cell r="L379">
            <v>45785</v>
          </cell>
          <cell r="M379">
            <v>45808</v>
          </cell>
          <cell r="N379" t="str">
            <v>MARY ALEXANDRA ROSERO BENAVIDES</v>
          </cell>
          <cell r="O379">
            <v>43624414</v>
          </cell>
          <cell r="P379" t="str">
            <v>emyrm2016@gmail.com</v>
          </cell>
          <cell r="Q379">
            <v>45785</v>
          </cell>
          <cell r="R379" t="str">
            <v>ALEXANDER YELA</v>
          </cell>
          <cell r="U379" t="str">
            <v>CELEBRADO</v>
          </cell>
          <cell r="W379" t="str">
            <v>2025-0177</v>
          </cell>
          <cell r="X379" t="str">
            <v>2025-0622</v>
          </cell>
          <cell r="AJ379">
            <v>2</v>
          </cell>
          <cell r="AK379">
            <v>0</v>
          </cell>
          <cell r="AL379">
            <v>3</v>
          </cell>
          <cell r="AM379" t="str">
            <v>$6.000.000</v>
          </cell>
        </row>
        <row r="380">
          <cell r="A380" t="str">
            <v>379-2025</v>
          </cell>
          <cell r="B380" t="str">
            <v>PRESTACION DE SERVICIOS</v>
          </cell>
          <cell r="C380" t="str">
            <v>ANGELA JENNIFER VALLEJO PALACIOS</v>
          </cell>
          <cell r="D380" t="str">
            <v>CC</v>
          </cell>
          <cell r="E380">
            <v>1085254615</v>
          </cell>
          <cell r="F380">
            <v>1</v>
          </cell>
          <cell r="G380" t="str">
            <v xml:space="preserve">CONTRATACION DIRECTA </v>
          </cell>
          <cell r="H380">
            <v>1</v>
          </cell>
          <cell r="I380" t="str">
            <v>El contratista se comprornete para con la Empresa Social del Estado PASTO SALUD ESE a prestar sus servicios como administrador en salud ocupacional para el desarrollo de las actividades contempladas en el componente Transversal del PSPIC,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premises,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80">
            <v>1</v>
          </cell>
          <cell r="K380" t="str">
            <v>$14.400.000,00</v>
          </cell>
          <cell r="L380">
            <v>45785</v>
          </cell>
          <cell r="M380">
            <v>45966</v>
          </cell>
          <cell r="N380" t="str">
            <v>OSCAR MIGUEL GOYES CABRERA</v>
          </cell>
          <cell r="O380">
            <v>87711882</v>
          </cell>
          <cell r="P380" t="str">
            <v>angelacios0224@gmail.com</v>
          </cell>
          <cell r="Q380">
            <v>45785</v>
          </cell>
          <cell r="R380" t="str">
            <v>ELIANA BENAVIDES</v>
          </cell>
          <cell r="U380" t="str">
            <v>CELEBRADO</v>
          </cell>
          <cell r="W380" t="str">
            <v>2025-0200</v>
          </cell>
          <cell r="X380" t="str">
            <v>2025-0623</v>
          </cell>
          <cell r="AJ380">
            <v>2</v>
          </cell>
          <cell r="AK380">
            <v>0</v>
          </cell>
          <cell r="AL380">
            <v>2</v>
          </cell>
          <cell r="AM380" t="str">
            <v>$14.400.000,00</v>
          </cell>
        </row>
        <row r="381">
          <cell r="A381" t="str">
            <v>380-2025</v>
          </cell>
          <cell r="B381" t="str">
            <v>PRESTACION DE SERVICIOS</v>
          </cell>
          <cell r="C381" t="str">
            <v>ROLANDO PALACIOS DELGADO</v>
          </cell>
          <cell r="D381" t="str">
            <v>CC</v>
          </cell>
          <cell r="E381">
            <v>87246930</v>
          </cell>
          <cell r="F381">
            <v>8</v>
          </cell>
          <cell r="G381" t="str">
            <v xml:space="preserve">CONTRATACION DIRECTA </v>
          </cell>
          <cell r="H381">
            <v>1</v>
          </cell>
          <cell r="I381" t="str">
            <v>El contratista se compromete para con la Empresa Social del Estado PASTO SALUD ESE a prestar sus servicios como licenciado en artes para el desarrollo de las actividades contempladas en el componente de Deficiente Resolutividad GDPE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81">
            <v>1</v>
          </cell>
          <cell r="K381" t="str">
            <v>$20.400.000</v>
          </cell>
          <cell r="L381">
            <v>45785</v>
          </cell>
          <cell r="M381">
            <v>45961</v>
          </cell>
          <cell r="N381" t="str">
            <v>OSCAR MIGUEL GOYES CABRERA</v>
          </cell>
          <cell r="O381">
            <v>87711882</v>
          </cell>
          <cell r="P381" t="str">
            <v>ropade72@gmail.com</v>
          </cell>
          <cell r="Q381">
            <v>45785</v>
          </cell>
          <cell r="R381" t="str">
            <v>JUAN GOMEZ</v>
          </cell>
          <cell r="U381" t="str">
            <v>CELEBRADO</v>
          </cell>
          <cell r="W381" t="str">
            <v>2025-0200</v>
          </cell>
          <cell r="X381" t="str">
            <v>2025-0624</v>
          </cell>
          <cell r="AJ381">
            <v>2</v>
          </cell>
          <cell r="AK381">
            <v>0</v>
          </cell>
          <cell r="AL381">
            <v>2</v>
          </cell>
          <cell r="AM381" t="str">
            <v>$20.400.000</v>
          </cell>
        </row>
        <row r="382">
          <cell r="A382" t="str">
            <v>381-2025</v>
          </cell>
          <cell r="B382" t="str">
            <v>PRESTACION DE SERVICIOS</v>
          </cell>
          <cell r="C382" t="str">
            <v>LILIAN LUCIA RENGIFO MUÑOZ</v>
          </cell>
          <cell r="D382" t="str">
            <v>CC</v>
          </cell>
          <cell r="E382">
            <v>36753097</v>
          </cell>
          <cell r="F382">
            <v>6</v>
          </cell>
          <cell r="G382" t="str">
            <v xml:space="preserve">CONTRATACION DIRECTA </v>
          </cell>
          <cell r="H382">
            <v>1</v>
          </cell>
          <cell r="I382" t="str">
            <v>Prestación de servicios profesionales médicos especializados en el servicio de radiología para la lectura de las imágenes diagnosticas de rayos X, toma y lectura de ecografías en la sede del Hospital de Santa Mónica para los usuarios que solicitan el servicio en esta institución.</v>
          </cell>
          <cell r="J382">
            <v>1</v>
          </cell>
          <cell r="K382" t="str">
            <v>$100.000.000</v>
          </cell>
          <cell r="L382">
            <v>45786</v>
          </cell>
          <cell r="M382">
            <v>45970</v>
          </cell>
          <cell r="N382" t="str">
            <v>MARY ALEXANDRA ROSERO BENAVIDES</v>
          </cell>
          <cell r="O382">
            <v>43624414</v>
          </cell>
          <cell r="P382" t="str">
            <v>lilianrengifom1602@hotmail.com</v>
          </cell>
          <cell r="Q382">
            <v>45786</v>
          </cell>
          <cell r="R382" t="str">
            <v>ALEXANDER YELA</v>
          </cell>
          <cell r="U382" t="str">
            <v>CELEBRADO</v>
          </cell>
          <cell r="W382" t="str">
            <v>2025-0230</v>
          </cell>
          <cell r="X382" t="str">
            <v>2025-0625</v>
          </cell>
          <cell r="AJ382">
            <v>2</v>
          </cell>
          <cell r="AK382">
            <v>0</v>
          </cell>
          <cell r="AL382">
            <v>2</v>
          </cell>
          <cell r="AM382" t="str">
            <v>$100.000.000</v>
          </cell>
        </row>
        <row r="383">
          <cell r="A383" t="str">
            <v>382-2025</v>
          </cell>
          <cell r="B383" t="str">
            <v>PRESTACION DE SERVICIOS</v>
          </cell>
          <cell r="C383" t="str">
            <v>TECHMEDIC S.A.S</v>
          </cell>
          <cell r="D383" t="str">
            <v>NIT</v>
          </cell>
          <cell r="E383">
            <v>900621283</v>
          </cell>
          <cell r="F383">
            <v>7</v>
          </cell>
          <cell r="G383" t="str">
            <v xml:space="preserve">CONTRATACION DIRECTA </v>
          </cell>
          <cell r="H383">
            <v>2</v>
          </cell>
          <cell r="I383" t="str">
            <v>"PRESTAR EL SERVICIO DE MANTENIMIENTO PREVENTIVO Y CORRECTIVO DE LOS SISTEMAS DE LLAMADO DE ENFERMERÍA DE LAS ÁREAS DE HOSPITALIZACIÓN, URGENCIA, CIRUGÍA EN LAS SEDES DEL CENTRO HOSPITAL LA ROSA, HOSPITAL LOCAL CIVIL, CENTRO DE SALUD SAN VICENTE Y HOSPITAL SANTA MONICA DE LA EMPRESA PASTO SALUD E.S.E</v>
          </cell>
          <cell r="J383">
            <v>1</v>
          </cell>
          <cell r="K383" t="str">
            <v>$24.633.000</v>
          </cell>
          <cell r="L383">
            <v>45789</v>
          </cell>
          <cell r="M383">
            <v>45869</v>
          </cell>
          <cell r="N383" t="str">
            <v xml:space="preserve">	MARIO FERNADO NARANJO LOPEZ</v>
          </cell>
          <cell r="O383">
            <v>1004189613</v>
          </cell>
          <cell r="P383" t="str">
            <v>estebanacosta03@yahoo.com</v>
          </cell>
          <cell r="Q383">
            <v>45789</v>
          </cell>
          <cell r="R383" t="str">
            <v>JUAN GOMEZ</v>
          </cell>
          <cell r="U383" t="str">
            <v>CELEBRADO</v>
          </cell>
          <cell r="W383" t="str">
            <v>2025-0225</v>
          </cell>
          <cell r="X383" t="str">
            <v>2025-0627</v>
          </cell>
          <cell r="AJ383">
            <v>2</v>
          </cell>
          <cell r="AK383">
            <v>0</v>
          </cell>
          <cell r="AL383">
            <v>2</v>
          </cell>
          <cell r="AM383" t="str">
            <v>$24.633.000</v>
          </cell>
        </row>
        <row r="384">
          <cell r="A384" t="str">
            <v>383-2025</v>
          </cell>
          <cell r="B384" t="str">
            <v>PRESTACION DE SERVICIOS</v>
          </cell>
          <cell r="C384" t="str">
            <v>DIANA MARCELA MELO ERASO</v>
          </cell>
          <cell r="D384" t="str">
            <v>CC</v>
          </cell>
          <cell r="E384">
            <v>1233188873</v>
          </cell>
          <cell r="F384">
            <v>7</v>
          </cell>
          <cell r="G384" t="str">
            <v xml:space="preserve">CONTRATACION DIRECTA </v>
          </cell>
          <cell r="H384">
            <v>1</v>
          </cell>
          <cell r="I384" t="str">
            <v>El contratista se compromete para con la Empresa Social del Estado PASTO SALUD ESE aprestar sus servicios como psicólogo para el desarrollo de las actividades contempladas en el componente de Lesiones Autoinfligidas Estrategias Salud Mental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84">
            <v>1</v>
          </cell>
          <cell r="K384" t="str">
            <v>$20.400.000</v>
          </cell>
          <cell r="L384">
            <v>45790</v>
          </cell>
          <cell r="M384">
            <v>45961</v>
          </cell>
          <cell r="N384" t="str">
            <v>OSCAR MIGUEL GOYES CABRERA</v>
          </cell>
          <cell r="O384">
            <v>87711882</v>
          </cell>
          <cell r="P384" t="str">
            <v>dianammeloe@gmail.com</v>
          </cell>
          <cell r="Q384">
            <v>45790</v>
          </cell>
          <cell r="R384" t="str">
            <v>CRISTINA ROSERO</v>
          </cell>
          <cell r="U384" t="str">
            <v>CELEBRADO</v>
          </cell>
          <cell r="W384" t="str">
            <v>2025-0200</v>
          </cell>
          <cell r="X384" t="str">
            <v>2025-0628</v>
          </cell>
          <cell r="AJ384">
            <v>2</v>
          </cell>
          <cell r="AK384">
            <v>0</v>
          </cell>
          <cell r="AL384">
            <v>2</v>
          </cell>
          <cell r="AM384" t="str">
            <v>$20.400.000</v>
          </cell>
        </row>
        <row r="385">
          <cell r="A385" t="str">
            <v>384-2025</v>
          </cell>
          <cell r="B385" t="str">
            <v>COMPRAVENTA</v>
          </cell>
          <cell r="C385" t="str">
            <v>TECNICA ELECTRO MEDICA S.A</v>
          </cell>
          <cell r="D385" t="str">
            <v>NIT</v>
          </cell>
          <cell r="E385">
            <v>830004892</v>
          </cell>
          <cell r="F385">
            <v>2</v>
          </cell>
          <cell r="G385" t="str">
            <v xml:space="preserve">CONTRATACION DIRECTA </v>
          </cell>
          <cell r="H385">
            <v>2</v>
          </cell>
          <cell r="I385" t="str">
            <v>COMPRA DE EQUIPOS BIOMÉDICOS PARA EL SERVICIO DE CIRUGIA DE LA SEDE SANTA MONICA DE LA EMPRESA SOCIAL DEL ESTADO PASTO SALUD ESE</v>
          </cell>
          <cell r="J385">
            <v>4</v>
          </cell>
          <cell r="K385" t="str">
            <v>$29.078.602</v>
          </cell>
          <cell r="L385">
            <v>45790</v>
          </cell>
          <cell r="M385">
            <v>45800</v>
          </cell>
          <cell r="N385" t="str">
            <v xml:space="preserve">	MARIO FERNADO NARANJO LOPEZ</v>
          </cell>
          <cell r="O385">
            <v>1004189613</v>
          </cell>
          <cell r="P385" t="str">
            <v>licitaciones@tecnicaelectromedica.com</v>
          </cell>
          <cell r="Q385">
            <v>45790</v>
          </cell>
          <cell r="R385" t="str">
            <v>ALEXANDER YELA</v>
          </cell>
          <cell r="U385" t="str">
            <v>CELEBRADO</v>
          </cell>
          <cell r="W385" t="str">
            <v>2025-0216</v>
          </cell>
          <cell r="X385" t="str">
            <v>2025-0629</v>
          </cell>
          <cell r="AJ385">
            <v>2</v>
          </cell>
          <cell r="AK385">
            <v>0</v>
          </cell>
          <cell r="AL385">
            <v>3</v>
          </cell>
          <cell r="AM385" t="str">
            <v>$29.078.602</v>
          </cell>
        </row>
        <row r="386">
          <cell r="A386" t="str">
            <v>385-2025</v>
          </cell>
          <cell r="B386" t="str">
            <v>PRESTACION DE SERVICIOS</v>
          </cell>
          <cell r="C386" t="str">
            <v>DIANA CAROLINA BENAVIDES</v>
          </cell>
          <cell r="D386" t="str">
            <v>CC</v>
          </cell>
          <cell r="E386">
            <v>1085285155</v>
          </cell>
          <cell r="F386">
            <v>6</v>
          </cell>
          <cell r="G386" t="str">
            <v xml:space="preserve">CONTRATACION DIRECTA </v>
          </cell>
          <cell r="H386">
            <v>1</v>
          </cell>
          <cell r="I386" t="str">
            <v>EI contratista se compromete para con la Empresa Social del Estado PASTO SALUD ESE a prestar sus servicios como auxiliar de enfermería para el desarrollo de las actividades contempladas en el componente de Morbi Mortalidad Enfermedades Transmisibles Estrategia Inmunización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Secretaría Municipal de Salud.</v>
          </cell>
          <cell r="J386">
            <v>1</v>
          </cell>
          <cell r="K386" t="str">
            <v>$12.000.000</v>
          </cell>
          <cell r="L386">
            <v>45790</v>
          </cell>
          <cell r="M386">
            <v>45961</v>
          </cell>
          <cell r="N386" t="str">
            <v>OSCAR MIGUEL GOYES CABRERA</v>
          </cell>
          <cell r="O386">
            <v>87711882</v>
          </cell>
          <cell r="P386" t="str">
            <v>dianac1589@gmail.com</v>
          </cell>
          <cell r="Q386">
            <v>45790</v>
          </cell>
          <cell r="R386" t="str">
            <v>ANDRES GUERRA</v>
          </cell>
          <cell r="U386" t="str">
            <v>CELEBRADO</v>
          </cell>
          <cell r="W386" t="str">
            <v>2025-0200</v>
          </cell>
          <cell r="X386" t="str">
            <v>2025-0630</v>
          </cell>
          <cell r="AJ386">
            <v>2</v>
          </cell>
          <cell r="AK386">
            <v>0</v>
          </cell>
          <cell r="AL386">
            <v>3</v>
          </cell>
          <cell r="AM386" t="str">
            <v>$12.000.000</v>
          </cell>
        </row>
        <row r="387">
          <cell r="A387" t="str">
            <v>386-2025</v>
          </cell>
          <cell r="B387" t="str">
            <v>PRESTACION DE SERVICIOS</v>
          </cell>
          <cell r="C387" t="str">
            <v>NAYIBE JACQUELINNE TULCAN GAMBOA</v>
          </cell>
          <cell r="D387" t="str">
            <v>CC</v>
          </cell>
          <cell r="E387">
            <v>37087117</v>
          </cell>
          <cell r="F387">
            <v>1</v>
          </cell>
          <cell r="G387" t="str">
            <v xml:space="preserve">CONTRATACION DIRECTA </v>
          </cell>
          <cell r="H387">
            <v>1</v>
          </cell>
          <cell r="I38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387">
            <v>1</v>
          </cell>
          <cell r="K387" t="str">
            <v>$3.000.000</v>
          </cell>
          <cell r="L387">
            <v>45790</v>
          </cell>
          <cell r="M387">
            <v>45808</v>
          </cell>
          <cell r="N387" t="str">
            <v>MARY ALEXANDRA ROSERO BENAVIDES</v>
          </cell>
          <cell r="O387">
            <v>43624414</v>
          </cell>
          <cell r="P387" t="str">
            <v>nayistg@gmail.com</v>
          </cell>
          <cell r="Q387">
            <v>45790</v>
          </cell>
          <cell r="R387" t="str">
            <v>CRISTINA ROSERO</v>
          </cell>
          <cell r="U387" t="str">
            <v>CELEBRADO</v>
          </cell>
          <cell r="W387" t="str">
            <v>2025-0177</v>
          </cell>
          <cell r="X387" t="str">
            <v>2025-0631</v>
          </cell>
          <cell r="AJ387">
            <v>2</v>
          </cell>
          <cell r="AK387">
            <v>0</v>
          </cell>
          <cell r="AL387">
            <v>3</v>
          </cell>
          <cell r="AM387" t="str">
            <v>$3.000.000</v>
          </cell>
        </row>
        <row r="388">
          <cell r="A388" t="str">
            <v>387-2025</v>
          </cell>
          <cell r="B388" t="str">
            <v>PRESTACION DE SERVICIOS</v>
          </cell>
          <cell r="C388" t="str">
            <v>ROSARIO NATALY VILLACORTE ZURA</v>
          </cell>
          <cell r="D388" t="str">
            <v>CC</v>
          </cell>
          <cell r="E388">
            <v>1085268417</v>
          </cell>
          <cell r="F388">
            <v>9</v>
          </cell>
          <cell r="G388" t="str">
            <v xml:space="preserve">CONTRATACION DIRECTA </v>
          </cell>
          <cell r="H388">
            <v>1</v>
          </cell>
          <cell r="I388" t="str">
            <v>El contratista se compromete para con la Empresa Social del Estado PASTO SALUD ESE a prestar sus servicios como enfermera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388">
            <v>1</v>
          </cell>
          <cell r="K388" t="str">
            <v>$20.400.000</v>
          </cell>
          <cell r="L388">
            <v>45790</v>
          </cell>
          <cell r="M388">
            <v>45961</v>
          </cell>
          <cell r="N388" t="str">
            <v>OSCAR MIGUEL GOYES CABRERA</v>
          </cell>
          <cell r="O388">
            <v>87711882</v>
          </cell>
          <cell r="P388" t="str">
            <v>natazura@hotmail.com</v>
          </cell>
          <cell r="Q388">
            <v>45790</v>
          </cell>
          <cell r="R388" t="str">
            <v>JUAN GOMEZ</v>
          </cell>
          <cell r="U388" t="str">
            <v>CELEBRADO</v>
          </cell>
          <cell r="W388" t="str">
            <v>2025-0200</v>
          </cell>
          <cell r="X388" t="str">
            <v>2025-0632</v>
          </cell>
          <cell r="AJ388">
            <v>2</v>
          </cell>
          <cell r="AK388">
            <v>0</v>
          </cell>
          <cell r="AL388">
            <v>2</v>
          </cell>
          <cell r="AM388" t="str">
            <v>$20.400.000</v>
          </cell>
        </row>
        <row r="389">
          <cell r="A389" t="str">
            <v>388-2025</v>
          </cell>
          <cell r="B389" t="str">
            <v>PRESTACION DE SERVICIOS</v>
          </cell>
          <cell r="C389" t="str">
            <v>BERNARDITA LUCIA VELA AGUILERA</v>
          </cell>
          <cell r="D389" t="str">
            <v>CC</v>
          </cell>
          <cell r="E389">
            <v>30735749</v>
          </cell>
          <cell r="F389">
            <v>1</v>
          </cell>
          <cell r="G389" t="str">
            <v xml:space="preserve">CONTRATACION DIRECTA </v>
          </cell>
          <cell r="H389">
            <v>1</v>
          </cell>
          <cell r="I389" t="str">
            <v>El contratista se compromete para con la Empresa Social del Estado PASTO SALUD ESE a prestar sus servicios como odontólogo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Secretaria Municipal de Salud</v>
          </cell>
          <cell r="J389">
            <v>1</v>
          </cell>
          <cell r="K389" t="str">
            <v>$17.000.000</v>
          </cell>
          <cell r="L389">
            <v>45791</v>
          </cell>
          <cell r="M389">
            <v>45943</v>
          </cell>
          <cell r="N389" t="str">
            <v>OSCAR MIGUEL GOYES CABRERA</v>
          </cell>
          <cell r="O389">
            <v>87711882</v>
          </cell>
          <cell r="P389" t="str">
            <v>bemycris27@yahoo.es</v>
          </cell>
          <cell r="Q389">
            <v>45791</v>
          </cell>
          <cell r="R389" t="str">
            <v>ALEXANDER YELA</v>
          </cell>
          <cell r="U389" t="str">
            <v>CELEBRADO</v>
          </cell>
          <cell r="W389" t="str">
            <v>2025-0200</v>
          </cell>
          <cell r="X389" t="str">
            <v>2025-0633</v>
          </cell>
          <cell r="AJ389">
            <v>2</v>
          </cell>
          <cell r="AK389">
            <v>0</v>
          </cell>
          <cell r="AL389">
            <v>2</v>
          </cell>
          <cell r="AM389" t="str">
            <v>$17.000.000</v>
          </cell>
        </row>
        <row r="390">
          <cell r="A390" t="str">
            <v>389-2025</v>
          </cell>
          <cell r="B390" t="str">
            <v>PRESTACION DE SERVICIOS</v>
          </cell>
          <cell r="C390" t="str">
            <v>YEMMI ANDREA DIAZ CUARAN</v>
          </cell>
          <cell r="D390" t="str">
            <v>CC</v>
          </cell>
          <cell r="E390">
            <v>36759324</v>
          </cell>
          <cell r="F390">
            <v>0</v>
          </cell>
          <cell r="G390" t="str">
            <v xml:space="preserve">CONTRATACION DIRECTA </v>
          </cell>
          <cell r="H390">
            <v>1</v>
          </cell>
          <cell r="I390" t="str">
            <v>El contratista se compromete para con la Empresa Social del Estado PASTO SALUD ESE aprestar sus servicios como técnico higienista oral y/o auxiliar en salud oral para el desarrollo de las actividades contempladas en el componente de Mal Nutrición - HEVS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Secretaría/Municipal de Salud</v>
          </cell>
          <cell r="J390">
            <v>1</v>
          </cell>
          <cell r="K390" t="str">
            <v>$10.000.000</v>
          </cell>
          <cell r="L390">
            <v>45791</v>
          </cell>
          <cell r="M390">
            <v>45945</v>
          </cell>
          <cell r="N390" t="str">
            <v>OSCAR MIGUEL GOYES CABRERA</v>
          </cell>
          <cell r="O390">
            <v>87711882</v>
          </cell>
          <cell r="P390" t="str">
            <v>yeimmdiaz406@gmail.com</v>
          </cell>
          <cell r="Q390">
            <v>45791</v>
          </cell>
          <cell r="R390" t="str">
            <v>ALEXANDER YELA</v>
          </cell>
          <cell r="U390" t="str">
            <v>CELEBRADO</v>
          </cell>
          <cell r="W390" t="str">
            <v>2025-0200</v>
          </cell>
          <cell r="X390" t="str">
            <v>2025-0634</v>
          </cell>
          <cell r="AJ390">
            <v>2</v>
          </cell>
          <cell r="AK390">
            <v>0</v>
          </cell>
          <cell r="AL390">
            <v>2</v>
          </cell>
          <cell r="AM390" t="str">
            <v>$10.000.000</v>
          </cell>
        </row>
        <row r="391">
          <cell r="A391" t="str">
            <v>390-2025</v>
          </cell>
          <cell r="B391" t="str">
            <v>PRESTACION DE SERVICIOS</v>
          </cell>
          <cell r="C391" t="str">
            <v>FRANCISCO JAVIER NARVAEZ SANCHEZ</v>
          </cell>
          <cell r="D391" t="str">
            <v>CC</v>
          </cell>
          <cell r="E391">
            <v>5206503</v>
          </cell>
          <cell r="F391">
            <v>0</v>
          </cell>
          <cell r="G391" t="str">
            <v xml:space="preserve">CONTRATACION DIRECTA </v>
          </cell>
          <cell r="H391">
            <v>1</v>
          </cell>
          <cell r="I391" t="str">
            <v>EI contratista se compromete para con la Empresa Social del Estado PASTO SALUD ESE a prestar sus servicios como auxiliar de enfermeria para el desarrollo de las actividades contempladas en el componente de Morbi Mortalidad Enfermedades Transmisibles Estrategia Inmunización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91">
            <v>1</v>
          </cell>
          <cell r="K391" t="str">
            <v>$12.000.000</v>
          </cell>
          <cell r="L391">
            <v>45792</v>
          </cell>
          <cell r="M391">
            <v>45976</v>
          </cell>
          <cell r="N391" t="str">
            <v>OSCAR MIGUEL GOYES CABRERA</v>
          </cell>
          <cell r="O391">
            <v>87711882</v>
          </cell>
          <cell r="P391" t="str">
            <v>pachunarvaez@outlook.com</v>
          </cell>
          <cell r="Q391">
            <v>45792</v>
          </cell>
          <cell r="R391" t="str">
            <v>ANDRES GUERRA</v>
          </cell>
          <cell r="U391" t="str">
            <v>CELEBRADO</v>
          </cell>
          <cell r="W391" t="str">
            <v>2025-0200</v>
          </cell>
          <cell r="X391" t="str">
            <v>2025-0635</v>
          </cell>
          <cell r="AJ391">
            <v>2</v>
          </cell>
          <cell r="AK391">
            <v>0</v>
          </cell>
          <cell r="AL391">
            <v>2</v>
          </cell>
          <cell r="AM391" t="str">
            <v>$12.000.000</v>
          </cell>
        </row>
        <row r="392">
          <cell r="A392" t="str">
            <v>391-2025</v>
          </cell>
          <cell r="B392" t="str">
            <v>COMPRAVENTA</v>
          </cell>
          <cell r="C392" t="str">
            <v>ETIMARCAS S.A.S</v>
          </cell>
          <cell r="D392" t="str">
            <v>NIT</v>
          </cell>
          <cell r="E392">
            <v>805012966</v>
          </cell>
          <cell r="F392">
            <v>1</v>
          </cell>
          <cell r="G392" t="str">
            <v xml:space="preserve">CONTRATACION DIRECTA </v>
          </cell>
          <cell r="H392">
            <v>2</v>
          </cell>
          <cell r="I392" t="str">
            <v>Compra de cartucho de manillas para adultos e infantes para la identificación de pacientes de la Empresa Social del Estado Pasto Salud ESE</v>
          </cell>
          <cell r="J392">
            <v>1</v>
          </cell>
          <cell r="K392" t="str">
            <v>$30.818.025,00</v>
          </cell>
          <cell r="L392">
            <v>45792</v>
          </cell>
          <cell r="M392">
            <v>45807</v>
          </cell>
          <cell r="N392" t="str">
            <v>STEFANYA RAMIREZ LOPERA</v>
          </cell>
          <cell r="O392">
            <v>111247705</v>
          </cell>
          <cell r="P392" t="str">
            <v>Servicioalcliente@etimarcas.com</v>
          </cell>
          <cell r="Q392">
            <v>45792</v>
          </cell>
          <cell r="R392" t="str">
            <v>CRISTINA ROSERO</v>
          </cell>
          <cell r="U392" t="str">
            <v>CELEBRADO</v>
          </cell>
          <cell r="W392" t="str">
            <v>2025-0208</v>
          </cell>
          <cell r="X392" t="str">
            <v>2025-0636</v>
          </cell>
          <cell r="AJ392">
            <v>2</v>
          </cell>
          <cell r="AK392">
            <v>0</v>
          </cell>
          <cell r="AL392">
            <v>4</v>
          </cell>
          <cell r="AM392" t="str">
            <v>$30.818.025,00</v>
          </cell>
        </row>
        <row r="393">
          <cell r="A393" t="str">
            <v>392-2025</v>
          </cell>
          <cell r="B393" t="str">
            <v>PRESTACION DE SERVICIOS</v>
          </cell>
          <cell r="C393" t="str">
            <v>JENHIFER ALEJANDRA BASANTE MORA</v>
          </cell>
          <cell r="D393" t="str">
            <v>CC</v>
          </cell>
          <cell r="E393">
            <v>1085312866</v>
          </cell>
          <cell r="F393">
            <v>0</v>
          </cell>
          <cell r="G393" t="str">
            <v xml:space="preserve">CONTRATACION DIRECTA </v>
          </cell>
          <cell r="H393">
            <v>1</v>
          </cell>
          <cell r="I393" t="str">
            <v>El contratista se compromete para con la Empresa Social del Estado PASTO SALUD ESE aprestar sus servicios como comunicador social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v>
          </cell>
          <cell r="J393">
            <v>1</v>
          </cell>
          <cell r="K393" t="str">
            <v>$20.400.000,00</v>
          </cell>
          <cell r="L393">
            <v>45792</v>
          </cell>
          <cell r="M393">
            <v>45961</v>
          </cell>
          <cell r="N393" t="str">
            <v>OSCAR MIGUEL GOYES CABRERA</v>
          </cell>
          <cell r="O393">
            <v>87711882</v>
          </cell>
          <cell r="P393" t="str">
            <v>esdecomunicaciones@gmail.com</v>
          </cell>
          <cell r="Q393">
            <v>45792</v>
          </cell>
          <cell r="R393" t="str">
            <v>CRISTINA ROSERO</v>
          </cell>
          <cell r="U393" t="str">
            <v>CELEBRADO</v>
          </cell>
          <cell r="W393" t="str">
            <v>2025-0200</v>
          </cell>
          <cell r="X393" t="str">
            <v>2025-0637</v>
          </cell>
          <cell r="AJ393">
            <v>2</v>
          </cell>
          <cell r="AK393">
            <v>0</v>
          </cell>
          <cell r="AL393">
            <v>2</v>
          </cell>
          <cell r="AM393" t="str">
            <v>$20.400.000,00</v>
          </cell>
        </row>
        <row r="394">
          <cell r="A394" t="str">
            <v>393-2025</v>
          </cell>
          <cell r="B394" t="str">
            <v>PRESTACION DE SERVICIOS</v>
          </cell>
          <cell r="C394" t="str">
            <v>GUISSETT FERNANDA JIMENEZ ROMERO</v>
          </cell>
          <cell r="D394" t="str">
            <v>CC</v>
          </cell>
          <cell r="E394">
            <v>1085270920</v>
          </cell>
          <cell r="F394">
            <v>9</v>
          </cell>
          <cell r="G394" t="str">
            <v xml:space="preserve">CONTRATACION DIRECTA </v>
          </cell>
          <cell r="H394">
            <v>1</v>
          </cell>
          <cell r="I394" t="str">
            <v>El contratista se compromete para con la Empresa Social del Estado PASTO SALUD ESE a prestar sus servicios como sociólogo para el desarrollo de las actividades contempladas en el componente de Débil Garantia Derecho a la Salud -Educación y comunicación popular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Alcaldia de Pasto Secretaria Municipal de Salud.</v>
          </cell>
          <cell r="J394">
            <v>1</v>
          </cell>
          <cell r="K394" t="str">
            <v>$22.100.000,00</v>
          </cell>
          <cell r="L394">
            <v>45793</v>
          </cell>
          <cell r="M394">
            <v>45991</v>
          </cell>
          <cell r="N394" t="str">
            <v>OSCAR MIGUEL GOYES CABRERA</v>
          </cell>
          <cell r="O394">
            <v>87711882</v>
          </cell>
          <cell r="P394" t="str">
            <v>ferasiria@gmail.com</v>
          </cell>
          <cell r="Q394">
            <v>45793</v>
          </cell>
          <cell r="R394" t="str">
            <v>ELIANA BENAVIDES</v>
          </cell>
          <cell r="U394" t="str">
            <v>CELEBRADO</v>
          </cell>
          <cell r="W394" t="str">
            <v>2025-0200</v>
          </cell>
          <cell r="X394" t="str">
            <v>2025-0638</v>
          </cell>
          <cell r="AJ394">
            <v>2</v>
          </cell>
          <cell r="AK394">
            <v>0</v>
          </cell>
          <cell r="AL394">
            <v>2</v>
          </cell>
          <cell r="AM394" t="str">
            <v>$22.100.000,00</v>
          </cell>
        </row>
        <row r="395">
          <cell r="A395" t="str">
            <v>394-2025</v>
          </cell>
          <cell r="B395" t="str">
            <v>COMPRAVENTA</v>
          </cell>
          <cell r="C395" t="str">
            <v>DISTRICENG HOSPITALARIOS SAS</v>
          </cell>
          <cell r="D395" t="str">
            <v>NIT</v>
          </cell>
          <cell r="E395">
            <v>901721826</v>
          </cell>
          <cell r="F395">
            <v>9</v>
          </cell>
          <cell r="G395" t="str">
            <v>BIONEXO</v>
          </cell>
          <cell r="H395">
            <v>2</v>
          </cell>
          <cell r="I395" t="str">
            <v>COMPRA DE INSTRUMENTAL MÉDICO QUIRÚRGICO PARA EL HOSPITAL DE SANTA MONICA DE ACUERDO AL PLAN ANUAL DE ADQUISICIONES 2025 DE LA EMPRESA SOCIAL DEL. ESTADO PASTO SALUD ESE</v>
          </cell>
          <cell r="J395">
            <v>3</v>
          </cell>
          <cell r="K395" t="str">
            <v>$6.107.717,84</v>
          </cell>
          <cell r="L395">
            <v>45793</v>
          </cell>
          <cell r="M395">
            <v>45807</v>
          </cell>
          <cell r="N395" t="str">
            <v>LEYDY MARISOL CRIOLLO CRIOLLO</v>
          </cell>
          <cell r="O395">
            <v>1085326239</v>
          </cell>
          <cell r="P395" t="str">
            <v>contabilidad.districeng@gmail.com</v>
          </cell>
          <cell r="Q395">
            <v>45793</v>
          </cell>
          <cell r="R395" t="str">
            <v>ALEXANDER YELA</v>
          </cell>
          <cell r="U395" t="str">
            <v>CELEBRADO</v>
          </cell>
          <cell r="W395" t="str">
            <v>2025-0190</v>
          </cell>
          <cell r="X395" t="str">
            <v>2025-0639</v>
          </cell>
          <cell r="AJ395">
            <v>2</v>
          </cell>
          <cell r="AK395">
            <v>0</v>
          </cell>
          <cell r="AL395">
            <v>3</v>
          </cell>
          <cell r="AM395" t="str">
            <v>$6.107.717,84</v>
          </cell>
        </row>
        <row r="396">
          <cell r="A396" t="str">
            <v>395-2025</v>
          </cell>
          <cell r="B396" t="str">
            <v>PRESTACION DE SERVICIOS</v>
          </cell>
          <cell r="C396" t="str">
            <v>TRANSPORTES SUPERIOR S.A.S</v>
          </cell>
          <cell r="D396" t="str">
            <v>NIT</v>
          </cell>
          <cell r="E396">
            <v>800234281</v>
          </cell>
          <cell r="F396">
            <v>1</v>
          </cell>
          <cell r="G396" t="str">
            <v xml:space="preserve">CONTRATACION DIRECTA </v>
          </cell>
          <cell r="H396">
            <v>2</v>
          </cell>
          <cell r="I396" t="str">
            <v>Prestación del servicio de transporte especial terrestre automotor mediante camioneta 4x4 o microbús, de acuerdo con la concertación requerimientos y eutorizaciones de la Empresa Social del Estado Pasto Salud ESE para el traslado de personas, bienes, correspondencia, elementos. materiales y equipos, con el fin de dar cumplimiento a los productos, actividades y tareas definidas en el anexo técnico del PSPIC, el cual hace parte integral del contrato interadministrativo No. 20252190 del 2 de abril de 2025, suscrito entre la Empresa Social del Estado Pasto Salud ESE y la Alcaldía de Pasto Secretaria Municipal de Salud</v>
          </cell>
          <cell r="J396">
            <v>1</v>
          </cell>
          <cell r="K396" t="str">
            <v>$120.000.000,00</v>
          </cell>
          <cell r="L396">
            <v>45793</v>
          </cell>
          <cell r="M396">
            <v>46022</v>
          </cell>
          <cell r="N396" t="str">
            <v>OSCAR MIGUEL GOYES CABRERA</v>
          </cell>
          <cell r="O396">
            <v>87711882</v>
          </cell>
          <cell r="P396" t="str">
            <v>contabilidad@transuperior.com</v>
          </cell>
          <cell r="Q396">
            <v>45793</v>
          </cell>
          <cell r="R396" t="str">
            <v>CRISTINA ROSERO</v>
          </cell>
          <cell r="U396" t="str">
            <v>CELEBRADO</v>
          </cell>
          <cell r="W396" t="str">
            <v>2025-0235</v>
          </cell>
          <cell r="X396" t="str">
            <v>2025-0642</v>
          </cell>
          <cell r="AJ396">
            <v>2</v>
          </cell>
          <cell r="AK396">
            <v>0</v>
          </cell>
          <cell r="AL396">
            <v>2</v>
          </cell>
          <cell r="AM396" t="str">
            <v>$120.000.000,00</v>
          </cell>
        </row>
        <row r="397">
          <cell r="A397" t="str">
            <v>396-2025</v>
          </cell>
          <cell r="B397" t="str">
            <v>PRESTACION DE SERVICIOS</v>
          </cell>
          <cell r="C397" t="str">
            <v>PROGRAMA DE ASEGURAMIENTO DE LA CALIDAD EN EL LABORATORIO PROASECAL SAS</v>
          </cell>
          <cell r="D397" t="str">
            <v>NIT</v>
          </cell>
          <cell r="E397">
            <v>830079375</v>
          </cell>
          <cell r="F397">
            <v>8</v>
          </cell>
          <cell r="G397" t="str">
            <v xml:space="preserve">CONTRATACION DIRECTA </v>
          </cell>
          <cell r="H397">
            <v>2</v>
          </cell>
          <cell r="I397" t="str">
            <v>Prestación de Servicios de Controles de Calidad Externo para los Laboratorios Clínicos de la Empresa Social del Estado Pasto Salud ESE</v>
          </cell>
          <cell r="J397">
            <v>1</v>
          </cell>
          <cell r="K397" t="str">
            <v>$40.534.851,00</v>
          </cell>
          <cell r="L397">
            <v>45799</v>
          </cell>
          <cell r="M397">
            <v>46022</v>
          </cell>
          <cell r="N397" t="str">
            <v>LAURA XIMENA SANDOVAL REDONDO</v>
          </cell>
          <cell r="O397">
            <v>30400115</v>
          </cell>
          <cell r="P397" t="str">
            <v>proasecal@qsc.com.mx</v>
          </cell>
          <cell r="Q397">
            <v>45799</v>
          </cell>
          <cell r="R397" t="str">
            <v>ELIANA BENAVIDES</v>
          </cell>
          <cell r="U397" t="str">
            <v>CELEBRADO</v>
          </cell>
          <cell r="W397" t="str">
            <v>2025-0221</v>
          </cell>
          <cell r="X397" t="str">
            <v>2025-0652</v>
          </cell>
          <cell r="AJ397">
            <v>2</v>
          </cell>
          <cell r="AK397">
            <v>0</v>
          </cell>
          <cell r="AL397">
            <v>2</v>
          </cell>
          <cell r="AM397" t="str">
            <v>$40.534.851,00</v>
          </cell>
        </row>
        <row r="398">
          <cell r="A398" t="str">
            <v>397-2025</v>
          </cell>
          <cell r="B398" t="str">
            <v>SUMINISTROS</v>
          </cell>
          <cell r="C398" t="str">
            <v>DISFARMA GC S.A.S</v>
          </cell>
          <cell r="D398" t="str">
            <v>NIT</v>
          </cell>
          <cell r="E398">
            <v>900580962</v>
          </cell>
          <cell r="F398">
            <v>2</v>
          </cell>
          <cell r="G398" t="str">
            <v>BIONEXO</v>
          </cell>
          <cell r="H398">
            <v>2</v>
          </cell>
          <cell r="I398" t="str">
            <v>EL CONTRATISTA SE OBLIGA AL SUMINISTRO DE LOS MEDICAMENTOS EN LAS CANTIDADES ESTABLECIDAS EN EL ANEXO 1, EL CUAL HACE PARTE INTEGRAL DEL CONTRATO. PARA LA ESE PASTO SALUD.</v>
          </cell>
          <cell r="J398">
            <v>3</v>
          </cell>
          <cell r="K398" t="str">
            <v>$70.523.000,00</v>
          </cell>
          <cell r="L398">
            <v>45799</v>
          </cell>
          <cell r="M398">
            <v>45838</v>
          </cell>
          <cell r="N398" t="str">
            <v>NENA DEL CARMEN RAMIREZ RAMIREZ</v>
          </cell>
          <cell r="O398">
            <v>30732589</v>
          </cell>
          <cell r="P398" t="str">
            <v>contabilidad2@disfarma.com.co</v>
          </cell>
          <cell r="Q398">
            <v>45799</v>
          </cell>
          <cell r="R398" t="str">
            <v>JUAN GOMEZ</v>
          </cell>
          <cell r="U398" t="str">
            <v>CELEBRADO</v>
          </cell>
          <cell r="W398" t="str">
            <v>2025-0224</v>
          </cell>
          <cell r="X398" t="str">
            <v>2025-0653</v>
          </cell>
          <cell r="AJ398">
            <v>2</v>
          </cell>
          <cell r="AK398">
            <v>0</v>
          </cell>
          <cell r="AL398">
            <v>3</v>
          </cell>
          <cell r="AM398" t="str">
            <v>$70.523.000,00</v>
          </cell>
        </row>
        <row r="399">
          <cell r="A399" t="str">
            <v>398-2025</v>
          </cell>
          <cell r="B399" t="str">
            <v>SUMINISTROS</v>
          </cell>
          <cell r="C399" t="str">
            <v>FUERTES MEJIA MEDICAMENTOS Y DISPOSITIVOS MEDICOS SAS.</v>
          </cell>
          <cell r="D399" t="str">
            <v>NIT</v>
          </cell>
          <cell r="E399">
            <v>901565478</v>
          </cell>
          <cell r="F399">
            <v>1</v>
          </cell>
          <cell r="G399" t="str">
            <v>BIONEXO</v>
          </cell>
          <cell r="H399">
            <v>2</v>
          </cell>
          <cell r="I399" t="str">
            <v>EL CONTRATISTA SE OBLIGA AL SUMINISTRO DE LOS MEDICAMENTOS EN LAS CANTIDADES ESTABLECIDAS EN EL ANEXO 1, EL CUAL HACE PARTE INTEGRAL DEL CONTRATO. PARA LA ESE PASTO SALUD.</v>
          </cell>
          <cell r="J399">
            <v>3</v>
          </cell>
          <cell r="K399" t="str">
            <v>$1.726.860,00</v>
          </cell>
          <cell r="L399">
            <v>45799</v>
          </cell>
          <cell r="M399">
            <v>45821</v>
          </cell>
          <cell r="N399" t="str">
            <v xml:space="preserve">	NENA DEL CARMEN RAMIREZ RAMIREZ</v>
          </cell>
          <cell r="O399">
            <v>30732589</v>
          </cell>
          <cell r="P399" t="str">
            <v>contabilidad@fuertesmejia.com.co</v>
          </cell>
          <cell r="Q399">
            <v>45799</v>
          </cell>
          <cell r="R399" t="str">
            <v>ELIANA BENAVIDES</v>
          </cell>
          <cell r="U399" t="str">
            <v>CELEBRADO</v>
          </cell>
          <cell r="W399" t="str">
            <v>2025-0236</v>
          </cell>
          <cell r="X399" t="str">
            <v>2025-0654</v>
          </cell>
          <cell r="AJ399">
            <v>2</v>
          </cell>
          <cell r="AK399">
            <v>0</v>
          </cell>
          <cell r="AL399">
            <v>3</v>
          </cell>
          <cell r="AM399" t="str">
            <v>$1.726.860,00</v>
          </cell>
        </row>
        <row r="400">
          <cell r="A400" t="str">
            <v>399-2025</v>
          </cell>
          <cell r="B400" t="str">
            <v>SUMINISTROS</v>
          </cell>
          <cell r="C400" t="str">
            <v>RAMEDICAS S.A.S</v>
          </cell>
          <cell r="D400" t="str">
            <v>NIT</v>
          </cell>
          <cell r="E400">
            <v>901429936</v>
          </cell>
          <cell r="F400">
            <v>1</v>
          </cell>
          <cell r="G400" t="str">
            <v>BIONEXO</v>
          </cell>
          <cell r="H400">
            <v>2</v>
          </cell>
          <cell r="I400" t="str">
            <v>EL CONTRATISTA SE OBLIGA AL SUMINISTRO DE LOS MEDICAMENTOS EN LAS CANTIDADES ESTABLECIDAS EN EL ANEXO 1, EL CUAL HACE PARTE INTEGRAL DEL CONTRATO. PARA LA ESE PASTO SALUD.</v>
          </cell>
          <cell r="J400">
            <v>3</v>
          </cell>
          <cell r="K400" t="str">
            <v>$38.820.000,00</v>
          </cell>
          <cell r="L400">
            <v>45799</v>
          </cell>
          <cell r="M400">
            <v>45838</v>
          </cell>
          <cell r="N400" t="str">
            <v xml:space="preserve">	NENA DEL CARMEN RAMIREZ RAMIREZ</v>
          </cell>
          <cell r="O400">
            <v>30732589</v>
          </cell>
          <cell r="P400" t="str">
            <v>administración@ramedicas.com</v>
          </cell>
          <cell r="Q400">
            <v>45799</v>
          </cell>
          <cell r="R400" t="str">
            <v>ANDRES GUERRA</v>
          </cell>
          <cell r="U400" t="str">
            <v>CELEBRADO</v>
          </cell>
          <cell r="W400" t="str">
            <v>2025-0224</v>
          </cell>
          <cell r="X400" t="str">
            <v>2025-0655</v>
          </cell>
          <cell r="AJ400">
            <v>2</v>
          </cell>
          <cell r="AK400">
            <v>0</v>
          </cell>
          <cell r="AL400">
            <v>3</v>
          </cell>
          <cell r="AM400" t="str">
            <v>$38.820.000,00</v>
          </cell>
        </row>
        <row r="401">
          <cell r="A401" t="str">
            <v>400-2025</v>
          </cell>
          <cell r="B401" t="str">
            <v>PRESTACION DE SERVICIOS</v>
          </cell>
          <cell r="C401" t="str">
            <v>LINA MARIA GONZALEZ QUINTERO</v>
          </cell>
          <cell r="D401" t="str">
            <v>CC</v>
          </cell>
          <cell r="E401">
            <v>1085335239</v>
          </cell>
          <cell r="F401">
            <v>1</v>
          </cell>
          <cell r="G401" t="str">
            <v xml:space="preserve">CONTRATACION DIRECTA </v>
          </cell>
          <cell r="H401">
            <v>1</v>
          </cell>
          <cell r="I401" t="str">
            <v>Contratar la prestación de los servicios de operador logistico para el desarrollo de las acciones pedagógicas, talleres, encuentros, iniciativas, eventos de cierre, eventos masivos, conmemoraciones, mesas de trabajo, mesas territoriales de salud, cumpliendo las condiciones necesarias para la implementación de las estrategias exigidas en el anexo técnico PSPIC que hace parte integral del Contrato Interadministrativo No. 202502190 de fecha 02 de abril de 2025, suscrito entre La Empresa Social del Estado Pasto Salud ESE y la Alcaldia de Pasto- Secretaria Municipal de Salud</v>
          </cell>
          <cell r="J401">
            <v>1</v>
          </cell>
          <cell r="K401" t="str">
            <v xml:space="preserve"> $230.583.333,00</v>
          </cell>
          <cell r="L401">
            <v>45799</v>
          </cell>
          <cell r="M401">
            <v>46022</v>
          </cell>
          <cell r="N401" t="str">
            <v xml:space="preserve">	OSCAR MIGUEL GOYES CABRERA</v>
          </cell>
          <cell r="O401">
            <v>87711882</v>
          </cell>
          <cell r="P401" t="str">
            <v>linagq9720@gmail.com</v>
          </cell>
          <cell r="Q401">
            <v>45799</v>
          </cell>
          <cell r="R401" t="str">
            <v>JUAN GOMEZ</v>
          </cell>
          <cell r="U401" t="str">
            <v>CELEBRADO</v>
          </cell>
          <cell r="W401" t="str">
            <v>2025-0229</v>
          </cell>
          <cell r="X401" t="str">
            <v>2025-0656</v>
          </cell>
          <cell r="AJ401">
            <v>1</v>
          </cell>
          <cell r="AK401">
            <v>3</v>
          </cell>
          <cell r="AL401">
            <v>2</v>
          </cell>
          <cell r="AM401" t="str">
            <v xml:space="preserve"> $230.583.333,00</v>
          </cell>
        </row>
        <row r="402">
          <cell r="A402" t="str">
            <v>401-2025</v>
          </cell>
          <cell r="B402" t="str">
            <v>PRESTACION DE SERVICIOS</v>
          </cell>
          <cell r="C402" t="str">
            <v>BEESTIC SAS</v>
          </cell>
          <cell r="D402" t="str">
            <v>NIT</v>
          </cell>
          <cell r="E402">
            <v>901840093</v>
          </cell>
          <cell r="F402">
            <v>7</v>
          </cell>
          <cell r="G402" t="str">
            <v xml:space="preserve">CONTRATACION DIRECTA </v>
          </cell>
          <cell r="H402">
            <v>2</v>
          </cell>
          <cell r="I402" t="str">
            <v>SERVICIO DE LICENCIAMIENTO PARA EL USO DE LA PLATAFORMA POWER BI CON COPILOT Y ROCKETBOT, INCLUYENDO SOPORTE TECNICO Y ACTUALIZACIONES, PARA LA ESE PASTO SALUD ESE</v>
          </cell>
          <cell r="J402">
            <v>1</v>
          </cell>
          <cell r="K402" t="str">
            <v>$27.007.543,00</v>
          </cell>
          <cell r="L402">
            <v>45799</v>
          </cell>
          <cell r="M402">
            <v>46022</v>
          </cell>
          <cell r="N402" t="str">
            <v xml:space="preserve">	IVAN RODRIGO IBARRA MUÑOZ</v>
          </cell>
          <cell r="O402">
            <v>87248313</v>
          </cell>
          <cell r="P402" t="str">
            <v>gerencia@beestic.com</v>
          </cell>
          <cell r="Q402">
            <v>45799</v>
          </cell>
          <cell r="R402" t="str">
            <v>ALEXANDER YELA</v>
          </cell>
          <cell r="U402" t="str">
            <v>CELEBRADO</v>
          </cell>
          <cell r="W402" t="str">
            <v>2025-0234</v>
          </cell>
          <cell r="X402" t="str">
            <v>2025-0657</v>
          </cell>
          <cell r="AJ402">
            <v>2</v>
          </cell>
          <cell r="AK402">
            <v>0</v>
          </cell>
          <cell r="AL402">
            <v>2</v>
          </cell>
          <cell r="AM402" t="str">
            <v>$27.007.543,00</v>
          </cell>
        </row>
        <row r="403">
          <cell r="A403" t="str">
            <v>402-2025</v>
          </cell>
          <cell r="B403" t="str">
            <v>COMPRAVENTA</v>
          </cell>
          <cell r="C403" t="str">
            <v>TECNICA ELECTROMEDICA S.A.</v>
          </cell>
          <cell r="D403" t="str">
            <v>NIT</v>
          </cell>
          <cell r="E403">
            <v>830004892</v>
          </cell>
          <cell r="F403">
            <v>2</v>
          </cell>
          <cell r="G403" t="str">
            <v xml:space="preserve">CONTRATACION DIRECTA </v>
          </cell>
          <cell r="H403">
            <v>2</v>
          </cell>
          <cell r="I403" t="str">
            <v>COMPRA DE INSTRUMENTAL MÉDICO QUIRÚRGICO PARA EL HOSPITAL SANTA MONICA PARA FUNCIONAMIENTO DE QUIRÓFANO, DE LA EMPRESA SOCIAL DEL ESTADO PASTO SALUD ESE</v>
          </cell>
          <cell r="J403">
            <v>3</v>
          </cell>
          <cell r="K403" t="str">
            <v>$32.648.257,00</v>
          </cell>
          <cell r="L403">
            <v>45799</v>
          </cell>
          <cell r="M403">
            <v>45807</v>
          </cell>
          <cell r="N403" t="str">
            <v>LEYDY MARISOL CRIOLLO CRIOLLO</v>
          </cell>
          <cell r="O403">
            <v>1085326239</v>
          </cell>
          <cell r="P403" t="str">
            <v>licitaciones@tecnicaelectromedica.com</v>
          </cell>
          <cell r="Q403">
            <v>45799</v>
          </cell>
          <cell r="R403" t="str">
            <v>ALEXANDER YELA</v>
          </cell>
          <cell r="U403" t="str">
            <v>CELEBRADO</v>
          </cell>
          <cell r="W403" t="str">
            <v>2025-0190</v>
          </cell>
          <cell r="X403" t="str">
            <v>2025-0658</v>
          </cell>
          <cell r="AJ403">
            <v>2</v>
          </cell>
          <cell r="AK403">
            <v>0</v>
          </cell>
          <cell r="AL403">
            <v>3</v>
          </cell>
          <cell r="AM403" t="str">
            <v>$32.648.257,00</v>
          </cell>
        </row>
        <row r="404">
          <cell r="A404" t="str">
            <v>403-2025</v>
          </cell>
          <cell r="B404" t="str">
            <v>PRESTACION DE SERVICIOS</v>
          </cell>
          <cell r="C404" t="str">
            <v>AHARA IPS Y HOME CARE SAS</v>
          </cell>
          <cell r="D404" t="str">
            <v>NIT</v>
          </cell>
          <cell r="E404">
            <v>900452452</v>
          </cell>
          <cell r="F404">
            <v>1</v>
          </cell>
          <cell r="G404" t="str">
            <v xml:space="preserve">CONTRATACION DIRECTA </v>
          </cell>
          <cell r="H404">
            <v>2</v>
          </cell>
          <cell r="I404" t="str">
            <v>Prestación de servicios de medicina del trabajo para la realización de exámenes médico ocupacionales y paraclínicos enfocados al riesgo a los trabajadores de la Empresa Social del Estado Pasto Salud E.S.E</v>
          </cell>
          <cell r="J404">
            <v>1</v>
          </cell>
          <cell r="K404" t="str">
            <v>$25.001.000,00</v>
          </cell>
          <cell r="L404">
            <v>45800</v>
          </cell>
          <cell r="M404">
            <v>46022</v>
          </cell>
          <cell r="N404" t="str">
            <v>ANA PATRICIA CAJIGAS RUBIO</v>
          </cell>
          <cell r="O404">
            <v>36759470</v>
          </cell>
          <cell r="P404" t="str">
            <v>aharahomecare@hotmail.com</v>
          </cell>
          <cell r="Q404">
            <v>45800</v>
          </cell>
          <cell r="R404" t="str">
            <v>JUAN GOMEZ</v>
          </cell>
          <cell r="U404" t="str">
            <v>CELEBRADO</v>
          </cell>
          <cell r="W404" t="str">
            <v>2025-0218</v>
          </cell>
          <cell r="X404" t="str">
            <v>2025-0659</v>
          </cell>
          <cell r="AJ404">
            <v>2</v>
          </cell>
          <cell r="AK404">
            <v>0</v>
          </cell>
          <cell r="AL404">
            <v>2</v>
          </cell>
          <cell r="AM404" t="str">
            <v>$25.001.000,00</v>
          </cell>
        </row>
        <row r="405">
          <cell r="A405" t="str">
            <v>404-2025</v>
          </cell>
          <cell r="B405" t="str">
            <v>PRESTACION DE SERVICIOS</v>
          </cell>
          <cell r="C405" t="str">
            <v>CUERPO DE BOMBEROS VOLUNTARIOS DE PASTO</v>
          </cell>
          <cell r="D405" t="str">
            <v>NIT</v>
          </cell>
          <cell r="E405">
            <v>891200727</v>
          </cell>
          <cell r="F405">
            <v>7</v>
          </cell>
          <cell r="G405" t="str">
            <v xml:space="preserve">CONTRATACION DIRECTA </v>
          </cell>
          <cell r="H405">
            <v>2</v>
          </cell>
          <cell r="I405" t="str">
            <v>Prestación del servicio de revisión mantenimiento y recarga de los extintores existentes en las sedes y vehículos de la Empresa Social del Estado Pasto Salud E.S.E</v>
          </cell>
          <cell r="J405">
            <v>1</v>
          </cell>
          <cell r="K405" t="str">
            <v>$5.154.000,00</v>
          </cell>
          <cell r="L405">
            <v>45803</v>
          </cell>
          <cell r="M405">
            <v>46022</v>
          </cell>
          <cell r="N405" t="str">
            <v>ANA PATRICIA CAJIGAS RUBIO</v>
          </cell>
          <cell r="O405">
            <v>36759470</v>
          </cell>
          <cell r="P405" t="str">
            <v>contabilidad@bomberospasto.com</v>
          </cell>
          <cell r="Q405">
            <v>45803</v>
          </cell>
          <cell r="R405" t="str">
            <v>ALEXANDER YELA</v>
          </cell>
          <cell r="U405" t="str">
            <v>CELEBRADO</v>
          </cell>
          <cell r="W405" t="str">
            <v>2025-0232</v>
          </cell>
          <cell r="X405" t="str">
            <v>2025-0661</v>
          </cell>
          <cell r="AJ405">
            <v>2</v>
          </cell>
          <cell r="AK405">
            <v>0</v>
          </cell>
          <cell r="AL405">
            <v>2</v>
          </cell>
          <cell r="AM405" t="str">
            <v>$5.154.000,00</v>
          </cell>
        </row>
        <row r="406">
          <cell r="A406" t="str">
            <v>405-2025</v>
          </cell>
          <cell r="B406" t="str">
            <v>SUMINISTROS</v>
          </cell>
          <cell r="C406" t="str">
            <v>COOPERATIVA DE GESTION FARMACEUTICA INTEGRAL EN REORGANIZACIÓN - CFARMA</v>
          </cell>
          <cell r="D406" t="str">
            <v>NIT</v>
          </cell>
          <cell r="E406">
            <v>900062612</v>
          </cell>
          <cell r="F406">
            <v>8</v>
          </cell>
          <cell r="G406" t="str">
            <v>BIONEXO</v>
          </cell>
          <cell r="H406">
            <v>2</v>
          </cell>
          <cell r="I406" t="str">
            <v>EL CONTRATISTA SE OBLIGA AL SUMINISTRO DE LOS MEDICAMENTOS EN LAS CANTIDADES ESTABLECIDAS EN EL ANEXO 1, EL CUAL HACE PARTE INTEGRAL DEL CONTRATO, PARA LA ESE PASTO SALUD</v>
          </cell>
          <cell r="J406">
            <v>3</v>
          </cell>
          <cell r="K406" t="str">
            <v>$1.744.910,00</v>
          </cell>
          <cell r="L406">
            <v>45804</v>
          </cell>
          <cell r="M406">
            <v>45838</v>
          </cell>
          <cell r="N406" t="str">
            <v xml:space="preserve">	NENA DEL CARMEN RAMIREZ RAMIREZ</v>
          </cell>
          <cell r="O406">
            <v>30732589</v>
          </cell>
          <cell r="P406" t="str">
            <v>notificaciones@cfarma.com.co</v>
          </cell>
          <cell r="Q406">
            <v>45804</v>
          </cell>
          <cell r="R406" t="str">
            <v>ALEXANDER YELA</v>
          </cell>
          <cell r="U406" t="str">
            <v>CELEBRADO</v>
          </cell>
          <cell r="W406" t="str">
            <v>2025-0209</v>
          </cell>
          <cell r="X406" t="str">
            <v>2025-0663</v>
          </cell>
          <cell r="AJ406">
            <v>2</v>
          </cell>
          <cell r="AK406">
            <v>0</v>
          </cell>
          <cell r="AL406">
            <v>3</v>
          </cell>
          <cell r="AM406" t="str">
            <v>$1.744.910,00</v>
          </cell>
        </row>
        <row r="407">
          <cell r="A407" t="str">
            <v>406-2025</v>
          </cell>
          <cell r="B407" t="str">
            <v>SUMINISTROS</v>
          </cell>
          <cell r="C407" t="str">
            <v>FUERTES MEJIA MEDICAMENTOS Y DISPOSITIVOS MEDICOS S.A.S.,</v>
          </cell>
          <cell r="D407" t="str">
            <v>NIT</v>
          </cell>
          <cell r="E407">
            <v>901565478</v>
          </cell>
          <cell r="F407">
            <v>1</v>
          </cell>
          <cell r="G407" t="str">
            <v>BIONEXO</v>
          </cell>
          <cell r="H407">
            <v>2</v>
          </cell>
          <cell r="I407" t="str">
            <v>EL CONTRATISTA SE OBLIGA AL SUMINISTRO DE LOS MEDICAMENTOS EN LAS CANTIDADES EN EL ANEXO 1, EL CUAL HACE PARTE INTEGRAL DEL CONTRATO. PARA LA ESE PASTO SALUD</v>
          </cell>
          <cell r="J407">
            <v>3</v>
          </cell>
          <cell r="K407" t="str">
            <v>$11.946.207,00</v>
          </cell>
          <cell r="L407">
            <v>45804</v>
          </cell>
          <cell r="M407">
            <v>45838</v>
          </cell>
          <cell r="N407" t="str">
            <v xml:space="preserve">	NENA DEL CARMEN RAMIREZ RAMIREZ</v>
          </cell>
          <cell r="O407">
            <v>30732589</v>
          </cell>
          <cell r="P407" t="str">
            <v>contabilidad@fuertesmejia.com.co</v>
          </cell>
          <cell r="Q407">
            <v>45804</v>
          </cell>
          <cell r="R407" t="str">
            <v>CRISTINA ROSERO</v>
          </cell>
          <cell r="U407" t="str">
            <v>CELEBRADO</v>
          </cell>
          <cell r="W407" t="str">
            <v>2025-0209</v>
          </cell>
          <cell r="X407" t="str">
            <v>2025-0664</v>
          </cell>
          <cell r="AJ407">
            <v>2</v>
          </cell>
          <cell r="AK407">
            <v>0</v>
          </cell>
          <cell r="AL407">
            <v>3</v>
          </cell>
          <cell r="AM407" t="str">
            <v>$11.946.207,00</v>
          </cell>
        </row>
        <row r="408">
          <cell r="A408" t="str">
            <v>407-2025</v>
          </cell>
          <cell r="B408" t="str">
            <v>SUMINISTROS</v>
          </cell>
          <cell r="C408" t="str">
            <v>FUERTES MEJIA MEDICAMENTOS Y DISPOSITIVOS MEDICOS S.A.S.,</v>
          </cell>
          <cell r="D408" t="str">
            <v>NIT</v>
          </cell>
          <cell r="E408">
            <v>901565478</v>
          </cell>
          <cell r="F408">
            <v>1</v>
          </cell>
          <cell r="G408" t="str">
            <v>BIONEXO</v>
          </cell>
          <cell r="H408">
            <v>2</v>
          </cell>
          <cell r="I408" t="str">
            <v>El contratista se obliga al suministro del material médico quirúrgico en las cantidades establecidas en el anexo 1, el cual hace parte integral del contrato. Para la ESE Pasto Salud.</v>
          </cell>
          <cell r="J408">
            <v>3</v>
          </cell>
          <cell r="K408" t="str">
            <v>$947.044.24</v>
          </cell>
          <cell r="L408">
            <v>45805</v>
          </cell>
          <cell r="M408">
            <v>45838</v>
          </cell>
          <cell r="N408" t="str">
            <v xml:space="preserve">	NENA DEL CARMEN RAMIREZ RAMIREZ</v>
          </cell>
          <cell r="O408">
            <v>30732589</v>
          </cell>
          <cell r="P408" t="str">
            <v>contabilidad@fuertesmejia.com.co</v>
          </cell>
          <cell r="Q408">
            <v>45805</v>
          </cell>
          <cell r="R408" t="str">
            <v>ALEXANDER YELA</v>
          </cell>
          <cell r="U408" t="str">
            <v>CELEBRADO</v>
          </cell>
          <cell r="W408" t="str">
            <v>2025-0222</v>
          </cell>
          <cell r="X408" t="str">
            <v>2025-0665</v>
          </cell>
          <cell r="AJ408">
            <v>2</v>
          </cell>
          <cell r="AK408">
            <v>0</v>
          </cell>
          <cell r="AL408">
            <v>3</v>
          </cell>
          <cell r="AM408" t="str">
            <v>$947.044,24</v>
          </cell>
        </row>
        <row r="409">
          <cell r="A409" t="str">
            <v>408-2025</v>
          </cell>
          <cell r="B409" t="str">
            <v>PRESTACION DE SERVICIOS</v>
          </cell>
          <cell r="C409" t="str">
            <v>DISTRICENG HOSPITALARIOS SAS</v>
          </cell>
          <cell r="D409" t="str">
            <v>NIT</v>
          </cell>
          <cell r="E409">
            <v>901721826</v>
          </cell>
          <cell r="F409">
            <v>9</v>
          </cell>
          <cell r="G409" t="str">
            <v>BIONEXO</v>
          </cell>
          <cell r="H409">
            <v>2</v>
          </cell>
          <cell r="I409" t="str">
            <v>EL CONTRATISTA SE OBLIGA AL SUMINISTRO DE LOS MEDICAMENTOS EN LAS CANTIDADES ESTABLECIDAS EN EL ANEXO 1, EL CUAL HACE PARTE INTEGRAL DEL CONTRATO, PARA LA ESE PASTO SALUD</v>
          </cell>
          <cell r="J409">
            <v>3</v>
          </cell>
          <cell r="K409" t="str">
            <v>$2.499.680,00</v>
          </cell>
          <cell r="L409">
            <v>45806</v>
          </cell>
          <cell r="M409">
            <v>45838</v>
          </cell>
          <cell r="N409" t="str">
            <v xml:space="preserve">	NENA DEL CARMEN RAMIREZ RAMIREZ</v>
          </cell>
          <cell r="O409">
            <v>30732589</v>
          </cell>
          <cell r="P409" t="str">
            <v>contabilidad.districeng@gmail.com</v>
          </cell>
          <cell r="Q409">
            <v>45806</v>
          </cell>
          <cell r="R409" t="str">
            <v>ALEXANDER YELA</v>
          </cell>
          <cell r="U409" t="str">
            <v>CELEBRADO</v>
          </cell>
          <cell r="W409" t="str">
            <v>2025-0209</v>
          </cell>
          <cell r="X409" t="str">
            <v>2025-0669</v>
          </cell>
          <cell r="AJ409">
            <v>2</v>
          </cell>
          <cell r="AK409">
            <v>0</v>
          </cell>
          <cell r="AL409">
            <v>3</v>
          </cell>
          <cell r="AM409" t="str">
            <v>$2.499.680,00</v>
          </cell>
        </row>
        <row r="410">
          <cell r="A410" t="str">
            <v>409-2025</v>
          </cell>
          <cell r="B410" t="str">
            <v>COMPRAVENTA</v>
          </cell>
          <cell r="C410" t="str">
            <v xml:space="preserve">	R.X. S.A</v>
          </cell>
          <cell r="D410" t="str">
            <v>NIT</v>
          </cell>
          <cell r="E410">
            <v>800006583</v>
          </cell>
          <cell r="F410">
            <v>1</v>
          </cell>
          <cell r="G410" t="str">
            <v xml:space="preserve">CONTRATACION DIRECTA </v>
          </cell>
          <cell r="H410">
            <v>2</v>
          </cell>
          <cell r="I410" t="str">
            <v>Compraventa de licencia ES9CG NX RISX CONECTIVITY, para el equipo de imagenologia estación NX del Hospital Santa Mónica de la Empresa Social del Estado Pasto Salud E.S.E</v>
          </cell>
          <cell r="J410">
            <v>1</v>
          </cell>
          <cell r="K410" t="str">
            <v>$3.349.356,00</v>
          </cell>
          <cell r="L410">
            <v>45806</v>
          </cell>
          <cell r="M410">
            <v>45838</v>
          </cell>
          <cell r="N410" t="str">
            <v xml:space="preserve">	IVAN RODRIGO IBARRA MUÑOZ</v>
          </cell>
          <cell r="O410">
            <v>87248313</v>
          </cell>
          <cell r="P410" t="str">
            <v>rxprincipal@rxsa.co</v>
          </cell>
          <cell r="Q410">
            <v>45806</v>
          </cell>
          <cell r="R410" t="str">
            <v>NATALIA ERAZO</v>
          </cell>
          <cell r="U410" t="str">
            <v>CELEBRADO</v>
          </cell>
          <cell r="W410" t="str">
            <v>2025-0212</v>
          </cell>
          <cell r="X410" t="str">
            <v>2025-0670</v>
          </cell>
          <cell r="AJ410">
            <v>2</v>
          </cell>
          <cell r="AK410">
            <v>0</v>
          </cell>
          <cell r="AL410">
            <v>3</v>
          </cell>
          <cell r="AM410" t="str">
            <v>$3.349.356,00</v>
          </cell>
        </row>
        <row r="411">
          <cell r="A411" t="str">
            <v>410-2025</v>
          </cell>
          <cell r="B411" t="str">
            <v>SUMINISTROS</v>
          </cell>
          <cell r="C411" t="str">
            <v>COOPERATIVA DE GESTION FARMACEUTICA INTEGRAL EN REORGANIZACION</v>
          </cell>
          <cell r="D411" t="str">
            <v>NIT</v>
          </cell>
          <cell r="E411">
            <v>900062612</v>
          </cell>
          <cell r="F411">
            <v>8</v>
          </cell>
          <cell r="G411" t="str">
            <v>BIONEXO</v>
          </cell>
          <cell r="H411">
            <v>2</v>
          </cell>
          <cell r="I411" t="str">
            <v>El contratista se obliga al suministro del material médico quirúrgico en las cantidades establecidas en el anexo 1, el cual hace parte integral del contrato. Para la ESE Pasto Salud.</v>
          </cell>
          <cell r="J411">
            <v>3</v>
          </cell>
          <cell r="K411" t="str">
            <v>$548.681,75</v>
          </cell>
          <cell r="L411">
            <v>45807</v>
          </cell>
          <cell r="M411">
            <v>45838</v>
          </cell>
          <cell r="N411" t="str">
            <v xml:space="preserve">	NENA DEL CARMEN RAMIREZ RAMIREZ</v>
          </cell>
          <cell r="O411">
            <v>30732589</v>
          </cell>
          <cell r="P411" t="str">
            <v>directorejecutivo@cfarma.com.co</v>
          </cell>
          <cell r="Q411">
            <v>45807</v>
          </cell>
          <cell r="R411" t="str">
            <v>ANDRES GUERRA</v>
          </cell>
          <cell r="U411" t="str">
            <v>CELEBRADO</v>
          </cell>
          <cell r="W411" t="str">
            <v>2025-0222</v>
          </cell>
          <cell r="X411" t="str">
            <v>2025-0671</v>
          </cell>
          <cell r="AJ411">
            <v>2</v>
          </cell>
          <cell r="AK411">
            <v>0</v>
          </cell>
          <cell r="AL411">
            <v>3</v>
          </cell>
          <cell r="AM411" t="str">
            <v>$548.681,75</v>
          </cell>
        </row>
        <row r="412">
          <cell r="A412" t="str">
            <v>411-2025</v>
          </cell>
          <cell r="B412" t="str">
            <v>PRESTACION DE SERVICIOS</v>
          </cell>
          <cell r="C412" t="str">
            <v>CDA MOTOSPORT S.A.S</v>
          </cell>
          <cell r="D412" t="str">
            <v>NIT</v>
          </cell>
          <cell r="E412">
            <v>900316458</v>
          </cell>
          <cell r="F412">
            <v>1</v>
          </cell>
          <cell r="G412" t="str">
            <v xml:space="preserve">CONTRATACION DIRECTA </v>
          </cell>
          <cell r="H412">
            <v>2</v>
          </cell>
          <cell r="I412" t="str">
            <v>Prestar el servicio de la revisión técnico mecánica y de gases y expedición de los certificados correspondientes para los vehículos del parque automotor de la Empresa Social del Estado Pasto Salud E.S.E</v>
          </cell>
          <cell r="J412">
            <v>1</v>
          </cell>
          <cell r="K412" t="str">
            <v>$ 5.295.645</v>
          </cell>
          <cell r="L412">
            <v>45807</v>
          </cell>
          <cell r="M412">
            <v>46022</v>
          </cell>
          <cell r="N412" t="str">
            <v xml:space="preserve">	JUAN CARLOS OJEDA VILLOTA</v>
          </cell>
          <cell r="O412">
            <v>12986906</v>
          </cell>
          <cell r="P412" t="str">
            <v>cdamotosport@hotmail.com</v>
          </cell>
          <cell r="Q412">
            <v>45807</v>
          </cell>
          <cell r="R412" t="str">
            <v>ANDRES GUERRA</v>
          </cell>
          <cell r="U412" t="str">
            <v>CELEBRADO</v>
          </cell>
          <cell r="W412" t="str">
            <v>2025-0180</v>
          </cell>
          <cell r="X412" t="str">
            <v>2025-0672</v>
          </cell>
          <cell r="AJ412">
            <v>2</v>
          </cell>
          <cell r="AK412">
            <v>0</v>
          </cell>
          <cell r="AL412">
            <v>2</v>
          </cell>
          <cell r="AM412" t="str">
            <v>5,295,645.00</v>
          </cell>
        </row>
        <row r="413">
          <cell r="A413" t="str">
            <v>412-2025</v>
          </cell>
          <cell r="B413" t="str">
            <v>SUMINISTROS</v>
          </cell>
          <cell r="C413" t="str">
            <v>BIOPLAST S.A.S</v>
          </cell>
          <cell r="D413" t="str">
            <v>NIT</v>
          </cell>
          <cell r="E413">
            <v>830040574</v>
          </cell>
          <cell r="F413">
            <v>8</v>
          </cell>
          <cell r="G413" t="str">
            <v>BIONEXO</v>
          </cell>
          <cell r="H413">
            <v>2</v>
          </cell>
          <cell r="I413" t="str">
            <v>El contratista se obliga al suministro del material médico quirúrgico en las cantidades establecidas en el anexo 1, el cual hace parte integral del contrato. Para la ESE Pasto Salud.</v>
          </cell>
          <cell r="J413">
            <v>3</v>
          </cell>
          <cell r="K413" t="str">
            <v>$ 3.839.545.30</v>
          </cell>
          <cell r="L413">
            <v>45807</v>
          </cell>
          <cell r="M413">
            <v>45838</v>
          </cell>
          <cell r="N413" t="str">
            <v xml:space="preserve">	NENA DEL CARMEN RAMIREZ RAMIREZ</v>
          </cell>
          <cell r="O413">
            <v>30732589</v>
          </cell>
          <cell r="P413" t="str">
            <v>gerencia@bioplast.co</v>
          </cell>
          <cell r="Q413">
            <v>45807</v>
          </cell>
          <cell r="R413" t="str">
            <v>CRISTINA ROSERO</v>
          </cell>
          <cell r="U413" t="str">
            <v>CELEBRADO</v>
          </cell>
          <cell r="W413" t="str">
            <v>2025-0222</v>
          </cell>
          <cell r="X413" t="str">
            <v>2025-0673</v>
          </cell>
          <cell r="AJ413">
            <v>2</v>
          </cell>
          <cell r="AK413">
            <v>0</v>
          </cell>
          <cell r="AL413">
            <v>3</v>
          </cell>
          <cell r="AM413" t="str">
            <v>$3.839.545,30</v>
          </cell>
        </row>
        <row r="414">
          <cell r="A414" t="str">
            <v>413-2025</v>
          </cell>
          <cell r="B414" t="str">
            <v>PRESTACION DE SERVICIOS</v>
          </cell>
          <cell r="C414" t="str">
            <v>DIEGO ANDRES GARCIA PORTILLA</v>
          </cell>
          <cell r="D414" t="str">
            <v>CC</v>
          </cell>
          <cell r="E414">
            <v>1233194302</v>
          </cell>
          <cell r="F414">
            <v>8</v>
          </cell>
          <cell r="G414" t="str">
            <v xml:space="preserve">CONTRATACION DIRECTA </v>
          </cell>
          <cell r="H414">
            <v>1</v>
          </cell>
          <cell r="I414" t="str">
            <v>El contratista se compromete para con la Empresa Social del Estado PASTO SALUD ESE a prestar sus servicios como administrador en servicios de salud para el desarrollo de las actividades contempladas en el componente de Morbi mortalidad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v>
          </cell>
          <cell r="J414">
            <v>1</v>
          </cell>
          <cell r="K414" t="str">
            <v>$ 12.000.000</v>
          </cell>
          <cell r="L414">
            <v>45811</v>
          </cell>
          <cell r="M414">
            <v>45961</v>
          </cell>
          <cell r="N414" t="str">
            <v xml:space="preserve">	OSCAR MIGUEL GOYES CABRERA</v>
          </cell>
          <cell r="O414">
            <v>87711882</v>
          </cell>
          <cell r="P414" t="str">
            <v>Dagp542@gmail.com</v>
          </cell>
          <cell r="Q414">
            <v>45811</v>
          </cell>
          <cell r="R414" t="str">
            <v>CRISTINA ROSERO</v>
          </cell>
          <cell r="U414" t="str">
            <v>CELEBRADO</v>
          </cell>
          <cell r="W414" t="str">
            <v>2025-0200</v>
          </cell>
          <cell r="X414" t="str">
            <v>2025-0707</v>
          </cell>
          <cell r="AJ414">
            <v>2</v>
          </cell>
          <cell r="AK414">
            <v>0</v>
          </cell>
          <cell r="AL414">
            <v>2</v>
          </cell>
          <cell r="AM414" t="str">
            <v>$12.000.000,00</v>
          </cell>
        </row>
        <row r="415">
          <cell r="A415" t="str">
            <v>414-2025</v>
          </cell>
          <cell r="B415" t="str">
            <v>SUMINISTROS</v>
          </cell>
          <cell r="C415" t="str">
            <v>HILDER FERNANDO LUNA BELALCAZAR (MELGRAFIC)</v>
          </cell>
          <cell r="D415" t="str">
            <v>CC</v>
          </cell>
          <cell r="E415">
            <v>13065259</v>
          </cell>
          <cell r="F415">
            <v>7</v>
          </cell>
          <cell r="G415" t="str">
            <v xml:space="preserve">CONTRATACION DIRECTA </v>
          </cell>
          <cell r="H415">
            <v>1</v>
          </cell>
          <cell r="I415" t="str">
            <v>SUMINISTRO, DISEÑO E INSTALACIÓN DE SEÑALIZACION HOSPITALARIA DE LA EMPRESA SOCIAL DEL ESTADO PASTO SALUD E.S.E</v>
          </cell>
          <cell r="J415">
            <v>1</v>
          </cell>
          <cell r="K415" t="str">
            <v>$25,000,000.00</v>
          </cell>
          <cell r="L415">
            <v>45811</v>
          </cell>
          <cell r="M415">
            <v>46022</v>
          </cell>
          <cell r="N415" t="str">
            <v>JUAN PABLO LLANOS</v>
          </cell>
          <cell r="O415">
            <v>17658216</v>
          </cell>
          <cell r="P415" t="str">
            <v>tallercreativomelgrafic@hotmail.com</v>
          </cell>
          <cell r="Q415">
            <v>45811</v>
          </cell>
          <cell r="R415" t="str">
            <v>JUAN GOMEZ</v>
          </cell>
          <cell r="U415" t="str">
            <v>CELEBRADO</v>
          </cell>
          <cell r="W415" t="str">
            <v>2025-0238</v>
          </cell>
          <cell r="X415" t="str">
            <v>2025-0708</v>
          </cell>
          <cell r="AJ415">
            <v>2</v>
          </cell>
          <cell r="AK415">
            <v>0</v>
          </cell>
          <cell r="AL415">
            <v>2</v>
          </cell>
          <cell r="AM415" t="str">
            <v>$25,000,000.00</v>
          </cell>
        </row>
        <row r="416">
          <cell r="A416" t="str">
            <v>415-2025</v>
          </cell>
          <cell r="B416" t="str">
            <v>PRESTACION DE SERVICIOS</v>
          </cell>
          <cell r="C416" t="str">
            <v>DIEGO ARMANDO SANCHEZ MONTENEGRO</v>
          </cell>
          <cell r="D416" t="str">
            <v>CC</v>
          </cell>
          <cell r="E416">
            <v>87215547</v>
          </cell>
          <cell r="F416">
            <v>7</v>
          </cell>
          <cell r="G416" t="str">
            <v xml:space="preserve">CONTRATACION DIRECTA </v>
          </cell>
          <cell r="H416">
            <v>1</v>
          </cell>
          <cell r="I416" t="str">
            <v>Prestar servicios como Profesional en Sistemas en la Empresa Social del Estado Pasto Salud E.S.E., apoyando a la Oficina Asesora de Comunicaciones y Sistemas en labores de Asistencia técnica, mantenimiento preventivo y correctivo de hardware, software y redes de datos</v>
          </cell>
          <cell r="J416">
            <v>1</v>
          </cell>
          <cell r="K416" t="str">
            <v>$ 14.763.708</v>
          </cell>
          <cell r="L416">
            <v>45812</v>
          </cell>
          <cell r="M416">
            <v>45930</v>
          </cell>
          <cell r="N416" t="str">
            <v xml:space="preserve">	IVAN RODRIGO IBARRA MUÑOZ</v>
          </cell>
          <cell r="O416">
            <v>87248313</v>
          </cell>
          <cell r="P416" t="str">
            <v>dasm1983@gmail.com</v>
          </cell>
          <cell r="Q416">
            <v>45812</v>
          </cell>
          <cell r="R416" t="str">
            <v>ANDRES GUERRA</v>
          </cell>
          <cell r="U416" t="str">
            <v>CELEBRADO</v>
          </cell>
          <cell r="W416" t="str">
            <v>2025-0255</v>
          </cell>
          <cell r="X416" t="str">
            <v>2025-0716</v>
          </cell>
          <cell r="AJ416">
            <v>2</v>
          </cell>
          <cell r="AK416">
            <v>0</v>
          </cell>
          <cell r="AL416">
            <v>2</v>
          </cell>
          <cell r="AM416" t="str">
            <v>$14,763,708.00</v>
          </cell>
        </row>
        <row r="417">
          <cell r="A417" t="str">
            <v>416-2025</v>
          </cell>
          <cell r="B417" t="str">
            <v>PRESTACION DE SERVICIOS</v>
          </cell>
          <cell r="C417" t="str">
            <v>MARIA PAULA PACHAJOA DE LA ROSA</v>
          </cell>
          <cell r="D417" t="str">
            <v>CC</v>
          </cell>
          <cell r="E417">
            <v>1085339053</v>
          </cell>
          <cell r="F417">
            <v>7</v>
          </cell>
          <cell r="G417" t="str">
            <v xml:space="preserve">CONTRATACION DIRECTA </v>
          </cell>
          <cell r="H417">
            <v>1</v>
          </cell>
          <cell r="I417" t="str">
            <v>El contratista se compromete para con la Empresa Social del Estado PASTO SALUD ESE a prestar sus servicios como tecnólogo en promoción de la salud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v>
          </cell>
          <cell r="J417">
            <v>1</v>
          </cell>
          <cell r="K417" t="str">
            <v>$12.000.000</v>
          </cell>
          <cell r="L417">
            <v>45812</v>
          </cell>
          <cell r="M417">
            <v>45961</v>
          </cell>
          <cell r="N417" t="str">
            <v xml:space="preserve">	OSCAR MIGUEL GOYES CABRERA</v>
          </cell>
          <cell r="O417">
            <v>87711882</v>
          </cell>
          <cell r="P417" t="str">
            <v>mariapachajoa25@gmail.com</v>
          </cell>
          <cell r="Q417">
            <v>45812</v>
          </cell>
          <cell r="R417" t="str">
            <v>NATALIA ERAZO</v>
          </cell>
          <cell r="U417" t="str">
            <v>CELEBRADO</v>
          </cell>
          <cell r="W417" t="str">
            <v>2025-0200</v>
          </cell>
          <cell r="X417" t="str">
            <v>2025-0717</v>
          </cell>
          <cell r="AJ417">
            <v>2</v>
          </cell>
          <cell r="AK417">
            <v>0</v>
          </cell>
          <cell r="AL417">
            <v>2</v>
          </cell>
          <cell r="AM417" t="str">
            <v>$12.000.000</v>
          </cell>
        </row>
        <row r="418">
          <cell r="A418" t="str">
            <v>417-2025</v>
          </cell>
          <cell r="B418" t="str">
            <v>PRESTACION DE SERVICIOS</v>
          </cell>
          <cell r="C418" t="str">
            <v>TOTAL HEALTH PRO SAS</v>
          </cell>
          <cell r="D418" t="str">
            <v>NIT</v>
          </cell>
          <cell r="E418">
            <v>901879674</v>
          </cell>
          <cell r="F418">
            <v>5</v>
          </cell>
          <cell r="G418" t="str">
            <v xml:space="preserve">CONTRATACION DIRECTA </v>
          </cell>
          <cell r="H418">
            <v>2</v>
          </cell>
          <cell r="I418" t="str">
            <v>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gastroenterología tanto de consulta externa como de procedimientos cruentos e incruentos para lo cual se aporta el gastroscopio con sus consumibles con relación al servicio de anestesia y sedación será provisto según requerimiento técnicos del contratante.</v>
          </cell>
          <cell r="J418">
            <v>1</v>
          </cell>
          <cell r="K418" t="str">
            <v>$630.000.000,00</v>
          </cell>
          <cell r="L418">
            <v>45812</v>
          </cell>
          <cell r="M418">
            <v>45936</v>
          </cell>
          <cell r="N418" t="str">
            <v>MARY ALEXANDRA ROSERO BENAVIDES</v>
          </cell>
          <cell r="O418">
            <v>43624414</v>
          </cell>
          <cell r="P418" t="str">
            <v>healtprosas1@gmail.com</v>
          </cell>
          <cell r="Q418">
            <v>45812</v>
          </cell>
          <cell r="R418" t="str">
            <v>JUAN GOMEZ</v>
          </cell>
          <cell r="U418" t="str">
            <v>CELEBRADO</v>
          </cell>
          <cell r="W418" t="str">
            <v>2025-0250</v>
          </cell>
          <cell r="X418" t="str">
            <v>2025-0718</v>
          </cell>
          <cell r="AA418" t="str">
            <v xml:space="preserve">ADICION </v>
          </cell>
          <cell r="AJ418">
            <v>1</v>
          </cell>
          <cell r="AK418">
            <v>3</v>
          </cell>
          <cell r="AL418">
            <v>2</v>
          </cell>
          <cell r="AM418" t="str">
            <v>$630.000.000,00</v>
          </cell>
        </row>
        <row r="419">
          <cell r="A419" t="str">
            <v>418-2025</v>
          </cell>
          <cell r="B419" t="str">
            <v>PRESTACION DE SERVICIOS</v>
          </cell>
          <cell r="C419" t="str">
            <v xml:space="preserve"> KAREN GUISELA SANTACRUZ NARVAEZ</v>
          </cell>
          <cell r="D419" t="str">
            <v>CC</v>
          </cell>
          <cell r="E419">
            <v>59311844</v>
          </cell>
          <cell r="F419">
            <v>9</v>
          </cell>
          <cell r="G419" t="str">
            <v xml:space="preserve">CONTRATACION DIRECTA </v>
          </cell>
          <cell r="H419">
            <v>1</v>
          </cell>
          <cell r="I419" t="str">
            <v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v>
          </cell>
          <cell r="J419">
            <v>1</v>
          </cell>
          <cell r="K419" t="str">
            <v>$12.000.000</v>
          </cell>
          <cell r="L419">
            <v>45812</v>
          </cell>
          <cell r="M419">
            <v>45869</v>
          </cell>
          <cell r="N419" t="str">
            <v>MARY ALEXANDRA ROSERO BENAVIDES</v>
          </cell>
          <cell r="O419">
            <v>43624414</v>
          </cell>
          <cell r="P419" t="str">
            <v xml:space="preserve"> karencha67@hotmail.com</v>
          </cell>
          <cell r="Q419">
            <v>45812</v>
          </cell>
          <cell r="R419" t="str">
            <v>NATALIA ERAZO</v>
          </cell>
          <cell r="U419" t="str">
            <v>CELEBRADO</v>
          </cell>
          <cell r="W419" t="str">
            <v>2025-0177</v>
          </cell>
          <cell r="X419" t="str">
            <v>2025-0720</v>
          </cell>
          <cell r="AJ419">
            <v>2</v>
          </cell>
          <cell r="AK419">
            <v>0</v>
          </cell>
          <cell r="AL419">
            <v>2</v>
          </cell>
          <cell r="AM419" t="str">
            <v>$12.000.000</v>
          </cell>
        </row>
        <row r="420">
          <cell r="A420" t="str">
            <v>419-2025</v>
          </cell>
          <cell r="B420" t="str">
            <v>PRESTACION DE SERVICIOS</v>
          </cell>
          <cell r="C420" t="str">
            <v>MARTHA CECILIA PAZOS PORTILLO</v>
          </cell>
          <cell r="D420" t="str">
            <v>CC</v>
          </cell>
          <cell r="E420">
            <v>37080426</v>
          </cell>
          <cell r="F420">
            <v>0</v>
          </cell>
          <cell r="G420" t="str">
            <v xml:space="preserve">CONTRATACION DIRECTA </v>
          </cell>
          <cell r="H420">
            <v>1</v>
          </cell>
          <cell r="I420" t="str">
            <v>El contratista se compromete para con la Empresa Social del Estado PASTO SALUD ESE a prestar sus servicios como tecnólogo en agua y saneamiento básico para el desarrollo de las actividades contempladas en el componente de Morbi mortalidad - Determinantes Ambientales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sus lineamientos operativos, 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Secretaria Municipal de Salud.</v>
          </cell>
          <cell r="J420">
            <v>1</v>
          </cell>
          <cell r="K420" t="str">
            <v>$ 10.000.000</v>
          </cell>
          <cell r="L420">
            <v>45813</v>
          </cell>
          <cell r="M420">
            <v>45961</v>
          </cell>
          <cell r="N420" t="str">
            <v xml:space="preserve">	OSCAR MIGUEL GOYES CABRERA</v>
          </cell>
          <cell r="O420">
            <v>87711882</v>
          </cell>
          <cell r="P420" t="str">
            <v xml:space="preserve"> ingmarticapazos@gmail.com</v>
          </cell>
          <cell r="Q420">
            <v>45813</v>
          </cell>
          <cell r="R420" t="str">
            <v>ANDRES GUERRA</v>
          </cell>
          <cell r="U420" t="str">
            <v>CELEBRADO</v>
          </cell>
          <cell r="W420" t="str">
            <v>2025-0277</v>
          </cell>
          <cell r="X420" t="str">
            <v>2025-0741</v>
          </cell>
          <cell r="AJ420">
            <v>2</v>
          </cell>
          <cell r="AK420">
            <v>0</v>
          </cell>
          <cell r="AL420">
            <v>2</v>
          </cell>
          <cell r="AM420" t="str">
            <v>$10.000.000</v>
          </cell>
        </row>
        <row r="421">
          <cell r="A421" t="str">
            <v>420-2025</v>
          </cell>
          <cell r="B421" t="str">
            <v>PRESTACION DE SERVICIOS</v>
          </cell>
          <cell r="C421" t="str">
            <v xml:space="preserve"> DARMELY MILENA TOBAR MORA</v>
          </cell>
          <cell r="D421" t="str">
            <v>CC</v>
          </cell>
          <cell r="E421">
            <v>27308991</v>
          </cell>
          <cell r="F421">
            <v>6</v>
          </cell>
          <cell r="G421" t="str">
            <v xml:space="preserve">CONTRATACION DIRECTA </v>
          </cell>
          <cell r="H421">
            <v>1</v>
          </cell>
          <cell r="I421" t="str">
            <v>Prestación del servicio de análisis físico químico de las aguas potables de las sedes pertenecientes a la Empresa Social del Estado PASTO SALUD ESE.</v>
          </cell>
          <cell r="J421">
            <v>1</v>
          </cell>
          <cell r="K421" t="str">
            <v>$44.000.000</v>
          </cell>
          <cell r="L421">
            <v>45813</v>
          </cell>
          <cell r="M421">
            <v>45858</v>
          </cell>
          <cell r="N421" t="str">
            <v xml:space="preserve">GIOVANNY FELIPE FREYRE ROMO        </v>
          </cell>
          <cell r="O421">
            <v>1085294867</v>
          </cell>
          <cell r="P421" t="str">
            <v xml:space="preserve">tobarmoradarmelymilena@gmail.com </v>
          </cell>
          <cell r="Q421">
            <v>45813</v>
          </cell>
          <cell r="R421" t="str">
            <v>ANDRES GUERRA</v>
          </cell>
          <cell r="U421" t="str">
            <v>CELEBRADO</v>
          </cell>
          <cell r="W421" t="str">
            <v>2025-0263</v>
          </cell>
          <cell r="X421" t="str">
            <v>2025-0722</v>
          </cell>
          <cell r="AA421" t="str">
            <v>PRORROGA</v>
          </cell>
          <cell r="AJ421">
            <v>1</v>
          </cell>
          <cell r="AK421">
            <v>1</v>
          </cell>
          <cell r="AL421">
            <v>2</v>
          </cell>
          <cell r="AM421" t="str">
            <v>$44.000.000</v>
          </cell>
        </row>
        <row r="422">
          <cell r="A422" t="str">
            <v>421-2025</v>
          </cell>
          <cell r="B422" t="str">
            <v>PRESTACION DE SERVICIOS</v>
          </cell>
          <cell r="C422" t="str">
            <v>JEFFERSON RIGO LEITON RODRIGUEZ</v>
          </cell>
          <cell r="D422" t="str">
            <v>CC</v>
          </cell>
          <cell r="E422">
            <v>1004743217</v>
          </cell>
          <cell r="F422">
            <v>5</v>
          </cell>
          <cell r="G422" t="str">
            <v xml:space="preserve">CONTRATACION DIRECTA </v>
          </cell>
          <cell r="H422">
            <v>1</v>
          </cell>
          <cell r="I42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atencion domiciliaria, unidad movil, jornadas extramurales y atencion intamural segun lo dispuesto en la resolucion 3100 de 2019, paraa la poblacion del municipio de pasto segun la poblacion asignada por la relacion contractual suscrita entre PASTO SALUD ESE y las diferentes EAPBS, implementando el lineamiento emitido por el ministerio de salud a raiz de la expedicion de la resolucion 1397 del 06 de agosto de 2024.</v>
          </cell>
          <cell r="J422">
            <v>1</v>
          </cell>
          <cell r="K422" t="str">
            <v>$3.000.000</v>
          </cell>
          <cell r="L422">
            <v>45814</v>
          </cell>
          <cell r="M422">
            <v>45838</v>
          </cell>
          <cell r="N422" t="str">
            <v xml:space="preserve">	RODRIGO DE JESUS VITERI MORENO</v>
          </cell>
          <cell r="O422">
            <v>98390119</v>
          </cell>
          <cell r="P422" t="str">
            <v>Jefersonleiton127@gmail.com</v>
          </cell>
          <cell r="Q422">
            <v>45814</v>
          </cell>
          <cell r="R422" t="str">
            <v>JUAN GOMEZ</v>
          </cell>
          <cell r="U422" t="str">
            <v>CELEBRADO</v>
          </cell>
          <cell r="W422" t="str">
            <v>2025-0177</v>
          </cell>
          <cell r="X422" t="str">
            <v>2025-0724</v>
          </cell>
          <cell r="AJ422">
            <v>2</v>
          </cell>
          <cell r="AK422">
            <v>0</v>
          </cell>
          <cell r="AL422">
            <v>3</v>
          </cell>
          <cell r="AM422" t="str">
            <v>$3.000.000</v>
          </cell>
        </row>
        <row r="423">
          <cell r="A423" t="str">
            <v>422-2025</v>
          </cell>
          <cell r="B423" t="str">
            <v>SUMINISTROS</v>
          </cell>
          <cell r="C423" t="str">
            <v>FUERTES MEJIA MEDICAMENTOS Y DISPOSITIVOS MEDICOS SAS.,</v>
          </cell>
          <cell r="D423" t="str">
            <v>NIT</v>
          </cell>
          <cell r="E423">
            <v>901565478</v>
          </cell>
          <cell r="F423">
            <v>1</v>
          </cell>
          <cell r="G423" t="str">
            <v>BIONEXO</v>
          </cell>
          <cell r="H423">
            <v>2</v>
          </cell>
          <cell r="I423" t="str">
            <v>El contratista se obliga al suministro del material médico quirúrgico en las cantidades establecidas en el anexo 1, el cual hace parte integral del contrato.</v>
          </cell>
          <cell r="J423">
            <v>3</v>
          </cell>
          <cell r="K423" t="str">
            <v>$ 5.096.948.00</v>
          </cell>
          <cell r="L423">
            <v>45814</v>
          </cell>
          <cell r="M423">
            <v>45869</v>
          </cell>
          <cell r="N423" t="str">
            <v xml:space="preserve">	NENA DEL CARMEN RAMIREZ RAMIREZ</v>
          </cell>
          <cell r="O423">
            <v>30732589</v>
          </cell>
          <cell r="P423" t="str">
            <v xml:space="preserve"> contabilidad@fuertesmejia.com.co</v>
          </cell>
          <cell r="Q423">
            <v>45814</v>
          </cell>
          <cell r="R423" t="str">
            <v>ELIANA BENAVIDES</v>
          </cell>
          <cell r="U423" t="str">
            <v>CELEBRADO</v>
          </cell>
          <cell r="W423" t="str">
            <v>2025-0222</v>
          </cell>
          <cell r="X423" t="str">
            <v>2025-0725</v>
          </cell>
          <cell r="AJ423">
            <v>2</v>
          </cell>
          <cell r="AK423">
            <v>0</v>
          </cell>
          <cell r="AL423">
            <v>2</v>
          </cell>
          <cell r="AM423" t="str">
            <v>$5,096,948.00</v>
          </cell>
        </row>
        <row r="424">
          <cell r="A424" t="str">
            <v>423-2025</v>
          </cell>
          <cell r="B424" t="str">
            <v>PRESTACION DE SERVICIOS</v>
          </cell>
          <cell r="C424" t="str">
            <v>MARIANA DE JESUS ORTIZ BOTINA</v>
          </cell>
          <cell r="D424" t="str">
            <v>CC</v>
          </cell>
          <cell r="E424">
            <v>59830379</v>
          </cell>
          <cell r="F424">
            <v>1</v>
          </cell>
          <cell r="G424" t="str">
            <v xml:space="preserve">CONTRATACION DIRECTA </v>
          </cell>
          <cell r="H424">
            <v>1</v>
          </cell>
          <cell r="I42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24">
            <v>1</v>
          </cell>
          <cell r="K424" t="str">
            <v>$9.500.000</v>
          </cell>
          <cell r="L424">
            <v>45814</v>
          </cell>
          <cell r="M424">
            <v>45869</v>
          </cell>
          <cell r="N424" t="str">
            <v xml:space="preserve">	RODRIGO DE JESUS VITERI MORENO</v>
          </cell>
          <cell r="O424">
            <v>98390119</v>
          </cell>
          <cell r="P424" t="str">
            <v>marianaortiz3116@gmail.com</v>
          </cell>
          <cell r="Q424">
            <v>45814</v>
          </cell>
          <cell r="R424" t="str">
            <v>ELIANA BENAVIDES</v>
          </cell>
          <cell r="U424" t="str">
            <v>CELEBRADO</v>
          </cell>
          <cell r="W424" t="str">
            <v>2025-0177</v>
          </cell>
          <cell r="X424" t="str">
            <v>2025-0726</v>
          </cell>
          <cell r="AJ424">
            <v>2</v>
          </cell>
          <cell r="AK424">
            <v>0</v>
          </cell>
          <cell r="AL424">
            <v>2</v>
          </cell>
          <cell r="AM424" t="str">
            <v>$9.500.000</v>
          </cell>
        </row>
        <row r="425">
          <cell r="A425" t="str">
            <v>424-2025</v>
          </cell>
          <cell r="B425" t="str">
            <v>PRESTACION DE SERVICIOS</v>
          </cell>
          <cell r="C425" t="str">
            <v>MYRIAM ADRIANA ZAMBRANO ONOFRE</v>
          </cell>
          <cell r="D425" t="str">
            <v>CC</v>
          </cell>
          <cell r="E425">
            <v>37082232</v>
          </cell>
          <cell r="F425">
            <v>8</v>
          </cell>
          <cell r="G425" t="str">
            <v xml:space="preserve">CONTRATACION DIRECTA </v>
          </cell>
          <cell r="H425">
            <v>1</v>
          </cell>
          <cell r="I42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25">
            <v>1</v>
          </cell>
          <cell r="K425" t="str">
            <v>$3.000.000</v>
          </cell>
          <cell r="L425">
            <v>45814</v>
          </cell>
          <cell r="M425">
            <v>45838</v>
          </cell>
          <cell r="N425" t="str">
            <v>MARY ALEXANDRA ROSERO BENAVIDES</v>
          </cell>
          <cell r="O425">
            <v>43624414</v>
          </cell>
          <cell r="P425" t="str">
            <v xml:space="preserve">Adry-01@hotmail.com </v>
          </cell>
          <cell r="Q425">
            <v>45814</v>
          </cell>
          <cell r="R425" t="str">
            <v>CRISTINA ROSERO</v>
          </cell>
          <cell r="U425" t="str">
            <v>CELEBRADO</v>
          </cell>
          <cell r="W425" t="str">
            <v>2025-0177</v>
          </cell>
          <cell r="X425" t="str">
            <v>2025-0727</v>
          </cell>
          <cell r="AJ425">
            <v>2</v>
          </cell>
          <cell r="AK425">
            <v>0</v>
          </cell>
          <cell r="AL425">
            <v>3</v>
          </cell>
          <cell r="AM425" t="str">
            <v>$3.000.000</v>
          </cell>
        </row>
        <row r="426">
          <cell r="A426" t="str">
            <v>425-2025</v>
          </cell>
          <cell r="B426" t="str">
            <v>PRESTACION DE SERVICIOS</v>
          </cell>
          <cell r="C426" t="str">
            <v>DOLLY DIGNA DAVILA</v>
          </cell>
          <cell r="D426" t="str">
            <v>CC</v>
          </cell>
          <cell r="E426">
            <v>59706564</v>
          </cell>
          <cell r="F426">
            <v>8</v>
          </cell>
          <cell r="G426" t="str">
            <v xml:space="preserve">CONTRATACION DIRECTA </v>
          </cell>
          <cell r="H426">
            <v>1</v>
          </cell>
          <cell r="I42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v>
          </cell>
          <cell r="J426">
            <v>1</v>
          </cell>
          <cell r="K426" t="str">
            <v>$3.000.000</v>
          </cell>
          <cell r="L426">
            <v>45814</v>
          </cell>
          <cell r="M426">
            <v>45838</v>
          </cell>
          <cell r="N426" t="str">
            <v xml:space="preserve">	RODRIGO DE JESUS VITERI MORENO</v>
          </cell>
          <cell r="O426">
            <v>98390119</v>
          </cell>
          <cell r="P426" t="str">
            <v>diurda@hotmail.com</v>
          </cell>
          <cell r="Q426">
            <v>45814</v>
          </cell>
          <cell r="R426" t="str">
            <v>ANDRES GUERRA</v>
          </cell>
          <cell r="U426" t="str">
            <v>CELEBRADO</v>
          </cell>
          <cell r="W426" t="str">
            <v>2025-0177</v>
          </cell>
          <cell r="X426" t="str">
            <v>2025-0728</v>
          </cell>
          <cell r="AJ426">
            <v>2</v>
          </cell>
          <cell r="AK426">
            <v>0</v>
          </cell>
          <cell r="AL426">
            <v>3</v>
          </cell>
          <cell r="AM426" t="str">
            <v>$3.000.000</v>
          </cell>
        </row>
        <row r="427">
          <cell r="A427" t="str">
            <v>426-2025</v>
          </cell>
          <cell r="B427" t="str">
            <v>PRESTACION DE SERVICIOS</v>
          </cell>
          <cell r="C427" t="str">
            <v>JULIET ELIANA MORENO LÓPEZ</v>
          </cell>
          <cell r="D427" t="str">
            <v>CC</v>
          </cell>
          <cell r="E427">
            <v>1085314608</v>
          </cell>
          <cell r="F427">
            <v>6</v>
          </cell>
          <cell r="G427" t="str">
            <v xml:space="preserve">CONTRATACION DIRECTA </v>
          </cell>
          <cell r="H427">
            <v>1</v>
          </cell>
          <cell r="I427"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v>
          </cell>
          <cell r="J427">
            <v>1</v>
          </cell>
          <cell r="K427" t="str">
            <v>$3.000.000</v>
          </cell>
          <cell r="L427">
            <v>45814</v>
          </cell>
          <cell r="M427">
            <v>45838</v>
          </cell>
          <cell r="N427" t="str">
            <v xml:space="preserve">	RODRIGO DE JESUS VITERI MORENO</v>
          </cell>
          <cell r="O427">
            <v>98390119</v>
          </cell>
          <cell r="P427" t="str">
            <v>julieth.eliana@hotmail.com</v>
          </cell>
          <cell r="Q427">
            <v>45814</v>
          </cell>
          <cell r="R427" t="str">
            <v>ALEXANDER YELA</v>
          </cell>
          <cell r="U427" t="str">
            <v>CELEBRADO</v>
          </cell>
          <cell r="W427" t="str">
            <v>2025-0177</v>
          </cell>
          <cell r="X427" t="str">
            <v>2025-0729</v>
          </cell>
          <cell r="AJ427">
            <v>2</v>
          </cell>
          <cell r="AK427">
            <v>0</v>
          </cell>
          <cell r="AL427">
            <v>3</v>
          </cell>
          <cell r="AM427" t="str">
            <v>$3.000.000</v>
          </cell>
        </row>
        <row r="428">
          <cell r="A428" t="str">
            <v>427-2025</v>
          </cell>
          <cell r="B428" t="str">
            <v>PRESTACION DE SERVICIOS</v>
          </cell>
          <cell r="C428" t="str">
            <v>SANDRA YANETH BOTINA VALLEJO</v>
          </cell>
          <cell r="D428" t="str">
            <v>CC</v>
          </cell>
          <cell r="E428">
            <v>36950482</v>
          </cell>
          <cell r="F428">
            <v>3</v>
          </cell>
          <cell r="G428" t="str">
            <v xml:space="preserve">CONTRATACION DIRECTA </v>
          </cell>
          <cell r="H428">
            <v>1</v>
          </cell>
          <cell r="I42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28">
            <v>1</v>
          </cell>
          <cell r="K428" t="str">
            <v>$6.000.000</v>
          </cell>
          <cell r="L428">
            <v>45814</v>
          </cell>
          <cell r="M428">
            <v>45869</v>
          </cell>
          <cell r="N428" t="str">
            <v xml:space="preserve">	DEYANIRA BADOS DAZA</v>
          </cell>
          <cell r="O428">
            <v>59836926</v>
          </cell>
          <cell r="P428" t="str">
            <v>Sandris25b@gmail.com</v>
          </cell>
          <cell r="Q428">
            <v>45814</v>
          </cell>
          <cell r="R428" t="str">
            <v>CRISTINA ROSERO</v>
          </cell>
          <cell r="U428" t="str">
            <v>CELEBRADO</v>
          </cell>
          <cell r="W428" t="str">
            <v>2025-0264</v>
          </cell>
          <cell r="X428" t="str">
            <v>2025-0730</v>
          </cell>
          <cell r="AJ428">
            <v>2</v>
          </cell>
          <cell r="AK428">
            <v>0</v>
          </cell>
          <cell r="AL428">
            <v>2</v>
          </cell>
          <cell r="AM428" t="str">
            <v>$6.000.000</v>
          </cell>
        </row>
        <row r="429">
          <cell r="A429" t="str">
            <v>428-2025</v>
          </cell>
          <cell r="B429" t="str">
            <v>PRESTACION DE SERVICIOS</v>
          </cell>
          <cell r="C429" t="str">
            <v>PAOLA ANDREA ROSAS MORA</v>
          </cell>
          <cell r="D429" t="str">
            <v>CC</v>
          </cell>
          <cell r="E429">
            <v>1085272774</v>
          </cell>
          <cell r="F429">
            <v>9</v>
          </cell>
          <cell r="G429" t="str">
            <v xml:space="preserve">CONTRATACION DIRECTA </v>
          </cell>
          <cell r="H429">
            <v>1</v>
          </cell>
          <cell r="I429"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29">
            <v>1</v>
          </cell>
          <cell r="K429" t="str">
            <v>$6.000.000</v>
          </cell>
          <cell r="L429">
            <v>45814</v>
          </cell>
          <cell r="M429">
            <v>45869</v>
          </cell>
          <cell r="N429" t="str">
            <v xml:space="preserve">	DEYANIRA BADOS DAZA</v>
          </cell>
          <cell r="O429">
            <v>59836926</v>
          </cell>
          <cell r="P429" t="str">
            <v>andreita.JP@hotmail.com</v>
          </cell>
          <cell r="Q429">
            <v>45814</v>
          </cell>
          <cell r="R429" t="str">
            <v>JUAN GOMEZ</v>
          </cell>
          <cell r="U429" t="str">
            <v>CELEBRADO</v>
          </cell>
          <cell r="W429" t="str">
            <v>2025-0264</v>
          </cell>
          <cell r="X429" t="str">
            <v>2025-0731</v>
          </cell>
          <cell r="AJ429">
            <v>2</v>
          </cell>
          <cell r="AK429">
            <v>0</v>
          </cell>
          <cell r="AL429">
            <v>2</v>
          </cell>
          <cell r="AM429" t="str">
            <v>$6.000.000</v>
          </cell>
        </row>
        <row r="430">
          <cell r="A430" t="str">
            <v>429-2025</v>
          </cell>
          <cell r="B430" t="str">
            <v>PRESTACION DE SERVICIOS</v>
          </cell>
          <cell r="C430" t="str">
            <v>JERSON LEODAN LEITON TORO</v>
          </cell>
          <cell r="D430" t="str">
            <v>CC</v>
          </cell>
          <cell r="E430">
            <v>1086363186</v>
          </cell>
          <cell r="F430">
            <v>2</v>
          </cell>
          <cell r="G430" t="str">
            <v xml:space="preserve">CONTRATACION DIRECTA </v>
          </cell>
          <cell r="H430">
            <v>1</v>
          </cell>
          <cell r="I43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0">
            <v>1</v>
          </cell>
          <cell r="K430" t="str">
            <v>$3.000.000</v>
          </cell>
          <cell r="L430">
            <v>45814</v>
          </cell>
          <cell r="M430">
            <v>45838</v>
          </cell>
          <cell r="N430" t="str">
            <v xml:space="preserve">	RODRIGO DE JESUS VITERI MORENO</v>
          </cell>
          <cell r="O430">
            <v>98390119</v>
          </cell>
          <cell r="P430" t="str">
            <v>jersonleiton5@gmail.com</v>
          </cell>
          <cell r="Q430">
            <v>45814</v>
          </cell>
          <cell r="R430" t="str">
            <v>ALEXANDER YELA</v>
          </cell>
          <cell r="U430" t="str">
            <v>CELEBRADO</v>
          </cell>
          <cell r="W430" t="str">
            <v>2025-0177</v>
          </cell>
          <cell r="X430" t="str">
            <v>2025-0732</v>
          </cell>
          <cell r="AJ430">
            <v>2</v>
          </cell>
          <cell r="AK430">
            <v>0</v>
          </cell>
          <cell r="AL430">
            <v>3</v>
          </cell>
          <cell r="AM430" t="str">
            <v>$3.000.000</v>
          </cell>
        </row>
        <row r="431">
          <cell r="A431" t="str">
            <v>430-2025</v>
          </cell>
          <cell r="B431" t="str">
            <v>PRESTACION DE SERVICIOS</v>
          </cell>
          <cell r="C431" t="str">
            <v>SANDRA PATRICIA GOMEZ SANCHEZ</v>
          </cell>
          <cell r="D431" t="str">
            <v>CC</v>
          </cell>
          <cell r="E431">
            <v>59835389</v>
          </cell>
          <cell r="F431">
            <v>8</v>
          </cell>
          <cell r="G431" t="str">
            <v xml:space="preserve">CONTRATACION DIRECTA </v>
          </cell>
          <cell r="H431">
            <v>1</v>
          </cell>
          <cell r="I43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v>
          </cell>
          <cell r="J431">
            <v>1</v>
          </cell>
          <cell r="K431" t="str">
            <v>$6.000.000</v>
          </cell>
          <cell r="L431">
            <v>45814</v>
          </cell>
          <cell r="M431">
            <v>45869</v>
          </cell>
          <cell r="N431" t="str">
            <v>MARY ALEXANDRA ROSERO BENAVIDES</v>
          </cell>
          <cell r="O431">
            <v>43624414</v>
          </cell>
          <cell r="P431" t="str">
            <v>sandrapgomez.0628@gmail.com</v>
          </cell>
          <cell r="Q431">
            <v>45814</v>
          </cell>
          <cell r="R431" t="str">
            <v>ANDRES GUERRA</v>
          </cell>
          <cell r="U431" t="str">
            <v>CELEBRADO</v>
          </cell>
          <cell r="W431" t="str">
            <v>2025-0264</v>
          </cell>
          <cell r="X431" t="str">
            <v>2025-0733</v>
          </cell>
          <cell r="AJ431">
            <v>2</v>
          </cell>
          <cell r="AK431">
            <v>0</v>
          </cell>
          <cell r="AL431">
            <v>2</v>
          </cell>
          <cell r="AM431" t="str">
            <v>$6.000.000</v>
          </cell>
        </row>
        <row r="432">
          <cell r="A432" t="str">
            <v>431-2025</v>
          </cell>
          <cell r="B432" t="str">
            <v>PRESTACION DE SERVICIOS</v>
          </cell>
          <cell r="C432" t="str">
            <v>FANNY MIREYA LIMAS CUNDAR</v>
          </cell>
          <cell r="D432" t="str">
            <v>CC</v>
          </cell>
          <cell r="E432">
            <v>1085257949</v>
          </cell>
          <cell r="F432">
            <v>8</v>
          </cell>
          <cell r="G432" t="str">
            <v xml:space="preserve">CONTRATACION DIRECTA </v>
          </cell>
          <cell r="H432">
            <v>1</v>
          </cell>
          <cell r="I432"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v>
          </cell>
          <cell r="J432">
            <v>1</v>
          </cell>
          <cell r="K432" t="str">
            <v>$6.000.000</v>
          </cell>
          <cell r="L432">
            <v>45814</v>
          </cell>
          <cell r="M432">
            <v>45869</v>
          </cell>
          <cell r="N432" t="str">
            <v>MARY ALEXANDRA ROSERO BENAVIDES</v>
          </cell>
          <cell r="O432">
            <v>43624414</v>
          </cell>
          <cell r="P432" t="str">
            <v>limasfanny2@gmail.com</v>
          </cell>
          <cell r="Q432">
            <v>45814</v>
          </cell>
          <cell r="R432" t="str">
            <v>ELIANA BENAVIDES</v>
          </cell>
          <cell r="U432" t="str">
            <v>CELEBRADO</v>
          </cell>
          <cell r="W432" t="str">
            <v>2025-0264</v>
          </cell>
          <cell r="X432" t="str">
            <v>2025-0737</v>
          </cell>
          <cell r="AJ432">
            <v>2</v>
          </cell>
          <cell r="AK432">
            <v>0</v>
          </cell>
          <cell r="AL432">
            <v>2</v>
          </cell>
          <cell r="AM432" t="str">
            <v>$6.000.000</v>
          </cell>
        </row>
        <row r="433">
          <cell r="A433" t="str">
            <v>432-2025</v>
          </cell>
          <cell r="B433" t="str">
            <v>PRESTACION DE SERVICIOS</v>
          </cell>
          <cell r="C433" t="str">
            <v>CARLOS ADRIAN MEDINA GUERRERO</v>
          </cell>
          <cell r="D433" t="str">
            <v>CC</v>
          </cell>
          <cell r="E433">
            <v>5292370</v>
          </cell>
          <cell r="F433">
            <v>1</v>
          </cell>
          <cell r="G433" t="str">
            <v xml:space="preserve">CONTRATACION DIRECTA </v>
          </cell>
          <cell r="H433">
            <v>1</v>
          </cell>
          <cell r="I43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3">
            <v>1</v>
          </cell>
          <cell r="K433" t="str">
            <v>$6.000.000</v>
          </cell>
          <cell r="L433">
            <v>45814</v>
          </cell>
          <cell r="M433">
            <v>45869</v>
          </cell>
          <cell r="N433" t="str">
            <v>MARY ALEXANDRA ROSERO BENAVIDES</v>
          </cell>
          <cell r="O433">
            <v>43624414</v>
          </cell>
          <cell r="P433" t="str">
            <v>adriancastromedina4@gmail.com</v>
          </cell>
          <cell r="Q433">
            <v>45814</v>
          </cell>
          <cell r="R433" t="str">
            <v>ANDRES GUERRA</v>
          </cell>
          <cell r="U433" t="str">
            <v>CELEBRADO</v>
          </cell>
          <cell r="W433" t="str">
            <v>2025-0264</v>
          </cell>
          <cell r="X433" t="str">
            <v>2025-0740</v>
          </cell>
          <cell r="AJ433">
            <v>2</v>
          </cell>
          <cell r="AK433">
            <v>0</v>
          </cell>
          <cell r="AL433">
            <v>2</v>
          </cell>
          <cell r="AM433" t="str">
            <v>$6.000.000</v>
          </cell>
        </row>
        <row r="434">
          <cell r="A434" t="str">
            <v>433-2025</v>
          </cell>
          <cell r="B434" t="str">
            <v>PRESTACION DE SERVICIOS</v>
          </cell>
          <cell r="C434" t="str">
            <v>OLIVIA ESPERANZA TABLA ANDRADE</v>
          </cell>
          <cell r="D434" t="str">
            <v>CC</v>
          </cell>
          <cell r="E434">
            <v>36754382</v>
          </cell>
          <cell r="F434">
            <v>5</v>
          </cell>
          <cell r="G434" t="str">
            <v xml:space="preserve">CONTRATACION DIRECTA </v>
          </cell>
          <cell r="H434">
            <v>1</v>
          </cell>
          <cell r="I43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4">
            <v>1</v>
          </cell>
          <cell r="K434" t="str">
            <v>$6.000.000</v>
          </cell>
          <cell r="L434">
            <v>45814</v>
          </cell>
          <cell r="M434">
            <v>45869</v>
          </cell>
          <cell r="N434" t="str">
            <v>MARY ALEXANDRA ROSERO BENAVIDES</v>
          </cell>
          <cell r="O434">
            <v>43624414</v>
          </cell>
          <cell r="P434" t="str">
            <v>tablaandradeoliviaesperanza@gmail.com</v>
          </cell>
          <cell r="Q434">
            <v>45814</v>
          </cell>
          <cell r="R434" t="str">
            <v>ELIANA BENAVIDES</v>
          </cell>
          <cell r="U434" t="str">
            <v>CELEBRADO</v>
          </cell>
          <cell r="W434" t="str">
            <v>2025-0264</v>
          </cell>
          <cell r="X434" t="str">
            <v>2025-0735</v>
          </cell>
          <cell r="AJ434">
            <v>2</v>
          </cell>
          <cell r="AK434">
            <v>0</v>
          </cell>
          <cell r="AL434">
            <v>2</v>
          </cell>
          <cell r="AM434" t="str">
            <v>$6.000.000</v>
          </cell>
        </row>
        <row r="435">
          <cell r="A435" t="str">
            <v>434-2025</v>
          </cell>
          <cell r="B435" t="str">
            <v>PRESTACION DE SERVICIOS</v>
          </cell>
          <cell r="C435" t="str">
            <v xml:space="preserve"> YANCARLO
YAMIT PUCHANA RAMOS</v>
          </cell>
          <cell r="D435" t="str">
            <v>CC</v>
          </cell>
          <cell r="E435">
            <v>1080690249</v>
          </cell>
          <cell r="F435">
            <v>8</v>
          </cell>
          <cell r="G435" t="str">
            <v xml:space="preserve">CONTRATACION DIRECTA </v>
          </cell>
          <cell r="H435">
            <v>1</v>
          </cell>
          <cell r="I43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5">
            <v>1</v>
          </cell>
          <cell r="K435" t="str">
            <v>$6.000.000</v>
          </cell>
          <cell r="L435">
            <v>45814</v>
          </cell>
          <cell r="M435">
            <v>45869</v>
          </cell>
          <cell r="N435" t="str">
            <v>MARY ALEXANDRA ROSERO BENAVIDES</v>
          </cell>
          <cell r="O435">
            <v>43624414</v>
          </cell>
          <cell r="P435" t="str">
            <v>yamitpuchana526@gmail.com</v>
          </cell>
          <cell r="Q435">
            <v>45814</v>
          </cell>
          <cell r="R435" t="str">
            <v>ALEXANDER YELA</v>
          </cell>
          <cell r="U435" t="str">
            <v>CELEBRADO</v>
          </cell>
          <cell r="W435" t="str">
            <v>2025-0264</v>
          </cell>
          <cell r="X435" t="str">
            <v>2025-0734</v>
          </cell>
          <cell r="AJ435">
            <v>2</v>
          </cell>
          <cell r="AK435">
            <v>0</v>
          </cell>
          <cell r="AL435">
            <v>2</v>
          </cell>
          <cell r="AM435" t="str">
            <v>$6.000.000</v>
          </cell>
        </row>
        <row r="436">
          <cell r="A436" t="str">
            <v>435-2025</v>
          </cell>
          <cell r="B436" t="str">
            <v>PRESTACION DE SERVICIOS</v>
          </cell>
          <cell r="C436" t="str">
            <v>MARIA ALEJANDRA OBANDO MELO</v>
          </cell>
          <cell r="D436" t="str">
            <v>CC</v>
          </cell>
          <cell r="E436">
            <v>36757300</v>
          </cell>
          <cell r="F436">
            <v>5</v>
          </cell>
          <cell r="G436" t="str">
            <v xml:space="preserve">CONTRATACION DIRECTA </v>
          </cell>
          <cell r="H436">
            <v>1</v>
          </cell>
          <cell r="I436" t="str">
            <v>Prestación de servicios profesionales como INGENIERO AMBIENTAL en la Empresa Social del Estado Pasto Salud E.S.E., para apoyar al equipo de Infraestructura, verificación, control y comprobación en campo del cumplimiento de las actividades del mantenimiento de la infraestructura hospitalaria.</v>
          </cell>
          <cell r="J436">
            <v>1</v>
          </cell>
          <cell r="K436" t="str">
            <v>$14.707.732</v>
          </cell>
          <cell r="L436">
            <v>45814</v>
          </cell>
          <cell r="M436">
            <v>45930</v>
          </cell>
          <cell r="N436" t="str">
            <v>GIOVANNY FELIPE FREYRE ROMO</v>
          </cell>
          <cell r="O436">
            <v>1085294867</v>
          </cell>
          <cell r="P436" t="str">
            <v xml:space="preserve"> mariamelo8103@gmail.com</v>
          </cell>
          <cell r="Q436">
            <v>45814</v>
          </cell>
          <cell r="R436" t="str">
            <v>ANDRES GUERRA</v>
          </cell>
          <cell r="U436" t="str">
            <v>CELEBRADO</v>
          </cell>
          <cell r="W436" t="str">
            <v>2025-0172</v>
          </cell>
          <cell r="X436" t="str">
            <v>2025-0736</v>
          </cell>
          <cell r="AJ436">
            <v>2</v>
          </cell>
          <cell r="AK436">
            <v>0</v>
          </cell>
          <cell r="AL436">
            <v>2</v>
          </cell>
          <cell r="AM436" t="str">
            <v>$14.707.732</v>
          </cell>
        </row>
        <row r="437">
          <cell r="A437" t="str">
            <v>436-2025</v>
          </cell>
          <cell r="B437" t="str">
            <v>PRESTACION DE SERVICIOS</v>
          </cell>
          <cell r="C437" t="str">
            <v>ANGELA EDITH GONZALEZ PIANDA</v>
          </cell>
          <cell r="D437" t="str">
            <v>CC</v>
          </cell>
          <cell r="E437">
            <v>1030606749</v>
          </cell>
          <cell r="F437">
            <v>1</v>
          </cell>
          <cell r="G437" t="str">
            <v xml:space="preserve">CONTRATACION DIRECTA </v>
          </cell>
          <cell r="H437">
            <v>1</v>
          </cell>
          <cell r="I43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v>
          </cell>
          <cell r="J437">
            <v>1</v>
          </cell>
          <cell r="K437" t="str">
            <v>$6.000.000</v>
          </cell>
          <cell r="L437">
            <v>45817</v>
          </cell>
          <cell r="M437">
            <v>45869</v>
          </cell>
          <cell r="N437" t="str">
            <v xml:space="preserve">	RODRIGO DE JESUS VITERI MORENO</v>
          </cell>
          <cell r="O437">
            <v>98390119</v>
          </cell>
          <cell r="P437" t="str">
            <v>angelitagonza1991@gmail.com</v>
          </cell>
          <cell r="Q437">
            <v>45817</v>
          </cell>
          <cell r="R437" t="str">
            <v>ALEXANDER YELA</v>
          </cell>
          <cell r="U437" t="str">
            <v>CELEBRADO</v>
          </cell>
          <cell r="W437" t="str">
            <v>2025-0264</v>
          </cell>
          <cell r="X437" t="str">
            <v>2025-0744</v>
          </cell>
          <cell r="AJ437">
            <v>2</v>
          </cell>
          <cell r="AK437">
            <v>0</v>
          </cell>
          <cell r="AL437">
            <v>2</v>
          </cell>
          <cell r="AM437" t="str">
            <v>$6.000.000</v>
          </cell>
        </row>
        <row r="438">
          <cell r="A438" t="str">
            <v>437-2025</v>
          </cell>
          <cell r="B438" t="str">
            <v>PRESTACION DE SERVICIOS</v>
          </cell>
          <cell r="C438" t="str">
            <v>ERICK SANTIAGO CAICEDO URBANO</v>
          </cell>
          <cell r="D438" t="str">
            <v>CC</v>
          </cell>
          <cell r="E438">
            <v>1233191934</v>
          </cell>
          <cell r="F438">
            <v>9</v>
          </cell>
          <cell r="G438" t="str">
            <v xml:space="preserve">CONTRATACION DIRECTA </v>
          </cell>
          <cell r="H438">
            <v>1</v>
          </cell>
          <cell r="I438"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8">
            <v>1</v>
          </cell>
          <cell r="K438" t="str">
            <v>$ 7.500.000</v>
          </cell>
          <cell r="L438">
            <v>45817</v>
          </cell>
          <cell r="M438">
            <v>45838</v>
          </cell>
          <cell r="N438" t="str">
            <v xml:space="preserve">	RODRIGO DE JESUS VITERI MORENO</v>
          </cell>
          <cell r="O438">
            <v>98390119</v>
          </cell>
          <cell r="P438" t="str">
            <v>Scaicedo390@gmail.com</v>
          </cell>
          <cell r="Q438">
            <v>45817</v>
          </cell>
          <cell r="R438" t="str">
            <v>JUAN GOMEZ</v>
          </cell>
          <cell r="U438" t="str">
            <v>CELEBRADO</v>
          </cell>
          <cell r="W438" t="str">
            <v>2025-0177</v>
          </cell>
          <cell r="X438" t="str">
            <v>2025-0745</v>
          </cell>
          <cell r="AJ438">
            <v>2</v>
          </cell>
          <cell r="AK438">
            <v>0</v>
          </cell>
          <cell r="AL438">
            <v>3</v>
          </cell>
          <cell r="AM438" t="str">
            <v>$7.500.000</v>
          </cell>
        </row>
        <row r="439">
          <cell r="A439" t="str">
            <v>438-2025</v>
          </cell>
          <cell r="B439" t="str">
            <v>PRESTACION DE SERVICIOS</v>
          </cell>
          <cell r="C439" t="str">
            <v>LUZ EMILIA USAMA TATICUAN,</v>
          </cell>
          <cell r="D439" t="str">
            <v>CC</v>
          </cell>
          <cell r="E439">
            <v>59825382</v>
          </cell>
          <cell r="F439">
            <v>4</v>
          </cell>
          <cell r="G439" t="str">
            <v xml:space="preserve">CONTRATACION DIRECTA </v>
          </cell>
          <cell r="H439">
            <v>1</v>
          </cell>
          <cell r="I43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39">
            <v>1</v>
          </cell>
          <cell r="K439" t="str">
            <v>$6.000.000</v>
          </cell>
          <cell r="L439">
            <v>45817</v>
          </cell>
          <cell r="M439">
            <v>45869</v>
          </cell>
          <cell r="N439" t="str">
            <v>RIGOBERTO MELO ZAMBRANO</v>
          </cell>
          <cell r="O439">
            <v>98333941</v>
          </cell>
          <cell r="P439" t="str">
            <v>Luzusamat@hotmail.com</v>
          </cell>
          <cell r="Q439">
            <v>45817</v>
          </cell>
          <cell r="R439" t="str">
            <v>CRISTINA ROSERO</v>
          </cell>
          <cell r="U439" t="str">
            <v>CELEBRADO</v>
          </cell>
          <cell r="W439" t="str">
            <v>2025-0264</v>
          </cell>
          <cell r="X439" t="str">
            <v>2025-0747</v>
          </cell>
          <cell r="AJ439">
            <v>2</v>
          </cell>
          <cell r="AK439">
            <v>0</v>
          </cell>
          <cell r="AL439">
            <v>2</v>
          </cell>
          <cell r="AM439" t="str">
            <v>$6.000.000</v>
          </cell>
        </row>
        <row r="440">
          <cell r="A440" t="str">
            <v>439-2025</v>
          </cell>
          <cell r="B440" t="str">
            <v>PRESTACION DE SERVICIOS</v>
          </cell>
          <cell r="C440" t="str">
            <v>DIANA CAROLINA CORAL LÓPEZ</v>
          </cell>
          <cell r="D440" t="str">
            <v>CC</v>
          </cell>
          <cell r="E440">
            <v>1085937671</v>
          </cell>
          <cell r="F440">
            <v>4</v>
          </cell>
          <cell r="G440" t="str">
            <v xml:space="preserve">CONTRATACION DIRECTA </v>
          </cell>
          <cell r="H440">
            <v>1</v>
          </cell>
          <cell r="I440"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40">
            <v>1</v>
          </cell>
          <cell r="K440" t="str">
            <v>$15.000.000</v>
          </cell>
          <cell r="L440">
            <v>45817</v>
          </cell>
          <cell r="M440">
            <v>45869</v>
          </cell>
          <cell r="N440" t="str">
            <v>MARY ALEXANDRA ROSERO BENAVIDES</v>
          </cell>
          <cell r="O440">
            <v>43624414</v>
          </cell>
          <cell r="P440" t="str">
            <v xml:space="preserve">dianacoral1294@unicauca.edu.co </v>
          </cell>
          <cell r="Q440">
            <v>45817</v>
          </cell>
          <cell r="R440" t="str">
            <v>ALEXANDER YELA</v>
          </cell>
          <cell r="U440" t="str">
            <v>CELEBRADO</v>
          </cell>
          <cell r="W440" t="str">
            <v>2025-0264</v>
          </cell>
          <cell r="X440" t="str">
            <v>2025-0748</v>
          </cell>
          <cell r="AJ440">
            <v>2</v>
          </cell>
          <cell r="AK440">
            <v>0</v>
          </cell>
          <cell r="AL440">
            <v>2</v>
          </cell>
          <cell r="AM440" t="str">
            <v>$15.000.000</v>
          </cell>
        </row>
        <row r="441">
          <cell r="A441" t="str">
            <v>440-2025</v>
          </cell>
          <cell r="B441" t="str">
            <v>PRESTACION DE SERVICIOS</v>
          </cell>
          <cell r="C441" t="str">
            <v>MONICA ALEXANDRA ORTIZ CABRERA</v>
          </cell>
          <cell r="D441" t="str">
            <v>CC</v>
          </cell>
          <cell r="E441">
            <v>59835376</v>
          </cell>
          <cell r="F441">
            <v>2</v>
          </cell>
          <cell r="G441" t="str">
            <v xml:space="preserve">CONTRATACION DIRECTA </v>
          </cell>
          <cell r="H441">
            <v>1</v>
          </cell>
          <cell r="I441"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41">
            <v>1</v>
          </cell>
          <cell r="K441" t="str">
            <v>$9.650.000</v>
          </cell>
          <cell r="L441">
            <v>45817</v>
          </cell>
          <cell r="M441">
            <v>45869</v>
          </cell>
          <cell r="N441" t="str">
            <v>RIGOBERTO MELO ZAMBRANO</v>
          </cell>
          <cell r="O441">
            <v>98333941</v>
          </cell>
          <cell r="P441" t="str">
            <v>monina oc@hotmail.com</v>
          </cell>
          <cell r="Q441">
            <v>45817</v>
          </cell>
          <cell r="R441" t="str">
            <v>JUAN GOMEZ</v>
          </cell>
          <cell r="U441" t="str">
            <v>CELEBRADO</v>
          </cell>
          <cell r="W441" t="str">
            <v>2025-0264</v>
          </cell>
          <cell r="X441" t="str">
            <v>2025-0749</v>
          </cell>
          <cell r="AJ441">
            <v>2</v>
          </cell>
          <cell r="AK441">
            <v>0</v>
          </cell>
          <cell r="AL441">
            <v>2</v>
          </cell>
          <cell r="AM441" t="str">
            <v>$9.650.000</v>
          </cell>
        </row>
        <row r="442">
          <cell r="A442" t="str">
            <v>441-2025</v>
          </cell>
          <cell r="B442" t="str">
            <v>PRESTACION DE SERVICIOS</v>
          </cell>
          <cell r="C442" t="str">
            <v>ANGELA MARIA MORILLO SANTACRUZ</v>
          </cell>
          <cell r="D442" t="str">
            <v>CC</v>
          </cell>
          <cell r="E442">
            <v>1085267505</v>
          </cell>
          <cell r="F442">
            <v>4</v>
          </cell>
          <cell r="G442" t="str">
            <v xml:space="preserve">CONTRATACION DIRECTA </v>
          </cell>
          <cell r="H442">
            <v>1</v>
          </cell>
          <cell r="I44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42">
            <v>1</v>
          </cell>
          <cell r="K442" t="str">
            <v>$6.000.000</v>
          </cell>
          <cell r="L442">
            <v>45817</v>
          </cell>
          <cell r="M442">
            <v>45869</v>
          </cell>
          <cell r="N442" t="str">
            <v>DEYANIRA BADOS DAZA</v>
          </cell>
          <cell r="O442">
            <v>59836926</v>
          </cell>
          <cell r="P442" t="str">
            <v>angelamorillosantacruz1302@gmail.com</v>
          </cell>
          <cell r="Q442">
            <v>45817</v>
          </cell>
          <cell r="R442" t="str">
            <v>ELIANA BENAVIDES</v>
          </cell>
          <cell r="U442" t="str">
            <v>CELEBRADO</v>
          </cell>
          <cell r="W442" t="str">
            <v>2025-0264</v>
          </cell>
          <cell r="X442" t="str">
            <v>2025-0750</v>
          </cell>
          <cell r="AJ442">
            <v>2</v>
          </cell>
          <cell r="AK442">
            <v>0</v>
          </cell>
          <cell r="AL442">
            <v>2</v>
          </cell>
          <cell r="AM442" t="str">
            <v>$6.000.000</v>
          </cell>
        </row>
        <row r="443">
          <cell r="A443" t="str">
            <v>442-2025</v>
          </cell>
          <cell r="B443" t="str">
            <v>PRESTACION DE SERVICIOS</v>
          </cell>
          <cell r="C443" t="str">
            <v>ANA GLAIR ESTRADA CASTILLO</v>
          </cell>
          <cell r="D443" t="str">
            <v>CC</v>
          </cell>
          <cell r="E443">
            <v>1085340697</v>
          </cell>
          <cell r="F443">
            <v>1</v>
          </cell>
          <cell r="G443" t="str">
            <v xml:space="preserve">CONTRATACION DIRECTA </v>
          </cell>
          <cell r="H443">
            <v>1</v>
          </cell>
          <cell r="I44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443">
            <v>1</v>
          </cell>
          <cell r="K443" t="str">
            <v>$12.000.000</v>
          </cell>
          <cell r="L443">
            <v>45817</v>
          </cell>
          <cell r="M443">
            <v>45869</v>
          </cell>
          <cell r="N443" t="str">
            <v>DEYANIRA BADOS DAZA</v>
          </cell>
          <cell r="O443">
            <v>59836926</v>
          </cell>
          <cell r="P443" t="str">
            <v>ana.glair1106@gmail.com</v>
          </cell>
          <cell r="Q443">
            <v>45817</v>
          </cell>
          <cell r="R443" t="str">
            <v>JUAN GOMEZ</v>
          </cell>
          <cell r="U443" t="str">
            <v>CELEBRADO</v>
          </cell>
          <cell r="W443" t="str">
            <v>2025-0264</v>
          </cell>
          <cell r="X443" t="str">
            <v>2025-0751</v>
          </cell>
          <cell r="AJ443">
            <v>2</v>
          </cell>
          <cell r="AK443">
            <v>0</v>
          </cell>
          <cell r="AL443">
            <v>2</v>
          </cell>
          <cell r="AM443" t="str">
            <v>$12.000.000</v>
          </cell>
        </row>
        <row r="444">
          <cell r="A444" t="str">
            <v>443-2025</v>
          </cell>
          <cell r="B444" t="str">
            <v>PRESTACION DE SERVICIOS</v>
          </cell>
          <cell r="C444" t="str">
            <v>MARIA ISABEL VELASCO ROSERO</v>
          </cell>
          <cell r="D444" t="str">
            <v>CC</v>
          </cell>
          <cell r="E444">
            <v>1085303585</v>
          </cell>
          <cell r="F444">
            <v>8</v>
          </cell>
          <cell r="G444" t="str">
            <v xml:space="preserve">CONTRATACION DIRECTA </v>
          </cell>
          <cell r="H444">
            <v>1</v>
          </cell>
          <cell r="I444"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444">
            <v>1</v>
          </cell>
          <cell r="K444" t="str">
            <v>$12.000.000</v>
          </cell>
          <cell r="L444">
            <v>45817</v>
          </cell>
          <cell r="M444">
            <v>45869</v>
          </cell>
          <cell r="N444" t="str">
            <v>MARY ALEXANDRA ROSERO BENAVIDES</v>
          </cell>
          <cell r="O444">
            <v>43624414</v>
          </cell>
          <cell r="P444" t="str">
            <v>isabelemaus1992@outlook.com</v>
          </cell>
          <cell r="Q444">
            <v>45817</v>
          </cell>
          <cell r="R444" t="str">
            <v>JUAN GOMEZ</v>
          </cell>
          <cell r="U444" t="str">
            <v>CELEBRADO</v>
          </cell>
          <cell r="W444" t="str">
            <v>2025-0264</v>
          </cell>
          <cell r="X444" t="str">
            <v>2025-0752</v>
          </cell>
          <cell r="AJ444">
            <v>2</v>
          </cell>
          <cell r="AK444">
            <v>0</v>
          </cell>
          <cell r="AL444">
            <v>2</v>
          </cell>
          <cell r="AM444" t="str">
            <v>$12.000.000</v>
          </cell>
        </row>
        <row r="445">
          <cell r="A445" t="str">
            <v>444-2025</v>
          </cell>
          <cell r="B445" t="str">
            <v>PRESTACION DE SERVICIOS</v>
          </cell>
          <cell r="C445" t="str">
            <v>JERSON ALBEIRO BUITRAGO ALZATE</v>
          </cell>
          <cell r="D445" t="str">
            <v>CC</v>
          </cell>
          <cell r="E445">
            <v>1085300619</v>
          </cell>
          <cell r="F445">
            <v>6</v>
          </cell>
          <cell r="G445" t="str">
            <v xml:space="preserve">CONTRATACION DIRECTA </v>
          </cell>
          <cell r="H445">
            <v>1</v>
          </cell>
          <cell r="I445"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45">
            <v>1</v>
          </cell>
          <cell r="K445" t="str">
            <v>$15.000.000</v>
          </cell>
          <cell r="L445">
            <v>45817</v>
          </cell>
          <cell r="M445">
            <v>45869</v>
          </cell>
          <cell r="N445" t="str">
            <v>MARY ALEXANDRA ROSERO BENAVIDES</v>
          </cell>
          <cell r="O445">
            <v>43624414</v>
          </cell>
          <cell r="P445" t="str">
            <v>jerson.buitrago.jb@gmail.com</v>
          </cell>
          <cell r="Q445">
            <v>45817</v>
          </cell>
          <cell r="R445" t="str">
            <v>ALEXANDER YELA</v>
          </cell>
          <cell r="U445" t="str">
            <v>CELEBRADO</v>
          </cell>
          <cell r="W445" t="str">
            <v>2025-0264</v>
          </cell>
          <cell r="X445" t="str">
            <v>2025-0753</v>
          </cell>
          <cell r="AJ445">
            <v>2</v>
          </cell>
          <cell r="AK445">
            <v>0</v>
          </cell>
          <cell r="AL445">
            <v>2</v>
          </cell>
          <cell r="AM445" t="str">
            <v>$15.000.000</v>
          </cell>
        </row>
        <row r="446">
          <cell r="A446" t="str">
            <v>445-2025</v>
          </cell>
          <cell r="B446" t="str">
            <v>COMPRAVENTA</v>
          </cell>
          <cell r="C446" t="str">
            <v>COMERCIALIZADORA VALANTY SAS.</v>
          </cell>
          <cell r="D446" t="str">
            <v>NIT</v>
          </cell>
          <cell r="E446">
            <v>900791264</v>
          </cell>
          <cell r="F446">
            <v>5</v>
          </cell>
          <cell r="G446" t="str">
            <v xml:space="preserve">CONTRATACION DIRECTA </v>
          </cell>
          <cell r="H446">
            <v>2</v>
          </cell>
          <cell r="I446" t="str">
            <v xml:space="preserve"> Compra venta de mobiliario para dotar las 23 sedes de la Empresa Social del Estado PASTO SALUD ESE</v>
          </cell>
          <cell r="J446">
            <v>1</v>
          </cell>
          <cell r="K446" t="str">
            <v>$27.360.502</v>
          </cell>
          <cell r="L446">
            <v>45817</v>
          </cell>
          <cell r="M446">
            <v>45849</v>
          </cell>
          <cell r="N446" t="str">
            <v xml:space="preserve">	STEFANYA RAMIREZ LOPERA</v>
          </cell>
          <cell r="O446">
            <v>111247705</v>
          </cell>
          <cell r="P446" t="str">
            <v>valantysas@hotmail.com</v>
          </cell>
          <cell r="Q446">
            <v>45817</v>
          </cell>
          <cell r="R446" t="str">
            <v>ELIANA BENAVIDES</v>
          </cell>
          <cell r="U446" t="str">
            <v>CELEBRADO</v>
          </cell>
          <cell r="W446" t="str">
            <v>2025-0261</v>
          </cell>
          <cell r="X446" t="str">
            <v>2025-0754</v>
          </cell>
          <cell r="AJ446">
            <v>2</v>
          </cell>
          <cell r="AK446">
            <v>0</v>
          </cell>
          <cell r="AL446">
            <v>4</v>
          </cell>
          <cell r="AM446" t="str">
            <v>$27.360.502</v>
          </cell>
        </row>
        <row r="447">
          <cell r="A447" t="str">
            <v>446-2025</v>
          </cell>
          <cell r="B447" t="str">
            <v>PRESTACION DE SERVICIOS</v>
          </cell>
          <cell r="C447" t="str">
            <v xml:space="preserve"> YULY MARCELA MORALES LÓPEZ</v>
          </cell>
          <cell r="D447" t="str">
            <v>CC</v>
          </cell>
          <cell r="E447">
            <v>1087414586</v>
          </cell>
          <cell r="F447">
            <v>9</v>
          </cell>
          <cell r="G447" t="str">
            <v xml:space="preserve">CONTRATACION DIRECTA </v>
          </cell>
          <cell r="H447">
            <v>1</v>
          </cell>
          <cell r="I447" t="str">
            <v>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v>
          </cell>
          <cell r="J447">
            <v>1</v>
          </cell>
          <cell r="K447" t="str">
            <v>$9.500.000</v>
          </cell>
          <cell r="L447">
            <v>45817</v>
          </cell>
          <cell r="M447">
            <v>45869</v>
          </cell>
          <cell r="N447" t="str">
            <v>MARY ALEXANDRA ROSERO BENAVIDES</v>
          </cell>
          <cell r="O447">
            <v>43624414</v>
          </cell>
          <cell r="P447" t="str">
            <v>marcelitamocielito@gmail.com.</v>
          </cell>
          <cell r="Q447">
            <v>45817</v>
          </cell>
          <cell r="R447" t="str">
            <v>RODRIGO ROSERO</v>
          </cell>
          <cell r="U447" t="str">
            <v>CELEBRADO</v>
          </cell>
          <cell r="W447" t="str">
            <v>2025-0264</v>
          </cell>
          <cell r="X447" t="str">
            <v>2025-0755</v>
          </cell>
          <cell r="AJ447">
            <v>2</v>
          </cell>
          <cell r="AK447">
            <v>0</v>
          </cell>
          <cell r="AL447">
            <v>2</v>
          </cell>
          <cell r="AM447" t="str">
            <v>$9.500.000</v>
          </cell>
        </row>
        <row r="448">
          <cell r="A448" t="str">
            <v>447-2025</v>
          </cell>
          <cell r="B448" t="str">
            <v>PRESTACION DE SERVICIOS</v>
          </cell>
          <cell r="C448" t="str">
            <v>CAROL SILVANA PATIÑO VALENCIA</v>
          </cell>
          <cell r="D448" t="str">
            <v>CC</v>
          </cell>
          <cell r="E448">
            <v>1085313870</v>
          </cell>
          <cell r="F448">
            <v>5</v>
          </cell>
          <cell r="G448" t="str">
            <v xml:space="preserve">CONTRATACION DIRECTA </v>
          </cell>
          <cell r="H448">
            <v>1</v>
          </cell>
          <cell r="I44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v>
          </cell>
          <cell r="J448">
            <v>1</v>
          </cell>
          <cell r="K448" t="str">
            <v>$9.500.000</v>
          </cell>
          <cell r="L448">
            <v>45817</v>
          </cell>
          <cell r="M448">
            <v>45869</v>
          </cell>
          <cell r="N448" t="str">
            <v xml:space="preserve">	RODRIGO DE JESUS VITERI MORENO</v>
          </cell>
          <cell r="O448">
            <v>98390119</v>
          </cell>
          <cell r="P448" t="str">
            <v>karola-0613@hotmail.com</v>
          </cell>
          <cell r="Q448">
            <v>45817</v>
          </cell>
          <cell r="R448" t="str">
            <v>ELIANA BENAVIDES</v>
          </cell>
          <cell r="U448" t="str">
            <v>CELEBRADO</v>
          </cell>
          <cell r="W448" t="str">
            <v>2025-0264</v>
          </cell>
          <cell r="X448" t="str">
            <v>2025-0758</v>
          </cell>
          <cell r="AJ448">
            <v>2</v>
          </cell>
          <cell r="AK448">
            <v>0</v>
          </cell>
          <cell r="AL448">
            <v>2</v>
          </cell>
          <cell r="AM448" t="str">
            <v>$9.500.000</v>
          </cell>
        </row>
        <row r="449">
          <cell r="A449" t="str">
            <v>448-2025</v>
          </cell>
          <cell r="B449" t="str">
            <v>PRESTACION DE SERVICIOS</v>
          </cell>
          <cell r="C449" t="str">
            <v>ALEXANDER BEJARANO RAMIREZ</v>
          </cell>
          <cell r="D449" t="str">
            <v>CC</v>
          </cell>
          <cell r="E449">
            <v>1085344794</v>
          </cell>
          <cell r="F449">
            <v>6</v>
          </cell>
          <cell r="G449" t="str">
            <v xml:space="preserve">CONTRATACION DIRECTA </v>
          </cell>
          <cell r="H449">
            <v>1</v>
          </cell>
          <cell r="I449"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v>
          </cell>
          <cell r="J449">
            <v>1</v>
          </cell>
          <cell r="K449" t="str">
            <v>$15.000.000</v>
          </cell>
          <cell r="L449">
            <v>45817</v>
          </cell>
          <cell r="M449">
            <v>45869</v>
          </cell>
          <cell r="N449" t="str">
            <v>RIGOBERTO MELO ZAMBRANO</v>
          </cell>
          <cell r="O449">
            <v>98333941</v>
          </cell>
          <cell r="P449" t="str">
            <v>ivanbejarano088@gmail.com</v>
          </cell>
          <cell r="Q449">
            <v>45817</v>
          </cell>
          <cell r="R449" t="str">
            <v>CRISTINA ROSERO</v>
          </cell>
          <cell r="U449" t="str">
            <v>CELEBRADO</v>
          </cell>
          <cell r="W449" t="str">
            <v>2025-0264</v>
          </cell>
          <cell r="X449" t="str">
            <v>2025-0757</v>
          </cell>
          <cell r="AJ449">
            <v>2</v>
          </cell>
          <cell r="AK449">
            <v>0</v>
          </cell>
          <cell r="AL449">
            <v>2</v>
          </cell>
          <cell r="AM449" t="str">
            <v>$15.000.000</v>
          </cell>
        </row>
        <row r="450">
          <cell r="A450" t="str">
            <v>449-2025</v>
          </cell>
          <cell r="B450" t="str">
            <v>PRESTACION DE SERVICIOS</v>
          </cell>
          <cell r="C450" t="str">
            <v>RUBY STELLA AREVALO BASTIDAS</v>
          </cell>
          <cell r="D450" t="str">
            <v>CC</v>
          </cell>
          <cell r="E450">
            <v>36751052</v>
          </cell>
          <cell r="F450">
            <v>6</v>
          </cell>
          <cell r="G450" t="str">
            <v xml:space="preserve">CONTRATACION DIRECTA </v>
          </cell>
          <cell r="H450">
            <v>1</v>
          </cell>
          <cell r="I450"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50">
            <v>1</v>
          </cell>
          <cell r="K450" t="str">
            <v>$9.650.000</v>
          </cell>
          <cell r="L450">
            <v>45817</v>
          </cell>
          <cell r="M450">
            <v>45869</v>
          </cell>
          <cell r="N450" t="str">
            <v>DEYANIRA BADOS DAZA</v>
          </cell>
          <cell r="O450">
            <v>59836926</v>
          </cell>
          <cell r="P450" t="str">
            <v>rsab36@yahoo.com.</v>
          </cell>
          <cell r="Q450">
            <v>45817</v>
          </cell>
          <cell r="R450" t="str">
            <v>ELIANA BENAVIDES</v>
          </cell>
          <cell r="U450" t="str">
            <v>CELEBRADO</v>
          </cell>
          <cell r="W450" t="str">
            <v>2025-0264</v>
          </cell>
          <cell r="X450" t="str">
            <v>2025-0758</v>
          </cell>
          <cell r="AJ450">
            <v>2</v>
          </cell>
          <cell r="AK450">
            <v>0</v>
          </cell>
          <cell r="AL450">
            <v>2</v>
          </cell>
          <cell r="AM450" t="str">
            <v>$9.650.000</v>
          </cell>
        </row>
        <row r="451">
          <cell r="A451" t="str">
            <v>450-2025</v>
          </cell>
          <cell r="B451" t="str">
            <v>PRESTACION DE SERVICIOS</v>
          </cell>
          <cell r="C451" t="str">
            <v>LEYDI GISELLA BENAVIDES LOPEZ</v>
          </cell>
          <cell r="D451" t="str">
            <v>CC</v>
          </cell>
          <cell r="E451">
            <v>1085330309</v>
          </cell>
          <cell r="F451">
            <v>6</v>
          </cell>
          <cell r="G451" t="str">
            <v xml:space="preserve">CONTRATACION DIRECTA </v>
          </cell>
          <cell r="H451">
            <v>1</v>
          </cell>
          <cell r="I451"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v>
          </cell>
          <cell r="J451">
            <v>1</v>
          </cell>
          <cell r="K451" t="str">
            <v>$9.500.000</v>
          </cell>
          <cell r="L451">
            <v>45817</v>
          </cell>
          <cell r="M451">
            <v>45869</v>
          </cell>
          <cell r="N451" t="str">
            <v xml:space="preserve">	RODRIGO DE JESUS VITERI MORENO</v>
          </cell>
          <cell r="O451">
            <v>98390119</v>
          </cell>
          <cell r="P451" t="str">
            <v>leygibe@gmail.com</v>
          </cell>
          <cell r="Q451">
            <v>45817</v>
          </cell>
          <cell r="R451" t="str">
            <v>ELIANA BENAVIDES</v>
          </cell>
          <cell r="U451" t="str">
            <v>CELEBRADO</v>
          </cell>
          <cell r="W451" t="str">
            <v>2025-0264</v>
          </cell>
          <cell r="X451" t="str">
            <v>2025-0759</v>
          </cell>
          <cell r="AJ451">
            <v>2</v>
          </cell>
          <cell r="AK451">
            <v>0</v>
          </cell>
          <cell r="AL451">
            <v>2</v>
          </cell>
          <cell r="AM451" t="str">
            <v>$9.500.000</v>
          </cell>
        </row>
        <row r="452">
          <cell r="A452" t="str">
            <v>451-2025</v>
          </cell>
          <cell r="B452" t="str">
            <v>PRESTACION DE SERVICIOS</v>
          </cell>
          <cell r="C452" t="str">
            <v>CARLOS EDUARDO BASTIDAS OBANDO</v>
          </cell>
          <cell r="D452" t="str">
            <v>CC</v>
          </cell>
          <cell r="E452">
            <v>1085274630</v>
          </cell>
          <cell r="F452">
            <v>6</v>
          </cell>
          <cell r="G452" t="str">
            <v xml:space="preserve">CONTRATACION DIRECTA </v>
          </cell>
          <cell r="H452">
            <v>1</v>
          </cell>
          <cell r="I45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v>
          </cell>
          <cell r="J452">
            <v>1</v>
          </cell>
          <cell r="K452" t="str">
            <v>$3.000.000</v>
          </cell>
          <cell r="L452">
            <v>45817</v>
          </cell>
          <cell r="M452">
            <v>45838</v>
          </cell>
          <cell r="N452" t="str">
            <v xml:space="preserve">	RODRIGO DE JESUS VITERI MORENO</v>
          </cell>
          <cell r="O452">
            <v>98390119</v>
          </cell>
          <cell r="P452" t="str">
            <v>Carloshlc12345@gmail.com</v>
          </cell>
          <cell r="Q452">
            <v>45817</v>
          </cell>
          <cell r="R452" t="str">
            <v>JUAN GOMEZ</v>
          </cell>
          <cell r="U452" t="str">
            <v>CELEBRADO</v>
          </cell>
          <cell r="W452" t="str">
            <v>2025-0177</v>
          </cell>
          <cell r="X452" t="str">
            <v>2025-0760</v>
          </cell>
          <cell r="AJ452">
            <v>2</v>
          </cell>
          <cell r="AK452">
            <v>0</v>
          </cell>
          <cell r="AL452">
            <v>3</v>
          </cell>
          <cell r="AM452" t="str">
            <v>$3.000.000</v>
          </cell>
        </row>
        <row r="453">
          <cell r="A453" t="str">
            <v>452-2025</v>
          </cell>
          <cell r="B453" t="str">
            <v>PRESTACION DE SERVICIOS</v>
          </cell>
          <cell r="C453" t="str">
            <v xml:space="preserve"> ISABELA CATALINA CALDERON MERA</v>
          </cell>
          <cell r="D453" t="str">
            <v>CC</v>
          </cell>
          <cell r="E453">
            <v>1004508471</v>
          </cell>
          <cell r="F453">
            <v>3</v>
          </cell>
          <cell r="G453" t="str">
            <v xml:space="preserve">CONTRATACION DIRECTA </v>
          </cell>
          <cell r="H453">
            <v>1</v>
          </cell>
          <cell r="I453" t="str">
            <v>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v>
          </cell>
          <cell r="J453">
            <v>1</v>
          </cell>
          <cell r="K453" t="str">
            <v>$9.650.000</v>
          </cell>
          <cell r="L453">
            <v>45817</v>
          </cell>
          <cell r="M453">
            <v>45869</v>
          </cell>
          <cell r="N453" t="str">
            <v>DEYANIRA BADOS DAZA</v>
          </cell>
          <cell r="O453">
            <v>59836926</v>
          </cell>
          <cell r="P453" t="str">
            <v>isabelaccalderonm@gmail.com</v>
          </cell>
          <cell r="Q453">
            <v>45817</v>
          </cell>
          <cell r="R453" t="str">
            <v>ALEXANDER YELA</v>
          </cell>
          <cell r="U453" t="str">
            <v>CELEBRADO</v>
          </cell>
          <cell r="W453" t="str">
            <v>2025-0264</v>
          </cell>
          <cell r="X453" t="str">
            <v>2025-0761</v>
          </cell>
          <cell r="AJ453">
            <v>2</v>
          </cell>
          <cell r="AK453">
            <v>0</v>
          </cell>
          <cell r="AL453">
            <v>2</v>
          </cell>
          <cell r="AM453" t="str">
            <v>$9.650.000</v>
          </cell>
        </row>
        <row r="454">
          <cell r="A454" t="str">
            <v>453-2025</v>
          </cell>
          <cell r="B454" t="str">
            <v>PRESTACION DE SERVICIOS</v>
          </cell>
          <cell r="C454" t="str">
            <v>DANIELA ALEXANDRA DIAZ GUERRERO</v>
          </cell>
          <cell r="D454" t="str">
            <v>CC</v>
          </cell>
          <cell r="E454">
            <v>1085343783</v>
          </cell>
          <cell r="F454">
            <v>0</v>
          </cell>
          <cell r="G454" t="str">
            <v xml:space="preserve">CONTRATACION DIRECTA </v>
          </cell>
          <cell r="H454">
            <v>1</v>
          </cell>
          <cell r="I454" t="str">
            <v>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v>
          </cell>
          <cell r="J454">
            <v>1</v>
          </cell>
          <cell r="K454" t="str">
            <v>$9.500.000</v>
          </cell>
          <cell r="L454">
            <v>45817</v>
          </cell>
          <cell r="M454">
            <v>45869</v>
          </cell>
          <cell r="N454" t="str">
            <v>DEYANIRA BADOS DAZA</v>
          </cell>
          <cell r="O454">
            <v>59836926</v>
          </cell>
          <cell r="P454" t="str">
            <v>danieladiazguerrero99@gmail.com</v>
          </cell>
          <cell r="Q454">
            <v>45817</v>
          </cell>
          <cell r="R454" t="str">
            <v>ALEXANDER YELA</v>
          </cell>
          <cell r="U454" t="str">
            <v>CELEBRADO</v>
          </cell>
          <cell r="W454" t="str">
            <v>2025-0264</v>
          </cell>
          <cell r="X454" t="str">
            <v>2025-0762</v>
          </cell>
          <cell r="AJ454">
            <v>2</v>
          </cell>
          <cell r="AK454">
            <v>0</v>
          </cell>
          <cell r="AL454">
            <v>2</v>
          </cell>
          <cell r="AM454" t="str">
            <v xml:space="preserve">$9.500.000 </v>
          </cell>
        </row>
        <row r="455">
          <cell r="A455" t="str">
            <v>454-2025</v>
          </cell>
          <cell r="B455" t="str">
            <v>PRESTACION DE SERVICIOS</v>
          </cell>
          <cell r="C455" t="str">
            <v>FRANCISCO RAFAEL ORTIZ BENITEZ</v>
          </cell>
          <cell r="D455" t="str">
            <v>CC</v>
          </cell>
          <cell r="E455">
            <v>80765093</v>
          </cell>
          <cell r="F455">
            <v>9</v>
          </cell>
          <cell r="G455" t="str">
            <v xml:space="preserve">CONTRATACION DIRECTA </v>
          </cell>
          <cell r="H455">
            <v>1</v>
          </cell>
          <cell r="I455"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55">
            <v>1</v>
          </cell>
          <cell r="K455" t="str">
            <v>$15.000.000</v>
          </cell>
          <cell r="L455">
            <v>45817</v>
          </cell>
          <cell r="M455">
            <v>45869</v>
          </cell>
          <cell r="N455" t="str">
            <v>DEYANIRA BADOS DAZA</v>
          </cell>
          <cell r="O455">
            <v>59836926</v>
          </cell>
          <cell r="P455" t="str">
            <v>drfranciscoortizd@gmail.com</v>
          </cell>
          <cell r="Q455">
            <v>45817</v>
          </cell>
          <cell r="R455" t="str">
            <v>ANDRES GUERRA</v>
          </cell>
          <cell r="U455" t="str">
            <v>CELEBRADO</v>
          </cell>
          <cell r="W455" t="str">
            <v>2025-0264</v>
          </cell>
          <cell r="X455" t="str">
            <v>2025-0763</v>
          </cell>
          <cell r="AJ455">
            <v>2</v>
          </cell>
          <cell r="AK455">
            <v>0</v>
          </cell>
          <cell r="AL455">
            <v>2</v>
          </cell>
          <cell r="AM455" t="str">
            <v>$15.000.000</v>
          </cell>
        </row>
        <row r="456">
          <cell r="A456" t="str">
            <v>455-2025</v>
          </cell>
          <cell r="B456" t="str">
            <v>PRESTACION DE SERVICIOS</v>
          </cell>
          <cell r="C456" t="str">
            <v>JUAN ESTEBAN OBANDO ORDÓÑEZ</v>
          </cell>
          <cell r="D456" t="str">
            <v>CC</v>
          </cell>
          <cell r="E456">
            <v>1006106084</v>
          </cell>
          <cell r="F456">
            <v>5</v>
          </cell>
          <cell r="G456" t="str">
            <v xml:space="preserve">CONTRATACION DIRECTA </v>
          </cell>
          <cell r="H456">
            <v>1</v>
          </cell>
          <cell r="I456"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v>
          </cell>
          <cell r="J456">
            <v>1</v>
          </cell>
          <cell r="K456" t="str">
            <v>$15.000.000</v>
          </cell>
          <cell r="L456">
            <v>45817</v>
          </cell>
          <cell r="M456">
            <v>45869</v>
          </cell>
          <cell r="N456" t="str">
            <v xml:space="preserve">	RODRIGO DE JESUS VITERI MORENO</v>
          </cell>
          <cell r="O456">
            <v>98390119</v>
          </cell>
          <cell r="P456" t="str">
            <v xml:space="preserve"> juanes.obando22@gmail.com</v>
          </cell>
          <cell r="Q456">
            <v>45817</v>
          </cell>
          <cell r="R456" t="str">
            <v>RODRIGO ROSERO</v>
          </cell>
          <cell r="U456" t="str">
            <v>CELEBRADO</v>
          </cell>
          <cell r="W456" t="str">
            <v>2025-0264</v>
          </cell>
          <cell r="X456" t="str">
            <v>2025-0764</v>
          </cell>
          <cell r="AJ456">
            <v>2</v>
          </cell>
          <cell r="AK456">
            <v>0</v>
          </cell>
          <cell r="AL456">
            <v>2</v>
          </cell>
          <cell r="AM456" t="str">
            <v>$15.000.000</v>
          </cell>
        </row>
        <row r="457">
          <cell r="A457" t="str">
            <v>456-2025</v>
          </cell>
          <cell r="B457" t="str">
            <v>PRESTACION DE SERVICIOS</v>
          </cell>
          <cell r="C457" t="str">
            <v xml:space="preserve"> LUZ ANGELICA
CHILES CABRERA</v>
          </cell>
          <cell r="D457" t="str">
            <v>CC</v>
          </cell>
          <cell r="E457">
            <v>1080690337</v>
          </cell>
          <cell r="F457">
            <v>8</v>
          </cell>
          <cell r="G457" t="str">
            <v xml:space="preserve">CONTRATACION DIRECTA </v>
          </cell>
          <cell r="H457">
            <v>1</v>
          </cell>
          <cell r="I457" t="str">
            <v>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v>
          </cell>
          <cell r="J457">
            <v>1</v>
          </cell>
          <cell r="K457" t="str">
            <v>$6.000.000</v>
          </cell>
          <cell r="L457">
            <v>45819</v>
          </cell>
          <cell r="M457">
            <v>45880</v>
          </cell>
          <cell r="N457" t="str">
            <v>MARY ALEXANDRA ROSERO BENAVIDES</v>
          </cell>
          <cell r="O457">
            <v>43624414</v>
          </cell>
          <cell r="P457" t="str">
            <v>angecab214@gmail.com</v>
          </cell>
          <cell r="Q457">
            <v>45819</v>
          </cell>
          <cell r="R457" t="str">
            <v>CRISTINA ROSERO</v>
          </cell>
          <cell r="U457" t="str">
            <v>CELEBRADO</v>
          </cell>
          <cell r="W457" t="str">
            <v>2025-0264</v>
          </cell>
          <cell r="X457" t="str">
            <v>2025-0768</v>
          </cell>
          <cell r="AJ457">
            <v>2</v>
          </cell>
          <cell r="AK457">
            <v>0</v>
          </cell>
          <cell r="AL457">
            <v>2</v>
          </cell>
          <cell r="AM457" t="str">
            <v>$6.000.000</v>
          </cell>
        </row>
        <row r="458">
          <cell r="A458" t="str">
            <v>457-2025</v>
          </cell>
          <cell r="B458" t="str">
            <v>PRESTACION DE SERVICIOS</v>
          </cell>
          <cell r="C458" t="str">
            <v>MAGDA YAMILE MIDEROS
MUÑOZ</v>
          </cell>
          <cell r="D458" t="str">
            <v>CC</v>
          </cell>
          <cell r="E458">
            <v>1085255753</v>
          </cell>
          <cell r="F458">
            <v>2</v>
          </cell>
          <cell r="G458" t="str">
            <v xml:space="preserve">CONTRATACION DIRECTA </v>
          </cell>
          <cell r="H458">
            <v>1</v>
          </cell>
          <cell r="I458"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58">
            <v>1</v>
          </cell>
          <cell r="K458" t="str">
            <v>$5.000.000</v>
          </cell>
          <cell r="L458">
            <v>45819</v>
          </cell>
          <cell r="M458">
            <v>45880</v>
          </cell>
          <cell r="N458" t="str">
            <v>MARY ALEXANDRA ROSERO BENAVIDES</v>
          </cell>
          <cell r="O458">
            <v>43624414</v>
          </cell>
          <cell r="P458" t="str">
            <v xml:space="preserve"> yamilemideros@gmail.com</v>
          </cell>
          <cell r="Q458">
            <v>45819</v>
          </cell>
          <cell r="R458" t="str">
            <v>JUAN GOMEZ</v>
          </cell>
          <cell r="U458" t="str">
            <v>CELEBRADO</v>
          </cell>
          <cell r="W458" t="str">
            <v>2025-0264</v>
          </cell>
          <cell r="X458" t="str">
            <v>2025-0769</v>
          </cell>
          <cell r="AJ458">
            <v>2</v>
          </cell>
          <cell r="AK458">
            <v>0</v>
          </cell>
          <cell r="AL458">
            <v>2</v>
          </cell>
          <cell r="AM458" t="str">
            <v>$5.000.000</v>
          </cell>
        </row>
        <row r="459">
          <cell r="A459" t="str">
            <v>458-2025</v>
          </cell>
          <cell r="B459" t="str">
            <v>PRESTACION DE SERVICIOS</v>
          </cell>
          <cell r="C459" t="str">
            <v>MARIBEL DEL CARMEN MAIGUAL MUÑOZ</v>
          </cell>
          <cell r="D459" t="str">
            <v>CC</v>
          </cell>
          <cell r="E459">
            <v>59310524</v>
          </cell>
          <cell r="F459">
            <v>2</v>
          </cell>
          <cell r="G459" t="str">
            <v xml:space="preserve">CONTRATACION DIRECTA </v>
          </cell>
          <cell r="H459">
            <v>1</v>
          </cell>
          <cell r="I459"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59">
            <v>1</v>
          </cell>
          <cell r="K459" t="str">
            <v xml:space="preserve">$6.000.000
</v>
          </cell>
          <cell r="L459">
            <v>45819</v>
          </cell>
          <cell r="M459">
            <v>45880</v>
          </cell>
          <cell r="N459" t="str">
            <v>DEYANIRA BADOS DAZA</v>
          </cell>
          <cell r="O459">
            <v>59836926</v>
          </cell>
          <cell r="P459" t="str">
            <v>maribelmaiqualmunoz@gmail.com</v>
          </cell>
          <cell r="Q459">
            <v>45819</v>
          </cell>
          <cell r="R459" t="str">
            <v>ELIANA BENAVIDES</v>
          </cell>
          <cell r="U459" t="str">
            <v>CELEBRADO</v>
          </cell>
          <cell r="W459" t="str">
            <v>2025-0264</v>
          </cell>
          <cell r="X459" t="str">
            <v>2025-0770</v>
          </cell>
          <cell r="AJ459">
            <v>2</v>
          </cell>
          <cell r="AK459">
            <v>0</v>
          </cell>
          <cell r="AL459">
            <v>2</v>
          </cell>
          <cell r="AM459" t="str">
            <v xml:space="preserve">$6.000.000
</v>
          </cell>
        </row>
        <row r="460">
          <cell r="A460" t="str">
            <v>459-2025</v>
          </cell>
          <cell r="B460" t="str">
            <v>PRESTACION DE SERVICIOS</v>
          </cell>
          <cell r="C460" t="str">
            <v>LYNN JANINA ORTIZ PAZ</v>
          </cell>
          <cell r="D460" t="str">
            <v>CC</v>
          </cell>
          <cell r="E460">
            <v>69028150</v>
          </cell>
          <cell r="F460">
            <v>1</v>
          </cell>
          <cell r="G460" t="str">
            <v xml:space="preserve">CONTRATACION DIRECTA </v>
          </cell>
          <cell r="H460">
            <v>1</v>
          </cell>
          <cell r="I460"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v>
          </cell>
          <cell r="J460">
            <v>1</v>
          </cell>
          <cell r="K460" t="str">
            <v>$ 6.000.000</v>
          </cell>
          <cell r="L460">
            <v>45819</v>
          </cell>
          <cell r="M460">
            <v>45880</v>
          </cell>
          <cell r="N460" t="str">
            <v>DEYANIRA BADOS DAZA</v>
          </cell>
          <cell r="O460">
            <v>59836926</v>
          </cell>
          <cell r="P460" t="str">
            <v>lynnjaninaortiz64@gmail.com</v>
          </cell>
          <cell r="Q460">
            <v>45819</v>
          </cell>
          <cell r="R460" t="str">
            <v>ANDRES GUERRA</v>
          </cell>
          <cell r="U460" t="str">
            <v>CELEBRADO</v>
          </cell>
          <cell r="W460" t="str">
            <v>2025-0264</v>
          </cell>
          <cell r="X460" t="str">
            <v>2025-0771</v>
          </cell>
          <cell r="AJ460">
            <v>2</v>
          </cell>
          <cell r="AK460">
            <v>0</v>
          </cell>
          <cell r="AL460">
            <v>2</v>
          </cell>
          <cell r="AM460" t="str">
            <v>$6.000.000</v>
          </cell>
        </row>
        <row r="461">
          <cell r="A461" t="str">
            <v>460-2025</v>
          </cell>
          <cell r="B461" t="str">
            <v>COMPRAVENTA</v>
          </cell>
          <cell r="C461" t="str">
            <v>ADRIANA LORENA OVIEDO PAREDES(RUGLORY DISTRIBUCIONES)</v>
          </cell>
          <cell r="D461" t="str">
            <v>CC</v>
          </cell>
          <cell r="E461">
            <v>1061696504</v>
          </cell>
          <cell r="F461">
            <v>1</v>
          </cell>
          <cell r="G461" t="str">
            <v xml:space="preserve">CONTRATACION DIRECTA </v>
          </cell>
          <cell r="H461">
            <v>1</v>
          </cell>
          <cell r="I461" t="str">
            <v>Commpra venta de elementos de papelería y útiles de oficina para dotar las 23 sedes dele la Empresa Social del Estado Pasto Salud ESE</v>
          </cell>
          <cell r="J461">
            <v>2</v>
          </cell>
          <cell r="K461" t="str">
            <v>$11.399.250</v>
          </cell>
          <cell r="L461">
            <v>45819</v>
          </cell>
          <cell r="M461">
            <v>45849</v>
          </cell>
          <cell r="N461" t="str">
            <v xml:space="preserve">	STEFANYA RAMIREZ LOPERA</v>
          </cell>
          <cell r="O461">
            <v>111247705</v>
          </cell>
          <cell r="P461" t="str">
            <v>adriloov@hotmail.com</v>
          </cell>
          <cell r="Q461">
            <v>45819</v>
          </cell>
          <cell r="R461" t="str">
            <v>ALEXANDER YELA</v>
          </cell>
          <cell r="U461" t="str">
            <v>CELEBRADO</v>
          </cell>
          <cell r="W461" t="str">
            <v>2025-0262</v>
          </cell>
          <cell r="X461" t="str">
            <v>2025-0772</v>
          </cell>
          <cell r="AJ461">
            <v>2</v>
          </cell>
          <cell r="AK461">
            <v>0</v>
          </cell>
          <cell r="AL461">
            <v>3</v>
          </cell>
          <cell r="AM461" t="str">
            <v>$11.399.250</v>
          </cell>
        </row>
        <row r="462">
          <cell r="A462" t="str">
            <v>461-2025</v>
          </cell>
          <cell r="B462" t="str">
            <v>PRESTACION DE SERVICIOS</v>
          </cell>
          <cell r="C462" t="str">
            <v>ANA VICTORIA ORTEGA
GOMEZ</v>
          </cell>
          <cell r="D462" t="str">
            <v>CC</v>
          </cell>
          <cell r="E462">
            <v>1085338534</v>
          </cell>
          <cell r="F462">
            <v>3</v>
          </cell>
          <cell r="G462" t="str">
            <v xml:space="preserve">CONTRATACION DIRECTA </v>
          </cell>
          <cell r="H462">
            <v>1</v>
          </cell>
          <cell r="I462"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462">
            <v>1</v>
          </cell>
          <cell r="K462" t="str">
            <v>$9.650.000</v>
          </cell>
          <cell r="L462">
            <v>45819</v>
          </cell>
          <cell r="M462">
            <v>45880</v>
          </cell>
          <cell r="N462" t="str">
            <v>MARY ALEXANDRA ROSERO BENAVIDES</v>
          </cell>
          <cell r="O462">
            <v>43624414</v>
          </cell>
          <cell r="P462" t="str">
            <v>anavictoriaortega06@hotmail.com</v>
          </cell>
          <cell r="Q462">
            <v>45819</v>
          </cell>
          <cell r="R462" t="str">
            <v>ANDRES GUERRA</v>
          </cell>
          <cell r="U462" t="str">
            <v>CELEBRADO</v>
          </cell>
          <cell r="W462" t="str">
            <v>2025-0264</v>
          </cell>
          <cell r="X462" t="str">
            <v>2025-0773</v>
          </cell>
          <cell r="AJ462">
            <v>2</v>
          </cell>
          <cell r="AK462">
            <v>0</v>
          </cell>
          <cell r="AL462">
            <v>2</v>
          </cell>
          <cell r="AM462" t="str">
            <v>$9.650.000</v>
          </cell>
        </row>
        <row r="463">
          <cell r="A463" t="str">
            <v>462-2025</v>
          </cell>
          <cell r="B463" t="str">
            <v>PRESTACION DE SERVICIOS</v>
          </cell>
          <cell r="C463" t="str">
            <v>ALEXANDRA GONZALEZ HORTA</v>
          </cell>
          <cell r="D463" t="str">
            <v>CC</v>
          </cell>
          <cell r="E463">
            <v>1075242334</v>
          </cell>
          <cell r="F463">
            <v>7</v>
          </cell>
          <cell r="G463" t="str">
            <v xml:space="preserve">CONTRATACION DIRECTA </v>
          </cell>
          <cell r="H463">
            <v>1</v>
          </cell>
          <cell r="I463" t="str">
            <v>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63">
            <v>1</v>
          </cell>
          <cell r="K463" t="str">
            <v>$5.000.000</v>
          </cell>
          <cell r="L463">
            <v>45819</v>
          </cell>
          <cell r="M463">
            <v>45880</v>
          </cell>
          <cell r="N463" t="str">
            <v>DEYANIRA BADOS DAZA</v>
          </cell>
          <cell r="O463">
            <v>59836926</v>
          </cell>
          <cell r="P463" t="str">
            <v>alexandragonzalezhorta@gmail.com</v>
          </cell>
          <cell r="Q463">
            <v>45819</v>
          </cell>
          <cell r="R463" t="str">
            <v>NATALIA ERAZO</v>
          </cell>
          <cell r="U463" t="str">
            <v>CELEBRADO</v>
          </cell>
          <cell r="W463" t="str">
            <v>2025-0264</v>
          </cell>
          <cell r="X463" t="str">
            <v>2025-0774</v>
          </cell>
          <cell r="AJ463">
            <v>2</v>
          </cell>
          <cell r="AK463">
            <v>0</v>
          </cell>
          <cell r="AL463">
            <v>2</v>
          </cell>
          <cell r="AM463" t="str">
            <v>$5.000.000</v>
          </cell>
        </row>
        <row r="464">
          <cell r="A464" t="str">
            <v>463-2025</v>
          </cell>
          <cell r="B464" t="str">
            <v>PRESTACION DE SERVICIOS</v>
          </cell>
          <cell r="C464" t="str">
            <v xml:space="preserve"> FANNY MARIELA
CORDOBA MORENO</v>
          </cell>
          <cell r="D464" t="str">
            <v>CC</v>
          </cell>
          <cell r="E464">
            <v>36757221</v>
          </cell>
          <cell r="F464">
            <v>1</v>
          </cell>
          <cell r="G464" t="str">
            <v xml:space="preserve">CONTRATACION DIRECTA </v>
          </cell>
          <cell r="H464">
            <v>1</v>
          </cell>
          <cell r="I464" t="str">
            <v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v>
          </cell>
          <cell r="J464">
            <v>1</v>
          </cell>
          <cell r="K464" t="str">
            <v>$12.000.000</v>
          </cell>
          <cell r="L464">
            <v>45819</v>
          </cell>
          <cell r="M464">
            <v>45880</v>
          </cell>
          <cell r="N464" t="str">
            <v>MARY ALEXANDRA ROSERO BENAVIDES</v>
          </cell>
          <cell r="O464">
            <v>43624414</v>
          </cell>
          <cell r="P464" t="str">
            <v>mariecordobamoreno@gmail.com</v>
          </cell>
          <cell r="Q464">
            <v>45819</v>
          </cell>
          <cell r="R464" t="str">
            <v>ELIANA BENAVIDES</v>
          </cell>
          <cell r="U464" t="str">
            <v>CELEBRADO</v>
          </cell>
          <cell r="W464" t="str">
            <v>2025-0264</v>
          </cell>
          <cell r="X464" t="str">
            <v>2025-0775</v>
          </cell>
          <cell r="AJ464">
            <v>2</v>
          </cell>
          <cell r="AK464">
            <v>0</v>
          </cell>
          <cell r="AL464">
            <v>2</v>
          </cell>
          <cell r="AM464" t="str">
            <v>$12.000.000</v>
          </cell>
        </row>
        <row r="465">
          <cell r="A465" t="str">
            <v>464-2025</v>
          </cell>
          <cell r="B465" t="str">
            <v>PRESTACION DE SERVICIOS</v>
          </cell>
          <cell r="C465" t="str">
            <v>ELIANA STEPHANIE CAICEDO ALVAREZ</v>
          </cell>
          <cell r="D465" t="str">
            <v>CC</v>
          </cell>
          <cell r="E465">
            <v>1085286476</v>
          </cell>
          <cell r="F465">
            <v>1</v>
          </cell>
          <cell r="G465" t="str">
            <v xml:space="preserve">CONTRATACION DIRECTA </v>
          </cell>
          <cell r="H465">
            <v>1</v>
          </cell>
          <cell r="I465"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65">
            <v>1</v>
          </cell>
          <cell r="K465" t="str">
            <v>$12.000.000</v>
          </cell>
          <cell r="L465">
            <v>45820</v>
          </cell>
          <cell r="M465">
            <v>45881</v>
          </cell>
          <cell r="N465" t="str">
            <v>DEYANIRA BADOS DAZA</v>
          </cell>
          <cell r="O465">
            <v>59836926</v>
          </cell>
          <cell r="P465" t="str">
            <v>angecab214@gmail.com</v>
          </cell>
          <cell r="Q465">
            <v>45820</v>
          </cell>
          <cell r="R465" t="str">
            <v>CRISTINA ROSERO</v>
          </cell>
          <cell r="U465" t="str">
            <v>CELEBRADO</v>
          </cell>
          <cell r="W465" t="str">
            <v>2025-0264</v>
          </cell>
          <cell r="X465" t="str">
            <v>2025-0777</v>
          </cell>
          <cell r="AJ465">
            <v>2</v>
          </cell>
          <cell r="AK465">
            <v>0</v>
          </cell>
          <cell r="AL465">
            <v>2</v>
          </cell>
          <cell r="AM465" t="str">
            <v>$12.000.000</v>
          </cell>
        </row>
        <row r="466">
          <cell r="A466" t="str">
            <v>465-2025</v>
          </cell>
          <cell r="B466" t="str">
            <v>PRESTACION DE SERVICIOS</v>
          </cell>
          <cell r="C466" t="str">
            <v>JAVIER FERNANDO CHILANGUAD CABRERA</v>
          </cell>
          <cell r="D466" t="str">
            <v>CC</v>
          </cell>
          <cell r="E466">
            <v>1085340885</v>
          </cell>
          <cell r="F466">
            <v>1</v>
          </cell>
          <cell r="G466" t="str">
            <v xml:space="preserve">CONTRATACION DIRECTA </v>
          </cell>
          <cell r="H466">
            <v>1</v>
          </cell>
          <cell r="I466" t="str">
            <v>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466">
            <v>1</v>
          </cell>
          <cell r="K466" t="str">
            <v>$9.500.000</v>
          </cell>
          <cell r="L466">
            <v>45820</v>
          </cell>
          <cell r="M466">
            <v>45881</v>
          </cell>
          <cell r="N466" t="str">
            <v>RIGOBERTO MELO ZAMBRANO</v>
          </cell>
          <cell r="O466">
            <v>98333941</v>
          </cell>
          <cell r="P466" t="str">
            <v xml:space="preserve"> javierchcabrera@gmail.com</v>
          </cell>
          <cell r="Q466">
            <v>45820</v>
          </cell>
          <cell r="R466" t="str">
            <v>NATALIA ERAZO</v>
          </cell>
          <cell r="U466" t="str">
            <v>CELEBRADO</v>
          </cell>
          <cell r="W466" t="str">
            <v>2025-0264</v>
          </cell>
          <cell r="X466" t="str">
            <v>2025-0778</v>
          </cell>
          <cell r="AJ466">
            <v>2</v>
          </cell>
          <cell r="AK466">
            <v>0</v>
          </cell>
          <cell r="AL466">
            <v>2</v>
          </cell>
          <cell r="AM466" t="str">
            <v>$9.500.000</v>
          </cell>
        </row>
        <row r="467">
          <cell r="A467" t="str">
            <v>466-2025</v>
          </cell>
          <cell r="B467" t="str">
            <v>PRESTACION DE SERVICIOS</v>
          </cell>
          <cell r="C467" t="str">
            <v>NICOLAS ALEJANDRO ROSERO MORILLO</v>
          </cell>
          <cell r="D467" t="str">
            <v>CC</v>
          </cell>
          <cell r="E467">
            <v>1085324891</v>
          </cell>
          <cell r="F467">
            <v>7</v>
          </cell>
          <cell r="G467" t="str">
            <v xml:space="preserve">CONTRATACION DIRECTA </v>
          </cell>
          <cell r="H467">
            <v>1</v>
          </cell>
          <cell r="I467"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67">
            <v>1</v>
          </cell>
          <cell r="K467" t="str">
            <v>$ 9.650.000</v>
          </cell>
          <cell r="L467">
            <v>45820</v>
          </cell>
          <cell r="M467">
            <v>45881</v>
          </cell>
          <cell r="N467" t="str">
            <v xml:space="preserve">	RODRIGO DE JESUS VITERI MORENO</v>
          </cell>
          <cell r="O467">
            <v>98390119</v>
          </cell>
          <cell r="P467" t="str">
            <v xml:space="preserve">nicolasalejandrorosero@gmail.com </v>
          </cell>
          <cell r="Q467">
            <v>45820</v>
          </cell>
          <cell r="R467" t="str">
            <v>JUAN GOMEZ</v>
          </cell>
          <cell r="U467" t="str">
            <v>CELEBRADO</v>
          </cell>
          <cell r="W467" t="str">
            <v>2025-0264</v>
          </cell>
          <cell r="X467" t="str">
            <v>2025-0779</v>
          </cell>
          <cell r="AJ467">
            <v>2</v>
          </cell>
          <cell r="AK467">
            <v>0</v>
          </cell>
          <cell r="AL467">
            <v>2</v>
          </cell>
          <cell r="AM467" t="str">
            <v>$9.650.000</v>
          </cell>
        </row>
        <row r="468">
          <cell r="A468" t="str">
            <v>467-2025</v>
          </cell>
          <cell r="B468" t="str">
            <v>PRESTACION DE SERVICIOS</v>
          </cell>
          <cell r="C468" t="str">
            <v xml:space="preserve"> PAULA ANDREA ROCHA
DELGADO</v>
          </cell>
          <cell r="D468" t="str">
            <v>CC</v>
          </cell>
          <cell r="E468">
            <v>36752202</v>
          </cell>
          <cell r="F468">
            <v>9</v>
          </cell>
          <cell r="G468" t="str">
            <v xml:space="preserve">CONTRATACION DIRECTA </v>
          </cell>
          <cell r="H468">
            <v>1</v>
          </cell>
          <cell r="I46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468">
            <v>1</v>
          </cell>
          <cell r="K468" t="str">
            <v>$6.000.000</v>
          </cell>
          <cell r="L468">
            <v>45820</v>
          </cell>
          <cell r="M468">
            <v>45881</v>
          </cell>
          <cell r="N468" t="str">
            <v xml:space="preserve">	RODRIGO DE JESUS VITERI MORENO</v>
          </cell>
          <cell r="O468">
            <v>98390119</v>
          </cell>
          <cell r="P468" t="str">
            <v>paularodel@hotmail.com</v>
          </cell>
          <cell r="Q468">
            <v>45820</v>
          </cell>
          <cell r="R468" t="str">
            <v>JUAN GOMEZ</v>
          </cell>
          <cell r="U468" t="str">
            <v>CELEBRADO</v>
          </cell>
          <cell r="W468" t="str">
            <v>2025-0264</v>
          </cell>
          <cell r="X468" t="str">
            <v>2025-0780</v>
          </cell>
          <cell r="AJ468">
            <v>2</v>
          </cell>
          <cell r="AK468">
            <v>0</v>
          </cell>
          <cell r="AL468">
            <v>2</v>
          </cell>
          <cell r="AM468" t="str">
            <v>$6.000.000</v>
          </cell>
        </row>
        <row r="469">
          <cell r="A469" t="str">
            <v>468-2025</v>
          </cell>
          <cell r="B469" t="str">
            <v>PRESTACION DE SERVICIOS</v>
          </cell>
          <cell r="C469" t="str">
            <v xml:space="preserve"> DIANA MARÍA ERASO ALAVA</v>
          </cell>
          <cell r="D469" t="str">
            <v>CC</v>
          </cell>
          <cell r="E469">
            <v>59651018</v>
          </cell>
          <cell r="F469">
            <v>1</v>
          </cell>
          <cell r="G469" t="str">
            <v xml:space="preserve">CONTRATACION DIRECTA </v>
          </cell>
          <cell r="H469">
            <v>1</v>
          </cell>
          <cell r="I46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v>
          </cell>
          <cell r="J469">
            <v>1</v>
          </cell>
          <cell r="K469" t="str">
            <v>$9.500.000</v>
          </cell>
          <cell r="L469">
            <v>45820</v>
          </cell>
          <cell r="M469">
            <v>45881</v>
          </cell>
          <cell r="N469" t="str">
            <v>MARY ALEXANDRA ROSERO BENAVIDES</v>
          </cell>
          <cell r="O469">
            <v>43624414</v>
          </cell>
          <cell r="P469" t="str">
            <v>dianaeraso99@gmail.com</v>
          </cell>
          <cell r="Q469">
            <v>45820</v>
          </cell>
          <cell r="R469" t="str">
            <v>ELIANA BENAVIDES</v>
          </cell>
          <cell r="U469" t="str">
            <v>CELEBRADO</v>
          </cell>
          <cell r="W469" t="str">
            <v>2025-0264</v>
          </cell>
          <cell r="X469" t="str">
            <v>2025-0781</v>
          </cell>
          <cell r="AJ469">
            <v>2</v>
          </cell>
          <cell r="AK469">
            <v>0</v>
          </cell>
          <cell r="AL469">
            <v>2</v>
          </cell>
          <cell r="AM469" t="str">
            <v>$9.500.000</v>
          </cell>
        </row>
        <row r="470">
          <cell r="A470" t="str">
            <v>469-2025</v>
          </cell>
          <cell r="B470" t="str">
            <v>PRESTACION DE SERVICIOS</v>
          </cell>
          <cell r="C470" t="str">
            <v>JOSE LUIS MORALES DELGADO</v>
          </cell>
          <cell r="D470" t="str">
            <v>CC</v>
          </cell>
          <cell r="E470">
            <v>1085258760</v>
          </cell>
          <cell r="F470">
            <v>8</v>
          </cell>
          <cell r="G470" t="str">
            <v xml:space="preserve">CONTRATACION DIRECTA </v>
          </cell>
          <cell r="H470">
            <v>1</v>
          </cell>
          <cell r="I470" t="str">
            <v xml:space="preserve"> Prestar servicios profesionales como INGENIERO ELECTRONICO en la Empresa Social del Estado Pasto Salud E.S.E., para apoyar al equipo de gestión biomédica en la supervisión técnico - administrativa, organización, dirección, control y comprobación en campo del cumplimiento de las actividades del
mantenimiento y calibración de equipo biomédico e industrial de uso hospitalario. </v>
          </cell>
          <cell r="J470">
            <v>1</v>
          </cell>
          <cell r="K470" t="str">
            <v>$14.763.708</v>
          </cell>
          <cell r="L470">
            <v>45820</v>
          </cell>
          <cell r="M470">
            <v>45930</v>
          </cell>
          <cell r="N470" t="str">
            <v>MARIO FERNADO NARANJO LOPEZ</v>
          </cell>
          <cell r="O470">
            <v>1004189613</v>
          </cell>
          <cell r="P470" t="str">
            <v>ing.josemorales87@gmail.com</v>
          </cell>
          <cell r="Q470">
            <v>45820</v>
          </cell>
          <cell r="R470" t="str">
            <v>JUAN GOMEZ</v>
          </cell>
          <cell r="U470" t="str">
            <v>CELEBRADO</v>
          </cell>
          <cell r="W470" t="str">
            <v>2025-0254</v>
          </cell>
          <cell r="X470" t="str">
            <v>2025-0782</v>
          </cell>
          <cell r="AJ470">
            <v>2</v>
          </cell>
          <cell r="AK470">
            <v>0</v>
          </cell>
          <cell r="AL470">
            <v>2</v>
          </cell>
          <cell r="AM470" t="str">
            <v>$14.763.708</v>
          </cell>
        </row>
        <row r="471">
          <cell r="A471" t="str">
            <v>470-2025</v>
          </cell>
          <cell r="B471" t="str">
            <v>PRESTACION DE SERVICIOS</v>
          </cell>
          <cell r="C471" t="str">
            <v>LAURA CAROLINA DELGADO
BASTIDAS</v>
          </cell>
          <cell r="D471" t="str">
            <v>CC</v>
          </cell>
          <cell r="E471">
            <v>1085311814</v>
          </cell>
          <cell r="F471">
            <v>3</v>
          </cell>
          <cell r="G471" t="str">
            <v xml:space="preserve">CONTRATACION DIRECTA </v>
          </cell>
          <cell r="H471">
            <v>1</v>
          </cell>
          <cell r="I471"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v>
          </cell>
          <cell r="J471">
            <v>1</v>
          </cell>
          <cell r="K471" t="str">
            <v>$9.650.000</v>
          </cell>
          <cell r="L471">
            <v>45820</v>
          </cell>
          <cell r="M471">
            <v>45881</v>
          </cell>
          <cell r="N471" t="str">
            <v xml:space="preserve">	RODRIGO DE JESUS VITERI MORENO</v>
          </cell>
          <cell r="O471">
            <v>98390119</v>
          </cell>
          <cell r="P471" t="str">
            <v xml:space="preserve"> laurabastidas17@gmail.com</v>
          </cell>
          <cell r="Q471">
            <v>45820</v>
          </cell>
          <cell r="R471" t="str">
            <v>RODRIGO ROSERO</v>
          </cell>
          <cell r="U471" t="str">
            <v>CELEBRADO</v>
          </cell>
          <cell r="W471" t="str">
            <v>2025-0264</v>
          </cell>
          <cell r="X471" t="str">
            <v>2025-0783</v>
          </cell>
          <cell r="AJ471">
            <v>2</v>
          </cell>
          <cell r="AK471">
            <v>0</v>
          </cell>
          <cell r="AL471">
            <v>2</v>
          </cell>
          <cell r="AM471" t="str">
            <v>$9.650.000</v>
          </cell>
        </row>
        <row r="472">
          <cell r="A472" t="str">
            <v>471-2025</v>
          </cell>
          <cell r="B472" t="str">
            <v>PRESTACION DE SERVICIOS</v>
          </cell>
          <cell r="C472" t="str">
            <v>MARIA CAMILA JURADO
PAZ</v>
          </cell>
          <cell r="D472" t="str">
            <v>CC</v>
          </cell>
          <cell r="E472">
            <v>1085329980</v>
          </cell>
          <cell r="F472">
            <v>7</v>
          </cell>
          <cell r="G472" t="str">
            <v xml:space="preserve">CONTRATACION DIRECTA </v>
          </cell>
          <cell r="H472">
            <v>1</v>
          </cell>
          <cell r="I472" t="str">
            <v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72">
            <v>1</v>
          </cell>
          <cell r="K472" t="str">
            <v>$15.000.000</v>
          </cell>
          <cell r="L472">
            <v>45820</v>
          </cell>
          <cell r="M472">
            <v>45881</v>
          </cell>
          <cell r="N472" t="str">
            <v xml:space="preserve">	RODRIGO DE JESUS VITERI MORENO</v>
          </cell>
          <cell r="O472">
            <v>98390119</v>
          </cell>
          <cell r="P472" t="str">
            <v xml:space="preserve">camilajg.2807@gmail.com </v>
          </cell>
          <cell r="Q472">
            <v>45820</v>
          </cell>
          <cell r="R472" t="str">
            <v>ALEXANDER YELA</v>
          </cell>
          <cell r="U472" t="str">
            <v>CELEBRADO</v>
          </cell>
          <cell r="W472" t="str">
            <v>2025-0264</v>
          </cell>
          <cell r="X472" t="str">
            <v>2025-0785</v>
          </cell>
          <cell r="AJ472">
            <v>2</v>
          </cell>
          <cell r="AK472">
            <v>0</v>
          </cell>
          <cell r="AL472">
            <v>2</v>
          </cell>
          <cell r="AM472" t="str">
            <v>$15.000.000</v>
          </cell>
        </row>
        <row r="473">
          <cell r="A473" t="str">
            <v>472-2025</v>
          </cell>
          <cell r="B473" t="str">
            <v>PRESTACION DE SERVICIOS</v>
          </cell>
          <cell r="C473" t="str">
            <v>JOHANA KATERINE GONZALEZ</v>
          </cell>
          <cell r="D473" t="str">
            <v>CC</v>
          </cell>
          <cell r="E473">
            <v>1085255829</v>
          </cell>
          <cell r="F473">
            <v>3</v>
          </cell>
          <cell r="G473" t="str">
            <v xml:space="preserve">CONTRATACION DIRECTA </v>
          </cell>
          <cell r="H473">
            <v>1</v>
          </cell>
          <cell r="I47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473">
            <v>1</v>
          </cell>
          <cell r="K473" t="str">
            <v>$6.000.000</v>
          </cell>
          <cell r="L473">
            <v>45820</v>
          </cell>
          <cell r="M473">
            <v>45881</v>
          </cell>
          <cell r="N473" t="str">
            <v>RIGOBERTO MELO ZAMBRANO</v>
          </cell>
          <cell r="O473">
            <v>98333941</v>
          </cell>
          <cell r="P473" t="str">
            <v>catty_2586@hotmail.com</v>
          </cell>
          <cell r="Q473">
            <v>45820</v>
          </cell>
          <cell r="R473" t="str">
            <v>CRISTINA ROSERO</v>
          </cell>
          <cell r="U473" t="str">
            <v>CELEBRADO</v>
          </cell>
          <cell r="W473" t="str">
            <v>2025-0264</v>
          </cell>
          <cell r="X473" t="str">
            <v>2025-0786</v>
          </cell>
          <cell r="AJ473">
            <v>2</v>
          </cell>
          <cell r="AK473">
            <v>0</v>
          </cell>
          <cell r="AL473">
            <v>2</v>
          </cell>
          <cell r="AM473" t="str">
            <v>$6.000.000</v>
          </cell>
        </row>
        <row r="474">
          <cell r="A474" t="str">
            <v>473-2025</v>
          </cell>
          <cell r="B474" t="str">
            <v>PRESTACION DE SERVICIOS</v>
          </cell>
          <cell r="C474" t="str">
            <v>JUANITA MAYLIN VELASQUEZ REVELO</v>
          </cell>
          <cell r="D474" t="str">
            <v>CC</v>
          </cell>
          <cell r="E474">
            <v>1193271854</v>
          </cell>
          <cell r="F474">
            <v>7</v>
          </cell>
          <cell r="G474" t="str">
            <v xml:space="preserve">CONTRATACION DIRECTA </v>
          </cell>
          <cell r="H474">
            <v>1</v>
          </cell>
          <cell r="I47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474">
            <v>1</v>
          </cell>
          <cell r="K474" t="str">
            <v>$6.000.000</v>
          </cell>
          <cell r="L474">
            <v>45820</v>
          </cell>
          <cell r="M474">
            <v>45881</v>
          </cell>
          <cell r="N474" t="str">
            <v xml:space="preserve">	RODRIGO DE JESUS VITERI MORENO</v>
          </cell>
          <cell r="O474">
            <v>98390119</v>
          </cell>
          <cell r="P474" t="str">
            <v>mailyvelasquezrevelo@gmail.com</v>
          </cell>
          <cell r="Q474">
            <v>45820</v>
          </cell>
          <cell r="R474" t="str">
            <v>CRISTINA ROSERO</v>
          </cell>
          <cell r="U474" t="str">
            <v>CELEBRADO</v>
          </cell>
          <cell r="W474" t="str">
            <v>2025-0264</v>
          </cell>
          <cell r="X474" t="str">
            <v>2025-0787</v>
          </cell>
          <cell r="AJ474">
            <v>2</v>
          </cell>
          <cell r="AK474">
            <v>0</v>
          </cell>
          <cell r="AL474">
            <v>2</v>
          </cell>
          <cell r="AM474" t="str">
            <v>$6.000.000</v>
          </cell>
        </row>
        <row r="475">
          <cell r="A475" t="str">
            <v>474-2025</v>
          </cell>
          <cell r="B475" t="str">
            <v>PRESTACION DE SERVICIOS</v>
          </cell>
          <cell r="C475" t="str">
            <v xml:space="preserve"> NICOLAS EMILIO MENA JOJOA</v>
          </cell>
          <cell r="D475" t="str">
            <v>CC</v>
          </cell>
          <cell r="E475">
            <v>1233189896</v>
          </cell>
          <cell r="F475">
            <v>0</v>
          </cell>
          <cell r="G475" t="str">
            <v xml:space="preserve">CONTRATACION DIRECTA </v>
          </cell>
          <cell r="H475">
            <v>1</v>
          </cell>
          <cell r="I47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75">
            <v>1</v>
          </cell>
          <cell r="K475" t="str">
            <v>$5.000.000</v>
          </cell>
          <cell r="L475">
            <v>45824</v>
          </cell>
          <cell r="M475">
            <v>45885</v>
          </cell>
          <cell r="N475" t="str">
            <v xml:space="preserve">	RODRIGO DE JESUS VITERI MORENO</v>
          </cell>
          <cell r="O475">
            <v>98390119</v>
          </cell>
          <cell r="P475" t="str">
            <v>nicomena008@gmail.com</v>
          </cell>
          <cell r="Q475">
            <v>45824</v>
          </cell>
          <cell r="R475" t="str">
            <v>ALEXANDER YELA</v>
          </cell>
          <cell r="U475" t="str">
            <v>CELEBRADO</v>
          </cell>
          <cell r="W475" t="str">
            <v>2025-0264</v>
          </cell>
          <cell r="X475" t="str">
            <v>2025-0794</v>
          </cell>
          <cell r="AJ475">
            <v>2</v>
          </cell>
          <cell r="AK475">
            <v>0</v>
          </cell>
          <cell r="AL475">
            <v>2</v>
          </cell>
          <cell r="AM475" t="str">
            <v>$5.000.000</v>
          </cell>
        </row>
        <row r="476">
          <cell r="A476" t="str">
            <v>475-2025</v>
          </cell>
          <cell r="B476" t="str">
            <v>PRESTACION DE SERVICIOS</v>
          </cell>
          <cell r="C476" t="str">
            <v>LEYDI DEL ROSARIO CUACEZ NOGUERA</v>
          </cell>
          <cell r="D476" t="str">
            <v>CC</v>
          </cell>
          <cell r="E476">
            <v>59314458</v>
          </cell>
          <cell r="F476">
            <v>2</v>
          </cell>
          <cell r="G476" t="str">
            <v xml:space="preserve">CONTRATACION DIRECTA </v>
          </cell>
          <cell r="H476">
            <v>1</v>
          </cell>
          <cell r="I476"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76">
            <v>1</v>
          </cell>
          <cell r="K476" t="str">
            <v>$12.000.000</v>
          </cell>
          <cell r="L476">
            <v>45824</v>
          </cell>
          <cell r="M476">
            <v>45885</v>
          </cell>
          <cell r="N476" t="str">
            <v>RIGOBERTO MELO ZAMBRANO</v>
          </cell>
          <cell r="O476">
            <v>98333941</v>
          </cell>
          <cell r="P476" t="str">
            <v>leydircn@hotmail.es</v>
          </cell>
          <cell r="Q476">
            <v>45824</v>
          </cell>
          <cell r="R476" t="str">
            <v>ELIANA BENAVIDES</v>
          </cell>
          <cell r="U476" t="str">
            <v>CELEBRADO</v>
          </cell>
          <cell r="W476" t="str">
            <v>2025-0264</v>
          </cell>
          <cell r="X476" t="str">
            <v>2025-0795</v>
          </cell>
          <cell r="AJ476">
            <v>2</v>
          </cell>
          <cell r="AK476">
            <v>0</v>
          </cell>
          <cell r="AL476">
            <v>2</v>
          </cell>
          <cell r="AM476" t="str">
            <v>$12.000.000</v>
          </cell>
        </row>
        <row r="477">
          <cell r="A477" t="str">
            <v>476-2025</v>
          </cell>
          <cell r="B477" t="str">
            <v>PRESTACION DE SERVICIOS</v>
          </cell>
          <cell r="C477" t="str">
            <v>LAUREN AZENITH CORAL SAMUDIO</v>
          </cell>
          <cell r="D477" t="str">
            <v>CC</v>
          </cell>
          <cell r="E477">
            <v>36759759</v>
          </cell>
          <cell r="F477">
            <v>0</v>
          </cell>
          <cell r="G477" t="str">
            <v xml:space="preserve">CONTRATACION DIRECTA </v>
          </cell>
          <cell r="H477">
            <v>1</v>
          </cell>
          <cell r="I477" t="str">
            <v>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v>
          </cell>
          <cell r="J477">
            <v>1</v>
          </cell>
          <cell r="K477" t="str">
            <v>$9.500.000</v>
          </cell>
          <cell r="L477">
            <v>45824</v>
          </cell>
          <cell r="M477">
            <v>45885</v>
          </cell>
          <cell r="N477" t="str">
            <v>DEYANIRA BADOS DAZA</v>
          </cell>
          <cell r="O477">
            <v>59836926</v>
          </cell>
          <cell r="P477" t="str">
            <v xml:space="preserve"> laurencoral@live.com</v>
          </cell>
          <cell r="Q477">
            <v>45824</v>
          </cell>
          <cell r="R477" t="str">
            <v>RODRIGO ROSERO</v>
          </cell>
          <cell r="U477" t="str">
            <v>CELEBRADO</v>
          </cell>
          <cell r="W477" t="str">
            <v>2025-0264</v>
          </cell>
          <cell r="X477" t="str">
            <v>2025-0796</v>
          </cell>
          <cell r="AJ477">
            <v>2</v>
          </cell>
          <cell r="AK477">
            <v>0</v>
          </cell>
          <cell r="AL477">
            <v>2</v>
          </cell>
          <cell r="AM477" t="str">
            <v>$9.500.000</v>
          </cell>
        </row>
        <row r="478">
          <cell r="A478" t="str">
            <v>477-2025</v>
          </cell>
          <cell r="B478" t="str">
            <v>PRESTACION DE SERVICIOS</v>
          </cell>
          <cell r="C478" t="str">
            <v xml:space="preserve"> LIZETH MARCELA ORTIZ MUÑOZ</v>
          </cell>
          <cell r="D478" t="str">
            <v>CC</v>
          </cell>
          <cell r="E478">
            <v>1006946167</v>
          </cell>
          <cell r="F478">
            <v>4</v>
          </cell>
          <cell r="G478" t="str">
            <v xml:space="preserve">CONTRATACION DIRECTA </v>
          </cell>
          <cell r="H478">
            <v>1</v>
          </cell>
          <cell r="I478" t="str">
            <v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78">
            <v>1</v>
          </cell>
          <cell r="K478" t="str">
            <v>$15.000.000</v>
          </cell>
          <cell r="L478">
            <v>45824</v>
          </cell>
          <cell r="M478">
            <v>45885</v>
          </cell>
          <cell r="N478" t="str">
            <v>RIGOBERTO MELO ZAMBRANO</v>
          </cell>
          <cell r="O478">
            <v>98333941</v>
          </cell>
          <cell r="P478" t="str">
            <v>ortizlizeth9516@gmail.com</v>
          </cell>
          <cell r="Q478">
            <v>45824</v>
          </cell>
          <cell r="R478" t="str">
            <v>ALEXANDER YELA</v>
          </cell>
          <cell r="U478" t="str">
            <v>CELEBRADO</v>
          </cell>
          <cell r="W478" t="str">
            <v>2025-0264</v>
          </cell>
          <cell r="X478" t="str">
            <v>2025-0797</v>
          </cell>
          <cell r="AJ478">
            <v>2</v>
          </cell>
          <cell r="AK478">
            <v>0</v>
          </cell>
          <cell r="AL478">
            <v>2</v>
          </cell>
          <cell r="AM478" t="str">
            <v>$15.000.000</v>
          </cell>
        </row>
        <row r="479">
          <cell r="A479" t="str">
            <v>478-2025</v>
          </cell>
          <cell r="B479" t="str">
            <v>PRESTACION DE SERVICIOS</v>
          </cell>
          <cell r="C479" t="str">
            <v xml:space="preserve"> PABLO ERNESTO RIOBAMBA IPIALES</v>
          </cell>
          <cell r="D479" t="str">
            <v>CC</v>
          </cell>
          <cell r="E479">
            <v>12974849</v>
          </cell>
          <cell r="F479">
            <v>9</v>
          </cell>
          <cell r="G479" t="str">
            <v xml:space="preserve">CONTRATACION DIRECTA </v>
          </cell>
          <cell r="H479">
            <v>1</v>
          </cell>
          <cell r="I479" t="str">
            <v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v>
          </cell>
          <cell r="J479">
            <v>1</v>
          </cell>
          <cell r="K479" t="str">
            <v>$5.000.000</v>
          </cell>
          <cell r="L479">
            <v>45824</v>
          </cell>
          <cell r="M479">
            <v>45885</v>
          </cell>
          <cell r="N479" t="str">
            <v>RIGOBERTO MELO ZAMBRANO</v>
          </cell>
          <cell r="O479">
            <v>98333941</v>
          </cell>
          <cell r="P479" t="str">
            <v>drogbrisur@gmail.com</v>
          </cell>
          <cell r="Q479">
            <v>45824</v>
          </cell>
          <cell r="R479" t="str">
            <v>ALEXANDER YELA</v>
          </cell>
          <cell r="U479" t="str">
            <v>CELEBRADO</v>
          </cell>
          <cell r="W479" t="str">
            <v>2025-0264</v>
          </cell>
          <cell r="X479" t="str">
            <v>2025-0798</v>
          </cell>
          <cell r="AJ479">
            <v>2</v>
          </cell>
          <cell r="AK479">
            <v>0</v>
          </cell>
          <cell r="AL479">
            <v>2</v>
          </cell>
          <cell r="AM479" t="str">
            <v>$5.000.000</v>
          </cell>
        </row>
        <row r="480">
          <cell r="A480" t="str">
            <v>479-2025</v>
          </cell>
          <cell r="B480" t="str">
            <v>PRESTACION DE SERVICIOS</v>
          </cell>
          <cell r="C480" t="str">
            <v>AIDE CAROLINA RIASCOS ECHEVERRY</v>
          </cell>
          <cell r="D480" t="str">
            <v>CC</v>
          </cell>
          <cell r="E480">
            <v>1085300095</v>
          </cell>
          <cell r="F480">
            <v>7</v>
          </cell>
          <cell r="G480" t="str">
            <v xml:space="preserve">CONTRATACION DIRECTA </v>
          </cell>
          <cell r="H480">
            <v>1</v>
          </cell>
          <cell r="I480" t="str">
            <v>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80">
            <v>1</v>
          </cell>
          <cell r="K480" t="str">
            <v>$6.000.000</v>
          </cell>
          <cell r="L480">
            <v>45824</v>
          </cell>
          <cell r="M480">
            <v>45885</v>
          </cell>
          <cell r="N480" t="str">
            <v>MARY ALEXANDRA ROSERO BENAVIDES</v>
          </cell>
          <cell r="O480">
            <v>43624414</v>
          </cell>
          <cell r="P480" t="str">
            <v>caroriascos2004@gmail.com</v>
          </cell>
          <cell r="Q480">
            <v>45824</v>
          </cell>
          <cell r="R480" t="str">
            <v>ALEXANDER YELA</v>
          </cell>
          <cell r="U480" t="str">
            <v>CELEBRADO</v>
          </cell>
          <cell r="W480" t="str">
            <v>2025-0264</v>
          </cell>
          <cell r="X480" t="str">
            <v>2025-0799</v>
          </cell>
          <cell r="AJ480">
            <v>2</v>
          </cell>
          <cell r="AK480">
            <v>0</v>
          </cell>
          <cell r="AL480">
            <v>2</v>
          </cell>
          <cell r="AM480" t="str">
            <v>$6.000.000</v>
          </cell>
        </row>
        <row r="481">
          <cell r="A481" t="str">
            <v>480-2025</v>
          </cell>
          <cell r="B481" t="str">
            <v>PRESTACION DE SERVICIOS</v>
          </cell>
          <cell r="C481" t="str">
            <v>NATHALY STEPHANIE MARTINEZ MARTINEZ</v>
          </cell>
          <cell r="D481" t="str">
            <v>CC</v>
          </cell>
          <cell r="E481">
            <v>1233191675</v>
          </cell>
          <cell r="F481">
            <v>6</v>
          </cell>
          <cell r="G481" t="str">
            <v xml:space="preserve">CONTRATACION DIRECTA </v>
          </cell>
          <cell r="H481">
            <v>1</v>
          </cell>
          <cell r="I48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481">
            <v>1</v>
          </cell>
          <cell r="K481" t="str">
            <v>$6.000.000</v>
          </cell>
          <cell r="L481">
            <v>45824</v>
          </cell>
          <cell r="M481">
            <v>45885</v>
          </cell>
          <cell r="N481" t="str">
            <v>RIGOBERTO MELO ZAMBRANO</v>
          </cell>
          <cell r="O481">
            <v>98333941</v>
          </cell>
          <cell r="P481" t="str">
            <v>stefania 2398@hotmail.com</v>
          </cell>
          <cell r="Q481">
            <v>45824</v>
          </cell>
          <cell r="R481" t="str">
            <v>JUAN GOMEZ</v>
          </cell>
          <cell r="U481" t="str">
            <v>CELEBRADO</v>
          </cell>
          <cell r="W481" t="str">
            <v>2025-0264</v>
          </cell>
          <cell r="X481" t="str">
            <v>2025-0800</v>
          </cell>
          <cell r="AJ481">
            <v>2</v>
          </cell>
          <cell r="AK481">
            <v>0</v>
          </cell>
          <cell r="AL481">
            <v>2</v>
          </cell>
          <cell r="AM481" t="str">
            <v>$6.000.000</v>
          </cell>
        </row>
        <row r="482">
          <cell r="A482" t="str">
            <v>481-2025</v>
          </cell>
          <cell r="B482" t="str">
            <v>PRESTACION DE SERVICIOS</v>
          </cell>
          <cell r="C482" t="str">
            <v>YOLLDY LIZETH CABRERA FUERTES</v>
          </cell>
          <cell r="D482" t="str">
            <v>CC</v>
          </cell>
          <cell r="E482">
            <v>1088733625</v>
          </cell>
          <cell r="F482">
            <v>1</v>
          </cell>
          <cell r="G482" t="str">
            <v xml:space="preserve">CONTRATACION DIRECTA </v>
          </cell>
          <cell r="H482">
            <v>1</v>
          </cell>
          <cell r="I48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482">
            <v>1</v>
          </cell>
          <cell r="K482" t="str">
            <v>$6.000.000</v>
          </cell>
          <cell r="L482">
            <v>45824</v>
          </cell>
          <cell r="M482">
            <v>45885</v>
          </cell>
          <cell r="N482" t="str">
            <v>MARY ALEXANDRA ROSERO BENAVIDES</v>
          </cell>
          <cell r="O482">
            <v>43624414</v>
          </cell>
          <cell r="P482" t="str">
            <v>yoldylizeth@hotmail.com</v>
          </cell>
          <cell r="Q482">
            <v>45824</v>
          </cell>
          <cell r="R482" t="str">
            <v>JUAN GOMEZ</v>
          </cell>
          <cell r="U482" t="str">
            <v>CELEBRADO</v>
          </cell>
          <cell r="W482" t="str">
            <v>2025-0264</v>
          </cell>
          <cell r="X482" t="str">
            <v>2025-0801</v>
          </cell>
          <cell r="AJ482">
            <v>2</v>
          </cell>
          <cell r="AK482">
            <v>0</v>
          </cell>
          <cell r="AL482">
            <v>2</v>
          </cell>
          <cell r="AM482" t="str">
            <v>$6.000.000</v>
          </cell>
        </row>
        <row r="483">
          <cell r="A483" t="str">
            <v>482-2025</v>
          </cell>
          <cell r="B483" t="str">
            <v>PRESTACION DE SERVICIOS</v>
          </cell>
          <cell r="C483" t="str">
            <v>JULIE ANDREA FREIRE MIER</v>
          </cell>
          <cell r="D483" t="str">
            <v>CC</v>
          </cell>
          <cell r="E483">
            <v>37084285</v>
          </cell>
          <cell r="F483">
            <v>7</v>
          </cell>
          <cell r="G483" t="str">
            <v xml:space="preserve">CONTRATACION DIRECTA </v>
          </cell>
          <cell r="H483">
            <v>1</v>
          </cell>
          <cell r="I48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483">
            <v>1</v>
          </cell>
          <cell r="K483" t="str">
            <v>$6.000.000</v>
          </cell>
          <cell r="L483">
            <v>45824</v>
          </cell>
          <cell r="M483">
            <v>45885</v>
          </cell>
          <cell r="N483" t="str">
            <v>RIGOBERTO MELO ZAMBRANO</v>
          </cell>
          <cell r="O483">
            <v>98333941</v>
          </cell>
          <cell r="P483" t="str">
            <v>juliefreire5@gmail.com</v>
          </cell>
          <cell r="Q483">
            <v>45824</v>
          </cell>
          <cell r="R483" t="str">
            <v>ANDRES GUERRA</v>
          </cell>
          <cell r="U483" t="str">
            <v>CELEBRADO</v>
          </cell>
          <cell r="W483" t="str">
            <v>2025-0264</v>
          </cell>
          <cell r="X483" t="str">
            <v>2025-0802</v>
          </cell>
          <cell r="AJ483">
            <v>2</v>
          </cell>
          <cell r="AK483">
            <v>0</v>
          </cell>
          <cell r="AL483">
            <v>2</v>
          </cell>
          <cell r="AM483" t="str">
            <v>$6.000.000</v>
          </cell>
        </row>
        <row r="484">
          <cell r="A484" t="str">
            <v>483-2025</v>
          </cell>
          <cell r="B484" t="str">
            <v>PRESTACION DE SERVICIOS</v>
          </cell>
          <cell r="C484" t="str">
            <v>LISSETH MARISOL CUASTUMAL CASTRO</v>
          </cell>
          <cell r="D484" t="str">
            <v>CC</v>
          </cell>
          <cell r="E484">
            <v>1085271641</v>
          </cell>
          <cell r="F484">
            <v>3</v>
          </cell>
          <cell r="G484" t="str">
            <v xml:space="preserve">CONTRATACION DIRECTA </v>
          </cell>
          <cell r="H484">
            <v>1</v>
          </cell>
          <cell r="I48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484">
            <v>1</v>
          </cell>
          <cell r="K484" t="str">
            <v>$6.000.000</v>
          </cell>
          <cell r="L484">
            <v>45824</v>
          </cell>
          <cell r="M484">
            <v>45885</v>
          </cell>
          <cell r="N484" t="str">
            <v>RIGOBERTO MELO ZAMBRANO</v>
          </cell>
          <cell r="O484">
            <v>98333941</v>
          </cell>
          <cell r="P484" t="str">
            <v>liscastro77@gmail.com.</v>
          </cell>
          <cell r="Q484">
            <v>45824</v>
          </cell>
          <cell r="R484" t="str">
            <v>ELIANA BENAVIDES</v>
          </cell>
          <cell r="U484" t="str">
            <v>CELEBRADO</v>
          </cell>
          <cell r="W484" t="str">
            <v>2025-0264</v>
          </cell>
          <cell r="X484" t="str">
            <v>2025-0803</v>
          </cell>
          <cell r="AJ484">
            <v>2</v>
          </cell>
          <cell r="AK484">
            <v>0</v>
          </cell>
          <cell r="AL484">
            <v>2</v>
          </cell>
          <cell r="AM484" t="str">
            <v>$6.000.000</v>
          </cell>
        </row>
        <row r="485">
          <cell r="A485" t="str">
            <v>484-2025</v>
          </cell>
          <cell r="B485" t="str">
            <v>PRESTACION DE SERVICIOS</v>
          </cell>
          <cell r="C485" t="str">
            <v>ALEXANDRA MARIA ORTEGA ROSERO</v>
          </cell>
          <cell r="D485" t="str">
            <v>CC</v>
          </cell>
          <cell r="E485">
            <v>37087268</v>
          </cell>
          <cell r="F485">
            <v>5</v>
          </cell>
          <cell r="G485" t="str">
            <v xml:space="preserve">CONTRATACION DIRECTA </v>
          </cell>
          <cell r="H485">
            <v>1</v>
          </cell>
          <cell r="I48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v>
          </cell>
          <cell r="J485">
            <v>1</v>
          </cell>
          <cell r="K485" t="str">
            <v>$5.000.000</v>
          </cell>
          <cell r="L485">
            <v>45824</v>
          </cell>
          <cell r="M485">
            <v>45885</v>
          </cell>
          <cell r="N485" t="str">
            <v xml:space="preserve">	RODRIGO DE JESUS VITERI MORENO</v>
          </cell>
          <cell r="O485">
            <v>98390119</v>
          </cell>
          <cell r="P485" t="str">
            <v>alexandraortega069@gmail.com</v>
          </cell>
          <cell r="Q485">
            <v>45824</v>
          </cell>
          <cell r="R485" t="str">
            <v>RODRIGO ROSERO</v>
          </cell>
          <cell r="U485" t="str">
            <v>CELEBRADO</v>
          </cell>
          <cell r="W485" t="str">
            <v>2025-0264</v>
          </cell>
          <cell r="X485" t="str">
            <v>2025-0804</v>
          </cell>
          <cell r="AJ485">
            <v>2</v>
          </cell>
          <cell r="AK485">
            <v>0</v>
          </cell>
          <cell r="AL485">
            <v>2</v>
          </cell>
          <cell r="AM485" t="str">
            <v>$5.000.000</v>
          </cell>
        </row>
        <row r="486">
          <cell r="A486" t="str">
            <v>485-2025</v>
          </cell>
          <cell r="B486" t="str">
            <v>PRESTACION DE SERVICIOS</v>
          </cell>
          <cell r="C486" t="str">
            <v>MARGARITA ELIZABЕTH CHAVES RAMIREZ(CONNECTPRO)</v>
          </cell>
          <cell r="D486" t="str">
            <v>CC</v>
          </cell>
          <cell r="E486">
            <v>1085289985</v>
          </cell>
          <cell r="F486">
            <v>0</v>
          </cell>
          <cell r="G486" t="str">
            <v xml:space="preserve">CONTRATACION DIRECTA </v>
          </cell>
          <cell r="H486">
            <v>1</v>
          </cell>
          <cell r="I486" t="str">
            <v>Prestación de servicios de mantenimiento integral del sistema de cableado estructurado para los centros de datos de las 23 sedes de la Empresa Social del Estado Pasto Salud E.S.E.</v>
          </cell>
          <cell r="J486">
            <v>1</v>
          </cell>
          <cell r="K486" t="str">
            <v>$275.000.000</v>
          </cell>
          <cell r="L486">
            <v>45824</v>
          </cell>
          <cell r="M486">
            <v>46022</v>
          </cell>
          <cell r="N486" t="str">
            <v xml:space="preserve">	IVAN RODRIGO IBARRA MUÑOZ</v>
          </cell>
          <cell r="O486">
            <v>87248313</v>
          </cell>
          <cell r="P486" t="str">
            <v>connectprotecnology@gmail.com</v>
          </cell>
          <cell r="Q486">
            <v>45824</v>
          </cell>
          <cell r="R486" t="str">
            <v>CRISTINA ROSERO</v>
          </cell>
          <cell r="U486" t="str">
            <v>CELEBRADO</v>
          </cell>
          <cell r="W486" t="str">
            <v>2025-0247</v>
          </cell>
          <cell r="X486" t="str">
            <v>2025-0805</v>
          </cell>
          <cell r="AJ486">
            <v>2</v>
          </cell>
          <cell r="AK486">
            <v>0</v>
          </cell>
          <cell r="AL486">
            <v>2</v>
          </cell>
          <cell r="AM486" t="str">
            <v>$275.000.000</v>
          </cell>
        </row>
        <row r="487">
          <cell r="A487" t="str">
            <v>486-2025</v>
          </cell>
          <cell r="B487" t="str">
            <v>PRESTACION DE SERVICIOS</v>
          </cell>
          <cell r="C487" t="str">
            <v>CARLOS ALBERTO ZAMBRANO VARGAS</v>
          </cell>
          <cell r="D487" t="str">
            <v>CC</v>
          </cell>
          <cell r="E487">
            <v>1086332188</v>
          </cell>
          <cell r="F487">
            <v>4</v>
          </cell>
          <cell r="G487" t="str">
            <v xml:space="preserve">CONTRATACION DIRECTA </v>
          </cell>
          <cell r="H487">
            <v>1</v>
          </cell>
          <cell r="I487" t="str">
            <v>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87">
            <v>1</v>
          </cell>
          <cell r="K487" t="str">
            <v>$9.500.000</v>
          </cell>
          <cell r="L487">
            <v>45824</v>
          </cell>
          <cell r="M487">
            <v>45885</v>
          </cell>
          <cell r="N487" t="str">
            <v>RIGOBERTO MELO ZAMBRANO</v>
          </cell>
          <cell r="O487">
            <v>98333941</v>
          </cell>
          <cell r="P487" t="str">
            <v>carlossalberto0111@gmail.com</v>
          </cell>
          <cell r="Q487">
            <v>45824</v>
          </cell>
          <cell r="R487" t="str">
            <v>JUAN GOMEZ</v>
          </cell>
          <cell r="U487" t="str">
            <v>CELEBRADO</v>
          </cell>
          <cell r="W487" t="str">
            <v>2025-0264</v>
          </cell>
          <cell r="X487" t="str">
            <v>2025-0806</v>
          </cell>
          <cell r="AJ487">
            <v>2</v>
          </cell>
          <cell r="AK487">
            <v>0</v>
          </cell>
          <cell r="AL487">
            <v>2</v>
          </cell>
          <cell r="AM487" t="str">
            <v>$9.500.000</v>
          </cell>
        </row>
        <row r="488">
          <cell r="A488" t="str">
            <v>487-2025</v>
          </cell>
          <cell r="B488" t="str">
            <v>PRESTACION DE SERVICIOS</v>
          </cell>
          <cell r="C488" t="str">
            <v>DUVAN RECALDE AREVALO</v>
          </cell>
          <cell r="D488" t="str">
            <v>CC</v>
          </cell>
          <cell r="E488">
            <v>1087006619</v>
          </cell>
          <cell r="F488">
            <v>3</v>
          </cell>
          <cell r="G488" t="str">
            <v xml:space="preserve">CONTRATACION DIRECTA </v>
          </cell>
          <cell r="H488">
            <v>1</v>
          </cell>
          <cell r="I488"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88">
            <v>1</v>
          </cell>
          <cell r="K488" t="str">
            <v>$15.000.000</v>
          </cell>
          <cell r="L488">
            <v>45824</v>
          </cell>
          <cell r="M488">
            <v>45885</v>
          </cell>
          <cell r="N488" t="str">
            <v>RIGOBERTO MELO ZAMBRANO</v>
          </cell>
          <cell r="O488">
            <v>98333941</v>
          </cell>
          <cell r="P488" t="str">
            <v xml:space="preserve"> duvanrecaldedu@hotmail.com</v>
          </cell>
          <cell r="Q488">
            <v>45824</v>
          </cell>
          <cell r="R488" t="str">
            <v>ALEXANDER YELA</v>
          </cell>
          <cell r="U488" t="str">
            <v>CELEBRADO</v>
          </cell>
          <cell r="W488" t="str">
            <v>2025-0264</v>
          </cell>
          <cell r="X488" t="str">
            <v>2025-0807</v>
          </cell>
          <cell r="AJ488">
            <v>2</v>
          </cell>
          <cell r="AK488">
            <v>0</v>
          </cell>
          <cell r="AL488">
            <v>2</v>
          </cell>
          <cell r="AM488" t="str">
            <v>$15.000.000</v>
          </cell>
        </row>
        <row r="489">
          <cell r="A489" t="str">
            <v>488-2025</v>
          </cell>
          <cell r="B489" t="str">
            <v>PRESTACION DE SERVICIOS</v>
          </cell>
          <cell r="C489" t="str">
            <v>NIKOLE CAROLAY IBAÑEZ ALVAREZ</v>
          </cell>
          <cell r="D489" t="str">
            <v>CC</v>
          </cell>
          <cell r="E489">
            <v>1085313872</v>
          </cell>
          <cell r="F489">
            <v>1</v>
          </cell>
          <cell r="G489" t="str">
            <v xml:space="preserve">CONTRATACION DIRECTA </v>
          </cell>
          <cell r="H489">
            <v>1</v>
          </cell>
          <cell r="I489"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89">
            <v>1</v>
          </cell>
          <cell r="K489" t="str">
            <v>$12.000.000</v>
          </cell>
          <cell r="L489">
            <v>45824</v>
          </cell>
          <cell r="M489">
            <v>45885</v>
          </cell>
          <cell r="N489" t="str">
            <v>RIGOBERTO MELO ZAMBRANO</v>
          </cell>
          <cell r="O489">
            <v>98333941</v>
          </cell>
          <cell r="P489" t="str">
            <v>nikole.02026@gmail.com</v>
          </cell>
          <cell r="Q489">
            <v>45824</v>
          </cell>
          <cell r="R489" t="str">
            <v>CRISTINA ROSERO</v>
          </cell>
          <cell r="U489" t="str">
            <v>CELEBRADO</v>
          </cell>
          <cell r="W489" t="str">
            <v>2025-0264</v>
          </cell>
          <cell r="X489" t="str">
            <v>2025-0808</v>
          </cell>
          <cell r="AJ489">
            <v>2</v>
          </cell>
          <cell r="AK489">
            <v>0</v>
          </cell>
          <cell r="AL489">
            <v>2</v>
          </cell>
          <cell r="AM489" t="str">
            <v>$12.000.000</v>
          </cell>
        </row>
        <row r="490">
          <cell r="A490" t="str">
            <v>489-2025</v>
          </cell>
          <cell r="B490" t="str">
            <v>PRESTACION DE SERVICIOS</v>
          </cell>
          <cell r="C490" t="str">
            <v>EVELYN FERNANDA ACOSTA CHICAIZA</v>
          </cell>
          <cell r="D490" t="str">
            <v>CC</v>
          </cell>
          <cell r="E490">
            <v>1193224810</v>
          </cell>
          <cell r="F490">
            <v>3</v>
          </cell>
          <cell r="G490" t="str">
            <v xml:space="preserve">CONTRATACION DIRECTA </v>
          </cell>
          <cell r="H490">
            <v>1</v>
          </cell>
          <cell r="I490"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90">
            <v>1</v>
          </cell>
          <cell r="K490" t="str">
            <v>$6.000.000</v>
          </cell>
          <cell r="L490">
            <v>45824</v>
          </cell>
          <cell r="M490">
            <v>45885</v>
          </cell>
          <cell r="N490" t="str">
            <v>RIGOBERTO MELO ZAMBRANO</v>
          </cell>
          <cell r="O490">
            <v>98333941</v>
          </cell>
          <cell r="P490" t="str">
            <v>evechica1508@gmail.com</v>
          </cell>
          <cell r="Q490">
            <v>45824</v>
          </cell>
          <cell r="R490" t="str">
            <v>ANDRES GUERRA</v>
          </cell>
          <cell r="U490" t="str">
            <v>CELEBRADO</v>
          </cell>
          <cell r="W490" t="str">
            <v>2025-0264</v>
          </cell>
          <cell r="X490" t="str">
            <v>2025-0809</v>
          </cell>
          <cell r="AJ490">
            <v>2</v>
          </cell>
          <cell r="AK490">
            <v>0</v>
          </cell>
          <cell r="AL490">
            <v>2</v>
          </cell>
          <cell r="AM490" t="str">
            <v>$6.000.000</v>
          </cell>
        </row>
        <row r="491">
          <cell r="A491" t="str">
            <v>490-2025</v>
          </cell>
          <cell r="B491" t="str">
            <v>PRESTACION DE SERVICIOS</v>
          </cell>
          <cell r="C491" t="str">
            <v>MARILYN ZAMBRANO OBANDO</v>
          </cell>
          <cell r="D491" t="str">
            <v>CC</v>
          </cell>
          <cell r="E491">
            <v>1081592303</v>
          </cell>
          <cell r="F491">
            <v>1</v>
          </cell>
          <cell r="G491" t="str">
            <v xml:space="preserve">CONTRATACION DIRECTA </v>
          </cell>
          <cell r="H491">
            <v>1</v>
          </cell>
          <cell r="I491"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91">
            <v>1</v>
          </cell>
          <cell r="K491" t="str">
            <v>$6.000.000</v>
          </cell>
          <cell r="L491">
            <v>45824</v>
          </cell>
          <cell r="M491">
            <v>45885</v>
          </cell>
          <cell r="N491" t="str">
            <v xml:space="preserve">	RODRIGO DE JESUS VITERI MORENO</v>
          </cell>
          <cell r="O491">
            <v>98390119</v>
          </cell>
          <cell r="P491" t="str">
            <v>zmarilyn701@gmail.com</v>
          </cell>
          <cell r="Q491">
            <v>45824</v>
          </cell>
          <cell r="R491" t="str">
            <v>ANDRES GUERRA</v>
          </cell>
          <cell r="U491" t="str">
            <v>CELEBRADO</v>
          </cell>
          <cell r="W491" t="str">
            <v>2025-0264</v>
          </cell>
          <cell r="X491" t="str">
            <v>2025-0810</v>
          </cell>
          <cell r="AJ491">
            <v>2</v>
          </cell>
          <cell r="AK491">
            <v>0</v>
          </cell>
          <cell r="AL491">
            <v>2</v>
          </cell>
          <cell r="AM491" t="str">
            <v>$6.000.000</v>
          </cell>
        </row>
        <row r="492">
          <cell r="A492" t="str">
            <v>491-2025</v>
          </cell>
          <cell r="B492" t="str">
            <v>PRESTACION DE SERVICIOS</v>
          </cell>
          <cell r="C492" t="str">
            <v>MARIA ISABEL ALVAREZ CAICEDO,</v>
          </cell>
          <cell r="D492" t="str">
            <v>CC</v>
          </cell>
          <cell r="E492">
            <v>1085345772</v>
          </cell>
          <cell r="F492">
            <v>9</v>
          </cell>
          <cell r="G492" t="str">
            <v xml:space="preserve">CONTRATACION DIRECTA </v>
          </cell>
          <cell r="H492">
            <v>1</v>
          </cell>
          <cell r="I492" t="str">
            <v>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492">
            <v>1</v>
          </cell>
          <cell r="K492" t="str">
            <v>$9.500.000</v>
          </cell>
          <cell r="L492">
            <v>45824</v>
          </cell>
          <cell r="M492">
            <v>45885</v>
          </cell>
          <cell r="N492" t="str">
            <v>DEYANIRA BADOS DAZA</v>
          </cell>
          <cell r="O492">
            <v>59836926</v>
          </cell>
          <cell r="P492" t="str">
            <v>isabelalvarezc99@gmail.com</v>
          </cell>
          <cell r="Q492">
            <v>45824</v>
          </cell>
          <cell r="R492" t="str">
            <v>ELIANA BENAVIDES</v>
          </cell>
          <cell r="U492" t="str">
            <v>CELEBRADO</v>
          </cell>
          <cell r="W492" t="str">
            <v>2025-0264</v>
          </cell>
          <cell r="X492" t="str">
            <v>2025-0811</v>
          </cell>
          <cell r="AJ492">
            <v>2</v>
          </cell>
          <cell r="AK492">
            <v>0</v>
          </cell>
          <cell r="AL492">
            <v>2</v>
          </cell>
          <cell r="AM492" t="str">
            <v>$9.500.000</v>
          </cell>
        </row>
        <row r="493">
          <cell r="A493" t="str">
            <v>492-2025</v>
          </cell>
          <cell r="B493" t="str">
            <v>PRESTACION DE SERVICIOS</v>
          </cell>
          <cell r="C493" t="str">
            <v>DOLY MAYBRI TIMANA GUACAN</v>
          </cell>
          <cell r="D493" t="str">
            <v>CC</v>
          </cell>
          <cell r="E493">
            <v>1086223299</v>
          </cell>
          <cell r="F493">
            <v>6</v>
          </cell>
          <cell r="G493" t="str">
            <v xml:space="preserve">CONTRATACION DIRECTA </v>
          </cell>
          <cell r="H493">
            <v>1</v>
          </cell>
          <cell r="I49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493">
            <v>1</v>
          </cell>
          <cell r="K493" t="str">
            <v>$6.000.000</v>
          </cell>
          <cell r="L493">
            <v>45824</v>
          </cell>
          <cell r="M493">
            <v>45885</v>
          </cell>
          <cell r="N493" t="str">
            <v>DEYANIRA BADOS DAZA</v>
          </cell>
          <cell r="O493">
            <v>59836926</v>
          </cell>
          <cell r="P493" t="str">
            <v>dolytimana3@gmail.com</v>
          </cell>
          <cell r="Q493">
            <v>45824</v>
          </cell>
          <cell r="R493" t="str">
            <v>ANDRES GUERRA</v>
          </cell>
          <cell r="U493" t="str">
            <v>CELEBRADO</v>
          </cell>
          <cell r="W493" t="str">
            <v>2025-0264</v>
          </cell>
          <cell r="X493" t="str">
            <v>2025-0812</v>
          </cell>
          <cell r="AJ493">
            <v>2</v>
          </cell>
          <cell r="AK493">
            <v>0</v>
          </cell>
          <cell r="AL493">
            <v>2</v>
          </cell>
          <cell r="AM493" t="str">
            <v>$6.000.000</v>
          </cell>
        </row>
        <row r="494">
          <cell r="A494" t="str">
            <v>493-2025</v>
          </cell>
          <cell r="B494" t="str">
            <v>PRESTACION DE SERVICIOS</v>
          </cell>
          <cell r="C494" t="str">
            <v>CAMILO JAVIER OÑATE BUCHELI</v>
          </cell>
          <cell r="D494" t="str">
            <v>CC</v>
          </cell>
          <cell r="E494">
            <v>1085293105</v>
          </cell>
          <cell r="F494">
            <v>1</v>
          </cell>
          <cell r="G494" t="str">
            <v xml:space="preserve">CONTRATACION DIRECTA </v>
          </cell>
          <cell r="H494">
            <v>1</v>
          </cell>
          <cell r="I494"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94">
            <v>1</v>
          </cell>
          <cell r="K494" t="str">
            <v>$15.000.000</v>
          </cell>
          <cell r="L494">
            <v>45824</v>
          </cell>
          <cell r="M494">
            <v>45885</v>
          </cell>
          <cell r="N494" t="str">
            <v>MARY ALEXANDRA ROSERO BENAVIDES</v>
          </cell>
          <cell r="O494">
            <v>43624414</v>
          </cell>
          <cell r="P494" t="str">
            <v xml:space="preserve"> cob8332@gmail.com</v>
          </cell>
          <cell r="Q494">
            <v>45824</v>
          </cell>
          <cell r="R494" t="str">
            <v>JUAN GOMEZ</v>
          </cell>
          <cell r="U494" t="str">
            <v>CELEBRADO</v>
          </cell>
          <cell r="W494" t="str">
            <v>2025-0264</v>
          </cell>
          <cell r="X494" t="str">
            <v>2025-0813</v>
          </cell>
          <cell r="AJ494">
            <v>2</v>
          </cell>
          <cell r="AK494">
            <v>0</v>
          </cell>
          <cell r="AL494">
            <v>2</v>
          </cell>
          <cell r="AM494" t="str">
            <v>$15.000.000</v>
          </cell>
        </row>
        <row r="495">
          <cell r="A495" t="str">
            <v>494-2025</v>
          </cell>
          <cell r="B495" t="str">
            <v>PRESTACION DE SERVICIOS</v>
          </cell>
          <cell r="C495" t="str">
            <v xml:space="preserve"> NEIRA JIMENA CASTILLO ARMERO</v>
          </cell>
          <cell r="D495" t="str">
            <v>CC</v>
          </cell>
          <cell r="E495">
            <v>27146489</v>
          </cell>
          <cell r="F495">
            <v>3</v>
          </cell>
          <cell r="G495" t="str">
            <v xml:space="preserve">CONTRATACION DIRECTA </v>
          </cell>
          <cell r="H495">
            <v>1</v>
          </cell>
          <cell r="I495"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95">
            <v>1</v>
          </cell>
          <cell r="K495" t="str">
            <v>$12.000.000</v>
          </cell>
          <cell r="L495">
            <v>45824</v>
          </cell>
          <cell r="M495">
            <v>45885</v>
          </cell>
          <cell r="N495" t="str">
            <v xml:space="preserve">	RODRIGO DE JESUS VITERI MORENO</v>
          </cell>
          <cell r="O495">
            <v>98390119</v>
          </cell>
          <cell r="P495" t="str">
            <v xml:space="preserve">neiracastillo2013@gmail.com </v>
          </cell>
          <cell r="Q495">
            <v>45824</v>
          </cell>
          <cell r="R495" t="str">
            <v>CRISTINA ROSERO</v>
          </cell>
          <cell r="U495" t="str">
            <v>CELEBRADO</v>
          </cell>
          <cell r="W495" t="str">
            <v>2025-0264</v>
          </cell>
          <cell r="X495" t="str">
            <v>2025-0814</v>
          </cell>
          <cell r="AJ495">
            <v>2</v>
          </cell>
          <cell r="AK495">
            <v>0</v>
          </cell>
          <cell r="AL495">
            <v>2</v>
          </cell>
          <cell r="AM495" t="str">
            <v>$12.000.000</v>
          </cell>
        </row>
        <row r="496">
          <cell r="A496" t="str">
            <v>495-2025</v>
          </cell>
          <cell r="B496" t="str">
            <v>PRESTACION DE SERVICIOS</v>
          </cell>
          <cell r="C496" t="str">
            <v>PAOLA VIVIANA HIDALGO MARCILLO</v>
          </cell>
          <cell r="D496" t="str">
            <v>CC</v>
          </cell>
          <cell r="E496">
            <v>36954407</v>
          </cell>
          <cell r="F496">
            <v>9</v>
          </cell>
          <cell r="G496" t="str">
            <v xml:space="preserve">CONTRATACION DIRECTA </v>
          </cell>
          <cell r="H496">
            <v>1</v>
          </cell>
          <cell r="I496"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496">
            <v>1</v>
          </cell>
          <cell r="K496" t="str">
            <v>$6.000.000</v>
          </cell>
          <cell r="L496">
            <v>45824</v>
          </cell>
          <cell r="M496">
            <v>45885</v>
          </cell>
          <cell r="N496" t="str">
            <v>MARY ALEXANDRA ROSERO BENAVIDES</v>
          </cell>
          <cell r="O496">
            <v>43624414</v>
          </cell>
          <cell r="P496" t="str">
            <v>paolahidalgo2006samuel@gmail.com</v>
          </cell>
          <cell r="Q496">
            <v>45824</v>
          </cell>
          <cell r="R496" t="str">
            <v>ANDRES GUERRA</v>
          </cell>
          <cell r="U496" t="str">
            <v>CELEBRADO</v>
          </cell>
          <cell r="W496" t="str">
            <v>2025-0264</v>
          </cell>
          <cell r="X496" t="str">
            <v>2025-0815</v>
          </cell>
          <cell r="AJ496">
            <v>2</v>
          </cell>
          <cell r="AK496">
            <v>0</v>
          </cell>
          <cell r="AL496">
            <v>2</v>
          </cell>
          <cell r="AM496" t="str">
            <v>$6.000.000</v>
          </cell>
        </row>
        <row r="497">
          <cell r="A497" t="str">
            <v>496-2025</v>
          </cell>
          <cell r="B497" t="str">
            <v>PRESTACION DE SERVICIOS</v>
          </cell>
          <cell r="C497" t="str">
            <v>CLAUDIA LUCY CALVACHE MARTINEZ</v>
          </cell>
          <cell r="D497" t="str">
            <v>CC</v>
          </cell>
          <cell r="E497">
            <v>59825948</v>
          </cell>
          <cell r="F497">
            <v>2</v>
          </cell>
          <cell r="G497" t="str">
            <v xml:space="preserve">CONTRATACION DIRECTA </v>
          </cell>
          <cell r="H497">
            <v>1</v>
          </cell>
          <cell r="I497"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497">
            <v>1</v>
          </cell>
          <cell r="K497" t="str">
            <v>$12.000.000</v>
          </cell>
          <cell r="L497">
            <v>45824</v>
          </cell>
          <cell r="M497">
            <v>45885</v>
          </cell>
          <cell r="N497" t="str">
            <v>MARY ALEXANDRA ROSERO BENAVIDES</v>
          </cell>
          <cell r="O497">
            <v>43624414</v>
          </cell>
          <cell r="P497" t="str">
            <v>claudiacalvacheidsn@gmail.com</v>
          </cell>
          <cell r="Q497">
            <v>45824</v>
          </cell>
          <cell r="R497" t="str">
            <v>ELIANA BENAVIDES</v>
          </cell>
          <cell r="U497" t="str">
            <v>CELEBRADO</v>
          </cell>
          <cell r="W497" t="str">
            <v>2025-0264</v>
          </cell>
          <cell r="X497" t="str">
            <v>2025-0816</v>
          </cell>
          <cell r="AJ497">
            <v>2</v>
          </cell>
          <cell r="AK497">
            <v>0</v>
          </cell>
          <cell r="AL497">
            <v>2</v>
          </cell>
          <cell r="AM497" t="str">
            <v>$12.000.000</v>
          </cell>
        </row>
        <row r="498">
          <cell r="A498" t="str">
            <v>497-2025</v>
          </cell>
          <cell r="B498" t="str">
            <v>PRESTACION DE SERVICIOS</v>
          </cell>
          <cell r="C498" t="str">
            <v>DIANA CAROLINA ORTEGA CAICEDO</v>
          </cell>
          <cell r="D498" t="str">
            <v>CC</v>
          </cell>
          <cell r="E498">
            <v>1085286725</v>
          </cell>
          <cell r="F498">
            <v>9</v>
          </cell>
          <cell r="G498" t="str">
            <v xml:space="preserve">CONTRATACION DIRECTA </v>
          </cell>
          <cell r="H498">
            <v>1</v>
          </cell>
          <cell r="I498"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v>
          </cell>
          <cell r="J498">
            <v>1</v>
          </cell>
          <cell r="K498" t="str">
            <v>$6.000.000</v>
          </cell>
          <cell r="L498">
            <v>45825</v>
          </cell>
          <cell r="M498">
            <v>45886</v>
          </cell>
          <cell r="N498" t="str">
            <v>DEYANIRA BADOS DAZA</v>
          </cell>
          <cell r="O498">
            <v>59836926</v>
          </cell>
          <cell r="P498" t="str">
            <v>carito011190ortega @hotmail.com</v>
          </cell>
          <cell r="Q498">
            <v>45825</v>
          </cell>
          <cell r="R498" t="str">
            <v>ANDRES GUERRA</v>
          </cell>
          <cell r="U498" t="str">
            <v>CELEBRADO</v>
          </cell>
          <cell r="W498" t="str">
            <v>2025-0264</v>
          </cell>
          <cell r="X498" t="str">
            <v>2025-0818</v>
          </cell>
          <cell r="AJ498">
            <v>2</v>
          </cell>
          <cell r="AK498">
            <v>0</v>
          </cell>
          <cell r="AL498">
            <v>2</v>
          </cell>
          <cell r="AM498" t="str">
            <v>$6.000.000</v>
          </cell>
        </row>
        <row r="499">
          <cell r="A499" t="str">
            <v>498-2025</v>
          </cell>
          <cell r="B499" t="str">
            <v>PRESTACION DE SERVICIOS</v>
          </cell>
          <cell r="C499" t="str">
            <v>ANGIE GABRIELA ENRIQUEZ TACAN</v>
          </cell>
          <cell r="D499" t="str">
            <v>CC</v>
          </cell>
          <cell r="E499">
            <v>1081272025</v>
          </cell>
          <cell r="F499">
            <v>6</v>
          </cell>
          <cell r="G499" t="str">
            <v xml:space="preserve">CONTRATACION DIRECTA </v>
          </cell>
          <cell r="H499">
            <v>1</v>
          </cell>
          <cell r="I49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499">
            <v>1</v>
          </cell>
          <cell r="K499" t="str">
            <v>$6.000.000</v>
          </cell>
          <cell r="L499">
            <v>45825</v>
          </cell>
          <cell r="M499">
            <v>45886</v>
          </cell>
          <cell r="N499" t="str">
            <v>DEYANIRA BADOS DAZA</v>
          </cell>
          <cell r="O499">
            <v>59836926</v>
          </cell>
          <cell r="P499" t="str">
            <v>enriquezgabriela66@gmail.com</v>
          </cell>
          <cell r="Q499">
            <v>45825</v>
          </cell>
          <cell r="R499" t="str">
            <v>ELIANA BENAVIDES</v>
          </cell>
          <cell r="U499" t="str">
            <v>CELEBRADO</v>
          </cell>
          <cell r="W499" t="str">
            <v>2025-0264</v>
          </cell>
          <cell r="X499" t="str">
            <v>2025-0819</v>
          </cell>
          <cell r="AJ499">
            <v>2</v>
          </cell>
          <cell r="AK499">
            <v>0</v>
          </cell>
          <cell r="AL499">
            <v>2</v>
          </cell>
          <cell r="AM499" t="str">
            <v>$6.000.000</v>
          </cell>
        </row>
        <row r="500">
          <cell r="A500" t="str">
            <v>499-2025</v>
          </cell>
          <cell r="B500" t="str">
            <v>PRESTACION DE SERVICIOS</v>
          </cell>
          <cell r="C500" t="str">
            <v>ANGIE VIVIANA SACANAMBUY PAZ</v>
          </cell>
          <cell r="D500" t="str">
            <v>CC</v>
          </cell>
          <cell r="E500">
            <v>1085317833</v>
          </cell>
          <cell r="F500">
            <v>0</v>
          </cell>
          <cell r="G500" t="str">
            <v xml:space="preserve">CONTRATACION DIRECTA </v>
          </cell>
          <cell r="H500">
            <v>1</v>
          </cell>
          <cell r="I50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00">
            <v>1</v>
          </cell>
          <cell r="K500" t="str">
            <v>$6.000.000</v>
          </cell>
          <cell r="L500">
            <v>45825</v>
          </cell>
          <cell r="M500">
            <v>45886</v>
          </cell>
          <cell r="N500" t="str">
            <v>DEYANIRA BADOS DAZA</v>
          </cell>
          <cell r="O500">
            <v>59836926</v>
          </cell>
          <cell r="P500" t="str">
            <v>vivianapaz1994@gmail.com</v>
          </cell>
          <cell r="Q500">
            <v>45825</v>
          </cell>
          <cell r="R500" t="str">
            <v>ELIANA BENAVIDES</v>
          </cell>
          <cell r="U500" t="str">
            <v>CELEBRADO</v>
          </cell>
          <cell r="W500" t="str">
            <v>2025-0264</v>
          </cell>
          <cell r="X500" t="str">
            <v>2025-0820</v>
          </cell>
          <cell r="AJ500">
            <v>2</v>
          </cell>
          <cell r="AK500">
            <v>0</v>
          </cell>
          <cell r="AL500">
            <v>2</v>
          </cell>
          <cell r="AM500" t="str">
            <v>$6.000.000</v>
          </cell>
        </row>
        <row r="501">
          <cell r="A501" t="str">
            <v>500-2025</v>
          </cell>
          <cell r="B501" t="str">
            <v>PRESTACION DE SERVICIOS</v>
          </cell>
          <cell r="C501" t="str">
            <v>MIRYAM ELIZABETH POPAYAN PASCUAZA</v>
          </cell>
          <cell r="D501" t="str">
            <v>CC</v>
          </cell>
          <cell r="E501">
            <v>1087006717</v>
          </cell>
          <cell r="F501">
            <v>7</v>
          </cell>
          <cell r="G501" t="str">
            <v xml:space="preserve">CONTRATACION DIRECTA </v>
          </cell>
          <cell r="H501">
            <v>1</v>
          </cell>
          <cell r="I50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01">
            <v>1</v>
          </cell>
          <cell r="K501" t="str">
            <v>$6.000.000</v>
          </cell>
          <cell r="L501">
            <v>45825</v>
          </cell>
          <cell r="M501">
            <v>45886</v>
          </cell>
          <cell r="N501" t="str">
            <v>DEYANIRA BADOS DAZA</v>
          </cell>
          <cell r="O501">
            <v>59836926</v>
          </cell>
          <cell r="P501" t="str">
            <v>miryameliza2007@gmail.com</v>
          </cell>
          <cell r="Q501">
            <v>45825</v>
          </cell>
          <cell r="R501" t="str">
            <v>ELIANA BENAVIDES</v>
          </cell>
          <cell r="U501" t="str">
            <v>CELEBRADO</v>
          </cell>
          <cell r="W501" t="str">
            <v>2025-0264</v>
          </cell>
          <cell r="X501" t="str">
            <v>2025-0821</v>
          </cell>
          <cell r="AJ501">
            <v>2</v>
          </cell>
          <cell r="AK501">
            <v>0</v>
          </cell>
          <cell r="AL501">
            <v>2</v>
          </cell>
          <cell r="AM501" t="str">
            <v>$6.000.000</v>
          </cell>
        </row>
        <row r="502">
          <cell r="A502" t="str">
            <v>501-2025</v>
          </cell>
          <cell r="B502" t="str">
            <v>PRESTACION DE SERVICIOS</v>
          </cell>
          <cell r="C502" t="str">
            <v xml:space="preserve"> FUNDACION CALIDAD DE VIDA Y ESPERANZA - FUNDAESP</v>
          </cell>
          <cell r="D502" t="str">
            <v>NIT</v>
          </cell>
          <cell r="E502">
            <v>900994364</v>
          </cell>
          <cell r="F502">
            <v>5</v>
          </cell>
          <cell r="G502" t="str">
            <v xml:space="preserve">CONTRATACION DIRECTA </v>
          </cell>
          <cell r="H502">
            <v>2</v>
          </cell>
          <cell r="I502" t="str">
            <v>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v>
          </cell>
          <cell r="J502">
            <v>1</v>
          </cell>
          <cell r="K502" t="str">
            <v>$72.390.000</v>
          </cell>
          <cell r="L502">
            <v>45825</v>
          </cell>
          <cell r="M502">
            <v>45886</v>
          </cell>
          <cell r="N502" t="str">
            <v xml:space="preserve">	JUAN CARLOS MERA GUERRERO</v>
          </cell>
          <cell r="O502">
            <v>13016581</v>
          </cell>
          <cell r="P502" t="str">
            <v>echavezvallejo@gmail com</v>
          </cell>
          <cell r="Q502">
            <v>45825</v>
          </cell>
          <cell r="R502" t="str">
            <v>RODRIGO ROSERO</v>
          </cell>
          <cell r="U502" t="str">
            <v>CELEBRADO</v>
          </cell>
          <cell r="W502" t="str">
            <v>2025-0267</v>
          </cell>
          <cell r="X502" t="str">
            <v>2025-0822</v>
          </cell>
          <cell r="AJ502">
            <v>2</v>
          </cell>
          <cell r="AK502">
            <v>0</v>
          </cell>
          <cell r="AL502">
            <v>2</v>
          </cell>
          <cell r="AM502" t="str">
            <v>$72.390.000</v>
          </cell>
        </row>
        <row r="503">
          <cell r="A503" t="str">
            <v>502-2025</v>
          </cell>
          <cell r="B503" t="str">
            <v>PRESTACION DE SERVICIOS</v>
          </cell>
          <cell r="C503" t="str">
            <v>VANESSA KATHERINE JOJOA ARIAS</v>
          </cell>
          <cell r="D503" t="str">
            <v>CC</v>
          </cell>
          <cell r="E503">
            <v>1085286742</v>
          </cell>
          <cell r="F503">
            <v>4</v>
          </cell>
          <cell r="G503" t="str">
            <v xml:space="preserve">CONTRATACION DIRECTA </v>
          </cell>
          <cell r="H503">
            <v>1</v>
          </cell>
          <cell r="I50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03">
            <v>1</v>
          </cell>
          <cell r="K503" t="str">
            <v>$6.000.000</v>
          </cell>
          <cell r="L503">
            <v>45825</v>
          </cell>
          <cell r="M503">
            <v>45886</v>
          </cell>
          <cell r="N503" t="str">
            <v>MARY ALEXANDRA ROSERO BENAVIDES</v>
          </cell>
          <cell r="O503">
            <v>43624414</v>
          </cell>
          <cell r="P503" t="str">
            <v>vanesajojoa027@gmail.com</v>
          </cell>
          <cell r="Q503">
            <v>45825</v>
          </cell>
          <cell r="R503" t="str">
            <v>JUAN GOMEZ</v>
          </cell>
          <cell r="U503" t="str">
            <v>CELEBRADO</v>
          </cell>
          <cell r="W503" t="str">
            <v>2025-0264</v>
          </cell>
          <cell r="X503" t="str">
            <v>2025-0823</v>
          </cell>
          <cell r="AJ503">
            <v>2</v>
          </cell>
          <cell r="AK503">
            <v>0</v>
          </cell>
          <cell r="AL503">
            <v>2</v>
          </cell>
          <cell r="AM503" t="str">
            <v>$6.000.000</v>
          </cell>
        </row>
        <row r="504">
          <cell r="A504" t="str">
            <v>503-2025</v>
          </cell>
          <cell r="B504" t="str">
            <v>PRESTACION DE SERVICIOS</v>
          </cell>
          <cell r="C504" t="str">
            <v>NUVI GRACIELA CHAMORRO CORAL</v>
          </cell>
          <cell r="D504" t="str">
            <v>CC</v>
          </cell>
          <cell r="E504">
            <v>27388522</v>
          </cell>
          <cell r="F504">
            <v>7</v>
          </cell>
          <cell r="G504" t="str">
            <v xml:space="preserve">CONTRATACION DIRECTA </v>
          </cell>
          <cell r="H504">
            <v>1</v>
          </cell>
          <cell r="I50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v>
          </cell>
          <cell r="J504">
            <v>1</v>
          </cell>
          <cell r="K504" t="str">
            <v>$6.000.000</v>
          </cell>
          <cell r="L504">
            <v>45825</v>
          </cell>
          <cell r="M504">
            <v>45886</v>
          </cell>
          <cell r="N504" t="str">
            <v xml:space="preserve">	RODRIGO DE JESUS VITERI MORENO</v>
          </cell>
          <cell r="O504">
            <v>98390119</v>
          </cell>
          <cell r="P504" t="str">
            <v>nubichamorro@hotmail.com</v>
          </cell>
          <cell r="Q504">
            <v>45825</v>
          </cell>
          <cell r="R504" t="str">
            <v>RODRIGO ROSERO</v>
          </cell>
          <cell r="U504" t="str">
            <v>CELEBRADO</v>
          </cell>
          <cell r="W504" t="str">
            <v>2025-0264</v>
          </cell>
          <cell r="X504" t="str">
            <v>2025-0824</v>
          </cell>
          <cell r="AJ504">
            <v>2</v>
          </cell>
          <cell r="AK504">
            <v>0</v>
          </cell>
          <cell r="AL504">
            <v>2</v>
          </cell>
          <cell r="AM504" t="str">
            <v>$6.000.000</v>
          </cell>
        </row>
        <row r="505">
          <cell r="A505" t="str">
            <v>504-2025</v>
          </cell>
          <cell r="B505" t="str">
            <v>PRESTACION DE SERVICIOS</v>
          </cell>
          <cell r="C505" t="str">
            <v xml:space="preserve"> LADY CAROLINA TIBAQUIRA BALLESTEROS</v>
          </cell>
          <cell r="D505" t="str">
            <v>CC</v>
          </cell>
          <cell r="E505">
            <v>1014212900</v>
          </cell>
          <cell r="F505">
            <v>6</v>
          </cell>
          <cell r="G505" t="str">
            <v xml:space="preserve">CONTRATACION DIRECTA </v>
          </cell>
          <cell r="H505">
            <v>1</v>
          </cell>
          <cell r="I505" t="str">
            <v>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v>
          </cell>
          <cell r="J505">
            <v>1</v>
          </cell>
          <cell r="K505" t="str">
            <v>$12.000.000</v>
          </cell>
          <cell r="L505">
            <v>45825</v>
          </cell>
          <cell r="M505">
            <v>45886</v>
          </cell>
          <cell r="N505" t="str">
            <v xml:space="preserve">	RODRIGO DE JESUS VITERI MORENO</v>
          </cell>
          <cell r="O505">
            <v>98390119</v>
          </cell>
          <cell r="P505" t="str">
            <v>caritotb1308@hotmail.com</v>
          </cell>
          <cell r="Q505">
            <v>45825</v>
          </cell>
          <cell r="R505" t="str">
            <v>ALEXANDER YELA</v>
          </cell>
          <cell r="U505" t="str">
            <v>CELEBRADO</v>
          </cell>
          <cell r="W505" t="str">
            <v>2025-0264</v>
          </cell>
          <cell r="X505" t="str">
            <v>2025-0825</v>
          </cell>
          <cell r="AJ505">
            <v>2</v>
          </cell>
          <cell r="AK505">
            <v>0</v>
          </cell>
          <cell r="AL505">
            <v>2</v>
          </cell>
          <cell r="AM505" t="str">
            <v>$12.000.000</v>
          </cell>
        </row>
        <row r="506">
          <cell r="A506" t="str">
            <v>505-2025</v>
          </cell>
          <cell r="B506" t="str">
            <v>SUMINISTROS</v>
          </cell>
          <cell r="C506" t="str">
            <v>FUERTES MEJIA
MEDICAMENTOS Y DISPOSITIVOS MEDICOS S.A.S.</v>
          </cell>
          <cell r="D506" t="str">
            <v>NIT</v>
          </cell>
          <cell r="E506">
            <v>901565478</v>
          </cell>
          <cell r="F506">
            <v>1</v>
          </cell>
          <cell r="G506" t="str">
            <v xml:space="preserve">CONTRATACION DIRECTA </v>
          </cell>
          <cell r="H506">
            <v>2</v>
          </cell>
          <cell r="I506" t="str">
            <v>El contratista se obliga al suministro del material médico quirúrgico en las cantidades establecidas en el anexo 1, el cual hace parte integral del contrato.
Para la ESE Pasto Salud.</v>
          </cell>
          <cell r="J506">
            <v>3</v>
          </cell>
          <cell r="K506" t="str">
            <v>$2.580.768</v>
          </cell>
          <cell r="L506">
            <v>45825</v>
          </cell>
          <cell r="M506">
            <v>45869</v>
          </cell>
          <cell r="N506" t="str">
            <v>NENA DEL CARMEN RAMIREZ RAMIREZ</v>
          </cell>
          <cell r="O506">
            <v>30732589</v>
          </cell>
          <cell r="P506" t="str">
            <v xml:space="preserve"> contabilidad@fuertesmejia.com.co</v>
          </cell>
          <cell r="Q506">
            <v>45825</v>
          </cell>
          <cell r="R506" t="str">
            <v>ALEXANDER YELA</v>
          </cell>
          <cell r="U506" t="str">
            <v>CELEBRADO</v>
          </cell>
          <cell r="W506" t="str">
            <v>2025-0222</v>
          </cell>
          <cell r="X506" t="str">
            <v>2025-0826</v>
          </cell>
          <cell r="AJ506">
            <v>2</v>
          </cell>
          <cell r="AK506">
            <v>0</v>
          </cell>
          <cell r="AL506">
            <v>2</v>
          </cell>
          <cell r="AM506" t="str">
            <v>$2.580.768</v>
          </cell>
        </row>
        <row r="507">
          <cell r="A507" t="str">
            <v>506-2025</v>
          </cell>
          <cell r="B507" t="str">
            <v>SUMINISTROS</v>
          </cell>
          <cell r="C507" t="str">
            <v>HOSPITECNICA S.A.S</v>
          </cell>
          <cell r="D507" t="str">
            <v>NIT</v>
          </cell>
          <cell r="E507">
            <v>830131869</v>
          </cell>
          <cell r="F507">
            <v>6</v>
          </cell>
          <cell r="G507" t="str">
            <v xml:space="preserve">CONTRATACION DIRECTA </v>
          </cell>
          <cell r="H507">
            <v>2</v>
          </cell>
          <cell r="I507" t="str">
            <v>El contratista se obliga al suministro del material médico quirúrgico en las cantidades establecidas en el anexo 1, el cual hace parte integral del contrato. Para la ESE Pasto Salud</v>
          </cell>
          <cell r="J507">
            <v>3</v>
          </cell>
          <cell r="K507" t="str">
            <v>$3.085.015,50</v>
          </cell>
          <cell r="L507">
            <v>45825</v>
          </cell>
          <cell r="M507">
            <v>45869</v>
          </cell>
          <cell r="N507" t="str">
            <v>NENA DEL CARMEN RAMIREZ RAMIREZ</v>
          </cell>
          <cell r="O507">
            <v>30732589</v>
          </cell>
          <cell r="P507" t="str">
            <v xml:space="preserve"> gerencia@hospitecnica.com.co</v>
          </cell>
          <cell r="Q507">
            <v>45825</v>
          </cell>
          <cell r="R507" t="str">
            <v>CRISTINA ROSERO</v>
          </cell>
          <cell r="U507" t="str">
            <v>CELEBRADO</v>
          </cell>
          <cell r="W507" t="str">
            <v>2025-0222</v>
          </cell>
          <cell r="X507" t="str">
            <v>2025-0827</v>
          </cell>
          <cell r="AJ507">
            <v>2</v>
          </cell>
          <cell r="AK507">
            <v>0</v>
          </cell>
          <cell r="AL507">
            <v>2</v>
          </cell>
          <cell r="AM507" t="str">
            <v>$3.085.015,50</v>
          </cell>
        </row>
        <row r="508">
          <cell r="A508" t="str">
            <v>507-2025</v>
          </cell>
          <cell r="B508" t="str">
            <v>PRESTACION DE SERVICIOS</v>
          </cell>
          <cell r="C508" t="str">
            <v>ANYI NATALY FARINANGO CHAVEZ</v>
          </cell>
          <cell r="D508" t="str">
            <v>CC</v>
          </cell>
          <cell r="E508">
            <v>1081594639</v>
          </cell>
          <cell r="F508">
            <v>1</v>
          </cell>
          <cell r="G508" t="str">
            <v xml:space="preserve">CONTRATACION DIRECTA </v>
          </cell>
          <cell r="H508">
            <v>1</v>
          </cell>
          <cell r="I508"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v>
          </cell>
          <cell r="J508">
            <v>1</v>
          </cell>
          <cell r="K508" t="str">
            <v>$6.000.000</v>
          </cell>
          <cell r="L508">
            <v>45825</v>
          </cell>
          <cell r="M508">
            <v>45886</v>
          </cell>
          <cell r="N508" t="str">
            <v xml:space="preserve">	RODRIGO DE JESUS VITERI MORENO</v>
          </cell>
          <cell r="O508">
            <v>98390119</v>
          </cell>
          <cell r="P508" t="str">
            <v xml:space="preserve"> natalyfarinango778@gmail.com</v>
          </cell>
          <cell r="Q508">
            <v>45825</v>
          </cell>
          <cell r="R508" t="str">
            <v>ELIANA BENAVIDES</v>
          </cell>
          <cell r="U508" t="str">
            <v>CELEBRADO</v>
          </cell>
          <cell r="W508" t="str">
            <v>2025-0264</v>
          </cell>
          <cell r="X508" t="str">
            <v>2025-0828</v>
          </cell>
          <cell r="AJ508">
            <v>2</v>
          </cell>
          <cell r="AK508">
            <v>0</v>
          </cell>
          <cell r="AL508">
            <v>2</v>
          </cell>
          <cell r="AM508" t="str">
            <v>$6.000.000</v>
          </cell>
        </row>
        <row r="509">
          <cell r="A509" t="str">
            <v>508-2025</v>
          </cell>
          <cell r="B509" t="str">
            <v>PRESTACION DE SERVICIOS</v>
          </cell>
          <cell r="C509" t="str">
            <v xml:space="preserve"> SYSNET S.A.S</v>
          </cell>
          <cell r="D509" t="str">
            <v>NIT</v>
          </cell>
          <cell r="E509">
            <v>806004974</v>
          </cell>
          <cell r="F509">
            <v>0</v>
          </cell>
          <cell r="G509" t="str">
            <v xml:space="preserve">CONTRATACION DIRECTA </v>
          </cell>
          <cell r="H509">
            <v>2</v>
          </cell>
          <cell r="I509" t="str">
            <v xml:space="preserve">Prestación del servicio de mantenimiento preventivo y correctivo (tanto funcionales como técnicas) de los registros clínicos y administrativos en los módulos del Sistema de Información en Salud (SIOS) para la Empresa Social del Estado Pasto Salud E.S.E </v>
          </cell>
          <cell r="J509">
            <v>1</v>
          </cell>
          <cell r="K509" t="str">
            <v>$36.594.000</v>
          </cell>
          <cell r="L509">
            <v>45825</v>
          </cell>
          <cell r="M509">
            <v>46022</v>
          </cell>
          <cell r="N509" t="str">
            <v xml:space="preserve">	IVAN RODRIGO IBARRA MUÑOZ</v>
          </cell>
          <cell r="O509">
            <v>87248313</v>
          </cell>
          <cell r="P509" t="str">
            <v xml:space="preserve"> financiera@sysnet.com.co</v>
          </cell>
          <cell r="Q509">
            <v>45825</v>
          </cell>
          <cell r="R509" t="str">
            <v>JUAN GOMEZ</v>
          </cell>
          <cell r="U509" t="str">
            <v>CELEBRADO</v>
          </cell>
          <cell r="W509" t="str">
            <v>2025-0256</v>
          </cell>
          <cell r="X509" t="str">
            <v>2025-0829</v>
          </cell>
          <cell r="AJ509">
            <v>2</v>
          </cell>
          <cell r="AK509">
            <v>0</v>
          </cell>
          <cell r="AL509">
            <v>2</v>
          </cell>
          <cell r="AM509" t="str">
            <v>$36.594.000</v>
          </cell>
        </row>
        <row r="510">
          <cell r="A510" t="str">
            <v>509-2025</v>
          </cell>
          <cell r="B510" t="str">
            <v>PRESTACION DE SERVICIOS</v>
          </cell>
          <cell r="C510" t="str">
            <v>CLARA MARIA ACOSTA</v>
          </cell>
          <cell r="D510" t="str">
            <v>CC</v>
          </cell>
          <cell r="E510">
            <v>1085269530</v>
          </cell>
          <cell r="F510">
            <v>8</v>
          </cell>
          <cell r="G510" t="str">
            <v xml:space="preserve">CONTRATACION DIRECTA </v>
          </cell>
          <cell r="H510">
            <v>1</v>
          </cell>
          <cell r="I510" t="str">
            <v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v>
          </cell>
          <cell r="J510">
            <v>1</v>
          </cell>
          <cell r="K510" t="str">
            <v>$9.650.000</v>
          </cell>
          <cell r="L510">
            <v>45825</v>
          </cell>
          <cell r="M510">
            <v>45886</v>
          </cell>
          <cell r="N510" t="str">
            <v>RIGOBERTO MELO ZAMBRANO</v>
          </cell>
          <cell r="O510">
            <v>98333941</v>
          </cell>
          <cell r="P510" t="str">
            <v>clara m02@hotmail.com</v>
          </cell>
          <cell r="Q510">
            <v>45825</v>
          </cell>
          <cell r="R510" t="str">
            <v>JUAN GOMEZ</v>
          </cell>
          <cell r="U510" t="str">
            <v>CELEBRADO</v>
          </cell>
          <cell r="W510" t="str">
            <v>2025-0264</v>
          </cell>
          <cell r="X510" t="str">
            <v>2025-0830</v>
          </cell>
          <cell r="AJ510">
            <v>2</v>
          </cell>
          <cell r="AK510">
            <v>0</v>
          </cell>
          <cell r="AL510">
            <v>2</v>
          </cell>
          <cell r="AM510" t="str">
            <v>$9.650.000</v>
          </cell>
        </row>
        <row r="511">
          <cell r="A511" t="str">
            <v>510-2025</v>
          </cell>
          <cell r="B511" t="str">
            <v>PRESTACION DE SERVICIOS</v>
          </cell>
          <cell r="C511" t="str">
            <v>PAULA ANDREA PRADO ACOSTA</v>
          </cell>
          <cell r="D511" t="str">
            <v>CC</v>
          </cell>
          <cell r="E511">
            <v>1086222689</v>
          </cell>
          <cell r="F511">
            <v>0</v>
          </cell>
          <cell r="G511" t="str">
            <v xml:space="preserve">CONTRATACION DIRECTA </v>
          </cell>
          <cell r="H511">
            <v>1</v>
          </cell>
          <cell r="I51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511">
            <v>1</v>
          </cell>
          <cell r="K511" t="str">
            <v>$6.000.000</v>
          </cell>
          <cell r="L511">
            <v>45825</v>
          </cell>
          <cell r="M511">
            <v>45886</v>
          </cell>
          <cell r="N511" t="str">
            <v xml:space="preserve">	RODRIGO DE JESUS VITERI MORENO</v>
          </cell>
          <cell r="O511">
            <v>98390119</v>
          </cell>
          <cell r="P511" t="str">
            <v>andreapradoacosta23@gmail.com</v>
          </cell>
          <cell r="Q511">
            <v>45825</v>
          </cell>
          <cell r="R511" t="str">
            <v>ANDRES GUERRA</v>
          </cell>
          <cell r="U511" t="str">
            <v>CELEBRADO</v>
          </cell>
          <cell r="W511" t="str">
            <v>2025-0264</v>
          </cell>
          <cell r="X511" t="str">
            <v>2025-0831</v>
          </cell>
          <cell r="AJ511">
            <v>2</v>
          </cell>
          <cell r="AK511">
            <v>0</v>
          </cell>
          <cell r="AL511">
            <v>2</v>
          </cell>
          <cell r="AM511" t="str">
            <v>$6.000.000</v>
          </cell>
        </row>
        <row r="512">
          <cell r="A512" t="str">
            <v>511-2025</v>
          </cell>
          <cell r="B512" t="str">
            <v>PRESTACION DE SERVICIOS</v>
          </cell>
          <cell r="C512" t="str">
            <v>EDGAR ALBERTO RAMIREZ LOPEZ</v>
          </cell>
          <cell r="D512" t="str">
            <v>CC</v>
          </cell>
          <cell r="E512">
            <v>98386323</v>
          </cell>
          <cell r="F512">
            <v>7</v>
          </cell>
          <cell r="G512" t="str">
            <v xml:space="preserve">CONTRATACION DIRECTA </v>
          </cell>
          <cell r="H512">
            <v>1</v>
          </cell>
          <cell r="I512"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12">
            <v>1</v>
          </cell>
          <cell r="K512" t="str">
            <v>$5.000.000</v>
          </cell>
          <cell r="L512">
            <v>45825</v>
          </cell>
          <cell r="M512">
            <v>45886</v>
          </cell>
          <cell r="N512" t="str">
            <v>RIGOBERTO MELO ZAMBRANO</v>
          </cell>
          <cell r="O512">
            <v>98333941</v>
          </cell>
          <cell r="P512" t="str">
            <v>ramlop0925@hotmail.com</v>
          </cell>
          <cell r="Q512">
            <v>45825</v>
          </cell>
          <cell r="R512" t="str">
            <v>RODRIGO ROSERO</v>
          </cell>
          <cell r="U512" t="str">
            <v>CELEBRADO</v>
          </cell>
          <cell r="W512" t="str">
            <v>2025-0264</v>
          </cell>
          <cell r="X512" t="str">
            <v>2025-0832</v>
          </cell>
          <cell r="AJ512">
            <v>2</v>
          </cell>
          <cell r="AK512">
            <v>0</v>
          </cell>
          <cell r="AL512">
            <v>2</v>
          </cell>
          <cell r="AM512" t="str">
            <v>$5.000.000</v>
          </cell>
        </row>
        <row r="513">
          <cell r="A513" t="str">
            <v>512-2025</v>
          </cell>
          <cell r="B513" t="str">
            <v>COMPRAVENTA</v>
          </cell>
          <cell r="C513" t="str">
            <v>COMERCIALIZADORA VALANTY SAS.</v>
          </cell>
          <cell r="D513" t="str">
            <v>NIT</v>
          </cell>
          <cell r="E513">
            <v>900791264</v>
          </cell>
          <cell r="F513">
            <v>5</v>
          </cell>
          <cell r="G513" t="str">
            <v xml:space="preserve">CONTRATACION DIRECTA </v>
          </cell>
          <cell r="H513">
            <v>2</v>
          </cell>
          <cell r="I513" t="str">
            <v xml:space="preserve"> Compra venta de elementos categorizados en la línea de consumo "Materiales y suministros" de acuerdo a las necesidades identificadas para dotar las 23 Sedes de la Empresa Social del Estado Pasto Salud ESE</v>
          </cell>
          <cell r="J513">
            <v>1</v>
          </cell>
          <cell r="K513" t="str">
            <v xml:space="preserve">$7.556.670,17
</v>
          </cell>
          <cell r="L513">
            <v>45825</v>
          </cell>
          <cell r="M513">
            <v>45849</v>
          </cell>
          <cell r="N513" t="str">
            <v xml:space="preserve">	STEFANYA RAMIREZ LOPERA</v>
          </cell>
          <cell r="O513">
            <v>111247705</v>
          </cell>
          <cell r="P513" t="str">
            <v xml:space="preserve"> valantysas@hotmail.com</v>
          </cell>
          <cell r="Q513">
            <v>45825</v>
          </cell>
          <cell r="R513" t="str">
            <v>JUAN GOMEZ</v>
          </cell>
          <cell r="U513" t="str">
            <v>CELEBRADO</v>
          </cell>
          <cell r="W513" t="str">
            <v>2025-0260</v>
          </cell>
          <cell r="X513" t="str">
            <v>2025-0833</v>
          </cell>
          <cell r="AJ513">
            <v>2</v>
          </cell>
          <cell r="AK513">
            <v>0</v>
          </cell>
          <cell r="AL513">
            <v>4</v>
          </cell>
          <cell r="AM513" t="str">
            <v xml:space="preserve">$7.556.670,17
</v>
          </cell>
        </row>
        <row r="514">
          <cell r="A514" t="str">
            <v>513-2025</v>
          </cell>
          <cell r="B514" t="str">
            <v>PRESTACION DE SERVICIOS</v>
          </cell>
          <cell r="C514" t="str">
            <v>PATRICIA YOLANDA PAZ DELGADO</v>
          </cell>
          <cell r="D514" t="str">
            <v>CC</v>
          </cell>
          <cell r="E514">
            <v>59834953</v>
          </cell>
          <cell r="F514">
            <v>8</v>
          </cell>
          <cell r="G514" t="str">
            <v xml:space="preserve">CONTRATACION DIRECTA </v>
          </cell>
          <cell r="H514">
            <v>1</v>
          </cell>
          <cell r="I51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514">
            <v>1</v>
          </cell>
          <cell r="K514" t="str">
            <v>$6.000.000</v>
          </cell>
          <cell r="L514">
            <v>45825</v>
          </cell>
          <cell r="M514">
            <v>45886</v>
          </cell>
          <cell r="N514" t="str">
            <v>MARY ALEXANDRA ROSERO BENAVIDES</v>
          </cell>
          <cell r="O514">
            <v>43624414</v>
          </cell>
          <cell r="P514" t="str">
            <v>pypaz3127266560@gmail.com</v>
          </cell>
          <cell r="Q514">
            <v>45825</v>
          </cell>
          <cell r="R514" t="str">
            <v>ANDRES GUERRA</v>
          </cell>
          <cell r="U514" t="str">
            <v>CELEBRADO</v>
          </cell>
          <cell r="W514" t="str">
            <v>2025-0264</v>
          </cell>
          <cell r="X514" t="str">
            <v>2025-0834</v>
          </cell>
          <cell r="AJ514">
            <v>2</v>
          </cell>
          <cell r="AK514">
            <v>0</v>
          </cell>
          <cell r="AL514">
            <v>2</v>
          </cell>
          <cell r="AM514" t="str">
            <v>$6.000.000</v>
          </cell>
        </row>
        <row r="515">
          <cell r="A515" t="str">
            <v>514-2025</v>
          </cell>
          <cell r="B515" t="str">
            <v>PRESTACION DE SERVICIOS</v>
          </cell>
          <cell r="C515" t="str">
            <v>KELLY YURANY JOJOA BOTINA</v>
          </cell>
          <cell r="D515" t="str">
            <v>CC</v>
          </cell>
          <cell r="E515">
            <v>1085339190</v>
          </cell>
          <cell r="F515">
            <v>8</v>
          </cell>
          <cell r="G515" t="str">
            <v xml:space="preserve">CONTRATACION DIRECTA </v>
          </cell>
          <cell r="H515">
            <v>1</v>
          </cell>
          <cell r="I51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15">
            <v>1</v>
          </cell>
          <cell r="K515" t="str">
            <v>$6.000.000</v>
          </cell>
          <cell r="L515">
            <v>45825</v>
          </cell>
          <cell r="M515">
            <v>45886</v>
          </cell>
          <cell r="N515" t="str">
            <v>DEYANIRA BADOS DAZA</v>
          </cell>
          <cell r="O515">
            <v>59836926</v>
          </cell>
          <cell r="P515" t="str">
            <v>kellyjojoa1998@gmail.com</v>
          </cell>
          <cell r="Q515">
            <v>45825</v>
          </cell>
          <cell r="R515" t="str">
            <v>ELIANA BENAVIDES</v>
          </cell>
          <cell r="U515" t="str">
            <v>CELEBRADO</v>
          </cell>
          <cell r="W515" t="str">
            <v>2025-0264</v>
          </cell>
          <cell r="X515" t="str">
            <v>2025-0835</v>
          </cell>
          <cell r="AJ515">
            <v>2</v>
          </cell>
          <cell r="AK515">
            <v>0</v>
          </cell>
          <cell r="AL515">
            <v>2</v>
          </cell>
          <cell r="AM515" t="str">
            <v>$6.000.000</v>
          </cell>
        </row>
        <row r="516">
          <cell r="A516" t="str">
            <v>515-2025</v>
          </cell>
          <cell r="B516" t="str">
            <v>PRESTACION DE SERVICIOS</v>
          </cell>
          <cell r="C516" t="str">
            <v>VERONICA SOFIA HUERTAS ARCINIEGAS</v>
          </cell>
          <cell r="D516" t="str">
            <v>CC</v>
          </cell>
          <cell r="E516">
            <v>1193202097</v>
          </cell>
          <cell r="F516">
            <v>3</v>
          </cell>
          <cell r="G516" t="str">
            <v xml:space="preserve">CONTRATACION DIRECTA </v>
          </cell>
          <cell r="H516">
            <v>1</v>
          </cell>
          <cell r="I516"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16">
            <v>1</v>
          </cell>
          <cell r="K516" t="str">
            <v>$15.000.000</v>
          </cell>
          <cell r="L516">
            <v>45826</v>
          </cell>
          <cell r="M516">
            <v>45887</v>
          </cell>
          <cell r="N516" t="str">
            <v>DEYANIRA BADOS DAZA</v>
          </cell>
          <cell r="O516">
            <v>59836926</v>
          </cell>
          <cell r="P516" t="str">
            <v xml:space="preserve"> veronicaahs01@gmail.com</v>
          </cell>
          <cell r="Q516">
            <v>45826</v>
          </cell>
          <cell r="R516" t="str">
            <v>JUAN GOMEZ</v>
          </cell>
          <cell r="U516" t="str">
            <v>CELEBRADO</v>
          </cell>
          <cell r="W516" t="str">
            <v>2025-0264</v>
          </cell>
          <cell r="X516" t="str">
            <v>2025-0840</v>
          </cell>
          <cell r="AJ516">
            <v>2</v>
          </cell>
          <cell r="AK516">
            <v>0</v>
          </cell>
          <cell r="AL516">
            <v>2</v>
          </cell>
          <cell r="AM516" t="str">
            <v>$15.000.000</v>
          </cell>
        </row>
        <row r="517">
          <cell r="A517" t="str">
            <v>516-2025</v>
          </cell>
          <cell r="B517" t="str">
            <v>PRESTACION DE SERVICIOS</v>
          </cell>
          <cell r="C517" t="str">
            <v>JAQUELINE CAMILA GENOY VILLOTA</v>
          </cell>
          <cell r="D517" t="str">
            <v>CC</v>
          </cell>
          <cell r="E517">
            <v>1010082397</v>
          </cell>
          <cell r="F517">
            <v>7</v>
          </cell>
          <cell r="G517" t="str">
            <v xml:space="preserve">CONTRATACION DIRECTA </v>
          </cell>
          <cell r="H517">
            <v>1</v>
          </cell>
          <cell r="I51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517">
            <v>1</v>
          </cell>
          <cell r="K517" t="str">
            <v>$6.000.000</v>
          </cell>
          <cell r="L517">
            <v>45826</v>
          </cell>
          <cell r="M517">
            <v>45887</v>
          </cell>
          <cell r="N517" t="str">
            <v>MARY ALEXANDRA ROSERO BENAVIDES</v>
          </cell>
          <cell r="O517">
            <v>43624414</v>
          </cell>
          <cell r="P517" t="str">
            <v>camilavillota1612@qmail.com</v>
          </cell>
          <cell r="Q517">
            <v>45826</v>
          </cell>
          <cell r="R517" t="str">
            <v>ANDRES GUERRA</v>
          </cell>
          <cell r="U517" t="str">
            <v>CELEBRADO</v>
          </cell>
          <cell r="W517" t="str">
            <v>2025-0264</v>
          </cell>
          <cell r="X517" t="str">
            <v>2025-0841</v>
          </cell>
          <cell r="AJ517">
            <v>2</v>
          </cell>
          <cell r="AK517">
            <v>0</v>
          </cell>
          <cell r="AL517">
            <v>2</v>
          </cell>
          <cell r="AM517" t="str">
            <v>$6.000.000</v>
          </cell>
        </row>
        <row r="518">
          <cell r="A518" t="str">
            <v>517-2025</v>
          </cell>
          <cell r="B518" t="str">
            <v>PRESTACION DE SERVICIOS</v>
          </cell>
          <cell r="C518" t="str">
            <v>JOSE JAVIER PINTA YAQUENO</v>
          </cell>
          <cell r="D518" t="str">
            <v>CC</v>
          </cell>
          <cell r="E518">
            <v>98382500</v>
          </cell>
          <cell r="F518">
            <v>6</v>
          </cell>
          <cell r="G518" t="str">
            <v xml:space="preserve">CONTRATACION DIRECTA </v>
          </cell>
          <cell r="H518">
            <v>1</v>
          </cell>
          <cell r="I51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518">
            <v>1</v>
          </cell>
          <cell r="K518" t="str">
            <v>$6.000.000</v>
          </cell>
          <cell r="L518">
            <v>45826</v>
          </cell>
          <cell r="M518">
            <v>45887</v>
          </cell>
          <cell r="N518" t="str">
            <v>MARY ALEXANDRA ROSERO BENAVIDES</v>
          </cell>
          <cell r="O518">
            <v>43624414</v>
          </cell>
          <cell r="P518" t="str">
            <v xml:space="preserve"> josejavierpinta@gmail.com </v>
          </cell>
          <cell r="Q518">
            <v>45826</v>
          </cell>
          <cell r="R518" t="str">
            <v>ANDRES GUERRA</v>
          </cell>
          <cell r="U518" t="str">
            <v>CELEBRADO</v>
          </cell>
          <cell r="W518" t="str">
            <v>2025-0264</v>
          </cell>
          <cell r="X518" t="str">
            <v>2025-0842</v>
          </cell>
          <cell r="AJ518">
            <v>2</v>
          </cell>
          <cell r="AK518">
            <v>0</v>
          </cell>
          <cell r="AL518">
            <v>2</v>
          </cell>
          <cell r="AM518" t="str">
            <v>$6.00.000</v>
          </cell>
        </row>
        <row r="519">
          <cell r="A519" t="str">
            <v>518-2025</v>
          </cell>
          <cell r="B519" t="str">
            <v>PRESTACION DE SERVICIOS</v>
          </cell>
          <cell r="C519" t="str">
            <v xml:space="preserve"> KAROL DAYANA TONGUINO TORO</v>
          </cell>
          <cell r="D519" t="str">
            <v>CC</v>
          </cell>
          <cell r="E519">
            <v>1137624011</v>
          </cell>
          <cell r="F519">
            <v>8</v>
          </cell>
          <cell r="G519" t="str">
            <v xml:space="preserve">CONTRATACION DIRECTA </v>
          </cell>
          <cell r="H519">
            <v>1</v>
          </cell>
          <cell r="I519" t="str">
            <v>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19">
            <v>1</v>
          </cell>
          <cell r="K519" t="str">
            <v>$6.000.000</v>
          </cell>
          <cell r="L519">
            <v>45826</v>
          </cell>
          <cell r="M519">
            <v>45887</v>
          </cell>
          <cell r="N519" t="str">
            <v>DEYANIRA BADOS DAZA</v>
          </cell>
          <cell r="O519">
            <v>59836926</v>
          </cell>
          <cell r="P519" t="str">
            <v>dtonguino7@gmail.com</v>
          </cell>
          <cell r="Q519">
            <v>45826</v>
          </cell>
          <cell r="R519" t="str">
            <v>ALEXANDER YELA</v>
          </cell>
          <cell r="U519" t="str">
            <v>CELEBRADO</v>
          </cell>
          <cell r="W519" t="str">
            <v>2025-0264</v>
          </cell>
          <cell r="X519" t="str">
            <v>2025-0843</v>
          </cell>
          <cell r="AJ519">
            <v>2</v>
          </cell>
          <cell r="AK519">
            <v>0</v>
          </cell>
          <cell r="AL519">
            <v>2</v>
          </cell>
          <cell r="AM519" t="str">
            <v>$6.000.000</v>
          </cell>
        </row>
        <row r="520">
          <cell r="A520" t="str">
            <v>519-2025</v>
          </cell>
          <cell r="B520" t="str">
            <v>SUMINISTROS</v>
          </cell>
          <cell r="C520" t="str">
            <v>DISFARMA GC S.A.S.</v>
          </cell>
          <cell r="D520" t="str">
            <v>NIT</v>
          </cell>
          <cell r="E520">
            <v>900580962</v>
          </cell>
          <cell r="F520">
            <v>2</v>
          </cell>
          <cell r="G520" t="str">
            <v>BIONEXO</v>
          </cell>
          <cell r="H520">
            <v>2</v>
          </cell>
          <cell r="I520" t="str">
            <v>El contratista se obliga al suministro del material médico quirúrgico en las cantidades establecidas en el anexо 1. el cual hace parte integral del contrato. Para la ESE Pasto Salud.</v>
          </cell>
          <cell r="J520">
            <v>1</v>
          </cell>
          <cell r="K520" t="str">
            <v>$34.252.310</v>
          </cell>
          <cell r="L520">
            <v>45826</v>
          </cell>
          <cell r="M520">
            <v>45838</v>
          </cell>
          <cell r="N520" t="str">
            <v>NENA DEL CARMEN RAMIREZ RAMIREZ</v>
          </cell>
          <cell r="O520">
            <v>30732589</v>
          </cell>
          <cell r="P520" t="str">
            <v xml:space="preserve"> notificaciones.judiciales@disfarma.com.co</v>
          </cell>
          <cell r="Q520">
            <v>45826</v>
          </cell>
          <cell r="R520" t="str">
            <v>CRISTINA ROSERO</v>
          </cell>
          <cell r="U520" t="str">
            <v>CELEBRADO</v>
          </cell>
          <cell r="W520" t="str">
            <v>2025-0251</v>
          </cell>
          <cell r="X520" t="str">
            <v>2025-0844</v>
          </cell>
          <cell r="AJ520">
            <v>2</v>
          </cell>
          <cell r="AK520">
            <v>0</v>
          </cell>
          <cell r="AL520">
            <v>3</v>
          </cell>
          <cell r="AM520" t="str">
            <v>$34.252.310</v>
          </cell>
        </row>
        <row r="521">
          <cell r="A521" t="str">
            <v>520-2025</v>
          </cell>
          <cell r="B521" t="str">
            <v>PRESTACION DE SERVICIOS</v>
          </cell>
          <cell r="C521" t="str">
            <v>NATALIA ANDREA LATORRE RUANO</v>
          </cell>
          <cell r="D521" t="str">
            <v>CC</v>
          </cell>
          <cell r="E521">
            <v>36953206</v>
          </cell>
          <cell r="F521">
            <v>0</v>
          </cell>
          <cell r="G521" t="str">
            <v xml:space="preserve">CONTRATACION DIRECTA </v>
          </cell>
          <cell r="H521">
            <v>1</v>
          </cell>
          <cell r="I521"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21">
            <v>1</v>
          </cell>
          <cell r="K521" t="str">
            <v>$9.500.000</v>
          </cell>
          <cell r="L521">
            <v>45826</v>
          </cell>
          <cell r="M521">
            <v>45887</v>
          </cell>
          <cell r="N521" t="str">
            <v>MARY ALEXANDRA ROSERO BENAVIDES</v>
          </cell>
          <cell r="O521">
            <v>43624414</v>
          </cell>
          <cell r="P521" t="str">
            <v xml:space="preserve"> natalat7@hotmail.com</v>
          </cell>
          <cell r="Q521">
            <v>45826</v>
          </cell>
          <cell r="R521" t="str">
            <v>ELIANA BENAVIDES</v>
          </cell>
          <cell r="U521" t="str">
            <v>CELEBRADO</v>
          </cell>
          <cell r="W521" t="str">
            <v>2025-0264</v>
          </cell>
          <cell r="X521" t="str">
            <v>2025-0845</v>
          </cell>
          <cell r="AJ521">
            <v>2</v>
          </cell>
          <cell r="AK521">
            <v>0</v>
          </cell>
          <cell r="AL521">
            <v>2</v>
          </cell>
          <cell r="AM521" t="str">
            <v>$9.500.000</v>
          </cell>
        </row>
        <row r="522">
          <cell r="A522" t="str">
            <v>521-2025</v>
          </cell>
          <cell r="B522" t="str">
            <v>PRESTACION DE SERVICIOS</v>
          </cell>
          <cell r="C522" t="str">
            <v>ALBA DENIS ARGOTY SANTACRUZ</v>
          </cell>
          <cell r="D522" t="str">
            <v>CC</v>
          </cell>
          <cell r="E522">
            <v>59837608</v>
          </cell>
          <cell r="F522">
            <v>5</v>
          </cell>
          <cell r="G522" t="str">
            <v xml:space="preserve">CONTRATACION DIRECTA </v>
          </cell>
          <cell r="H522">
            <v>1</v>
          </cell>
          <cell r="I522"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22">
            <v>1</v>
          </cell>
          <cell r="K522" t="str">
            <v>$12.000.000</v>
          </cell>
          <cell r="L522">
            <v>45826</v>
          </cell>
          <cell r="M522">
            <v>45887</v>
          </cell>
          <cell r="N522" t="str">
            <v>RIGOBERTO MELO ZAMBRANO</v>
          </cell>
          <cell r="O522">
            <v>98333941</v>
          </cell>
          <cell r="P522" t="str">
            <v>dennisa1977@hotmail.com</v>
          </cell>
          <cell r="Q522">
            <v>45826</v>
          </cell>
          <cell r="R522" t="str">
            <v>JUAN GOMEZ</v>
          </cell>
          <cell r="U522" t="str">
            <v>CELEBRADO</v>
          </cell>
          <cell r="W522" t="str">
            <v>2025-0264</v>
          </cell>
          <cell r="X522" t="str">
            <v>2025-0846</v>
          </cell>
          <cell r="AJ522">
            <v>2</v>
          </cell>
          <cell r="AK522">
            <v>0</v>
          </cell>
          <cell r="AL522">
            <v>2</v>
          </cell>
          <cell r="AM522" t="str">
            <v>$12.000.000</v>
          </cell>
        </row>
        <row r="523">
          <cell r="A523" t="str">
            <v>522-2025</v>
          </cell>
          <cell r="B523" t="str">
            <v>PRESTACION DE SERVICIOS</v>
          </cell>
          <cell r="C523" t="str">
            <v xml:space="preserve"> CARLOS ANDRES PANTOJA BENAVIDES</v>
          </cell>
          <cell r="D523" t="str">
            <v>CC</v>
          </cell>
          <cell r="E523">
            <v>1088729401</v>
          </cell>
          <cell r="F523">
            <v>1</v>
          </cell>
          <cell r="G523" t="str">
            <v xml:space="preserve">CONTRATACION DIRECTA </v>
          </cell>
          <cell r="H523">
            <v>1</v>
          </cell>
          <cell r="I523"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23">
            <v>1</v>
          </cell>
          <cell r="K523" t="str">
            <v>$5.000.000</v>
          </cell>
          <cell r="L523">
            <v>45827</v>
          </cell>
          <cell r="M523">
            <v>45888</v>
          </cell>
          <cell r="N523" t="str">
            <v>RIGOBERTO MELO ZAMBRANO</v>
          </cell>
          <cell r="O523">
            <v>98333941</v>
          </cell>
          <cell r="P523" t="str">
            <v xml:space="preserve"> pantoja8710@gmail.com</v>
          </cell>
          <cell r="Q523">
            <v>45827</v>
          </cell>
          <cell r="R523" t="str">
            <v>JUAN GOMEZ</v>
          </cell>
          <cell r="U523" t="str">
            <v>CELEBRADO</v>
          </cell>
          <cell r="W523" t="str">
            <v>2025-0264</v>
          </cell>
          <cell r="X523" t="str">
            <v>2025-0847</v>
          </cell>
          <cell r="AJ523">
            <v>2</v>
          </cell>
          <cell r="AK523">
            <v>0</v>
          </cell>
          <cell r="AL523">
            <v>2</v>
          </cell>
          <cell r="AM523" t="str">
            <v>$5.000.000</v>
          </cell>
        </row>
        <row r="524">
          <cell r="A524" t="str">
            <v>523-2025</v>
          </cell>
          <cell r="B524" t="str">
            <v>SUMINISTROS</v>
          </cell>
          <cell r="C524" t="str">
            <v xml:space="preserve"> BIOPLAST SAS,</v>
          </cell>
          <cell r="D524" t="str">
            <v>NIT</v>
          </cell>
          <cell r="E524">
            <v>830040574</v>
          </cell>
          <cell r="F524">
            <v>8</v>
          </cell>
          <cell r="G524" t="str">
            <v xml:space="preserve">CONTRATACION DIRECTA </v>
          </cell>
          <cell r="H524">
            <v>2</v>
          </cell>
          <cell r="I524" t="str">
            <v>El contratista se obliga al suministro del material médico quirúrgico en las cantidades establecidas en el anexo 1, el cual hace parte integral del contrato. Para la ESE Pasto Salud.</v>
          </cell>
          <cell r="J524">
            <v>3</v>
          </cell>
          <cell r="K524" t="str">
            <v>$2.339.421</v>
          </cell>
          <cell r="L524">
            <v>45827</v>
          </cell>
          <cell r="M524">
            <v>45900</v>
          </cell>
          <cell r="N524" t="str">
            <v>NENA DEL CARMEN RAMIREZ RAMIREZ</v>
          </cell>
          <cell r="O524">
            <v>30732589</v>
          </cell>
          <cell r="P524" t="str">
            <v>gerencia@bioplast.co.</v>
          </cell>
          <cell r="Q524">
            <v>45827</v>
          </cell>
          <cell r="R524" t="str">
            <v>RODRIGO ROSERO</v>
          </cell>
          <cell r="U524" t="str">
            <v>CELEBRADO</v>
          </cell>
          <cell r="W524" t="str">
            <v>2025-0276</v>
          </cell>
          <cell r="X524" t="str">
            <v>2025-0848</v>
          </cell>
          <cell r="AJ524">
            <v>2</v>
          </cell>
          <cell r="AK524">
            <v>0</v>
          </cell>
          <cell r="AL524">
            <v>2</v>
          </cell>
          <cell r="AM524" t="str">
            <v>$2.339.421</v>
          </cell>
        </row>
        <row r="525">
          <cell r="A525" t="str">
            <v>524-2025</v>
          </cell>
          <cell r="B525" t="str">
            <v>PRESTACION DE SERVICIOS</v>
          </cell>
          <cell r="C525" t="str">
            <v>SOFIA ESMERALDA MEJIA ORTIZ</v>
          </cell>
          <cell r="D525" t="str">
            <v>CC</v>
          </cell>
          <cell r="E525">
            <v>1085336362</v>
          </cell>
          <cell r="F525">
            <v>4</v>
          </cell>
          <cell r="G525" t="str">
            <v xml:space="preserve">CONTRATACION DIRECTA </v>
          </cell>
          <cell r="H525">
            <v>1</v>
          </cell>
          <cell r="I525"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25">
            <v>1</v>
          </cell>
          <cell r="K525" t="str">
            <v>$15.000.000</v>
          </cell>
          <cell r="L525">
            <v>45827</v>
          </cell>
          <cell r="M525">
            <v>45888</v>
          </cell>
          <cell r="N525" t="str">
            <v>MARY ALEXANDRA ROSERO BENAVIDES</v>
          </cell>
          <cell r="O525">
            <v>43624414</v>
          </cell>
          <cell r="P525" t="str">
            <v>sofiamejia.97@hotmail.com</v>
          </cell>
          <cell r="Q525">
            <v>45827</v>
          </cell>
          <cell r="R525" t="str">
            <v>ELIANA BENAVIDES</v>
          </cell>
          <cell r="U525" t="str">
            <v>CELEBRADO</v>
          </cell>
          <cell r="W525" t="str">
            <v>2025-0264</v>
          </cell>
          <cell r="X525" t="str">
            <v>2025-0849</v>
          </cell>
          <cell r="AJ525">
            <v>2</v>
          </cell>
          <cell r="AK525">
            <v>0</v>
          </cell>
          <cell r="AL525">
            <v>2</v>
          </cell>
          <cell r="AM525" t="str">
            <v>$15.000.000</v>
          </cell>
        </row>
        <row r="526">
          <cell r="A526" t="str">
            <v>525-2025</v>
          </cell>
          <cell r="B526" t="str">
            <v>PRESTACION DE SERVICIOS</v>
          </cell>
          <cell r="C526" t="str">
            <v xml:space="preserve"> EDUARDO MAURICIO NARVAEZ
GUERRA</v>
          </cell>
          <cell r="D526" t="str">
            <v>CC</v>
          </cell>
          <cell r="E526">
            <v>12990231</v>
          </cell>
          <cell r="F526">
            <v>5</v>
          </cell>
          <cell r="G526" t="str">
            <v xml:space="preserve">CONTRATACION DIRECTA </v>
          </cell>
          <cell r="H526">
            <v>1</v>
          </cell>
          <cell r="I526"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26">
            <v>1</v>
          </cell>
          <cell r="K526" t="str">
            <v>$5.000.000.</v>
          </cell>
          <cell r="L526">
            <v>45827</v>
          </cell>
          <cell r="M526">
            <v>45888</v>
          </cell>
          <cell r="N526" t="str">
            <v>DEYANIRA BADOS DAZA</v>
          </cell>
          <cell r="O526">
            <v>59836926</v>
          </cell>
          <cell r="P526" t="str">
            <v xml:space="preserve"> narvaezmauricio418@gmail.com</v>
          </cell>
          <cell r="Q526">
            <v>45827</v>
          </cell>
          <cell r="R526" t="str">
            <v>RODRIGO ROSERO</v>
          </cell>
          <cell r="U526" t="str">
            <v>CELEBRADO</v>
          </cell>
          <cell r="W526" t="str">
            <v>2025-0264</v>
          </cell>
          <cell r="X526" t="str">
            <v>2025-0850</v>
          </cell>
          <cell r="AJ526">
            <v>2</v>
          </cell>
          <cell r="AK526">
            <v>0</v>
          </cell>
          <cell r="AL526">
            <v>2</v>
          </cell>
          <cell r="AM526" t="str">
            <v>$5.000.000</v>
          </cell>
        </row>
        <row r="527">
          <cell r="A527" t="str">
            <v>526-2025</v>
          </cell>
          <cell r="B527" t="str">
            <v>SUMINISTROS</v>
          </cell>
          <cell r="C527" t="str">
            <v>ADMINISTRACIÓN COOPERATIVA DE ENTIDADES DE SALUD DEL TOLIMA -
COODESTOL</v>
          </cell>
          <cell r="D527" t="str">
            <v>NIT</v>
          </cell>
          <cell r="E527">
            <v>800250023</v>
          </cell>
          <cell r="F527">
            <v>3</v>
          </cell>
          <cell r="G527" t="str">
            <v>BIONEXO</v>
          </cell>
          <cell r="H527">
            <v>2</v>
          </cell>
          <cell r="I527" t="str">
            <v xml:space="preserve"> El contratista se obiga a la compra venta de fos medicamentos en las catidades establecidas en el anexo 1, el cual hace parte integral para la ESE Pasto Salud.</v>
          </cell>
          <cell r="J527">
            <v>3</v>
          </cell>
          <cell r="K527" t="str">
            <v>$231.695.480</v>
          </cell>
          <cell r="L527">
            <v>45827</v>
          </cell>
          <cell r="M527">
            <v>45838</v>
          </cell>
          <cell r="N527" t="str">
            <v>NENA DEL CARMEN RAMIREZ RAMIREZ</v>
          </cell>
          <cell r="O527">
            <v>30732589</v>
          </cell>
          <cell r="P527" t="str">
            <v>gerencia@coodestol.com.co.</v>
          </cell>
          <cell r="Q527">
            <v>45827</v>
          </cell>
          <cell r="R527" t="str">
            <v>RODRIGO ROSERO</v>
          </cell>
          <cell r="U527" t="str">
            <v>CELEBRADO</v>
          </cell>
          <cell r="W527" t="str">
            <v>2025-0251</v>
          </cell>
          <cell r="X527" t="str">
            <v>2025-0851</v>
          </cell>
          <cell r="AJ527">
            <v>2</v>
          </cell>
          <cell r="AK527">
            <v>0</v>
          </cell>
          <cell r="AL527">
            <v>3</v>
          </cell>
          <cell r="AM527" t="str">
            <v>$231.695.480</v>
          </cell>
        </row>
        <row r="528">
          <cell r="A528" t="str">
            <v>527-2025</v>
          </cell>
          <cell r="B528" t="str">
            <v>PRESTACION DE SERVICIOS</v>
          </cell>
          <cell r="C528" t="str">
            <v>JANETH EMILSE DIAZ ARCINIEGAS</v>
          </cell>
          <cell r="D528" t="str">
            <v>CC</v>
          </cell>
          <cell r="E528">
            <v>27087475</v>
          </cell>
          <cell r="F528">
            <v>7</v>
          </cell>
          <cell r="G528" t="str">
            <v xml:space="preserve">CONTRATACION DIRECTA </v>
          </cell>
          <cell r="H528">
            <v>1</v>
          </cell>
          <cell r="I52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28">
            <v>1</v>
          </cell>
          <cell r="K528" t="str">
            <v>$9.500.000</v>
          </cell>
          <cell r="L528">
            <v>45827</v>
          </cell>
          <cell r="M528">
            <v>45888</v>
          </cell>
          <cell r="N528" t="str">
            <v>RIGOBERTO MELO ZAMBRANO</v>
          </cell>
          <cell r="O528">
            <v>98333941</v>
          </cell>
          <cell r="P528" t="str">
            <v>emilsediaz10@qmail.com</v>
          </cell>
          <cell r="Q528">
            <v>45827</v>
          </cell>
          <cell r="R528" t="str">
            <v>ELIANA BENAVIDES</v>
          </cell>
          <cell r="U528" t="str">
            <v>CELEBRADO</v>
          </cell>
          <cell r="W528" t="str">
            <v>2025-0264</v>
          </cell>
          <cell r="X528" t="str">
            <v>2025-0853</v>
          </cell>
          <cell r="AJ528">
            <v>2</v>
          </cell>
          <cell r="AK528">
            <v>0</v>
          </cell>
          <cell r="AL528">
            <v>2</v>
          </cell>
          <cell r="AM528" t="str">
            <v>$9.500.000</v>
          </cell>
        </row>
        <row r="529">
          <cell r="A529" t="str">
            <v>528-2025</v>
          </cell>
          <cell r="B529" t="str">
            <v>PRESTACION DE SERVICIOS</v>
          </cell>
          <cell r="C529" t="str">
            <v>RICARDO ENRIQUE VEGA MERA</v>
          </cell>
          <cell r="D529" t="str">
            <v>CC</v>
          </cell>
          <cell r="E529">
            <v>12983807</v>
          </cell>
          <cell r="F529">
            <v>8</v>
          </cell>
          <cell r="G529" t="str">
            <v xml:space="preserve">CONTRATACION DIRECTA </v>
          </cell>
          <cell r="H529">
            <v>1</v>
          </cell>
          <cell r="I529" t="str">
            <v xml:space="preserve"> 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y cumpliendo las metas de coberturas asignadas.</v>
          </cell>
          <cell r="J529">
            <v>1</v>
          </cell>
          <cell r="K529" t="str">
            <v>$9.650.000</v>
          </cell>
          <cell r="L529">
            <v>45827</v>
          </cell>
          <cell r="M529">
            <v>45888</v>
          </cell>
          <cell r="N529" t="str">
            <v>MARY ALEXANDRA ROSERO BENAVIDES</v>
          </cell>
          <cell r="O529">
            <v>43624414</v>
          </cell>
          <cell r="P529" t="str">
            <v xml:space="preserve"> ricardovegamera@hotmail.com</v>
          </cell>
          <cell r="Q529">
            <v>45827</v>
          </cell>
          <cell r="R529" t="str">
            <v>ELIANA BENAVIDES</v>
          </cell>
          <cell r="U529" t="str">
            <v>CELEBRADO</v>
          </cell>
          <cell r="W529" t="str">
            <v>2025-0264</v>
          </cell>
          <cell r="X529" t="str">
            <v>2025-0854</v>
          </cell>
          <cell r="AJ529">
            <v>2</v>
          </cell>
          <cell r="AK529">
            <v>0</v>
          </cell>
          <cell r="AL529">
            <v>2</v>
          </cell>
          <cell r="AM529" t="str">
            <v>$9.650.000</v>
          </cell>
        </row>
        <row r="530">
          <cell r="A530" t="str">
            <v>529-2025</v>
          </cell>
          <cell r="B530" t="str">
            <v>PRESTACION DE SERVICIOS</v>
          </cell>
          <cell r="C530" t="str">
            <v>BRAYAN ANTONIO MADROÑERO QUINTERO</v>
          </cell>
          <cell r="D530" t="str">
            <v>CC</v>
          </cell>
          <cell r="E530">
            <v>1085321192</v>
          </cell>
          <cell r="F530">
            <v>3</v>
          </cell>
          <cell r="G530" t="str">
            <v xml:space="preserve">CONTRATACION DIRECTA </v>
          </cell>
          <cell r="H530">
            <v>1</v>
          </cell>
          <cell r="I530" t="str">
            <v>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0">
            <v>1</v>
          </cell>
          <cell r="K530" t="str">
            <v>$15.000.000</v>
          </cell>
          <cell r="L530">
            <v>45827</v>
          </cell>
          <cell r="M530">
            <v>45888</v>
          </cell>
          <cell r="N530" t="str">
            <v>DEYANIRA BADOS DAZA</v>
          </cell>
          <cell r="O530">
            <v>59836926</v>
          </cell>
          <cell r="P530" t="str">
            <v xml:space="preserve"> brian.1321@hotmail.com</v>
          </cell>
          <cell r="Q530">
            <v>45827</v>
          </cell>
          <cell r="R530" t="str">
            <v>CRISTINA ROSERO</v>
          </cell>
          <cell r="U530" t="str">
            <v>CELEBRADO</v>
          </cell>
          <cell r="W530" t="str">
            <v>2025-0264</v>
          </cell>
          <cell r="X530" t="str">
            <v>2025-0855</v>
          </cell>
          <cell r="AJ530">
            <v>2</v>
          </cell>
          <cell r="AK530">
            <v>0</v>
          </cell>
          <cell r="AL530">
            <v>2</v>
          </cell>
          <cell r="AM530" t="str">
            <v>$15.000.000</v>
          </cell>
        </row>
        <row r="531">
          <cell r="A531" t="str">
            <v>530-2025</v>
          </cell>
          <cell r="B531" t="str">
            <v>PRESTACION DE SERVICIOS</v>
          </cell>
          <cell r="C531" t="str">
            <v>TRANSPORTES ESPECIALES ACAR SA</v>
          </cell>
          <cell r="D531" t="str">
            <v>NIT</v>
          </cell>
          <cell r="E531">
            <v>805021222</v>
          </cell>
          <cell r="F531">
            <v>9</v>
          </cell>
          <cell r="G531" t="str">
            <v xml:space="preserve">CONTRATACION DIRECTA </v>
          </cell>
          <cell r="H531">
            <v>2</v>
          </cell>
          <cell r="I531" t="str">
            <v>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v>
          </cell>
          <cell r="J531">
            <v>1</v>
          </cell>
          <cell r="K531" t="str">
            <v>$124.999.946</v>
          </cell>
          <cell r="L531">
            <v>45827</v>
          </cell>
          <cell r="M531">
            <v>45900</v>
          </cell>
          <cell r="N531" t="str">
            <v>JUAN PABLO LLANOS RUALES</v>
          </cell>
          <cell r="O531">
            <v>17658216</v>
          </cell>
          <cell r="P531" t="str">
            <v>diana.perez33@hotmail.es.</v>
          </cell>
          <cell r="Q531">
            <v>45827</v>
          </cell>
          <cell r="R531" t="str">
            <v>RODRIGO ROSERO</v>
          </cell>
          <cell r="U531" t="str">
            <v>CELEBRADO</v>
          </cell>
          <cell r="W531" t="str">
            <v>2025-0270</v>
          </cell>
          <cell r="X531" t="str">
            <v>2025-0856</v>
          </cell>
          <cell r="AJ531">
            <v>1</v>
          </cell>
          <cell r="AK531">
            <v>2</v>
          </cell>
          <cell r="AL531">
            <v>3</v>
          </cell>
          <cell r="AM531" t="str">
            <v>$124.999.946</v>
          </cell>
        </row>
        <row r="532">
          <cell r="A532" t="str">
            <v>531-2025</v>
          </cell>
          <cell r="B532" t="str">
            <v>PRESTACION DE SERVICIOS</v>
          </cell>
          <cell r="C532" t="str">
            <v>OSCAR FERNANDO SALAZAR ALEGRIA</v>
          </cell>
          <cell r="D532" t="str">
            <v>CC</v>
          </cell>
          <cell r="E532">
            <v>76316159</v>
          </cell>
          <cell r="F532">
            <v>6</v>
          </cell>
          <cell r="G532" t="str">
            <v xml:space="preserve">CONTRATACION DIRECTA </v>
          </cell>
          <cell r="H532">
            <v>1</v>
          </cell>
          <cell r="I532" t="str">
            <v>"Contratar la prestación de servicios médicos especializados en patología para la ESE PASTO SALUD</v>
          </cell>
          <cell r="J532">
            <v>1</v>
          </cell>
          <cell r="K532" t="str">
            <v>$45.000.000</v>
          </cell>
          <cell r="L532">
            <v>45827</v>
          </cell>
          <cell r="M532">
            <v>46022</v>
          </cell>
          <cell r="N532" t="str">
            <v>DEYANIRA BADOS DAZA</v>
          </cell>
          <cell r="O532">
            <v>59836926</v>
          </cell>
          <cell r="P532" t="str">
            <v>oscarfer72@yahoo.com</v>
          </cell>
          <cell r="Q532">
            <v>45827</v>
          </cell>
          <cell r="R532" t="str">
            <v>CRISTINA ROSERO</v>
          </cell>
          <cell r="U532" t="str">
            <v>CELEBRADO</v>
          </cell>
          <cell r="W532" t="str">
            <v>2025-0292</v>
          </cell>
          <cell r="X532" t="str">
            <v>2025-0857</v>
          </cell>
          <cell r="AJ532">
            <v>1</v>
          </cell>
          <cell r="AK532">
            <v>3</v>
          </cell>
          <cell r="AL532">
            <v>2</v>
          </cell>
          <cell r="AM532" t="str">
            <v>$45.000.000</v>
          </cell>
        </row>
        <row r="533">
          <cell r="A533" t="str">
            <v>532-2025</v>
          </cell>
          <cell r="B533" t="str">
            <v>PRESTACION DE SERVICIOS</v>
          </cell>
          <cell r="C533" t="str">
            <v xml:space="preserve"> DOLORES BERTINA BASANTE</v>
          </cell>
          <cell r="D533" t="str">
            <v>CC</v>
          </cell>
          <cell r="E533">
            <v>27220499</v>
          </cell>
          <cell r="F533">
            <v>3</v>
          </cell>
          <cell r="G533" t="str">
            <v xml:space="preserve">CONTRATACION DIRECTA </v>
          </cell>
          <cell r="H533">
            <v>1</v>
          </cell>
          <cell r="I533"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3">
            <v>1</v>
          </cell>
          <cell r="K533" t="str">
            <v>$5.000.000</v>
          </cell>
          <cell r="L533">
            <v>45827</v>
          </cell>
          <cell r="M533">
            <v>45888</v>
          </cell>
          <cell r="N533" t="str">
            <v>RIGOBERTO MELO ZAMBRANO</v>
          </cell>
          <cell r="O533">
            <v>98333941</v>
          </cell>
          <cell r="P533" t="str">
            <v xml:space="preserve"> doloresbasante@gmail.com</v>
          </cell>
          <cell r="Q533">
            <v>45827</v>
          </cell>
          <cell r="R533" t="str">
            <v>ELIANA BENAVIDES</v>
          </cell>
          <cell r="U533" t="str">
            <v>CELEBRADO</v>
          </cell>
          <cell r="W533" t="str">
            <v>2025-0264</v>
          </cell>
          <cell r="X533" t="str">
            <v>2025-0858</v>
          </cell>
          <cell r="AJ533">
            <v>2</v>
          </cell>
          <cell r="AK533">
            <v>0</v>
          </cell>
          <cell r="AL533">
            <v>2</v>
          </cell>
          <cell r="AM533" t="str">
            <v>$5.000.000</v>
          </cell>
        </row>
        <row r="534">
          <cell r="A534" t="str">
            <v>533-2025</v>
          </cell>
          <cell r="B534" t="str">
            <v>PRESTACION DE SERVICIOS</v>
          </cell>
          <cell r="C534" t="str">
            <v>MARGARITA ANDREA BENAVIDES NASPIRAN</v>
          </cell>
          <cell r="D534" t="str">
            <v>CC</v>
          </cell>
          <cell r="E534">
            <v>1085304072</v>
          </cell>
          <cell r="F534">
            <v>6</v>
          </cell>
          <cell r="G534" t="str">
            <v xml:space="preserve">CONTRATACION DIRECTA </v>
          </cell>
          <cell r="H534">
            <v>1</v>
          </cell>
          <cell r="I534"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4">
            <v>1</v>
          </cell>
          <cell r="K534" t="str">
            <v>$5.000.000</v>
          </cell>
          <cell r="L534">
            <v>45827</v>
          </cell>
          <cell r="M534">
            <v>45888</v>
          </cell>
          <cell r="N534" t="str">
            <v>MARY ALEXANDRA ROSERO BENAVIDES</v>
          </cell>
          <cell r="O534">
            <v>43624414</v>
          </cell>
          <cell r="P534" t="str">
            <v>margaritaandrea88@gmail.com</v>
          </cell>
          <cell r="Q534">
            <v>45827</v>
          </cell>
          <cell r="R534" t="str">
            <v>RODRIGO ROSERO</v>
          </cell>
          <cell r="U534" t="str">
            <v>CELEBRADO</v>
          </cell>
          <cell r="W534" t="str">
            <v>2025-0264</v>
          </cell>
          <cell r="X534" t="str">
            <v>2025-0859</v>
          </cell>
          <cell r="AJ534">
            <v>2</v>
          </cell>
          <cell r="AK534">
            <v>0</v>
          </cell>
          <cell r="AL534">
            <v>2</v>
          </cell>
          <cell r="AM534" t="str">
            <v>$5.000.000</v>
          </cell>
        </row>
        <row r="535">
          <cell r="A535" t="str">
            <v>534-2025</v>
          </cell>
          <cell r="B535" t="str">
            <v>PRESTACION DE SERVICIOS</v>
          </cell>
          <cell r="C535" t="str">
            <v>RITA GUADALUPE CAICEDO NOGUERA</v>
          </cell>
          <cell r="D535" t="str">
            <v>CC</v>
          </cell>
          <cell r="E535">
            <v>27198144</v>
          </cell>
          <cell r="F535">
            <v>0</v>
          </cell>
          <cell r="G535" t="str">
            <v xml:space="preserve">CONTRATACION DIRECTA </v>
          </cell>
          <cell r="H535">
            <v>1</v>
          </cell>
          <cell r="I535"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5">
            <v>1</v>
          </cell>
          <cell r="K535" t="str">
            <v>$12.000.000</v>
          </cell>
          <cell r="L535">
            <v>45827</v>
          </cell>
          <cell r="M535">
            <v>45888</v>
          </cell>
          <cell r="N535" t="str">
            <v>RIGOBERTO MELO ZAMBRANO</v>
          </cell>
          <cell r="O535">
            <v>98333941</v>
          </cell>
          <cell r="P535" t="str">
            <v>rgcaicedon@hotmail.com</v>
          </cell>
          <cell r="Q535">
            <v>45827</v>
          </cell>
          <cell r="R535" t="str">
            <v>JUAN GOMEZ</v>
          </cell>
          <cell r="U535" t="str">
            <v>CELEBRADO</v>
          </cell>
          <cell r="W535" t="str">
            <v>2025-0264</v>
          </cell>
          <cell r="X535" t="str">
            <v>2025-0860</v>
          </cell>
          <cell r="AJ535">
            <v>2</v>
          </cell>
          <cell r="AK535">
            <v>0</v>
          </cell>
          <cell r="AL535">
            <v>2</v>
          </cell>
          <cell r="AM535" t="str">
            <v>$12.000.000</v>
          </cell>
        </row>
        <row r="536">
          <cell r="A536" t="str">
            <v>535-2025</v>
          </cell>
          <cell r="B536" t="str">
            <v>PRESTACION DE SERVICIOS</v>
          </cell>
          <cell r="C536" t="str">
            <v xml:space="preserve"> LILIANA ANDREA OLIVA ORTI</v>
          </cell>
          <cell r="D536" t="str">
            <v>CC</v>
          </cell>
          <cell r="E536">
            <v>59836480</v>
          </cell>
          <cell r="F536">
            <v>5</v>
          </cell>
          <cell r="G536" t="str">
            <v xml:space="preserve">CONTRATACION DIRECTA </v>
          </cell>
          <cell r="H536">
            <v>1</v>
          </cell>
          <cell r="I536"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6">
            <v>1</v>
          </cell>
          <cell r="K536" t="str">
            <v>$12.000.000</v>
          </cell>
          <cell r="L536">
            <v>45827</v>
          </cell>
          <cell r="M536">
            <v>45888</v>
          </cell>
          <cell r="N536" t="str">
            <v>MARY ALEXANDRA ROSERO BENAVIDES</v>
          </cell>
          <cell r="O536">
            <v>43624414</v>
          </cell>
          <cell r="P536" t="str">
            <v>liliando912@hotmail.com</v>
          </cell>
          <cell r="Q536">
            <v>45827</v>
          </cell>
          <cell r="R536" t="str">
            <v>CRISTINA ROSERO</v>
          </cell>
          <cell r="U536" t="str">
            <v>CELEBRADO</v>
          </cell>
          <cell r="W536" t="str">
            <v>2025-0264</v>
          </cell>
          <cell r="X536" t="str">
            <v>2025-0861</v>
          </cell>
          <cell r="AJ536">
            <v>2</v>
          </cell>
          <cell r="AK536">
            <v>0</v>
          </cell>
          <cell r="AL536">
            <v>2</v>
          </cell>
          <cell r="AM536" t="str">
            <v>$12.000.000</v>
          </cell>
        </row>
        <row r="537">
          <cell r="A537" t="str">
            <v>536-2025</v>
          </cell>
          <cell r="B537" t="str">
            <v>PRESTACION DE SERVICIOS</v>
          </cell>
          <cell r="C537" t="str">
            <v>CLARA INES APRAEZ GOMEZ</v>
          </cell>
          <cell r="D537" t="str">
            <v>CC</v>
          </cell>
          <cell r="E537">
            <v>1080900817</v>
          </cell>
          <cell r="F537">
            <v>4</v>
          </cell>
          <cell r="G537" t="str">
            <v xml:space="preserve">CONTRATACION DIRECTA </v>
          </cell>
          <cell r="H537">
            <v>1</v>
          </cell>
          <cell r="I537" t="str">
            <v>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37">
            <v>1</v>
          </cell>
          <cell r="K537" t="str">
            <v>$9.650.000</v>
          </cell>
          <cell r="L537">
            <v>45827</v>
          </cell>
          <cell r="M537">
            <v>45888</v>
          </cell>
          <cell r="N537" t="str">
            <v>RIGOBERTO MELO ZAMBRANO</v>
          </cell>
          <cell r="O537">
            <v>98333941</v>
          </cell>
          <cell r="P537" t="str">
            <v xml:space="preserve"> claraapraez2016@gmail.com</v>
          </cell>
          <cell r="Q537">
            <v>45827</v>
          </cell>
          <cell r="R537" t="str">
            <v>JUAN GOMEZ</v>
          </cell>
          <cell r="U537" t="str">
            <v>CELEBRADO</v>
          </cell>
          <cell r="W537" t="str">
            <v>2025-0264</v>
          </cell>
          <cell r="X537" t="str">
            <v>2025-0862</v>
          </cell>
          <cell r="AJ537">
            <v>2</v>
          </cell>
          <cell r="AK537">
            <v>0</v>
          </cell>
          <cell r="AL537">
            <v>2</v>
          </cell>
          <cell r="AM537" t="str">
            <v xml:space="preserve">$9.650.000
</v>
          </cell>
        </row>
        <row r="538">
          <cell r="A538" t="str">
            <v>537-2025</v>
          </cell>
          <cell r="B538" t="str">
            <v>PRESTACION DE SERVICIOS</v>
          </cell>
          <cell r="C538" t="str">
            <v xml:space="preserve"> JESSICA GRACE HERNANDEZ RIASCOS</v>
          </cell>
          <cell r="D538" t="str">
            <v>CC</v>
          </cell>
          <cell r="E538">
            <v>1085283868</v>
          </cell>
          <cell r="F538">
            <v>1</v>
          </cell>
          <cell r="G538" t="str">
            <v xml:space="preserve">CONTRATACION DIRECTA </v>
          </cell>
          <cell r="H538">
            <v>1</v>
          </cell>
          <cell r="I538"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v>
          </cell>
          <cell r="J538">
            <v>1</v>
          </cell>
          <cell r="K538" t="str">
            <v>$12.000.000</v>
          </cell>
          <cell r="L538">
            <v>45827</v>
          </cell>
          <cell r="M538">
            <v>45888</v>
          </cell>
          <cell r="N538" t="str">
            <v>MARY ALEXANDRA ROSERO BENAVIDES</v>
          </cell>
          <cell r="O538">
            <v>43624414</v>
          </cell>
          <cell r="P538" t="str">
            <v xml:space="preserve"> nena12075@gmail.com</v>
          </cell>
          <cell r="Q538">
            <v>45827</v>
          </cell>
          <cell r="R538" t="str">
            <v>CRISTINA ROSERO</v>
          </cell>
          <cell r="U538" t="str">
            <v>CELEBRADO</v>
          </cell>
          <cell r="W538" t="str">
            <v>2025-0264</v>
          </cell>
          <cell r="X538" t="str">
            <v>2025-0863</v>
          </cell>
          <cell r="AJ538">
            <v>2</v>
          </cell>
          <cell r="AK538">
            <v>0</v>
          </cell>
          <cell r="AL538">
            <v>2</v>
          </cell>
          <cell r="AM538" t="str">
            <v>$12.000.000</v>
          </cell>
        </row>
        <row r="539">
          <cell r="A539" t="str">
            <v>538-2025</v>
          </cell>
          <cell r="B539" t="str">
            <v>SUMINISTROS</v>
          </cell>
          <cell r="C539" t="str">
            <v>JOSE ANTONIO ERASO RIVAS (DISTRIBUCIONES HOSPITALARIAS JANER)</v>
          </cell>
          <cell r="D539" t="str">
            <v>CC</v>
          </cell>
          <cell r="E539">
            <v>5199626</v>
          </cell>
          <cell r="F539">
            <v>3</v>
          </cell>
          <cell r="G539" t="str">
            <v xml:space="preserve">CONTRATACION DIRECTA </v>
          </cell>
          <cell r="H539">
            <v>1</v>
          </cell>
          <cell r="I539" t="str">
            <v>El contratista se obliga al suministro del material médico quirúrgico en las cantidades establecidas en el anexo 1, el cual hace parte integral del contrato. Para la ESE Pasto Salud.</v>
          </cell>
          <cell r="J539">
            <v>3</v>
          </cell>
          <cell r="K539" t="str">
            <v>$5.414.762</v>
          </cell>
          <cell r="L539">
            <v>45827</v>
          </cell>
          <cell r="M539">
            <v>45869</v>
          </cell>
          <cell r="N539" t="str">
            <v>NENA DEL CARMEN RAMIREZ RAMIREZ</v>
          </cell>
          <cell r="O539">
            <v>30732589</v>
          </cell>
          <cell r="P539" t="str">
            <v>distrijaner@hotmail.com</v>
          </cell>
          <cell r="Q539">
            <v>45827</v>
          </cell>
          <cell r="R539" t="str">
            <v>ANDRES GUERRA</v>
          </cell>
          <cell r="U539" t="str">
            <v>CELEBRADO</v>
          </cell>
          <cell r="W539" t="str">
            <v>2025-0222</v>
          </cell>
          <cell r="X539" t="str">
            <v>2025-0864</v>
          </cell>
          <cell r="AJ539">
            <v>2</v>
          </cell>
          <cell r="AK539">
            <v>0</v>
          </cell>
          <cell r="AL539">
            <v>2</v>
          </cell>
          <cell r="AM539" t="str">
            <v>$5.414.762</v>
          </cell>
        </row>
        <row r="540">
          <cell r="A540" t="str">
            <v>539-2025</v>
          </cell>
          <cell r="B540" t="str">
            <v>PRESTACION DE SERVICIOS</v>
          </cell>
          <cell r="C540" t="str">
            <v>CAROL SUVANY HERRERA ERAZO</v>
          </cell>
          <cell r="D540" t="str">
            <v>CC</v>
          </cell>
          <cell r="E540">
            <v>1085321578</v>
          </cell>
          <cell r="F540">
            <v>2</v>
          </cell>
          <cell r="G540" t="str">
            <v xml:space="preserve">CONTRATACION DIRECTA </v>
          </cell>
          <cell r="H540">
            <v>1</v>
          </cell>
          <cell r="I540" t="str">
            <v>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40">
            <v>1</v>
          </cell>
          <cell r="K540" t="str">
            <v>$9.650.000</v>
          </cell>
          <cell r="L540">
            <v>45827</v>
          </cell>
          <cell r="M540">
            <v>45888</v>
          </cell>
          <cell r="N540" t="str">
            <v>DEYANIRA BADOS DAZA</v>
          </cell>
          <cell r="O540">
            <v>59836926</v>
          </cell>
          <cell r="P540" t="str">
            <v>caherrerae18@qmail.com</v>
          </cell>
          <cell r="Q540">
            <v>45827</v>
          </cell>
          <cell r="R540" t="str">
            <v>ANDRES GUERRA</v>
          </cell>
          <cell r="U540" t="str">
            <v>CELEBRADO</v>
          </cell>
          <cell r="W540" t="str">
            <v>2025-0264</v>
          </cell>
          <cell r="X540" t="str">
            <v>2025-0865</v>
          </cell>
          <cell r="AJ540">
            <v>2</v>
          </cell>
          <cell r="AK540">
            <v>0</v>
          </cell>
          <cell r="AL540">
            <v>2</v>
          </cell>
          <cell r="AM540" t="str">
            <v>$9.650.000</v>
          </cell>
        </row>
        <row r="541">
          <cell r="A541" t="str">
            <v>540-2025</v>
          </cell>
          <cell r="B541" t="str">
            <v>PRESTACION DE SERVICIOS</v>
          </cell>
          <cell r="C541" t="str">
            <v>LAURA CATALINA MUÑOZ LUNA</v>
          </cell>
          <cell r="D541" t="str">
            <v>CC</v>
          </cell>
          <cell r="E541">
            <v>1018492767</v>
          </cell>
          <cell r="F541">
            <v>7</v>
          </cell>
          <cell r="G541" t="str">
            <v xml:space="preserve">CONTRATACION DIRECTA </v>
          </cell>
          <cell r="H541">
            <v>1</v>
          </cell>
          <cell r="I541" t="str">
            <v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v>
          </cell>
          <cell r="J541">
            <v>1</v>
          </cell>
          <cell r="K541" t="str">
            <v>$9.500.000</v>
          </cell>
          <cell r="L541">
            <v>45828</v>
          </cell>
          <cell r="M541">
            <v>45889</v>
          </cell>
          <cell r="N541" t="str">
            <v>MARY ALEXANDRA ROSERO BENAVIDES</v>
          </cell>
          <cell r="O541">
            <v>43624414</v>
          </cell>
          <cell r="P541" t="str">
            <v>La.muluna13@gmail.com</v>
          </cell>
          <cell r="Q541">
            <v>45828</v>
          </cell>
          <cell r="R541" t="str">
            <v>ANDRES GUERRA</v>
          </cell>
          <cell r="U541" t="str">
            <v>CELEBRADO</v>
          </cell>
          <cell r="W541" t="str">
            <v>2025-0264</v>
          </cell>
          <cell r="X541" t="str">
            <v>2025-0867</v>
          </cell>
          <cell r="AJ541">
            <v>2</v>
          </cell>
          <cell r="AK541">
            <v>0</v>
          </cell>
          <cell r="AL541">
            <v>2</v>
          </cell>
          <cell r="AM541" t="str">
            <v>$9.500.000</v>
          </cell>
        </row>
        <row r="542">
          <cell r="A542" t="str">
            <v>541-2025</v>
          </cell>
          <cell r="B542" t="str">
            <v>PRESTACION DE SERVICIOS</v>
          </cell>
          <cell r="C542" t="str">
            <v>FERNANDO TEOFILO ROSERO PATIÑO</v>
          </cell>
          <cell r="D542" t="str">
            <v>CC</v>
          </cell>
          <cell r="E542">
            <v>97470681</v>
          </cell>
          <cell r="F542">
            <v>4</v>
          </cell>
          <cell r="G542" t="str">
            <v xml:space="preserve">CONTRATACION DIRECTA </v>
          </cell>
          <cell r="H542">
            <v>1</v>
          </cell>
          <cell r="I542"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42">
            <v>1</v>
          </cell>
          <cell r="K542" t="str">
            <v>$12.000.000</v>
          </cell>
          <cell r="L542">
            <v>45832</v>
          </cell>
          <cell r="M542">
            <v>45893</v>
          </cell>
          <cell r="N542" t="str">
            <v>DEYANIRA BADOS DAZA</v>
          </cell>
          <cell r="O542">
            <v>59836926</v>
          </cell>
          <cell r="P542" t="str">
            <v>feteropa695@gmail.com</v>
          </cell>
          <cell r="Q542">
            <v>45832</v>
          </cell>
          <cell r="R542" t="str">
            <v>ANDRES GUERRA</v>
          </cell>
          <cell r="U542" t="str">
            <v>CELEBRADO</v>
          </cell>
          <cell r="W542" t="str">
            <v>2025-0264</v>
          </cell>
          <cell r="X542" t="str">
            <v>2025-0883</v>
          </cell>
          <cell r="AJ542">
            <v>2</v>
          </cell>
          <cell r="AK542">
            <v>0</v>
          </cell>
          <cell r="AL542">
            <v>2</v>
          </cell>
          <cell r="AM542" t="str">
            <v>$12.000,.000</v>
          </cell>
        </row>
        <row r="543">
          <cell r="A543" t="str">
            <v>542-2025</v>
          </cell>
          <cell r="B543" t="str">
            <v>PRESTACION DE SERVICIOS</v>
          </cell>
          <cell r="C543" t="str">
            <v xml:space="preserve"> LILIAN SOLARTE GONZALEZ</v>
          </cell>
          <cell r="D543" t="str">
            <v>CC</v>
          </cell>
          <cell r="E543">
            <v>1089483067</v>
          </cell>
          <cell r="F543">
            <v>1</v>
          </cell>
          <cell r="G543" t="str">
            <v xml:space="preserve">CONTRATACION DIRECTA </v>
          </cell>
          <cell r="H543">
            <v>1</v>
          </cell>
          <cell r="I543"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v>
          </cell>
          <cell r="J543">
            <v>1</v>
          </cell>
          <cell r="K543" t="str">
            <v>$15.000.000</v>
          </cell>
          <cell r="L543">
            <v>45832</v>
          </cell>
          <cell r="M543">
            <v>45893</v>
          </cell>
          <cell r="N543" t="str">
            <v>MARY ALEXANDRA ROSERO BENAVIDES</v>
          </cell>
          <cell r="O543">
            <v>43624414</v>
          </cell>
          <cell r="P543" t="str">
            <v>liliansg.1610@gmail.com</v>
          </cell>
          <cell r="Q543">
            <v>45832</v>
          </cell>
          <cell r="R543" t="str">
            <v>ALEXANDER YELA</v>
          </cell>
          <cell r="U543" t="str">
            <v>CELEBRADO</v>
          </cell>
          <cell r="W543" t="str">
            <v>2025-0264</v>
          </cell>
          <cell r="X543" t="str">
            <v>2025-0869</v>
          </cell>
          <cell r="AJ543">
            <v>2</v>
          </cell>
          <cell r="AK543">
            <v>0</v>
          </cell>
          <cell r="AL543">
            <v>2</v>
          </cell>
          <cell r="AM543" t="str">
            <v>$15.000.000</v>
          </cell>
        </row>
        <row r="544">
          <cell r="A544" t="str">
            <v>543-2025</v>
          </cell>
          <cell r="B544" t="str">
            <v>PRESTACION DE SERVICIOS</v>
          </cell>
          <cell r="C544" t="str">
            <v>YULLI KAROLINA CASTILLO PAZ</v>
          </cell>
          <cell r="D544" t="str">
            <v>CC</v>
          </cell>
          <cell r="E544">
            <v>1233189234</v>
          </cell>
          <cell r="F544">
            <v>5</v>
          </cell>
          <cell r="G544" t="str">
            <v xml:space="preserve">CONTRATACION DIRECTA </v>
          </cell>
          <cell r="H544">
            <v>1</v>
          </cell>
          <cell r="I544" t="str">
            <v>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544">
            <v>1</v>
          </cell>
          <cell r="K544" t="str">
            <v>$6.000.000</v>
          </cell>
          <cell r="L544">
            <v>45832</v>
          </cell>
          <cell r="M544">
            <v>45893</v>
          </cell>
          <cell r="N544" t="str">
            <v>DEYANIRA BADOS DAZA</v>
          </cell>
          <cell r="O544">
            <v>59836926</v>
          </cell>
          <cell r="P544" t="str">
            <v xml:space="preserve">kardinacastillo997@gmail.com </v>
          </cell>
          <cell r="Q544">
            <v>45832</v>
          </cell>
          <cell r="R544" t="str">
            <v>ANDRES GUERRA</v>
          </cell>
          <cell r="U544" t="str">
            <v>CELEBRADO</v>
          </cell>
          <cell r="W544" t="str">
            <v>2025-0264</v>
          </cell>
          <cell r="X544" t="str">
            <v>2025-0870</v>
          </cell>
          <cell r="AJ544">
            <v>2</v>
          </cell>
          <cell r="AK544">
            <v>0</v>
          </cell>
          <cell r="AL544">
            <v>2</v>
          </cell>
          <cell r="AM544" t="str">
            <v>$6.000.000</v>
          </cell>
        </row>
        <row r="545">
          <cell r="A545" t="str">
            <v>544-2025</v>
          </cell>
          <cell r="B545" t="str">
            <v>PRESTACION DE SERVICIOS</v>
          </cell>
          <cell r="C545" t="str">
            <v>ADRIANA GABRIELA DIAZ MONTENEGRO</v>
          </cell>
          <cell r="D545" t="str">
            <v>CC</v>
          </cell>
          <cell r="E545">
            <v>59830219</v>
          </cell>
          <cell r="F545">
            <v>1</v>
          </cell>
          <cell r="G545" t="str">
            <v xml:space="preserve">CONTRATACION DIRECTA </v>
          </cell>
          <cell r="H545">
            <v>1</v>
          </cell>
          <cell r="I54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45">
            <v>1</v>
          </cell>
          <cell r="K545" t="str">
            <v>$5.000.000</v>
          </cell>
          <cell r="L545">
            <v>45832</v>
          </cell>
          <cell r="M545">
            <v>45893</v>
          </cell>
          <cell r="N545" t="str">
            <v>MARY ALEXANDRA ROSERO BENAVIDES</v>
          </cell>
          <cell r="O545">
            <v>43624414</v>
          </cell>
          <cell r="P545" t="str">
            <v>adrianagabrieladiaz5@gmail.com</v>
          </cell>
          <cell r="Q545">
            <v>45832</v>
          </cell>
          <cell r="R545" t="str">
            <v>CRISTINA ROSERO</v>
          </cell>
          <cell r="U545" t="str">
            <v>CELEBRADO</v>
          </cell>
          <cell r="W545" t="str">
            <v>2025-0264</v>
          </cell>
          <cell r="X545" t="str">
            <v>2025-0871</v>
          </cell>
          <cell r="AJ545">
            <v>2</v>
          </cell>
          <cell r="AK545">
            <v>0</v>
          </cell>
          <cell r="AL545">
            <v>2</v>
          </cell>
          <cell r="AM545" t="str">
            <v>$5.000.000</v>
          </cell>
        </row>
        <row r="546">
          <cell r="A546" t="str">
            <v>545-2025</v>
          </cell>
          <cell r="B546" t="str">
            <v>PRESTACION DE SERVICIOS</v>
          </cell>
          <cell r="C546" t="str">
            <v>CARMEN PATRICIA CORDOBA ARTEAGA</v>
          </cell>
          <cell r="D546" t="str">
            <v>CC</v>
          </cell>
          <cell r="E546">
            <v>59820414</v>
          </cell>
          <cell r="F546">
            <v>9</v>
          </cell>
          <cell r="G546" t="str">
            <v xml:space="preserve">CONTRATACION DIRECTA </v>
          </cell>
          <cell r="H546">
            <v>1</v>
          </cell>
          <cell r="I546"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46">
            <v>1</v>
          </cell>
          <cell r="K546" t="str">
            <v>$12.000.000</v>
          </cell>
          <cell r="L546">
            <v>45832</v>
          </cell>
          <cell r="M546">
            <v>45893</v>
          </cell>
          <cell r="N546" t="str">
            <v xml:space="preserve">	RODRIGO DE JESUS VITERI MORENO</v>
          </cell>
          <cell r="O546">
            <v>98390119</v>
          </cell>
          <cell r="P546" t="str">
            <v>patyenfer5@gmail.com</v>
          </cell>
          <cell r="Q546">
            <v>45832</v>
          </cell>
          <cell r="R546" t="str">
            <v>ANDRES GUERRA</v>
          </cell>
          <cell r="U546" t="str">
            <v>CELEBRADO</v>
          </cell>
          <cell r="W546" t="str">
            <v>2025-0264</v>
          </cell>
          <cell r="X546" t="str">
            <v>2025-0872</v>
          </cell>
          <cell r="AJ546">
            <v>2</v>
          </cell>
          <cell r="AK546">
            <v>0</v>
          </cell>
          <cell r="AL546">
            <v>2</v>
          </cell>
          <cell r="AM546" t="str">
            <v>$12.000.000</v>
          </cell>
        </row>
        <row r="547">
          <cell r="A547" t="str">
            <v>546-2025</v>
          </cell>
          <cell r="B547" t="str">
            <v>PRESTACION DE SERVICIOS</v>
          </cell>
          <cell r="C547" t="str">
            <v>MARIA EUGENIA ESTRADA ZAMBRANO</v>
          </cell>
          <cell r="D547" t="str">
            <v>CC</v>
          </cell>
          <cell r="E547">
            <v>36861874</v>
          </cell>
          <cell r="F547">
            <v>5</v>
          </cell>
          <cell r="G547" t="str">
            <v xml:space="preserve">CONTRATACION DIRECTA </v>
          </cell>
          <cell r="H547">
            <v>1</v>
          </cell>
          <cell r="I54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47">
            <v>1</v>
          </cell>
          <cell r="K547" t="str">
            <v>$6.000.000</v>
          </cell>
          <cell r="L547">
            <v>45832</v>
          </cell>
          <cell r="M547">
            <v>45893</v>
          </cell>
          <cell r="N547" t="str">
            <v>MARY ALEXANDRA ROSERO BENAVIDES</v>
          </cell>
          <cell r="O547">
            <v>43624414</v>
          </cell>
          <cell r="P547" t="str">
            <v>mariaeszam2010@gmail.com</v>
          </cell>
          <cell r="Q547">
            <v>45832</v>
          </cell>
          <cell r="R547" t="str">
            <v>ELIANA BENAVIDES</v>
          </cell>
          <cell r="U547" t="str">
            <v>CELEBRADO</v>
          </cell>
          <cell r="W547" t="str">
            <v>2025-0264</v>
          </cell>
          <cell r="X547" t="str">
            <v>2025-0873</v>
          </cell>
          <cell r="AJ547">
            <v>2</v>
          </cell>
          <cell r="AK547">
            <v>0</v>
          </cell>
          <cell r="AL547">
            <v>2</v>
          </cell>
          <cell r="AM547" t="str">
            <v>$6.000.000</v>
          </cell>
        </row>
        <row r="548">
          <cell r="A548" t="str">
            <v>547-2025</v>
          </cell>
          <cell r="B548" t="str">
            <v>PRESTACION DE SERVICIOS</v>
          </cell>
          <cell r="C548" t="str">
            <v>JOHANA CAROLINA CAICEDO GOYES</v>
          </cell>
          <cell r="D548" t="str">
            <v>CC</v>
          </cell>
          <cell r="E548">
            <v>37087120</v>
          </cell>
          <cell r="F548">
            <v>4</v>
          </cell>
          <cell r="G548" t="str">
            <v xml:space="preserve">CONTRATACION DIRECTA </v>
          </cell>
          <cell r="H548">
            <v>1</v>
          </cell>
          <cell r="I548"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48">
            <v>1</v>
          </cell>
          <cell r="K548" t="str">
            <v>$15.000.000</v>
          </cell>
          <cell r="L548">
            <v>45832</v>
          </cell>
          <cell r="M548">
            <v>45893</v>
          </cell>
          <cell r="N548" t="str">
            <v>MARY ALEXANDRA ROSERO BENAVIDES</v>
          </cell>
          <cell r="O548">
            <v>43624414</v>
          </cell>
          <cell r="P548" t="str">
            <v>carolinacaicedomd@gmail.com</v>
          </cell>
          <cell r="Q548">
            <v>45832</v>
          </cell>
          <cell r="R548" t="str">
            <v>ELIANA BENAVIDES</v>
          </cell>
          <cell r="U548" t="str">
            <v>CELEBRADO</v>
          </cell>
          <cell r="W548" t="str">
            <v>2025-0264</v>
          </cell>
          <cell r="X548" t="str">
            <v>2025-0874</v>
          </cell>
          <cell r="AJ548">
            <v>2</v>
          </cell>
          <cell r="AK548">
            <v>0</v>
          </cell>
          <cell r="AL548">
            <v>2</v>
          </cell>
          <cell r="AM548" t="str">
            <v>$15.000.000</v>
          </cell>
        </row>
        <row r="549">
          <cell r="A549" t="str">
            <v>548-2025</v>
          </cell>
          <cell r="B549" t="str">
            <v>PRESTACION DE SERVICIOS</v>
          </cell>
          <cell r="C549" t="str">
            <v xml:space="preserve"> DEISY JOHANNA BASTIDAS JOJOA</v>
          </cell>
          <cell r="D549" t="str">
            <v>CC</v>
          </cell>
          <cell r="E549">
            <v>1085252263</v>
          </cell>
          <cell r="F549">
            <v>1</v>
          </cell>
          <cell r="G549" t="str">
            <v xml:space="preserve">CONTRATACION DIRECTA </v>
          </cell>
          <cell r="H549">
            <v>1</v>
          </cell>
          <cell r="I549" t="str">
            <v>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v>
          </cell>
          <cell r="J549">
            <v>1</v>
          </cell>
          <cell r="K549" t="str">
            <v>$6.000.000</v>
          </cell>
          <cell r="L549">
            <v>45832</v>
          </cell>
          <cell r="M549">
            <v>45893</v>
          </cell>
          <cell r="N549" t="str">
            <v>MARY ALEXANDRA ROSERO BENAVIDES</v>
          </cell>
          <cell r="O549">
            <v>43624414</v>
          </cell>
          <cell r="P549" t="str">
            <v xml:space="preserve"> Deijoba2018@gmail.com</v>
          </cell>
          <cell r="Q549">
            <v>45832</v>
          </cell>
          <cell r="R549" t="str">
            <v>CRISTINA ROSERO</v>
          </cell>
          <cell r="U549" t="str">
            <v>CELEBRADO</v>
          </cell>
          <cell r="W549" t="str">
            <v>2025-0264</v>
          </cell>
          <cell r="X549" t="str">
            <v>2025-0875</v>
          </cell>
          <cell r="AJ549">
            <v>2</v>
          </cell>
          <cell r="AK549">
            <v>0</v>
          </cell>
          <cell r="AL549">
            <v>2</v>
          </cell>
          <cell r="AM549" t="str">
            <v>$6.000.000</v>
          </cell>
        </row>
        <row r="550">
          <cell r="A550" t="str">
            <v>549-2025</v>
          </cell>
          <cell r="B550" t="str">
            <v>PRESTACION DE SERVICIOS</v>
          </cell>
          <cell r="C550" t="str">
            <v>LICETH YAMIL TIMANA CAEZ</v>
          </cell>
          <cell r="D550" t="str">
            <v>CC</v>
          </cell>
          <cell r="E550">
            <v>1087959088</v>
          </cell>
          <cell r="F550">
            <v>1</v>
          </cell>
          <cell r="G550" t="str">
            <v xml:space="preserve">CONTRATACION DIRECTA </v>
          </cell>
          <cell r="H550">
            <v>1</v>
          </cell>
          <cell r="I55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550">
            <v>1</v>
          </cell>
          <cell r="K550" t="str">
            <v>$6.000.000</v>
          </cell>
          <cell r="L550">
            <v>45832</v>
          </cell>
          <cell r="M550">
            <v>45893</v>
          </cell>
          <cell r="N550" t="str">
            <v>DEYANIRA BADOS DAZA</v>
          </cell>
          <cell r="O550">
            <v>59836926</v>
          </cell>
          <cell r="P550" t="str">
            <v>yamilcaez61990@gmail.com</v>
          </cell>
          <cell r="Q550">
            <v>45832</v>
          </cell>
          <cell r="R550" t="str">
            <v>ANDRES GUERRA</v>
          </cell>
          <cell r="U550" t="str">
            <v>CELEBRADO</v>
          </cell>
          <cell r="W550" t="str">
            <v>2025-0264</v>
          </cell>
          <cell r="X550" t="str">
            <v>2025-0876</v>
          </cell>
          <cell r="AJ550">
            <v>2</v>
          </cell>
          <cell r="AK550">
            <v>0</v>
          </cell>
          <cell r="AL550">
            <v>2</v>
          </cell>
          <cell r="AM550" t="str">
            <v>$6.000.000</v>
          </cell>
        </row>
        <row r="551">
          <cell r="A551" t="str">
            <v>550-2025</v>
          </cell>
          <cell r="B551" t="str">
            <v>PRESTACION DE SERVICIOS</v>
          </cell>
          <cell r="C551" t="str">
            <v>TATIANA ANDREA CRIOLLO GENOY</v>
          </cell>
          <cell r="D551" t="str">
            <v>CC</v>
          </cell>
          <cell r="E551">
            <v>1081572043</v>
          </cell>
          <cell r="F551">
            <v>6</v>
          </cell>
          <cell r="G551" t="str">
            <v xml:space="preserve">CONTRATACION DIRECTA </v>
          </cell>
          <cell r="H551">
            <v>1</v>
          </cell>
          <cell r="I551"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551">
            <v>1</v>
          </cell>
          <cell r="K551" t="str">
            <v>$6.000.000</v>
          </cell>
          <cell r="L551">
            <v>45832</v>
          </cell>
          <cell r="M551">
            <v>45893</v>
          </cell>
          <cell r="N551" t="str">
            <v>DEYANIRA BADOS DAZA</v>
          </cell>
          <cell r="O551">
            <v>59836926</v>
          </cell>
          <cell r="P551" t="str">
            <v xml:space="preserve"> tatianacriollo@gmail.com</v>
          </cell>
          <cell r="Q551">
            <v>45832</v>
          </cell>
          <cell r="R551" t="str">
            <v>ANDRES GUERRA</v>
          </cell>
          <cell r="U551" t="str">
            <v>CELEBRADO</v>
          </cell>
          <cell r="W551" t="str">
            <v>2025-0264</v>
          </cell>
          <cell r="X551" t="str">
            <v>2025-0877</v>
          </cell>
          <cell r="AJ551">
            <v>2</v>
          </cell>
          <cell r="AK551">
            <v>0</v>
          </cell>
          <cell r="AL551">
            <v>2</v>
          </cell>
          <cell r="AM551" t="str">
            <v>$6.000.000</v>
          </cell>
        </row>
        <row r="552">
          <cell r="A552" t="str">
            <v>551-2025</v>
          </cell>
          <cell r="B552" t="str">
            <v>SUMINISTROS</v>
          </cell>
          <cell r="C552" t="str">
            <v>CLINIMEDICAL GROUP SAS</v>
          </cell>
          <cell r="D552" t="str">
            <v>NIT</v>
          </cell>
          <cell r="E552">
            <v>901181781</v>
          </cell>
          <cell r="F552">
            <v>8</v>
          </cell>
          <cell r="G552" t="str">
            <v xml:space="preserve">CONTRATACION DIRECTA </v>
          </cell>
          <cell r="H552">
            <v>2</v>
          </cell>
          <cell r="I552" t="str">
            <v>El contratista se obliga al suministro del material médico quirúrgico en las cantidades establecidas en el anexo 1, el cual hace parte integral del contrato. Para la ESE Pasto Salud.</v>
          </cell>
          <cell r="J552">
            <v>3</v>
          </cell>
          <cell r="K552" t="str">
            <v>$2.861.950</v>
          </cell>
          <cell r="L552">
            <v>45832</v>
          </cell>
          <cell r="M552">
            <v>45961</v>
          </cell>
          <cell r="N552" t="str">
            <v>NENA DEL CARMEN RAMIREZ RAMIREZ</v>
          </cell>
          <cell r="O552">
            <v>30732589</v>
          </cell>
          <cell r="P552" t="str">
            <v>admon@clinimedical.com</v>
          </cell>
          <cell r="Q552">
            <v>45832</v>
          </cell>
          <cell r="R552" t="str">
            <v>ANDRES GUERRA</v>
          </cell>
          <cell r="U552" t="str">
            <v>CELEBRADO</v>
          </cell>
          <cell r="W552" t="str">
            <v>2025-0276</v>
          </cell>
          <cell r="X552" t="str">
            <v>2025-0878</v>
          </cell>
          <cell r="AJ552">
            <v>2</v>
          </cell>
          <cell r="AK552">
            <v>0</v>
          </cell>
          <cell r="AL552">
            <v>2</v>
          </cell>
          <cell r="AM552" t="str">
            <v>$2.861.950</v>
          </cell>
        </row>
        <row r="553">
          <cell r="A553" t="str">
            <v>552-2025</v>
          </cell>
          <cell r="B553" t="str">
            <v>PRESTACION DE SERVICIOS</v>
          </cell>
          <cell r="C553" t="str">
            <v>FHALOM CAROLINA ROSERO TORRES</v>
          </cell>
          <cell r="D553" t="str">
            <v>CC</v>
          </cell>
          <cell r="E553">
            <v>1085269090</v>
          </cell>
          <cell r="F553">
            <v>9</v>
          </cell>
          <cell r="G553" t="str">
            <v xml:space="preserve">CONTRATACION DIRECTA </v>
          </cell>
          <cell r="H553">
            <v>1</v>
          </cell>
          <cell r="I55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v>
          </cell>
          <cell r="J553">
            <v>1</v>
          </cell>
          <cell r="K553" t="str">
            <v>$6.000.000</v>
          </cell>
          <cell r="L553">
            <v>45832</v>
          </cell>
          <cell r="M553">
            <v>45893</v>
          </cell>
          <cell r="N553" t="str">
            <v>RIGOBERTO MELO ZAMBRANO</v>
          </cell>
          <cell r="O553">
            <v>98333941</v>
          </cell>
          <cell r="P553" t="str">
            <v>fhalom3@gmail.com</v>
          </cell>
          <cell r="Q553">
            <v>45832</v>
          </cell>
          <cell r="R553" t="str">
            <v>RODRIGO ROSERO</v>
          </cell>
          <cell r="U553" t="str">
            <v>CELEBRADO</v>
          </cell>
          <cell r="W553" t="str">
            <v>2025-0264</v>
          </cell>
          <cell r="X553" t="str">
            <v>2025-0879</v>
          </cell>
          <cell r="AJ553">
            <v>2</v>
          </cell>
          <cell r="AK553">
            <v>0</v>
          </cell>
          <cell r="AL553">
            <v>2</v>
          </cell>
          <cell r="AM553" t="str">
            <v>$6.000.000</v>
          </cell>
        </row>
        <row r="554">
          <cell r="A554" t="str">
            <v>553-2025</v>
          </cell>
          <cell r="B554" t="str">
            <v>PRESTACION DE SERVICIOS</v>
          </cell>
          <cell r="C554" t="str">
            <v>ORFELIA DEL CARMEN OSORIO GUERRERO</v>
          </cell>
          <cell r="D554" t="str">
            <v>CC</v>
          </cell>
          <cell r="E554">
            <v>30722194</v>
          </cell>
          <cell r="F554">
            <v>8</v>
          </cell>
          <cell r="G554" t="str">
            <v xml:space="preserve">CONTRATACION DIRECTA </v>
          </cell>
          <cell r="H554">
            <v>1</v>
          </cell>
          <cell r="I554"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54">
            <v>1</v>
          </cell>
          <cell r="K554" t="str">
            <v>$5.000.000</v>
          </cell>
          <cell r="L554">
            <v>45832</v>
          </cell>
          <cell r="M554">
            <v>45893</v>
          </cell>
          <cell r="N554" t="str">
            <v>DEYANIRA BADOS DAZA</v>
          </cell>
          <cell r="O554">
            <v>59836926</v>
          </cell>
          <cell r="P554" t="str">
            <v>Carmenosorio153@gmail.com</v>
          </cell>
          <cell r="Q554">
            <v>45832</v>
          </cell>
          <cell r="R554" t="str">
            <v>CRISTINA ROSERO</v>
          </cell>
          <cell r="U554" t="str">
            <v>CELEBRADO</v>
          </cell>
          <cell r="W554" t="str">
            <v>2025-0264</v>
          </cell>
          <cell r="X554" t="str">
            <v>2025-0880</v>
          </cell>
          <cell r="AJ554">
            <v>2</v>
          </cell>
          <cell r="AK554">
            <v>0</v>
          </cell>
          <cell r="AL554">
            <v>2</v>
          </cell>
          <cell r="AM554" t="str">
            <v>$5.000.000</v>
          </cell>
        </row>
        <row r="555">
          <cell r="A555" t="str">
            <v>554-2025</v>
          </cell>
          <cell r="B555" t="str">
            <v>PRESTACION DE SERVICIOS</v>
          </cell>
          <cell r="C555" t="str">
            <v>JEISSON STEVEN BASANTE ERAZO</v>
          </cell>
          <cell r="D555" t="str">
            <v>CC</v>
          </cell>
          <cell r="E555">
            <v>1085347173</v>
          </cell>
          <cell r="F555">
            <v>6</v>
          </cell>
          <cell r="G555" t="str">
            <v xml:space="preserve">CONTRATACION DIRECTA </v>
          </cell>
          <cell r="H555">
            <v>1</v>
          </cell>
          <cell r="I55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55">
            <v>1</v>
          </cell>
          <cell r="K555" t="str">
            <v>$5.000.000</v>
          </cell>
          <cell r="L555">
            <v>45832</v>
          </cell>
          <cell r="M555">
            <v>45893</v>
          </cell>
          <cell r="N555" t="str">
            <v>MARY ALEXANDRA ROSERO BENAVIDES</v>
          </cell>
          <cell r="O555">
            <v>43624414</v>
          </cell>
          <cell r="P555" t="str">
            <v>Jekobasante@gmail.com</v>
          </cell>
          <cell r="Q555">
            <v>45832</v>
          </cell>
          <cell r="R555" t="str">
            <v>CRISTINA ROSERO</v>
          </cell>
          <cell r="U555" t="str">
            <v>CELEBRADO</v>
          </cell>
          <cell r="W555" t="str">
            <v>2025-0264</v>
          </cell>
          <cell r="X555" t="str">
            <v>2025-0881</v>
          </cell>
          <cell r="AJ555">
            <v>2</v>
          </cell>
          <cell r="AK555">
            <v>0</v>
          </cell>
          <cell r="AL555">
            <v>2</v>
          </cell>
          <cell r="AM555" t="str">
            <v>$5.000.000</v>
          </cell>
        </row>
        <row r="556">
          <cell r="A556" t="str">
            <v>555-2025</v>
          </cell>
          <cell r="B556" t="str">
            <v>PRESTACION DE SERVICIOS</v>
          </cell>
          <cell r="C556" t="str">
            <v>RENE MARTINEZ MARTINEZ</v>
          </cell>
          <cell r="D556" t="str">
            <v>CC</v>
          </cell>
          <cell r="E556">
            <v>98398650</v>
          </cell>
          <cell r="F556">
            <v>2</v>
          </cell>
          <cell r="G556" t="str">
            <v xml:space="preserve">CONTRATACION DIRECTA </v>
          </cell>
          <cell r="H556">
            <v>1</v>
          </cell>
          <cell r="I556"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56">
            <v>1</v>
          </cell>
          <cell r="K556" t="str">
            <v>$9.500.000</v>
          </cell>
          <cell r="L556">
            <v>45832</v>
          </cell>
          <cell r="M556">
            <v>45893</v>
          </cell>
          <cell r="N556" t="str">
            <v>RIGOBERTO MELO ZAMBRANO</v>
          </cell>
          <cell r="O556">
            <v>98333941</v>
          </cell>
          <cell r="P556" t="str">
            <v>rene38@hotmail.com.</v>
          </cell>
          <cell r="Q556">
            <v>45832</v>
          </cell>
          <cell r="R556" t="str">
            <v>ELIANA BENAVIDES</v>
          </cell>
          <cell r="U556" t="str">
            <v>CELEBRADO</v>
          </cell>
          <cell r="W556" t="str">
            <v>2025-0264</v>
          </cell>
          <cell r="X556" t="str">
            <v>2025-0882</v>
          </cell>
          <cell r="AJ556">
            <v>2</v>
          </cell>
          <cell r="AK556">
            <v>0</v>
          </cell>
          <cell r="AL556">
            <v>2</v>
          </cell>
          <cell r="AM556" t="str">
            <v>$9.500.000</v>
          </cell>
        </row>
        <row r="557">
          <cell r="A557" t="str">
            <v>556-2025</v>
          </cell>
          <cell r="B557" t="str">
            <v>PRESTACION DE SERVICIOS</v>
          </cell>
          <cell r="C557" t="str">
            <v>TANIA KARINA CUERO CASANOVA</v>
          </cell>
          <cell r="D557" t="str">
            <v>CC</v>
          </cell>
          <cell r="E557">
            <v>1004235479</v>
          </cell>
          <cell r="F557">
            <v>9</v>
          </cell>
          <cell r="G557" t="str">
            <v xml:space="preserve">CONTRATACION DIRECTA </v>
          </cell>
          <cell r="H557">
            <v>1</v>
          </cell>
          <cell r="I55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57">
            <v>1</v>
          </cell>
          <cell r="K557" t="str">
            <v>$6.000.000</v>
          </cell>
          <cell r="L557">
            <v>45832</v>
          </cell>
          <cell r="M557">
            <v>45893</v>
          </cell>
          <cell r="N557" t="str">
            <v>RIGOBERTO MELO ZAMBRANO</v>
          </cell>
          <cell r="O557">
            <v>98333941</v>
          </cell>
          <cell r="P557" t="str">
            <v>casanovat322@gmail.com</v>
          </cell>
          <cell r="Q557">
            <v>45832</v>
          </cell>
          <cell r="R557" t="str">
            <v>CRISTINA ROSERO</v>
          </cell>
          <cell r="U557" t="str">
            <v>CELEBRADO</v>
          </cell>
          <cell r="W557" t="str">
            <v>2025-0264</v>
          </cell>
          <cell r="X557" t="str">
            <v>2025-0884</v>
          </cell>
          <cell r="AJ557">
            <v>2</v>
          </cell>
          <cell r="AK557">
            <v>0</v>
          </cell>
          <cell r="AL557">
            <v>2</v>
          </cell>
          <cell r="AM557" t="str">
            <v>$6.000.000</v>
          </cell>
        </row>
        <row r="558">
          <cell r="A558" t="str">
            <v>557-2025</v>
          </cell>
          <cell r="B558" t="str">
            <v>PRESTACION DE SERVICIOS</v>
          </cell>
          <cell r="C558" t="str">
            <v xml:space="preserve"> DIANA MARCELA RODRIGUEZ MORA</v>
          </cell>
          <cell r="D558" t="str">
            <v>CC</v>
          </cell>
          <cell r="E558">
            <v>1085299577</v>
          </cell>
          <cell r="F558">
            <v>1</v>
          </cell>
          <cell r="G558" t="str">
            <v xml:space="preserve">CONTRATACION DIRECTA </v>
          </cell>
          <cell r="H558">
            <v>1</v>
          </cell>
          <cell r="I558"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558">
            <v>1</v>
          </cell>
          <cell r="K558" t="str">
            <v>$12.000.000</v>
          </cell>
          <cell r="L558">
            <v>45832</v>
          </cell>
          <cell r="M558">
            <v>45893</v>
          </cell>
          <cell r="N558" t="str">
            <v xml:space="preserve">	RODRIGO DE JESUS VITERI MORENO</v>
          </cell>
          <cell r="O558">
            <v>98390119</v>
          </cell>
          <cell r="P558" t="str">
            <v>rodriguez.diana9208@gmail.com</v>
          </cell>
          <cell r="Q558">
            <v>45832</v>
          </cell>
          <cell r="R558" t="str">
            <v>RODRIGO ROSERO</v>
          </cell>
          <cell r="U558" t="str">
            <v>CELEBRADO</v>
          </cell>
          <cell r="W558" t="str">
            <v>2025-0264</v>
          </cell>
          <cell r="X558" t="str">
            <v>2025-0885</v>
          </cell>
          <cell r="AJ558">
            <v>2</v>
          </cell>
          <cell r="AK558">
            <v>0</v>
          </cell>
          <cell r="AL558">
            <v>2</v>
          </cell>
          <cell r="AM558" t="str">
            <v>$12.000.000</v>
          </cell>
        </row>
        <row r="559">
          <cell r="A559" t="str">
            <v>558-2025</v>
          </cell>
          <cell r="B559" t="str">
            <v>PRESTACION DE SERVICIOS</v>
          </cell>
          <cell r="C559" t="str">
            <v xml:space="preserve"> NAYIBI ALEJANDRA TORRES ROSERO</v>
          </cell>
          <cell r="D559" t="str">
            <v>CC</v>
          </cell>
          <cell r="E559">
            <v>1233193191</v>
          </cell>
          <cell r="F559">
            <v>2</v>
          </cell>
          <cell r="G559" t="str">
            <v xml:space="preserve">CONTRATACION DIRECTA </v>
          </cell>
          <cell r="H559">
            <v>1</v>
          </cell>
          <cell r="I559"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v>
          </cell>
          <cell r="J559">
            <v>1</v>
          </cell>
          <cell r="K559" t="str">
            <v>$6.000.000</v>
          </cell>
          <cell r="L559">
            <v>45832</v>
          </cell>
          <cell r="M559">
            <v>45893</v>
          </cell>
          <cell r="N559" t="str">
            <v>RIGOBERTO MELO ZAMBRANO</v>
          </cell>
          <cell r="O559">
            <v>98333941</v>
          </cell>
          <cell r="P559" t="str">
            <v xml:space="preserve"> ven130399@gmail.com </v>
          </cell>
          <cell r="Q559">
            <v>45832</v>
          </cell>
          <cell r="R559" t="str">
            <v>CRISTINA ROSERO</v>
          </cell>
          <cell r="U559" t="str">
            <v>CELEBRADO</v>
          </cell>
          <cell r="W559" t="str">
            <v>2025-0264</v>
          </cell>
          <cell r="X559" t="str">
            <v>2025-0886</v>
          </cell>
          <cell r="AJ559">
            <v>2</v>
          </cell>
          <cell r="AK559">
            <v>0</v>
          </cell>
          <cell r="AL559">
            <v>2</v>
          </cell>
          <cell r="AM559" t="str">
            <v>$6.000.000</v>
          </cell>
        </row>
        <row r="560">
          <cell r="A560" t="str">
            <v>559-2025</v>
          </cell>
          <cell r="B560" t="str">
            <v>SUMINISTROS</v>
          </cell>
          <cell r="C560" t="str">
            <v xml:space="preserve"> FUERTES MEJIA MEDICAMENTOS Y DISPOSITIVOS MEDICOS S.A.S.,</v>
          </cell>
          <cell r="D560" t="str">
            <v>NIT</v>
          </cell>
          <cell r="E560">
            <v>901563478</v>
          </cell>
          <cell r="F560">
            <v>1</v>
          </cell>
          <cell r="G560" t="str">
            <v>BIONEXO</v>
          </cell>
          <cell r="H560">
            <v>2</v>
          </cell>
          <cell r="I560" t="str">
            <v>El contratista se obliga al suministro de los medicamentos en las cantidades establecidas en el anexo 1, el cual hace parte integral del contrato. Para la ESE Pasto Salud.</v>
          </cell>
          <cell r="J560">
            <v>1</v>
          </cell>
          <cell r="K560" t="str">
            <v>$267.075.328,50</v>
          </cell>
          <cell r="L560">
            <v>45833</v>
          </cell>
          <cell r="M560">
            <v>45930</v>
          </cell>
          <cell r="N560" t="str">
            <v>NENA DEL CARMEN RAMIREZ RAMIREZ</v>
          </cell>
          <cell r="O560">
            <v>30732589</v>
          </cell>
          <cell r="P560" t="str">
            <v xml:space="preserve"> contabilidad@fuertesmejia.com.co</v>
          </cell>
          <cell r="Q560">
            <v>45833</v>
          </cell>
          <cell r="R560" t="str">
            <v>CRISTINA ROSERO</v>
          </cell>
          <cell r="U560" t="str">
            <v>CELEBRADO</v>
          </cell>
          <cell r="W560" t="str">
            <v>2025-0265</v>
          </cell>
          <cell r="X560" t="str">
            <v>2025-0893</v>
          </cell>
          <cell r="AJ560">
            <v>2</v>
          </cell>
          <cell r="AK560">
            <v>0</v>
          </cell>
          <cell r="AL560">
            <v>2</v>
          </cell>
          <cell r="AM560" t="str">
            <v>$267.075.328,50</v>
          </cell>
        </row>
        <row r="561">
          <cell r="A561" t="str">
            <v>560-2025</v>
          </cell>
          <cell r="B561" t="str">
            <v>SUMINISTROS</v>
          </cell>
          <cell r="C561" t="str">
            <v>RAMEDICAS S.A.S.</v>
          </cell>
          <cell r="D561" t="str">
            <v>NIT</v>
          </cell>
          <cell r="E561">
            <v>901429936</v>
          </cell>
          <cell r="F561">
            <v>1</v>
          </cell>
          <cell r="G561" t="str">
            <v>BIONEXO</v>
          </cell>
          <cell r="H561">
            <v>2</v>
          </cell>
          <cell r="I561" t="str">
            <v>El contratista se obliga al suministro de los medicamentos en las cantidades establecidas en el anexo 1, el cual hace parte integral del contrato. Para la ESE Pasto Salud.</v>
          </cell>
          <cell r="J561">
            <v>3</v>
          </cell>
          <cell r="K561" t="str">
            <v>$805.129.209</v>
          </cell>
          <cell r="L561">
            <v>45833</v>
          </cell>
          <cell r="M561">
            <v>45930</v>
          </cell>
          <cell r="N561" t="str">
            <v>NENA DEL CARMEN RAMIREZ RAMIREZ</v>
          </cell>
          <cell r="O561">
            <v>30732589</v>
          </cell>
          <cell r="P561" t="str">
            <v>administración@ramedicas.com</v>
          </cell>
          <cell r="Q561">
            <v>45833</v>
          </cell>
          <cell r="R561" t="str">
            <v>CRISTINA ROSERO</v>
          </cell>
          <cell r="U561" t="str">
            <v>CELEBRADO</v>
          </cell>
          <cell r="W561" t="str">
            <v>2025-0265</v>
          </cell>
          <cell r="X561" t="str">
            <v>2025-0894</v>
          </cell>
          <cell r="AJ561">
            <v>2</v>
          </cell>
          <cell r="AK561">
            <v>0</v>
          </cell>
          <cell r="AL561">
            <v>2</v>
          </cell>
          <cell r="AM561" t="str">
            <v>$805.129.209</v>
          </cell>
        </row>
        <row r="562">
          <cell r="A562" t="str">
            <v>561-2025</v>
          </cell>
          <cell r="B562" t="str">
            <v>SUMINISTROS</v>
          </cell>
          <cell r="C562" t="str">
            <v xml:space="preserve"> COOPERATIVA DE GESTION
FARMACEUTICA INTEGRAL EN REORGANIZACIÓN ( CFARMA.)</v>
          </cell>
          <cell r="D562" t="str">
            <v>NIT</v>
          </cell>
          <cell r="E562">
            <v>900062612</v>
          </cell>
          <cell r="F562">
            <v>8</v>
          </cell>
          <cell r="G562" t="str">
            <v>BIONEXO</v>
          </cell>
          <cell r="H562">
            <v>2</v>
          </cell>
          <cell r="I562" t="str">
            <v>El contratista se obliga al suministro de los medicamentos en las cantidades establecidas en el anexo 1, el cual hace parte integral del contrato. Para la ESE Pasto Salud.</v>
          </cell>
          <cell r="J562">
            <v>3</v>
          </cell>
          <cell r="K562" t="str">
            <v>$44.959.467</v>
          </cell>
          <cell r="L562">
            <v>45833</v>
          </cell>
          <cell r="M562">
            <v>45930</v>
          </cell>
          <cell r="N562" t="str">
            <v>NENA DEL CARMEN RAMIREZ RAMIREZ</v>
          </cell>
          <cell r="O562">
            <v>30732589</v>
          </cell>
          <cell r="P562" t="str">
            <v>notificaciones@cfarma.com.co</v>
          </cell>
          <cell r="Q562">
            <v>45833</v>
          </cell>
          <cell r="R562" t="str">
            <v>ELIANA BENAVIDES</v>
          </cell>
          <cell r="U562" t="str">
            <v>CELEBRADO</v>
          </cell>
          <cell r="W562" t="str">
            <v>2025-0265</v>
          </cell>
          <cell r="X562" t="str">
            <v>2025-0895</v>
          </cell>
          <cell r="AJ562">
            <v>2</v>
          </cell>
          <cell r="AK562">
            <v>0</v>
          </cell>
          <cell r="AL562">
            <v>2</v>
          </cell>
          <cell r="AM562" t="str">
            <v>$44.959.467</v>
          </cell>
        </row>
        <row r="563">
          <cell r="A563" t="str">
            <v>562-2025</v>
          </cell>
          <cell r="B563" t="str">
            <v>SUMINISTROS</v>
          </cell>
          <cell r="C563" t="str">
            <v xml:space="preserve"> FUERTES MEJIA MEDICAMENTOS Y DISPOSITIVOS MEDICOS SAS</v>
          </cell>
          <cell r="D563" t="str">
            <v>NIT</v>
          </cell>
          <cell r="E563">
            <v>901565478</v>
          </cell>
          <cell r="F563">
            <v>1</v>
          </cell>
          <cell r="G563" t="str">
            <v xml:space="preserve">CONTRATACION DIRECTA </v>
          </cell>
          <cell r="H563">
            <v>2</v>
          </cell>
          <cell r="I563" t="str">
            <v xml:space="preserve"> El contratista se obliga al suministro del material médico quirúrgico en las cantidades establecidas en el anexo 1, el cual hace parte integral del contrato. Para la ESE Pasto Salud.</v>
          </cell>
          <cell r="J563">
            <v>3</v>
          </cell>
          <cell r="K563" t="str">
            <v>$15.037.429</v>
          </cell>
          <cell r="L563">
            <v>45833</v>
          </cell>
          <cell r="M563">
            <v>45869</v>
          </cell>
          <cell r="N563" t="str">
            <v>NENA DEL CARMEN RAMIREZ RAMIREZ</v>
          </cell>
          <cell r="O563">
            <v>30732589</v>
          </cell>
          <cell r="P563" t="str">
            <v xml:space="preserve"> contabilidad@fuertesmejia.com.co</v>
          </cell>
          <cell r="Q563">
            <v>45833</v>
          </cell>
          <cell r="R563" t="str">
            <v>NATALIA ERAZO</v>
          </cell>
          <cell r="U563" t="str">
            <v>CELEBRADO</v>
          </cell>
          <cell r="W563" t="str">
            <v>2025-0222</v>
          </cell>
          <cell r="X563" t="str">
            <v>2025-0896</v>
          </cell>
          <cell r="AJ563">
            <v>2</v>
          </cell>
          <cell r="AK563">
            <v>0</v>
          </cell>
          <cell r="AL563">
            <v>2</v>
          </cell>
          <cell r="AM563" t="str">
            <v>$15.037.429</v>
          </cell>
        </row>
        <row r="564">
          <cell r="A564" t="str">
            <v>563-2025</v>
          </cell>
          <cell r="B564" t="str">
            <v>SUMINISTROS</v>
          </cell>
          <cell r="C564" t="str">
            <v xml:space="preserve"> FUERTES MEJIA MEDICAMENTOS Y DISPOSITIVOS SAS</v>
          </cell>
          <cell r="D564" t="str">
            <v>NIT</v>
          </cell>
          <cell r="E564">
            <v>901565478</v>
          </cell>
          <cell r="F564">
            <v>1</v>
          </cell>
          <cell r="G564" t="str">
            <v xml:space="preserve">CONTRATACION DIRECTA </v>
          </cell>
          <cell r="H564">
            <v>2</v>
          </cell>
          <cell r="I564" t="str">
            <v>El contratista se obliga al suministro de los medicamentos en las cantidades establecidas en el anexo 1, el cual hace parte integral del contrato. Para la ESE Pasto Salud.</v>
          </cell>
          <cell r="J564">
            <v>3</v>
          </cell>
          <cell r="K564" t="str">
            <v>$1.810.400</v>
          </cell>
          <cell r="L564">
            <v>45833</v>
          </cell>
          <cell r="M564">
            <v>45961</v>
          </cell>
          <cell r="N564" t="str">
            <v>NENA DEL CARMEN RAMIREZ RAMIREZ</v>
          </cell>
          <cell r="O564">
            <v>30732589</v>
          </cell>
          <cell r="P564" t="str">
            <v xml:space="preserve"> contabilidad@fuertesmejia.com.co</v>
          </cell>
          <cell r="Q564">
            <v>45833</v>
          </cell>
          <cell r="R564" t="str">
            <v>ANDRES GUERRA</v>
          </cell>
          <cell r="U564" t="str">
            <v>CELEBRADO</v>
          </cell>
          <cell r="W564" t="str">
            <v>2025-0286</v>
          </cell>
          <cell r="X564" t="str">
            <v>2025-0897</v>
          </cell>
          <cell r="AJ564">
            <v>2</v>
          </cell>
          <cell r="AK564">
            <v>0</v>
          </cell>
          <cell r="AL564">
            <v>2</v>
          </cell>
          <cell r="AM564" t="str">
            <v>$1.810.400</v>
          </cell>
        </row>
        <row r="565">
          <cell r="A565" t="str">
            <v>564-2025</v>
          </cell>
          <cell r="B565" t="str">
            <v>PRESTACION DE SERVICIOS</v>
          </cell>
          <cell r="C565" t="str">
            <v>LUCIA PATRICIA URBANO VALLEJO</v>
          </cell>
          <cell r="D565" t="str">
            <v>CC</v>
          </cell>
          <cell r="E565">
            <v>59310853</v>
          </cell>
          <cell r="F565">
            <v>0</v>
          </cell>
          <cell r="G565" t="str">
            <v xml:space="preserve">CONTRATACION DIRECTA </v>
          </cell>
          <cell r="H565">
            <v>1</v>
          </cell>
          <cell r="I56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65">
            <v>1</v>
          </cell>
          <cell r="K565" t="str">
            <v>$6.000.000</v>
          </cell>
          <cell r="L565">
            <v>45833</v>
          </cell>
          <cell r="M565">
            <v>45894</v>
          </cell>
          <cell r="N565" t="str">
            <v>MARY ALEXANDRA ROSERO BENAVIDES</v>
          </cell>
          <cell r="O565">
            <v>43624414</v>
          </cell>
          <cell r="P565" t="str">
            <v xml:space="preserve"> patriciaurbano1983@outlook.com</v>
          </cell>
          <cell r="Q565">
            <v>45833</v>
          </cell>
          <cell r="R565" t="str">
            <v>CRISTINA ROSERO</v>
          </cell>
          <cell r="U565" t="str">
            <v>CELEBRADO</v>
          </cell>
          <cell r="W565" t="str">
            <v>2025-0264</v>
          </cell>
          <cell r="X565" t="str">
            <v>2025-0898</v>
          </cell>
          <cell r="AJ565">
            <v>2</v>
          </cell>
          <cell r="AK565">
            <v>0</v>
          </cell>
          <cell r="AL565">
            <v>2</v>
          </cell>
          <cell r="AM565" t="str">
            <v>$6.000.000</v>
          </cell>
        </row>
        <row r="566">
          <cell r="A566" t="str">
            <v>565-2025</v>
          </cell>
          <cell r="B566" t="str">
            <v>PRESTACION DE SERVICIOS</v>
          </cell>
          <cell r="C566" t="str">
            <v>EDIER ERNEY CORDOBA ROJAS</v>
          </cell>
          <cell r="D566" t="str">
            <v>CC</v>
          </cell>
          <cell r="E566">
            <v>1085326791</v>
          </cell>
          <cell r="F566">
            <v>8</v>
          </cell>
          <cell r="G566" t="str">
            <v xml:space="preserve">CONTRATACION DIRECTA </v>
          </cell>
          <cell r="H566">
            <v>1</v>
          </cell>
          <cell r="I566"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v>
          </cell>
          <cell r="J566">
            <v>1</v>
          </cell>
          <cell r="K566" t="str">
            <v>$6.000.000</v>
          </cell>
          <cell r="L566">
            <v>45833</v>
          </cell>
          <cell r="M566">
            <v>45894</v>
          </cell>
          <cell r="N566" t="str">
            <v xml:space="preserve">	RODRIGO DE JESUS VITERI MORENO</v>
          </cell>
          <cell r="O566">
            <v>98390119</v>
          </cell>
          <cell r="P566" t="str">
            <v>ediercor895@gmail.com</v>
          </cell>
          <cell r="Q566">
            <v>45833</v>
          </cell>
          <cell r="R566" t="str">
            <v>ANDRES GUERRA</v>
          </cell>
          <cell r="U566" t="str">
            <v>CELEBRADO</v>
          </cell>
          <cell r="W566" t="str">
            <v>2025-0264</v>
          </cell>
          <cell r="X566" t="str">
            <v>2025-0899</v>
          </cell>
          <cell r="AJ566">
            <v>2</v>
          </cell>
          <cell r="AK566">
            <v>0</v>
          </cell>
          <cell r="AL566">
            <v>2</v>
          </cell>
          <cell r="AM566" t="str">
            <v>$6.000.000</v>
          </cell>
        </row>
        <row r="567">
          <cell r="A567" t="str">
            <v>566-2025</v>
          </cell>
          <cell r="B567" t="str">
            <v>PRESTACION DE SERVICIOS</v>
          </cell>
          <cell r="C567" t="str">
            <v>ANYELY ROCIO LOPEZ ROSERO</v>
          </cell>
          <cell r="D567" t="str">
            <v>CC</v>
          </cell>
          <cell r="E567">
            <v>27436186</v>
          </cell>
          <cell r="F567">
            <v>1</v>
          </cell>
          <cell r="G567" t="str">
            <v xml:space="preserve">CONTRATACION DIRECTA </v>
          </cell>
          <cell r="H567">
            <v>1</v>
          </cell>
          <cell r="I56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567">
            <v>1</v>
          </cell>
          <cell r="K567" t="str">
            <v>$6.000.000</v>
          </cell>
          <cell r="L567">
            <v>45833</v>
          </cell>
          <cell r="M567">
            <v>45894</v>
          </cell>
          <cell r="N567" t="str">
            <v>RIGOBERTO MELO ZAMBRANO</v>
          </cell>
          <cell r="O567">
            <v>98333941</v>
          </cell>
          <cell r="P567" t="str">
            <v>anyelilopez2743@gmail.com</v>
          </cell>
          <cell r="Q567">
            <v>45833</v>
          </cell>
          <cell r="R567" t="str">
            <v>ANDRES GUERRA</v>
          </cell>
          <cell r="U567" t="str">
            <v>CELEBRADO</v>
          </cell>
          <cell r="W567" t="str">
            <v>2025-0264</v>
          </cell>
          <cell r="X567" t="str">
            <v>2025-0900</v>
          </cell>
          <cell r="AJ567">
            <v>2</v>
          </cell>
          <cell r="AK567">
            <v>0</v>
          </cell>
          <cell r="AL567">
            <v>2</v>
          </cell>
          <cell r="AM567" t="str">
            <v>$6.000.000</v>
          </cell>
        </row>
        <row r="568">
          <cell r="A568" t="str">
            <v>567-2025</v>
          </cell>
          <cell r="B568" t="str">
            <v>PRESTACION DE SERVICIOS</v>
          </cell>
          <cell r="C568" t="str">
            <v>CAROLINA ISABEL PORTILLA TEPUD</v>
          </cell>
          <cell r="D568" t="str">
            <v>CC</v>
          </cell>
          <cell r="E568">
            <v>1085254626</v>
          </cell>
          <cell r="F568">
            <v>0</v>
          </cell>
          <cell r="G568" t="str">
            <v xml:space="preserve">CONTRATACION DIRECTA </v>
          </cell>
          <cell r="H568">
            <v>1</v>
          </cell>
          <cell r="I568" t="str">
            <v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v>
          </cell>
          <cell r="J568">
            <v>1</v>
          </cell>
          <cell r="K568" t="str">
            <v>$12.000.000</v>
          </cell>
          <cell r="L568">
            <v>45833</v>
          </cell>
          <cell r="M568">
            <v>45894</v>
          </cell>
          <cell r="N568" t="str">
            <v xml:space="preserve">	RODRIGO DE JESUS VITERI MORENO</v>
          </cell>
          <cell r="O568">
            <v>98390119</v>
          </cell>
          <cell r="P568" t="str">
            <v xml:space="preserve"> caritosalo2905@gmail.com</v>
          </cell>
          <cell r="Q568">
            <v>45833</v>
          </cell>
          <cell r="R568" t="str">
            <v>ELIANA BENAVIDES</v>
          </cell>
          <cell r="U568" t="str">
            <v>CELEBRADO</v>
          </cell>
          <cell r="W568" t="str">
            <v>2025-0264</v>
          </cell>
          <cell r="X568" t="str">
            <v>2025-0901</v>
          </cell>
          <cell r="AJ568">
            <v>2</v>
          </cell>
          <cell r="AK568">
            <v>0</v>
          </cell>
          <cell r="AL568">
            <v>2</v>
          </cell>
          <cell r="AM568" t="str">
            <v>$12.000.000</v>
          </cell>
        </row>
        <row r="569">
          <cell r="A569" t="str">
            <v>568-2025</v>
          </cell>
          <cell r="B569" t="str">
            <v>PRESTACION DE SERVICIOS</v>
          </cell>
          <cell r="C569" t="str">
            <v>CRISTIAN FABIAN CRIOLLO RIVERA</v>
          </cell>
          <cell r="D569" t="str">
            <v>CC</v>
          </cell>
          <cell r="E569">
            <v>1192717330</v>
          </cell>
          <cell r="F569">
            <v>2</v>
          </cell>
          <cell r="G569" t="str">
            <v xml:space="preserve">CONTRATACION DIRECTA </v>
          </cell>
          <cell r="H569">
            <v>1</v>
          </cell>
          <cell r="I569"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v>
          </cell>
          <cell r="J569">
            <v>1</v>
          </cell>
          <cell r="K569" t="str">
            <v>$6.000.000</v>
          </cell>
          <cell r="L569">
            <v>45833</v>
          </cell>
          <cell r="M569">
            <v>45894</v>
          </cell>
          <cell r="N569" t="str">
            <v>RIGOBERTO MELO ZAMBRANO</v>
          </cell>
          <cell r="O569">
            <v>98333941</v>
          </cell>
          <cell r="P569" t="str">
            <v>cristiancriollo773@gmail.com</v>
          </cell>
          <cell r="Q569">
            <v>45833</v>
          </cell>
          <cell r="R569" t="str">
            <v>CRISTINA ROSERO</v>
          </cell>
          <cell r="U569" t="str">
            <v>CELEBRADO</v>
          </cell>
          <cell r="W569" t="str">
            <v>2025-0264</v>
          </cell>
          <cell r="X569" t="str">
            <v>2025-0902</v>
          </cell>
          <cell r="AJ569">
            <v>2</v>
          </cell>
          <cell r="AK569">
            <v>0</v>
          </cell>
          <cell r="AL569">
            <v>2</v>
          </cell>
          <cell r="AM569" t="str">
            <v>$6.000.000</v>
          </cell>
        </row>
        <row r="570">
          <cell r="A570" t="str">
            <v>569-2025</v>
          </cell>
          <cell r="B570" t="str">
            <v>PRESTACION DE SERVICIOS</v>
          </cell>
          <cell r="C570" t="str">
            <v xml:space="preserve"> YULI SUSANA CULCHA CUPACAN</v>
          </cell>
          <cell r="D570" t="str">
            <v>CC</v>
          </cell>
          <cell r="E570">
            <v>1087408320</v>
          </cell>
          <cell r="F570">
            <v>2</v>
          </cell>
          <cell r="G570" t="str">
            <v xml:space="preserve">CONTRATACION DIRECTA </v>
          </cell>
          <cell r="H570">
            <v>1</v>
          </cell>
          <cell r="I570"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70">
            <v>1</v>
          </cell>
          <cell r="K570" t="str">
            <v>$5.000.000</v>
          </cell>
          <cell r="L570">
            <v>45833</v>
          </cell>
          <cell r="M570">
            <v>45894</v>
          </cell>
          <cell r="N570" t="str">
            <v xml:space="preserve">	RODRIGO DE JESUS VITERI MORENO</v>
          </cell>
          <cell r="O570">
            <v>98390119</v>
          </cell>
          <cell r="P570" t="str">
            <v>yuliza006@gmail.com</v>
          </cell>
          <cell r="Q570">
            <v>45833</v>
          </cell>
          <cell r="R570" t="str">
            <v>RODRIGO ROSERO</v>
          </cell>
          <cell r="U570" t="str">
            <v>CELEBRADO</v>
          </cell>
          <cell r="W570" t="str">
            <v>2025-0264</v>
          </cell>
          <cell r="X570" t="str">
            <v>2025-0903</v>
          </cell>
          <cell r="AJ570">
            <v>2</v>
          </cell>
          <cell r="AK570">
            <v>0</v>
          </cell>
          <cell r="AL570">
            <v>2</v>
          </cell>
          <cell r="AM570" t="str">
            <v>$5.000.000</v>
          </cell>
        </row>
        <row r="571">
          <cell r="A571" t="str">
            <v>570-2025</v>
          </cell>
          <cell r="B571" t="str">
            <v>SUMINISTROS</v>
          </cell>
          <cell r="C571" t="str">
            <v>OXÍGENOS DEL SUR S.A.S,</v>
          </cell>
          <cell r="D571" t="str">
            <v>NIT</v>
          </cell>
          <cell r="E571">
            <v>814004018</v>
          </cell>
          <cell r="F571">
            <v>3</v>
          </cell>
          <cell r="G571" t="str">
            <v xml:space="preserve">CONTRATACION DIRECTA </v>
          </cell>
          <cell r="H571">
            <v>2</v>
          </cell>
          <cell r="I571" t="str">
            <v xml:space="preserve">Suministro de oxígeno medicinal institucional y domiciliario para los pacientes que lo requieran y que han sido atendidos en las sedes de la red de Pasto Salud ESE y suministro de dióxido de carbono medicinal </v>
          </cell>
          <cell r="J571">
            <v>1</v>
          </cell>
          <cell r="K571" t="str">
            <v>$41.671.450</v>
          </cell>
          <cell r="L571">
            <v>45834</v>
          </cell>
          <cell r="M571">
            <v>46022</v>
          </cell>
          <cell r="N571" t="str">
            <v>NENA DEL CARMEN RAMIREZ RAMIREZ</v>
          </cell>
          <cell r="O571">
            <v>30732589</v>
          </cell>
          <cell r="P571" t="str">
            <v xml:space="preserve">contabilidad@oxigenosdelsur.com. </v>
          </cell>
          <cell r="Q571">
            <v>45834</v>
          </cell>
          <cell r="R571" t="str">
            <v>ANDRES GUERRA</v>
          </cell>
          <cell r="U571" t="str">
            <v>CELEBRADO</v>
          </cell>
          <cell r="W571" t="str">
            <v>2025-0290</v>
          </cell>
          <cell r="X571" t="str">
            <v>2025-0913</v>
          </cell>
          <cell r="AJ571">
            <v>2</v>
          </cell>
          <cell r="AK571">
            <v>0</v>
          </cell>
          <cell r="AL571">
            <v>2</v>
          </cell>
          <cell r="AM571" t="str">
            <v>$41.671.450</v>
          </cell>
        </row>
        <row r="572">
          <cell r="A572" t="str">
            <v>571-2025</v>
          </cell>
          <cell r="B572" t="str">
            <v>SUMINISTROS</v>
          </cell>
          <cell r="C572" t="str">
            <v xml:space="preserve"> TEX LUMAR</v>
          </cell>
          <cell r="D572" t="str">
            <v>NIT</v>
          </cell>
          <cell r="E572">
            <v>37084004</v>
          </cell>
          <cell r="F572">
            <v>4</v>
          </cell>
          <cell r="G572" t="str">
            <v xml:space="preserve">CONTRATACION DIRECTA </v>
          </cell>
          <cell r="H572">
            <v>2</v>
          </cell>
          <cell r="I572" t="str">
            <v>SUMINISTRO DE DOTACIÓN CONSISTENTE EN LA ENTREGA DE VESTIDO Y CALZADO DE LABOR PARA LOS EMPLEADOS PÚBLICOS Y TRABAJADORES OFICIALES DE LA EMPRESA SOCIAL DEL ESTADO PASTO SALUD E.S.E.. QUE PERTENECEN AL PERSONAL DE AMBULANCIA (CONDUCTORES), ALMACÉN (CABALLERO) Y ARCHIVO (CABALLERO).</v>
          </cell>
          <cell r="J572">
            <v>1</v>
          </cell>
          <cell r="K572" t="str">
            <v xml:space="preserve">$35.082.604,66
</v>
          </cell>
          <cell r="L572">
            <v>45834</v>
          </cell>
          <cell r="M572">
            <v>45961</v>
          </cell>
          <cell r="N572" t="str">
            <v xml:space="preserve">	ANGELA DANIELA RODRIGUEZ GOYES</v>
          </cell>
          <cell r="O572">
            <v>1085283617</v>
          </cell>
          <cell r="P572" t="str">
            <v>texlumar@hotmail.com</v>
          </cell>
          <cell r="Q572">
            <v>45834</v>
          </cell>
          <cell r="R572" t="str">
            <v>CRISTINA ROSERO</v>
          </cell>
          <cell r="U572" t="str">
            <v>CELEBRADO</v>
          </cell>
          <cell r="W572" t="str">
            <v>2025-0202</v>
          </cell>
          <cell r="X572" t="str">
            <v>2025-0915</v>
          </cell>
          <cell r="AJ572">
            <v>2</v>
          </cell>
          <cell r="AK572">
            <v>0</v>
          </cell>
          <cell r="AL572">
            <v>2</v>
          </cell>
          <cell r="AM572" t="str">
            <v xml:space="preserve">$35.082.604,66
</v>
          </cell>
        </row>
        <row r="573">
          <cell r="A573" t="str">
            <v>572-2025</v>
          </cell>
          <cell r="B573" t="str">
            <v>PRESTACION DE SERVICIOS</v>
          </cell>
          <cell r="C573" t="str">
            <v>DANIELA FERNANDA ERASO VALENCIA</v>
          </cell>
          <cell r="D573" t="str">
            <v>CC</v>
          </cell>
          <cell r="E573">
            <v>1085275879</v>
          </cell>
          <cell r="F573">
            <v>7</v>
          </cell>
          <cell r="G573" t="str">
            <v xml:space="preserve">CONTRATACION DIRECTA </v>
          </cell>
          <cell r="H573">
            <v>1</v>
          </cell>
          <cell r="I57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73">
            <v>1</v>
          </cell>
          <cell r="K573" t="str">
            <v>$12.000.000.</v>
          </cell>
          <cell r="L573">
            <v>45834</v>
          </cell>
          <cell r="M573">
            <v>45895</v>
          </cell>
          <cell r="N573" t="str">
            <v>RIGOBERTO MELO ZAMBRANO</v>
          </cell>
          <cell r="O573">
            <v>98333941</v>
          </cell>
          <cell r="P573" t="str">
            <v>danielafervalencia 10@gmail.com</v>
          </cell>
          <cell r="Q573">
            <v>45834</v>
          </cell>
          <cell r="R573" t="str">
            <v>ELIANA BENAVIDES</v>
          </cell>
          <cell r="U573" t="str">
            <v>CELEBRADO</v>
          </cell>
          <cell r="W573" t="str">
            <v>2025-0264</v>
          </cell>
          <cell r="X573" t="str">
            <v>2025-0916</v>
          </cell>
          <cell r="AJ573">
            <v>2</v>
          </cell>
          <cell r="AK573">
            <v>0</v>
          </cell>
          <cell r="AL573">
            <v>2</v>
          </cell>
          <cell r="AM573" t="str">
            <v>$12.000.000.</v>
          </cell>
        </row>
        <row r="574">
          <cell r="A574" t="str">
            <v>573-2025</v>
          </cell>
          <cell r="B574" t="str">
            <v>PRESTACION DE SERVICIOS</v>
          </cell>
          <cell r="C574" t="str">
            <v>BRIGIT ESNIT GARCIA MANCHABAJOY</v>
          </cell>
          <cell r="D574" t="str">
            <v>CC</v>
          </cell>
          <cell r="E574">
            <v>1004535234</v>
          </cell>
          <cell r="F574">
            <v>9</v>
          </cell>
          <cell r="G574" t="str">
            <v xml:space="preserve">CONTRATACION DIRECTA </v>
          </cell>
          <cell r="H574">
            <v>1</v>
          </cell>
          <cell r="I57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74">
            <v>1</v>
          </cell>
          <cell r="K574" t="str">
            <v>$6.000.000</v>
          </cell>
          <cell r="L574">
            <v>45834</v>
          </cell>
          <cell r="M574">
            <v>45895</v>
          </cell>
          <cell r="N574" t="str">
            <v xml:space="preserve">	RODRIGO DE JESUS VITERI MORENO</v>
          </cell>
          <cell r="O574">
            <v>98390119</v>
          </cell>
          <cell r="P574" t="str">
            <v>brigith975@gmail.com</v>
          </cell>
          <cell r="Q574">
            <v>45834</v>
          </cell>
          <cell r="R574" t="str">
            <v>JUAN GOMEZ</v>
          </cell>
          <cell r="U574" t="str">
            <v>CELEBRADO</v>
          </cell>
          <cell r="W574" t="str">
            <v>2025-0264</v>
          </cell>
          <cell r="X574" t="str">
            <v>2025-0918</v>
          </cell>
          <cell r="AJ574">
            <v>2</v>
          </cell>
          <cell r="AK574">
            <v>0</v>
          </cell>
          <cell r="AL574">
            <v>2</v>
          </cell>
          <cell r="AM574" t="str">
            <v>$6.000.000</v>
          </cell>
        </row>
        <row r="575">
          <cell r="A575" t="str">
            <v>574-2025</v>
          </cell>
          <cell r="B575" t="str">
            <v>PRESTACION DE SERVICIOS</v>
          </cell>
          <cell r="C575" t="str">
            <v>LUZ AMPARO ROMAN GUANCHA</v>
          </cell>
          <cell r="D575" t="str">
            <v>CC</v>
          </cell>
          <cell r="E575">
            <v>30734666</v>
          </cell>
          <cell r="F575">
            <v>4</v>
          </cell>
          <cell r="G575" t="str">
            <v xml:space="preserve">CONTRATACION DIRECTA </v>
          </cell>
          <cell r="H575">
            <v>1</v>
          </cell>
          <cell r="I57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75">
            <v>1</v>
          </cell>
          <cell r="K575" t="str">
            <v>$5.000.000</v>
          </cell>
          <cell r="L575">
            <v>45834</v>
          </cell>
          <cell r="M575">
            <v>45897</v>
          </cell>
          <cell r="N575" t="str">
            <v xml:space="preserve">	RODRIGO DE JESUS VITERI MORENO</v>
          </cell>
          <cell r="O575">
            <v>98390119</v>
          </cell>
          <cell r="P575" t="str">
            <v xml:space="preserve"> amparo roman11@hotmail.com </v>
          </cell>
          <cell r="Q575">
            <v>45834</v>
          </cell>
          <cell r="R575" t="str">
            <v>JUAN GOMEZ</v>
          </cell>
          <cell r="U575" t="str">
            <v>CELEBRADO</v>
          </cell>
          <cell r="W575" t="str">
            <v>2025-0264</v>
          </cell>
          <cell r="X575" t="str">
            <v>2025-0917</v>
          </cell>
          <cell r="AJ575">
            <v>2</v>
          </cell>
          <cell r="AK575">
            <v>0</v>
          </cell>
          <cell r="AL575">
            <v>2</v>
          </cell>
          <cell r="AM575" t="str">
            <v>$5.000.000</v>
          </cell>
        </row>
        <row r="576">
          <cell r="A576" t="str">
            <v>575-2025</v>
          </cell>
          <cell r="B576" t="str">
            <v>PRESTACION DE SERVICIOS</v>
          </cell>
          <cell r="C576" t="str">
            <v>ANA ALEJANDRA SALAZAR RAMIREZ</v>
          </cell>
          <cell r="D576" t="str">
            <v>CC</v>
          </cell>
          <cell r="E576">
            <v>1085315013</v>
          </cell>
          <cell r="F576">
            <v>9</v>
          </cell>
          <cell r="G576" t="str">
            <v xml:space="preserve">CONTRATACION DIRECTA </v>
          </cell>
          <cell r="H576">
            <v>1</v>
          </cell>
          <cell r="I57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v>
          </cell>
          <cell r="J576">
            <v>1</v>
          </cell>
          <cell r="K576" t="str">
            <v>$6.000.000</v>
          </cell>
          <cell r="L576">
            <v>45834</v>
          </cell>
          <cell r="M576">
            <v>45895</v>
          </cell>
          <cell r="N576" t="str">
            <v xml:space="preserve">	RODRIGO DE JESUS VITERI MORENO</v>
          </cell>
          <cell r="O576">
            <v>98390119</v>
          </cell>
          <cell r="P576" t="str">
            <v>alesramirez28@gmail.com</v>
          </cell>
          <cell r="Q576">
            <v>45834</v>
          </cell>
          <cell r="R576" t="str">
            <v>ANDRES GUERRA</v>
          </cell>
          <cell r="U576" t="str">
            <v>CELEBRADO</v>
          </cell>
          <cell r="W576" t="str">
            <v>2025-0264</v>
          </cell>
          <cell r="X576" t="str">
            <v>2025-0919</v>
          </cell>
          <cell r="AJ576">
            <v>2</v>
          </cell>
          <cell r="AK576">
            <v>0</v>
          </cell>
          <cell r="AL576">
            <v>2</v>
          </cell>
          <cell r="AM576" t="str">
            <v>$6.000.000</v>
          </cell>
        </row>
        <row r="577">
          <cell r="A577" t="str">
            <v>576-2025</v>
          </cell>
          <cell r="B577" t="str">
            <v>PRESTACION DE SERVICIOS</v>
          </cell>
          <cell r="C577" t="str">
            <v>HAROLD CAMILO QUINTERO GUEVARA,</v>
          </cell>
          <cell r="D577" t="str">
            <v>CC</v>
          </cell>
          <cell r="E577">
            <v>1233188479</v>
          </cell>
          <cell r="F577">
            <v>8</v>
          </cell>
          <cell r="G577" t="str">
            <v xml:space="preserve">CONTRATACION DIRECTA </v>
          </cell>
          <cell r="H577">
            <v>1</v>
          </cell>
          <cell r="I57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77">
            <v>1</v>
          </cell>
          <cell r="K577" t="str">
            <v>$5.000.000</v>
          </cell>
          <cell r="L577">
            <v>45835</v>
          </cell>
          <cell r="M577">
            <v>45896</v>
          </cell>
          <cell r="N577" t="str">
            <v xml:space="preserve">	RODRIGO DE JESUS VITERI MORENO</v>
          </cell>
          <cell r="O577">
            <v>98390119</v>
          </cell>
          <cell r="P577" t="str">
            <v>Frazkoquintero@gmail.com</v>
          </cell>
          <cell r="Q577">
            <v>45835</v>
          </cell>
          <cell r="R577" t="str">
            <v>JUAN GOMEZ</v>
          </cell>
          <cell r="U577" t="str">
            <v>CELEBRADO</v>
          </cell>
          <cell r="W577" t="str">
            <v>2025-0264</v>
          </cell>
          <cell r="X577" t="str">
            <v>2025-0925</v>
          </cell>
          <cell r="AJ577">
            <v>2</v>
          </cell>
          <cell r="AK577">
            <v>0</v>
          </cell>
          <cell r="AL577">
            <v>2</v>
          </cell>
          <cell r="AM577" t="str">
            <v>$5.000.000</v>
          </cell>
        </row>
        <row r="578">
          <cell r="A578" t="str">
            <v>577-2025</v>
          </cell>
          <cell r="B578" t="str">
            <v>SUMINISTROS</v>
          </cell>
          <cell r="C578" t="str">
            <v xml:space="preserve"> DISCOLMETS S.A.S</v>
          </cell>
          <cell r="D578" t="str">
            <v>NIT</v>
          </cell>
          <cell r="E578">
            <v>828002423</v>
          </cell>
          <cell r="F578">
            <v>5</v>
          </cell>
          <cell r="G578" t="str">
            <v>BIONEXO</v>
          </cell>
          <cell r="H578">
            <v>2</v>
          </cell>
          <cell r="I578" t="str">
            <v>El contratista se obliga al suministro de los medicamentos en las cantidades establecidas en el anexo 1, el cual hace parte integral del contrato. Para la ESE Pasto Salud.</v>
          </cell>
          <cell r="J578">
            <v>3</v>
          </cell>
          <cell r="K578" t="str">
            <v>$72.157.570</v>
          </cell>
          <cell r="L578">
            <v>45835</v>
          </cell>
          <cell r="M578">
            <v>45930</v>
          </cell>
          <cell r="N578" t="str">
            <v>NENA DEL CARMEN RAMIREZ RAMIREZ</v>
          </cell>
          <cell r="O578">
            <v>30732589</v>
          </cell>
          <cell r="P578" t="str">
            <v xml:space="preserve"> licitaciones@discolmets.com.co</v>
          </cell>
          <cell r="Q578">
            <v>45835</v>
          </cell>
          <cell r="R578" t="str">
            <v>ANDRES GUERRA</v>
          </cell>
          <cell r="U578" t="str">
            <v>CELEBRADO</v>
          </cell>
          <cell r="W578" t="str">
            <v>2025-0265</v>
          </cell>
          <cell r="X578" t="str">
            <v>2025-0926</v>
          </cell>
          <cell r="AJ578">
            <v>2</v>
          </cell>
          <cell r="AK578">
            <v>0</v>
          </cell>
          <cell r="AL578">
            <v>2</v>
          </cell>
          <cell r="AM578" t="str">
            <v>$72.157.570</v>
          </cell>
        </row>
        <row r="579">
          <cell r="A579" t="str">
            <v>578-2025</v>
          </cell>
          <cell r="B579" t="str">
            <v>PRESTACION DE SERVICIOS</v>
          </cell>
          <cell r="C579" t="str">
            <v>LABORATORIOS DE ESPECIALIDADES CLINIZAD SAS - CLINIZAD SAS</v>
          </cell>
          <cell r="D579" t="str">
            <v>NIT</v>
          </cell>
          <cell r="E579">
            <v>900360269</v>
          </cell>
          <cell r="F579">
            <v>2</v>
          </cell>
          <cell r="G579" t="str">
            <v xml:space="preserve">CONTRATACION DIRECTA </v>
          </cell>
          <cell r="H579">
            <v>2</v>
          </cell>
          <cell r="I579" t="str">
            <v>Contratar la prestación de servicio por externalización para el procesamiento y lectura de las pruebas ADN VPH y citología en base liquida con un laboratorio habilitado para este fin, que garantice la prestación de los servicios de salud complementarios de una manera eficiente a fin de garantizar el diagnóstico oportuno del cáncer de cérvix de acuerdo con la normatividad vigente y las indicaciones de PASTO SALUD E.S.E.</v>
          </cell>
          <cell r="J579">
            <v>1</v>
          </cell>
          <cell r="K579" t="str">
            <v>$236.000.000</v>
          </cell>
          <cell r="L579">
            <v>45839</v>
          </cell>
          <cell r="M579">
            <v>45961</v>
          </cell>
          <cell r="N579" t="str">
            <v>DEYANIRA BADOS DAZA</v>
          </cell>
          <cell r="O579">
            <v>59836926</v>
          </cell>
          <cell r="P579" t="str">
            <v xml:space="preserve">contabilidad@clinizad.com </v>
          </cell>
          <cell r="Q579">
            <v>45839</v>
          </cell>
          <cell r="R579" t="str">
            <v>CRISTINA ROSERO</v>
          </cell>
          <cell r="U579" t="str">
            <v>CELEBRADO</v>
          </cell>
          <cell r="W579" t="str">
            <v>2025-0291</v>
          </cell>
          <cell r="X579" t="str">
            <v>2025-0996</v>
          </cell>
          <cell r="AJ579">
            <v>2</v>
          </cell>
          <cell r="AK579">
            <v>0</v>
          </cell>
          <cell r="AL579">
            <v>2</v>
          </cell>
          <cell r="AM579" t="str">
            <v>$236.000.000</v>
          </cell>
        </row>
        <row r="580">
          <cell r="A580" t="str">
            <v>579-2025</v>
          </cell>
          <cell r="B580" t="str">
            <v>PRESTACION DE SERVICIOS</v>
          </cell>
          <cell r="C580" t="str">
            <v>PAOLA ANDREA MENESES ERAZO</v>
          </cell>
          <cell r="D580" t="str">
            <v>CC</v>
          </cell>
          <cell r="E580">
            <v>1082747438</v>
          </cell>
          <cell r="F580">
            <v>8</v>
          </cell>
          <cell r="G580" t="str">
            <v xml:space="preserve">CONTRATACION DIRECTA </v>
          </cell>
          <cell r="H580">
            <v>1</v>
          </cell>
          <cell r="I58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580">
            <v>1</v>
          </cell>
          <cell r="K580" t="str">
            <v>$6.000.000</v>
          </cell>
          <cell r="L580">
            <v>45839</v>
          </cell>
          <cell r="M580">
            <v>45901</v>
          </cell>
          <cell r="N580" t="str">
            <v>RIGOBERTO MELO ZAMBRANO</v>
          </cell>
          <cell r="O580">
            <v>98333941</v>
          </cell>
          <cell r="P580" t="str">
            <v>paolameneses602@gmail.com</v>
          </cell>
          <cell r="Q580">
            <v>45839</v>
          </cell>
          <cell r="R580" t="str">
            <v>ANDRES GUERRA</v>
          </cell>
          <cell r="U580" t="str">
            <v>CELEBRADO</v>
          </cell>
          <cell r="W580" t="str">
            <v>2025-0264</v>
          </cell>
          <cell r="X580" t="str">
            <v>2025-0998</v>
          </cell>
          <cell r="AJ580">
            <v>2</v>
          </cell>
          <cell r="AK580">
            <v>0</v>
          </cell>
          <cell r="AL580">
            <v>3</v>
          </cell>
          <cell r="AM580" t="str">
            <v>$6.000.000</v>
          </cell>
        </row>
        <row r="581">
          <cell r="A581" t="str">
            <v>580-2025</v>
          </cell>
          <cell r="B581" t="str">
            <v>PRESTACION DE SERVICIOS</v>
          </cell>
          <cell r="C581" t="str">
            <v>PAULA ANDREA MANOSALVA UNIGARRO</v>
          </cell>
          <cell r="D581" t="str">
            <v>CC</v>
          </cell>
          <cell r="E581">
            <v>27088197</v>
          </cell>
          <cell r="F581">
            <v>9</v>
          </cell>
          <cell r="G581" t="str">
            <v xml:space="preserve">CONTRATACION DIRECTA </v>
          </cell>
          <cell r="H581">
            <v>1</v>
          </cell>
          <cell r="I58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81">
            <v>1</v>
          </cell>
          <cell r="K581" t="str">
            <v>$6.000.000</v>
          </cell>
          <cell r="L581">
            <v>45839</v>
          </cell>
          <cell r="M581">
            <v>45901</v>
          </cell>
          <cell r="N581" t="str">
            <v>RODRIGO DE JESUS VITERI MORENO</v>
          </cell>
          <cell r="O581">
            <v>98390119</v>
          </cell>
          <cell r="P581" t="str">
            <v>pamux0406@gmail.com</v>
          </cell>
          <cell r="Q581">
            <v>45839</v>
          </cell>
          <cell r="R581" t="str">
            <v>ELIANA BENAVIDES</v>
          </cell>
          <cell r="U581" t="str">
            <v>CELEBRADO</v>
          </cell>
          <cell r="W581" t="str">
            <v>2025-0264</v>
          </cell>
          <cell r="X581" t="str">
            <v>2025-0999</v>
          </cell>
          <cell r="AJ581">
            <v>2</v>
          </cell>
          <cell r="AK581">
            <v>0</v>
          </cell>
          <cell r="AL581">
            <v>3</v>
          </cell>
          <cell r="AM581" t="str">
            <v>$6.000.000</v>
          </cell>
        </row>
        <row r="582">
          <cell r="A582" t="str">
            <v>581-2025</v>
          </cell>
          <cell r="B582" t="str">
            <v>ARRENDAMIENTO</v>
          </cell>
          <cell r="C582" t="str">
            <v xml:space="preserve"> ROSA MIRIAM JOJOA JOSA</v>
          </cell>
          <cell r="D582" t="str">
            <v>CC</v>
          </cell>
          <cell r="E582">
            <v>30744044</v>
          </cell>
          <cell r="F582">
            <v>6</v>
          </cell>
          <cell r="G582" t="str">
            <v xml:space="preserve">CONTRATACION DIRECTA </v>
          </cell>
          <cell r="H582">
            <v>1</v>
          </cell>
          <cell r="I582" t="str">
            <v xml:space="preserve">Arrendamiento de un inmueble ubicado en el sector del puerto del Corregimiento del Encano para el parqueo de la ambulancia de la Empresa Social del estado Pasto Salud ESE. El parqueadero debe contar con dimensiones que garanticen seguridad en infraestructura, higiene y espacio para evitar riesgos de daños y robo; dimensión aproximada de 40 metros cuadrados.
</v>
          </cell>
          <cell r="J582">
            <v>9</v>
          </cell>
          <cell r="K582" t="str">
            <v>$1.338.000</v>
          </cell>
          <cell r="L582">
            <v>45839</v>
          </cell>
          <cell r="M582">
            <v>46022</v>
          </cell>
          <cell r="N582" t="str">
            <v>MARY ALEXANDRA ROSERO BENAVIDES</v>
          </cell>
          <cell r="O582">
            <v>43624414</v>
          </cell>
          <cell r="P582" t="str">
            <v>casbuho@gmail.com</v>
          </cell>
          <cell r="Q582">
            <v>45839</v>
          </cell>
          <cell r="R582" t="str">
            <v>JUAN GOMEZ</v>
          </cell>
          <cell r="U582" t="str">
            <v>CELEBRADO</v>
          </cell>
          <cell r="W582" t="str">
            <v>2025-0314</v>
          </cell>
          <cell r="X582" t="str">
            <v>2025-1000</v>
          </cell>
          <cell r="AJ582">
            <v>2</v>
          </cell>
          <cell r="AK582">
            <v>0</v>
          </cell>
          <cell r="AL582">
            <v>2</v>
          </cell>
          <cell r="AM582" t="str">
            <v>$1.338.000</v>
          </cell>
        </row>
        <row r="583">
          <cell r="A583" t="str">
            <v>582-2025</v>
          </cell>
          <cell r="B583" t="str">
            <v>SUMINISTROS</v>
          </cell>
          <cell r="C583" t="str">
            <v>COMPAÑIA DE SERVICIO LOGISTICO
COLOMBIA SAS SLOGIC SAS</v>
          </cell>
          <cell r="D583" t="str">
            <v>NIT</v>
          </cell>
          <cell r="E583">
            <v>900031454</v>
          </cell>
          <cell r="F583">
            <v>8</v>
          </cell>
          <cell r="G583" t="str">
            <v xml:space="preserve">CONTRATACION DIRECTA </v>
          </cell>
          <cell r="H583">
            <v>2</v>
          </cell>
          <cell r="I583" t="str">
            <v>SUMINISTRO DE DOTACIÓN CONSISTENTE EN LA ENTREGA DE VESTIDO Y CALZADO DE LABOR PARA LOS EMPLEADOS PÚBLICOS DE LA EMPRESA SOCIAL DEL ESTADO PASTO SALUD E.S.E., QUE PERTENECEN AL PERSONAL DE ENFERMERAS Y AUXILIARES (CONSULTAS EXTERNA;
ODONTOLOGÍA; SIVIGILA; VACUNACIÓN; URGENCIAS Y AUXILIARES DE AMBULANCIA)</v>
          </cell>
          <cell r="J583">
            <v>1</v>
          </cell>
          <cell r="K583" t="str">
            <v>$175.170.000</v>
          </cell>
          <cell r="L583">
            <v>45839</v>
          </cell>
          <cell r="M583">
            <v>45961</v>
          </cell>
          <cell r="N583" t="str">
            <v>ANGELA DANIELA RODRIGUEZ GOYES</v>
          </cell>
          <cell r="O583">
            <v>1085283617</v>
          </cell>
          <cell r="P583" t="str">
            <v>admon.slogic@gmail.com</v>
          </cell>
          <cell r="Q583">
            <v>45839</v>
          </cell>
          <cell r="R583" t="str">
            <v>JUAN GOMEZ</v>
          </cell>
          <cell r="U583" t="str">
            <v>CELEBRADO</v>
          </cell>
          <cell r="W583" t="str">
            <v>2025-0202</v>
          </cell>
          <cell r="X583" t="str">
            <v>2025-1001</v>
          </cell>
          <cell r="AJ583">
            <v>2</v>
          </cell>
          <cell r="AK583">
            <v>0</v>
          </cell>
          <cell r="AL583">
            <v>2</v>
          </cell>
          <cell r="AM583" t="str">
            <v>$175.170.000</v>
          </cell>
        </row>
        <row r="584">
          <cell r="A584" t="str">
            <v>583-2025</v>
          </cell>
          <cell r="B584" t="str">
            <v>PRESTACION DE SERVICIOS</v>
          </cell>
          <cell r="C584" t="str">
            <v>DAVID EDUARDO MENDOZA HURTADO</v>
          </cell>
          <cell r="D584" t="str">
            <v>CC</v>
          </cell>
          <cell r="E584">
            <v>98381245</v>
          </cell>
          <cell r="F584">
            <v>8</v>
          </cell>
          <cell r="G584" t="str">
            <v xml:space="preserve">CONTRATACION DIRECTA </v>
          </cell>
          <cell r="H584">
            <v>1</v>
          </cell>
          <cell r="I584" t="str">
            <v>EL CONTRATISTA SE COMPROMETE A PRESTAR SUS SERVICIOS PROFESIONALES DE APOYO AL DIRECCIONAMIENTO, PROYECTOS ESTRETÉGICOS, CONTRATACIÓN ESTATAL, COMITÉS INSTITUCIONALES Y OPERACIONALES DE LA RED DE PRESTACION DE SERVICIOS DE SALUD Y SEDE ADMINISTRATIVA DE LA EMPRESA SOCIAL DEL ESTADO PASTO SALUD E.S.E.</v>
          </cell>
          <cell r="J584">
            <v>1</v>
          </cell>
          <cell r="K584" t="str">
            <v xml:space="preserve"> $42.000.000</v>
          </cell>
          <cell r="L584">
            <v>45839</v>
          </cell>
          <cell r="M584">
            <v>46022</v>
          </cell>
          <cell r="N584" t="str">
            <v>SEBASTIAN GRANJA ORDOÑEZ</v>
          </cell>
          <cell r="O584">
            <v>1085316703</v>
          </cell>
          <cell r="P584" t="str">
            <v xml:space="preserve">davidmendoza35@hotmail.com </v>
          </cell>
          <cell r="Q584">
            <v>45839</v>
          </cell>
          <cell r="R584" t="str">
            <v>CRISTINA ROSERO</v>
          </cell>
          <cell r="U584" t="str">
            <v>CELEBRADO</v>
          </cell>
          <cell r="W584" t="str">
            <v>2025-0335</v>
          </cell>
          <cell r="X584" t="str">
            <v>2025-1002</v>
          </cell>
          <cell r="AJ584">
            <v>2</v>
          </cell>
          <cell r="AK584">
            <v>0</v>
          </cell>
          <cell r="AL584">
            <v>2</v>
          </cell>
          <cell r="AM584" t="str">
            <v>$42.000.000</v>
          </cell>
        </row>
        <row r="585">
          <cell r="A585" t="str">
            <v>584-2025</v>
          </cell>
          <cell r="B585" t="str">
            <v>PRESTACION DE SERVICIOS</v>
          </cell>
          <cell r="C585" t="str">
            <v>INNLOGITRANS S.A.S</v>
          </cell>
          <cell r="D585" t="str">
            <v>NIT</v>
          </cell>
          <cell r="E585">
            <v>901957215</v>
          </cell>
          <cell r="F585">
            <v>2</v>
          </cell>
          <cell r="G585" t="str">
            <v xml:space="preserve">CONTRATACION DIRECTA </v>
          </cell>
          <cell r="H585">
            <v>1</v>
          </cell>
          <cell r="I585" t="str">
            <v>Contratar la prestación de transporte especial terrestre automotor para el traslado de personas, bienes, correspondencia, equipos y mobiliario, medicamentos, material médico, muestras de laboratorio entre otros, necesario para el cumplimiento del objeto social de la empresa social del ESTADO PASTO SALUD ESE.</v>
          </cell>
          <cell r="J585">
            <v>1</v>
          </cell>
          <cell r="K585" t="str">
            <v>$154.328.400</v>
          </cell>
          <cell r="L585">
            <v>45839</v>
          </cell>
          <cell r="M585">
            <v>46022</v>
          </cell>
          <cell r="N585" t="str">
            <v>DEYANIRA BADOS DAZA</v>
          </cell>
          <cell r="O585">
            <v>59836926</v>
          </cell>
          <cell r="P585" t="str">
            <v>osama.coop@gmail.com</v>
          </cell>
          <cell r="Q585">
            <v>45839</v>
          </cell>
          <cell r="R585" t="str">
            <v>CRISTINA ROSERO</v>
          </cell>
          <cell r="U585" t="str">
            <v>CELEBRADO</v>
          </cell>
          <cell r="W585" t="str">
            <v>2025-0298</v>
          </cell>
          <cell r="X585" t="str">
            <v>2025-1003</v>
          </cell>
          <cell r="AJ585">
            <v>2</v>
          </cell>
          <cell r="AK585">
            <v>0</v>
          </cell>
          <cell r="AL585">
            <v>2</v>
          </cell>
          <cell r="AM585" t="str">
            <v>$154.328.400</v>
          </cell>
        </row>
        <row r="586">
          <cell r="A586" t="str">
            <v>585-2025</v>
          </cell>
          <cell r="B586" t="str">
            <v>SUMINISTROS</v>
          </cell>
          <cell r="C586" t="str">
            <v xml:space="preserve"> SMQS COLOMBIA S.A.S</v>
          </cell>
          <cell r="D586" t="str">
            <v>NIT</v>
          </cell>
          <cell r="E586">
            <v>901852103</v>
          </cell>
          <cell r="F586">
            <v>4</v>
          </cell>
          <cell r="G586" t="str">
            <v xml:space="preserve">CONTRATACION DIRECTA </v>
          </cell>
          <cell r="H586">
            <v>2</v>
          </cell>
          <cell r="I586" t="str">
            <v xml:space="preserve">El contratista se obliga al suministro del material médico quirúrgico en las cantidades establecidas en el anexo 1, el cual hace parte integral del contrato. Para la ESE Pasto Salud. </v>
          </cell>
          <cell r="J586">
            <v>3</v>
          </cell>
          <cell r="K586" t="str">
            <v>$2.986.840</v>
          </cell>
          <cell r="L586">
            <v>45840</v>
          </cell>
          <cell r="M586">
            <v>45869</v>
          </cell>
          <cell r="N586" t="str">
            <v>NENA DEL CARMEN RAMIREZ RAMIREZ</v>
          </cell>
          <cell r="O586">
            <v>30732589</v>
          </cell>
          <cell r="P586" t="str">
            <v>smqscolombia@gmail.com</v>
          </cell>
          <cell r="Q586">
            <v>45840</v>
          </cell>
          <cell r="R586" t="str">
            <v>CRISTINA ROSERO</v>
          </cell>
          <cell r="U586" t="str">
            <v>CELEBRADO</v>
          </cell>
          <cell r="W586" t="str">
            <v>2025-0222</v>
          </cell>
          <cell r="X586" t="str">
            <v>2025-1005</v>
          </cell>
          <cell r="AJ586">
            <v>2</v>
          </cell>
          <cell r="AK586">
            <v>0</v>
          </cell>
          <cell r="AL586">
            <v>3</v>
          </cell>
          <cell r="AM586" t="str">
            <v>$2.986.840</v>
          </cell>
        </row>
        <row r="587">
          <cell r="A587" t="str">
            <v>586-2025</v>
          </cell>
          <cell r="B587" t="str">
            <v>COMPRAVENTA</v>
          </cell>
          <cell r="C587" t="str">
            <v>TECNICA ELECTRO
MEDICA S.A</v>
          </cell>
          <cell r="D587" t="str">
            <v>NIT</v>
          </cell>
          <cell r="E587">
            <v>830004892</v>
          </cell>
          <cell r="F587">
            <v>2</v>
          </cell>
          <cell r="G587" t="str">
            <v>BIONEXO</v>
          </cell>
          <cell r="H587">
            <v>2</v>
          </cell>
          <cell r="I587" t="str">
            <v>COMPRA DE EQUIPOS BIOMÉDICOS, DE ACUERDO AL PLAN ANUAL DE ADQUISICIONES DE PASTO SALUD E.S.E 2025, PARA LAS DIFERENTES SEDES QUE CONFORMAN LAS REDES PRESTADORAS DE SERVICIOS EN SALUD.</v>
          </cell>
          <cell r="J587">
            <v>4</v>
          </cell>
          <cell r="K587" t="str">
            <v>$33.809.090</v>
          </cell>
          <cell r="L587">
            <v>45840</v>
          </cell>
          <cell r="M587">
            <v>45877</v>
          </cell>
          <cell r="N587" t="str">
            <v>MARIO FERNADO NARANJO LOPEZ</v>
          </cell>
          <cell r="O587">
            <v>1004189613</v>
          </cell>
          <cell r="P587" t="str">
            <v>Licitaciones@tecnicaelecromedica.com</v>
          </cell>
          <cell r="Q587">
            <v>45840</v>
          </cell>
          <cell r="R587" t="str">
            <v>CRISTINA ROSERO</v>
          </cell>
          <cell r="U587" t="str">
            <v>CELEBRADO</v>
          </cell>
          <cell r="W587" t="str">
            <v>2025-0248</v>
          </cell>
          <cell r="X587" t="str">
            <v>2025-1006</v>
          </cell>
          <cell r="AJ587">
            <v>2</v>
          </cell>
          <cell r="AK587">
            <v>0</v>
          </cell>
          <cell r="AL587">
            <v>3</v>
          </cell>
          <cell r="AM587" t="str">
            <v xml:space="preserve"> $33.809.090</v>
          </cell>
        </row>
        <row r="588">
          <cell r="A588" t="str">
            <v>587-2025</v>
          </cell>
          <cell r="B588" t="str">
            <v>COMPRAVENTA</v>
          </cell>
          <cell r="C588" t="str">
            <v>SERVICIOS DE INGENIERIA E Y C SAS</v>
          </cell>
          <cell r="D588" t="str">
            <v>NIT</v>
          </cell>
          <cell r="E588">
            <v>900215065</v>
          </cell>
          <cell r="F588">
            <v>7</v>
          </cell>
          <cell r="G588" t="str">
            <v>BIONEXO</v>
          </cell>
          <cell r="H588">
            <v>2</v>
          </cell>
          <cell r="I588" t="str">
            <v>COMPRA DE EQUIPOS BIOMÉDICOS, DE ACUERDO AL PLAN ANUAL DE ADQUISICIONES DE PASTO SALUD E.S.E 2025, PARA LAS DIFERENTES SEDES QUE CONFORMAN LAS REDES PRESTADORAS DE SERVICIOS EN SALUD.</v>
          </cell>
          <cell r="J588">
            <v>4</v>
          </cell>
          <cell r="K588" t="str">
            <v>$75.138.445,48</v>
          </cell>
          <cell r="L588">
            <v>45840</v>
          </cell>
          <cell r="M588">
            <v>45891</v>
          </cell>
          <cell r="N588" t="str">
            <v>MARIO FERNADO NARANJO LOPEZ</v>
          </cell>
          <cell r="O588">
            <v>1004189613</v>
          </cell>
          <cell r="P588" t="str">
            <v>servingsas2013@gmail.com</v>
          </cell>
          <cell r="Q588">
            <v>45840</v>
          </cell>
          <cell r="R588" t="str">
            <v>ALEXANDER YELA</v>
          </cell>
          <cell r="U588" t="str">
            <v>CELEBRADO</v>
          </cell>
          <cell r="W588" t="str">
            <v>2025-0245</v>
          </cell>
          <cell r="X588" t="str">
            <v>2025-1007</v>
          </cell>
          <cell r="AA588" t="str">
            <v>PRORROGA</v>
          </cell>
          <cell r="AJ588">
            <v>1</v>
          </cell>
          <cell r="AK588">
            <v>1</v>
          </cell>
          <cell r="AL588">
            <v>3</v>
          </cell>
          <cell r="AM588" t="str">
            <v>$75.138.445,48</v>
          </cell>
        </row>
        <row r="589">
          <cell r="A589" t="str">
            <v>588-2025</v>
          </cell>
          <cell r="B589" t="str">
            <v>PRESTACION DE SERVICIOS</v>
          </cell>
          <cell r="C589" t="str">
            <v>ANGIE DANIELA JURADO NAVARRO</v>
          </cell>
          <cell r="D589" t="str">
            <v>CC</v>
          </cell>
          <cell r="E589">
            <v>1085310466</v>
          </cell>
          <cell r="F589">
            <v>9</v>
          </cell>
          <cell r="G589" t="str">
            <v xml:space="preserve">CONTRATACION DIRECTA </v>
          </cell>
          <cell r="H589">
            <v>1</v>
          </cell>
          <cell r="I58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589">
            <v>1</v>
          </cell>
          <cell r="K589" t="str">
            <v>$6.000.000</v>
          </cell>
          <cell r="L589">
            <v>45840</v>
          </cell>
          <cell r="M589">
            <v>45902</v>
          </cell>
          <cell r="N589" t="str">
            <v>RODRIGO DE JESUS VITERI MORENO</v>
          </cell>
          <cell r="O589">
            <v>98390119</v>
          </cell>
          <cell r="P589" t="str">
            <v>danielitahdv@hotmail.com</v>
          </cell>
          <cell r="Q589">
            <v>45840</v>
          </cell>
          <cell r="R589" t="str">
            <v>ANDRES GUERRA</v>
          </cell>
          <cell r="U589" t="str">
            <v>CELEBRADO</v>
          </cell>
          <cell r="W589" t="str">
            <v>2025-0264</v>
          </cell>
          <cell r="X589" t="str">
            <v>2025-1008</v>
          </cell>
          <cell r="AJ589">
            <v>2</v>
          </cell>
          <cell r="AK589">
            <v>0</v>
          </cell>
          <cell r="AL589">
            <v>3</v>
          </cell>
          <cell r="AM589" t="str">
            <v xml:space="preserve"> $6.000.000</v>
          </cell>
        </row>
        <row r="590">
          <cell r="A590" t="str">
            <v>589-2025</v>
          </cell>
          <cell r="B590" t="str">
            <v>SUMINISTROS</v>
          </cell>
          <cell r="C590" t="str">
            <v>DINASTIA RIOS S.A.S</v>
          </cell>
          <cell r="D590" t="str">
            <v>NIT</v>
          </cell>
          <cell r="E590">
            <v>900013308</v>
          </cell>
          <cell r="F590">
            <v>4</v>
          </cell>
          <cell r="G590" t="str">
            <v xml:space="preserve">CONTRATACION DIRECTA </v>
          </cell>
          <cell r="H590">
            <v>2</v>
          </cell>
          <cell r="I590" t="str">
            <v>SUMINISTRO DE DOTACIÓN CONSISTENTE EN LA ENTREGA DE VESTIDO Y CALZADO DE LABOR PARA LOS EMPLEADOS PÚBLICOS DE LA
EMPRESA SOCIAL DEL ESTADO PASTO SALUD E.S.E. QUE PERTENECEN AL PERSONAL ADMINISTRATIVO (DAMAS Y CABALLEROS).</v>
          </cell>
          <cell r="J590">
            <v>1</v>
          </cell>
          <cell r="K590" t="str">
            <v>$82.490.000</v>
          </cell>
          <cell r="L590">
            <v>45840</v>
          </cell>
          <cell r="M590">
            <v>45961</v>
          </cell>
          <cell r="N590" t="str">
            <v>ANGELA DANIELA RODRIGUEZ GOYES</v>
          </cell>
          <cell r="O590">
            <v>1085283617</v>
          </cell>
          <cell r="P590" t="str">
            <v>dinastiarios.contabilidad@hotmail.com</v>
          </cell>
          <cell r="Q590">
            <v>45840</v>
          </cell>
          <cell r="R590" t="str">
            <v>JUAN GOMEZ</v>
          </cell>
          <cell r="U590" t="str">
            <v>CELEBRADO</v>
          </cell>
          <cell r="W590" t="str">
            <v>2025-0202</v>
          </cell>
          <cell r="X590" t="str">
            <v>2025-1009</v>
          </cell>
          <cell r="AJ590">
            <v>2</v>
          </cell>
          <cell r="AK590">
            <v>0</v>
          </cell>
          <cell r="AL590">
            <v>2</v>
          </cell>
          <cell r="AM590" t="str">
            <v xml:space="preserve"> $82.490.000</v>
          </cell>
        </row>
        <row r="591">
          <cell r="A591" t="str">
            <v>590-2025</v>
          </cell>
          <cell r="B591" t="str">
            <v>PRESTACION DE SERVICIOS</v>
          </cell>
          <cell r="C591" t="str">
            <v>MIRIAN SUVANY DAVID NARVAEZ</v>
          </cell>
          <cell r="D591" t="str">
            <v>CC</v>
          </cell>
          <cell r="E591">
            <v>36951301</v>
          </cell>
          <cell r="F591">
            <v>3</v>
          </cell>
          <cell r="G591" t="str">
            <v xml:space="preserve">CONTRATACION DIRECTA </v>
          </cell>
          <cell r="H591">
            <v>1</v>
          </cell>
          <cell r="I591"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v>
          </cell>
          <cell r="J591">
            <v>1</v>
          </cell>
          <cell r="K591" t="str">
            <v>$9.650.000</v>
          </cell>
          <cell r="L591">
            <v>45841</v>
          </cell>
          <cell r="M591">
            <v>45903</v>
          </cell>
          <cell r="N591" t="str">
            <v>DEYANIRA BADOS DAZA</v>
          </cell>
          <cell r="O591">
            <v>59836926</v>
          </cell>
          <cell r="P591" t="str">
            <v>dsuvany@gmail.com</v>
          </cell>
          <cell r="Q591">
            <v>45841</v>
          </cell>
          <cell r="R591" t="str">
            <v>ELIANA BENAVIDES</v>
          </cell>
          <cell r="U591" t="str">
            <v>CELEBRADO</v>
          </cell>
          <cell r="W591" t="str">
            <v>2025-0264</v>
          </cell>
          <cell r="X591" t="str">
            <v>2025-1010</v>
          </cell>
          <cell r="AJ591">
            <v>2</v>
          </cell>
          <cell r="AK591">
            <v>0</v>
          </cell>
          <cell r="AL591">
            <v>3</v>
          </cell>
          <cell r="AM591" t="str">
            <v>$9.650.000</v>
          </cell>
        </row>
        <row r="592">
          <cell r="A592" t="str">
            <v>591-2025</v>
          </cell>
          <cell r="B592" t="str">
            <v>PRESTACION DE SERVICIOS</v>
          </cell>
          <cell r="C592" t="str">
            <v>GINNA ALEJANDRA GETIAL RUALES,</v>
          </cell>
          <cell r="D592" t="str">
            <v>CC</v>
          </cell>
          <cell r="E592">
            <v>1085336875</v>
          </cell>
          <cell r="F592">
            <v>0</v>
          </cell>
          <cell r="G592" t="str">
            <v xml:space="preserve">CONTRATACION DIRECTA </v>
          </cell>
          <cell r="H592">
            <v>1</v>
          </cell>
          <cell r="I592"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92">
            <v>1</v>
          </cell>
          <cell r="K592" t="str">
            <v>$ 12.000.000</v>
          </cell>
          <cell r="L592">
            <v>45841</v>
          </cell>
          <cell r="M592">
            <v>45903</v>
          </cell>
          <cell r="N592" t="str">
            <v>RIGOBERTO MELO ZAMBRANO</v>
          </cell>
          <cell r="O592">
            <v>98333941</v>
          </cell>
          <cell r="P592" t="str">
            <v xml:space="preserve"> Aleja12ruales@hotmail.com</v>
          </cell>
          <cell r="Q592">
            <v>45841</v>
          </cell>
          <cell r="R592" t="str">
            <v>CRISTINA ROSERO</v>
          </cell>
          <cell r="U592" t="str">
            <v>CELEBRADO</v>
          </cell>
          <cell r="W592" t="str">
            <v>2025-0264</v>
          </cell>
          <cell r="X592" t="str">
            <v>2025-1012</v>
          </cell>
          <cell r="AJ592">
            <v>2</v>
          </cell>
          <cell r="AK592">
            <v>0</v>
          </cell>
          <cell r="AL592">
            <v>3</v>
          </cell>
          <cell r="AM592" t="str">
            <v>$12.000.000</v>
          </cell>
        </row>
        <row r="593">
          <cell r="A593" t="str">
            <v>592-2025</v>
          </cell>
          <cell r="B593" t="str">
            <v>PRESTACION DE SERVICIOS</v>
          </cell>
          <cell r="C593" t="str">
            <v>MYRIAM ADRIANA ZAMBRANO ONOFRE</v>
          </cell>
          <cell r="D593" t="str">
            <v>CC</v>
          </cell>
          <cell r="E593">
            <v>37082232</v>
          </cell>
          <cell r="F593">
            <v>8</v>
          </cell>
          <cell r="G593" t="str">
            <v xml:space="preserve">CONTRATACION DIRECTA </v>
          </cell>
          <cell r="H593">
            <v>1</v>
          </cell>
          <cell r="I59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93">
            <v>1</v>
          </cell>
          <cell r="K593" t="str">
            <v>$6.000.000</v>
          </cell>
          <cell r="L593">
            <v>45841</v>
          </cell>
          <cell r="M593">
            <v>45903</v>
          </cell>
          <cell r="N593" t="str">
            <v>RODRIGO DE JESUS VITERI MORENO</v>
          </cell>
          <cell r="O593">
            <v>98390119</v>
          </cell>
          <cell r="P593" t="str">
            <v xml:space="preserve"> Andry01@hotmail.com </v>
          </cell>
          <cell r="Q593">
            <v>45841</v>
          </cell>
          <cell r="R593" t="str">
            <v>CRISTINA ROSERO</v>
          </cell>
          <cell r="U593" t="str">
            <v>CELEBRADO</v>
          </cell>
          <cell r="W593" t="str">
            <v>2025-0264</v>
          </cell>
          <cell r="X593" t="str">
            <v>2025-1013</v>
          </cell>
          <cell r="AJ593">
            <v>2</v>
          </cell>
          <cell r="AK593">
            <v>0</v>
          </cell>
          <cell r="AL593">
            <v>3</v>
          </cell>
          <cell r="AM593" t="str">
            <v>$6.000.000</v>
          </cell>
        </row>
        <row r="594">
          <cell r="A594" t="str">
            <v>593-2025</v>
          </cell>
          <cell r="B594" t="str">
            <v>SUMINISTROS</v>
          </cell>
          <cell r="C594" t="str">
            <v xml:space="preserve"> DISTRICENG HOSPITALARIOS S.A.S.</v>
          </cell>
          <cell r="D594" t="str">
            <v>NIT</v>
          </cell>
          <cell r="E594">
            <v>901721826</v>
          </cell>
          <cell r="F594">
            <v>9</v>
          </cell>
          <cell r="G594" t="str">
            <v xml:space="preserve">CONTRATACION DIRECTA </v>
          </cell>
          <cell r="H594">
            <v>2</v>
          </cell>
          <cell r="I594" t="str">
            <v>Suministro de dotación consistente en la entrega de vestido y calzado de labor para los empleados públicos de la Empresa Social del Estado Pasto Salud E.S.E., que pertenecen al personal de almacén (dama), cajero (urgencias), facturación (urgencias), farmacia, call center y archivo.</v>
          </cell>
          <cell r="J594">
            <v>1</v>
          </cell>
          <cell r="K594" t="str">
            <v>$95.213.835,25</v>
          </cell>
          <cell r="L594">
            <v>45842</v>
          </cell>
          <cell r="M594">
            <v>45961</v>
          </cell>
          <cell r="N594" t="str">
            <v xml:space="preserve">	ANGELA DANIELA RODRIGUEZ GOYES</v>
          </cell>
          <cell r="O594">
            <v>1085283617</v>
          </cell>
          <cell r="P594" t="str">
            <v xml:space="preserve"> comercial1.districeng@gmail.com</v>
          </cell>
          <cell r="Q594">
            <v>45842</v>
          </cell>
          <cell r="R594" t="str">
            <v>ANDRES GUERRA</v>
          </cell>
          <cell r="U594" t="str">
            <v>CELEBRADO</v>
          </cell>
          <cell r="W594" t="str">
            <v>2025-0202</v>
          </cell>
          <cell r="X594" t="str">
            <v>2025-1015</v>
          </cell>
          <cell r="AJ594">
            <v>2</v>
          </cell>
          <cell r="AK594">
            <v>0</v>
          </cell>
          <cell r="AL594">
            <v>2</v>
          </cell>
          <cell r="AM594" t="str">
            <v>$95.213.835,25</v>
          </cell>
        </row>
        <row r="595">
          <cell r="A595" t="str">
            <v>594-2025</v>
          </cell>
          <cell r="B595" t="str">
            <v>PRESTACION DE SERVICIOS</v>
          </cell>
          <cell r="C595" t="str">
            <v>LORENA DEL CARMEN OJEDA VASQUEZ</v>
          </cell>
          <cell r="D595" t="str">
            <v>CC</v>
          </cell>
          <cell r="E595">
            <v>1086329609</v>
          </cell>
          <cell r="F595">
            <v>2</v>
          </cell>
          <cell r="G595" t="str">
            <v xml:space="preserve">CONTRATACION DIRECTA </v>
          </cell>
          <cell r="H595">
            <v>1</v>
          </cell>
          <cell r="I59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595">
            <v>1</v>
          </cell>
          <cell r="K595" t="str">
            <v>$6.000.000</v>
          </cell>
          <cell r="L595">
            <v>45842</v>
          </cell>
          <cell r="M595">
            <v>45904</v>
          </cell>
          <cell r="N595" t="str">
            <v>RODRIGO DE JESUS VITERI MORENO</v>
          </cell>
          <cell r="O595">
            <v>98390119</v>
          </cell>
          <cell r="P595" t="str">
            <v>heovaesmipaz@gmail.com</v>
          </cell>
          <cell r="Q595">
            <v>45842</v>
          </cell>
          <cell r="R595" t="str">
            <v>CRISTINA ROSERO</v>
          </cell>
          <cell r="U595" t="str">
            <v>CELEBRADO</v>
          </cell>
          <cell r="W595" t="str">
            <v>2025-0264</v>
          </cell>
          <cell r="X595" t="str">
            <v>2025-1016</v>
          </cell>
          <cell r="AJ595">
            <v>2</v>
          </cell>
          <cell r="AK595">
            <v>0</v>
          </cell>
          <cell r="AL595">
            <v>3</v>
          </cell>
          <cell r="AM595" t="str">
            <v>$6.000.000</v>
          </cell>
        </row>
        <row r="596">
          <cell r="A596" t="str">
            <v>595-2025</v>
          </cell>
          <cell r="B596" t="str">
            <v>SUMINISTROS</v>
          </cell>
          <cell r="C596" t="str">
            <v>COOPERATIVA DE GESTION FARMACEUTICA INTEGRAL EN REORGANIZACION,</v>
          </cell>
          <cell r="D596" t="str">
            <v>NIT</v>
          </cell>
          <cell r="E596">
            <v>900062612</v>
          </cell>
          <cell r="F596">
            <v>8</v>
          </cell>
          <cell r="G596" t="str">
            <v>BIONEXO</v>
          </cell>
          <cell r="H596">
            <v>2</v>
          </cell>
          <cell r="I596" t="str">
            <v>El contratista se obliga al suministro del material médico quirúrgico en las cantidades establecidas en el anexo 1, el cual hace parte integral del contrato.
Para la ESE Pasto Salud.</v>
          </cell>
          <cell r="J596">
            <v>3</v>
          </cell>
          <cell r="K596" t="str">
            <v>$15.118.181,50</v>
          </cell>
          <cell r="L596">
            <v>45842</v>
          </cell>
          <cell r="M596">
            <v>45930</v>
          </cell>
          <cell r="N596" t="str">
            <v>NENA DEL CARMEN RAMIREZ RAMIREZ</v>
          </cell>
          <cell r="O596">
            <v>30732589</v>
          </cell>
          <cell r="P596" t="str">
            <v xml:space="preserve"> notificaciones@cfarma.com.co</v>
          </cell>
          <cell r="Q596">
            <v>45842</v>
          </cell>
          <cell r="R596" t="str">
            <v>ANDRES GUERRA</v>
          </cell>
          <cell r="U596" t="str">
            <v>CELEBRADO</v>
          </cell>
          <cell r="W596" t="str">
            <v>2025-0272</v>
          </cell>
          <cell r="X596" t="str">
            <v>2025-1017</v>
          </cell>
          <cell r="AJ596">
            <v>2</v>
          </cell>
          <cell r="AK596">
            <v>0</v>
          </cell>
          <cell r="AL596">
            <v>3</v>
          </cell>
          <cell r="AM596" t="str">
            <v>$15.118.181,50</v>
          </cell>
        </row>
        <row r="597">
          <cell r="A597" t="str">
            <v>596-2025</v>
          </cell>
          <cell r="B597" t="str">
            <v>PRESTACION DE SERVICIOS</v>
          </cell>
          <cell r="C597" t="str">
            <v>ERICK SANTIAGO CAICEDO URBANO</v>
          </cell>
          <cell r="D597" t="str">
            <v>CC</v>
          </cell>
          <cell r="E597">
            <v>1233191934</v>
          </cell>
          <cell r="F597">
            <v>9</v>
          </cell>
          <cell r="G597" t="str">
            <v xml:space="preserve">CONTRATACION DIRECTA </v>
          </cell>
          <cell r="H597">
            <v>1</v>
          </cell>
          <cell r="I597"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597">
            <v>1</v>
          </cell>
          <cell r="K597" t="str">
            <v>$15.000.000</v>
          </cell>
          <cell r="L597">
            <v>45842</v>
          </cell>
          <cell r="M597">
            <v>45904</v>
          </cell>
          <cell r="N597" t="str">
            <v>RODRIGO DE JESUS VITERI MORENO</v>
          </cell>
          <cell r="O597">
            <v>98390119</v>
          </cell>
          <cell r="P597" t="str">
            <v>Scaicedo390@gmail.com.</v>
          </cell>
          <cell r="Q597">
            <v>45842</v>
          </cell>
          <cell r="R597" t="str">
            <v>ELIANA BENAVIDES</v>
          </cell>
          <cell r="U597" t="str">
            <v>CELEBRADO</v>
          </cell>
          <cell r="W597" t="str">
            <v>2025-0264</v>
          </cell>
          <cell r="X597" t="str">
            <v>2025-1018</v>
          </cell>
          <cell r="AJ597">
            <v>2</v>
          </cell>
          <cell r="AK597">
            <v>0</v>
          </cell>
          <cell r="AL597">
            <v>3</v>
          </cell>
          <cell r="AM597" t="str">
            <v>$15.000.000</v>
          </cell>
        </row>
        <row r="598">
          <cell r="A598" t="str">
            <v>597-2025</v>
          </cell>
          <cell r="B598" t="str">
            <v>PRESTACION DE SERVICIOS</v>
          </cell>
          <cell r="C598" t="str">
            <v xml:space="preserve"> CENTRO DE ENTRENAMIENTO PERSONALIZADO DE NARIÑO SAS</v>
          </cell>
          <cell r="D598" t="str">
            <v>NIT</v>
          </cell>
          <cell r="E598">
            <v>901366429</v>
          </cell>
          <cell r="F598">
            <v>5</v>
          </cell>
          <cell r="G598" t="str">
            <v xml:space="preserve">CONTRATACION DIRECTA </v>
          </cell>
          <cell r="H598">
            <v>1</v>
          </cell>
          <cell r="I598" t="str">
            <v>EL CONTRATISTA SE COMPROMETE A PONER A DISIPOCICON DEL CONTRATANTE LOS SERVICIOS DE APOYO LOGÍSTICO CONSISTENTE EN PONER A DISPOSICIÓN INSTALACIONES Y/O ESCENARIOS DEPORTIVOS CON PERSONAL QUE REALICE ACTIVIDADES DE JUZGAMIENTO PARA DESARROLLAR ACTIVIDADES DEPORTIVAS DE FUTBOL 5, BALONCESTO Y SAPO, DIRIGIDAS A LOS TRABAJADORES DE PASTO SALUD E.S.E, DENTRO DEL PLAN DE BIENESTAR SOCIAL E INCENTIVOS VIGENCIA 2025.</v>
          </cell>
          <cell r="J598">
            <v>1</v>
          </cell>
          <cell r="K598" t="str">
            <v>$11.000.000</v>
          </cell>
          <cell r="L598">
            <v>45846</v>
          </cell>
          <cell r="M598">
            <v>45900</v>
          </cell>
          <cell r="N598" t="str">
            <v xml:space="preserve">	ANGELA DANIELA RODRIGUEZ GOYES</v>
          </cell>
          <cell r="O598">
            <v>1085283617</v>
          </cell>
          <cell r="P598" t="str">
            <v>cepnarino@gmail.com</v>
          </cell>
          <cell r="Q598">
            <v>45846</v>
          </cell>
          <cell r="R598" t="str">
            <v>JUAN GOMEZ</v>
          </cell>
          <cell r="U598" t="str">
            <v>CELEBRADO</v>
          </cell>
          <cell r="W598" t="str">
            <v>2025-0257</v>
          </cell>
          <cell r="X598" t="str">
            <v>2025-1027</v>
          </cell>
          <cell r="AJ598">
            <v>2</v>
          </cell>
          <cell r="AK598">
            <v>0</v>
          </cell>
          <cell r="AL598">
            <v>3</v>
          </cell>
          <cell r="AM598" t="str">
            <v>$11.000.000</v>
          </cell>
        </row>
        <row r="599">
          <cell r="A599" t="str">
            <v>598-2025</v>
          </cell>
          <cell r="B599" t="str">
            <v>PRESTACION DE SERVICIOS</v>
          </cell>
          <cell r="C599" t="str">
            <v>CARLOS ANDRES RODRIGUEZ DORADO,</v>
          </cell>
          <cell r="D599" t="str">
            <v>CC</v>
          </cell>
          <cell r="E599">
            <v>93406609</v>
          </cell>
          <cell r="F599">
            <v>7</v>
          </cell>
          <cell r="G599" t="str">
            <v xml:space="preserve">CONTRATACION DIRECTA </v>
          </cell>
          <cell r="H599">
            <v>2</v>
          </cell>
          <cell r="I599" t="str">
            <v>Prestación de servicios profesionales como INGENIERO CIVIL en la Empresa Social del Estado Pasto Salud E.S.E., para apoyar al equipo de Infraestructura de la Oficina Asesora de Planeación en la supervisión técnico - administrativa, organización, dirección, control y comprobación en campo del cumplimiento de las actividades del mantenimiento de la infraestructura hospitalaria.</v>
          </cell>
          <cell r="J599">
            <v>1</v>
          </cell>
          <cell r="K599" t="str">
            <v>$ 22.145.562</v>
          </cell>
          <cell r="L599">
            <v>45846</v>
          </cell>
          <cell r="M599">
            <v>46022</v>
          </cell>
          <cell r="N599" t="str">
            <v xml:space="preserve">	SEBASTIAN GRANJA ORDOÑEZ</v>
          </cell>
          <cell r="O599">
            <v>1085316703</v>
          </cell>
          <cell r="P599" t="str">
            <v xml:space="preserve"> carlosandres rd@hotmail.com</v>
          </cell>
          <cell r="Q599">
            <v>45846</v>
          </cell>
          <cell r="R599" t="str">
            <v>JUAN GOMEZ</v>
          </cell>
          <cell r="U599" t="str">
            <v>CELEBRADO</v>
          </cell>
          <cell r="W599" t="str">
            <v>2025-0336</v>
          </cell>
          <cell r="X599" t="str">
            <v>2025-1024</v>
          </cell>
          <cell r="AJ599">
            <v>2</v>
          </cell>
          <cell r="AK599">
            <v>0</v>
          </cell>
          <cell r="AL599">
            <v>2</v>
          </cell>
          <cell r="AM599" t="str">
            <v>$ 22.145.562</v>
          </cell>
        </row>
        <row r="600">
          <cell r="A600" t="str">
            <v>599-2025</v>
          </cell>
          <cell r="B600" t="str">
            <v>COMPRAVENTA</v>
          </cell>
          <cell r="C600" t="str">
            <v>FUERTES MEJIA MEDICAMENTOS Y
DISPOSITIVOS MEDICOS SAS</v>
          </cell>
          <cell r="D600" t="str">
            <v>NIT</v>
          </cell>
          <cell r="E600">
            <v>901565478</v>
          </cell>
          <cell r="F600">
            <v>1</v>
          </cell>
          <cell r="G600" t="str">
            <v xml:space="preserve">CONTRATACION DIRECTA </v>
          </cell>
          <cell r="H600">
            <v>2</v>
          </cell>
          <cell r="I600" t="str">
            <v>El contratista se obliga a la compraventa de los medicamentos en las cantidades establecidas en el anexo 1, el cual hace parte integral del contrato. Para la ESE Pasto Salud.</v>
          </cell>
          <cell r="J600">
            <v>3</v>
          </cell>
          <cell r="K600" t="str">
            <v>$3.753.000</v>
          </cell>
          <cell r="L600">
            <v>45846</v>
          </cell>
          <cell r="M600">
            <v>45869</v>
          </cell>
          <cell r="N600" t="str">
            <v>NENA DEL CARMEN RAMIREZ RAMIREZ</v>
          </cell>
          <cell r="O600">
            <v>30732589</v>
          </cell>
          <cell r="P600" t="str">
            <v xml:space="preserve"> contabilidad@fuertesmejia.com.co</v>
          </cell>
          <cell r="Q600">
            <v>45846</v>
          </cell>
          <cell r="R600" t="str">
            <v>ELIANA BENAVIDES</v>
          </cell>
          <cell r="U600" t="str">
            <v>CELEBRADO</v>
          </cell>
          <cell r="W600" t="str">
            <v>2025-0272</v>
          </cell>
          <cell r="X600" t="str">
            <v>2025-1025</v>
          </cell>
          <cell r="AJ600">
            <v>2</v>
          </cell>
          <cell r="AK600">
            <v>0</v>
          </cell>
          <cell r="AL600">
            <v>3</v>
          </cell>
          <cell r="AM600" t="str">
            <v>$3.753.000</v>
          </cell>
        </row>
        <row r="601">
          <cell r="A601" t="str">
            <v>600-2025</v>
          </cell>
          <cell r="B601" t="str">
            <v>SUMINISTROS</v>
          </cell>
          <cell r="C601" t="str">
            <v>DENSALUD GRUPO EMPRESARIAL SAS</v>
          </cell>
          <cell r="D601" t="str">
            <v>NIT</v>
          </cell>
          <cell r="E601">
            <v>901105862</v>
          </cell>
          <cell r="F601">
            <v>2</v>
          </cell>
          <cell r="G601" t="str">
            <v>BIONEXO</v>
          </cell>
          <cell r="H601">
            <v>2</v>
          </cell>
          <cell r="I601" t="str">
            <v xml:space="preserve">El contratista se obliga al suministro del material médico quirúrgico en las cantidades establecidas en el anexo 1, el cual hace parte integral del contrato. Para la ESE Pasto Salud.
</v>
          </cell>
          <cell r="J601">
            <v>3</v>
          </cell>
          <cell r="K601" t="str">
            <v>$32.563.160</v>
          </cell>
          <cell r="L601">
            <v>45846</v>
          </cell>
          <cell r="M601">
            <v>45930</v>
          </cell>
          <cell r="N601" t="str">
            <v>NENA DEL CARMEN RAMIREZ RAMIREZ</v>
          </cell>
          <cell r="O601">
            <v>30732589</v>
          </cell>
          <cell r="P601" t="str">
            <v xml:space="preserve"> densalud@hotmail.com</v>
          </cell>
          <cell r="Q601">
            <v>45846</v>
          </cell>
          <cell r="R601" t="str">
            <v>JUAN GOMEZ</v>
          </cell>
          <cell r="U601" t="str">
            <v>CELEBRADO</v>
          </cell>
          <cell r="W601" t="str">
            <v>2025-0272</v>
          </cell>
          <cell r="X601" t="str">
            <v>2025-1032</v>
          </cell>
          <cell r="AJ601">
            <v>2</v>
          </cell>
          <cell r="AK601">
            <v>0</v>
          </cell>
          <cell r="AL601">
            <v>3</v>
          </cell>
          <cell r="AM601" t="str">
            <v>$32.563.160</v>
          </cell>
        </row>
        <row r="602">
          <cell r="A602" t="str">
            <v>601-2025</v>
          </cell>
          <cell r="B602" t="str">
            <v>PRESTACION DE SERVICIOS</v>
          </cell>
          <cell r="C602" t="str">
            <v>NATHALIA ROSERO RODRIGUEZ</v>
          </cell>
          <cell r="D602" t="str">
            <v>CC</v>
          </cell>
          <cell r="E602">
            <v>1082748420</v>
          </cell>
          <cell r="F602">
            <v>0</v>
          </cell>
          <cell r="G602" t="str">
            <v xml:space="preserve">CONTRATACION DIRECTA </v>
          </cell>
          <cell r="H602">
            <v>1</v>
          </cell>
          <cell r="I602" t="str">
            <v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v>
          </cell>
          <cell r="J602">
            <v>1</v>
          </cell>
          <cell r="K602" t="str">
            <v>$12.000.000</v>
          </cell>
          <cell r="L602">
            <v>45847</v>
          </cell>
          <cell r="M602">
            <v>45909</v>
          </cell>
          <cell r="N602" t="str">
            <v>RIGOBERTO MELO ZAMBRANO</v>
          </cell>
          <cell r="O602">
            <v>98333941</v>
          </cell>
          <cell r="P602" t="str">
            <v xml:space="preserve"> roseronat52@gmail.com</v>
          </cell>
          <cell r="Q602">
            <v>45847</v>
          </cell>
          <cell r="R602" t="str">
            <v>RODRIGO ROSERO</v>
          </cell>
          <cell r="U602" t="str">
            <v>CELEBRADO</v>
          </cell>
          <cell r="W602" t="str">
            <v>2025-0264</v>
          </cell>
          <cell r="X602" t="str">
            <v>2025-1034</v>
          </cell>
          <cell r="AJ602">
            <v>2</v>
          </cell>
          <cell r="AK602">
            <v>0</v>
          </cell>
          <cell r="AL602">
            <v>3</v>
          </cell>
          <cell r="AM602" t="str">
            <v>$12.000.000</v>
          </cell>
        </row>
        <row r="603">
          <cell r="A603" t="str">
            <v>602-2025</v>
          </cell>
          <cell r="B603" t="str">
            <v>COMPRAVENTA</v>
          </cell>
          <cell r="C603" t="str">
            <v>DENSALUD GRUPO
EMPRESARIAL S.A.S,</v>
          </cell>
          <cell r="D603" t="str">
            <v>NIT</v>
          </cell>
          <cell r="E603">
            <v>901105862</v>
          </cell>
          <cell r="F603">
            <v>2</v>
          </cell>
          <cell r="G603" t="str">
            <v>BIONEXO</v>
          </cell>
          <cell r="H603">
            <v>2</v>
          </cell>
          <cell r="I603" t="str">
            <v>COMPRA DE EQUIPOS BIOMÉDICOS, DE ACUERDO AL PLAN ANUAL DE ADQUISICIONES DE PASTO SALUD E.S.E 2025, PARA LAS DIFERENTES SEDES QUE CONFORMAN LAS REDES PRESTADORAS DE SERVICIOS EN SALUD.</v>
          </cell>
          <cell r="J603">
            <v>4</v>
          </cell>
          <cell r="K603" t="str">
            <v>$103.058.760</v>
          </cell>
          <cell r="L603">
            <v>45847</v>
          </cell>
          <cell r="M603">
            <v>45877</v>
          </cell>
          <cell r="N603" t="str">
            <v xml:space="preserve">	MARIO FERNADO NARANJO LOPEZ</v>
          </cell>
          <cell r="O603">
            <v>1004189613</v>
          </cell>
          <cell r="P603" t="str">
            <v>densalud@hotmail.com</v>
          </cell>
          <cell r="Q603">
            <v>45847</v>
          </cell>
          <cell r="R603" t="str">
            <v>CRISTINA ROSERO</v>
          </cell>
          <cell r="U603" t="str">
            <v>CELEBRADO</v>
          </cell>
          <cell r="W603" t="str">
            <v>2025-0289</v>
          </cell>
          <cell r="X603" t="str">
            <v>2025-1035</v>
          </cell>
          <cell r="AJ603">
            <v>2</v>
          </cell>
          <cell r="AK603">
            <v>0</v>
          </cell>
          <cell r="AL603">
            <v>3</v>
          </cell>
          <cell r="AM603" t="str">
            <v>$103.058.760</v>
          </cell>
        </row>
        <row r="604">
          <cell r="A604" t="str">
            <v>603-2025</v>
          </cell>
          <cell r="B604" t="str">
            <v>SUMINISTROS</v>
          </cell>
          <cell r="C604" t="str">
            <v>DISTRICENG HOSPITALARIOS SAS</v>
          </cell>
          <cell r="D604" t="str">
            <v>NIT</v>
          </cell>
          <cell r="E604">
            <v>901721826</v>
          </cell>
          <cell r="F604">
            <v>9</v>
          </cell>
          <cell r="G604" t="str">
            <v>BIONEXO</v>
          </cell>
          <cell r="H604">
            <v>2</v>
          </cell>
          <cell r="I604" t="str">
            <v>El contratista se obliga al suministro del material médico quirúrgico en las cantidades establecidas en el anexo 1, el cual hace parte integral del contrato. Para la ESE Pasto Salud.</v>
          </cell>
          <cell r="J604">
            <v>3</v>
          </cell>
          <cell r="K604" t="str">
            <v xml:space="preserve">$5.720.275,30
</v>
          </cell>
          <cell r="L604">
            <v>45847</v>
          </cell>
          <cell r="M604">
            <v>45930</v>
          </cell>
          <cell r="N604" t="str">
            <v>NENA DEL CARMEN RAMIREZ RAMIREZ</v>
          </cell>
          <cell r="O604">
            <v>30732589</v>
          </cell>
          <cell r="P604" t="str">
            <v>contabilidad.districeng@gmail.com</v>
          </cell>
          <cell r="Q604">
            <v>45847</v>
          </cell>
          <cell r="R604" t="str">
            <v>JUAN GOMEZ</v>
          </cell>
          <cell r="U604" t="str">
            <v>CELEBRADO</v>
          </cell>
          <cell r="W604" t="str">
            <v>2025-0272</v>
          </cell>
          <cell r="X604" t="str">
            <v>2025-1036</v>
          </cell>
          <cell r="AJ604">
            <v>2</v>
          </cell>
          <cell r="AK604">
            <v>0</v>
          </cell>
          <cell r="AL604">
            <v>3</v>
          </cell>
          <cell r="AM604" t="str">
            <v xml:space="preserve">$5.720.275,30
</v>
          </cell>
        </row>
        <row r="605">
          <cell r="A605" t="str">
            <v>604-2025</v>
          </cell>
          <cell r="B605" t="str">
            <v>PRESTACION DE SERVICIOS</v>
          </cell>
          <cell r="C605" t="str">
            <v xml:space="preserve"> ROBERT IVAN ORTEGA INSUASTY</v>
          </cell>
          <cell r="D605" t="str">
            <v>CC</v>
          </cell>
          <cell r="E605">
            <v>1087958982</v>
          </cell>
          <cell r="F605">
            <v>7</v>
          </cell>
          <cell r="G605" t="str">
            <v xml:space="preserve">CONTRATACION DIRECTA </v>
          </cell>
          <cell r="H605">
            <v>1</v>
          </cell>
          <cell r="I605"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v>
          </cell>
          <cell r="J605">
            <v>1</v>
          </cell>
          <cell r="K605" t="str">
            <v>$5.000.000</v>
          </cell>
          <cell r="L605">
            <v>45847</v>
          </cell>
          <cell r="M605">
            <v>45909</v>
          </cell>
          <cell r="N605" t="str">
            <v>RIGOBERTO MELO ZAMBRANO</v>
          </cell>
          <cell r="O605">
            <v>98333941</v>
          </cell>
          <cell r="P605" t="str">
            <v xml:space="preserve"> robertpirez7@hotmail.com </v>
          </cell>
          <cell r="Q605">
            <v>45847</v>
          </cell>
          <cell r="R605" t="str">
            <v>ELIANA BENAVIDES</v>
          </cell>
          <cell r="U605" t="str">
            <v>CELEBRADO</v>
          </cell>
          <cell r="W605" t="str">
            <v>2025-0264</v>
          </cell>
          <cell r="X605" t="str">
            <v>2025-1037</v>
          </cell>
          <cell r="AJ605">
            <v>2</v>
          </cell>
          <cell r="AK605">
            <v>0</v>
          </cell>
          <cell r="AL605">
            <v>3</v>
          </cell>
          <cell r="AM605" t="str">
            <v>$5.000.000</v>
          </cell>
        </row>
        <row r="606">
          <cell r="A606" t="str">
            <v>605-2025</v>
          </cell>
          <cell r="B606" t="str">
            <v>PRESTACION DE SERVICIOS</v>
          </cell>
          <cell r="C606" t="str">
            <v>DOLLY DIGNA DAVILA</v>
          </cell>
          <cell r="D606" t="str">
            <v>CC</v>
          </cell>
          <cell r="E606">
            <v>59706564</v>
          </cell>
          <cell r="F606">
            <v>8</v>
          </cell>
          <cell r="G606" t="str">
            <v xml:space="preserve">CONTRATACION DIRECTA </v>
          </cell>
          <cell r="H606">
            <v>1</v>
          </cell>
          <cell r="I60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606">
            <v>1</v>
          </cell>
          <cell r="K606" t="str">
            <v>$6.000.000</v>
          </cell>
          <cell r="L606">
            <v>45847</v>
          </cell>
          <cell r="M606">
            <v>45909</v>
          </cell>
          <cell r="N606" t="str">
            <v>RODRIGO DE JESUS VITERI MORENO</v>
          </cell>
          <cell r="O606">
            <v>98390119</v>
          </cell>
          <cell r="P606" t="str">
            <v xml:space="preserve"> dariurba@hotmail.com</v>
          </cell>
          <cell r="Q606">
            <v>45847</v>
          </cell>
          <cell r="R606" t="str">
            <v>ANDRES GUERRA</v>
          </cell>
          <cell r="U606" t="str">
            <v>CELEBRADO</v>
          </cell>
          <cell r="W606" t="str">
            <v>2025-0264</v>
          </cell>
          <cell r="X606" t="str">
            <v>2025-1038</v>
          </cell>
          <cell r="AJ606">
            <v>2</v>
          </cell>
          <cell r="AK606">
            <v>0</v>
          </cell>
          <cell r="AL606">
            <v>3</v>
          </cell>
          <cell r="AM606" t="str">
            <v>$6.000.000</v>
          </cell>
        </row>
        <row r="607">
          <cell r="A607" t="str">
            <v>606-2025</v>
          </cell>
          <cell r="B607" t="str">
            <v>PRESTACION DE SERVICIOS</v>
          </cell>
          <cell r="C607" t="str">
            <v>JEFFERSON RIGO LEITON RODRIGUEZ,</v>
          </cell>
          <cell r="D607" t="str">
            <v>CC</v>
          </cell>
          <cell r="E607">
            <v>1004743217</v>
          </cell>
          <cell r="F607">
            <v>5</v>
          </cell>
          <cell r="G607" t="str">
            <v xml:space="preserve">CONTRATACION DIRECTA </v>
          </cell>
          <cell r="H607">
            <v>1</v>
          </cell>
          <cell r="I60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607">
            <v>1</v>
          </cell>
          <cell r="K607" t="str">
            <v>$6.000.000</v>
          </cell>
          <cell r="L607">
            <v>45847</v>
          </cell>
          <cell r="M607">
            <v>45909</v>
          </cell>
          <cell r="N607" t="str">
            <v>RODRIGO DE JESUS VITERI MORENO</v>
          </cell>
          <cell r="O607">
            <v>98390119</v>
          </cell>
          <cell r="P607" t="str">
            <v xml:space="preserve"> jefersonleiton127@gmail.com.</v>
          </cell>
          <cell r="Q607">
            <v>45847</v>
          </cell>
          <cell r="R607" t="str">
            <v>ELIANA BENAVIDES</v>
          </cell>
          <cell r="U607" t="str">
            <v>CELEBRADO</v>
          </cell>
          <cell r="W607" t="str">
            <v>2025-0264</v>
          </cell>
          <cell r="X607" t="str">
            <v>2025-1039</v>
          </cell>
          <cell r="AJ607">
            <v>2</v>
          </cell>
          <cell r="AK607">
            <v>0</v>
          </cell>
          <cell r="AL607">
            <v>3</v>
          </cell>
          <cell r="AM607" t="str">
            <v>$6.000.000</v>
          </cell>
        </row>
        <row r="608">
          <cell r="A608" t="str">
            <v>607-2025</v>
          </cell>
          <cell r="B608" t="str">
            <v>PRESTACION DE SERVICIOS</v>
          </cell>
          <cell r="C608" t="str">
            <v>JERSON LEODAN LEITON TORO</v>
          </cell>
          <cell r="D608" t="str">
            <v>CC</v>
          </cell>
          <cell r="E608">
            <v>1086363186</v>
          </cell>
          <cell r="F608">
            <v>2</v>
          </cell>
          <cell r="G608" t="str">
            <v xml:space="preserve">CONTRATACION DIRECTA </v>
          </cell>
          <cell r="H608">
            <v>1</v>
          </cell>
          <cell r="I60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608">
            <v>1</v>
          </cell>
          <cell r="K608" t="str">
            <v>$6.000.000</v>
          </cell>
          <cell r="L608">
            <v>45847</v>
          </cell>
          <cell r="M608">
            <v>45909</v>
          </cell>
          <cell r="N608" t="str">
            <v>RODRIGO DE JESUS VITERI MORENO</v>
          </cell>
          <cell r="O608">
            <v>98390119</v>
          </cell>
          <cell r="P608" t="str">
            <v>jersonleiton5@gmail.com</v>
          </cell>
          <cell r="Q608">
            <v>45909</v>
          </cell>
          <cell r="R608" t="str">
            <v>ANDRES GUERRA</v>
          </cell>
          <cell r="U608" t="str">
            <v>CELEBRADO</v>
          </cell>
          <cell r="W608" t="str">
            <v>2025-0264</v>
          </cell>
          <cell r="X608" t="str">
            <v>2025-1040</v>
          </cell>
          <cell r="AJ608">
            <v>2</v>
          </cell>
          <cell r="AK608">
            <v>0</v>
          </cell>
          <cell r="AL608">
            <v>3</v>
          </cell>
          <cell r="AM608" t="str">
            <v>$6.000.000</v>
          </cell>
        </row>
        <row r="609">
          <cell r="A609" t="str">
            <v>608-2025</v>
          </cell>
          <cell r="B609" t="str">
            <v>PRESTACION DE SERVICIOS</v>
          </cell>
          <cell r="C609" t="str">
            <v>CARLOS EDUARDO BASTIDAS OBANDO</v>
          </cell>
          <cell r="D609" t="str">
            <v>CC</v>
          </cell>
          <cell r="E609">
            <v>1085274630</v>
          </cell>
          <cell r="F609">
            <v>6</v>
          </cell>
          <cell r="G609" t="str">
            <v xml:space="preserve">CONTRATACION DIRECTA </v>
          </cell>
          <cell r="H609">
            <v>1</v>
          </cell>
          <cell r="I609"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609">
            <v>1</v>
          </cell>
          <cell r="K609" t="str">
            <v>$6.000.000</v>
          </cell>
          <cell r="L609">
            <v>45847</v>
          </cell>
          <cell r="M609">
            <v>45909</v>
          </cell>
          <cell r="N609" t="str">
            <v>RODRIGO DE JESUS VITERI MORENO</v>
          </cell>
          <cell r="O609">
            <v>98390119</v>
          </cell>
          <cell r="P609" t="str">
            <v xml:space="preserve"> Carloshic1234@gmail.com</v>
          </cell>
          <cell r="Q609">
            <v>45847</v>
          </cell>
          <cell r="R609" t="str">
            <v>CRISTINA ROSERO</v>
          </cell>
          <cell r="U609" t="str">
            <v>CELEBRADO</v>
          </cell>
          <cell r="W609" t="str">
            <v>2025-0264</v>
          </cell>
          <cell r="X609" t="str">
            <v>2025-1041</v>
          </cell>
          <cell r="AJ609">
            <v>2</v>
          </cell>
          <cell r="AK609">
            <v>0</v>
          </cell>
          <cell r="AL609">
            <v>3</v>
          </cell>
          <cell r="AM609" t="str">
            <v>$6.000.000</v>
          </cell>
        </row>
        <row r="610">
          <cell r="A610" t="str">
            <v>609-2025</v>
          </cell>
          <cell r="B610" t="str">
            <v>PRESTACION DE SERVICIOS</v>
          </cell>
          <cell r="C610" t="str">
            <v>ANYI ELISABETH ROSERO LOPEZ</v>
          </cell>
          <cell r="D610" t="str">
            <v>CC</v>
          </cell>
          <cell r="E610">
            <v>1084552048</v>
          </cell>
          <cell r="F610">
            <v>8</v>
          </cell>
          <cell r="G610" t="str">
            <v xml:space="preserve">CONTRATACION DIRECTA </v>
          </cell>
          <cell r="H610">
            <v>1</v>
          </cell>
          <cell r="I610" t="str">
            <v>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10">
            <v>1</v>
          </cell>
          <cell r="K610" t="str">
            <v>$5.000.000</v>
          </cell>
          <cell r="L610">
            <v>45848</v>
          </cell>
          <cell r="M610">
            <v>45910</v>
          </cell>
          <cell r="N610" t="str">
            <v>RIGOBERTO MELO ZAMBRANO</v>
          </cell>
          <cell r="O610">
            <v>98333941</v>
          </cell>
          <cell r="P610" t="str">
            <v>Angie.e.rosero.I@gmail.com</v>
          </cell>
          <cell r="Q610">
            <v>45848</v>
          </cell>
          <cell r="R610" t="str">
            <v>JUAN GOMEZ</v>
          </cell>
          <cell r="U610" t="str">
            <v>CELEBRADO</v>
          </cell>
          <cell r="W610" t="str">
            <v>2025-0264</v>
          </cell>
          <cell r="X610" t="str">
            <v>2025-1042</v>
          </cell>
          <cell r="AJ610">
            <v>2</v>
          </cell>
          <cell r="AK610">
            <v>0</v>
          </cell>
          <cell r="AL610">
            <v>3</v>
          </cell>
          <cell r="AM610" t="str">
            <v>$5.000.000</v>
          </cell>
        </row>
        <row r="611">
          <cell r="A611" t="str">
            <v>610-2025</v>
          </cell>
          <cell r="B611" t="str">
            <v>SUMINISTROS</v>
          </cell>
          <cell r="C611" t="str">
            <v>FUERTES MEJIA MEDICAMENTOS Y DISPOSITIVOS MEDICOS SAS.</v>
          </cell>
          <cell r="D611" t="str">
            <v>NIT</v>
          </cell>
          <cell r="E611">
            <v>901565478</v>
          </cell>
          <cell r="F611">
            <v>1</v>
          </cell>
          <cell r="G611" t="str">
            <v>BIONEXO</v>
          </cell>
          <cell r="H611">
            <v>2</v>
          </cell>
          <cell r="I611" t="str">
            <v>El contratista se obliga al suministro del material médico quirúrgico en las cantidades establecidas en el anexo 1, el cual hace parte integral del contrato. Para la ESE Pasto Salud.</v>
          </cell>
          <cell r="J611">
            <v>3</v>
          </cell>
          <cell r="K611" t="str">
            <v xml:space="preserve">$127.929.036,65
</v>
          </cell>
          <cell r="L611">
            <v>45848</v>
          </cell>
          <cell r="M611">
            <v>45930</v>
          </cell>
          <cell r="N611" t="str">
            <v>NENA DEL CARMEN RAMIREZ RAMIREZ</v>
          </cell>
          <cell r="O611">
            <v>30732589</v>
          </cell>
          <cell r="P611" t="str">
            <v>contabilidad@fuertesmejia.com.co</v>
          </cell>
          <cell r="Q611">
            <v>45848</v>
          </cell>
          <cell r="R611" t="str">
            <v>ELIANA BENAVIDES</v>
          </cell>
          <cell r="U611" t="str">
            <v>CELEBRADO</v>
          </cell>
          <cell r="W611" t="str">
            <v>2025-0272</v>
          </cell>
          <cell r="X611" t="str">
            <v>2025-1043</v>
          </cell>
          <cell r="AJ611">
            <v>2</v>
          </cell>
          <cell r="AK611">
            <v>0</v>
          </cell>
          <cell r="AL611">
            <v>3</v>
          </cell>
          <cell r="AM611" t="str">
            <v xml:space="preserve">$127.929.036,65
</v>
          </cell>
        </row>
        <row r="612">
          <cell r="A612" t="str">
            <v>611-2025</v>
          </cell>
          <cell r="B612" t="str">
            <v>PRESTACION DE SERVICIOS</v>
          </cell>
          <cell r="C612" t="str">
            <v>JHONATTAN ALEXANDER CASTELLANOS ANDRADE</v>
          </cell>
          <cell r="D612" t="str">
            <v>CC</v>
          </cell>
          <cell r="E612">
            <v>1082748783</v>
          </cell>
          <cell r="F612">
            <v>9</v>
          </cell>
          <cell r="G612" t="str">
            <v xml:space="preserve">CONTRATACION DIRECTA </v>
          </cell>
          <cell r="H612">
            <v>1</v>
          </cell>
          <cell r="I612"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v>
          </cell>
          <cell r="J612">
            <v>1</v>
          </cell>
          <cell r="K612" t="str">
            <v>$6.000.000</v>
          </cell>
          <cell r="L612">
            <v>45848</v>
          </cell>
          <cell r="M612">
            <v>45910</v>
          </cell>
          <cell r="N612" t="str">
            <v>RODRIGO DE JESUS VITERI MORENO</v>
          </cell>
          <cell r="O612">
            <v>98390119</v>
          </cell>
          <cell r="P612" t="str">
            <v xml:space="preserve"> castellanosj001@gmail.com</v>
          </cell>
          <cell r="Q612">
            <v>45848</v>
          </cell>
          <cell r="R612" t="str">
            <v>ANDRES GUERRA</v>
          </cell>
          <cell r="U612" t="str">
            <v>CELEBRADO</v>
          </cell>
          <cell r="W612" t="str">
            <v>2025-0264</v>
          </cell>
          <cell r="X612" t="str">
            <v>2025-1047</v>
          </cell>
          <cell r="AJ612">
            <v>2</v>
          </cell>
          <cell r="AK612">
            <v>0</v>
          </cell>
          <cell r="AL612">
            <v>3</v>
          </cell>
          <cell r="AM612" t="str">
            <v>$6.000.000</v>
          </cell>
        </row>
        <row r="613">
          <cell r="A613" t="str">
            <v>612-2025</v>
          </cell>
          <cell r="B613" t="str">
            <v>SUMINISTROS</v>
          </cell>
          <cell r="C613" t="str">
            <v>DISPAPELES SAS</v>
          </cell>
          <cell r="D613" t="str">
            <v>NIT</v>
          </cell>
          <cell r="E613">
            <v>860028580</v>
          </cell>
          <cell r="F613">
            <v>2</v>
          </cell>
          <cell r="G613" t="str">
            <v xml:space="preserve">CONTRATACION DIRECTA </v>
          </cell>
          <cell r="H613">
            <v>1</v>
          </cell>
          <cell r="I613" t="str">
            <v>Contratar el suministro elementos de aseo para dotar las 23 sedes de la empresa social del estado Pasto salud ESE.</v>
          </cell>
          <cell r="J613">
            <v>7</v>
          </cell>
          <cell r="K613" t="str">
            <v>$67.509.293</v>
          </cell>
          <cell r="L613">
            <v>45849</v>
          </cell>
          <cell r="M613">
            <v>46015</v>
          </cell>
          <cell r="N613" t="str">
            <v xml:space="preserve">	STEFANYA RAMIREZ LOPERA</v>
          </cell>
          <cell r="O613">
            <v>111247705</v>
          </cell>
          <cell r="P613" t="str">
            <v xml:space="preserve"> notificacionesludiciales@dispapeles.com</v>
          </cell>
          <cell r="Q613">
            <v>45849</v>
          </cell>
          <cell r="R613" t="str">
            <v>ANDRES GUERRA</v>
          </cell>
          <cell r="U613" t="str">
            <v>CELEBRADO</v>
          </cell>
          <cell r="W613" t="str">
            <v>2025-0354</v>
          </cell>
          <cell r="X613" t="str">
            <v>2025-1048</v>
          </cell>
          <cell r="AJ613">
            <v>2</v>
          </cell>
          <cell r="AK613">
            <v>0</v>
          </cell>
          <cell r="AL613">
            <v>2</v>
          </cell>
          <cell r="AM613" t="str">
            <v>$67.509.293</v>
          </cell>
        </row>
        <row r="614">
          <cell r="A614" t="str">
            <v>613-2025</v>
          </cell>
          <cell r="B614" t="str">
            <v>COMPRAVENTA</v>
          </cell>
          <cell r="C614" t="str">
            <v xml:space="preserve"> SERVICIOS DE INGENIERIAEYCSAS</v>
          </cell>
          <cell r="D614" t="str">
            <v>NIT</v>
          </cell>
          <cell r="E614">
            <v>900215065</v>
          </cell>
          <cell r="F614">
            <v>7</v>
          </cell>
          <cell r="G614" t="str">
            <v>BIONEXO</v>
          </cell>
          <cell r="H614">
            <v>2</v>
          </cell>
          <cell r="I614" t="str">
            <v xml:space="preserve">COMPRA DE EQUIPOS BIOMÉDICOS, DE ACUERDO AL PLAN ANUAL DE ADQUISICIONES DE PASTO SALUD E.S.E 2025. PARA LAS DIFERENTES SEDES QUE CONFORMAN LAS REDES PRESTADORAS DE SERVICIOS EN SALUD. </v>
          </cell>
          <cell r="J614">
            <v>4</v>
          </cell>
          <cell r="K614" t="str">
            <v>$51.945.650,33</v>
          </cell>
          <cell r="L614">
            <v>45849</v>
          </cell>
          <cell r="M614">
            <v>45877</v>
          </cell>
          <cell r="N614" t="str">
            <v xml:space="preserve">	MARIO FERNADO NARANJO LOPEZ</v>
          </cell>
          <cell r="O614">
            <v>1004189613</v>
          </cell>
          <cell r="P614" t="str">
            <v xml:space="preserve"> servingsas2013@gmail.com </v>
          </cell>
          <cell r="Q614">
            <v>45849</v>
          </cell>
          <cell r="R614" t="str">
            <v>JUAN GOMEZ</v>
          </cell>
          <cell r="U614" t="str">
            <v>CELEBRADO</v>
          </cell>
          <cell r="W614" t="str">
            <v>2025-0289</v>
          </cell>
          <cell r="X614" t="str">
            <v>2025-1049</v>
          </cell>
          <cell r="AJ614">
            <v>2</v>
          </cell>
          <cell r="AK614">
            <v>0</v>
          </cell>
          <cell r="AL614">
            <v>3</v>
          </cell>
          <cell r="AM614" t="str">
            <v>$51.945.650,33</v>
          </cell>
        </row>
        <row r="615">
          <cell r="A615" t="str">
            <v>614-2025</v>
          </cell>
          <cell r="B615" t="str">
            <v>PRESTACION DE SERVICIOS</v>
          </cell>
          <cell r="C615" t="str">
            <v>ADRIANA YESENIA BOTINA GUACAS</v>
          </cell>
          <cell r="D615" t="str">
            <v>CC</v>
          </cell>
          <cell r="E615">
            <v>1085304308</v>
          </cell>
          <cell r="F615">
            <v>9</v>
          </cell>
          <cell r="G615" t="str">
            <v xml:space="preserve">CONTRATACION DIRECTA </v>
          </cell>
          <cell r="H615">
            <v>1</v>
          </cell>
          <cell r="I61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v>
          </cell>
          <cell r="J615">
            <v>1</v>
          </cell>
          <cell r="K615" t="str">
            <v>$6.000.000</v>
          </cell>
          <cell r="L615">
            <v>45849</v>
          </cell>
          <cell r="M615">
            <v>45911</v>
          </cell>
          <cell r="N615" t="str">
            <v>RODRIGO DE JESUS VITERI MORENO</v>
          </cell>
          <cell r="O615">
            <v>98390119</v>
          </cell>
          <cell r="P615" t="str">
            <v xml:space="preserve"> yesenia23adriana28@gmail.com</v>
          </cell>
          <cell r="Q615">
            <v>45849</v>
          </cell>
          <cell r="R615" t="str">
            <v>ANDRES GUERRA</v>
          </cell>
          <cell r="U615" t="str">
            <v>CELEBRADO</v>
          </cell>
          <cell r="W615" t="str">
            <v>2025-0264</v>
          </cell>
          <cell r="X615" t="str">
            <v>2025-1044</v>
          </cell>
          <cell r="AJ615">
            <v>2</v>
          </cell>
          <cell r="AK615">
            <v>0</v>
          </cell>
          <cell r="AL615">
            <v>3</v>
          </cell>
          <cell r="AM615" t="str">
            <v>$6.000.000</v>
          </cell>
        </row>
        <row r="616">
          <cell r="A616" t="str">
            <v>615-2025</v>
          </cell>
          <cell r="B616" t="str">
            <v>PRESTACION DE SERVICIOS</v>
          </cell>
          <cell r="C616" t="str">
            <v>JULIET ELIANA MORENO LOPEZ</v>
          </cell>
          <cell r="D616" t="str">
            <v>CC</v>
          </cell>
          <cell r="E616">
            <v>1085314608</v>
          </cell>
          <cell r="F616">
            <v>6</v>
          </cell>
          <cell r="G616" t="str">
            <v xml:space="preserve">CONTRATACION DIRECTA </v>
          </cell>
          <cell r="H616">
            <v>1</v>
          </cell>
          <cell r="I61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v>
          </cell>
          <cell r="J616">
            <v>1</v>
          </cell>
          <cell r="K616" t="str">
            <v>$6.000.000</v>
          </cell>
          <cell r="L616">
            <v>45849</v>
          </cell>
          <cell r="M616">
            <v>45911</v>
          </cell>
          <cell r="N616" t="str">
            <v>RODRIGO DE JESUS VITERI MORENO</v>
          </cell>
          <cell r="O616">
            <v>98390119</v>
          </cell>
          <cell r="P616" t="str">
            <v xml:space="preserve"> morenojulieth99@gmail.com</v>
          </cell>
          <cell r="Q616">
            <v>45849</v>
          </cell>
          <cell r="R616" t="str">
            <v>CRISTINA ROSERO</v>
          </cell>
          <cell r="U616" t="str">
            <v>CELEBRADO</v>
          </cell>
          <cell r="W616" t="str">
            <v>2025-0264</v>
          </cell>
          <cell r="X616" t="str">
            <v>2025-1050</v>
          </cell>
          <cell r="AJ616">
            <v>2</v>
          </cell>
          <cell r="AK616">
            <v>0</v>
          </cell>
          <cell r="AL616">
            <v>3</v>
          </cell>
          <cell r="AM616" t="str">
            <v>$6.000.000</v>
          </cell>
        </row>
        <row r="617">
          <cell r="A617" t="str">
            <v>616-2025</v>
          </cell>
          <cell r="B617" t="str">
            <v>SUMINISTROS</v>
          </cell>
          <cell r="C617" t="str">
            <v xml:space="preserve"> FUERTES MEJIA MEDICAMENTOS Y DISPOSITIVOS MEDICOS S.A.S</v>
          </cell>
          <cell r="D617" t="str">
            <v>NIT</v>
          </cell>
          <cell r="E617">
            <v>901565478</v>
          </cell>
          <cell r="F617">
            <v>1</v>
          </cell>
          <cell r="G617" t="str">
            <v xml:space="preserve">CONTRATACION DIRECTA </v>
          </cell>
          <cell r="H617">
            <v>2</v>
          </cell>
          <cell r="I617" t="str">
            <v>El contratista se obliga al suministro del material médico quirúrgico en las cantidades establecidas en el anexo 1, el cual hace parte integral del contrato. Para la ESE Pasto Salud.</v>
          </cell>
          <cell r="J617">
            <v>3</v>
          </cell>
          <cell r="K617" t="str">
            <v>$2.260.840</v>
          </cell>
          <cell r="L617">
            <v>45852</v>
          </cell>
          <cell r="M617">
            <v>45900</v>
          </cell>
          <cell r="N617" t="str">
            <v>NENA DEL CARMEN RAMIREZ RAMIREZ</v>
          </cell>
          <cell r="O617">
            <v>30732589</v>
          </cell>
          <cell r="P617" t="str">
            <v xml:space="preserve"> contabilidad@fuertesmejia.com.co</v>
          </cell>
          <cell r="Q617">
            <v>45852</v>
          </cell>
          <cell r="R617" t="str">
            <v>CRISTINA ROSERO</v>
          </cell>
          <cell r="U617" t="str">
            <v>CELEBRADO</v>
          </cell>
          <cell r="W617" t="str">
            <v>2025-0276</v>
          </cell>
          <cell r="X617" t="str">
            <v>2025-1051</v>
          </cell>
          <cell r="AJ617">
            <v>2</v>
          </cell>
          <cell r="AK617">
            <v>0</v>
          </cell>
          <cell r="AL617">
            <v>3</v>
          </cell>
          <cell r="AM617" t="str">
            <v>$2.260.840</v>
          </cell>
        </row>
        <row r="618">
          <cell r="A618" t="str">
            <v>617-2025</v>
          </cell>
          <cell r="B618" t="str">
            <v>COMPRAVENTA</v>
          </cell>
          <cell r="C618" t="str">
            <v>TECNICA ELECTRO MEDICA S.A</v>
          </cell>
          <cell r="D618" t="str">
            <v>NIT</v>
          </cell>
          <cell r="E618">
            <v>830004892</v>
          </cell>
          <cell r="F618">
            <v>2</v>
          </cell>
          <cell r="G618" t="str">
            <v xml:space="preserve">CONTRATACION DIRECTA </v>
          </cell>
          <cell r="H618">
            <v>2</v>
          </cell>
          <cell r="I618" t="str">
            <v>COMPRA DE EQUIPOS BIOMÉDICOS, DE ACUERDO AL PLAN ANUAL DE ADQUISICIONES DE PASTO SALUD E.S.E 2025, PARA LAS DIFERENTES SEDES QUE CONFORMAN LAS REDES PRESTADORAS DE SERVICIOS EN SALUD.</v>
          </cell>
          <cell r="J618">
            <v>4</v>
          </cell>
          <cell r="K618" t="str">
            <v>$8.642.018</v>
          </cell>
          <cell r="L618">
            <v>45852</v>
          </cell>
          <cell r="M618">
            <v>45878</v>
          </cell>
          <cell r="N618" t="str">
            <v xml:space="preserve">	MARIO FERNADO NARANJO LOPEZ</v>
          </cell>
          <cell r="O618">
            <v>1004189613</v>
          </cell>
          <cell r="P618" t="str">
            <v>licitaciones@tecnicaelectromedica.com</v>
          </cell>
          <cell r="Q618">
            <v>45852</v>
          </cell>
          <cell r="R618" t="str">
            <v>ELIANA BENAVIDES</v>
          </cell>
          <cell r="U618" t="str">
            <v>CELEBRADO</v>
          </cell>
          <cell r="W618" t="str">
            <v>2025-0289</v>
          </cell>
          <cell r="X618" t="str">
            <v>2025-1052</v>
          </cell>
          <cell r="AC618" t="str">
            <v>PRORROGA</v>
          </cell>
          <cell r="AJ618">
            <v>1</v>
          </cell>
          <cell r="AK618">
            <v>2</v>
          </cell>
          <cell r="AL618">
            <v>3</v>
          </cell>
          <cell r="AM618" t="str">
            <v>$8.642.018</v>
          </cell>
        </row>
        <row r="619">
          <cell r="A619" t="str">
            <v>618-2025</v>
          </cell>
          <cell r="B619" t="str">
            <v>SUMINISTROS</v>
          </cell>
          <cell r="C619" t="str">
            <v>ORBIDENTAL S.A.S</v>
          </cell>
          <cell r="D619" t="str">
            <v>NIT</v>
          </cell>
          <cell r="E619">
            <v>80005972</v>
          </cell>
          <cell r="F619">
            <v>2</v>
          </cell>
          <cell r="G619" t="str">
            <v xml:space="preserve">CONTRATACION DIRECTA </v>
          </cell>
          <cell r="H619">
            <v>2</v>
          </cell>
          <cell r="I619" t="str">
            <v>Suministro de material odontológico para la Empresa Social del Estado PASTO SALUD ESE.</v>
          </cell>
          <cell r="J619">
            <v>1</v>
          </cell>
          <cell r="K619" t="str">
            <v>$8.546.665</v>
          </cell>
          <cell r="L619">
            <v>45852</v>
          </cell>
          <cell r="M619">
            <v>45898</v>
          </cell>
          <cell r="N619" t="str">
            <v>YOLANDA LORENA GUANCHA MEJIA</v>
          </cell>
          <cell r="O619">
            <v>36950517</v>
          </cell>
          <cell r="P619" t="str">
            <v xml:space="preserve">ORBIDENTAL@YAHOO.COM </v>
          </cell>
          <cell r="Q619">
            <v>45852</v>
          </cell>
          <cell r="R619" t="str">
            <v>CRISTINA ROSERO</v>
          </cell>
          <cell r="U619" t="str">
            <v>CELEBRADO</v>
          </cell>
          <cell r="W619" t="str">
            <v>2025-0357</v>
          </cell>
          <cell r="X619" t="str">
            <v>2025-1053</v>
          </cell>
          <cell r="AJ619">
            <v>2</v>
          </cell>
          <cell r="AK619">
            <v>0</v>
          </cell>
          <cell r="AL619">
            <v>3</v>
          </cell>
          <cell r="AM619" t="str">
            <v>$8.546.665</v>
          </cell>
        </row>
        <row r="620">
          <cell r="A620" t="str">
            <v>619-2025</v>
          </cell>
          <cell r="B620" t="str">
            <v>SUMINISTROS</v>
          </cell>
          <cell r="C620" t="str">
            <v>OPERANDO MEDICO QUIRRURGICO S.A.S.,</v>
          </cell>
          <cell r="D620" t="str">
            <v>NIT</v>
          </cell>
          <cell r="E620">
            <v>900319471</v>
          </cell>
          <cell r="F620">
            <v>1</v>
          </cell>
          <cell r="G620" t="str">
            <v>BIONEXO</v>
          </cell>
          <cell r="H620">
            <v>2</v>
          </cell>
          <cell r="I620" t="str">
            <v xml:space="preserve"> El contratista se obliga al suministro del material médico quirúrgico en las cantidades establecidas en
el anexo 1, el cual hace parte integral del contrato.</v>
          </cell>
          <cell r="J620">
            <v>3</v>
          </cell>
          <cell r="K620" t="str">
            <v>$13.620.256,10</v>
          </cell>
          <cell r="L620">
            <v>45853</v>
          </cell>
          <cell r="M620">
            <v>45930</v>
          </cell>
          <cell r="N620" t="str">
            <v>NENA DEL CARMEN RAMIREZ RAMIREZ</v>
          </cell>
          <cell r="O620">
            <v>30732589</v>
          </cell>
          <cell r="P620" t="str">
            <v>administración@operandosa.com</v>
          </cell>
          <cell r="Q620">
            <v>45853</v>
          </cell>
          <cell r="R620" t="str">
            <v>ELIANA BENAVIDES</v>
          </cell>
          <cell r="U620" t="str">
            <v>CELEBRADO</v>
          </cell>
          <cell r="W620" t="str">
            <v>2025-0272</v>
          </cell>
          <cell r="X620" t="str">
            <v>2025-1054</v>
          </cell>
          <cell r="AJ620">
            <v>2</v>
          </cell>
          <cell r="AK620">
            <v>0</v>
          </cell>
          <cell r="AL620">
            <v>3</v>
          </cell>
          <cell r="AM620" t="str">
            <v>$13.620.256,10</v>
          </cell>
        </row>
        <row r="621">
          <cell r="A621" t="str">
            <v>620-2025</v>
          </cell>
          <cell r="B621" t="str">
            <v>COMPRAVENTA</v>
          </cell>
          <cell r="C621" t="str">
            <v>FUERTES MEJIA MEDICAMENTOS Y DISPOSITIVOS MEDICOS SAS</v>
          </cell>
          <cell r="D621" t="str">
            <v>NIT</v>
          </cell>
          <cell r="E621">
            <v>901565478</v>
          </cell>
          <cell r="F621">
            <v>1</v>
          </cell>
          <cell r="G621" t="str">
            <v xml:space="preserve">CONTRATACION DIRECTA </v>
          </cell>
          <cell r="H621">
            <v>2</v>
          </cell>
          <cell r="I621" t="str">
            <v>Compra venta de elementos de aseo para dotar las 23 sedes de la empresa social del estado pasto salud ESE.</v>
          </cell>
          <cell r="J621">
            <v>7</v>
          </cell>
          <cell r="K621" t="str">
            <v>$46.756.566</v>
          </cell>
          <cell r="L621">
            <v>45853</v>
          </cell>
          <cell r="M621">
            <v>45884</v>
          </cell>
          <cell r="N621" t="str">
            <v>STEFANYA RAMIREZ LOPERA</v>
          </cell>
          <cell r="O621">
            <v>111247705</v>
          </cell>
          <cell r="P621" t="str">
            <v>contabilidad@fuertesmejia.com.co</v>
          </cell>
          <cell r="Q621">
            <v>45853</v>
          </cell>
          <cell r="R621" t="str">
            <v>ELIANA BENAVIDES</v>
          </cell>
          <cell r="U621" t="str">
            <v>CELEBRADO</v>
          </cell>
          <cell r="W621" t="str">
            <v>2025-0354</v>
          </cell>
          <cell r="X621" t="str">
            <v>2025-1055</v>
          </cell>
          <cell r="AJ621">
            <v>2</v>
          </cell>
          <cell r="AK621">
            <v>0</v>
          </cell>
          <cell r="AL621">
            <v>3</v>
          </cell>
          <cell r="AM621" t="str">
            <v>$46.756.566</v>
          </cell>
        </row>
        <row r="622">
          <cell r="A622" t="str">
            <v>621-2025</v>
          </cell>
          <cell r="B622" t="str">
            <v>COMPRAVENTA</v>
          </cell>
          <cell r="C622" t="str">
            <v xml:space="preserve"> FUERTES MEJIA MEDICAMENTOS Y DISPOSITIVOS MEDICOS SAS</v>
          </cell>
          <cell r="D622" t="str">
            <v>NIT</v>
          </cell>
          <cell r="E622">
            <v>901565478</v>
          </cell>
          <cell r="F622">
            <v>1</v>
          </cell>
          <cell r="G622" t="str">
            <v>BIONEXO</v>
          </cell>
          <cell r="H622">
            <v>2</v>
          </cell>
          <cell r="I622" t="str">
            <v>COMPRA DE EQUIPOS BIOMÉDICOS, DE ACUERDO AL PLAN ANUAL DE ADQUISICIONES DE PASTO SALUD E.S.E 2025, PARA LAS DIFERENTES SEDES QUE CONFORMAN LAS REDES PRESTADORAS DE SERVICIOS EN SALUD.</v>
          </cell>
          <cell r="J622">
            <v>1</v>
          </cell>
          <cell r="K622" t="str">
            <v>$4.696.442,10</v>
          </cell>
          <cell r="L622">
            <v>45853</v>
          </cell>
          <cell r="M622">
            <v>45877</v>
          </cell>
          <cell r="N622" t="str">
            <v xml:space="preserve">	MARIO FERNADO NARANJO LOPEZ</v>
          </cell>
          <cell r="O622">
            <v>1004189613</v>
          </cell>
          <cell r="P622" t="str">
            <v xml:space="preserve"> info@fuertesmejia.com.co</v>
          </cell>
          <cell r="Q622">
            <v>45853</v>
          </cell>
          <cell r="R622" t="str">
            <v>ANDRES GUERRA</v>
          </cell>
          <cell r="U622" t="str">
            <v>CELEBRADO</v>
          </cell>
          <cell r="W622" t="str">
            <v>2025-0289</v>
          </cell>
          <cell r="X622" t="str">
            <v>2025-1056</v>
          </cell>
          <cell r="AJ622">
            <v>2</v>
          </cell>
          <cell r="AK622">
            <v>0</v>
          </cell>
          <cell r="AL622">
            <v>3</v>
          </cell>
          <cell r="AM622" t="str">
            <v>$4.696.442,10</v>
          </cell>
        </row>
        <row r="623">
          <cell r="A623" t="str">
            <v>622-2025</v>
          </cell>
          <cell r="B623" t="str">
            <v>COMPRAVENTA</v>
          </cell>
          <cell r="C623" t="str">
            <v xml:space="preserve"> BEESTIC SAS</v>
          </cell>
          <cell r="D623" t="str">
            <v>NIT</v>
          </cell>
          <cell r="E623">
            <v>901840093</v>
          </cell>
          <cell r="F623">
            <v>7</v>
          </cell>
          <cell r="G623" t="str">
            <v xml:space="preserve">CONTRATACION DIRECTA </v>
          </cell>
          <cell r="H623">
            <v>2</v>
          </cell>
          <cell r="I623" t="str">
            <v xml:space="preserve">Compra Venta de licencias de software Office Home and Business 2024 y Windows 11 Professional, bajo modalidad delicenciamiento perpetuo por volumen (Open License o Open Value Government). </v>
          </cell>
          <cell r="J623">
            <v>1</v>
          </cell>
          <cell r="K623" t="str">
            <v>$79.150.232</v>
          </cell>
          <cell r="L623">
            <v>45853</v>
          </cell>
          <cell r="M623">
            <v>45930</v>
          </cell>
          <cell r="N623" t="str">
            <v xml:space="preserve">	IVAN RODRIGO IBARRA MUÑOZ</v>
          </cell>
          <cell r="O623">
            <v>87248313</v>
          </cell>
          <cell r="P623" t="str">
            <v xml:space="preserve"> gerencia@beestic.com.</v>
          </cell>
          <cell r="Q623">
            <v>45853</v>
          </cell>
          <cell r="R623" t="str">
            <v>RODRIGO ROSERO</v>
          </cell>
          <cell r="U623" t="str">
            <v>CELEBRADO</v>
          </cell>
          <cell r="W623" t="str">
            <v>2025-0283</v>
          </cell>
          <cell r="X623" t="str">
            <v>2025-1057</v>
          </cell>
          <cell r="AJ623">
            <v>2</v>
          </cell>
          <cell r="AK623">
            <v>0</v>
          </cell>
          <cell r="AL623">
            <v>3</v>
          </cell>
          <cell r="AM623" t="str">
            <v>$79.150.232</v>
          </cell>
        </row>
        <row r="624">
          <cell r="A624" t="str">
            <v>623-2025</v>
          </cell>
          <cell r="B624" t="str">
            <v>COMPRAVENTA</v>
          </cell>
          <cell r="C624" t="str">
            <v>LA MUELA
S.A.S</v>
          </cell>
          <cell r="D624" t="str">
            <v>NIT</v>
          </cell>
          <cell r="E624">
            <v>804009440</v>
          </cell>
          <cell r="F624">
            <v>5</v>
          </cell>
          <cell r="G624" t="str">
            <v>BIONEXO</v>
          </cell>
          <cell r="H624">
            <v>2</v>
          </cell>
          <cell r="I624" t="str">
            <v>COMPRA DE EQUIPOS BIOMEDICOS, DE ACUERDO AL PLAN ANUAL DE ADQUISICIONES DE PASTO SALUD E.S.E 2025, PARA LAS DIFERENTES SEDES QUE CONFORMAN LAS REDES PRESTADORAS DE SERVICIOS EN SALUD.</v>
          </cell>
          <cell r="J624">
            <v>4</v>
          </cell>
          <cell r="K624" t="str">
            <v>$22.887.984</v>
          </cell>
          <cell r="L624">
            <v>45853</v>
          </cell>
          <cell r="M624">
            <v>45877</v>
          </cell>
          <cell r="N624" t="str">
            <v xml:space="preserve">	MARIO FERNADO NARANJO LOPEZ</v>
          </cell>
          <cell r="O624">
            <v>1004189613</v>
          </cell>
          <cell r="P624" t="str">
            <v>contabilidad@lamuela.com.co</v>
          </cell>
          <cell r="Q624">
            <v>45853</v>
          </cell>
          <cell r="R624" t="str">
            <v>CRISTINA ROSERO</v>
          </cell>
          <cell r="U624" t="str">
            <v>CELEBRADO</v>
          </cell>
          <cell r="W624" t="str">
            <v>2025-0289</v>
          </cell>
          <cell r="X624" t="str">
            <v>2025-1059</v>
          </cell>
          <cell r="AJ624">
            <v>2</v>
          </cell>
          <cell r="AK624">
            <v>0</v>
          </cell>
          <cell r="AL624">
            <v>3</v>
          </cell>
          <cell r="AM624" t="str">
            <v>$22.887.984</v>
          </cell>
        </row>
        <row r="625">
          <cell r="A625" t="str">
            <v>624-2025</v>
          </cell>
          <cell r="B625" t="str">
            <v>PRESTACION DE SERVICIOS</v>
          </cell>
          <cell r="C625" t="str">
            <v>MARITZA ROCIO OLIVA CUZ</v>
          </cell>
          <cell r="D625" t="str">
            <v>CC</v>
          </cell>
          <cell r="E625">
            <v>27087122</v>
          </cell>
          <cell r="F625">
            <v>2</v>
          </cell>
          <cell r="G625" t="str">
            <v xml:space="preserve">CONTRATACION DIRECTA </v>
          </cell>
          <cell r="H625">
            <v>1</v>
          </cell>
          <cell r="I62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25">
            <v>1</v>
          </cell>
          <cell r="K625" t="str">
            <v>$6.000.000</v>
          </cell>
          <cell r="L625">
            <v>45854</v>
          </cell>
          <cell r="M625">
            <v>45916</v>
          </cell>
          <cell r="N625" t="str">
            <v>RODRIGO DE JESUS VITERI MORENO</v>
          </cell>
          <cell r="O625">
            <v>98390119</v>
          </cell>
          <cell r="P625" t="str">
            <v>marirosi1912@hotmail.com</v>
          </cell>
          <cell r="Q625">
            <v>45854</v>
          </cell>
          <cell r="R625" t="str">
            <v>ELIANA BENAVIDES</v>
          </cell>
          <cell r="U625" t="str">
            <v>CELEBRADO</v>
          </cell>
          <cell r="W625" t="str">
            <v>2025-0264</v>
          </cell>
          <cell r="X625" t="str">
            <v>2025-1061</v>
          </cell>
          <cell r="AJ625">
            <v>2</v>
          </cell>
          <cell r="AK625">
            <v>0</v>
          </cell>
          <cell r="AL625">
            <v>3</v>
          </cell>
          <cell r="AM625" t="str">
            <v>$6.000.000</v>
          </cell>
        </row>
        <row r="626">
          <cell r="A626" t="str">
            <v>625-2025</v>
          </cell>
          <cell r="B626" t="str">
            <v>COMPRAVENTA</v>
          </cell>
          <cell r="C626" t="str">
            <v>CASA DENTAL EDUARDO DAZA LTDA.</v>
          </cell>
          <cell r="D626" t="str">
            <v>NIT</v>
          </cell>
          <cell r="E626">
            <v>800071243</v>
          </cell>
          <cell r="F626">
            <v>9</v>
          </cell>
          <cell r="G626" t="str">
            <v>BIONEXO</v>
          </cell>
          <cell r="H626">
            <v>2</v>
          </cell>
          <cell r="I626" t="str">
            <v>COMPRA DE EQUIPOS BIOMÉDICOS, DE ACUERDO AL PLAN ANUAL DE ADQUISICIONES DE PASTO SALUD E.S.E 2025, PARA LAS DIFERENTES SEDES QUE CONFORMAN LAS REDES PRESTADORAS DE SERVICIOS EN SALUD</v>
          </cell>
          <cell r="J626">
            <v>4</v>
          </cell>
          <cell r="K626" t="str">
            <v>$2.677.500</v>
          </cell>
          <cell r="L626">
            <v>45855</v>
          </cell>
          <cell r="M626">
            <v>45877</v>
          </cell>
          <cell r="N626" t="str">
            <v>MARIO FERNADO NARANJO LOPEZ</v>
          </cell>
          <cell r="O626">
            <v>1004189613</v>
          </cell>
          <cell r="P626" t="str">
            <v>contabilidad@dentaldaza.com</v>
          </cell>
          <cell r="Q626">
            <v>45855</v>
          </cell>
          <cell r="R626" t="str">
            <v>JUAN GOMEZ</v>
          </cell>
          <cell r="U626" t="str">
            <v>CELEBRADO</v>
          </cell>
          <cell r="W626" t="str">
            <v>2025-0248</v>
          </cell>
          <cell r="X626" t="str">
            <v>2025-1063</v>
          </cell>
          <cell r="AJ626">
            <v>2</v>
          </cell>
          <cell r="AK626">
            <v>0</v>
          </cell>
          <cell r="AL626">
            <v>3</v>
          </cell>
          <cell r="AM626" t="str">
            <v>$2.677.500</v>
          </cell>
        </row>
        <row r="627">
          <cell r="A627" t="str">
            <v>626-2025</v>
          </cell>
          <cell r="B627" t="str">
            <v>COMPRAVENTA</v>
          </cell>
          <cell r="C627" t="str">
            <v>DISTRIBUIDORA SOCIAL
MAYORISTA SAS.</v>
          </cell>
          <cell r="D627" t="str">
            <v>NIT</v>
          </cell>
          <cell r="E627">
            <v>901350505</v>
          </cell>
          <cell r="F627">
            <v>7</v>
          </cell>
          <cell r="G627" t="str">
            <v xml:space="preserve">CONTRATACION DIRECTA </v>
          </cell>
          <cell r="H627">
            <v>1</v>
          </cell>
          <cell r="I627" t="str">
            <v>El contratista se obliga a la compra venta de los medicamentos en las cantidades establecidas en el anexo 1, el cual hace parte integral del contrato. Para la ESE Pasto Salud</v>
          </cell>
          <cell r="J627">
            <v>1</v>
          </cell>
          <cell r="K627" t="str">
            <v>$26.492.100</v>
          </cell>
          <cell r="L627">
            <v>45856</v>
          </cell>
          <cell r="M627">
            <v>45899</v>
          </cell>
          <cell r="N627" t="str">
            <v>NENA DEL CARMEN RAMIREZ RAMIREZ</v>
          </cell>
          <cell r="O627">
            <v>30732589</v>
          </cell>
          <cell r="P627" t="str">
            <v>depositosm@gmail.com</v>
          </cell>
          <cell r="Q627">
            <v>45856</v>
          </cell>
          <cell r="R627" t="str">
            <v>ELIANA BENAVIDES</v>
          </cell>
          <cell r="U627" t="str">
            <v>CELEBRADO</v>
          </cell>
          <cell r="W627" t="str">
            <v>2025-0224</v>
          </cell>
          <cell r="X627" t="str">
            <v>2025-1064</v>
          </cell>
          <cell r="AJ627">
            <v>2</v>
          </cell>
          <cell r="AK627">
            <v>0</v>
          </cell>
          <cell r="AL627">
            <v>3</v>
          </cell>
          <cell r="AM627" t="str">
            <v>$26.492.100</v>
          </cell>
        </row>
        <row r="628">
          <cell r="A628" t="str">
            <v>627-2025</v>
          </cell>
          <cell r="B628" t="str">
            <v>SUMINISTROS</v>
          </cell>
          <cell r="C628" t="str">
            <v>LUBRICANTES Y COMBUSTIBLES DEL SUR LTDÁ - LUBRISUR LTDA</v>
          </cell>
          <cell r="D628" t="str">
            <v>NIT</v>
          </cell>
          <cell r="E628">
            <v>891201615</v>
          </cell>
          <cell r="F628">
            <v>5</v>
          </cell>
          <cell r="G628" t="str">
            <v xml:space="preserve">CONTRATACION DIRECTA </v>
          </cell>
          <cell r="H628">
            <v>2</v>
          </cell>
          <cell r="I628" t="str">
            <v>Suministro de combustible: Gasolina corriente o regular, A.C.P.M. o diésel, lubricantes y demás elementos relacionados a continuación para el normal funcionamiento y mantenimiento del parque automotor y plantas eléctricas de la Empresa Social del Estado Pasto Salud E.S.E.</v>
          </cell>
          <cell r="J628">
            <v>1</v>
          </cell>
          <cell r="K628" t="str">
            <v>$56.500.000</v>
          </cell>
          <cell r="L628">
            <v>45856</v>
          </cell>
          <cell r="M628">
            <v>46022</v>
          </cell>
          <cell r="N628" t="str">
            <v xml:space="preserve">	JUAN CARLOS OJEDA VILLOTA</v>
          </cell>
          <cell r="O628">
            <v>12986906</v>
          </cell>
          <cell r="P628" t="str">
            <v>gerente@lubrisur.com.co</v>
          </cell>
          <cell r="Q628">
            <v>45856</v>
          </cell>
          <cell r="R628" t="str">
            <v>ANDRES GUERRA</v>
          </cell>
          <cell r="U628" t="str">
            <v>CELEBRADO</v>
          </cell>
          <cell r="W628" t="str">
            <v>2025-0363</v>
          </cell>
          <cell r="X628" t="str">
            <v>2025-1065</v>
          </cell>
          <cell r="AJ628">
            <v>2</v>
          </cell>
          <cell r="AK628">
            <v>0</v>
          </cell>
          <cell r="AL628">
            <v>2</v>
          </cell>
          <cell r="AM628" t="str">
            <v>$56.500.000</v>
          </cell>
        </row>
        <row r="629">
          <cell r="A629" t="str">
            <v>628-2025</v>
          </cell>
          <cell r="B629" t="str">
            <v>SUMINISTROS</v>
          </cell>
          <cell r="C629" t="str">
            <v>FUERTES MEJIA MEDICAMENTOS Y DISPOSITIVOS MEDICOS S.A.S.</v>
          </cell>
          <cell r="D629" t="str">
            <v>NIT</v>
          </cell>
          <cell r="E629">
            <v>901565478</v>
          </cell>
          <cell r="F629">
            <v>1</v>
          </cell>
          <cell r="G629" t="str">
            <v xml:space="preserve">CONTRATACION DIRECTA </v>
          </cell>
          <cell r="H629">
            <v>2</v>
          </cell>
          <cell r="I629" t="str">
            <v xml:space="preserve">El contratista se obliga al suministro de los medicamentos en las cantidades establecidas en el anexo 1, el cual hace parte integral del contrato. </v>
          </cell>
          <cell r="J629">
            <v>3</v>
          </cell>
          <cell r="K629" t="str">
            <v>$12.863.126</v>
          </cell>
          <cell r="L629">
            <v>45856</v>
          </cell>
          <cell r="M629">
            <v>45991</v>
          </cell>
          <cell r="N629" t="str">
            <v>NENA DEL CARMEN RAMIREZ RAMIREZ</v>
          </cell>
          <cell r="O629">
            <v>30732589</v>
          </cell>
          <cell r="P629" t="str">
            <v>contabilidad@fuertesmejia.com.co</v>
          </cell>
          <cell r="Q629">
            <v>45856</v>
          </cell>
          <cell r="R629" t="str">
            <v>CRISTINA ROSERO</v>
          </cell>
          <cell r="U629" t="str">
            <v>CELEBRADO</v>
          </cell>
          <cell r="W629" t="str">
            <v>2025-0224</v>
          </cell>
          <cell r="X629" t="str">
            <v>2025-1066</v>
          </cell>
          <cell r="AJ629">
            <v>2</v>
          </cell>
          <cell r="AK629">
            <v>0</v>
          </cell>
          <cell r="AL629">
            <v>2</v>
          </cell>
          <cell r="AM629" t="str">
            <v>$12.863.126</v>
          </cell>
        </row>
        <row r="630">
          <cell r="A630" t="str">
            <v>629-2025</v>
          </cell>
          <cell r="B630" t="str">
            <v>COMPRAVENTA</v>
          </cell>
          <cell r="C630" t="str">
            <v>SERVICIOS DE INGENIERIA E
YC S.A.S,,</v>
          </cell>
          <cell r="D630" t="str">
            <v>NIT</v>
          </cell>
          <cell r="E630">
            <v>900215065</v>
          </cell>
          <cell r="F630">
            <v>7</v>
          </cell>
          <cell r="G630" t="str">
            <v>BIONEXO</v>
          </cell>
          <cell r="H630">
            <v>2</v>
          </cell>
          <cell r="I630" t="str">
            <v>COMPRA DE EQUIPOS BIOMÉDICOS E INDUSTRIALES, DE ACUERDO AL PLAN ANUAL DE ADQUISICIONES DE PASTO SALUD E.S.E 2025, PARA LAS DIFERENTES SEDES QUE CONFORMAN LAS REDES PRESTADORAS DE SERVICIOS EN SALUD.</v>
          </cell>
          <cell r="J630">
            <v>4</v>
          </cell>
          <cell r="K630" t="str">
            <v>$15.512.989,94</v>
          </cell>
          <cell r="L630">
            <v>45856</v>
          </cell>
          <cell r="M630">
            <v>45896</v>
          </cell>
          <cell r="N630" t="str">
            <v>MARIO FERNADO NARANJO LOPEZ</v>
          </cell>
          <cell r="O630">
            <v>1004189613</v>
          </cell>
          <cell r="P630" t="str">
            <v xml:space="preserve"> servingsas2013@gmail.com</v>
          </cell>
          <cell r="Q630">
            <v>45856</v>
          </cell>
          <cell r="R630" t="str">
            <v>CRISTINA ROSERO</v>
          </cell>
          <cell r="U630" t="str">
            <v>CELEBRADO</v>
          </cell>
          <cell r="W630" t="str">
            <v>2025-0248</v>
          </cell>
          <cell r="X630" t="str">
            <v>2025-1067</v>
          </cell>
          <cell r="AJ630">
            <v>2</v>
          </cell>
          <cell r="AK630">
            <v>0</v>
          </cell>
          <cell r="AL630">
            <v>3</v>
          </cell>
          <cell r="AM630" t="str">
            <v>$15.512.989,94</v>
          </cell>
        </row>
        <row r="631">
          <cell r="A631" t="str">
            <v>630-2025</v>
          </cell>
          <cell r="B631" t="str">
            <v>COMPRAVENTA</v>
          </cell>
          <cell r="C631" t="str">
            <v>DISCOLMETS SAS,</v>
          </cell>
          <cell r="D631" t="str">
            <v>NIT</v>
          </cell>
          <cell r="E631">
            <v>828002423</v>
          </cell>
          <cell r="F631">
            <v>5</v>
          </cell>
          <cell r="G631" t="str">
            <v xml:space="preserve">CONTRATACION DIRECTA </v>
          </cell>
          <cell r="H631">
            <v>2</v>
          </cell>
          <cell r="I631" t="str">
            <v>El contratista se obliga a la compra venta de los medicamentos en las cantidades establecidas en el anexo 1, el cual hace parte integral del
contrato. Para la ESE Pasto Salud.</v>
          </cell>
          <cell r="J631">
            <v>3</v>
          </cell>
          <cell r="K631" t="str">
            <v>$3.256.950</v>
          </cell>
          <cell r="L631">
            <v>45859</v>
          </cell>
          <cell r="M631">
            <v>45899</v>
          </cell>
          <cell r="N631" t="str">
            <v>NENA DEL CARMEN RAMIREZ RAMIREZ</v>
          </cell>
          <cell r="O631">
            <v>30732589</v>
          </cell>
          <cell r="P631" t="str">
            <v xml:space="preserve"> gerencia@discolmets.com.co</v>
          </cell>
          <cell r="Q631">
            <v>45859</v>
          </cell>
          <cell r="R631" t="str">
            <v>JUAN GOMEZ</v>
          </cell>
          <cell r="U631" t="str">
            <v>CELEBRADO</v>
          </cell>
          <cell r="W631" t="str">
            <v>2025-0224</v>
          </cell>
          <cell r="X631" t="str">
            <v>2025-1107</v>
          </cell>
          <cell r="AJ631">
            <v>2</v>
          </cell>
          <cell r="AK631">
            <v>0</v>
          </cell>
          <cell r="AL631">
            <v>3</v>
          </cell>
          <cell r="AM631" t="str">
            <v>$3.256.950</v>
          </cell>
        </row>
        <row r="632">
          <cell r="A632" t="str">
            <v>631-2025</v>
          </cell>
          <cell r="B632" t="str">
            <v>PRESTACION DE SERVICIOS</v>
          </cell>
          <cell r="C632" t="str">
            <v>LILIANA
MAYER BOTINA CRIOLLO</v>
          </cell>
          <cell r="D632" t="str">
            <v>CC</v>
          </cell>
          <cell r="E632">
            <v>1085253062</v>
          </cell>
          <cell r="F632">
            <v>2</v>
          </cell>
          <cell r="G632" t="str">
            <v xml:space="preserve">CONTRATACION DIRECTA </v>
          </cell>
          <cell r="H632">
            <v>1</v>
          </cell>
          <cell r="I632" t="str">
            <v>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32">
            <v>1</v>
          </cell>
          <cell r="K632" t="str">
            <v>$12.000.000</v>
          </cell>
          <cell r="L632">
            <v>45859</v>
          </cell>
          <cell r="M632">
            <v>45921</v>
          </cell>
          <cell r="N632" t="str">
            <v>RIGOBERTO MELO ZAMBRANO</v>
          </cell>
          <cell r="O632">
            <v>98333941</v>
          </cell>
          <cell r="P632" t="str">
            <v>libotina16@hotmail.com</v>
          </cell>
          <cell r="Q632">
            <v>45859</v>
          </cell>
          <cell r="R632" t="str">
            <v>ALEXANDER YELA</v>
          </cell>
          <cell r="U632" t="str">
            <v>CELEBRADO</v>
          </cell>
          <cell r="W632" t="str">
            <v>2025-0264</v>
          </cell>
          <cell r="X632" t="str">
            <v>2025-1108</v>
          </cell>
          <cell r="AJ632">
            <v>2</v>
          </cell>
          <cell r="AK632">
            <v>0</v>
          </cell>
          <cell r="AL632">
            <v>3</v>
          </cell>
          <cell r="AM632" t="str">
            <v>$12.000.000</v>
          </cell>
        </row>
        <row r="633">
          <cell r="A633" t="str">
            <v>632-2025</v>
          </cell>
          <cell r="B633" t="str">
            <v>PRESTACION DE SERVICIOS</v>
          </cell>
          <cell r="C633" t="str">
            <v>VIKY PATRICIA ASCUNTAR CRIOLLO,</v>
          </cell>
          <cell r="D633" t="str">
            <v>CC</v>
          </cell>
          <cell r="E633">
            <v>36757522</v>
          </cell>
          <cell r="F633">
            <v>3</v>
          </cell>
          <cell r="G633" t="str">
            <v xml:space="preserve">CONTRATACION DIRECTA </v>
          </cell>
          <cell r="H633">
            <v>1</v>
          </cell>
          <cell r="I63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v>
          </cell>
          <cell r="J633">
            <v>1</v>
          </cell>
          <cell r="K633" t="str">
            <v>$6.000.000</v>
          </cell>
          <cell r="L633">
            <v>45859</v>
          </cell>
          <cell r="M633">
            <v>45921</v>
          </cell>
          <cell r="N633" t="str">
            <v>RIGOBERTO MELO ZAMBRANO</v>
          </cell>
          <cell r="O633">
            <v>98333941</v>
          </cell>
          <cell r="P633" t="str">
            <v xml:space="preserve"> vkpaty@gmail.com </v>
          </cell>
          <cell r="Q633">
            <v>45859</v>
          </cell>
          <cell r="R633" t="str">
            <v>ANDRES GUERRA</v>
          </cell>
          <cell r="U633" t="str">
            <v>CELEBRADO</v>
          </cell>
          <cell r="W633" t="str">
            <v>2025-0264</v>
          </cell>
          <cell r="X633" t="str">
            <v>2025-1109</v>
          </cell>
          <cell r="AJ633">
            <v>2</v>
          </cell>
          <cell r="AK633">
            <v>0</v>
          </cell>
          <cell r="AL633">
            <v>3</v>
          </cell>
          <cell r="AM633" t="str">
            <v>$6.000.000</v>
          </cell>
        </row>
        <row r="634">
          <cell r="A634" t="str">
            <v>633-2025</v>
          </cell>
          <cell r="B634" t="str">
            <v>PRESTACION DE SERVICIOS</v>
          </cell>
          <cell r="C634" t="str">
            <v xml:space="preserve"> IBONNE ALEJANDRA SILVA ARAUJO,</v>
          </cell>
          <cell r="D634" t="str">
            <v>CC</v>
          </cell>
          <cell r="E634">
            <v>1004592366</v>
          </cell>
          <cell r="F634">
            <v>5</v>
          </cell>
          <cell r="G634" t="str">
            <v xml:space="preserve">CONTRATACION DIRECTA </v>
          </cell>
          <cell r="H634">
            <v>1</v>
          </cell>
          <cell r="I634" t="str">
            <v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v>
          </cell>
          <cell r="J634">
            <v>1</v>
          </cell>
          <cell r="K634" t="str">
            <v>$6.000.000</v>
          </cell>
          <cell r="L634">
            <v>45859</v>
          </cell>
          <cell r="M634">
            <v>45921</v>
          </cell>
          <cell r="N634" t="str">
            <v>RIGOBERTO MELO ZAMBRANO</v>
          </cell>
          <cell r="O634">
            <v>98333941</v>
          </cell>
          <cell r="P634" t="str">
            <v>asaraujojl0403@gmail.com</v>
          </cell>
          <cell r="Q634">
            <v>45859</v>
          </cell>
          <cell r="R634" t="str">
            <v>ALEXANDER YELA</v>
          </cell>
          <cell r="U634" t="str">
            <v>CELEBRADO</v>
          </cell>
          <cell r="W634" t="str">
            <v>2025-0264</v>
          </cell>
          <cell r="X634" t="str">
            <v>2025-1110</v>
          </cell>
          <cell r="AJ634">
            <v>2</v>
          </cell>
          <cell r="AK634">
            <v>0</v>
          </cell>
          <cell r="AL634">
            <v>3</v>
          </cell>
          <cell r="AM634" t="str">
            <v>$6.000.000</v>
          </cell>
        </row>
        <row r="635">
          <cell r="A635" t="str">
            <v>634-2025</v>
          </cell>
          <cell r="B635" t="str">
            <v>PRESTACION DE SERVICIOS</v>
          </cell>
          <cell r="C635" t="str">
            <v>4J INVERSIONES S.A.S</v>
          </cell>
          <cell r="D635" t="str">
            <v>NIT</v>
          </cell>
          <cell r="E635">
            <v>901800048</v>
          </cell>
          <cell r="F635">
            <v>4</v>
          </cell>
          <cell r="G635" t="str">
            <v xml:space="preserve">CONTRATACION DIRECTA </v>
          </cell>
          <cell r="H635">
            <v>2</v>
          </cell>
          <cell r="I635" t="str">
            <v>PRESTACIÓN DE SERVICIOS PROFESIONALES PARA REALIZAR CAPACITACIONES EN LA MODALIDAD PRESENCIAL, DIRIGIDAS A LOS SERVIDORES PÚBLICOS ADSCRITOS AL ÁREA MISIONAL DE LA EMPRESA SOCIAL DEL ESTADO PASTO SALUD E.S.E., ENFOCADAS EN TEMAS
RELACIONADOS CON PROTOCOLOS Y GUÍAS DE PRÁCTICA CLÍNICA ASOCIADAS A LOS PROCESOS ASISTENCIALES, EN CONCORDANCIA CON LO ESTABLECIDO EN EL PLAN INSTITUCIONAL DE CAPACITACIONES VIGENCIA 2025.</v>
          </cell>
          <cell r="J635">
            <v>1</v>
          </cell>
          <cell r="K635" t="str">
            <v>$30.000.000</v>
          </cell>
          <cell r="L635">
            <v>45860</v>
          </cell>
          <cell r="M635">
            <v>45991</v>
          </cell>
          <cell r="N635" t="str">
            <v xml:space="preserve">	ANGELA DANIELA RODRIGUEZ GOYES</v>
          </cell>
          <cell r="O635">
            <v>1085283617</v>
          </cell>
          <cell r="P635" t="str">
            <v>inversiones4j.sas@gmail.com</v>
          </cell>
          <cell r="Q635">
            <v>45860</v>
          </cell>
          <cell r="R635" t="str">
            <v>CRISTINA ROSERO</v>
          </cell>
          <cell r="U635" t="str">
            <v>CELEBRADO</v>
          </cell>
          <cell r="W635" t="str">
            <v>2025-0346</v>
          </cell>
          <cell r="X635" t="str">
            <v>2025-1111</v>
          </cell>
          <cell r="AJ635">
            <v>2</v>
          </cell>
          <cell r="AK635">
            <v>0</v>
          </cell>
          <cell r="AL635">
            <v>2</v>
          </cell>
          <cell r="AM635" t="str">
            <v>$30.000.000</v>
          </cell>
        </row>
        <row r="636">
          <cell r="A636" t="str">
            <v>635-2025</v>
          </cell>
          <cell r="B636" t="str">
            <v>COMPRAVENTA</v>
          </cell>
          <cell r="C636" t="str">
            <v xml:space="preserve"> GRUPO JANER SAS</v>
          </cell>
          <cell r="D636" t="str">
            <v>NIT</v>
          </cell>
          <cell r="E636">
            <v>901340412</v>
          </cell>
          <cell r="F636">
            <v>8</v>
          </cell>
          <cell r="G636" t="str">
            <v xml:space="preserve">CONTRATACION DIRECTA </v>
          </cell>
          <cell r="H636">
            <v>2</v>
          </cell>
          <cell r="I636" t="str">
            <v>COMPRA DE EQUIPOS BIOMÉDICOS PARA EQUIPOS BASICOS EN SALUD DE LAS DIFERENTES SEDES QUE CONFORMAN LAS REDES PRESTADORAS DE SERVICIOS EN SALUD.</v>
          </cell>
          <cell r="J636">
            <v>4</v>
          </cell>
          <cell r="K636" t="str">
            <v>$173.682.694</v>
          </cell>
          <cell r="L636">
            <v>45860</v>
          </cell>
          <cell r="M636">
            <v>45900</v>
          </cell>
          <cell r="N636" t="str">
            <v>MARIO FERNADO NARANJO LOPEZ</v>
          </cell>
          <cell r="O636">
            <v>1004189613</v>
          </cell>
          <cell r="P636" t="str">
            <v xml:space="preserve">grupojanersas@gmail.com </v>
          </cell>
          <cell r="Q636">
            <v>45860</v>
          </cell>
          <cell r="R636" t="str">
            <v>ALEXANDER YELA</v>
          </cell>
          <cell r="U636" t="str">
            <v>CELEBRADO</v>
          </cell>
          <cell r="W636" t="str">
            <v>2025-0268</v>
          </cell>
          <cell r="X636" t="str">
            <v>2025-1112</v>
          </cell>
          <cell r="AB636" t="str">
            <v>PRORROGA</v>
          </cell>
          <cell r="AJ636">
            <v>1</v>
          </cell>
          <cell r="AK636">
            <v>2</v>
          </cell>
          <cell r="AL636">
            <v>3</v>
          </cell>
          <cell r="AM636" t="str">
            <v>$173.682.694</v>
          </cell>
        </row>
        <row r="637">
          <cell r="A637" t="str">
            <v>636-2025</v>
          </cell>
          <cell r="B637" t="str">
            <v>PRESTACION DE SERVICIOS</v>
          </cell>
          <cell r="C637" t="str">
            <v>LEIDY JOHANA MERA CONDE</v>
          </cell>
          <cell r="D637" t="str">
            <v>CC</v>
          </cell>
          <cell r="E637">
            <v>1086222977</v>
          </cell>
          <cell r="F637">
            <v>7</v>
          </cell>
          <cell r="G637" t="str">
            <v xml:space="preserve">CONTRATACION DIRECTA </v>
          </cell>
          <cell r="H637">
            <v>2</v>
          </cell>
          <cell r="I63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v>
          </cell>
          <cell r="J637">
            <v>1</v>
          </cell>
          <cell r="K637" t="str">
            <v>$6.000.000</v>
          </cell>
          <cell r="L637">
            <v>45860</v>
          </cell>
          <cell r="M637">
            <v>45922</v>
          </cell>
          <cell r="N637" t="str">
            <v>DEYANIRA BADOS DAZA</v>
          </cell>
          <cell r="O637">
            <v>59836926</v>
          </cell>
          <cell r="P637" t="str">
            <v>leidy.merac@gmail.com</v>
          </cell>
          <cell r="Q637">
            <v>45860</v>
          </cell>
          <cell r="R637" t="str">
            <v>ANDERSON MEJIA</v>
          </cell>
          <cell r="U637" t="str">
            <v>CELEBRADO</v>
          </cell>
          <cell r="W637" t="str">
            <v>2025-0264</v>
          </cell>
          <cell r="X637" t="str">
            <v>2025-1113</v>
          </cell>
          <cell r="AJ637">
            <v>2</v>
          </cell>
          <cell r="AK637">
            <v>0</v>
          </cell>
          <cell r="AL637">
            <v>3</v>
          </cell>
          <cell r="AM637" t="str">
            <v>$6.000.000</v>
          </cell>
        </row>
        <row r="638">
          <cell r="A638" t="str">
            <v>637-2025</v>
          </cell>
          <cell r="B638" t="str">
            <v>PRESTACION DE SERVICIOS</v>
          </cell>
          <cell r="C638" t="str">
            <v>YAMILE ALEJANDRA BOTINA RODRIGUEZ,</v>
          </cell>
          <cell r="D638" t="str">
            <v>CC</v>
          </cell>
          <cell r="E638">
            <v>1085310465</v>
          </cell>
          <cell r="F638">
            <v>1</v>
          </cell>
          <cell r="G638" t="str">
            <v xml:space="preserve">CONTRATACION DIRECTA </v>
          </cell>
          <cell r="H638">
            <v>1</v>
          </cell>
          <cell r="I638"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38">
            <v>1</v>
          </cell>
          <cell r="K638" t="str">
            <v>$5.000.000</v>
          </cell>
          <cell r="L638">
            <v>45860</v>
          </cell>
          <cell r="M638">
            <v>45922</v>
          </cell>
          <cell r="N638" t="str">
            <v>RIGOBERTO MELO ZAMBRANO</v>
          </cell>
          <cell r="O638">
            <v>98333941</v>
          </cell>
          <cell r="P638" t="str">
            <v>Alejandrabotina461@gmail.com</v>
          </cell>
          <cell r="Q638">
            <v>45860</v>
          </cell>
          <cell r="R638" t="str">
            <v>CRISTINA ROSERO</v>
          </cell>
          <cell r="U638" t="str">
            <v>CELEBRADO</v>
          </cell>
          <cell r="W638" t="str">
            <v>2025-0264</v>
          </cell>
          <cell r="X638" t="str">
            <v>2025-1114</v>
          </cell>
          <cell r="AJ638">
            <v>2</v>
          </cell>
          <cell r="AK638">
            <v>0</v>
          </cell>
          <cell r="AL638">
            <v>3</v>
          </cell>
          <cell r="AM638" t="str">
            <v>$5.000.000</v>
          </cell>
        </row>
        <row r="639">
          <cell r="A639" t="str">
            <v>638-2025</v>
          </cell>
          <cell r="B639" t="str">
            <v>PRESTACION DE SERVICIOS</v>
          </cell>
          <cell r="C639" t="str">
            <v>A GROUP ASESORES Y CONSULTORES SAS</v>
          </cell>
          <cell r="D639" t="str">
            <v>NIT</v>
          </cell>
          <cell r="E639">
            <v>901203866</v>
          </cell>
          <cell r="F639">
            <v>1</v>
          </cell>
          <cell r="G639" t="str">
            <v xml:space="preserve">CONTRATACION DIRECTA </v>
          </cell>
          <cell r="H639">
            <v>2</v>
          </cell>
          <cell r="I639" t="str">
            <v>Prestación del servicio de mantenimiento preventivo y correctivo de los ascensores ubicados en las sedes de Pasto Salud E.S.E, incluyendo suministro e instalación de repuestos y mano de obra necesarios para su normal funcionamiento.</v>
          </cell>
          <cell r="J639">
            <v>1</v>
          </cell>
          <cell r="K639" t="str">
            <v>$100.763.178</v>
          </cell>
          <cell r="L639">
            <v>45860</v>
          </cell>
          <cell r="M639">
            <v>46022</v>
          </cell>
          <cell r="N639" t="str">
            <v>RODRIGO DE JESUS VITERI MORENO</v>
          </cell>
          <cell r="O639">
            <v>98390119</v>
          </cell>
          <cell r="P639" t="str">
            <v xml:space="preserve">agroup.asesoria@gmail.com </v>
          </cell>
          <cell r="Q639">
            <v>45860</v>
          </cell>
          <cell r="R639" t="str">
            <v>ANDRES GUERRA</v>
          </cell>
          <cell r="U639" t="str">
            <v>CELEBRADO</v>
          </cell>
          <cell r="W639" t="str">
            <v>2025-0349</v>
          </cell>
          <cell r="X639" t="str">
            <v>2025-1115</v>
          </cell>
          <cell r="AJ639">
            <v>2</v>
          </cell>
          <cell r="AK639">
            <v>0</v>
          </cell>
          <cell r="AL639">
            <v>2</v>
          </cell>
          <cell r="AM639" t="str">
            <v>$100.763.178</v>
          </cell>
        </row>
        <row r="640">
          <cell r="A640" t="str">
            <v>639-2025</v>
          </cell>
          <cell r="B640" t="str">
            <v>PRESTACION DE SERVICIOS</v>
          </cell>
          <cell r="C640" t="str">
            <v>CORPORACION CLUB COLOMBIA,</v>
          </cell>
          <cell r="D640" t="str">
            <v>NIT</v>
          </cell>
          <cell r="E640">
            <v>891200431</v>
          </cell>
          <cell r="F640">
            <v>2</v>
          </cell>
          <cell r="G640" t="str">
            <v xml:space="preserve">CONTRATACION DIRECTA </v>
          </cell>
          <cell r="H640">
            <v>2</v>
          </cell>
          <cell r="I640" t="str">
            <v>PRESTACIÓN DE SERVICIOS COMO OPERADOR LOGÍSTICO PARA LA ORGANIZACIÓN Y EJECUCIÓN INTEGRAL DE LA CEREMONIA DE ACREDITACIÓN DE LA EMPRESA SOCIAL DEL ESTADO PASTO SALUD E.S.E., DE CONFORMIDAD CON LAS NECESIDADES Y REQUERIMIENTOS ESPECÍFICOS DE LA INSTITUCIÓN.</v>
          </cell>
          <cell r="J640">
            <v>1</v>
          </cell>
          <cell r="K640" t="str">
            <v>$11.500.000</v>
          </cell>
          <cell r="L640">
            <v>45861</v>
          </cell>
          <cell r="M640">
            <v>45861</v>
          </cell>
          <cell r="N640" t="str">
            <v>JUAN PABLO LLANOS</v>
          </cell>
          <cell r="O640">
            <v>17658216</v>
          </cell>
          <cell r="P640" t="str">
            <v>corporacionclubcolombia@hotmail.com</v>
          </cell>
          <cell r="Q640">
            <v>45861</v>
          </cell>
          <cell r="R640" t="str">
            <v>JUAN GOMEZ</v>
          </cell>
          <cell r="U640" t="str">
            <v>CELEBRADO</v>
          </cell>
          <cell r="W640" t="str">
            <v>2025-0367</v>
          </cell>
          <cell r="X640" t="str">
            <v>2025-1116</v>
          </cell>
          <cell r="AJ640">
            <v>2</v>
          </cell>
          <cell r="AK640">
            <v>0</v>
          </cell>
          <cell r="AL640">
            <v>3</v>
          </cell>
          <cell r="AM640" t="str">
            <v>$11.500.000</v>
          </cell>
        </row>
        <row r="641">
          <cell r="A641" t="str">
            <v>640-2025</v>
          </cell>
          <cell r="B641" t="str">
            <v>SUMINISTROS</v>
          </cell>
          <cell r="C641" t="str">
            <v>HILDER FERNANDO LUNA
BELALCAZAR, (MELGRAFIC,)</v>
          </cell>
          <cell r="D641" t="str">
            <v>CC</v>
          </cell>
          <cell r="E641">
            <v>13065259</v>
          </cell>
          <cell r="F641">
            <v>7</v>
          </cell>
          <cell r="G641" t="str">
            <v xml:space="preserve">CONTRATACION DIRECTA </v>
          </cell>
          <cell r="H641">
            <v>1</v>
          </cell>
          <cell r="I641" t="str">
            <v>Contratar el suministro de material preimpresos para dotar a las 22 sedes asistenciales y la sede Administrativa de la Empresa Social del Estado Pasto Salud E.S.E..</v>
          </cell>
          <cell r="J641">
            <v>1</v>
          </cell>
          <cell r="K641" t="str">
            <v>$118.746.700</v>
          </cell>
          <cell r="L641">
            <v>45861</v>
          </cell>
          <cell r="M641">
            <v>45961</v>
          </cell>
          <cell r="N641" t="str">
            <v>RIGOBERTO MELO ZAMBRANO</v>
          </cell>
          <cell r="O641">
            <v>98333941</v>
          </cell>
          <cell r="P641" t="str">
            <v xml:space="preserve"> tallercreativomelgrafic@hotmail.com</v>
          </cell>
          <cell r="Q641">
            <v>45861</v>
          </cell>
          <cell r="R641" t="str">
            <v>CRISTINA ROSERO</v>
          </cell>
          <cell r="U641" t="str">
            <v>CELEBRADO</v>
          </cell>
          <cell r="W641" t="str">
            <v>2025-0348</v>
          </cell>
          <cell r="X641" t="str">
            <v>2025-1118</v>
          </cell>
          <cell r="AJ641">
            <v>2</v>
          </cell>
          <cell r="AK641">
            <v>0</v>
          </cell>
          <cell r="AL641">
            <v>3</v>
          </cell>
          <cell r="AM641" t="str">
            <v>$118.746.700</v>
          </cell>
        </row>
        <row r="642">
          <cell r="A642" t="str">
            <v>641-2025</v>
          </cell>
          <cell r="B642" t="str">
            <v>SUMINISTROS</v>
          </cell>
          <cell r="C642" t="str">
            <v>GRUPO DAO SAS</v>
          </cell>
          <cell r="D642" t="str">
            <v>NIT</v>
          </cell>
          <cell r="E642">
            <v>817004260</v>
          </cell>
          <cell r="F642">
            <v>0</v>
          </cell>
          <cell r="G642" t="str">
            <v xml:space="preserve">CONTRATACION DIRECTA </v>
          </cell>
          <cell r="H642">
            <v>2</v>
          </cell>
          <cell r="I642" t="str">
            <v>El contratista se obliga al suministro de los medicamentos las cantidades establecidas en el anexo 1, el cual hace parte integral del contrato. Para la ESE Pasto Salud.</v>
          </cell>
          <cell r="J642">
            <v>3</v>
          </cell>
          <cell r="K642" t="str">
            <v>$5.365.920</v>
          </cell>
          <cell r="L642">
            <v>45861</v>
          </cell>
          <cell r="M642">
            <v>45991</v>
          </cell>
          <cell r="N642" t="str">
            <v>NENA DEL CARMEN RAMIREZ RAMIREZ</v>
          </cell>
          <cell r="O642">
            <v>30732589</v>
          </cell>
          <cell r="P642" t="str">
            <v xml:space="preserve"> facturacionelectronica@dao.com.co</v>
          </cell>
          <cell r="Q642">
            <v>45861</v>
          </cell>
          <cell r="R642" t="str">
            <v>ANDRES GUERRA</v>
          </cell>
          <cell r="U642" t="str">
            <v>CELEBRADO</v>
          </cell>
          <cell r="W642" t="str">
            <v>2025-0224</v>
          </cell>
          <cell r="X642" t="str">
            <v>2025-1119</v>
          </cell>
          <cell r="AJ642">
            <v>2</v>
          </cell>
          <cell r="AK642">
            <v>0</v>
          </cell>
          <cell r="AL642">
            <v>2</v>
          </cell>
          <cell r="AM642" t="str">
            <v>$5.365.920</v>
          </cell>
        </row>
        <row r="643">
          <cell r="A643" t="str">
            <v>642-2025</v>
          </cell>
          <cell r="B643" t="str">
            <v>PRESTACION DE SERVICIOS</v>
          </cell>
          <cell r="C643" t="str">
            <v xml:space="preserve">VIVIAN ROXANA JURADO BANDA, </v>
          </cell>
          <cell r="D643" t="str">
            <v>CC</v>
          </cell>
          <cell r="E643">
            <v>1084224968</v>
          </cell>
          <cell r="F643">
            <v>2</v>
          </cell>
          <cell r="G643" t="str">
            <v xml:space="preserve">CONTRATACION DIRECTA </v>
          </cell>
          <cell r="H643">
            <v>1</v>
          </cell>
          <cell r="I64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v>
          </cell>
          <cell r="J643">
            <v>1</v>
          </cell>
          <cell r="K643" t="str">
            <v>$6.000.000</v>
          </cell>
          <cell r="L643">
            <v>45862</v>
          </cell>
          <cell r="M643">
            <v>45924</v>
          </cell>
          <cell r="N643" t="str">
            <v>RIGOBERTO MELO ZAMBRANO</v>
          </cell>
          <cell r="O643">
            <v>98333941</v>
          </cell>
          <cell r="P643" t="str">
            <v>juradoviviana062@gmail.com</v>
          </cell>
          <cell r="Q643">
            <v>45862</v>
          </cell>
          <cell r="R643" t="str">
            <v>ANDERSON MEJIA</v>
          </cell>
          <cell r="U643" t="str">
            <v>CELEBRADO</v>
          </cell>
          <cell r="W643" t="str">
            <v>2025-0264</v>
          </cell>
          <cell r="X643" t="str">
            <v>2025-1120</v>
          </cell>
          <cell r="AJ643">
            <v>2</v>
          </cell>
          <cell r="AK643">
            <v>0</v>
          </cell>
          <cell r="AL643">
            <v>3</v>
          </cell>
          <cell r="AM643" t="str">
            <v>$6.000.000</v>
          </cell>
        </row>
        <row r="644">
          <cell r="A644" t="str">
            <v>643-2025</v>
          </cell>
          <cell r="B644" t="str">
            <v>PRESTACION DE SERVICIOS</v>
          </cell>
          <cell r="C644" t="str">
            <v>NORA VIVEROS BRAVO</v>
          </cell>
          <cell r="D644" t="str">
            <v>CC</v>
          </cell>
          <cell r="E644">
            <v>27097745</v>
          </cell>
          <cell r="F644">
            <v>3</v>
          </cell>
          <cell r="G644" t="str">
            <v xml:space="preserve">CONTRATACION DIRECTA </v>
          </cell>
          <cell r="H644">
            <v>1</v>
          </cell>
          <cell r="I644"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44">
            <v>1</v>
          </cell>
          <cell r="K644" t="str">
            <v>$12.000.000</v>
          </cell>
          <cell r="L644">
            <v>45863</v>
          </cell>
          <cell r="M644">
            <v>45925</v>
          </cell>
          <cell r="N644" t="str">
            <v>RODRIGO DE JESUS VITERI MORENO</v>
          </cell>
          <cell r="O644">
            <v>98390119</v>
          </cell>
          <cell r="P644" t="str">
            <v xml:space="preserve"> norav78@hotmail.com</v>
          </cell>
          <cell r="Q644">
            <v>45863</v>
          </cell>
          <cell r="R644" t="str">
            <v>JUAN GOMEZ</v>
          </cell>
          <cell r="U644" t="str">
            <v>CELEBRADO</v>
          </cell>
          <cell r="W644" t="str">
            <v>2025-0264</v>
          </cell>
          <cell r="X644" t="str">
            <v>2025-1124</v>
          </cell>
          <cell r="AJ644">
            <v>2</v>
          </cell>
          <cell r="AK644">
            <v>0</v>
          </cell>
          <cell r="AL644">
            <v>3</v>
          </cell>
          <cell r="AM644" t="str">
            <v>$12.000.000</v>
          </cell>
        </row>
        <row r="645">
          <cell r="A645" t="str">
            <v>644-2025</v>
          </cell>
          <cell r="B645" t="str">
            <v>SUMINISTROS</v>
          </cell>
          <cell r="C645" t="str">
            <v>FUERTES MEJIA MEDICAMENTOS Y DISPOSITIVOS MEDICOS S.A.S.</v>
          </cell>
          <cell r="D645" t="str">
            <v>NIT</v>
          </cell>
          <cell r="E645">
            <v>901565478</v>
          </cell>
          <cell r="F645">
            <v>1</v>
          </cell>
          <cell r="G645" t="str">
            <v xml:space="preserve">CONTRATACION DIRECTA </v>
          </cell>
          <cell r="H645">
            <v>2</v>
          </cell>
          <cell r="I645" t="str">
            <v>El contratista se obliga al suministro del material médico quirúrgico en las cantidades establecidas en el anexo 1, el cual hace parte integral del contrato.
Para la ESE Pasto Salud.</v>
          </cell>
          <cell r="J645">
            <v>3</v>
          </cell>
          <cell r="K645" t="str">
            <v>$14.771.658,50</v>
          </cell>
          <cell r="L645">
            <v>45863</v>
          </cell>
          <cell r="M645">
            <v>45930</v>
          </cell>
          <cell r="N645" t="str">
            <v>NENA DEL CARMEN RAMIREZ RAMIREZ</v>
          </cell>
          <cell r="O645">
            <v>30732589</v>
          </cell>
          <cell r="P645" t="str">
            <v>contabilidad@fuertesmejia.com.co</v>
          </cell>
          <cell r="Q645">
            <v>45863</v>
          </cell>
          <cell r="R645" t="str">
            <v>ALEXANDER YELA</v>
          </cell>
          <cell r="U645" t="str">
            <v>CELEBRADO</v>
          </cell>
          <cell r="W645" t="str">
            <v>2025-0368</v>
          </cell>
          <cell r="X645" t="str">
            <v>2025-1125</v>
          </cell>
          <cell r="AJ645">
            <v>2</v>
          </cell>
          <cell r="AK645">
            <v>0</v>
          </cell>
          <cell r="AL645">
            <v>3</v>
          </cell>
          <cell r="AM645" t="str">
            <v>$14.771.658,50</v>
          </cell>
        </row>
        <row r="646">
          <cell r="A646" t="str">
            <v>645-2025</v>
          </cell>
          <cell r="B646" t="str">
            <v>SUMINISTROS</v>
          </cell>
          <cell r="C646" t="str">
            <v xml:space="preserve"> FUERTES MEJIA MEDICAMENTOS Y
DISPOSITIVOS MEDICOS SAS.</v>
          </cell>
          <cell r="D646" t="str">
            <v>NIT</v>
          </cell>
          <cell r="E646">
            <v>901565478</v>
          </cell>
          <cell r="F646">
            <v>1</v>
          </cell>
          <cell r="G646" t="str">
            <v xml:space="preserve">CONTRATACION DIRECTA </v>
          </cell>
          <cell r="H646">
            <v>2</v>
          </cell>
          <cell r="I646" t="str">
            <v xml:space="preserve"> El contratista se obliga al suministro de los medicamentos en las cantidades establecidas en el anexo 1, el cual hace parte integral del contrato. Para la ESE Pasto Salud.</v>
          </cell>
          <cell r="J646">
            <v>3</v>
          </cell>
          <cell r="K646" t="str">
            <v>$17.358.200</v>
          </cell>
          <cell r="L646">
            <v>45863</v>
          </cell>
          <cell r="M646">
            <v>45930</v>
          </cell>
          <cell r="N646" t="str">
            <v>NENA DEL CARMEN RAMIREZ RAMIREZ</v>
          </cell>
          <cell r="O646">
            <v>30732589</v>
          </cell>
          <cell r="P646" t="str">
            <v>contabilidad@fuertesmejia.com.co</v>
          </cell>
          <cell r="Q646">
            <v>45863</v>
          </cell>
          <cell r="R646" t="str">
            <v>ELIANA BENAVIDES</v>
          </cell>
          <cell r="U646" t="str">
            <v>CELEBRADO</v>
          </cell>
          <cell r="W646" t="str">
            <v>2025-0224</v>
          </cell>
          <cell r="X646" t="str">
            <v>2025-1126</v>
          </cell>
          <cell r="AJ646">
            <v>2</v>
          </cell>
          <cell r="AK646">
            <v>0</v>
          </cell>
          <cell r="AL646">
            <v>3</v>
          </cell>
          <cell r="AM646" t="str">
            <v>$17.358.200</v>
          </cell>
        </row>
        <row r="647">
          <cell r="A647" t="str">
            <v>646-2025</v>
          </cell>
          <cell r="B647" t="str">
            <v>PRESTACION DE SERVICIOS</v>
          </cell>
          <cell r="C647" t="str">
            <v>GINNA MARCELA FARINANGO RIASCOS</v>
          </cell>
          <cell r="D647" t="str">
            <v>CC</v>
          </cell>
          <cell r="E647">
            <v>1085276680</v>
          </cell>
          <cell r="F647">
            <v>3</v>
          </cell>
          <cell r="G647" t="str">
            <v xml:space="preserve">CONTRATACION DIRECTA </v>
          </cell>
          <cell r="H647">
            <v>1</v>
          </cell>
          <cell r="I647" t="str">
            <v>El contratista se compromete para con la Empresa Social del Estado PASTO SALUD ESE a prestar sus servicios como enfermera para el desarrollo de las actividades contempladas en el componente de Morbi Mortalidad Materna - SSR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v>
          </cell>
          <cell r="J647">
            <v>1</v>
          </cell>
          <cell r="K647" t="str">
            <v>$17.000.000</v>
          </cell>
          <cell r="L647">
            <v>45863</v>
          </cell>
          <cell r="M647">
            <v>46016</v>
          </cell>
          <cell r="N647" t="str">
            <v xml:space="preserve">	OSCAR MIGUEL GOYES CABRERA</v>
          </cell>
          <cell r="O647">
            <v>87711882</v>
          </cell>
          <cell r="P647" t="str">
            <v xml:space="preserve"> ginna-240@hotmail.com</v>
          </cell>
          <cell r="Q647">
            <v>45863</v>
          </cell>
          <cell r="R647" t="str">
            <v>ANDRES GUERRA</v>
          </cell>
          <cell r="U647" t="str">
            <v>CELEBRADO</v>
          </cell>
          <cell r="W647" t="str">
            <v>2025-0277</v>
          </cell>
          <cell r="X647" t="str">
            <v>2025-1127</v>
          </cell>
          <cell r="AJ647">
            <v>2</v>
          </cell>
          <cell r="AK647">
            <v>0</v>
          </cell>
          <cell r="AL647">
            <v>2</v>
          </cell>
          <cell r="AM647" t="str">
            <v>$17.000.000</v>
          </cell>
        </row>
        <row r="648">
          <cell r="A648" t="str">
            <v>647-2025</v>
          </cell>
          <cell r="B648" t="str">
            <v>PRESTACION DE SERVICIOS</v>
          </cell>
          <cell r="C648" t="str">
            <v>JOHANA PAOLA MARTINEZ GUERRERO</v>
          </cell>
          <cell r="D648" t="str">
            <v>CC</v>
          </cell>
          <cell r="E648">
            <v>1085301176</v>
          </cell>
          <cell r="F648">
            <v>1</v>
          </cell>
          <cell r="G648" t="str">
            <v xml:space="preserve">CONTRATACION DIRECTA </v>
          </cell>
          <cell r="H648">
            <v>1</v>
          </cell>
          <cell r="I648" t="str">
            <v>EI contratista se compromete para con la Empresa Social del Estado PASTO SALUD ESE aprestar sus servicios como profesional en ciencias socialesy/o humanas para el desarrollo de las actividades contempladas en el componente de Débil Garantía Derecho a la Salud - Participación Social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v>
          </cell>
          <cell r="J648">
            <v>1</v>
          </cell>
          <cell r="K648" t="str">
            <v>$17.000.000</v>
          </cell>
          <cell r="L648">
            <v>45866</v>
          </cell>
          <cell r="M648">
            <v>46019</v>
          </cell>
          <cell r="N648" t="str">
            <v xml:space="preserve">	OSCAR MIGUEL GOYES CABRERA</v>
          </cell>
          <cell r="O648">
            <v>87711882</v>
          </cell>
          <cell r="P648" t="str">
            <v>johanamartg@gmail.com</v>
          </cell>
          <cell r="Q648">
            <v>45866</v>
          </cell>
          <cell r="R648" t="str">
            <v>ALEXANDER YELA</v>
          </cell>
          <cell r="U648" t="str">
            <v>CELEBRADO</v>
          </cell>
          <cell r="W648" t="str">
            <v>2025-0277</v>
          </cell>
          <cell r="X648" t="str">
            <v>2025-1129</v>
          </cell>
          <cell r="AJ648">
            <v>2</v>
          </cell>
          <cell r="AK648">
            <v>0</v>
          </cell>
          <cell r="AL648">
            <v>2</v>
          </cell>
          <cell r="AM648" t="str">
            <v>$17.000.000</v>
          </cell>
        </row>
        <row r="649">
          <cell r="A649" t="str">
            <v>648-2025</v>
          </cell>
          <cell r="B649" t="str">
            <v>PRESTACION DE SERVICIOS</v>
          </cell>
          <cell r="C649" t="str">
            <v>YANA STEFHANIA CARLOSAMA RUALES</v>
          </cell>
          <cell r="D649" t="str">
            <v>CC</v>
          </cell>
          <cell r="E649">
            <v>1085257630</v>
          </cell>
          <cell r="F649">
            <v>4</v>
          </cell>
          <cell r="G649" t="str">
            <v xml:space="preserve">CONTRATACION DIRECTA </v>
          </cell>
          <cell r="H649">
            <v>1</v>
          </cell>
          <cell r="I649" t="str">
            <v>El contratista se compromete para con la Empresa Social del Estado PASTO SALUD ESE a prestar sus servicios como sociólogo para el desarrollo de las actividades contempladas en el componente de Débil Garantía Derecho a la Salud - Educación y comunicación popular y procesos transversales, de acuerdo con los contenidos de la Política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v>
          </cell>
          <cell r="J649">
            <v>1</v>
          </cell>
          <cell r="K649" t="str">
            <v>$17.000.000</v>
          </cell>
          <cell r="L649">
            <v>45866</v>
          </cell>
          <cell r="M649">
            <v>46019</v>
          </cell>
          <cell r="N649" t="str">
            <v xml:space="preserve">	OSCAR MIGUEL GOYES CABRERA</v>
          </cell>
          <cell r="O649">
            <v>87711882</v>
          </cell>
          <cell r="P649" t="str">
            <v xml:space="preserve"> yaniscarlosama@gmail.com</v>
          </cell>
          <cell r="Q649">
            <v>45866</v>
          </cell>
          <cell r="R649" t="str">
            <v>JUAN GOMEZ</v>
          </cell>
          <cell r="U649" t="str">
            <v>CELEBRADO</v>
          </cell>
          <cell r="W649" t="str">
            <v>2025-0277</v>
          </cell>
          <cell r="X649" t="str">
            <v>2025-1130</v>
          </cell>
          <cell r="AJ649">
            <v>2</v>
          </cell>
          <cell r="AK649">
            <v>0</v>
          </cell>
          <cell r="AL649">
            <v>2</v>
          </cell>
          <cell r="AM649" t="str">
            <v>$17.000.000</v>
          </cell>
        </row>
        <row r="650">
          <cell r="A650" t="str">
            <v>649-2025</v>
          </cell>
          <cell r="B650" t="str">
            <v>COMPRAVENTA</v>
          </cell>
          <cell r="C650" t="str">
            <v>DISTRIBUIDORA SOCIAL MAYORISTA S.A.S</v>
          </cell>
          <cell r="D650" t="str">
            <v>NIT</v>
          </cell>
          <cell r="E650">
            <v>901350505</v>
          </cell>
          <cell r="F650">
            <v>7</v>
          </cell>
          <cell r="G650" t="str">
            <v xml:space="preserve">CONTRATACION DIRECTA </v>
          </cell>
          <cell r="H650">
            <v>2</v>
          </cell>
          <cell r="I650" t="str">
            <v xml:space="preserve"> El contratista se obliga a la compra venta de los medicamentos en las cantidades establecidas en el anexo 1, el cual hace parte integral del contrato. Para la ESE Pasto Salud </v>
          </cell>
          <cell r="J650">
            <v>3</v>
          </cell>
          <cell r="K650" t="str">
            <v>$2.892.000</v>
          </cell>
          <cell r="L650">
            <v>45866</v>
          </cell>
          <cell r="M650">
            <v>45930</v>
          </cell>
          <cell r="N650" t="str">
            <v>NENA DEL CARMEN RAMIREZ RAMIREZ</v>
          </cell>
          <cell r="O650">
            <v>30732589</v>
          </cell>
          <cell r="P650" t="str">
            <v>depositosm@gmail.com</v>
          </cell>
          <cell r="Q650">
            <v>45866</v>
          </cell>
          <cell r="R650" t="str">
            <v>ANDERSON MEJIA</v>
          </cell>
          <cell r="U650" t="str">
            <v>CELEBRADO</v>
          </cell>
          <cell r="W650" t="str">
            <v>2025-0224</v>
          </cell>
          <cell r="X650" t="str">
            <v>2025-1133</v>
          </cell>
          <cell r="AJ650">
            <v>2</v>
          </cell>
          <cell r="AK650">
            <v>0</v>
          </cell>
          <cell r="AL650">
            <v>3</v>
          </cell>
          <cell r="AM650" t="str">
            <v>$2.892.000</v>
          </cell>
        </row>
        <row r="651">
          <cell r="A651" t="str">
            <v>650-2025</v>
          </cell>
          <cell r="B651" t="str">
            <v>COMPRAVENTA</v>
          </cell>
          <cell r="C651" t="str">
            <v>DENSALUD GRUPO EMPRESARIAL S.A.S.</v>
          </cell>
          <cell r="D651" t="str">
            <v>NIT</v>
          </cell>
          <cell r="E651">
            <v>901105862</v>
          </cell>
          <cell r="F651">
            <v>2</v>
          </cell>
          <cell r="G651" t="str">
            <v xml:space="preserve">CONTRATACION DIRECTA </v>
          </cell>
          <cell r="H651">
            <v>2</v>
          </cell>
          <cell r="I651" t="str">
            <v>COMPRA DE EQUIPOS BIOMÉDICOS DE ACUERDO AL PLAN ANUAL DE ADQUISICIONES DE PASTO SALUD E.S.E 2025, PARA LAS DIFERENTES SEDES QUE CONFORMAN LAS REDES PRESTADORAS DE SERVICIOS EN SALUD.</v>
          </cell>
          <cell r="J651">
            <v>4</v>
          </cell>
          <cell r="K651" t="str">
            <v>$2.132.480</v>
          </cell>
          <cell r="L651">
            <v>45866</v>
          </cell>
          <cell r="M651">
            <v>45884</v>
          </cell>
          <cell r="N651" t="str">
            <v>MARIA VALERIA PATIÑO ENRIQUEZ</v>
          </cell>
          <cell r="O651">
            <v>1085340448</v>
          </cell>
          <cell r="P651" t="str">
            <v>densalud@hotmail.com</v>
          </cell>
          <cell r="Q651">
            <v>45866</v>
          </cell>
          <cell r="R651" t="str">
            <v>JUAN GOMEZ</v>
          </cell>
          <cell r="U651" t="str">
            <v>CELEBRADO</v>
          </cell>
          <cell r="W651" t="str">
            <v>2025-0289</v>
          </cell>
          <cell r="X651" t="str">
            <v>2025-1134</v>
          </cell>
          <cell r="AJ651">
            <v>2</v>
          </cell>
          <cell r="AK651">
            <v>0</v>
          </cell>
          <cell r="AL651">
            <v>3</v>
          </cell>
          <cell r="AM651" t="str">
            <v>$2.132.480</v>
          </cell>
        </row>
        <row r="652">
          <cell r="A652" t="str">
            <v>651-2025</v>
          </cell>
          <cell r="B652" t="str">
            <v>SUMINISTROS</v>
          </cell>
          <cell r="C652" t="str">
            <v>LUMIRA SAS</v>
          </cell>
          <cell r="D652" t="str">
            <v>NIT</v>
          </cell>
          <cell r="E652">
            <v>900886644</v>
          </cell>
          <cell r="F652">
            <v>1</v>
          </cell>
          <cell r="G652" t="str">
            <v>BIONEXO</v>
          </cell>
          <cell r="H652">
            <v>2</v>
          </cell>
          <cell r="I652" t="str">
            <v xml:space="preserve">Suministro de reactivos e insumos generales de laboratorio clínico para la Empresa Social del Estado Pasto Salud E.S.E. </v>
          </cell>
          <cell r="J652">
            <v>1</v>
          </cell>
          <cell r="K652" t="str">
            <v>$5.280.000</v>
          </cell>
          <cell r="L652">
            <v>45867</v>
          </cell>
          <cell r="M652">
            <v>45930</v>
          </cell>
          <cell r="N652" t="str">
            <v>LAURA XIMENA SANDOVAL REDONDO</v>
          </cell>
          <cell r="O652">
            <v>30400115</v>
          </cell>
          <cell r="P652" t="str">
            <v xml:space="preserve"> lumira@lumira.com.co</v>
          </cell>
          <cell r="Q652">
            <v>45867</v>
          </cell>
          <cell r="R652" t="str">
            <v>ALEXANDER YELA</v>
          </cell>
          <cell r="U652" t="str">
            <v>CELEBRADO</v>
          </cell>
          <cell r="W652" t="str">
            <v>2025-0340</v>
          </cell>
          <cell r="X652" t="str">
            <v>2025-1136</v>
          </cell>
          <cell r="AJ652">
            <v>2</v>
          </cell>
          <cell r="AK652">
            <v>0</v>
          </cell>
          <cell r="AL652">
            <v>3</v>
          </cell>
          <cell r="AM652" t="str">
            <v>$5.280.000</v>
          </cell>
        </row>
        <row r="653">
          <cell r="A653" t="str">
            <v>652-2025</v>
          </cell>
          <cell r="B653" t="str">
            <v>SUMINISTROS</v>
          </cell>
          <cell r="C653" t="str">
            <v>FUERTES MEJIA MEDICAMENTOS Y DISPOSITIVOS MEDICOS S.A.S.</v>
          </cell>
          <cell r="D653" t="str">
            <v>NIT</v>
          </cell>
          <cell r="E653">
            <v>901565478</v>
          </cell>
          <cell r="F653">
            <v>1</v>
          </cell>
          <cell r="G653" t="str">
            <v xml:space="preserve">CONTRATACION DIRECTA </v>
          </cell>
          <cell r="H653">
            <v>2</v>
          </cell>
          <cell r="I653" t="str">
            <v>COMPRA DE UNIDAD DE CALENTAMIENTO MANTA TERMICA PARA EL SERVICIO DE CIRUGIA DE LA SEDE SANTA MONICA DE LA EMPRESA SOCIAL
DEL ESTADO PASTO SALUD ESE.</v>
          </cell>
          <cell r="J653">
            <v>1</v>
          </cell>
          <cell r="K653" t="str">
            <v>$10.186.400</v>
          </cell>
          <cell r="L653">
            <v>45867</v>
          </cell>
          <cell r="M653">
            <v>45884</v>
          </cell>
          <cell r="N653" t="str">
            <v>MARIA VALERIA PATIÑO ENRIQUEZ</v>
          </cell>
          <cell r="O653">
            <v>1085340448</v>
          </cell>
          <cell r="P653" t="str">
            <v>contabilidad@fuertesmejia.com.co</v>
          </cell>
          <cell r="Q653">
            <v>45867</v>
          </cell>
          <cell r="R653" t="str">
            <v>ALEXANDER YELA</v>
          </cell>
          <cell r="U653" t="str">
            <v>CELEBRADO</v>
          </cell>
          <cell r="W653" t="str">
            <v>2025-0353</v>
          </cell>
          <cell r="X653" t="str">
            <v>2025-1137</v>
          </cell>
          <cell r="AJ653">
            <v>2</v>
          </cell>
          <cell r="AK653">
            <v>0</v>
          </cell>
          <cell r="AL653">
            <v>3</v>
          </cell>
          <cell r="AM653" t="str">
            <v>$10.186.400</v>
          </cell>
        </row>
        <row r="654">
          <cell r="A654" t="str">
            <v>653-2025</v>
          </cell>
          <cell r="B654" t="str">
            <v>SUMINISTROS</v>
          </cell>
          <cell r="C654" t="str">
            <v>BIOPLAST S.A.S</v>
          </cell>
          <cell r="D654" t="str">
            <v>NIT</v>
          </cell>
          <cell r="E654">
            <v>830040574</v>
          </cell>
          <cell r="F654">
            <v>8</v>
          </cell>
          <cell r="G654" t="str">
            <v xml:space="preserve">CONTRATACION DIRECTA </v>
          </cell>
          <cell r="H654">
            <v>2</v>
          </cell>
          <cell r="I654" t="str">
            <v>El contratista se obliga al suministro del material médico quirúrgico en las cantidades establecidas en el anexo 1, el cual hace parte integral del contrato. Para la ESE Pasto Salud.</v>
          </cell>
          <cell r="J654">
            <v>3</v>
          </cell>
          <cell r="K654" t="str">
            <v>$10.927.864,50</v>
          </cell>
          <cell r="L654">
            <v>45867</v>
          </cell>
          <cell r="M654">
            <v>45900</v>
          </cell>
          <cell r="N654" t="str">
            <v>NENA DEL CARMEN RAMIREZ RAMIREZ</v>
          </cell>
          <cell r="O654">
            <v>30732589</v>
          </cell>
          <cell r="P654" t="str">
            <v xml:space="preserve"> directoracontabilidad@bioplast.co</v>
          </cell>
          <cell r="Q654">
            <v>45867</v>
          </cell>
          <cell r="R654" t="str">
            <v>ALEXANDER YELA</v>
          </cell>
          <cell r="U654" t="str">
            <v>CELEBRADO</v>
          </cell>
          <cell r="W654" t="str">
            <v>2025-0368</v>
          </cell>
          <cell r="X654" t="str">
            <v>2025-1138</v>
          </cell>
          <cell r="AJ654">
            <v>2</v>
          </cell>
          <cell r="AK654">
            <v>0</v>
          </cell>
          <cell r="AL654">
            <v>3</v>
          </cell>
          <cell r="AM654" t="str">
            <v>$10.927.864,50</v>
          </cell>
        </row>
        <row r="655">
          <cell r="A655" t="str">
            <v>654-2025</v>
          </cell>
          <cell r="B655" t="str">
            <v>PRESTACION DE SERVICIOS</v>
          </cell>
          <cell r="C655" t="str">
            <v>MARIA ALEJANDRA BENAVIDES AYALA</v>
          </cell>
          <cell r="D655" t="str">
            <v>CC</v>
          </cell>
          <cell r="E655">
            <v>1085266584</v>
          </cell>
          <cell r="F655">
            <v>1</v>
          </cell>
          <cell r="G655" t="str">
            <v xml:space="preserve">CONTRATACION DIRECTA </v>
          </cell>
          <cell r="H655">
            <v>1</v>
          </cell>
          <cell r="I65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55">
            <v>1</v>
          </cell>
          <cell r="K655" t="str">
            <v>$6.000.000</v>
          </cell>
          <cell r="L655">
            <v>45868</v>
          </cell>
          <cell r="M655">
            <v>45930</v>
          </cell>
          <cell r="N655" t="str">
            <v>RIGOBERTO MELO ZAMBRANO</v>
          </cell>
          <cell r="O655">
            <v>98333941</v>
          </cell>
          <cell r="P655" t="str">
            <v xml:space="preserve"> alejita.hermosa20@gmail.com</v>
          </cell>
          <cell r="Q655">
            <v>45868</v>
          </cell>
          <cell r="R655" t="str">
            <v>ANDERSON MEJIA</v>
          </cell>
          <cell r="U655" t="str">
            <v>CELEBRADO</v>
          </cell>
          <cell r="W655" t="str">
            <v>2025-0264</v>
          </cell>
          <cell r="X655" t="str">
            <v>2025-1140</v>
          </cell>
          <cell r="AJ655">
            <v>2</v>
          </cell>
          <cell r="AK655">
            <v>0</v>
          </cell>
          <cell r="AL655">
            <v>3</v>
          </cell>
          <cell r="AM655" t="str">
            <v>$6.000.000</v>
          </cell>
        </row>
        <row r="656">
          <cell r="A656" t="str">
            <v>655-2025</v>
          </cell>
          <cell r="B656" t="str">
            <v>PRESTACION DE SERVICIOS</v>
          </cell>
          <cell r="C656" t="str">
            <v xml:space="preserve"> ISABEL CRISTINA SANTACRUZ MUÑOZ</v>
          </cell>
          <cell r="D656" t="str">
            <v>CC</v>
          </cell>
          <cell r="E656">
            <v>1085261053</v>
          </cell>
          <cell r="F656">
            <v>1</v>
          </cell>
          <cell r="G656" t="str">
            <v xml:space="preserve">CONTRATACION DIRECTA </v>
          </cell>
          <cell r="H656">
            <v>1</v>
          </cell>
          <cell r="I656" t="str">
            <v>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v>
          </cell>
          <cell r="J656">
            <v>1</v>
          </cell>
          <cell r="K656" t="str">
            <v>$6.000.000</v>
          </cell>
          <cell r="L656">
            <v>45868</v>
          </cell>
          <cell r="M656">
            <v>45930</v>
          </cell>
          <cell r="N656" t="str">
            <v>RIGOBERTO MELO ZAMBRANO</v>
          </cell>
          <cell r="O656">
            <v>98333941</v>
          </cell>
          <cell r="P656" t="str">
            <v>isahfm08@gmail.com</v>
          </cell>
          <cell r="Q656">
            <v>45868</v>
          </cell>
          <cell r="R656" t="str">
            <v>ALEXANDER YELA</v>
          </cell>
          <cell r="U656" t="str">
            <v>CELEBRADO</v>
          </cell>
          <cell r="W656" t="str">
            <v>2025-0264</v>
          </cell>
          <cell r="X656" t="str">
            <v>2025-1141</v>
          </cell>
          <cell r="AJ656">
            <v>2</v>
          </cell>
          <cell r="AK656">
            <v>0</v>
          </cell>
          <cell r="AL656">
            <v>3</v>
          </cell>
          <cell r="AM656" t="str">
            <v>$6.000.000</v>
          </cell>
        </row>
        <row r="657">
          <cell r="A657" t="str">
            <v>656-2025</v>
          </cell>
          <cell r="B657" t="str">
            <v>PRESTACION DE SERVICIOS</v>
          </cell>
          <cell r="C657" t="str">
            <v xml:space="preserve"> SEGURIDAD REUTERS LTDA</v>
          </cell>
          <cell r="D657" t="str">
            <v>NIT</v>
          </cell>
          <cell r="E657">
            <v>901093684</v>
          </cell>
          <cell r="F657">
            <v>4</v>
          </cell>
          <cell r="G657" t="str">
            <v xml:space="preserve">CONTRATACION DIRECTA </v>
          </cell>
          <cell r="H657">
            <v>2</v>
          </cell>
          <cell r="I657" t="str">
            <v>Servicio de vigilancia y seguridad privada con Talento Humano en los centros de Salud y Sede Administrativa y el servicio de sistema de alarma monitoreada con comunicación GPRS - GSM - SMS que garanticen la seguridad de las personas y todos los bienes muebles e inmuebles de Pasto Salud ESE y de aquellos que se encuentren bajo su responsabilidad en las Diferentes IPS y sede Administrativa.</v>
          </cell>
          <cell r="J657">
            <v>7</v>
          </cell>
          <cell r="K657" t="str">
            <v>$257.683.407</v>
          </cell>
          <cell r="L657">
            <v>45868</v>
          </cell>
          <cell r="M657">
            <v>45991</v>
          </cell>
          <cell r="N657" t="str">
            <v>JUAN PABLO LLANOS</v>
          </cell>
          <cell r="O657">
            <v>17658216</v>
          </cell>
          <cell r="P657" t="str">
            <v xml:space="preserve"> gerencia@seguridadreuters.com</v>
          </cell>
          <cell r="Q657">
            <v>45868</v>
          </cell>
          <cell r="R657" t="str">
            <v>JUAN GOMEZ</v>
          </cell>
          <cell r="U657" t="str">
            <v>CELEBRADO</v>
          </cell>
          <cell r="W657" t="str">
            <v>2025-0364</v>
          </cell>
          <cell r="X657" t="str">
            <v>2025-1148</v>
          </cell>
          <cell r="AA657" t="str">
            <v xml:space="preserve">ADICION </v>
          </cell>
          <cell r="AB657" t="str">
            <v>ACTA DE TERMINACION ANTICIPADA</v>
          </cell>
          <cell r="AJ657">
            <v>1</v>
          </cell>
          <cell r="AK657">
            <v>3</v>
          </cell>
          <cell r="AL657">
            <v>4</v>
          </cell>
          <cell r="AM657" t="str">
            <v>$257.683.407</v>
          </cell>
        </row>
        <row r="658">
          <cell r="A658" t="str">
            <v>657-2025</v>
          </cell>
          <cell r="B658" t="str">
            <v>SUMINISTROS</v>
          </cell>
          <cell r="C658" t="str">
            <v>ESPECIALIDADES DIAGNOSTICAS IHR S.A.S.</v>
          </cell>
          <cell r="D658" t="str">
            <v>NIT</v>
          </cell>
          <cell r="E658">
            <v>890325601</v>
          </cell>
          <cell r="F658">
            <v>1</v>
          </cell>
          <cell r="G658" t="str">
            <v>BIONEXO</v>
          </cell>
          <cell r="H658">
            <v>2</v>
          </cell>
          <cell r="I658" t="str">
            <v>Suministro de reactivos e insumos generales de laboratorio clinico para la Empresa Social del Estado Pasto Salud E.S.E.</v>
          </cell>
          <cell r="J658">
            <v>1</v>
          </cell>
          <cell r="K658" t="str">
            <v>$83.698.171,10</v>
          </cell>
          <cell r="L658">
            <v>45868</v>
          </cell>
          <cell r="M658">
            <v>45930</v>
          </cell>
          <cell r="N658" t="str">
            <v>LAURA XIMENA SANDOVAL REDONDO</v>
          </cell>
          <cell r="O658">
            <v>30400115</v>
          </cell>
          <cell r="P658" t="str">
            <v>contabilidad@ediagnosticas.com</v>
          </cell>
          <cell r="Q658">
            <v>45868</v>
          </cell>
          <cell r="R658" t="str">
            <v>CRISTINA ROSERO</v>
          </cell>
          <cell r="U658" t="str">
            <v>CELEBRADO</v>
          </cell>
          <cell r="W658" t="str">
            <v>2025-0340</v>
          </cell>
          <cell r="X658" t="str">
            <v>2025-1142</v>
          </cell>
          <cell r="AJ658">
            <v>2</v>
          </cell>
          <cell r="AK658">
            <v>0</v>
          </cell>
          <cell r="AL658">
            <v>3</v>
          </cell>
          <cell r="AM658" t="str">
            <v>$83.698.171,10</v>
          </cell>
        </row>
        <row r="659">
          <cell r="A659" t="str">
            <v>658-2025</v>
          </cell>
          <cell r="B659" t="str">
            <v>PRESTACION DE SERVICIOS</v>
          </cell>
          <cell r="C659" t="str">
            <v>EDITH CRISTINA GARCIA JOJOA</v>
          </cell>
          <cell r="D659" t="str">
            <v>CC</v>
          </cell>
          <cell r="E659">
            <v>59813323</v>
          </cell>
          <cell r="F659">
            <v>8</v>
          </cell>
          <cell r="G659" t="str">
            <v xml:space="preserve">CONTRATACION DIRECTA </v>
          </cell>
          <cell r="H659">
            <v>1</v>
          </cell>
          <cell r="I659" t="str">
            <v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v>
          </cell>
          <cell r="J659">
            <v>1</v>
          </cell>
          <cell r="K659" t="str">
            <v>$6.000.000</v>
          </cell>
          <cell r="L659">
            <v>45869</v>
          </cell>
          <cell r="M659">
            <v>45930</v>
          </cell>
          <cell r="N659" t="str">
            <v>RIGOBERTO MELO ZAMBRANO</v>
          </cell>
          <cell r="O659">
            <v>98333941</v>
          </cell>
          <cell r="P659" t="str">
            <v xml:space="preserve">Jakerrero@gmail.com </v>
          </cell>
          <cell r="Q659">
            <v>45869</v>
          </cell>
          <cell r="R659" t="str">
            <v>ANDRES GUERRA</v>
          </cell>
          <cell r="U659" t="str">
            <v>CELEBRADO</v>
          </cell>
          <cell r="W659" t="str">
            <v>2025-0264</v>
          </cell>
          <cell r="X659" t="str">
            <v>2025-1144</v>
          </cell>
          <cell r="AJ659">
            <v>2</v>
          </cell>
          <cell r="AK659">
            <v>0</v>
          </cell>
          <cell r="AL659">
            <v>3</v>
          </cell>
          <cell r="AM659" t="str">
            <v>$6.000.000</v>
          </cell>
        </row>
        <row r="660">
          <cell r="A660" t="str">
            <v>659-2025</v>
          </cell>
          <cell r="B660" t="str">
            <v>PRESTACION DE SERVICIOS</v>
          </cell>
          <cell r="C660" t="str">
            <v>ANDRES ERNESTO BRAVO ALMEIDA</v>
          </cell>
          <cell r="D660" t="str">
            <v>CC</v>
          </cell>
          <cell r="E660">
            <v>12748383</v>
          </cell>
          <cell r="F660">
            <v>0</v>
          </cell>
          <cell r="G660" t="str">
            <v xml:space="preserve">CONTRATACION DIRECTA </v>
          </cell>
          <cell r="H660">
            <v>1</v>
          </cell>
          <cell r="I660" t="str">
            <v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v>
          </cell>
          <cell r="J660">
            <v>1</v>
          </cell>
          <cell r="K660" t="str">
            <v>$4.825.000</v>
          </cell>
          <cell r="L660">
            <v>45869</v>
          </cell>
          <cell r="M660">
            <v>45900</v>
          </cell>
          <cell r="N660" t="str">
            <v>DEYANIRA BADOS DAZA</v>
          </cell>
          <cell r="O660">
            <v>59836926</v>
          </cell>
          <cell r="P660" t="str">
            <v>bravoalmeidaandres@gmail.com</v>
          </cell>
          <cell r="Q660">
            <v>45869</v>
          </cell>
          <cell r="R660" t="str">
            <v>ANDRES GUERRA</v>
          </cell>
          <cell r="U660" t="str">
            <v>CELEBRADO</v>
          </cell>
          <cell r="W660" t="str">
            <v>2025-0177</v>
          </cell>
          <cell r="X660" t="str">
            <v>2025-1145</v>
          </cell>
          <cell r="AJ660">
            <v>2</v>
          </cell>
          <cell r="AK660">
            <v>0</v>
          </cell>
          <cell r="AL660">
            <v>3</v>
          </cell>
          <cell r="AM660" t="str">
            <v>$4.825.000</v>
          </cell>
        </row>
        <row r="661">
          <cell r="A661" t="str">
            <v>660-2025</v>
          </cell>
          <cell r="B661" t="str">
            <v>PRESTACION DE SERVICIOS</v>
          </cell>
          <cell r="C661" t="str">
            <v>JENIFFER ARCOS GIL</v>
          </cell>
          <cell r="D661" t="str">
            <v>CC</v>
          </cell>
          <cell r="E661">
            <v>1004213964</v>
          </cell>
          <cell r="F661">
            <v>5</v>
          </cell>
          <cell r="G661" t="str">
            <v xml:space="preserve">CONTRATACION DIRECTA </v>
          </cell>
          <cell r="H661">
            <v>1</v>
          </cell>
          <cell r="I661"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61">
            <v>1</v>
          </cell>
          <cell r="K661" t="str">
            <v>$12.000.000</v>
          </cell>
          <cell r="L661">
            <v>45869</v>
          </cell>
          <cell r="M661">
            <v>45930</v>
          </cell>
          <cell r="N661" t="str">
            <v>RODRIGO DE JESUS VITERI MORENO</v>
          </cell>
          <cell r="O661">
            <v>98390119</v>
          </cell>
          <cell r="P661" t="str">
            <v xml:space="preserve"> enf.jeniffer.arcos@gmail.com</v>
          </cell>
          <cell r="Q661">
            <v>45869</v>
          </cell>
          <cell r="R661" t="str">
            <v>CRISTINA ROSERO</v>
          </cell>
          <cell r="U661" t="str">
            <v>CELEBRADO</v>
          </cell>
          <cell r="W661" t="str">
            <v>2025-0264</v>
          </cell>
          <cell r="X661" t="str">
            <v>2025-1146</v>
          </cell>
          <cell r="AJ661">
            <v>2</v>
          </cell>
          <cell r="AK661">
            <v>0</v>
          </cell>
          <cell r="AL661">
            <v>3</v>
          </cell>
          <cell r="AM661" t="str">
            <v>$12.000.000</v>
          </cell>
        </row>
        <row r="662">
          <cell r="A662" t="str">
            <v>661-2025</v>
          </cell>
          <cell r="B662" t="str">
            <v>PRESTACION DE SERVICIOS</v>
          </cell>
          <cell r="C662" t="str">
            <v>ROCIO DEL PILAR RIVERA</v>
          </cell>
          <cell r="D662" t="str">
            <v>CC</v>
          </cell>
          <cell r="E662">
            <v>59828916</v>
          </cell>
          <cell r="F662">
            <v>0</v>
          </cell>
          <cell r="G662" t="str">
            <v xml:space="preserve">CONTRATACION DIRECTA </v>
          </cell>
          <cell r="H662">
            <v>1</v>
          </cell>
          <cell r="I662" t="str">
            <v>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62">
            <v>1</v>
          </cell>
          <cell r="K662" t="str">
            <v>$6.000.000</v>
          </cell>
          <cell r="L662">
            <v>45869</v>
          </cell>
          <cell r="M662">
            <v>45930</v>
          </cell>
          <cell r="N662" t="str">
            <v>RIGOBERTO MELO ZAMBRANO</v>
          </cell>
          <cell r="O662">
            <v>98333941</v>
          </cell>
          <cell r="P662" t="str">
            <v xml:space="preserve">ropiri07@gmail.com </v>
          </cell>
          <cell r="Q662">
            <v>45869</v>
          </cell>
          <cell r="R662" t="str">
            <v>ANDERSON MEJIA</v>
          </cell>
          <cell r="U662" t="str">
            <v>CELEBRADO</v>
          </cell>
          <cell r="W662" t="str">
            <v>2025-0264</v>
          </cell>
          <cell r="X662" t="str">
            <v>2025-1147</v>
          </cell>
          <cell r="AJ662">
            <v>2</v>
          </cell>
          <cell r="AK662">
            <v>0</v>
          </cell>
          <cell r="AL662">
            <v>3</v>
          </cell>
          <cell r="AM662" t="str">
            <v>$6.000.000</v>
          </cell>
        </row>
        <row r="663">
          <cell r="A663" t="str">
            <v>662-2025</v>
          </cell>
          <cell r="B663" t="str">
            <v>PRESTACION DE SERVICIOS</v>
          </cell>
          <cell r="C663" t="str">
            <v>CARMEN LILIANA ARMERO RUIZ,</v>
          </cell>
          <cell r="D663" t="str">
            <v>CC</v>
          </cell>
          <cell r="E663">
            <v>1085248939</v>
          </cell>
          <cell r="F663">
            <v>6</v>
          </cell>
          <cell r="G663" t="str">
            <v xml:space="preserve">CONTRATACION DIRECTA </v>
          </cell>
          <cell r="H663">
            <v>1</v>
          </cell>
          <cell r="I663"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63">
            <v>1</v>
          </cell>
          <cell r="K663" t="str">
            <v>$12.000.000</v>
          </cell>
          <cell r="L663">
            <v>45869</v>
          </cell>
          <cell r="M663">
            <v>45930</v>
          </cell>
          <cell r="N663" t="str">
            <v>RODRIGO DE JESUS VITERI MORENO</v>
          </cell>
          <cell r="O663">
            <v>98390119</v>
          </cell>
          <cell r="P663" t="str">
            <v>larmeroruiz@gmail.com</v>
          </cell>
          <cell r="Q663">
            <v>45869</v>
          </cell>
          <cell r="R663" t="str">
            <v>ANDRES GUERRA</v>
          </cell>
          <cell r="U663" t="str">
            <v>CELEBRADO</v>
          </cell>
          <cell r="W663" t="str">
            <v>2025-0264</v>
          </cell>
          <cell r="X663" t="str">
            <v>2025-1149</v>
          </cell>
          <cell r="AJ663">
            <v>2</v>
          </cell>
          <cell r="AK663">
            <v>0</v>
          </cell>
          <cell r="AL663">
            <v>3</v>
          </cell>
          <cell r="AM663" t="str">
            <v>$12.000.000</v>
          </cell>
        </row>
        <row r="664">
          <cell r="A664" t="str">
            <v>663-2025</v>
          </cell>
          <cell r="B664" t="str">
            <v>PRESTACION DE SERVICIOS</v>
          </cell>
          <cell r="C664" t="str">
            <v>KARINA MARIBEL LUNA LOPEZ</v>
          </cell>
          <cell r="D664" t="str">
            <v>CC</v>
          </cell>
          <cell r="E664">
            <v>36954410</v>
          </cell>
          <cell r="F664">
            <v>1</v>
          </cell>
          <cell r="G664" t="str">
            <v xml:space="preserve">CONTRATACION DIRECTA </v>
          </cell>
          <cell r="H664">
            <v>1</v>
          </cell>
          <cell r="I664"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64">
            <v>1</v>
          </cell>
          <cell r="K664" t="str">
            <v>$12.000.000</v>
          </cell>
          <cell r="L664">
            <v>45870</v>
          </cell>
          <cell r="M664">
            <v>45931</v>
          </cell>
          <cell r="N664" t="str">
            <v>RODRIGO DE JESUS VITERI MORENO</v>
          </cell>
          <cell r="O664">
            <v>98390119</v>
          </cell>
          <cell r="P664" t="str">
            <v>karitomaribelluna@gmail.com</v>
          </cell>
          <cell r="Q664">
            <v>45870</v>
          </cell>
          <cell r="R664" t="str">
            <v>JUAN GOMEZ</v>
          </cell>
          <cell r="U664" t="str">
            <v>CELEBRADO</v>
          </cell>
          <cell r="W664" t="str">
            <v>2025-0264</v>
          </cell>
          <cell r="X664" t="str">
            <v>2025-1150</v>
          </cell>
          <cell r="AJ664">
            <v>2</v>
          </cell>
          <cell r="AK664">
            <v>0</v>
          </cell>
          <cell r="AL664">
            <v>3</v>
          </cell>
          <cell r="AM664" t="str">
            <v>$12.000.000</v>
          </cell>
        </row>
        <row r="665">
          <cell r="A665" t="str">
            <v>664-2025</v>
          </cell>
          <cell r="B665" t="str">
            <v>COMPRAVENTA</v>
          </cell>
          <cell r="C665" t="str">
            <v>TEK SOLUCIONES TECNOLOGICAS S.A.S,</v>
          </cell>
          <cell r="D665" t="str">
            <v>CC</v>
          </cell>
          <cell r="E665">
            <v>900480656</v>
          </cell>
          <cell r="F665">
            <v>4</v>
          </cell>
          <cell r="G665" t="str">
            <v xml:space="preserve">CONTRATACION DIRECTA </v>
          </cell>
          <cell r="H665">
            <v>2</v>
          </cell>
          <cell r="I665" t="str">
            <v xml:space="preserve">Compra venta de equipos de Comunicaciones y Sistemas para la Empresa Social del Pasto Salud E.S.E. </v>
          </cell>
          <cell r="J665">
            <v>1</v>
          </cell>
          <cell r="K665" t="str">
            <v>$200.877.950</v>
          </cell>
          <cell r="L665">
            <v>45873</v>
          </cell>
          <cell r="M665">
            <v>45933</v>
          </cell>
          <cell r="N665" t="str">
            <v xml:space="preserve">	IVAN RODRIGO IBARRA MUÑOZ</v>
          </cell>
          <cell r="O665">
            <v>87248313</v>
          </cell>
          <cell r="P665" t="str">
            <v>alejandra.martinez@tek.com.co</v>
          </cell>
          <cell r="Q665">
            <v>45873</v>
          </cell>
          <cell r="R665" t="str">
            <v>ANDRES GUERRA</v>
          </cell>
          <cell r="U665" t="str">
            <v>CELEBRADO</v>
          </cell>
          <cell r="W665" t="str">
            <v>2025-0203</v>
          </cell>
          <cell r="X665" t="str">
            <v>2025-1154</v>
          </cell>
          <cell r="AJ665">
            <v>2</v>
          </cell>
          <cell r="AK665">
            <v>0</v>
          </cell>
          <cell r="AL665">
            <v>3</v>
          </cell>
          <cell r="AM665" t="str">
            <v>$200.877.950</v>
          </cell>
        </row>
        <row r="666">
          <cell r="A666" t="str">
            <v>665-2025</v>
          </cell>
          <cell r="B666" t="str">
            <v>PRESTACION DE SERVICIOS</v>
          </cell>
          <cell r="C666" t="str">
            <v>CARLOS JAVIER ORTIZ (ABC CASA LIMPIA)</v>
          </cell>
          <cell r="D666" t="str">
            <v>CC</v>
          </cell>
          <cell r="E666">
            <v>12962767</v>
          </cell>
          <cell r="F666">
            <v>1</v>
          </cell>
          <cell r="G666" t="str">
            <v xml:space="preserve">CONTRATACION DIRECTA </v>
          </cell>
          <cell r="H666">
            <v>1</v>
          </cell>
          <cell r="I666" t="str">
            <v>Prestación del servicio de desinfección, desratización y fumigación para las sedes, Sede Administrativa, ambulancias, unidad móvil, archivo central y albergues de la Empresa Social del Estado PASTO SALUD E.S.E.</v>
          </cell>
          <cell r="J666">
            <v>1</v>
          </cell>
          <cell r="K666" t="str">
            <v>$6.874.359</v>
          </cell>
          <cell r="L666">
            <v>45874</v>
          </cell>
          <cell r="M666">
            <v>46022</v>
          </cell>
          <cell r="N666" t="str">
            <v>GIOVANNY FELIPE FREYRE ROMO</v>
          </cell>
          <cell r="O666">
            <v>1085294867</v>
          </cell>
          <cell r="P666" t="str">
            <v>abccasalimpi@hotmail.com</v>
          </cell>
          <cell r="Q666">
            <v>45874</v>
          </cell>
          <cell r="R666" t="str">
            <v>ANDERSON MEJIA</v>
          </cell>
          <cell r="U666" t="str">
            <v>CELEBRADO</v>
          </cell>
          <cell r="W666" t="str">
            <v>2025-0383</v>
          </cell>
          <cell r="X666" t="str">
            <v>2025-1157</v>
          </cell>
          <cell r="AJ666">
            <v>2</v>
          </cell>
          <cell r="AK666">
            <v>0</v>
          </cell>
          <cell r="AL666">
            <v>2</v>
          </cell>
          <cell r="AM666" t="str">
            <v>$6.874.359</v>
          </cell>
        </row>
        <row r="667">
          <cell r="A667" t="str">
            <v>666-2025</v>
          </cell>
          <cell r="B667" t="str">
            <v>PRESTACION DE SERVICIOS</v>
          </cell>
          <cell r="C667" t="str">
            <v>JAIME CAICEDO CAICEDO</v>
          </cell>
          <cell r="D667" t="str">
            <v>CC</v>
          </cell>
          <cell r="E667">
            <v>13070864</v>
          </cell>
          <cell r="F667">
            <v>3</v>
          </cell>
          <cell r="G667" t="str">
            <v xml:space="preserve">CONTRATACION DIRECTA </v>
          </cell>
          <cell r="H667">
            <v>1</v>
          </cell>
          <cell r="I667" t="str">
            <v>El contratista se compromete para con la Empresa Social del EstadoPasto Salud E.S.E a prestar sus servicios profesionales como apoyo en acompañamiento y asesoría para el mejoramiento de la calidad en salud con un enfoque en acreditación.</v>
          </cell>
          <cell r="J667">
            <v>1</v>
          </cell>
          <cell r="K667" t="str">
            <v>$30.000.000</v>
          </cell>
          <cell r="L667">
            <v>45874</v>
          </cell>
          <cell r="M667">
            <v>46022</v>
          </cell>
          <cell r="N667" t="str">
            <v>EDWIN JULIO BASTIDAS BENAVIDES</v>
          </cell>
          <cell r="O667">
            <v>13068561</v>
          </cell>
          <cell r="P667" t="str">
            <v>jaimecc369@hotmail.com</v>
          </cell>
          <cell r="Q667">
            <v>45874</v>
          </cell>
          <cell r="R667" t="str">
            <v>ALEXANDER YELA</v>
          </cell>
          <cell r="U667" t="str">
            <v>CELEBRADO</v>
          </cell>
          <cell r="W667" t="str">
            <v>2025-0386</v>
          </cell>
          <cell r="X667" t="str">
            <v>2025-1159</v>
          </cell>
          <cell r="AJ667">
            <v>2</v>
          </cell>
          <cell r="AK667">
            <v>0</v>
          </cell>
          <cell r="AL667">
            <v>2</v>
          </cell>
          <cell r="AM667" t="str">
            <v>$30.000.000</v>
          </cell>
        </row>
        <row r="668">
          <cell r="A668" t="str">
            <v>667-2025</v>
          </cell>
          <cell r="B668" t="str">
            <v>PRESTACION DE SERVICIOS</v>
          </cell>
          <cell r="C668" t="str">
            <v>ANGELA EDITH GONZALEZ PIANDA,</v>
          </cell>
          <cell r="D668" t="str">
            <v>CC</v>
          </cell>
          <cell r="E668">
            <v>1030606749</v>
          </cell>
          <cell r="F668">
            <v>1</v>
          </cell>
          <cell r="G668" t="str">
            <v xml:space="preserve">CONTRATACION DIRECTA </v>
          </cell>
          <cell r="H668">
            <v>1</v>
          </cell>
          <cell r="I66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v>
          </cell>
          <cell r="J668">
            <v>1</v>
          </cell>
          <cell r="K668" t="str">
            <v>$6.000.000</v>
          </cell>
          <cell r="L668">
            <v>45875</v>
          </cell>
          <cell r="M668">
            <v>45936</v>
          </cell>
          <cell r="N668" t="str">
            <v>RODRIGO DE JESUS VITERI MORENO</v>
          </cell>
          <cell r="O668">
            <v>98390119</v>
          </cell>
          <cell r="P668" t="str">
            <v>angelitagonza1991@gmail.com</v>
          </cell>
          <cell r="Q668">
            <v>45875</v>
          </cell>
          <cell r="R668" t="str">
            <v>JUAN GOMEZ</v>
          </cell>
          <cell r="U668" t="str">
            <v>CELEBRADO</v>
          </cell>
          <cell r="W668" t="str">
            <v>2025-0177</v>
          </cell>
          <cell r="X668" t="str">
            <v>2025-1165</v>
          </cell>
          <cell r="AJ668">
            <v>2</v>
          </cell>
          <cell r="AK668">
            <v>0</v>
          </cell>
          <cell r="AL668">
            <v>3</v>
          </cell>
          <cell r="AM668" t="str">
            <v>$6.000.000</v>
          </cell>
        </row>
        <row r="669">
          <cell r="A669" t="str">
            <v>668-2025</v>
          </cell>
          <cell r="B669" t="str">
            <v>PRESTACION DE SERVICIOS</v>
          </cell>
          <cell r="C669" t="str">
            <v>ANGELA LUCIA CORDOBA COLLAZOS</v>
          </cell>
          <cell r="D669" t="str">
            <v>CC</v>
          </cell>
          <cell r="E669">
            <v>1085296091</v>
          </cell>
          <cell r="F669">
            <v>0</v>
          </cell>
          <cell r="G669" t="str">
            <v xml:space="preserve">CONTRATACION DIRECTA </v>
          </cell>
          <cell r="H669">
            <v>1</v>
          </cell>
          <cell r="I669" t="str">
            <v>Prestación de servicios profesionales de enfermería orientados apoyar el fortalecimiento y seguimiento de las estrategias institucionales de Seguridad del Paciente de la Empresa Social del Estado Pasto Salud E.S.E., en cumplimiento de los lineamientos del Sistema Obligatorio de Garantía de la Calidad en Salud y la normatividad vigente.</v>
          </cell>
          <cell r="J669">
            <v>1</v>
          </cell>
          <cell r="K669" t="str">
            <v>$13.500.000</v>
          </cell>
          <cell r="L669">
            <v>45880</v>
          </cell>
          <cell r="M669">
            <v>45972</v>
          </cell>
          <cell r="N669" t="str">
            <v xml:space="preserve">	JUAN CARLOS MERA GUERRERO</v>
          </cell>
          <cell r="O669">
            <v>13016581</v>
          </cell>
          <cell r="P669" t="str">
            <v>angelalcordoba.9@gmail.com</v>
          </cell>
          <cell r="Q669">
            <v>45880</v>
          </cell>
          <cell r="R669" t="str">
            <v>ANDERSON MEJIA</v>
          </cell>
          <cell r="U669" t="str">
            <v>CELEBRADO</v>
          </cell>
          <cell r="W669" t="str">
            <v>2025-0376</v>
          </cell>
          <cell r="X669" t="str">
            <v>2025-1170</v>
          </cell>
          <cell r="AJ669">
            <v>2</v>
          </cell>
          <cell r="AK669">
            <v>0</v>
          </cell>
          <cell r="AL669">
            <v>2</v>
          </cell>
          <cell r="AM669" t="str">
            <v>$13.500.000</v>
          </cell>
        </row>
        <row r="670">
          <cell r="A670" t="str">
            <v>669-2025</v>
          </cell>
          <cell r="B670" t="str">
            <v>SUMINISTROS</v>
          </cell>
          <cell r="C670" t="str">
            <v>OXÍGENOS DEL SUR SAS,.</v>
          </cell>
          <cell r="D670" t="str">
            <v>NIT</v>
          </cell>
          <cell r="E670">
            <v>814004018</v>
          </cell>
          <cell r="F670">
            <v>3</v>
          </cell>
          <cell r="G670" t="str">
            <v xml:space="preserve">CONTRATACION DIRECTA </v>
          </cell>
          <cell r="H670">
            <v>2</v>
          </cell>
          <cell r="I670" t="str">
            <v>Suministro de aire medicinal comprimido medicamento requerido para el funcionamiento del servicio de quirófano y gastroenterología del hospital de Santa
Mónica.</v>
          </cell>
          <cell r="J670">
            <v>3</v>
          </cell>
          <cell r="K670" t="str">
            <v>$2.362.718</v>
          </cell>
          <cell r="L670">
            <v>45881</v>
          </cell>
          <cell r="M670">
            <v>45930</v>
          </cell>
          <cell r="N670" t="str">
            <v>NENA DEL CARMEN RAMIREZ RAMIREZ</v>
          </cell>
          <cell r="O670">
            <v>30732589</v>
          </cell>
          <cell r="P670" t="str">
            <v>contabilidad@oxigenosdelsur.co</v>
          </cell>
          <cell r="Q670">
            <v>45881</v>
          </cell>
          <cell r="R670" t="str">
            <v>CRISTINA ROSERO</v>
          </cell>
          <cell r="U670" t="str">
            <v>CELEBRADO</v>
          </cell>
          <cell r="W670" t="str">
            <v>2025-0224</v>
          </cell>
          <cell r="X670" t="str">
            <v>2025-1171</v>
          </cell>
          <cell r="AJ670">
            <v>2</v>
          </cell>
          <cell r="AK670">
            <v>0</v>
          </cell>
          <cell r="AL670">
            <v>3</v>
          </cell>
          <cell r="AM670" t="str">
            <v>$2.362.718</v>
          </cell>
        </row>
        <row r="671">
          <cell r="A671" t="str">
            <v>670-2025</v>
          </cell>
          <cell r="B671" t="str">
            <v>PRESTACION DE SERVICIOS</v>
          </cell>
          <cell r="C671" t="str">
            <v>GLOBAL PODCAST GROUP
S.A.S</v>
          </cell>
          <cell r="D671" t="str">
            <v>NIT</v>
          </cell>
          <cell r="E671">
            <v>901187510</v>
          </cell>
          <cell r="F671">
            <v>6</v>
          </cell>
          <cell r="G671" t="str">
            <v xml:space="preserve">CONTRATACION DIRECTA </v>
          </cell>
          <cell r="H671">
            <v>2</v>
          </cell>
          <cell r="I671" t="str">
            <v>Prestación del servicio para la creación de la estrategia digital para fortalecer la educación frente al cuidado del ambiente fisico, gestión interna y externa de los residuos generados por la atención en salud.</v>
          </cell>
          <cell r="J671">
            <v>1</v>
          </cell>
          <cell r="K671" t="str">
            <v>$34.000.026</v>
          </cell>
          <cell r="L671">
            <v>45882</v>
          </cell>
          <cell r="M671">
            <v>45900</v>
          </cell>
          <cell r="N671" t="str">
            <v>GIOVANNY FELIPE FREYRE ROMO</v>
          </cell>
          <cell r="O671">
            <v>1085294867</v>
          </cell>
          <cell r="P671" t="str">
            <v xml:space="preserve">gabo.romo@godata.com.co </v>
          </cell>
          <cell r="Q671">
            <v>45882</v>
          </cell>
          <cell r="R671" t="str">
            <v>ANDERSON MEJIA</v>
          </cell>
          <cell r="U671" t="str">
            <v>CELEBRADO</v>
          </cell>
          <cell r="W671" t="str">
            <v>2025-0366</v>
          </cell>
          <cell r="X671" t="str">
            <v>2025-1177</v>
          </cell>
          <cell r="AJ671">
            <v>2</v>
          </cell>
          <cell r="AK671">
            <v>0</v>
          </cell>
          <cell r="AL671">
            <v>3</v>
          </cell>
          <cell r="AM671" t="str">
            <v>$34.000.026</v>
          </cell>
        </row>
        <row r="672">
          <cell r="A672" t="str">
            <v>671-2025</v>
          </cell>
          <cell r="B672" t="str">
            <v>COMPRAVENTA</v>
          </cell>
          <cell r="C672" t="str">
            <v>BIOPLAST S.A.S</v>
          </cell>
          <cell r="D672" t="str">
            <v>NIT</v>
          </cell>
          <cell r="E672">
            <v>830040574</v>
          </cell>
          <cell r="F672">
            <v>8</v>
          </cell>
          <cell r="G672" t="str">
            <v xml:space="preserve">CONTRATACION DIRECTA </v>
          </cell>
          <cell r="H672">
            <v>2</v>
          </cell>
          <cell r="I672" t="str">
            <v xml:space="preserve">El contratista se obliga a la compra venta del material médico quirúrgico en las cantidades establecidas en elanexo 1, el cual hace parte integral del contrato. Para la ESE Pasto Salud </v>
          </cell>
          <cell r="J672">
            <v>3</v>
          </cell>
          <cell r="K672" t="str">
            <v>$931.056.</v>
          </cell>
          <cell r="L672">
            <v>45882</v>
          </cell>
          <cell r="M672">
            <v>45930</v>
          </cell>
          <cell r="N672" t="str">
            <v>NENA DEL CARMEN RAMIREZ RAMIREZ</v>
          </cell>
          <cell r="O672">
            <v>30732589</v>
          </cell>
          <cell r="P672" t="str">
            <v>gerencia@bioplast.co.</v>
          </cell>
          <cell r="Q672">
            <v>45882</v>
          </cell>
          <cell r="R672" t="str">
            <v>ANDRES GUERRA</v>
          </cell>
          <cell r="U672" t="str">
            <v>CELEBRADO</v>
          </cell>
          <cell r="W672" t="str">
            <v>2025-0368</v>
          </cell>
          <cell r="X672" t="str">
            <v>2025-1178</v>
          </cell>
          <cell r="AJ672">
            <v>2</v>
          </cell>
          <cell r="AK672">
            <v>0</v>
          </cell>
          <cell r="AL672">
            <v>3</v>
          </cell>
          <cell r="AM672" t="str">
            <v>$931.056.</v>
          </cell>
        </row>
        <row r="673">
          <cell r="A673" t="str">
            <v>672-2025</v>
          </cell>
          <cell r="B673" t="str">
            <v>ANULADO</v>
          </cell>
          <cell r="C673" t="str">
            <v>ANULADO</v>
          </cell>
          <cell r="E673" t="str">
            <v>ANULADO</v>
          </cell>
        </row>
        <row r="674">
          <cell r="A674" t="str">
            <v>673-2025</v>
          </cell>
          <cell r="B674" t="str">
            <v>ANULADO</v>
          </cell>
          <cell r="C674" t="str">
            <v>ANULADO</v>
          </cell>
          <cell r="E674" t="str">
            <v>ANULADO</v>
          </cell>
        </row>
        <row r="675">
          <cell r="A675" t="str">
            <v>674-2025</v>
          </cell>
          <cell r="B675" t="str">
            <v>PRESTACION DE SERVICIOS</v>
          </cell>
          <cell r="C675" t="str">
            <v>EMILY ROMERO MENDOZA</v>
          </cell>
          <cell r="D675" t="str">
            <v>CC</v>
          </cell>
          <cell r="E675">
            <v>1193223736</v>
          </cell>
          <cell r="F675">
            <v>1</v>
          </cell>
          <cell r="G675" t="str">
            <v>CONTRATACION DIRECTA</v>
          </cell>
          <cell r="H675">
            <v>1</v>
          </cell>
          <cell r="I675"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75">
            <v>1</v>
          </cell>
          <cell r="K675" t="str">
            <v>$12.000.000</v>
          </cell>
          <cell r="L675">
            <v>45882</v>
          </cell>
          <cell r="M675">
            <v>45943</v>
          </cell>
          <cell r="N675" t="str">
            <v>RIGOBERTO MELO ZAMBRANO</v>
          </cell>
          <cell r="O675">
            <v>98333941</v>
          </cell>
          <cell r="P675" t="str">
            <v>emyrm2016@gmail.com</v>
          </cell>
          <cell r="Q675">
            <v>45882</v>
          </cell>
          <cell r="R675" t="str">
            <v>ANDERSON MEJIA</v>
          </cell>
          <cell r="U675" t="str">
            <v>CELEBRADO</v>
          </cell>
          <cell r="W675" t="str">
            <v>2025-0177</v>
          </cell>
          <cell r="X675" t="str">
            <v>2025-1182</v>
          </cell>
          <cell r="AJ675">
            <v>2</v>
          </cell>
          <cell r="AK675">
            <v>0</v>
          </cell>
          <cell r="AL675">
            <v>3</v>
          </cell>
          <cell r="AM675" t="str">
            <v>$12.000.000</v>
          </cell>
        </row>
        <row r="676">
          <cell r="A676" t="str">
            <v>675-2025</v>
          </cell>
          <cell r="B676" t="str">
            <v>PRESTACION DE SERVICIOS</v>
          </cell>
          <cell r="C676" t="str">
            <v>FANNY DANIELA BASTIDAS CHALAPUD (VOLCA TOURS)</v>
          </cell>
          <cell r="D676" t="str">
            <v>CC</v>
          </cell>
          <cell r="E676">
            <v>1085308598</v>
          </cell>
          <cell r="F676">
            <v>6</v>
          </cell>
          <cell r="G676" t="str">
            <v>CONTRATACION DIRECTA</v>
          </cell>
          <cell r="H676">
            <v>1</v>
          </cell>
          <cell r="I676" t="str">
            <v>CONTRATISTA SE COMPROMETE A PRESTAR SUS SERVICIOS COMO OPERADOR LOGÍSTICO PARA EL DESARROLLO DE JORNADAS DE TRANSFORORMACIÓN CULTURAL Y PREVENCIÓN DEL RIESGO PSICOSOCIAL PARA EL 15 DE AGOSTO DE 2025 DIRIGIDA A LOS SERVIDORES Y TRABAJADORES DE LA EMPRESA SOCIAL DEL ESTADO PASTO SALUD E.S.E, EN CUMPLIMIENTO A ACTIVIDADES ESTABLECIDAS EN EL PLAN DE BIENESTAR SOCIAL E INCENTIVOS VIGENCIA 2025.</v>
          </cell>
          <cell r="J676">
            <v>1</v>
          </cell>
          <cell r="K676" t="str">
            <v>$50.000.000</v>
          </cell>
          <cell r="L676">
            <v>45883</v>
          </cell>
          <cell r="M676">
            <v>45900</v>
          </cell>
          <cell r="N676" t="str">
            <v xml:space="preserve">	OSCAR MIGUEL GOYES CABRERA</v>
          </cell>
          <cell r="O676">
            <v>87711882</v>
          </cell>
          <cell r="P676" t="str">
            <v xml:space="preserve">fdbastidas@hotmail.com </v>
          </cell>
          <cell r="Q676">
            <v>45883</v>
          </cell>
          <cell r="R676" t="str">
            <v>JUAN GOMEZ</v>
          </cell>
          <cell r="U676" t="str">
            <v>CELEBRADO</v>
          </cell>
          <cell r="W676" t="str">
            <v>2025-0257</v>
          </cell>
          <cell r="X676" t="str">
            <v>2025-1179</v>
          </cell>
          <cell r="AJ676">
            <v>2</v>
          </cell>
          <cell r="AK676">
            <v>0</v>
          </cell>
          <cell r="AL676">
            <v>3</v>
          </cell>
          <cell r="AM676" t="str">
            <v>$50.000.000</v>
          </cell>
        </row>
        <row r="677">
          <cell r="A677" t="str">
            <v>676-2025</v>
          </cell>
          <cell r="B677" t="str">
            <v>SUMINISTROS</v>
          </cell>
          <cell r="C677" t="str">
            <v xml:space="preserve"> DISPAPELES S.A.S.</v>
          </cell>
          <cell r="D677" t="str">
            <v>NIT</v>
          </cell>
          <cell r="E677">
            <v>860028580</v>
          </cell>
          <cell r="F677">
            <v>2</v>
          </cell>
          <cell r="G677" t="str">
            <v>CONTRATACION DIRECTA</v>
          </cell>
          <cell r="H677">
            <v>2</v>
          </cell>
          <cell r="I677" t="str">
            <v>Suministro de resmas de papel para dotar las 23 sedes de la Empresa Social del Estado Pasto Salud ESE</v>
          </cell>
          <cell r="J677">
            <v>1</v>
          </cell>
          <cell r="K677" t="str">
            <v>$44.363.200</v>
          </cell>
          <cell r="L677">
            <v>45883</v>
          </cell>
          <cell r="M677">
            <v>46017</v>
          </cell>
          <cell r="N677" t="str">
            <v>STEFANYA RAMIREZ LOPERA</v>
          </cell>
          <cell r="O677">
            <v>111247705</v>
          </cell>
          <cell r="P677" t="str">
            <v>notificacionesjudiciales@dispapeles.com</v>
          </cell>
          <cell r="Q677">
            <v>45883</v>
          </cell>
          <cell r="R677" t="str">
            <v>ELIANA BENAVIDES</v>
          </cell>
          <cell r="U677" t="str">
            <v>CELEBRADO</v>
          </cell>
          <cell r="W677" t="str">
            <v>2025-0381</v>
          </cell>
          <cell r="X677" t="str">
            <v>2025-1181</v>
          </cell>
          <cell r="AJ677">
            <v>2</v>
          </cell>
          <cell r="AK677">
            <v>0</v>
          </cell>
          <cell r="AL677">
            <v>2</v>
          </cell>
          <cell r="AM677" t="str">
            <v>$44.363.200</v>
          </cell>
        </row>
        <row r="678">
          <cell r="A678" t="str">
            <v>677-2025</v>
          </cell>
          <cell r="B678" t="str">
            <v>PRESTACION DE SERVICIOS</v>
          </cell>
          <cell r="C678" t="str">
            <v>DANIELA ESTEFANIA VASQUEZ ORDOÑEZ,</v>
          </cell>
          <cell r="D678" t="str">
            <v>CC</v>
          </cell>
          <cell r="E678">
            <v>1085342665</v>
          </cell>
          <cell r="F678">
            <v>5</v>
          </cell>
          <cell r="G678" t="str">
            <v>CONTRATACION DIRECTA</v>
          </cell>
          <cell r="H678">
            <v>1</v>
          </cell>
          <cell r="I678" t="str">
            <v>Prestar sus servicios como profesional especializado en el desarrollo e implementación de acciones, actividades, planes y estrategias en la ejecución del Sistema De Gestión De Seguridad y Salud en el Trabajo, y demás actividades que se adelantan en la Empresa Social del Estado Pasto Salud E.S.E.</v>
          </cell>
          <cell r="J678">
            <v>1</v>
          </cell>
          <cell r="K678" t="str">
            <v>$19.694.646</v>
          </cell>
          <cell r="L678">
            <v>45888</v>
          </cell>
          <cell r="M678">
            <v>46022</v>
          </cell>
          <cell r="N678" t="str">
            <v>JUAN PABLO LLANOS</v>
          </cell>
          <cell r="O678">
            <v>17658216</v>
          </cell>
          <cell r="P678" t="str">
            <v xml:space="preserve"> asesorlaboralyss@gmail.com</v>
          </cell>
          <cell r="Q678">
            <v>45888</v>
          </cell>
          <cell r="R678" t="str">
            <v>ANDERSON MEJIA</v>
          </cell>
          <cell r="U678" t="str">
            <v>CELEBRADO</v>
          </cell>
          <cell r="W678" t="str">
            <v>2025-0392</v>
          </cell>
          <cell r="X678" t="str">
            <v>2025-1184</v>
          </cell>
          <cell r="AJ678">
            <v>2</v>
          </cell>
          <cell r="AK678">
            <v>0</v>
          </cell>
          <cell r="AL678">
            <v>2</v>
          </cell>
          <cell r="AM678" t="str">
            <v>$19.694.646</v>
          </cell>
        </row>
        <row r="679">
          <cell r="A679" t="str">
            <v>678-2025</v>
          </cell>
          <cell r="B679" t="str">
            <v>PRESTACION DE SERVICIOS</v>
          </cell>
          <cell r="C679" t="str">
            <v>ANGELA ESTEFANYA NASPIRAN JOJOA</v>
          </cell>
          <cell r="D679" t="str">
            <v>CC</v>
          </cell>
          <cell r="E679">
            <v>1085327836</v>
          </cell>
          <cell r="F679">
            <v>5</v>
          </cell>
          <cell r="G679" t="str">
            <v>CONTRATACION DIRECTA</v>
          </cell>
          <cell r="H679">
            <v>1</v>
          </cell>
          <cell r="I679"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v>
          </cell>
          <cell r="J679">
            <v>1</v>
          </cell>
          <cell r="K679" t="str">
            <v>$5.000.000</v>
          </cell>
          <cell r="L679">
            <v>45888</v>
          </cell>
          <cell r="M679">
            <v>45949</v>
          </cell>
          <cell r="N679" t="str">
            <v>RIGOBERTO MELO ZAMBRANO</v>
          </cell>
          <cell r="O679">
            <v>98333941</v>
          </cell>
          <cell r="P679" t="str">
            <v>angelitanj8@gmail.com</v>
          </cell>
          <cell r="Q679">
            <v>45888</v>
          </cell>
          <cell r="R679" t="str">
            <v>ANDERSON MEJIA</v>
          </cell>
          <cell r="U679" t="str">
            <v>CELEBRADO</v>
          </cell>
          <cell r="W679" t="str">
            <v>2025-0264</v>
          </cell>
          <cell r="X679" t="str">
            <v>2025-1190</v>
          </cell>
          <cell r="AJ679">
            <v>2</v>
          </cell>
          <cell r="AK679">
            <v>0</v>
          </cell>
          <cell r="AL679">
            <v>2</v>
          </cell>
          <cell r="AM679" t="str">
            <v>$5.000.000</v>
          </cell>
        </row>
        <row r="680">
          <cell r="A680" t="str">
            <v>679-2025</v>
          </cell>
          <cell r="B680" t="str">
            <v>PRESTACION DE SERVICIOS</v>
          </cell>
          <cell r="C680" t="str">
            <v>ANA CLEMENCIA BASTIDAS CERON</v>
          </cell>
          <cell r="D680" t="str">
            <v>CC</v>
          </cell>
          <cell r="E680">
            <v>59830040</v>
          </cell>
          <cell r="F680">
            <v>0</v>
          </cell>
          <cell r="G680" t="str">
            <v>CONTRATACION DIRECTA</v>
          </cell>
          <cell r="H680">
            <v>1</v>
          </cell>
          <cell r="I68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80">
            <v>1</v>
          </cell>
          <cell r="K680" t="str">
            <v>$6.000.000</v>
          </cell>
          <cell r="L680">
            <v>45888</v>
          </cell>
          <cell r="M680">
            <v>45949</v>
          </cell>
          <cell r="N680" t="str">
            <v>RIGOBERTO MELO ZAMBRANO</v>
          </cell>
          <cell r="O680">
            <v>98333941</v>
          </cell>
          <cell r="P680" t="str">
            <v xml:space="preserve"> bastidasana351@gmail.com</v>
          </cell>
          <cell r="Q680">
            <v>45888</v>
          </cell>
          <cell r="R680" t="str">
            <v>ELIANA BENAVIDES</v>
          </cell>
          <cell r="U680" t="str">
            <v>CELEBRADO</v>
          </cell>
          <cell r="W680" t="str">
            <v>2025-0177</v>
          </cell>
          <cell r="X680" t="str">
            <v>2025-1185</v>
          </cell>
          <cell r="AJ680">
            <v>2</v>
          </cell>
          <cell r="AK680">
            <v>0</v>
          </cell>
          <cell r="AL680">
            <v>2</v>
          </cell>
          <cell r="AM680" t="str">
            <v>$6.000.000</v>
          </cell>
        </row>
        <row r="681">
          <cell r="A681" t="str">
            <v>680-2025</v>
          </cell>
          <cell r="B681" t="str">
            <v>PRESTACION DE SERVICIOS</v>
          </cell>
          <cell r="C681" t="str">
            <v>ZULY MARINA HIDALGO JOJOA,</v>
          </cell>
          <cell r="D681" t="str">
            <v>CC</v>
          </cell>
          <cell r="E681">
            <v>1086328142</v>
          </cell>
          <cell r="F681">
            <v>0</v>
          </cell>
          <cell r="G681" t="str">
            <v>CONTRATACION DIRECTA</v>
          </cell>
          <cell r="H681">
            <v>1</v>
          </cell>
          <cell r="I681" t="str">
            <v>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v>
          </cell>
          <cell r="J681">
            <v>1</v>
          </cell>
          <cell r="K681" t="str">
            <v>$6.000.000</v>
          </cell>
          <cell r="L681">
            <v>45888</v>
          </cell>
          <cell r="M681">
            <v>45949</v>
          </cell>
          <cell r="N681" t="str">
            <v>RIGOBERTO MELO ZAMBRANO</v>
          </cell>
          <cell r="O681">
            <v>98333941</v>
          </cell>
          <cell r="P681" t="str">
            <v xml:space="preserve"> zulyhidalgo208@gmail.com</v>
          </cell>
          <cell r="Q681">
            <v>45888</v>
          </cell>
          <cell r="R681" t="str">
            <v>ELIANA BENAVIDES</v>
          </cell>
          <cell r="U681" t="str">
            <v>CELEBRADO</v>
          </cell>
          <cell r="W681" t="str">
            <v>2025-0177</v>
          </cell>
          <cell r="X681" t="str">
            <v>2025-1186</v>
          </cell>
          <cell r="AJ681">
            <v>2</v>
          </cell>
          <cell r="AK681">
            <v>0</v>
          </cell>
          <cell r="AL681">
            <v>3</v>
          </cell>
          <cell r="AM681" t="str">
            <v>$6.000.000</v>
          </cell>
        </row>
        <row r="682">
          <cell r="A682" t="str">
            <v>681-2025</v>
          </cell>
          <cell r="B682" t="str">
            <v>PRESTACION DE SERVICIOS</v>
          </cell>
          <cell r="C682" t="str">
            <v xml:space="preserve"> DAVID RIVERA ARQUITECTOS S.A.S</v>
          </cell>
          <cell r="D682" t="str">
            <v>NIT</v>
          </cell>
          <cell r="E682">
            <v>900435567</v>
          </cell>
          <cell r="F682">
            <v>6</v>
          </cell>
          <cell r="G682" t="str">
            <v>CONTRATACION DIRECTA</v>
          </cell>
          <cell r="H682">
            <v>2</v>
          </cell>
          <cell r="I682" t="str">
            <v>La Empresa Social del Estado Pasto Salud E.S.E requiere contratar la prestación de servicios de "DIAGNOSTICO Y DISEÑO DE LA RED CONTRA INCENDIO DEL HOSPITAL CIVIL- PASTO SALUD ESE,</v>
          </cell>
          <cell r="J682">
            <v>1</v>
          </cell>
          <cell r="K682" t="str">
            <v>$64.319.500</v>
          </cell>
          <cell r="L682">
            <v>45888</v>
          </cell>
          <cell r="M682">
            <v>45979</v>
          </cell>
          <cell r="N682" t="str">
            <v xml:space="preserve">	SEBASTIAN GRANJA ORDOÑEZ</v>
          </cell>
          <cell r="O682">
            <v>1085316703</v>
          </cell>
          <cell r="P682" t="str">
            <v>davidriveraaquitectos@gmail.com</v>
          </cell>
          <cell r="Q682">
            <v>45888</v>
          </cell>
          <cell r="R682" t="str">
            <v>CRISTINA ROSERO</v>
          </cell>
          <cell r="U682" t="str">
            <v>CELEBRADO</v>
          </cell>
          <cell r="W682" t="str">
            <v>2025-0362</v>
          </cell>
          <cell r="X682" t="str">
            <v>2025-1187</v>
          </cell>
          <cell r="AJ682">
            <v>2</v>
          </cell>
          <cell r="AK682">
            <v>0</v>
          </cell>
          <cell r="AL682">
            <v>2</v>
          </cell>
          <cell r="AM682" t="str">
            <v>$64.319.500</v>
          </cell>
        </row>
        <row r="683">
          <cell r="A683" t="str">
            <v>682-2025</v>
          </cell>
          <cell r="B683" t="str">
            <v>PRESTACION DE SERVICIOS</v>
          </cell>
          <cell r="C683" t="str">
            <v>JUANITA MAYLIN VELASQUEZ REVELO</v>
          </cell>
          <cell r="D683" t="str">
            <v>CC</v>
          </cell>
          <cell r="E683">
            <v>1193271854</v>
          </cell>
          <cell r="F683">
            <v>7</v>
          </cell>
          <cell r="G683" t="str">
            <v>CONTRATACION DIRECTA</v>
          </cell>
          <cell r="H683">
            <v>1</v>
          </cell>
          <cell r="I68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v>
          </cell>
          <cell r="J683">
            <v>1</v>
          </cell>
          <cell r="K683" t="str">
            <v>$6.000.000</v>
          </cell>
          <cell r="L683">
            <v>45888</v>
          </cell>
          <cell r="M683">
            <v>45949</v>
          </cell>
          <cell r="N683" t="str">
            <v>RODRIGO DE JESUS VITERI MORENO</v>
          </cell>
          <cell r="O683">
            <v>98390119</v>
          </cell>
          <cell r="P683" t="str">
            <v>mallyvelasquezrevelo@gmail.com</v>
          </cell>
          <cell r="Q683">
            <v>45888</v>
          </cell>
          <cell r="R683" t="str">
            <v>ANDRES GUERRA</v>
          </cell>
          <cell r="U683" t="str">
            <v>CELEBRADO</v>
          </cell>
          <cell r="W683" t="str">
            <v>2025-0177</v>
          </cell>
          <cell r="X683" t="str">
            <v>2025-1188</v>
          </cell>
          <cell r="AJ683">
            <v>2</v>
          </cell>
          <cell r="AK683">
            <v>0</v>
          </cell>
          <cell r="AL683">
            <v>2</v>
          </cell>
          <cell r="AM683" t="str">
            <v>$6.000.000</v>
          </cell>
        </row>
        <row r="684">
          <cell r="A684" t="str">
            <v>683-2025</v>
          </cell>
          <cell r="B684" t="str">
            <v>PRESTACION DE SERVICIOS</v>
          </cell>
          <cell r="C684" t="str">
            <v>AYDA ISABEL MATABANCHOY BENAVIDES,</v>
          </cell>
          <cell r="D684" t="str">
            <v>CC</v>
          </cell>
          <cell r="E684">
            <v>1085325325</v>
          </cell>
          <cell r="F684">
            <v>4</v>
          </cell>
          <cell r="G684" t="str">
            <v>CONTRATACION DIRECTA</v>
          </cell>
          <cell r="H684">
            <v>1</v>
          </cell>
          <cell r="I684" t="str">
            <v>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v>
          </cell>
          <cell r="J684">
            <v>1</v>
          </cell>
          <cell r="K684" t="str">
            <v>$6.000.000</v>
          </cell>
          <cell r="L684">
            <v>45889</v>
          </cell>
          <cell r="M684">
            <v>45950</v>
          </cell>
          <cell r="N684" t="str">
            <v>RIGOBERTO MELO ZAMBRANO</v>
          </cell>
          <cell r="O684">
            <v>98333941</v>
          </cell>
          <cell r="P684" t="str">
            <v>benaydesayda777@gmail.com</v>
          </cell>
          <cell r="Q684">
            <v>45889</v>
          </cell>
          <cell r="R684" t="str">
            <v>ANDRES GUERRA</v>
          </cell>
          <cell r="U684" t="str">
            <v>CELEBRADO</v>
          </cell>
          <cell r="W684" t="str">
            <v>2025-0177</v>
          </cell>
          <cell r="X684" t="str">
            <v>2025-1193</v>
          </cell>
          <cell r="AJ684">
            <v>2</v>
          </cell>
          <cell r="AK684">
            <v>0</v>
          </cell>
          <cell r="AL684">
            <v>2</v>
          </cell>
          <cell r="AM684" t="str">
            <v>$6.000.000</v>
          </cell>
        </row>
        <row r="685">
          <cell r="A685" t="str">
            <v>684-2025</v>
          </cell>
          <cell r="B685" t="str">
            <v>COMPRAVENTA</v>
          </cell>
          <cell r="C685" t="str">
            <v>FUERTES MEJIA MEDICAMENTOS Y DISPOSITIVOS MEDICOS S.A.S.</v>
          </cell>
          <cell r="D685" t="str">
            <v>NIT</v>
          </cell>
          <cell r="E685">
            <v>901565478</v>
          </cell>
          <cell r="F685">
            <v>1</v>
          </cell>
          <cell r="G685" t="str">
            <v>BIONEXO</v>
          </cell>
          <cell r="H685">
            <v>2</v>
          </cell>
          <cell r="I685" t="str">
            <v>El contratista se obliga a la compra venta de los medicamentos en las cantidades establecidas en el anexo 1. el cual hace parte integral del contrato. Para la ESE Pasto Salud.</v>
          </cell>
          <cell r="J685">
            <v>3</v>
          </cell>
          <cell r="K685" t="str">
            <v>$42.840.000</v>
          </cell>
          <cell r="L685">
            <v>45889</v>
          </cell>
          <cell r="M685">
            <v>45899</v>
          </cell>
          <cell r="N685" t="str">
            <v>NENA DEL CARMEN RAMIREZ RAMIREZ</v>
          </cell>
          <cell r="O685">
            <v>30732589</v>
          </cell>
          <cell r="P685" t="str">
            <v>contabilidad@fuertesmejia.com.co</v>
          </cell>
          <cell r="Q685">
            <v>45889</v>
          </cell>
          <cell r="R685" t="str">
            <v>ALEXANDER YELA</v>
          </cell>
          <cell r="U685" t="str">
            <v>CELEBRADO</v>
          </cell>
          <cell r="W685" t="str">
            <v>2025-0378</v>
          </cell>
          <cell r="X685" t="str">
            <v>2025-1195</v>
          </cell>
          <cell r="AJ685">
            <v>2</v>
          </cell>
          <cell r="AK685">
            <v>0</v>
          </cell>
          <cell r="AL685">
            <v>3</v>
          </cell>
          <cell r="AM685" t="str">
            <v>$42.840.000</v>
          </cell>
        </row>
        <row r="686">
          <cell r="A686" t="str">
            <v>685-2025</v>
          </cell>
          <cell r="B686" t="str">
            <v>PRESTACION DE SERVICIOS</v>
          </cell>
          <cell r="C686" t="str">
            <v>ANDREA LILIANA LAGUNA RUALES</v>
          </cell>
          <cell r="D686" t="str">
            <v>CC</v>
          </cell>
          <cell r="E686">
            <v>59833899</v>
          </cell>
          <cell r="F686">
            <v>3</v>
          </cell>
          <cell r="G686" t="str">
            <v>CONTRATACION DIRECTA</v>
          </cell>
          <cell r="H686">
            <v>1</v>
          </cell>
          <cell r="I686" t="str">
            <v>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686">
            <v>1</v>
          </cell>
          <cell r="K686" t="str">
            <v>$6.000.000</v>
          </cell>
          <cell r="L686">
            <v>45889</v>
          </cell>
          <cell r="M686">
            <v>45950</v>
          </cell>
          <cell r="N686" t="str">
            <v>RIGOBERTO MELO ZAMBRANO</v>
          </cell>
          <cell r="O686">
            <v>98333941</v>
          </cell>
          <cell r="P686" t="str">
            <v>andrealiliana15@gmail.com</v>
          </cell>
          <cell r="Q686">
            <v>45889</v>
          </cell>
          <cell r="R686" t="str">
            <v>ANDERSON MEJIA</v>
          </cell>
          <cell r="U686" t="str">
            <v>CELEBRADO</v>
          </cell>
          <cell r="W686" t="str">
            <v>2025-0177</v>
          </cell>
          <cell r="X686" t="str">
            <v>2025-1196</v>
          </cell>
          <cell r="AJ686">
            <v>2</v>
          </cell>
          <cell r="AK686">
            <v>0</v>
          </cell>
          <cell r="AL686">
            <v>2</v>
          </cell>
          <cell r="AM686" t="str">
            <v>$6.000.000</v>
          </cell>
        </row>
        <row r="687">
          <cell r="A687" t="str">
            <v>686-2025</v>
          </cell>
          <cell r="B687" t="str">
            <v>COMPRAVENTA</v>
          </cell>
          <cell r="C687" t="str">
            <v>RAMEDICAS S.A.S.</v>
          </cell>
          <cell r="D687" t="str">
            <v>NIT</v>
          </cell>
          <cell r="E687">
            <v>901429936</v>
          </cell>
          <cell r="F687">
            <v>1</v>
          </cell>
          <cell r="G687" t="str">
            <v>BIONEXO</v>
          </cell>
          <cell r="H687">
            <v>2</v>
          </cell>
          <cell r="I687" t="str">
            <v>El contratista se obliga a la compra venta de los medicamentos en las cantidades establecidas en e anexo 1, el cual hace parte integral del contrato. Para la ESE Pasto Salud.</v>
          </cell>
          <cell r="J687">
            <v>3</v>
          </cell>
          <cell r="K687" t="str">
            <v>$270.386.000</v>
          </cell>
          <cell r="L687">
            <v>45890</v>
          </cell>
          <cell r="M687">
            <v>45899</v>
          </cell>
          <cell r="N687" t="str">
            <v>NENA DEL CARMEN RAMIREZ RAMIREZ</v>
          </cell>
          <cell r="O687">
            <v>30732589</v>
          </cell>
          <cell r="P687" t="str">
            <v>administración@ramedicas.com</v>
          </cell>
          <cell r="Q687">
            <v>45890</v>
          </cell>
          <cell r="R687" t="str">
            <v>ALEXANDER YELA</v>
          </cell>
          <cell r="U687" t="str">
            <v>CELEBRADO</v>
          </cell>
          <cell r="W687" t="str">
            <v>2025-0378</v>
          </cell>
          <cell r="X687" t="str">
            <v>2025-1197</v>
          </cell>
          <cell r="AJ687">
            <v>2</v>
          </cell>
          <cell r="AK687">
            <v>0</v>
          </cell>
          <cell r="AL687">
            <v>3</v>
          </cell>
          <cell r="AM687" t="str">
            <v>$270.386.000</v>
          </cell>
        </row>
        <row r="688">
          <cell r="A688" t="str">
            <v>687-2025</v>
          </cell>
          <cell r="B688" t="str">
            <v>SUMINISTROS</v>
          </cell>
          <cell r="C688" t="str">
            <v>FUERTES MEJIA MEDICAMENTOS Y DISPOSITIVOS MEDICOS SAS,</v>
          </cell>
          <cell r="D688" t="str">
            <v>NIT</v>
          </cell>
          <cell r="E688">
            <v>901565478</v>
          </cell>
          <cell r="F688">
            <v>1</v>
          </cell>
          <cell r="G688" t="str">
            <v>CONTRATACION DIRECTA</v>
          </cell>
          <cell r="H688">
            <v>1</v>
          </cell>
          <cell r="I688" t="str">
            <v>El contratista se obliga al suministro del material médico quirúrgico en las cantidades establecidas en el anexo 1, el cual hace parte integral del contrato. Para la ESE Pasto Salud.</v>
          </cell>
          <cell r="J688">
            <v>3</v>
          </cell>
          <cell r="K688" t="str">
            <v>$6.639.768</v>
          </cell>
          <cell r="L688">
            <v>45891</v>
          </cell>
          <cell r="M688">
            <v>45930</v>
          </cell>
          <cell r="N688" t="str">
            <v>NENA DEL CARMEN RAMIREZ RAMIREZ</v>
          </cell>
          <cell r="O688">
            <v>30732589</v>
          </cell>
          <cell r="P688" t="str">
            <v>contabilidad@fuertesmejia.com.co</v>
          </cell>
          <cell r="Q688">
            <v>45891</v>
          </cell>
          <cell r="R688" t="str">
            <v>JUAN GOMEZ</v>
          </cell>
          <cell r="U688" t="str">
            <v>CELEBRADO</v>
          </cell>
          <cell r="W688" t="str">
            <v>2025-0368</v>
          </cell>
          <cell r="X688" t="str">
            <v>2025-1198</v>
          </cell>
          <cell r="AJ688">
            <v>2</v>
          </cell>
          <cell r="AK688">
            <v>0</v>
          </cell>
          <cell r="AL688">
            <v>3</v>
          </cell>
          <cell r="AM688" t="str">
            <v>$6.639.768</v>
          </cell>
        </row>
        <row r="689">
          <cell r="A689" t="str">
            <v>688-2025</v>
          </cell>
          <cell r="B689" t="str">
            <v>PRESTACION DE SERVICIOS</v>
          </cell>
          <cell r="C689" t="str">
            <v>DIANA SOFIA PANTOJA RISUEÑO</v>
          </cell>
          <cell r="D689" t="str">
            <v>CC</v>
          </cell>
          <cell r="E689">
            <v>1085344795</v>
          </cell>
          <cell r="F689">
            <v>3</v>
          </cell>
          <cell r="G689" t="str">
            <v>CONTRATACION DIRECTA</v>
          </cell>
          <cell r="H689">
            <v>1</v>
          </cell>
          <cell r="I68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v>
          </cell>
          <cell r="J689">
            <v>1</v>
          </cell>
          <cell r="K689" t="str">
            <v>$6.000.000</v>
          </cell>
          <cell r="L689">
            <v>45894</v>
          </cell>
          <cell r="M689">
            <v>45955</v>
          </cell>
          <cell r="N689" t="str">
            <v>RODRIGO DE JESUS VITERI MORENO</v>
          </cell>
          <cell r="O689">
            <v>98390119</v>
          </cell>
          <cell r="P689" t="str">
            <v>sofipantoja85@gmail.com</v>
          </cell>
          <cell r="Q689">
            <v>45894</v>
          </cell>
          <cell r="R689" t="str">
            <v>ANDRES GUERRA</v>
          </cell>
          <cell r="U689" t="str">
            <v>CELEBRADO</v>
          </cell>
          <cell r="W689" t="str">
            <v>2025-0177</v>
          </cell>
          <cell r="X689" t="str">
            <v>2025-1200</v>
          </cell>
          <cell r="AJ689">
            <v>2</v>
          </cell>
          <cell r="AK689">
            <v>0</v>
          </cell>
          <cell r="AL689">
            <v>2</v>
          </cell>
          <cell r="AM689" t="str">
            <v>$6.000.000</v>
          </cell>
        </row>
        <row r="690">
          <cell r="A690" t="str">
            <v>689-2025</v>
          </cell>
          <cell r="B690" t="str">
            <v>PRESTACION DE SERVICIOS</v>
          </cell>
          <cell r="C690" t="str">
            <v>PAOLA ANDREA ESPINOSA BURBANO</v>
          </cell>
          <cell r="D690" t="str">
            <v>CC</v>
          </cell>
          <cell r="E690">
            <v>27091114</v>
          </cell>
          <cell r="F690">
            <v>9</v>
          </cell>
          <cell r="G690" t="str">
            <v>CONTRATACION DIRECTA</v>
          </cell>
          <cell r="H690">
            <v>1</v>
          </cell>
          <cell r="I69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690">
            <v>1</v>
          </cell>
          <cell r="K690" t="str">
            <v>$6.000.000</v>
          </cell>
          <cell r="L690">
            <v>45894</v>
          </cell>
          <cell r="M690">
            <v>45955</v>
          </cell>
          <cell r="N690" t="str">
            <v>RIGOBERTO MELO ZAMBRANO</v>
          </cell>
          <cell r="O690">
            <v>98333941</v>
          </cell>
          <cell r="P690" t="str">
            <v>paolaespinosaburbano08@gmail.com</v>
          </cell>
          <cell r="Q690">
            <v>45894</v>
          </cell>
          <cell r="R690" t="str">
            <v>JUAN GOMEZ</v>
          </cell>
          <cell r="U690" t="str">
            <v>CELEBRADO</v>
          </cell>
          <cell r="W690" t="str">
            <v>2025-0177</v>
          </cell>
          <cell r="X690" t="str">
            <v>2025-1201</v>
          </cell>
          <cell r="AJ690">
            <v>2</v>
          </cell>
          <cell r="AK690">
            <v>0</v>
          </cell>
          <cell r="AL690">
            <v>2</v>
          </cell>
          <cell r="AM690" t="str">
            <v>$6.000.000</v>
          </cell>
        </row>
        <row r="691">
          <cell r="A691" t="str">
            <v>690-2025</v>
          </cell>
          <cell r="B691" t="str">
            <v>SUMINISTROS</v>
          </cell>
          <cell r="C691" t="str">
            <v>ANNAR DIAGNOSTICA IMPORT S.A.S.</v>
          </cell>
          <cell r="D691" t="str">
            <v>NIT</v>
          </cell>
          <cell r="E691">
            <v>830025281</v>
          </cell>
          <cell r="F691">
            <v>2</v>
          </cell>
          <cell r="G691" t="str">
            <v>BIONEXO</v>
          </cell>
          <cell r="H691">
            <v>2</v>
          </cell>
          <cell r="I691" t="str">
            <v>Suministro de reactivos e insumos generales de laboratorio clinico para la Empresa Social del Estado Pasto Salud E.S.E.</v>
          </cell>
          <cell r="J691">
            <v>1</v>
          </cell>
          <cell r="K691" t="str">
            <v>$26.873.350</v>
          </cell>
          <cell r="L691">
            <v>45895</v>
          </cell>
          <cell r="M691">
            <v>45930</v>
          </cell>
          <cell r="N691" t="str">
            <v>LAURA XIMENA SANDOVAL REDONDO</v>
          </cell>
          <cell r="O691">
            <v>30400115</v>
          </cell>
          <cell r="P691" t="str">
            <v>notificacionesjudiciales@annardx.com</v>
          </cell>
          <cell r="Q691">
            <v>45895</v>
          </cell>
          <cell r="R691" t="str">
            <v>ANDERSON MEJIA</v>
          </cell>
          <cell r="U691" t="str">
            <v>CELEBRADO</v>
          </cell>
          <cell r="W691" t="str">
            <v>2025-0340</v>
          </cell>
          <cell r="X691" t="str">
            <v>2025-1203</v>
          </cell>
          <cell r="AJ691">
            <v>2</v>
          </cell>
          <cell r="AK691">
            <v>0</v>
          </cell>
          <cell r="AL691">
            <v>3</v>
          </cell>
          <cell r="AM691" t="str">
            <v>$26.873.350</v>
          </cell>
        </row>
        <row r="692">
          <cell r="A692" t="str">
            <v>691-2025</v>
          </cell>
          <cell r="B692" t="str">
            <v>PRESTACION DE SERVICIOS</v>
          </cell>
          <cell r="C692" t="str">
            <v>ALEXANDRA GONZALEZ HORTA</v>
          </cell>
          <cell r="D692" t="str">
            <v>CC</v>
          </cell>
          <cell r="E692">
            <v>1075242334</v>
          </cell>
          <cell r="F692">
            <v>7</v>
          </cell>
          <cell r="G692" t="str">
            <v>CONTRATACION DIRECTA</v>
          </cell>
          <cell r="H692">
            <v>1</v>
          </cell>
          <cell r="I692"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ell>
          <cell r="J692">
            <v>1</v>
          </cell>
          <cell r="K692" t="str">
            <v xml:space="preserve">$2.500.000
</v>
          </cell>
          <cell r="L692">
            <v>45895</v>
          </cell>
          <cell r="M692">
            <v>45926</v>
          </cell>
          <cell r="N692" t="str">
            <v>DEYANIRA BADOS DAZA</v>
          </cell>
          <cell r="O692">
            <v>59836926</v>
          </cell>
          <cell r="P692" t="str">
            <v>alexandragonzaleshorta@gmail.com</v>
          </cell>
          <cell r="Q692">
            <v>45895</v>
          </cell>
          <cell r="R692" t="str">
            <v>ANDERSON MEJIA</v>
          </cell>
          <cell r="U692" t="str">
            <v>CELEBRADO</v>
          </cell>
          <cell r="W692" t="str">
            <v>2025-0177</v>
          </cell>
          <cell r="X692" t="str">
            <v>2025-1204</v>
          </cell>
          <cell r="AJ692">
            <v>2</v>
          </cell>
          <cell r="AK692">
            <v>0</v>
          </cell>
          <cell r="AL692">
            <v>3</v>
          </cell>
          <cell r="AM692" t="str">
            <v>$2.500.000</v>
          </cell>
        </row>
        <row r="693">
          <cell r="A693" t="str">
            <v>692-2025</v>
          </cell>
          <cell r="B693" t="str">
            <v>PRESTACION DE SERVICIOS</v>
          </cell>
          <cell r="C693" t="str">
            <v>SERVIVARIOS LA MEJOR SAS,</v>
          </cell>
          <cell r="D693" t="str">
            <v>NIT</v>
          </cell>
          <cell r="E693">
            <v>814002615</v>
          </cell>
          <cell r="F693">
            <v>1</v>
          </cell>
          <cell r="G693" t="str">
            <v>CONTRATACION DIRECTA</v>
          </cell>
          <cell r="H693">
            <v>2</v>
          </cell>
          <cell r="I693" t="str">
            <v>Prestación del servicio integral de limpieza que incluye: aseo, desinfección general, lavandería de ropa hospitalaria, preparación y distribución de bebidas calientes, incluyendo el suministro de insumos y elementos necesarios para la realización de estas actividades, en las instalaciones de la Empresa Social del Estado Pasto Salud E.S.E: Sede Administrativa, sus IPS y unidades móviles, de acuerdo con los requerimientos de la institución y los estándares de calidad y con las características y especificaciones de la Empresa.</v>
          </cell>
          <cell r="J693">
            <v>1</v>
          </cell>
          <cell r="K693" t="str">
            <v>$1.343.864.950</v>
          </cell>
          <cell r="L693">
            <v>45895</v>
          </cell>
          <cell r="M693">
            <v>46022</v>
          </cell>
          <cell r="N693" t="str">
            <v>GIOVANNY FELIPE FREYRE ROMO</v>
          </cell>
          <cell r="O693">
            <v>1085294867</v>
          </cell>
          <cell r="P693" t="str">
            <v>servilamejor@hotmail.com.</v>
          </cell>
          <cell r="Q693">
            <v>45895</v>
          </cell>
          <cell r="R693" t="str">
            <v>ELIANA BENAVIDES</v>
          </cell>
          <cell r="U693" t="str">
            <v>CELEBRADO</v>
          </cell>
          <cell r="W693" t="str">
            <v>2025-0403</v>
          </cell>
          <cell r="X693" t="str">
            <v>2025-1205</v>
          </cell>
          <cell r="AB693" t="str">
            <v>ADICION</v>
          </cell>
          <cell r="AJ693">
            <v>1</v>
          </cell>
          <cell r="AK693">
            <v>3</v>
          </cell>
          <cell r="AL693">
            <v>3</v>
          </cell>
          <cell r="AM693" t="str">
            <v>$1.343.864.950</v>
          </cell>
        </row>
        <row r="694">
          <cell r="A694" t="str">
            <v>693-2025</v>
          </cell>
          <cell r="B694" t="str">
            <v>PRESTACION DE SERVICIOS</v>
          </cell>
          <cell r="C694" t="str">
            <v>JEFERSON FABIAN SALAZAR DUARTE</v>
          </cell>
          <cell r="D694" t="str">
            <v>CC</v>
          </cell>
          <cell r="E694">
            <v>1085339919</v>
          </cell>
          <cell r="F694">
            <v>1</v>
          </cell>
          <cell r="G694" t="str">
            <v>CONTRATACION DIRECTA</v>
          </cell>
          <cell r="H694">
            <v>1</v>
          </cell>
          <cell r="I694" t="str">
            <v xml:space="preserve">El contratista se compromete para con la Empresa Social del Estado PASTO SALUD ESE a prestar sus servicios como sociólogo para el desarrollo de las actividades contempladas en el componente de Emergencias y Desastres y procesos transversales, de acuerdo con los contenidos de la Politica Pública de Salud Colectiva 'La Salud en Todos los Derechos', fortaleciendo los entornos educativo, comunitario, laboral e institucional según sea necesario y garantizando la incorporación de la Estrategia Ciudad Bienestar en sus lineamientos operativos, objetivos, premisas, perspectivas y enfoques. Lo anterior en el marco del anexo técnico del Plan de Salud Pública de Intervenciones Colectivas correspondiente al periodo abril-diciembre de 2025, el cual hace parte integral del contrato interadministrativo No. 20252190 de fecha 02 de abril de 2025, suscrito entre la Empresa Social del Estado Pasto Salud ESE y la Alcaldía de Pasto - Secretaría Municipal de Salud. </v>
          </cell>
          <cell r="J694">
            <v>1</v>
          </cell>
          <cell r="K694" t="str">
            <v>$6.800.000</v>
          </cell>
          <cell r="L694">
            <v>45895</v>
          </cell>
          <cell r="M694">
            <v>45956</v>
          </cell>
          <cell r="N694" t="str">
            <v xml:space="preserve">	OSCAR MIGUEL GOYES CABRERA</v>
          </cell>
          <cell r="O694">
            <v>87711882</v>
          </cell>
          <cell r="P694" t="str">
            <v>jefersonfsd@outllok.com</v>
          </cell>
          <cell r="Q694">
            <v>45895</v>
          </cell>
          <cell r="R694" t="str">
            <v>ANDRES GUERRA</v>
          </cell>
          <cell r="U694" t="str">
            <v>CELEBRADO</v>
          </cell>
          <cell r="W694" t="str">
            <v>2025-0277</v>
          </cell>
          <cell r="X694" t="str">
            <v>2025-1206</v>
          </cell>
          <cell r="AJ694">
            <v>2</v>
          </cell>
          <cell r="AK694">
            <v>0</v>
          </cell>
          <cell r="AL694">
            <v>3</v>
          </cell>
          <cell r="AM694" t="str">
            <v>$6.800.000</v>
          </cell>
        </row>
        <row r="695">
          <cell r="A695" t="str">
            <v>694-2025</v>
          </cell>
          <cell r="B695" t="str">
            <v>SUMINISTROS</v>
          </cell>
          <cell r="C695" t="str">
            <v xml:space="preserve"> FUERTES MEJIA MEDICAMENTOS Y DISPOSITIVOS MEDICOS S.A.S</v>
          </cell>
          <cell r="D695" t="str">
            <v>NIT</v>
          </cell>
          <cell r="E695">
            <v>901565478</v>
          </cell>
          <cell r="F695">
            <v>1</v>
          </cell>
          <cell r="G695" t="str">
            <v>BIONEXO</v>
          </cell>
          <cell r="H695">
            <v>2</v>
          </cell>
          <cell r="I695" t="str">
            <v>El contratista se obliga al suministro de los medicamentos en las cantidades establecidas en el anexo 1, el cual hace parte integral del contrato. Para la ESE Pasto Salud</v>
          </cell>
          <cell r="J695">
            <v>3</v>
          </cell>
          <cell r="K695" t="str">
            <v>$363.828.076</v>
          </cell>
          <cell r="L695">
            <v>45896</v>
          </cell>
          <cell r="M695">
            <v>45991</v>
          </cell>
          <cell r="N695" t="str">
            <v>NENA DEL CARMEN RAMIREZ RAMIREZ</v>
          </cell>
          <cell r="O695">
            <v>30732589</v>
          </cell>
          <cell r="P695" t="str">
            <v xml:space="preserve"> contabilidad@fuertesmejia.com.co</v>
          </cell>
          <cell r="Q695">
            <v>45896</v>
          </cell>
          <cell r="R695" t="str">
            <v>JUAN GOMEZ</v>
          </cell>
          <cell r="U695" t="str">
            <v>CELEBRADO</v>
          </cell>
          <cell r="W695" t="str">
            <v>2025-0377</v>
          </cell>
          <cell r="X695" t="str">
            <v>2025-1209</v>
          </cell>
          <cell r="AJ695">
            <v>2</v>
          </cell>
          <cell r="AK695">
            <v>0</v>
          </cell>
          <cell r="AL695">
            <v>2</v>
          </cell>
          <cell r="AM695" t="str">
            <v>$363.828.076</v>
          </cell>
        </row>
        <row r="696">
          <cell r="A696" t="str">
            <v>695-2025</v>
          </cell>
          <cell r="B696" t="str">
            <v>SUMINISTROS</v>
          </cell>
          <cell r="C696" t="str">
            <v>RAMEDICAS S.A.S.</v>
          </cell>
          <cell r="D696" t="str">
            <v>NIT</v>
          </cell>
          <cell r="E696">
            <v>901429936</v>
          </cell>
          <cell r="F696">
            <v>1</v>
          </cell>
          <cell r="G696" t="str">
            <v>BIONEXO</v>
          </cell>
          <cell r="H696">
            <v>2</v>
          </cell>
          <cell r="I696" t="str">
            <v>El contratista se obliga al suministro de los medicamentos en ias cantidades establecidas en el anexo 1. el cual hace parte integral del contrato. Para la ESE Pasto Salud</v>
          </cell>
          <cell r="J696">
            <v>3</v>
          </cell>
          <cell r="K696" t="str">
            <v>$1.091.827.836</v>
          </cell>
          <cell r="L696">
            <v>45897</v>
          </cell>
          <cell r="M696">
            <v>45991</v>
          </cell>
          <cell r="N696" t="str">
            <v>NENA DEL CARMEN RAMIREZ RAMIREZ</v>
          </cell>
          <cell r="O696">
            <v>30732589</v>
          </cell>
          <cell r="P696" t="str">
            <v>administracion@ramedicas.com</v>
          </cell>
          <cell r="Q696">
            <v>45897</v>
          </cell>
          <cell r="R696" t="str">
            <v>ANDERSON MEJIA</v>
          </cell>
          <cell r="U696" t="str">
            <v>CELEBRADO</v>
          </cell>
          <cell r="W696" t="str">
            <v>2025-0377</v>
          </cell>
          <cell r="X696" t="str">
            <v>2025-1210</v>
          </cell>
          <cell r="AJ696">
            <v>2</v>
          </cell>
          <cell r="AK696">
            <v>0</v>
          </cell>
          <cell r="AL696">
            <v>2</v>
          </cell>
          <cell r="AM696" t="str">
            <v>$1.091.827.836</v>
          </cell>
        </row>
        <row r="697">
          <cell r="A697" t="str">
            <v>696-2025</v>
          </cell>
          <cell r="B697" t="str">
            <v>PRESTACION DE SERVICIOS</v>
          </cell>
          <cell r="C697" t="str">
            <v xml:space="preserve"> FUNDACIÓN CALIDAD DE
VIDA Y ESPERANZA</v>
          </cell>
          <cell r="D697" t="str">
            <v>NIT</v>
          </cell>
          <cell r="E697">
            <v>900994364</v>
          </cell>
          <cell r="F697">
            <v>5</v>
          </cell>
          <cell r="G697" t="str">
            <v>CONTRATACION DIRECTA</v>
          </cell>
          <cell r="H697">
            <v>2</v>
          </cell>
          <cell r="I697" t="str">
            <v>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v>
          </cell>
          <cell r="J697">
            <v>1</v>
          </cell>
          <cell r="K697" t="str">
            <v>$605.000.000</v>
          </cell>
          <cell r="L697">
            <v>45897</v>
          </cell>
          <cell r="M697">
            <v>46019</v>
          </cell>
          <cell r="N697" t="str">
            <v xml:space="preserve">	JUAN CARLOS MERA GUERRERO</v>
          </cell>
          <cell r="O697">
            <v>13016581</v>
          </cell>
          <cell r="P697" t="str">
            <v>echavezvallejo@gmail.com</v>
          </cell>
          <cell r="Q697">
            <v>45897</v>
          </cell>
          <cell r="R697" t="str">
            <v>ELIANA BENAVIDES</v>
          </cell>
          <cell r="U697" t="str">
            <v>CELEBRADO</v>
          </cell>
          <cell r="W697" t="str">
            <v>2025-0420</v>
          </cell>
          <cell r="X697" t="str">
            <v>2025-1211</v>
          </cell>
          <cell r="AJ697">
            <v>2</v>
          </cell>
          <cell r="AK697">
            <v>0</v>
          </cell>
          <cell r="AL697">
            <v>2</v>
          </cell>
          <cell r="AM697" t="str">
            <v>$605.000.000</v>
          </cell>
        </row>
        <row r="698">
          <cell r="A698" t="str">
            <v>697-2025</v>
          </cell>
          <cell r="B698" t="str">
            <v>SUMINISTROS</v>
          </cell>
          <cell r="C698" t="str">
            <v>DISTRICENG HOSPITALARIOS S.A.S.</v>
          </cell>
          <cell r="D698" t="str">
            <v>NIT</v>
          </cell>
          <cell r="E698">
            <v>901721826</v>
          </cell>
          <cell r="F698">
            <v>9</v>
          </cell>
          <cell r="G698" t="str">
            <v>BIONEXO</v>
          </cell>
          <cell r="H698">
            <v>2</v>
          </cell>
          <cell r="I698" t="str">
            <v xml:space="preserve">El contratista se obliga al suministro de los medicamentos en las cantidades establecidas en el anexo 1, el cual hace parte integral del contrato. Para la ESE Pasto Salud </v>
          </cell>
          <cell r="J698">
            <v>3</v>
          </cell>
          <cell r="K698" t="str">
            <v>$6.170.210</v>
          </cell>
          <cell r="L698">
            <v>45897</v>
          </cell>
          <cell r="M698">
            <v>45991</v>
          </cell>
          <cell r="N698" t="str">
            <v>NENA DEL CARMEN RAMIREZ RAMIREZ</v>
          </cell>
          <cell r="O698">
            <v>30732589</v>
          </cell>
          <cell r="P698" t="str">
            <v>contabilidad.districeng@gmail.com</v>
          </cell>
          <cell r="Q698">
            <v>45897</v>
          </cell>
          <cell r="R698" t="str">
            <v>ANDERSON MEJIA</v>
          </cell>
          <cell r="U698" t="str">
            <v>CELEBRADO</v>
          </cell>
          <cell r="W698" t="str">
            <v>2025-0377</v>
          </cell>
          <cell r="X698" t="str">
            <v>2025-1212</v>
          </cell>
          <cell r="AJ698">
            <v>2</v>
          </cell>
          <cell r="AK698">
            <v>0</v>
          </cell>
          <cell r="AL698">
            <v>2</v>
          </cell>
          <cell r="AM698" t="str">
            <v>$6.170.210</v>
          </cell>
        </row>
        <row r="699">
          <cell r="A699" t="str">
            <v>698-2025</v>
          </cell>
          <cell r="B699" t="str">
            <v>PRESTACION DE SERVICIOS</v>
          </cell>
          <cell r="C699" t="str">
            <v>ADGESTHAL EMPRESA DE SERVICIOS TEMPORALES SAS</v>
          </cell>
          <cell r="D699" t="str">
            <v>NIT</v>
          </cell>
          <cell r="E699">
            <v>900499076</v>
          </cell>
          <cell r="F699">
            <v>6</v>
          </cell>
          <cell r="G699" t="str">
            <v>CONTRATACION DIRECTA</v>
          </cell>
          <cell r="H699">
            <v>2</v>
          </cell>
          <cell r="I699" t="str">
            <v>Prestación de servicios de apoyo a la gestión a través de profesionales, tecnólogos, técnicos y de apoyos para el desarrollo del PROCESO DEATENCIÓN AL CLIENTE ASISTENCIAL en los servicios deatención ambulatoria, urgencias, hospitalización, quirófanos, apoyo diagnóstico y el PROCESO DE APOYO ADMINISTRATIVO (gerencia de la información y comunicación, ambiente fisico, gestión de la tecnología) en las sedes asistenciales, sede administrativa, ambulancias y unidades móviles que conforman la red de prestación de servicios de la Empresa Social del Estado Pasto Salud E.S.E.</v>
          </cell>
          <cell r="J699">
            <v>1</v>
          </cell>
          <cell r="K699" t="str">
            <v>$6.378.000.000</v>
          </cell>
          <cell r="L699">
            <v>45901</v>
          </cell>
          <cell r="M699">
            <v>46022</v>
          </cell>
          <cell r="N699" t="str">
            <v xml:space="preserve">	ANGELA DANIELA RODRIGUEZ GOYES</v>
          </cell>
          <cell r="O699">
            <v>1085283617</v>
          </cell>
          <cell r="P699" t="str">
            <v xml:space="preserve">adgesthalsas@gmail.com. </v>
          </cell>
          <cell r="Q699">
            <v>45901</v>
          </cell>
          <cell r="R699" t="str">
            <v>JUAN GOMEZ</v>
          </cell>
          <cell r="U699" t="str">
            <v>CELEBRADO</v>
          </cell>
          <cell r="W699" t="str">
            <v>2205-0412</v>
          </cell>
          <cell r="X699" t="str">
            <v>2025-1215</v>
          </cell>
          <cell r="AJ699">
            <v>2</v>
          </cell>
          <cell r="AK699">
            <v>0</v>
          </cell>
          <cell r="AL699">
            <v>2</v>
          </cell>
          <cell r="AM699" t="str">
            <v>$6.378.000.000</v>
          </cell>
        </row>
        <row r="700">
          <cell r="A700" t="str">
            <v>699-2025</v>
          </cell>
          <cell r="B700" t="str">
            <v>SUMINISTROS</v>
          </cell>
          <cell r="C700" t="str">
            <v>ADMINISTRACIÓN COOPERATIVA DE ENTIDADES DE SALUD DEL TOLIMA  COODESTOL.</v>
          </cell>
          <cell r="D700" t="str">
            <v>NIT</v>
          </cell>
          <cell r="E700">
            <v>800250023</v>
          </cell>
          <cell r="F700">
            <v>3</v>
          </cell>
          <cell r="G700" t="str">
            <v>BIONEXO</v>
          </cell>
          <cell r="H700">
            <v>2</v>
          </cell>
          <cell r="I700" t="str">
            <v>El contratistata se obliga al suministro de los medicamentos en las cantidades establecidas en el anexo 1. el cual hace parte integral del contrato para la ESE Pasto Salud y se detallan a continuación</v>
          </cell>
          <cell r="J700">
            <v>3</v>
          </cell>
          <cell r="K700" t="str">
            <v>$50.135.014</v>
          </cell>
          <cell r="L700">
            <v>45901</v>
          </cell>
          <cell r="M700">
            <v>45991</v>
          </cell>
          <cell r="N700" t="str">
            <v>NENA DEL CARMEN RAMIREZ RAMIREZ</v>
          </cell>
          <cell r="O700">
            <v>30732589</v>
          </cell>
          <cell r="P700" t="str">
            <v>gerencia@coodestol.com</v>
          </cell>
          <cell r="Q700">
            <v>45901</v>
          </cell>
          <cell r="R700" t="str">
            <v>ELIANA BENAVIDES</v>
          </cell>
          <cell r="U700" t="str">
            <v>CELEBRADO</v>
          </cell>
          <cell r="W700" t="str">
            <v>2025-0377</v>
          </cell>
          <cell r="X700" t="str">
            <v>2025-1216</v>
          </cell>
          <cell r="AJ700">
            <v>2</v>
          </cell>
          <cell r="AK700">
            <v>0</v>
          </cell>
          <cell r="AL700">
            <v>2</v>
          </cell>
          <cell r="AM700" t="str">
            <v>$50.135.014</v>
          </cell>
        </row>
        <row r="701">
          <cell r="A701" t="str">
            <v>700-2025</v>
          </cell>
          <cell r="B701" t="str">
            <v>PRESTACION DE SERVICIOS</v>
          </cell>
          <cell r="C701" t="str">
            <v>ANGELA GABRIELA HERNÁNDEZ TIMARAN,</v>
          </cell>
          <cell r="D701" t="str">
            <v>CC</v>
          </cell>
          <cell r="E701">
            <v>1085345056</v>
          </cell>
          <cell r="F701">
            <v>3</v>
          </cell>
          <cell r="G701" t="str">
            <v>CONTRATACION DIRECTA</v>
          </cell>
          <cell r="H701">
            <v>1</v>
          </cell>
          <cell r="I701" t="str">
            <v>El contratista se compromete para co la Empresa Social del Estado Pasto Salud ESE, a prestar sus servicios técnicos para apoyar las actividades que se adelantan en la oficina asesora jurídica de la entidad, darico aplicabilidad a la tabla de retención documental y organización de los documentos de archivo.</v>
          </cell>
          <cell r="J701">
            <v>1</v>
          </cell>
          <cell r="K701" t="str">
            <v>$6.592.000</v>
          </cell>
          <cell r="L701">
            <v>45901</v>
          </cell>
          <cell r="M701">
            <v>46022</v>
          </cell>
          <cell r="N701" t="str">
            <v>CARLOS ERNESTO CHAVES BRAVO</v>
          </cell>
          <cell r="O701">
            <v>12982923</v>
          </cell>
          <cell r="P701" t="str">
            <v>angelitas382@qmail.com.</v>
          </cell>
          <cell r="Q701">
            <v>45901</v>
          </cell>
          <cell r="R701" t="str">
            <v>RODRIGO  ROSERO</v>
          </cell>
          <cell r="U701" t="str">
            <v>CELEBRADO</v>
          </cell>
          <cell r="W701" t="str">
            <v>2025-0440</v>
          </cell>
          <cell r="X701" t="str">
            <v>2025-1217</v>
          </cell>
          <cell r="AJ701">
            <v>2</v>
          </cell>
          <cell r="AK701">
            <v>0</v>
          </cell>
          <cell r="AL701">
            <v>2</v>
          </cell>
          <cell r="AM701" t="str">
            <v>$6.592.000</v>
          </cell>
        </row>
        <row r="702">
          <cell r="A702" t="str">
            <v>701-2025</v>
          </cell>
          <cell r="B702" t="str">
            <v>PRESTACION DE SERVICIOS</v>
          </cell>
          <cell r="C702" t="str">
            <v>JOSE FERNANDO MORA MONTENEGRO</v>
          </cell>
          <cell r="D702" t="str">
            <v>CC</v>
          </cell>
          <cell r="E702">
            <v>87215085</v>
          </cell>
          <cell r="F702">
            <v>6</v>
          </cell>
          <cell r="G702" t="str">
            <v>CONTRATACION DIRECTA</v>
          </cell>
          <cell r="H702">
            <v>1</v>
          </cell>
          <cell r="I702" t="str">
            <v>Prestar los servicios profesionales como Ingeniero de Sistemas para la Empresa Social del Estado Pasto Salud E.S.E</v>
          </cell>
          <cell r="J702">
            <v>1</v>
          </cell>
          <cell r="K702" t="str">
            <v>$14.763.708</v>
          </cell>
          <cell r="L702">
            <v>45901</v>
          </cell>
          <cell r="M702">
            <v>46022</v>
          </cell>
          <cell r="N702" t="str">
            <v xml:space="preserve">	IVAN RODRIGO IBARRA MUÑOZ</v>
          </cell>
          <cell r="O702">
            <v>87248313</v>
          </cell>
          <cell r="P702" t="str">
            <v>josealone@gmail.com</v>
          </cell>
          <cell r="Q702">
            <v>45901</v>
          </cell>
          <cell r="R702" t="str">
            <v>ELIANA BENAVIDES</v>
          </cell>
          <cell r="U702" t="str">
            <v>CELEBRADO</v>
          </cell>
          <cell r="W702" t="str">
            <v>2025-0431</v>
          </cell>
          <cell r="X702" t="str">
            <v>2025-1218</v>
          </cell>
          <cell r="AJ702">
            <v>2</v>
          </cell>
          <cell r="AK702">
            <v>0</v>
          </cell>
          <cell r="AL702">
            <v>2</v>
          </cell>
          <cell r="AM702" t="str">
            <v>$14.763.708</v>
          </cell>
        </row>
        <row r="703">
          <cell r="A703" t="str">
            <v>702-2025</v>
          </cell>
          <cell r="B703" t="str">
            <v>PRESTACION DE SERVICIOS</v>
          </cell>
          <cell r="C703" t="str">
            <v>JORGE HERNANDO REVELO GUERRERO</v>
          </cell>
          <cell r="D703" t="str">
            <v>CC</v>
          </cell>
          <cell r="E703">
            <v>12983571</v>
          </cell>
          <cell r="F703">
            <v>5</v>
          </cell>
          <cell r="G703" t="str">
            <v>CONTRATACION DIRECTA</v>
          </cell>
          <cell r="H703">
            <v>1</v>
          </cell>
          <cell r="I703" t="str">
            <v>Prestar servicios profesionales como administrador de empresas en las diferentes actividades que se adelantan en la oficina de suministros de la Empresa Social Del Estado Pasto Salud E.S.E.</v>
          </cell>
          <cell r="J703">
            <v>1</v>
          </cell>
          <cell r="K703" t="str">
            <v>$14.763.688</v>
          </cell>
          <cell r="L703">
            <v>45901</v>
          </cell>
          <cell r="M703">
            <v>46022</v>
          </cell>
          <cell r="N703" t="str">
            <v>ANA PATRICIA CAJIGAS RUBIO</v>
          </cell>
          <cell r="O703">
            <v>36759470</v>
          </cell>
          <cell r="P703" t="str">
            <v>jorevelo 1965@gmail.com</v>
          </cell>
          <cell r="Q703">
            <v>45901</v>
          </cell>
          <cell r="R703" t="str">
            <v>ANDERSON MEJIA</v>
          </cell>
          <cell r="U703" t="str">
            <v>CELEBRADO</v>
          </cell>
          <cell r="W703" t="str">
            <v>2025-0448</v>
          </cell>
          <cell r="X703" t="str">
            <v>2025-1219</v>
          </cell>
          <cell r="AJ703">
            <v>2</v>
          </cell>
          <cell r="AK703">
            <v>0</v>
          </cell>
          <cell r="AL703">
            <v>2</v>
          </cell>
          <cell r="AM703" t="str">
            <v>$14.763.688</v>
          </cell>
        </row>
        <row r="704">
          <cell r="A704" t="str">
            <v>703-2025</v>
          </cell>
          <cell r="B704" t="str">
            <v>PRESTACION DE SERVICIOS</v>
          </cell>
          <cell r="C704" t="str">
            <v>ELIANA VERÓNICA
BENAVIDES PORTILLO,</v>
          </cell>
          <cell r="D704" t="str">
            <v>CC</v>
          </cell>
          <cell r="E704">
            <v>1089846274</v>
          </cell>
          <cell r="F704">
            <v>7</v>
          </cell>
          <cell r="G704" t="str">
            <v>CONTRATACION DIRECTA</v>
          </cell>
          <cell r="H704">
            <v>1</v>
          </cell>
          <cell r="I704" t="str">
            <v xml:space="preserve"> LA CONTRATISTA SE COMPROMETE PARA CON LA EMPRESA SOCIAL DEL ESTADO PASTO SALUD E.S.E.. A PRESTAR SUS SERVICIOS PROFESIONALES COMO ABOGADA, PARA APOYAR LAS DIFERENTES ACTIVIDADES JURÍDICAS QUE SE ADELANTEN EN LA OFICINA ASESORA JURÍDICA.</v>
          </cell>
          <cell r="J704">
            <v>1</v>
          </cell>
          <cell r="K704" t="str">
            <v>$14.763.692</v>
          </cell>
          <cell r="L704">
            <v>45901</v>
          </cell>
          <cell r="M704">
            <v>46022</v>
          </cell>
          <cell r="N704" t="str">
            <v>CARLOS ERNESTO CHAVES BRAVO</v>
          </cell>
          <cell r="O704">
            <v>12982923</v>
          </cell>
          <cell r="P704" t="str">
            <v>eliana.benavidesp@gmail.com</v>
          </cell>
          <cell r="Q704">
            <v>45901</v>
          </cell>
          <cell r="R704" t="str">
            <v>ELIANA BENAVIDES</v>
          </cell>
          <cell r="U704" t="str">
            <v>CELEBRADO</v>
          </cell>
          <cell r="W704" t="str">
            <v>2025-0442</v>
          </cell>
          <cell r="X704" t="str">
            <v>2025-1220</v>
          </cell>
          <cell r="AJ704">
            <v>2</v>
          </cell>
          <cell r="AK704">
            <v>0</v>
          </cell>
          <cell r="AL704">
            <v>2</v>
          </cell>
          <cell r="AM704" t="str">
            <v>$14.763.692</v>
          </cell>
        </row>
        <row r="705">
          <cell r="A705" t="str">
            <v>704-2025</v>
          </cell>
          <cell r="B705" t="str">
            <v>PRESTACION DE SERVICIOS</v>
          </cell>
          <cell r="C705" t="str">
            <v>OSCAR FERNANDO SANTACRUZ GRIJALBA</v>
          </cell>
          <cell r="D705" t="str">
            <v>CC</v>
          </cell>
          <cell r="E705">
            <v>12754853</v>
          </cell>
          <cell r="F705">
            <v>5</v>
          </cell>
          <cell r="G705" t="str">
            <v>CONTRATACION DIRECTA</v>
          </cell>
          <cell r="H705">
            <v>1</v>
          </cell>
          <cell r="I705" t="str">
            <v xml:space="preserve"> PRESTAR SUS SERVICIOS PROFESIONALES DE APOYO EN LA EJECUCIÓN DEL SISTEMA DE GESTIÓN DE SEGURIDAD Y SALUD EN EL TRABAJO, Y DEMÁS ACTIVIDADES QUE SE ADELANTAN EN LA EMPRESA SOCIAL DEL ESTADO PASTO SALUD E.S.E.</v>
          </cell>
          <cell r="J705">
            <v>1</v>
          </cell>
          <cell r="K705" t="str">
            <v>$13.410.361</v>
          </cell>
          <cell r="L705">
            <v>45901</v>
          </cell>
          <cell r="M705">
            <v>46010</v>
          </cell>
          <cell r="N705" t="str">
            <v>JUAN PABLO LLANOS</v>
          </cell>
          <cell r="O705">
            <v>17658216</v>
          </cell>
          <cell r="P705" t="str">
            <v xml:space="preserve"> Oscarfsantacruz777@gmail.com</v>
          </cell>
          <cell r="Q705">
            <v>45901</v>
          </cell>
          <cell r="R705" t="str">
            <v>JUAN GOMEZ</v>
          </cell>
          <cell r="U705" t="str">
            <v>CELEBRADO</v>
          </cell>
          <cell r="W705" t="str">
            <v>2025-0437</v>
          </cell>
          <cell r="X705" t="str">
            <v>2025-1221</v>
          </cell>
          <cell r="AJ705">
            <v>2</v>
          </cell>
          <cell r="AK705">
            <v>0</v>
          </cell>
          <cell r="AL705">
            <v>2</v>
          </cell>
          <cell r="AM705" t="str">
            <v>$13.410.361</v>
          </cell>
        </row>
        <row r="706">
          <cell r="A706" t="str">
            <v>705-2025</v>
          </cell>
          <cell r="B706" t="str">
            <v>PRESTACION DE SERVICIOS</v>
          </cell>
          <cell r="C706" t="str">
            <v>LIZETH CAICEDO CHAVES</v>
          </cell>
          <cell r="D706" t="str">
            <v>CC</v>
          </cell>
          <cell r="E706">
            <v>1020817218</v>
          </cell>
          <cell r="F706">
            <v>1</v>
          </cell>
          <cell r="G706" t="str">
            <v>CONTRATACION DIRECTA</v>
          </cell>
          <cell r="H706">
            <v>1</v>
          </cell>
          <cell r="I706" t="str">
            <v xml:space="preserve">PRESTAR SERVICIOS PROFESIONALES DE ABOGADO EN LA DEPENDENCIA DE SECRETARIA GENERAL DE LA EMPRESA SOCIAL DEL ESTADO PASTO SALUD E.S.E. </v>
          </cell>
          <cell r="J706">
            <v>1</v>
          </cell>
          <cell r="K706" t="str">
            <v>$13.410.361</v>
          </cell>
          <cell r="L706">
            <v>45901</v>
          </cell>
          <cell r="M706">
            <v>46010</v>
          </cell>
          <cell r="N706" t="str">
            <v>JUAN PABLO LLANOS</v>
          </cell>
          <cell r="O706">
            <v>17658216</v>
          </cell>
          <cell r="P706" t="str">
            <v xml:space="preserve">lizethcaicedo12@gmail.com </v>
          </cell>
          <cell r="Q706">
            <v>45901</v>
          </cell>
          <cell r="R706" t="str">
            <v>JUAN GOMEZ</v>
          </cell>
          <cell r="U706" t="str">
            <v>CELEBRADO</v>
          </cell>
          <cell r="W706" t="str">
            <v>2025-0436</v>
          </cell>
          <cell r="X706" t="str">
            <v>2025-1222</v>
          </cell>
          <cell r="AJ706">
            <v>2</v>
          </cell>
          <cell r="AK706">
            <v>0</v>
          </cell>
          <cell r="AL706">
            <v>2</v>
          </cell>
          <cell r="AM706" t="str">
            <v>$13.410.361</v>
          </cell>
        </row>
        <row r="707">
          <cell r="A707" t="str">
            <v>706-2025</v>
          </cell>
          <cell r="B707" t="str">
            <v>PRESTACION DE SERVICIOS</v>
          </cell>
          <cell r="C707" t="str">
            <v>VERONICA SOFIA HUERTAS ARCINIEGAS</v>
          </cell>
          <cell r="D707" t="str">
            <v>CC</v>
          </cell>
          <cell r="E707">
            <v>1193202097</v>
          </cell>
          <cell r="F707">
            <v>3</v>
          </cell>
          <cell r="G707" t="str">
            <v>CONTRATACION DIRECTA</v>
          </cell>
          <cell r="H707">
            <v>1</v>
          </cell>
          <cell r="I707"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07">
            <v>1</v>
          </cell>
          <cell r="K707" t="str">
            <v>$31.200.000</v>
          </cell>
          <cell r="L707">
            <v>45901</v>
          </cell>
          <cell r="M707">
            <v>46022</v>
          </cell>
          <cell r="N707" t="str">
            <v>MARY ALEXANDRA ROSERO BENAVIDES</v>
          </cell>
          <cell r="O707">
            <v>43624414</v>
          </cell>
          <cell r="P707" t="str">
            <v>veronicaahs01@gmail.com</v>
          </cell>
          <cell r="Q707">
            <v>45901</v>
          </cell>
          <cell r="R707" t="str">
            <v>JUAN GOMEZ</v>
          </cell>
          <cell r="U707" t="str">
            <v>CELEBRADO</v>
          </cell>
          <cell r="W707" t="str">
            <v>2025-0419</v>
          </cell>
          <cell r="X707" t="str">
            <v>2025-1225</v>
          </cell>
          <cell r="AJ707">
            <v>2</v>
          </cell>
          <cell r="AK707">
            <v>0</v>
          </cell>
          <cell r="AL707">
            <v>2</v>
          </cell>
          <cell r="AM707" t="str">
            <v>$31.200.000</v>
          </cell>
        </row>
        <row r="708">
          <cell r="A708" t="str">
            <v>707-2025</v>
          </cell>
          <cell r="B708" t="str">
            <v>PRESTACION DE SERVICIOS</v>
          </cell>
          <cell r="C708" t="str">
            <v>TANIA ESTEFANIA BENITEZ MELO</v>
          </cell>
          <cell r="D708" t="str">
            <v>CC</v>
          </cell>
          <cell r="E708">
            <v>1085947462</v>
          </cell>
          <cell r="F708">
            <v>4</v>
          </cell>
          <cell r="G708" t="str">
            <v>CONTRATACION DIRECTA</v>
          </cell>
          <cell r="H708">
            <v>1</v>
          </cell>
          <cell r="I708" t="str">
            <v>Prestación de servicios de un profesional en Ingeniería de Sistemas para la generación, gestión de datos y análisis de lainformación para la Empresa Social del Estado Pasto Salud E.S.E.</v>
          </cell>
          <cell r="J708">
            <v>1</v>
          </cell>
          <cell r="K708" t="str">
            <v>$14.763.708</v>
          </cell>
          <cell r="L708">
            <v>45901</v>
          </cell>
          <cell r="M708">
            <v>46022</v>
          </cell>
          <cell r="N708" t="str">
            <v xml:space="preserve">	IVAN RODRIGO IBARRA MUÑOZ</v>
          </cell>
          <cell r="O708">
            <v>87248313</v>
          </cell>
          <cell r="P708" t="str">
            <v>beniteztaniae@gmail.com</v>
          </cell>
          <cell r="Q708">
            <v>45901</v>
          </cell>
          <cell r="R708" t="str">
            <v>ANDERSON MEJIA</v>
          </cell>
          <cell r="U708" t="str">
            <v>CELEBRADO</v>
          </cell>
          <cell r="W708" t="str">
            <v>2025-0432</v>
          </cell>
          <cell r="X708" t="str">
            <v>2025-1226</v>
          </cell>
          <cell r="AJ708">
            <v>2</v>
          </cell>
          <cell r="AK708">
            <v>0</v>
          </cell>
          <cell r="AL708">
            <v>2</v>
          </cell>
          <cell r="AM708" t="str">
            <v>$14.763.708</v>
          </cell>
        </row>
        <row r="709">
          <cell r="A709" t="str">
            <v>708-2025</v>
          </cell>
          <cell r="B709" t="str">
            <v>PRESTACION DE SERVICIOS</v>
          </cell>
          <cell r="C709" t="str">
            <v>GUILLERMO SANTIAGO
PEREZ SALAZAR</v>
          </cell>
          <cell r="D709" t="str">
            <v>CC</v>
          </cell>
          <cell r="E709">
            <v>1085347025</v>
          </cell>
          <cell r="F709">
            <v>4</v>
          </cell>
          <cell r="G709" t="str">
            <v>CONTRATACION DIRECTA</v>
          </cell>
          <cell r="H709">
            <v>1</v>
          </cell>
          <cell r="I709" t="str">
            <v xml:space="preserve">Prestación de servicios como ingeniero de sistemas para la gestión, validación y cargue de los RIPS en formato JSON ante el Ministerio de Salud y ante las plataformas de las EPS, garantizando el cumplimiento de la normatividad vigente, la calidad y oportunidad de la información, así como la adecuada radicación de cuentas médicas de Pasto Salud ES.E. </v>
          </cell>
          <cell r="J709">
            <v>1</v>
          </cell>
          <cell r="K709" t="str">
            <v>$14.763.708</v>
          </cell>
          <cell r="L709">
            <v>45901</v>
          </cell>
          <cell r="M709">
            <v>46022</v>
          </cell>
          <cell r="N709" t="str">
            <v xml:space="preserve">	IVAN RODRIGO IBARRA MUÑOZ</v>
          </cell>
          <cell r="O709">
            <v>87248313</v>
          </cell>
          <cell r="P709" t="str">
            <v>santico3028@gmail.com</v>
          </cell>
          <cell r="Q709">
            <v>45901</v>
          </cell>
          <cell r="R709" t="str">
            <v>ELIANA BENAVIDES</v>
          </cell>
          <cell r="U709" t="str">
            <v>CELEBRADO</v>
          </cell>
          <cell r="W709" t="str">
            <v>2025-0453</v>
          </cell>
          <cell r="X709" t="str">
            <v>2025-1227</v>
          </cell>
          <cell r="AJ709">
            <v>2</v>
          </cell>
          <cell r="AK709">
            <v>0</v>
          </cell>
          <cell r="AL709">
            <v>2</v>
          </cell>
          <cell r="AM709" t="str">
            <v>$14.763.708</v>
          </cell>
        </row>
        <row r="710">
          <cell r="A710" t="str">
            <v>709-2025</v>
          </cell>
          <cell r="B710" t="str">
            <v>PRESTACION DE SERVICIOS</v>
          </cell>
          <cell r="C710" t="str">
            <v>FUNDACIÓN JARDÍN DE
ESPERANZAS</v>
          </cell>
          <cell r="D710" t="str">
            <v>NIT</v>
          </cell>
          <cell r="E710">
            <v>900492917</v>
          </cell>
          <cell r="F710">
            <v>3</v>
          </cell>
          <cell r="G710" t="str">
            <v>CONTRATACION DIRECTA</v>
          </cell>
          <cell r="H710">
            <v>2</v>
          </cell>
          <cell r="I710" t="str">
            <v>Prestar los servicios de preparación, logística y distribución de dietas terapéuticas a pacientes hospitalizados y en observación, acorde a la orden médica y necesidades de cada paciente. en las sedes de la Empresa Social del Estado Pasto Salud ESE que presten estos servicios.</v>
          </cell>
          <cell r="J710">
            <v>1</v>
          </cell>
          <cell r="K710" t="str">
            <v>$262.000.000</v>
          </cell>
          <cell r="L710">
            <v>45901</v>
          </cell>
          <cell r="M710">
            <v>46022</v>
          </cell>
          <cell r="N710" t="str">
            <v>RODRIGO DE JESUS VITERI MORENO</v>
          </cell>
          <cell r="O710">
            <v>98390119</v>
          </cell>
          <cell r="P710" t="str">
            <v>fundaciónjdeelectronica@gmail.com</v>
          </cell>
          <cell r="Q710">
            <v>45901</v>
          </cell>
          <cell r="R710" t="str">
            <v>RODRIGO  ROSERO</v>
          </cell>
          <cell r="U710" t="str">
            <v>CELEBRADO</v>
          </cell>
          <cell r="W710" t="str">
            <v>2025-0395</v>
          </cell>
          <cell r="X710" t="str">
            <v>2025-1228</v>
          </cell>
          <cell r="AJ710">
            <v>2</v>
          </cell>
          <cell r="AK710">
            <v>0</v>
          </cell>
          <cell r="AL710">
            <v>2</v>
          </cell>
          <cell r="AM710" t="str">
            <v>$262.000.000</v>
          </cell>
        </row>
        <row r="711">
          <cell r="A711" t="str">
            <v>710-2025</v>
          </cell>
          <cell r="B711" t="str">
            <v>PRESTACION DE SERVICIOS</v>
          </cell>
          <cell r="C711" t="str">
            <v>FERNANDO MARTINEZ UREÑA</v>
          </cell>
          <cell r="D711" t="str">
            <v>CC</v>
          </cell>
          <cell r="E711">
            <v>16838648</v>
          </cell>
          <cell r="F711">
            <v>8</v>
          </cell>
          <cell r="G711" t="str">
            <v>CONTRATACION DIRECTA</v>
          </cell>
          <cell r="H711">
            <v>1</v>
          </cell>
          <cell r="I711" t="str">
            <v>Prestación de servicios profesionales en el área jurídica, orientados a la representación judicial y extrajudicial Integral de la entidad, así como también la asesoría jurídica especializada para la Empresa Social del Estado Pasto E.S.E., por parte de profesionales en derecho.</v>
          </cell>
          <cell r="J711">
            <v>1</v>
          </cell>
          <cell r="K711" t="str">
            <v>$52.008.540</v>
          </cell>
          <cell r="L711">
            <v>45901</v>
          </cell>
          <cell r="M711">
            <v>46010</v>
          </cell>
          <cell r="N711" t="str">
            <v>CARLOS ERNESTO CHAVES BRAVO</v>
          </cell>
          <cell r="O711">
            <v>12982923</v>
          </cell>
          <cell r="P711" t="str">
            <v>ferchomaure@hotmail.com</v>
          </cell>
          <cell r="Q711">
            <v>45901</v>
          </cell>
          <cell r="R711" t="str">
            <v>ELIANA BENAVIDES</v>
          </cell>
          <cell r="U711" t="str">
            <v>CELEBRADO</v>
          </cell>
          <cell r="W711" t="str">
            <v>2025-0445</v>
          </cell>
          <cell r="X711" t="str">
            <v>2025-1229</v>
          </cell>
          <cell r="AJ711">
            <v>2</v>
          </cell>
          <cell r="AK711">
            <v>0</v>
          </cell>
          <cell r="AL711">
            <v>2</v>
          </cell>
          <cell r="AM711" t="str">
            <v>$52.008.540</v>
          </cell>
        </row>
        <row r="712">
          <cell r="A712" t="str">
            <v>711-2025</v>
          </cell>
          <cell r="B712" t="str">
            <v>PRESTACION DE SERVICIOS</v>
          </cell>
          <cell r="C712" t="str">
            <v>SOFIA ESMERALDA MEJIA ORTIZ</v>
          </cell>
          <cell r="D712" t="str">
            <v>CC</v>
          </cell>
          <cell r="E712">
            <v>1085336362</v>
          </cell>
          <cell r="F712">
            <v>4</v>
          </cell>
          <cell r="G712" t="str">
            <v>CONTRATACION DIRECTA</v>
          </cell>
          <cell r="H712">
            <v>1</v>
          </cell>
          <cell r="I712"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12">
            <v>1</v>
          </cell>
          <cell r="K712" t="str">
            <v>$31.200.000</v>
          </cell>
          <cell r="L712">
            <v>45901</v>
          </cell>
          <cell r="M712">
            <v>46022</v>
          </cell>
          <cell r="N712" t="str">
            <v>RIGOBERTO MELO ZAMBRANO</v>
          </cell>
          <cell r="O712">
            <v>98333941</v>
          </cell>
          <cell r="P712" t="str">
            <v>sofiamejia.97@hotmail.com</v>
          </cell>
          <cell r="Q712">
            <v>45901</v>
          </cell>
          <cell r="R712" t="str">
            <v>ANDERSON MEJIA</v>
          </cell>
          <cell r="U712" t="str">
            <v>CELEBRADO</v>
          </cell>
          <cell r="W712" t="str">
            <v>2025-0419</v>
          </cell>
          <cell r="X712" t="str">
            <v>2025-1230</v>
          </cell>
          <cell r="AJ712">
            <v>2</v>
          </cell>
          <cell r="AK712">
            <v>0</v>
          </cell>
          <cell r="AL712">
            <v>2</v>
          </cell>
          <cell r="AM712" t="str">
            <v>$31.200.000</v>
          </cell>
        </row>
        <row r="713">
          <cell r="A713" t="str">
            <v>712-2025</v>
          </cell>
          <cell r="B713" t="str">
            <v>PRESTACION DE SERVICIOS</v>
          </cell>
          <cell r="C713" t="str">
            <v>MAURICIO JURADO CHAVES</v>
          </cell>
          <cell r="D713" t="str">
            <v>CC</v>
          </cell>
          <cell r="E713">
            <v>12751823</v>
          </cell>
          <cell r="F713">
            <v>0</v>
          </cell>
          <cell r="G713" t="str">
            <v>CONTRATACION DIRECTA</v>
          </cell>
          <cell r="H713">
            <v>1</v>
          </cell>
          <cell r="I713" t="str">
            <v>Prestar los Servicios como profesional como Diseñador Gráfico y Multimedia para la Empresa Social del Estado Pasto Salud E.S.E.</v>
          </cell>
          <cell r="J713">
            <v>1</v>
          </cell>
          <cell r="K713" t="str">
            <v>$13.410.368</v>
          </cell>
          <cell r="L713">
            <v>45901</v>
          </cell>
          <cell r="M713">
            <v>46010</v>
          </cell>
          <cell r="N713" t="str">
            <v xml:space="preserve">	IVAN RODRIGO IBARRA MUÑOZ</v>
          </cell>
          <cell r="O713">
            <v>87248313</v>
          </cell>
          <cell r="P713" t="str">
            <v>maojc82@gmail.com</v>
          </cell>
          <cell r="Q713">
            <v>45901</v>
          </cell>
          <cell r="R713" t="str">
            <v>ANDERSON MEJIA</v>
          </cell>
          <cell r="U713" t="str">
            <v>CELEBRADO</v>
          </cell>
          <cell r="W713" t="str">
            <v>2025-0451</v>
          </cell>
          <cell r="X713" t="str">
            <v>2025-1231</v>
          </cell>
          <cell r="AJ713">
            <v>2</v>
          </cell>
          <cell r="AK713">
            <v>0</v>
          </cell>
          <cell r="AL713">
            <v>2</v>
          </cell>
          <cell r="AM713" t="str">
            <v>$13.410.368</v>
          </cell>
        </row>
        <row r="714">
          <cell r="A714" t="str">
            <v>713-2025</v>
          </cell>
          <cell r="B714" t="str">
            <v>PRESTACION DE SERVICIOS</v>
          </cell>
          <cell r="C714" t="str">
            <v>LEONARDO RIASCOS FERNANDEZ</v>
          </cell>
          <cell r="D714" t="str">
            <v>CC</v>
          </cell>
          <cell r="E714">
            <v>1085302867</v>
          </cell>
          <cell r="F714">
            <v>5</v>
          </cell>
          <cell r="G714" t="str">
            <v>CONTRATACION DIRECTA</v>
          </cell>
          <cell r="H714">
            <v>1</v>
          </cell>
          <cell r="I714" t="str">
            <v>Prestar servicios de apoyo jurídico en cumplimiento de requisitos para judicatura, en las diferentes actividades que se adelantan en la oficina de suministros de la Empresa Social Del Estado Pasto Salud E.S.E.</v>
          </cell>
          <cell r="J714">
            <v>1</v>
          </cell>
          <cell r="K714" t="str">
            <v>$1.556.971</v>
          </cell>
          <cell r="L714">
            <v>45901</v>
          </cell>
          <cell r="M714">
            <v>45930</v>
          </cell>
          <cell r="N714" t="str">
            <v>ANA PATRICIA CAJIGAS RUBIO</v>
          </cell>
          <cell r="O714">
            <v>36759470</v>
          </cell>
          <cell r="P714" t="str">
            <v xml:space="preserve">LEONARDORIASCOSFERN@GMAIL.COM </v>
          </cell>
          <cell r="Q714">
            <v>45901</v>
          </cell>
          <cell r="R714" t="str">
            <v>ANDERSON MEJIA</v>
          </cell>
          <cell r="U714" t="str">
            <v>CELEBRADO</v>
          </cell>
          <cell r="W714" t="str">
            <v>2025-0449</v>
          </cell>
          <cell r="X714" t="str">
            <v>2025-1232</v>
          </cell>
          <cell r="AJ714">
            <v>2</v>
          </cell>
          <cell r="AK714">
            <v>0</v>
          </cell>
          <cell r="AL714">
            <v>3</v>
          </cell>
          <cell r="AM714" t="str">
            <v>$1.556.971</v>
          </cell>
        </row>
        <row r="715">
          <cell r="A715" t="str">
            <v>714-2025</v>
          </cell>
          <cell r="B715" t="str">
            <v>PRESTACION DE SERVICIOS</v>
          </cell>
          <cell r="C715" t="str">
            <v>MARIA DE LOS ANGELES ACOSTA ROSERO</v>
          </cell>
          <cell r="D715" t="str">
            <v>CC</v>
          </cell>
          <cell r="E715">
            <v>1193383306</v>
          </cell>
          <cell r="F715">
            <v>3</v>
          </cell>
          <cell r="G715" t="str">
            <v>CONTRATACION DIRECTA</v>
          </cell>
          <cell r="H715">
            <v>1</v>
          </cell>
          <cell r="I715" t="str">
            <v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715">
            <v>1</v>
          </cell>
          <cell r="K715" t="str">
            <v>$18.920.000</v>
          </cell>
          <cell r="L715">
            <v>45901</v>
          </cell>
          <cell r="M715">
            <v>46022</v>
          </cell>
          <cell r="N715" t="str">
            <v>DEYANIRA BADOS DAZA</v>
          </cell>
          <cell r="O715">
            <v>59836926</v>
          </cell>
          <cell r="P715" t="str">
            <v>maar010204@gmail.com</v>
          </cell>
          <cell r="Q715">
            <v>45901</v>
          </cell>
          <cell r="R715" t="str">
            <v>ANDERSON MEJIA</v>
          </cell>
          <cell r="U715" t="str">
            <v>CELEBRADO</v>
          </cell>
          <cell r="W715" t="str">
            <v>2025-0419</v>
          </cell>
          <cell r="X715" t="str">
            <v>2025-1233</v>
          </cell>
          <cell r="AJ715">
            <v>2</v>
          </cell>
          <cell r="AK715">
            <v>0</v>
          </cell>
          <cell r="AL715">
            <v>2</v>
          </cell>
          <cell r="AM715" t="str">
            <v>$18.920.000</v>
          </cell>
        </row>
        <row r="716">
          <cell r="A716" t="str">
            <v>715-2025</v>
          </cell>
          <cell r="B716" t="str">
            <v>PRESTACION DE SERVICIOS</v>
          </cell>
          <cell r="C716" t="str">
            <v>CATHERYN DANIELA ANDRADE MELO</v>
          </cell>
          <cell r="D716" t="str">
            <v>CC</v>
          </cell>
          <cell r="E716">
            <v>1233194452</v>
          </cell>
          <cell r="F716">
            <v>4</v>
          </cell>
          <cell r="G716" t="str">
            <v>CONTRATACION DIRECTA</v>
          </cell>
          <cell r="H716">
            <v>1</v>
          </cell>
          <cell r="I716" t="str">
            <v>prestar servicios como auxiliar jurídico, en las diferentes actividades que se adelantan en la oficina grupo de gestión del Talento Humano de la EMPRESA
SOCIAL DEL ESTADO PASTO SALUD E.S.E.</v>
          </cell>
          <cell r="J716">
            <v>1</v>
          </cell>
          <cell r="K716" t="str">
            <v>$5.656.995</v>
          </cell>
          <cell r="L716">
            <v>45901</v>
          </cell>
          <cell r="M716">
            <v>46010</v>
          </cell>
          <cell r="N716" t="str">
            <v xml:space="preserve">	ANGELA DANIELA RODRIGUEZ GOYES</v>
          </cell>
          <cell r="O716">
            <v>1085283617</v>
          </cell>
          <cell r="P716" t="str">
            <v>catherinandradem@gmail.com</v>
          </cell>
          <cell r="Q716">
            <v>45901</v>
          </cell>
          <cell r="R716" t="str">
            <v>ANDERSON MEJIA</v>
          </cell>
          <cell r="U716" t="str">
            <v>CELEBRADO</v>
          </cell>
          <cell r="W716" t="str">
            <v>2025-0447</v>
          </cell>
          <cell r="X716" t="str">
            <v>2025-1234</v>
          </cell>
          <cell r="AJ716">
            <v>2</v>
          </cell>
          <cell r="AK716">
            <v>0</v>
          </cell>
          <cell r="AL716">
            <v>2</v>
          </cell>
          <cell r="AM716" t="str">
            <v>$5.656.995</v>
          </cell>
        </row>
        <row r="717">
          <cell r="A717" t="str">
            <v>716-2025</v>
          </cell>
          <cell r="B717" t="str">
            <v>PRESTACION DE SERVICIOS</v>
          </cell>
          <cell r="C717" t="str">
            <v>CARLOS ALBERTO MAIGUAL ACHICANOY</v>
          </cell>
          <cell r="D717" t="str">
            <v>CC</v>
          </cell>
          <cell r="E717">
            <v>5278362</v>
          </cell>
          <cell r="F717">
            <v>3</v>
          </cell>
          <cell r="G717" t="str">
            <v>CONTRATACION DIRECTA</v>
          </cell>
          <cell r="H717">
            <v>1</v>
          </cell>
          <cell r="I717" t="str">
            <v>Prestación de servicios profesionales en el área jurídica, orientados a la representación judicial y extrajudicial Integral de la entidad, así como también la asesoría jurídica especializada para la Empresa Social del Estado Pasto E.S.E., por parte de profesionales en derecho.</v>
          </cell>
          <cell r="J717">
            <v>1</v>
          </cell>
          <cell r="K717" t="str">
            <v>$52.008.540</v>
          </cell>
          <cell r="L717">
            <v>45901</v>
          </cell>
          <cell r="M717">
            <v>46010</v>
          </cell>
          <cell r="N717" t="str">
            <v>CARLOS ERNESTO CHAVES BRAVO</v>
          </cell>
          <cell r="O717">
            <v>12982923</v>
          </cell>
          <cell r="P717" t="str">
            <v>carlosamaigualag@gmail.com.</v>
          </cell>
          <cell r="Q717">
            <v>45901</v>
          </cell>
          <cell r="R717" t="str">
            <v>ELIANA BENAVIDES</v>
          </cell>
          <cell r="U717" t="str">
            <v>CELEBRADO</v>
          </cell>
          <cell r="W717" t="str">
            <v>2025-0444</v>
          </cell>
          <cell r="X717" t="str">
            <v>2025-1235</v>
          </cell>
          <cell r="AJ717">
            <v>2</v>
          </cell>
          <cell r="AK717">
            <v>0</v>
          </cell>
          <cell r="AL717">
            <v>2</v>
          </cell>
          <cell r="AM717" t="str">
            <v>$52.008.540</v>
          </cell>
        </row>
        <row r="718">
          <cell r="A718" t="str">
            <v>717-2025</v>
          </cell>
          <cell r="B718" t="str">
            <v>PRESTACION DE SERVICIOS</v>
          </cell>
          <cell r="C718" t="str">
            <v>IVAN WILFREDO BURBANO PATIÑO</v>
          </cell>
          <cell r="D718" t="str">
            <v>CC</v>
          </cell>
          <cell r="E718">
            <v>12980114</v>
          </cell>
          <cell r="F718">
            <v>9</v>
          </cell>
          <cell r="G718" t="str">
            <v>CONTRATACION DIRECTA</v>
          </cell>
          <cell r="H718">
            <v>1</v>
          </cell>
          <cell r="I718" t="str">
            <v>Prestación de servicios profesionales dirigidos a apoyar la ejecución de auditorías internas y seguimientos establecidos en el Plan Anual de Auditorias que ejecuta la Oficina de Control Interno de Pasto Salud ESE vigencia 2025.</v>
          </cell>
          <cell r="J718">
            <v>1</v>
          </cell>
          <cell r="K718" t="str">
            <v>$14.763.696</v>
          </cell>
          <cell r="L718">
            <v>45901</v>
          </cell>
          <cell r="M718">
            <v>46022</v>
          </cell>
          <cell r="N718" t="str">
            <v xml:space="preserve">	JAIME ALBERTO SANTACRUZ SANTACRUZ</v>
          </cell>
          <cell r="O718">
            <v>19478798</v>
          </cell>
          <cell r="P718" t="str">
            <v xml:space="preserve"> ivanwbp15@gmail.com</v>
          </cell>
          <cell r="Q718">
            <v>45901</v>
          </cell>
          <cell r="R718" t="str">
            <v>ANDERSON MEJIA</v>
          </cell>
          <cell r="U718" t="str">
            <v>CELEBRADO</v>
          </cell>
          <cell r="W718" t="str">
            <v>2025-0455</v>
          </cell>
          <cell r="X718" t="str">
            <v>2025-1236</v>
          </cell>
          <cell r="AJ718">
            <v>2</v>
          </cell>
          <cell r="AK718">
            <v>0</v>
          </cell>
          <cell r="AL718">
            <v>2</v>
          </cell>
          <cell r="AM718" t="str">
            <v>$14.763.696</v>
          </cell>
        </row>
        <row r="719">
          <cell r="A719" t="str">
            <v>718-2025</v>
          </cell>
          <cell r="B719" t="str">
            <v>PRESTACION DE SERVICIOS</v>
          </cell>
          <cell r="C719" t="str">
            <v>YULI ANDREA MORAN
MAYA</v>
          </cell>
          <cell r="D719" t="str">
            <v>CC</v>
          </cell>
          <cell r="E719">
            <v>37081336</v>
          </cell>
          <cell r="F719">
            <v>0</v>
          </cell>
          <cell r="G719" t="str">
            <v>CONTRATACION DIRECTA</v>
          </cell>
          <cell r="H719">
            <v>1</v>
          </cell>
          <cell r="I719" t="str">
            <v>Prestación de servicios profesionales dirigidos a apoyar a los riesgos asistenciales y eventos adversos de la vigencia 2025, según lo establecido en el Plan Anual de Auditorias que ejecuta la Oficina de Control Interno de Pasto Salud ESE vigencia 2025.</v>
          </cell>
          <cell r="J719">
            <v>1</v>
          </cell>
          <cell r="K719" t="str">
            <v>$14.763.696</v>
          </cell>
          <cell r="L719">
            <v>45901</v>
          </cell>
          <cell r="M719">
            <v>46022</v>
          </cell>
          <cell r="N719" t="str">
            <v xml:space="preserve">	JAIME ALBERTO SANTACRUZ SANTACRUZ</v>
          </cell>
          <cell r="O719">
            <v>19478798</v>
          </cell>
          <cell r="P719" t="str">
            <v>andreamoranmaya@gmail.com</v>
          </cell>
          <cell r="Q719">
            <v>45901</v>
          </cell>
          <cell r="R719" t="str">
            <v>ELIANA BENAVIDES</v>
          </cell>
          <cell r="U719" t="str">
            <v>CELEBRADO</v>
          </cell>
          <cell r="W719" t="str">
            <v>2025-0454</v>
          </cell>
          <cell r="X719" t="str">
            <v>2025-1237</v>
          </cell>
          <cell r="AJ719">
            <v>2</v>
          </cell>
          <cell r="AK719">
            <v>0</v>
          </cell>
          <cell r="AL719">
            <v>2</v>
          </cell>
          <cell r="AM719" t="str">
            <v>$14.763.696</v>
          </cell>
        </row>
        <row r="720">
          <cell r="A720" t="str">
            <v>719-2025</v>
          </cell>
          <cell r="B720" t="str">
            <v>PRESTACION DE SERVICIOS</v>
          </cell>
          <cell r="C720" t="str">
            <v xml:space="preserve"> OSCAR GUILLERMO REVELO ENRIQUEZ</v>
          </cell>
          <cell r="D720" t="str">
            <v>CC</v>
          </cell>
          <cell r="E720">
            <v>1085282426</v>
          </cell>
          <cell r="F720">
            <v>3</v>
          </cell>
          <cell r="G720" t="str">
            <v>CONTRATACION DIRECTA</v>
          </cell>
          <cell r="H720">
            <v>1</v>
          </cell>
          <cell r="I720" t="str">
            <v>Prestar los servicios profesionales como Diseñador Gráfico y Multimedia en la Empresa
 Social del Estado Pasto Salud E.S.E</v>
          </cell>
          <cell r="J720">
            <v>1</v>
          </cell>
          <cell r="K720" t="str">
            <v>$13.410.368</v>
          </cell>
          <cell r="L720">
            <v>45901</v>
          </cell>
          <cell r="M720">
            <v>46010</v>
          </cell>
          <cell r="N720" t="str">
            <v xml:space="preserve">	IVAN RODRIGO IBARRA MUÑOZ</v>
          </cell>
          <cell r="O720">
            <v>87248313</v>
          </cell>
          <cell r="P720" t="str">
            <v xml:space="preserve"> oscarrvo@gmail.com.</v>
          </cell>
          <cell r="Q720">
            <v>45901</v>
          </cell>
          <cell r="R720" t="str">
            <v>RODRIGO  ROSERO</v>
          </cell>
          <cell r="U720" t="str">
            <v>CELEBRADO</v>
          </cell>
          <cell r="W720" t="str">
            <v>2025-0452</v>
          </cell>
          <cell r="X720" t="str">
            <v>2025-1238</v>
          </cell>
          <cell r="AJ720">
            <v>2</v>
          </cell>
          <cell r="AK720">
            <v>0</v>
          </cell>
          <cell r="AL720">
            <v>2</v>
          </cell>
          <cell r="AM720" t="str">
            <v>$13.410.368</v>
          </cell>
        </row>
        <row r="721">
          <cell r="A721" t="str">
            <v>720-2025</v>
          </cell>
          <cell r="B721" t="str">
            <v>PRESTACION DE SERVICIOS</v>
          </cell>
          <cell r="C721" t="str">
            <v>ANGELA ISABEL LUNA LEITON</v>
          </cell>
          <cell r="D721" t="str">
            <v>CC</v>
          </cell>
          <cell r="E721">
            <v>1085287596</v>
          </cell>
          <cell r="F721">
            <v>1</v>
          </cell>
          <cell r="G721" t="str">
            <v>CONTRATACION DIRECTA</v>
          </cell>
          <cell r="H721">
            <v>1</v>
          </cell>
          <cell r="I721" t="str">
            <v>Prestación de servicios profesionales dirigidos a apoyar la preparación y realización de informes obligatorios que por disposición legal debe presentar la Oficina de Control Interno de Pasto Salud E.S.E.</v>
          </cell>
          <cell r="J721">
            <v>1</v>
          </cell>
          <cell r="K721" t="str">
            <v>$14.763.696</v>
          </cell>
          <cell r="L721">
            <v>45901</v>
          </cell>
          <cell r="M721">
            <v>46022</v>
          </cell>
          <cell r="N721" t="str">
            <v xml:space="preserve">	JAIME ALBERTO SANTACRUZ SANTACRUZ</v>
          </cell>
          <cell r="O721">
            <v>19478798</v>
          </cell>
          <cell r="P721" t="str">
            <v>angeluna4@gmail.com.</v>
          </cell>
          <cell r="Q721">
            <v>45901</v>
          </cell>
          <cell r="R721" t="str">
            <v>ELIANA BENAVIDES</v>
          </cell>
          <cell r="U721" t="str">
            <v>CELEBRADO</v>
          </cell>
          <cell r="W721" t="str">
            <v>2025-0456</v>
          </cell>
          <cell r="X721" t="str">
            <v>2025-1239</v>
          </cell>
          <cell r="AJ721">
            <v>2</v>
          </cell>
          <cell r="AK721">
            <v>0</v>
          </cell>
          <cell r="AL721">
            <v>2</v>
          </cell>
          <cell r="AM721" t="str">
            <v>$14.763.696</v>
          </cell>
        </row>
        <row r="722">
          <cell r="A722" t="str">
            <v>721-2025</v>
          </cell>
          <cell r="B722" t="str">
            <v>PRESTACION DE SERVICIOS</v>
          </cell>
          <cell r="C722" t="str">
            <v xml:space="preserve"> PAOLA ANDREA SANTACRUZ BENAVIDES</v>
          </cell>
          <cell r="D722" t="str">
            <v>CC</v>
          </cell>
          <cell r="E722">
            <v>1018443747</v>
          </cell>
          <cell r="F722">
            <v>0</v>
          </cell>
          <cell r="G722" t="str">
            <v>CONTRATACION DIRECTA</v>
          </cell>
          <cell r="H722">
            <v>1</v>
          </cell>
          <cell r="I722" t="str">
            <v>Prestación de servicios profesionales dirigidos a apoyar el mantenimiento el Sistema único de Acreditación y el sistema de gestión de calidad bajo la norma ISO 9001:2015 en cumplimiento de los requisitos y estándares aplicables, en la Red Occidente de la empresa social del estado Pasto Salud ESE.,</v>
          </cell>
          <cell r="J722">
            <v>1</v>
          </cell>
          <cell r="K722" t="str">
            <v>$14.763.692</v>
          </cell>
          <cell r="L722">
            <v>45901</v>
          </cell>
          <cell r="M722">
            <v>46022</v>
          </cell>
          <cell r="N722" t="str">
            <v xml:space="preserve">	JUAN CARLOS MERA GUERRERO</v>
          </cell>
          <cell r="O722">
            <v>13016581</v>
          </cell>
          <cell r="P722" t="str">
            <v>pandreasantacruzb@gmail.com</v>
          </cell>
          <cell r="Q722">
            <v>45901</v>
          </cell>
          <cell r="R722" t="str">
            <v>ELIANA BENAVIDES</v>
          </cell>
          <cell r="U722" t="str">
            <v>CELEBRADO</v>
          </cell>
          <cell r="W722" t="str">
            <v>2025-0425</v>
          </cell>
          <cell r="X722" t="str">
            <v>2025-1240</v>
          </cell>
          <cell r="AJ722">
            <v>2</v>
          </cell>
          <cell r="AK722">
            <v>0</v>
          </cell>
          <cell r="AL722">
            <v>2</v>
          </cell>
          <cell r="AM722" t="str">
            <v>$14.763.692</v>
          </cell>
        </row>
        <row r="723">
          <cell r="A723" t="str">
            <v>722-2025</v>
          </cell>
          <cell r="B723" t="str">
            <v>PRESTACION DE SERVICIOS</v>
          </cell>
          <cell r="C723" t="str">
            <v>ADRIAN ALEJANDRO GUZMAN CHICAIZA</v>
          </cell>
          <cell r="D723" t="str">
            <v>CC</v>
          </cell>
          <cell r="E723">
            <v>1004217212</v>
          </cell>
          <cell r="F723">
            <v>3</v>
          </cell>
          <cell r="G723" t="str">
            <v>CONTRATACION DIRECTA</v>
          </cell>
          <cell r="H723">
            <v>1</v>
          </cell>
          <cell r="I723" t="str">
            <v>Prestar los servicios para el funcionamiento y operación de un centro de contactos telefónicos Call Center con el fin de cumplir y responder a sus procesos operativos y misionales de la Empresa Social del Estado Pasto Salud.</v>
          </cell>
          <cell r="J723">
            <v>1</v>
          </cell>
          <cell r="K723" t="str">
            <v>$39.644.700</v>
          </cell>
          <cell r="L723">
            <v>45901</v>
          </cell>
          <cell r="M723">
            <v>46022</v>
          </cell>
          <cell r="N723" t="str">
            <v xml:space="preserve">	IVAN RODRIGO IBARRA MUÑOZ</v>
          </cell>
          <cell r="O723">
            <v>87248313</v>
          </cell>
          <cell r="P723" t="str">
            <v>adrianguzmanch123@gmail.com</v>
          </cell>
          <cell r="Q723">
            <v>45901</v>
          </cell>
          <cell r="R723" t="str">
            <v>ELIANA BENAVIDES</v>
          </cell>
          <cell r="U723" t="str">
            <v>CELEBRADO</v>
          </cell>
          <cell r="W723" t="str">
            <v>2025-0429</v>
          </cell>
          <cell r="X723" t="str">
            <v>2025-1241</v>
          </cell>
          <cell r="AJ723">
            <v>2</v>
          </cell>
          <cell r="AK723">
            <v>0</v>
          </cell>
          <cell r="AL723">
            <v>2</v>
          </cell>
          <cell r="AM723" t="str">
            <v>$39.644.700</v>
          </cell>
        </row>
        <row r="724">
          <cell r="A724" t="str">
            <v>723-2025</v>
          </cell>
          <cell r="B724" t="str">
            <v>PRESTACION DE SERVICIOS</v>
          </cell>
          <cell r="C724" t="str">
            <v>LIZETH MARCELA ORTIZ MUÑOZ</v>
          </cell>
          <cell r="D724" t="str">
            <v>CC</v>
          </cell>
          <cell r="E724">
            <v>1006946167</v>
          </cell>
          <cell r="F724">
            <v>4</v>
          </cell>
          <cell r="G724" t="str">
            <v>CONTRATACION DIRECTA</v>
          </cell>
          <cell r="H724">
            <v>1</v>
          </cell>
          <cell r="I724"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24">
            <v>1</v>
          </cell>
          <cell r="K724" t="str">
            <v>$31.200.000</v>
          </cell>
          <cell r="L724">
            <v>45902</v>
          </cell>
          <cell r="M724">
            <v>46022</v>
          </cell>
          <cell r="N724" t="str">
            <v>DEYANIRA BADOS DAZA</v>
          </cell>
          <cell r="O724">
            <v>59836926</v>
          </cell>
          <cell r="P724" t="str">
            <v xml:space="preserve"> marcelaortizmed@gmail.com</v>
          </cell>
          <cell r="Q724">
            <v>45902</v>
          </cell>
          <cell r="R724" t="str">
            <v>NATHALIA PORTILLA</v>
          </cell>
          <cell r="U724" t="str">
            <v>CELEBRADO</v>
          </cell>
          <cell r="W724" t="str">
            <v>2025-0419</v>
          </cell>
          <cell r="X724" t="str">
            <v>2025-1242</v>
          </cell>
          <cell r="AJ724">
            <v>2</v>
          </cell>
          <cell r="AK724">
            <v>0</v>
          </cell>
          <cell r="AL724">
            <v>2</v>
          </cell>
          <cell r="AM724" t="str">
            <v>$31.200.000</v>
          </cell>
        </row>
        <row r="725">
          <cell r="A725" t="str">
            <v>724-2025</v>
          </cell>
          <cell r="B725" t="str">
            <v>PRESTACION DE SERVICIOS</v>
          </cell>
          <cell r="C725" t="str">
            <v>CARLOS HERNAN MORA BENAVIDES</v>
          </cell>
          <cell r="D725" t="str">
            <v>CC</v>
          </cell>
          <cell r="E725">
            <v>98378706</v>
          </cell>
          <cell r="F725">
            <v>0</v>
          </cell>
          <cell r="G725" t="str">
            <v>CONTRATACION DIRECTA</v>
          </cell>
          <cell r="H725">
            <v>1</v>
          </cell>
          <cell r="I725" t="str">
            <v>Prestar los servicios profesionales Comunicador Social y Periodista. Lo anterior de conformidad con los estudios previos de Conveniencia y Oportunic ad, condiciones de selección, documento matriz de riesgos y anexos y según propuesta económica y técnica anexada al presente por la contratista, documentos anteriores que forman parte integral del presente contrato</v>
          </cell>
          <cell r="J725">
            <v>1</v>
          </cell>
          <cell r="K725" t="str">
            <v>$13.410.368</v>
          </cell>
          <cell r="L725">
            <v>45902</v>
          </cell>
          <cell r="M725">
            <v>46010</v>
          </cell>
          <cell r="N725" t="str">
            <v xml:space="preserve">	IVAN RODRIGO IBARRA MUÑOZ</v>
          </cell>
          <cell r="O725">
            <v>87248313</v>
          </cell>
          <cell r="P725" t="str">
            <v xml:space="preserve"> calichenoticias@hotmail.com</v>
          </cell>
          <cell r="Q725">
            <v>45902</v>
          </cell>
          <cell r="R725" t="str">
            <v>ELIANA BENAVIDES</v>
          </cell>
          <cell r="U725" t="str">
            <v>CELEBRADO</v>
          </cell>
          <cell r="W725" t="str">
            <v>2025-0450</v>
          </cell>
          <cell r="X725" t="str">
            <v>2025-1243</v>
          </cell>
          <cell r="AJ725">
            <v>2</v>
          </cell>
          <cell r="AK725">
            <v>0</v>
          </cell>
          <cell r="AL725">
            <v>2</v>
          </cell>
          <cell r="AM725" t="str">
            <v>$13.410.368</v>
          </cell>
        </row>
        <row r="726">
          <cell r="A726" t="str">
            <v>725-2025</v>
          </cell>
          <cell r="B726" t="str">
            <v>PRESTACION DE SERVICIOS</v>
          </cell>
          <cell r="C726" t="str">
            <v xml:space="preserve"> LILIANA ANDREA GALINDEZ PEREZ</v>
          </cell>
          <cell r="D726" t="str">
            <v>CC</v>
          </cell>
          <cell r="E726">
            <v>36954793</v>
          </cell>
          <cell r="F726">
            <v>7</v>
          </cell>
          <cell r="G726" t="str">
            <v>CONTRATACION DIRECTA</v>
          </cell>
          <cell r="H726">
            <v>1</v>
          </cell>
          <cell r="I726" t="str">
            <v>Prestación de servicios profesionales con conocimientos en el área de la salud dirigidos a apoyar el mantenimiento del Sistema único de Acreditación y el sistema de gestión de calidad bajo la norma ISO 9001:2015 en cumplimiento de los requisitos y estándares aplicables, en la Red Oriente de la Empresa Social del Estado Pasto Salud ESE.</v>
          </cell>
          <cell r="J726">
            <v>1</v>
          </cell>
          <cell r="K726" t="str">
            <v>$14.763.692</v>
          </cell>
          <cell r="L726">
            <v>45902</v>
          </cell>
          <cell r="M726">
            <v>46022</v>
          </cell>
          <cell r="N726" t="str">
            <v xml:space="preserve">	JUAN CARLOS MERA GUERRERO</v>
          </cell>
          <cell r="O726">
            <v>13016581</v>
          </cell>
          <cell r="P726" t="str">
            <v xml:space="preserve"> andregsol81@hotmail.com</v>
          </cell>
          <cell r="Q726">
            <v>45902</v>
          </cell>
          <cell r="R726" t="str">
            <v>RODRIGO  ROSERO</v>
          </cell>
          <cell r="U726" t="str">
            <v>CELEBRADO</v>
          </cell>
          <cell r="W726" t="str">
            <v>2025-0423</v>
          </cell>
          <cell r="X726" t="str">
            <v>2025-1244</v>
          </cell>
          <cell r="AJ726">
            <v>2</v>
          </cell>
          <cell r="AK726">
            <v>0</v>
          </cell>
          <cell r="AL726">
            <v>2</v>
          </cell>
          <cell r="AM726" t="str">
            <v>$14.763.692</v>
          </cell>
        </row>
        <row r="727">
          <cell r="A727" t="str">
            <v>726-2025</v>
          </cell>
          <cell r="B727" t="str">
            <v>PRESTACION DE SERVICIOS</v>
          </cell>
          <cell r="C727" t="str">
            <v>JAVIER FERNANDO CHILANGUAD
CABRERA</v>
          </cell>
          <cell r="D727" t="str">
            <v>CC</v>
          </cell>
          <cell r="E727">
            <v>1085340885</v>
          </cell>
          <cell r="F727">
            <v>1</v>
          </cell>
          <cell r="G727" t="str">
            <v>CONTRATACION DIRECTA</v>
          </cell>
          <cell r="H727">
            <v>1</v>
          </cell>
          <cell r="I727"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27">
            <v>1</v>
          </cell>
          <cell r="K727" t="str">
            <v>$18.920.000</v>
          </cell>
          <cell r="L727">
            <v>45902</v>
          </cell>
          <cell r="M727">
            <v>46022</v>
          </cell>
          <cell r="N727" t="str">
            <v>RIGOBERTO MELO ZAMBRANO</v>
          </cell>
          <cell r="O727">
            <v>98333941</v>
          </cell>
          <cell r="P727" t="str">
            <v>javierchcabrera@gmail.com</v>
          </cell>
          <cell r="Q727">
            <v>45902</v>
          </cell>
          <cell r="R727" t="str">
            <v>RODRIGO  ROSERO</v>
          </cell>
          <cell r="U727" t="str">
            <v>CELEBRADO</v>
          </cell>
          <cell r="W727" t="str">
            <v>2025-0419</v>
          </cell>
          <cell r="X727" t="str">
            <v>2025-1245</v>
          </cell>
          <cell r="AJ727">
            <v>2</v>
          </cell>
          <cell r="AK727">
            <v>0</v>
          </cell>
          <cell r="AL727">
            <v>2</v>
          </cell>
          <cell r="AM727" t="str">
            <v>$18.920.000</v>
          </cell>
        </row>
        <row r="728">
          <cell r="A728" t="str">
            <v>727-2025</v>
          </cell>
          <cell r="B728" t="str">
            <v>SUMINISTROS</v>
          </cell>
          <cell r="C728" t="str">
            <v>COOPERATIVA
DE GESTION FARMACEUTICA INTEGRAL EN REORGANIZACION (CFARMA),</v>
          </cell>
          <cell r="D728" t="str">
            <v>NIT</v>
          </cell>
          <cell r="E728">
            <v>900062612</v>
          </cell>
          <cell r="F728">
            <v>8</v>
          </cell>
          <cell r="G728" t="str">
            <v>BIONEXO</v>
          </cell>
          <cell r="H728">
            <v>2</v>
          </cell>
          <cell r="I728" t="str">
            <v>El contratista se obliga al suministro de los medicamentos en las cantidades establecidas en el anexo 1, el cual hace parte integral del contrato.</v>
          </cell>
          <cell r="J728">
            <v>3</v>
          </cell>
          <cell r="K728" t="str">
            <v>$38.950.300</v>
          </cell>
          <cell r="L728">
            <v>45902</v>
          </cell>
          <cell r="M728">
            <v>45991</v>
          </cell>
          <cell r="N728" t="str">
            <v>NENA DEL CARMEN RAMIREZ RAMIREZ</v>
          </cell>
          <cell r="O728">
            <v>30732589</v>
          </cell>
          <cell r="P728" t="str">
            <v xml:space="preserve">notificaciones@cfarma.com.co,
</v>
          </cell>
          <cell r="Q728">
            <v>45902</v>
          </cell>
          <cell r="R728" t="str">
            <v>JUAN GOMEZ</v>
          </cell>
          <cell r="U728" t="str">
            <v>CELEBRADO</v>
          </cell>
          <cell r="W728" t="str">
            <v>2025-0377</v>
          </cell>
          <cell r="X728" t="str">
            <v>2025-1246</v>
          </cell>
          <cell r="AJ728">
            <v>2</v>
          </cell>
          <cell r="AK728">
            <v>0</v>
          </cell>
          <cell r="AL728">
            <v>2</v>
          </cell>
          <cell r="AM728" t="str">
            <v>$38.950.300</v>
          </cell>
        </row>
        <row r="729">
          <cell r="A729" t="str">
            <v>728-2025</v>
          </cell>
          <cell r="B729" t="str">
            <v>PRESTACION DE SERVICIOS</v>
          </cell>
          <cell r="C729" t="str">
            <v>SERVICIOS INTEGRALES PASTO SERVIPAS SAS</v>
          </cell>
          <cell r="D729" t="str">
            <v>NIT</v>
          </cell>
          <cell r="E729">
            <v>901834485</v>
          </cell>
          <cell r="F729">
            <v>6</v>
          </cell>
          <cell r="G729" t="str">
            <v>CONTRATACION DIRECTA</v>
          </cell>
          <cell r="H729">
            <v>2</v>
          </cell>
          <cell r="I729" t="str">
            <v>Prestación de servicios de apoyo a la gestión a través de profesionales con conocimientos en las especialidades clínicas, ecografías especializadas como ecografía obstétrica, ecografía cardiaca que se requieran para el desarrollo del PROCESO DE ATENCIÓN AL CLIENTE ASISTENCIAL, asesoría en
calidad e implementación en los servicios habilitados y en las áreas que se habilitaran como lo son atención ambulatoria, urgencias, hospitalización y demás servicios que lo requieran, en las diferentes sedes, que conforman la red de prestación de servicios de la Empresa Social del Estado PASTO SALUD E.S.E</v>
          </cell>
          <cell r="J729">
            <v>1</v>
          </cell>
          <cell r="K729" t="str">
            <v>$400.000.000</v>
          </cell>
          <cell r="L729">
            <v>45902</v>
          </cell>
          <cell r="M729">
            <v>46022</v>
          </cell>
          <cell r="N729" t="str">
            <v>DEYANIRA BADOS DAZA</v>
          </cell>
          <cell r="O729">
            <v>59836926</v>
          </cell>
          <cell r="P729" t="str">
            <v xml:space="preserve"> siservipas@gmail.com</v>
          </cell>
          <cell r="Q729">
            <v>45902</v>
          </cell>
          <cell r="R729" t="str">
            <v>ANDERSON MEJIA</v>
          </cell>
          <cell r="U729" t="str">
            <v>CELEBRADO</v>
          </cell>
          <cell r="W729" t="str">
            <v>2025-0435</v>
          </cell>
          <cell r="X729" t="str">
            <v>2025-1247</v>
          </cell>
          <cell r="AJ729">
            <v>2</v>
          </cell>
          <cell r="AK729">
            <v>0</v>
          </cell>
          <cell r="AL729">
            <v>2</v>
          </cell>
          <cell r="AM729" t="str">
            <v>$400.000.000</v>
          </cell>
        </row>
        <row r="730">
          <cell r="A730" t="str">
            <v>729-2025</v>
          </cell>
          <cell r="B730" t="str">
            <v>PRESTACION DE SERVICIOS</v>
          </cell>
          <cell r="C730" t="str">
            <v xml:space="preserve"> BIONEXO COLOMBIA SAS</v>
          </cell>
          <cell r="D730" t="str">
            <v>NIT</v>
          </cell>
          <cell r="E730">
            <v>900266612</v>
          </cell>
          <cell r="F730">
            <v>4</v>
          </cell>
          <cell r="G730" t="str">
            <v>CONTRATACION DIRECTA</v>
          </cell>
          <cell r="H730">
            <v>2</v>
          </cell>
          <cell r="I730" t="str">
            <v>Contratar el uso, goce y explotación de una plataforma de comercio electrónico en la Empresa Social del Estado Pasto Salud E.S.E.</v>
          </cell>
          <cell r="J730">
            <v>1</v>
          </cell>
          <cell r="K730" t="str">
            <v>$21.256.200.</v>
          </cell>
          <cell r="L730">
            <v>45902</v>
          </cell>
          <cell r="M730">
            <v>46022</v>
          </cell>
          <cell r="N730" t="str">
            <v>ANA PATRICIA CAJIGAS RUBIO</v>
          </cell>
          <cell r="O730">
            <v>36759470</v>
          </cell>
          <cell r="P730" t="str">
            <v>ycubillos@bionexo.com</v>
          </cell>
          <cell r="Q730">
            <v>45902</v>
          </cell>
          <cell r="R730" t="str">
            <v>ELIANA BENAVIDES</v>
          </cell>
          <cell r="U730" t="str">
            <v>CELEBRADO</v>
          </cell>
          <cell r="W730" t="str">
            <v>2025-0407</v>
          </cell>
          <cell r="X730" t="str">
            <v>2025-1248</v>
          </cell>
          <cell r="AJ730">
            <v>2</v>
          </cell>
          <cell r="AK730">
            <v>0</v>
          </cell>
          <cell r="AL730">
            <v>2</v>
          </cell>
          <cell r="AM730" t="str">
            <v>$21.256.200.</v>
          </cell>
        </row>
        <row r="731">
          <cell r="A731" t="str">
            <v>730-2025</v>
          </cell>
          <cell r="B731" t="str">
            <v>PRESTACION DE SERVICIOS</v>
          </cell>
          <cell r="C731" t="str">
            <v>MAYERLY NORIDIA ASMAZA GETIAL</v>
          </cell>
          <cell r="D731" t="str">
            <v>CC</v>
          </cell>
          <cell r="E731">
            <v>1087413951</v>
          </cell>
          <cell r="F731">
            <v>1</v>
          </cell>
          <cell r="G731" t="str">
            <v>CONTRATACION DIRECTA</v>
          </cell>
          <cell r="H731">
            <v>1</v>
          </cell>
          <cell r="I731"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v>
          </cell>
          <cell r="J731">
            <v>1</v>
          </cell>
          <cell r="K731" t="str">
            <v>$18.920.000</v>
          </cell>
          <cell r="L731">
            <v>45902</v>
          </cell>
          <cell r="M731">
            <v>46022</v>
          </cell>
          <cell r="N731" t="str">
            <v>RIGOBERTO MELO ZAMBRANO</v>
          </cell>
          <cell r="O731">
            <v>98333941</v>
          </cell>
          <cell r="P731" t="str">
            <v>posible.1010@gmail.com</v>
          </cell>
          <cell r="Q731">
            <v>45902</v>
          </cell>
          <cell r="R731" t="str">
            <v>NATHALIA PORTILLA</v>
          </cell>
          <cell r="U731" t="str">
            <v>CELEBRADO</v>
          </cell>
          <cell r="W731" t="str">
            <v>2025-0419</v>
          </cell>
          <cell r="X731" t="str">
            <v>2025-1252</v>
          </cell>
          <cell r="AJ731">
            <v>2</v>
          </cell>
          <cell r="AK731">
            <v>0</v>
          </cell>
          <cell r="AL731">
            <v>2</v>
          </cell>
          <cell r="AM731" t="str">
            <v>$18.920.000</v>
          </cell>
        </row>
        <row r="732">
          <cell r="A732" t="str">
            <v>731-2025</v>
          </cell>
          <cell r="B732" t="str">
            <v>PRESTACION DE SERVICIOS</v>
          </cell>
          <cell r="C732" t="str">
            <v>LEYDI GISELLA BENAVIDES LOPEZ</v>
          </cell>
          <cell r="D732" t="str">
            <v>CC</v>
          </cell>
          <cell r="E732">
            <v>1085330309</v>
          </cell>
          <cell r="F732">
            <v>6</v>
          </cell>
          <cell r="G732" t="str">
            <v>CONTRATACION DIRECTA</v>
          </cell>
          <cell r="H732">
            <v>1</v>
          </cell>
          <cell r="I732" t="str">
            <v>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32">
            <v>1</v>
          </cell>
          <cell r="K732" t="str">
            <v>$18.920.000</v>
          </cell>
          <cell r="L732">
            <v>45902</v>
          </cell>
          <cell r="M732">
            <v>46022</v>
          </cell>
          <cell r="N732" t="str">
            <v>MARY ALEXANDRA ROSERO BENAVIDES</v>
          </cell>
          <cell r="O732">
            <v>43624414</v>
          </cell>
          <cell r="P732" t="str">
            <v xml:space="preserve">leygibe@gmail.com; </v>
          </cell>
          <cell r="Q732">
            <v>45902</v>
          </cell>
          <cell r="R732" t="str">
            <v>DIANA MORA</v>
          </cell>
          <cell r="U732" t="str">
            <v>CELEBRADO</v>
          </cell>
          <cell r="W732" t="str">
            <v>2025-0419</v>
          </cell>
          <cell r="X732" t="str">
            <v>2025-1255</v>
          </cell>
          <cell r="AJ732">
            <v>2</v>
          </cell>
          <cell r="AK732">
            <v>0</v>
          </cell>
          <cell r="AL732">
            <v>2</v>
          </cell>
          <cell r="AM732" t="str">
            <v>$18.920.000</v>
          </cell>
        </row>
        <row r="733">
          <cell r="A733" t="str">
            <v>732-2025</v>
          </cell>
          <cell r="B733" t="str">
            <v>PRESTACION DE SERVICIOS</v>
          </cell>
          <cell r="C733" t="str">
            <v>PAULA ANDREA ROCHA DELGADO</v>
          </cell>
          <cell r="D733" t="str">
            <v>CC</v>
          </cell>
          <cell r="E733">
            <v>36752202</v>
          </cell>
          <cell r="F733">
            <v>9</v>
          </cell>
          <cell r="G733" t="str">
            <v>CONTRATACION DIRECTA</v>
          </cell>
          <cell r="H733">
            <v>1</v>
          </cell>
          <cell r="I73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33">
            <v>1</v>
          </cell>
          <cell r="K733" t="str">
            <v>$12.600.000</v>
          </cell>
          <cell r="L733">
            <v>45902</v>
          </cell>
          <cell r="M733">
            <v>46022</v>
          </cell>
          <cell r="N733" t="str">
            <v>DEYANIRA BADOS DAZA</v>
          </cell>
          <cell r="O733">
            <v>59836926</v>
          </cell>
          <cell r="P733" t="str">
            <v>paularodel@hotmail.com</v>
          </cell>
          <cell r="Q733">
            <v>45902</v>
          </cell>
          <cell r="R733" t="str">
            <v>DIANA MORA</v>
          </cell>
          <cell r="U733" t="str">
            <v>CELEBRADO</v>
          </cell>
          <cell r="W733" t="str">
            <v>2025-0419</v>
          </cell>
          <cell r="X733" t="str">
            <v>2025-1256</v>
          </cell>
          <cell r="AJ733">
            <v>2</v>
          </cell>
          <cell r="AK733">
            <v>0</v>
          </cell>
          <cell r="AL733">
            <v>2</v>
          </cell>
          <cell r="AM733" t="str">
            <v>$12.600.000</v>
          </cell>
        </row>
        <row r="734">
          <cell r="A734" t="str">
            <v>733-2025</v>
          </cell>
          <cell r="B734" t="str">
            <v>PRESTACION DE SERVICIOS</v>
          </cell>
          <cell r="C734" t="str">
            <v>PAOLA ANDREA ZARAMA BURBANO</v>
          </cell>
          <cell r="D734" t="str">
            <v>CC</v>
          </cell>
          <cell r="E734">
            <v>1085660757</v>
          </cell>
          <cell r="F734">
            <v>8</v>
          </cell>
          <cell r="G734" t="str">
            <v>CONTRATACION DIRECTA</v>
          </cell>
          <cell r="H734">
            <v>1</v>
          </cell>
          <cell r="I734" t="str">
            <v>PRESTAR SERVICIOS PROFESIONALES DE ABOGADO, EN LOS PROCEDIMIENTOS Y DEMÁS ACTIVIDADES JURÍDICAS QUE SE ADELANTAN EN EL GRUPO DE GESTIÓN DEL TALENTO HUMANO DE LA EMPRESA SOCIAL DEL ESTADO PASTO SALUD E.S.E</v>
          </cell>
          <cell r="J734">
            <v>1</v>
          </cell>
          <cell r="K734" t="str">
            <v>$13.410.357</v>
          </cell>
          <cell r="L734">
            <v>45902</v>
          </cell>
          <cell r="M734">
            <v>46010</v>
          </cell>
          <cell r="N734" t="str">
            <v xml:space="preserve">	ANGELA DANIELA RODRIGUEZ GOYES</v>
          </cell>
          <cell r="O734">
            <v>1085283617</v>
          </cell>
          <cell r="P734" t="str">
            <v>paolaz102847@gmail.com</v>
          </cell>
          <cell r="Q734">
            <v>45902</v>
          </cell>
          <cell r="R734" t="str">
            <v>RODRIGO  ROSERO</v>
          </cell>
          <cell r="U734" t="str">
            <v>CELEBRADO</v>
          </cell>
          <cell r="W734" t="str">
            <v>2025-0446</v>
          </cell>
          <cell r="AJ734">
            <v>2</v>
          </cell>
          <cell r="AK734">
            <v>0</v>
          </cell>
          <cell r="AL734">
            <v>2</v>
          </cell>
          <cell r="AM734" t="str">
            <v>$13.410.357</v>
          </cell>
        </row>
        <row r="735">
          <cell r="A735" t="str">
            <v>734-2025</v>
          </cell>
          <cell r="B735" t="str">
            <v>PRESTACION DE SERVICIOS</v>
          </cell>
          <cell r="C735" t="str">
            <v>JUAN FELIPE GOMEZ MUÑOZ,</v>
          </cell>
          <cell r="D735" t="str">
            <v>CC</v>
          </cell>
          <cell r="E735">
            <v>1152470166</v>
          </cell>
          <cell r="F735">
            <v>2</v>
          </cell>
          <cell r="G735" t="str">
            <v>CONTRATACION DIRECTA</v>
          </cell>
          <cell r="H735">
            <v>1</v>
          </cell>
          <cell r="I735" t="str">
            <v>El contratista se compromete para con la Empresa Social del Estado PASTO SALUD ESE a prestar sus servicios Profesionales para apoyar las actividades que se adelantan en la Oficina Asesora Jurídica, encaminadas al mejoramiento de los procesos de Gestión Jurídica.</v>
          </cell>
          <cell r="J735">
            <v>1</v>
          </cell>
          <cell r="K735" t="str">
            <v>$14.763.692</v>
          </cell>
          <cell r="L735">
            <v>45902</v>
          </cell>
          <cell r="M735">
            <v>46022</v>
          </cell>
          <cell r="N735" t="str">
            <v>CARLOS ERNESTO CHAVES BRAVO</v>
          </cell>
          <cell r="O735">
            <v>12982923</v>
          </cell>
          <cell r="P735" t="str">
            <v>juanfe99gomez36@gmail.com</v>
          </cell>
          <cell r="Q735">
            <v>45902</v>
          </cell>
          <cell r="R735" t="str">
            <v>RODRIGO  ROSERO</v>
          </cell>
          <cell r="U735" t="str">
            <v>CELEBRADO</v>
          </cell>
          <cell r="W735" t="str">
            <v>2025-0443</v>
          </cell>
          <cell r="X735" t="str">
            <v>2025-1260</v>
          </cell>
          <cell r="AJ735">
            <v>2</v>
          </cell>
          <cell r="AK735">
            <v>0</v>
          </cell>
          <cell r="AL735">
            <v>2</v>
          </cell>
          <cell r="AM735" t="str">
            <v>$14.763.692</v>
          </cell>
        </row>
        <row r="736">
          <cell r="A736" t="str">
            <v>735-2025</v>
          </cell>
          <cell r="B736" t="str">
            <v>PRESTACION DE SERVICIOS</v>
          </cell>
          <cell r="C736" t="str">
            <v>NATHALIA PORTILLA
BENITEZ</v>
          </cell>
          <cell r="D736" t="str">
            <v>CC</v>
          </cell>
          <cell r="E736">
            <v>1087423360</v>
          </cell>
          <cell r="F736">
            <v>1</v>
          </cell>
          <cell r="G736" t="str">
            <v>CONTRATACION DIRECTA</v>
          </cell>
          <cell r="H736">
            <v>1</v>
          </cell>
          <cell r="I736" t="str">
            <v>La contratista se compromete para con la empresa social del estado pasto salud E.S.E., a la prestación de servicios profesionales como ABOGADA para realizar el acompañamiento jurídico de los equipos básicos en salud EBS, apoyando en la elaboración y revisión de tramites contractuales y demás actividades jurídicas realizadas en la oficina jurídica encaminado al mejoramiento del proceso de gestión jurídica.</v>
          </cell>
          <cell r="J736">
            <v>1</v>
          </cell>
          <cell r="K736" t="str">
            <v>$14.763.692</v>
          </cell>
          <cell r="L736">
            <v>45902</v>
          </cell>
          <cell r="M736">
            <v>46022</v>
          </cell>
          <cell r="N736" t="str">
            <v>CARLOS ERNESTO CHAVES BRAVO</v>
          </cell>
          <cell r="O736">
            <v>12982923</v>
          </cell>
          <cell r="P736" t="str">
            <v xml:space="preserve"> natha_portilla@hotmail.com</v>
          </cell>
          <cell r="Q736">
            <v>45902</v>
          </cell>
          <cell r="R736" t="str">
            <v>ANDERSON MEJIA</v>
          </cell>
          <cell r="U736" t="str">
            <v>CELEBRADO</v>
          </cell>
          <cell r="W736" t="str">
            <v>2025-0462</v>
          </cell>
          <cell r="X736" t="str">
            <v>2025-1272</v>
          </cell>
          <cell r="AJ736">
            <v>2</v>
          </cell>
          <cell r="AK736">
            <v>0</v>
          </cell>
          <cell r="AL736">
            <v>2</v>
          </cell>
          <cell r="AM736" t="str">
            <v>$14.763.692</v>
          </cell>
        </row>
        <row r="737">
          <cell r="A737" t="str">
            <v>736-2025</v>
          </cell>
          <cell r="B737" t="str">
            <v>PRESTACION DE SERVICIOS</v>
          </cell>
          <cell r="C737" t="str">
            <v>JULIANA ANDREA BOLAÑOS ORTIZ</v>
          </cell>
          <cell r="D737" t="str">
            <v>CC</v>
          </cell>
          <cell r="E737">
            <v>1233193340</v>
          </cell>
          <cell r="F737">
            <v>3</v>
          </cell>
          <cell r="G737" t="str">
            <v>CONTRATACION DIRECTA</v>
          </cell>
          <cell r="H737">
            <v>1</v>
          </cell>
          <cell r="I737" t="str">
            <v>El contratista se compromete para con la Empresa Social del estado PASTO SALUD ESE a prestar sus servicios profesionales como químico farmacé utico, quien lidera el desarrollo de las actividades del programa de farmacovigilancia y del programa de сla, apoya los programas de seguridad del paciente y programa de optimización de antimicrobianos, asuma las actividades de jefe de producción en el reempaque de medicamentos sólidos para vía oral y vagirial, participe en los procesos los de acreditación y certificación. capacitacion a usuarios y personal asistencial en temanas relacionados con medicamentos y dispositivcs médicos.</v>
          </cell>
          <cell r="J737">
            <v>1</v>
          </cell>
          <cell r="K737" t="str">
            <v>$15.656.000</v>
          </cell>
          <cell r="L737">
            <v>45903</v>
          </cell>
          <cell r="M737">
            <v>46022</v>
          </cell>
          <cell r="N737" t="str">
            <v>NENA DEL CARMEN RAMIREZ RAMIREZ</v>
          </cell>
          <cell r="O737">
            <v>30732589</v>
          </cell>
          <cell r="P737" t="str">
            <v>andreabolanosortiz@gmail.com</v>
          </cell>
          <cell r="Q737">
            <v>45903</v>
          </cell>
          <cell r="R737" t="str">
            <v>RODRIGO  ROSERO</v>
          </cell>
          <cell r="U737" t="str">
            <v>CELEBRADO</v>
          </cell>
          <cell r="W737" t="str">
            <v>2025-0415</v>
          </cell>
          <cell r="X737" t="str">
            <v>2025-1273</v>
          </cell>
          <cell r="AJ737">
            <v>2</v>
          </cell>
          <cell r="AK737">
            <v>0</v>
          </cell>
          <cell r="AL737">
            <v>2</v>
          </cell>
          <cell r="AM737" t="str">
            <v>$15.656.000</v>
          </cell>
        </row>
        <row r="738">
          <cell r="A738" t="str">
            <v>737-2025</v>
          </cell>
          <cell r="B738" t="str">
            <v>PRESTACION DE SERVICIOS</v>
          </cell>
          <cell r="C738" t="str">
            <v>MIRYAM ELIZABETH POPAYAN PASCUAZA</v>
          </cell>
          <cell r="D738" t="str">
            <v>CC</v>
          </cell>
          <cell r="E738">
            <v>1087006717</v>
          </cell>
          <cell r="F738">
            <v>7</v>
          </cell>
          <cell r="G738" t="str">
            <v>CONTRATACION DIRECTA</v>
          </cell>
          <cell r="H738">
            <v>1</v>
          </cell>
          <cell r="I738"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J738">
            <v>1</v>
          </cell>
          <cell r="K738" t="str">
            <v>$12.600.000</v>
          </cell>
          <cell r="L738">
            <v>45903</v>
          </cell>
          <cell r="M738">
            <v>46022</v>
          </cell>
          <cell r="N738" t="str">
            <v>DEYANIRA BADOS DAZA</v>
          </cell>
          <cell r="O738">
            <v>59836926</v>
          </cell>
          <cell r="P738" t="str">
            <v xml:space="preserve"> miryameliza2007@gmail.com</v>
          </cell>
          <cell r="Q738">
            <v>45903</v>
          </cell>
          <cell r="R738" t="str">
            <v>DIANA MORA</v>
          </cell>
          <cell r="U738" t="str">
            <v>CELEBRADO</v>
          </cell>
          <cell r="W738" t="str">
            <v>2025-0419</v>
          </cell>
          <cell r="X738" t="str">
            <v>2025-1274</v>
          </cell>
          <cell r="AJ738">
            <v>2</v>
          </cell>
          <cell r="AK738">
            <v>0</v>
          </cell>
          <cell r="AL738">
            <v>2</v>
          </cell>
          <cell r="AM738" t="str">
            <v>$12.600.000</v>
          </cell>
        </row>
        <row r="739">
          <cell r="A739" t="str">
            <v>738-2025</v>
          </cell>
          <cell r="B739" t="str">
            <v>PRESTACION DE SERVICIOS</v>
          </cell>
          <cell r="C739" t="str">
            <v>EDITH TOMASITA UNIGARRO SANTACRUZ</v>
          </cell>
          <cell r="D739" t="str">
            <v>CC</v>
          </cell>
          <cell r="E739">
            <v>1032448504</v>
          </cell>
          <cell r="F739">
            <v>1</v>
          </cell>
          <cell r="G739" t="str">
            <v>CONTRATACION DIRECTA</v>
          </cell>
          <cell r="H739">
            <v>1</v>
          </cell>
          <cell r="I739" t="str">
            <v>El contratista se compromete para con la Empresa Social del estado PASTO SALUD ESE a prestar sus servicios profesionales como químico farmacéutico, quien desarrollara las actividades del programa de atención farmacéutica, seguimiento a la formulación y uso racional de medicamentos, seguimiento al procedimiento de conciliación medicamentosa, capacitación a usuarios y personal asistencial en temas relacionados con medicamentos y dispositivos médicos.</v>
          </cell>
          <cell r="J739">
            <v>1</v>
          </cell>
          <cell r="K739" t="str">
            <v>$15.656.000</v>
          </cell>
          <cell r="L739">
            <v>45903</v>
          </cell>
          <cell r="M739">
            <v>46022</v>
          </cell>
          <cell r="N739" t="str">
            <v>NENA DEL CARMEN RAMIREZ RAMIREZ</v>
          </cell>
          <cell r="O739">
            <v>30732589</v>
          </cell>
          <cell r="P739" t="str">
            <v>etunigarros@unal.edu.co</v>
          </cell>
          <cell r="Q739">
            <v>45903</v>
          </cell>
          <cell r="R739" t="str">
            <v>ELIANA BENAVIDES</v>
          </cell>
          <cell r="U739" t="str">
            <v>CELEBRADO</v>
          </cell>
          <cell r="W739" t="str">
            <v>2025-0416</v>
          </cell>
          <cell r="X739" t="str">
            <v>2025-1275</v>
          </cell>
          <cell r="AJ739">
            <v>2</v>
          </cell>
          <cell r="AK739">
            <v>0</v>
          </cell>
          <cell r="AL739">
            <v>2</v>
          </cell>
          <cell r="AM739" t="str">
            <v>$15.656.000</v>
          </cell>
        </row>
        <row r="740">
          <cell r="A740" t="str">
            <v>739-2025</v>
          </cell>
          <cell r="B740" t="str">
            <v>PRESTACION DE SERVICIOS</v>
          </cell>
          <cell r="C740" t="str">
            <v>DIANA CAROLINA CORTES TAPIA</v>
          </cell>
          <cell r="D740" t="str">
            <v>CC</v>
          </cell>
          <cell r="E740">
            <v>59312865</v>
          </cell>
          <cell r="F740">
            <v>8</v>
          </cell>
          <cell r="G740" t="str">
            <v>CONTRATACION DIRECTA</v>
          </cell>
          <cell r="H740">
            <v>1</v>
          </cell>
          <cell r="I740"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0">
            <v>1</v>
          </cell>
          <cell r="K740" t="str">
            <v>$18.920.000</v>
          </cell>
          <cell r="L740">
            <v>45903</v>
          </cell>
          <cell r="M740">
            <v>46022</v>
          </cell>
          <cell r="N740" t="str">
            <v>MARY ALEXANDRA ROSERO BENAVIDES</v>
          </cell>
          <cell r="O740">
            <v>43624414</v>
          </cell>
          <cell r="P740" t="str">
            <v xml:space="preserve"> dicacota412@gmail.com</v>
          </cell>
          <cell r="Q740">
            <v>45903</v>
          </cell>
          <cell r="R740" t="str">
            <v>ANDERSON MEJIA</v>
          </cell>
          <cell r="U740" t="str">
            <v>CELEBRADO</v>
          </cell>
          <cell r="W740" t="str">
            <v>2025-0419</v>
          </cell>
          <cell r="X740" t="str">
            <v>2025-1276</v>
          </cell>
          <cell r="AJ740">
            <v>2</v>
          </cell>
          <cell r="AK740">
            <v>0</v>
          </cell>
          <cell r="AL740">
            <v>2</v>
          </cell>
          <cell r="AM740" t="str">
            <v>$18.920.000</v>
          </cell>
        </row>
        <row r="741">
          <cell r="A741" t="str">
            <v>740-2025</v>
          </cell>
          <cell r="B741" t="str">
            <v>PRESTACION DE SERVICIOS</v>
          </cell>
          <cell r="C741" t="str">
            <v>FANY LUCELY RODRIGUEZ CRIOLLO</v>
          </cell>
          <cell r="D741" t="str">
            <v>CC</v>
          </cell>
          <cell r="E741">
            <v>59824313</v>
          </cell>
          <cell r="F741">
            <v>1</v>
          </cell>
          <cell r="G741" t="str">
            <v>CONTRATACION DIRECTA</v>
          </cell>
          <cell r="H741">
            <v>1</v>
          </cell>
          <cell r="I741"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1">
            <v>1</v>
          </cell>
          <cell r="K741" t="str">
            <v>$18.920.000</v>
          </cell>
          <cell r="L741">
            <v>45903</v>
          </cell>
          <cell r="M741">
            <v>46022</v>
          </cell>
          <cell r="N741" t="str">
            <v>RODRIGO DE JESUS VITERI MORENO</v>
          </cell>
          <cell r="O741">
            <v>98390119</v>
          </cell>
          <cell r="P741" t="str">
            <v>fanylu33@gmail.com</v>
          </cell>
          <cell r="Q741">
            <v>45903</v>
          </cell>
          <cell r="R741" t="str">
            <v>JUAN GOMEZ</v>
          </cell>
          <cell r="U741" t="str">
            <v>CELEBRADO</v>
          </cell>
          <cell r="W741" t="str">
            <v>2025-0419</v>
          </cell>
          <cell r="X741" t="str">
            <v>2025-1278</v>
          </cell>
          <cell r="AJ741">
            <v>2</v>
          </cell>
          <cell r="AK741">
            <v>0</v>
          </cell>
          <cell r="AL741">
            <v>2</v>
          </cell>
          <cell r="AM741" t="str">
            <v>$18.920.000</v>
          </cell>
        </row>
        <row r="742">
          <cell r="A742" t="str">
            <v>741-2025</v>
          </cell>
          <cell r="B742" t="str">
            <v>PRESTACION DE SERVICIOS</v>
          </cell>
          <cell r="C742" t="str">
            <v xml:space="preserve"> CARMEN PATRICIA CÓRDOBA ARTEAGA</v>
          </cell>
          <cell r="D742" t="str">
            <v>CC</v>
          </cell>
          <cell r="E742">
            <v>59820414</v>
          </cell>
          <cell r="F742">
            <v>9</v>
          </cell>
          <cell r="G742" t="str">
            <v>CONTRATACION DIRECTA</v>
          </cell>
          <cell r="H742">
            <v>1</v>
          </cell>
          <cell r="I742"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2">
            <v>1</v>
          </cell>
          <cell r="K742" t="str">
            <v>$25.200.000</v>
          </cell>
          <cell r="L742">
            <v>45903</v>
          </cell>
          <cell r="M742">
            <v>46022</v>
          </cell>
          <cell r="N742" t="str">
            <v>MARY ALEXANDRA ROSERO BENAVIDES</v>
          </cell>
          <cell r="O742">
            <v>43624414</v>
          </cell>
          <cell r="P742" t="str">
            <v xml:space="preserve"> patyenfer5@gmail.com</v>
          </cell>
          <cell r="Q742">
            <v>45903</v>
          </cell>
          <cell r="R742" t="str">
            <v>RODRIGO  ROSERO</v>
          </cell>
          <cell r="U742" t="str">
            <v>CELEBRADO</v>
          </cell>
          <cell r="W742" t="str">
            <v>2025-0419</v>
          </cell>
          <cell r="X742" t="str">
            <v>2025-1279</v>
          </cell>
          <cell r="AJ742">
            <v>2</v>
          </cell>
          <cell r="AK742">
            <v>0</v>
          </cell>
          <cell r="AL742">
            <v>2</v>
          </cell>
          <cell r="AM742" t="str">
            <v>$25.200.000</v>
          </cell>
        </row>
        <row r="743">
          <cell r="A743" t="str">
            <v>742-2025</v>
          </cell>
          <cell r="B743" t="str">
            <v>PRESTACION DE SERVICIOS</v>
          </cell>
          <cell r="C743" t="str">
            <v>KAROL LIZETH TREJO ZAMBRANO.</v>
          </cell>
          <cell r="D743" t="str">
            <v>CC</v>
          </cell>
          <cell r="E743">
            <v>1084227101</v>
          </cell>
          <cell r="F743">
            <v>8</v>
          </cell>
          <cell r="G743" t="str">
            <v>CONTRATACION DIRECTA</v>
          </cell>
          <cell r="H743">
            <v>1</v>
          </cell>
          <cell r="I743"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3">
            <v>1</v>
          </cell>
          <cell r="K743" t="str">
            <v>$ 18.920.000</v>
          </cell>
          <cell r="L743">
            <v>45903</v>
          </cell>
          <cell r="M743">
            <v>46022</v>
          </cell>
          <cell r="N743" t="str">
            <v>RIGOBERTO MELO ZAMBRANO</v>
          </cell>
          <cell r="O743">
            <v>98333941</v>
          </cell>
          <cell r="P743" t="str">
            <v>karoltrejo111196@gmail.com</v>
          </cell>
          <cell r="Q743">
            <v>45903</v>
          </cell>
          <cell r="R743" t="str">
            <v>RODRIGO  ROSERO</v>
          </cell>
          <cell r="U743" t="str">
            <v>CELEBRADO</v>
          </cell>
          <cell r="AJ743">
            <v>2</v>
          </cell>
          <cell r="AK743">
            <v>0</v>
          </cell>
          <cell r="AL743">
            <v>2</v>
          </cell>
          <cell r="AM743" t="str">
            <v>$ 18.920.000</v>
          </cell>
        </row>
        <row r="744">
          <cell r="A744" t="str">
            <v>743-2025</v>
          </cell>
          <cell r="B744" t="str">
            <v>PRESTACION DE SERVICIOS</v>
          </cell>
          <cell r="C744" t="str">
            <v>JAQUELINE CAMILA GENOY VILLOTA</v>
          </cell>
          <cell r="D744" t="str">
            <v>CC</v>
          </cell>
          <cell r="E744">
            <v>1010082397</v>
          </cell>
          <cell r="F744">
            <v>7</v>
          </cell>
          <cell r="G744" t="str">
            <v>CONTRATACION DIRECTA</v>
          </cell>
          <cell r="H744">
            <v>1</v>
          </cell>
          <cell r="I744"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J744">
            <v>1</v>
          </cell>
          <cell r="K744" t="str">
            <v>$12.600.000</v>
          </cell>
          <cell r="L744">
            <v>45903</v>
          </cell>
          <cell r="M744">
            <v>46022</v>
          </cell>
          <cell r="N744" t="str">
            <v>RODRIGO DE JESUS VITERI MORENO</v>
          </cell>
          <cell r="O744">
            <v>98390119</v>
          </cell>
          <cell r="P744" t="str">
            <v>camilavillota1612@gmail.com</v>
          </cell>
          <cell r="Q744">
            <v>45903</v>
          </cell>
          <cell r="R744" t="str">
            <v>NATHALIA PORTILLA</v>
          </cell>
          <cell r="U744" t="str">
            <v>CELEBRADO</v>
          </cell>
          <cell r="W744" t="str">
            <v>2025-0419</v>
          </cell>
          <cell r="X744" t="str">
            <v>2025-1281</v>
          </cell>
          <cell r="AJ744">
            <v>2</v>
          </cell>
          <cell r="AK744">
            <v>0</v>
          </cell>
          <cell r="AL744">
            <v>2</v>
          </cell>
          <cell r="AM744" t="str">
            <v>$12.600.000</v>
          </cell>
        </row>
        <row r="745">
          <cell r="A745" t="str">
            <v>744-2025</v>
          </cell>
          <cell r="B745" t="str">
            <v>PRESTACION DE SERVICIOS</v>
          </cell>
          <cell r="C745" t="str">
            <v>DAVID ALEJANDRO VILLACORTE BARCO</v>
          </cell>
          <cell r="D745" t="str">
            <v>CC</v>
          </cell>
          <cell r="E745">
            <v>1085334279</v>
          </cell>
          <cell r="F745">
            <v>1</v>
          </cell>
          <cell r="G745" t="str">
            <v>CONTRATACION DIRECTA</v>
          </cell>
          <cell r="H745">
            <v>1</v>
          </cell>
          <cell r="I745"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5">
            <v>1</v>
          </cell>
          <cell r="K745" t="str">
            <v>$31.200.000</v>
          </cell>
          <cell r="L745">
            <v>45903</v>
          </cell>
          <cell r="M745">
            <v>46022</v>
          </cell>
          <cell r="N745" t="str">
            <v>RIGOBERTO MELO ZAMBRANO</v>
          </cell>
          <cell r="O745">
            <v>98333941</v>
          </cell>
          <cell r="P745" t="str">
            <v>davidvillacorte@udenar.co</v>
          </cell>
          <cell r="Q745">
            <v>45903</v>
          </cell>
          <cell r="R745" t="str">
            <v>DIANA MORA</v>
          </cell>
          <cell r="U745" t="str">
            <v>CELEBRADO</v>
          </cell>
          <cell r="W745" t="str">
            <v>2025-0419</v>
          </cell>
          <cell r="X745" t="str">
            <v>2025-1282</v>
          </cell>
          <cell r="AJ745">
            <v>2</v>
          </cell>
          <cell r="AK745">
            <v>0</v>
          </cell>
          <cell r="AL745">
            <v>2</v>
          </cell>
          <cell r="AM745" t="str">
            <v>$31.200.000</v>
          </cell>
        </row>
        <row r="746">
          <cell r="A746" t="str">
            <v>745-2025</v>
          </cell>
          <cell r="B746" t="str">
            <v>PRESTACION DE SERVICIOS</v>
          </cell>
          <cell r="C746" t="str">
            <v>LAUREN AZENITH CORAL SAMUDIO</v>
          </cell>
          <cell r="D746" t="str">
            <v>CC</v>
          </cell>
          <cell r="E746">
            <v>36759759</v>
          </cell>
          <cell r="F746">
            <v>0</v>
          </cell>
          <cell r="G746" t="str">
            <v>CONTRATACION DIRECTA</v>
          </cell>
          <cell r="H746">
            <v>1</v>
          </cell>
          <cell r="I746"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6">
            <v>1</v>
          </cell>
          <cell r="K746" t="str">
            <v>$ 18.920.000</v>
          </cell>
          <cell r="L746">
            <v>45903</v>
          </cell>
          <cell r="M746">
            <v>46022</v>
          </cell>
          <cell r="N746" t="str">
            <v>RODRIGO DE JESUS VITERI MORENO</v>
          </cell>
          <cell r="O746">
            <v>98390119</v>
          </cell>
          <cell r="P746" t="str">
            <v>laurencoral@live.com</v>
          </cell>
          <cell r="Q746">
            <v>45903</v>
          </cell>
          <cell r="R746" t="str">
            <v>DIANA MORA</v>
          </cell>
          <cell r="U746" t="str">
            <v>CELEBRADO</v>
          </cell>
          <cell r="W746" t="str">
            <v>2025-0419</v>
          </cell>
          <cell r="X746" t="str">
            <v>2025-1283</v>
          </cell>
          <cell r="AJ746">
            <v>2</v>
          </cell>
          <cell r="AK746">
            <v>0</v>
          </cell>
          <cell r="AL746">
            <v>2</v>
          </cell>
          <cell r="AM746" t="str">
            <v>$ 18.920.000</v>
          </cell>
        </row>
        <row r="747">
          <cell r="A747" t="str">
            <v>746-2025</v>
          </cell>
          <cell r="B747" t="str">
            <v>PRESTACION DE SERVICIOS</v>
          </cell>
          <cell r="C747" t="str">
            <v>DIANA CAROLINA MORA ESCOBAR</v>
          </cell>
          <cell r="D747" t="str">
            <v>CC</v>
          </cell>
          <cell r="E747">
            <v>1088799563</v>
          </cell>
          <cell r="F747">
            <v>5</v>
          </cell>
          <cell r="G747" t="str">
            <v>CONTRATACION DIRECTA</v>
          </cell>
          <cell r="H747">
            <v>1</v>
          </cell>
          <cell r="I747" t="str">
            <v>PRESTACIÓN DE SERVICIOS PROFESIONALES COMO ABOGADA PARA REALIZAR EL ACOMPAÑAMIENTO Y APOYO EN LA OFICINA JURÍDICA DE LOS PROCESOS DE CONTRATACIÓN RELACIONADA CON LOS EQUIPOS BÁSICOS EN SALUD (EBS) INCLUYENDO REVISIÓN Y ELABORACIÓN DE ESTUDIOS PREVIOS Y SEGUIMIENTO DE TODO EL PROCESO CONTRACTUAL DE LOS MISMOS</v>
          </cell>
          <cell r="J747">
            <v>1</v>
          </cell>
          <cell r="K747" t="str">
            <v>$7.381.846</v>
          </cell>
          <cell r="L747">
            <v>45903</v>
          </cell>
          <cell r="M747">
            <v>45961</v>
          </cell>
          <cell r="N747" t="str">
            <v>KELLY NAYIBY GUANCHA MEJIA</v>
          </cell>
          <cell r="O747">
            <v>1085256100</v>
          </cell>
          <cell r="P747" t="str">
            <v>karolinamorae@gmail.com</v>
          </cell>
          <cell r="Q747">
            <v>45903</v>
          </cell>
          <cell r="R747" t="str">
            <v>ANDERSON MEJIA</v>
          </cell>
          <cell r="U747" t="str">
            <v>CELEBRADO</v>
          </cell>
          <cell r="W747" t="str">
            <v>2025-0461</v>
          </cell>
          <cell r="X747" t="str">
            <v>2025-1284</v>
          </cell>
          <cell r="AJ747">
            <v>2</v>
          </cell>
          <cell r="AK747">
            <v>0</v>
          </cell>
          <cell r="AL747">
            <v>2</v>
          </cell>
          <cell r="AM747" t="str">
            <v>$7.381.846</v>
          </cell>
        </row>
        <row r="748">
          <cell r="A748" t="str">
            <v>747-2025</v>
          </cell>
          <cell r="B748" t="str">
            <v>PRESTACION DE SERVICIOS</v>
          </cell>
          <cell r="C748" t="str">
            <v>ANGIE PAOLA GUERRERO GARZON</v>
          </cell>
          <cell r="D748" t="str">
            <v>CC</v>
          </cell>
          <cell r="E748">
            <v>1082749648</v>
          </cell>
          <cell r="F748">
            <v>7</v>
          </cell>
          <cell r="G748" t="str">
            <v>CONTRATACION DIRECTA</v>
          </cell>
          <cell r="H748">
            <v>1</v>
          </cell>
          <cell r="I748"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8">
            <v>1</v>
          </cell>
          <cell r="K748" t="str">
            <v>$ 18.920.000</v>
          </cell>
          <cell r="L748">
            <v>45904</v>
          </cell>
          <cell r="M748">
            <v>46022</v>
          </cell>
          <cell r="N748" t="str">
            <v>RIGOBERTO MELO ZAMBRANO</v>
          </cell>
          <cell r="O748">
            <v>98333941</v>
          </cell>
          <cell r="P748" t="str">
            <v>angiepaolaguerrerogarzon@gmail.com</v>
          </cell>
          <cell r="Q748">
            <v>45904</v>
          </cell>
          <cell r="R748" t="str">
            <v>NATHALIA PORTILLA</v>
          </cell>
          <cell r="U748" t="str">
            <v>CELEBRADO</v>
          </cell>
          <cell r="W748" t="str">
            <v>2025-0419</v>
          </cell>
          <cell r="X748" t="str">
            <v>2025-1285</v>
          </cell>
          <cell r="AJ748">
            <v>2</v>
          </cell>
          <cell r="AK748">
            <v>0</v>
          </cell>
          <cell r="AL748">
            <v>2</v>
          </cell>
          <cell r="AM748" t="str">
            <v>$ 18.920.000</v>
          </cell>
        </row>
        <row r="749">
          <cell r="A749" t="str">
            <v>748-2025</v>
          </cell>
          <cell r="B749" t="str">
            <v>PRESTACION DE SERVICIOS</v>
          </cell>
          <cell r="C749" t="str">
            <v>JOSE FERNANDO CHAÑA QUENGUAN</v>
          </cell>
          <cell r="D749" t="str">
            <v>CC</v>
          </cell>
          <cell r="E749">
            <v>1085260497</v>
          </cell>
          <cell r="F749">
            <v>1</v>
          </cell>
          <cell r="G749" t="str">
            <v>CONTRATACION DIRECTA</v>
          </cell>
          <cell r="H749">
            <v>1</v>
          </cell>
          <cell r="I749"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49">
            <v>1</v>
          </cell>
          <cell r="K749" t="str">
            <v>$ 18.920.000</v>
          </cell>
          <cell r="L749">
            <v>45904</v>
          </cell>
          <cell r="M749">
            <v>46022</v>
          </cell>
          <cell r="N749" t="str">
            <v>RIGOBERTO MELO ZAMBRANO</v>
          </cell>
          <cell r="O749">
            <v>98333941</v>
          </cell>
          <cell r="P749" t="str">
            <v>fernet26@hotmail.com</v>
          </cell>
          <cell r="Q749">
            <v>45904</v>
          </cell>
          <cell r="R749" t="str">
            <v>NATHALIA PORTILLA</v>
          </cell>
          <cell r="U749" t="str">
            <v>CELEBRADO</v>
          </cell>
          <cell r="W749" t="str">
            <v>2025-0419</v>
          </cell>
          <cell r="X749" t="str">
            <v>2025-1286</v>
          </cell>
          <cell r="AJ749">
            <v>2</v>
          </cell>
          <cell r="AK749">
            <v>0</v>
          </cell>
          <cell r="AL749">
            <v>2</v>
          </cell>
          <cell r="AM749" t="str">
            <v>$ 18.920.000</v>
          </cell>
        </row>
        <row r="750">
          <cell r="A750" t="str">
            <v>749-2025</v>
          </cell>
          <cell r="B750" t="str">
            <v>PRESTACION DE SERVICIOS</v>
          </cell>
          <cell r="C750" t="str">
            <v>RAYSSA CONSTANZA FRANCO ERASO</v>
          </cell>
          <cell r="D750" t="str">
            <v>CC</v>
          </cell>
          <cell r="E750">
            <v>36757491</v>
          </cell>
          <cell r="F750">
            <v>3</v>
          </cell>
          <cell r="G750" t="str">
            <v>CONTRATACION DIRECTA</v>
          </cell>
          <cell r="H750">
            <v>1</v>
          </cell>
          <cell r="I750"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0">
            <v>1</v>
          </cell>
          <cell r="K750" t="str">
            <v>$ 18.920.000</v>
          </cell>
          <cell r="L750">
            <v>45904</v>
          </cell>
          <cell r="M750">
            <v>46022</v>
          </cell>
          <cell r="N750" t="str">
            <v>RIGOBERTO MELO ZAMBRANO</v>
          </cell>
          <cell r="O750">
            <v>98333941</v>
          </cell>
          <cell r="P750" t="str">
            <v>rayssafranco1207@gmail.com</v>
          </cell>
          <cell r="Q750">
            <v>45904</v>
          </cell>
          <cell r="R750" t="str">
            <v>DIANA MORA</v>
          </cell>
          <cell r="U750" t="str">
            <v>CELEBRADO</v>
          </cell>
          <cell r="W750" t="str">
            <v>2025-0419</v>
          </cell>
          <cell r="X750" t="str">
            <v>2025-1287</v>
          </cell>
          <cell r="AJ750">
            <v>2</v>
          </cell>
          <cell r="AK750">
            <v>0</v>
          </cell>
          <cell r="AL750">
            <v>2</v>
          </cell>
          <cell r="AM750" t="str">
            <v>$ 18.920.000</v>
          </cell>
        </row>
        <row r="751">
          <cell r="A751" t="str">
            <v>750-2025</v>
          </cell>
          <cell r="B751" t="str">
            <v>PRESTACION DE SERVICIOS</v>
          </cell>
          <cell r="C751" t="str">
            <v>YULI NATHALIA CALI RODRIGUEZ</v>
          </cell>
          <cell r="D751" t="str">
            <v>CC</v>
          </cell>
          <cell r="E751">
            <v>1233193882</v>
          </cell>
          <cell r="F751">
            <v>3</v>
          </cell>
          <cell r="G751" t="str">
            <v>CONTRATACION DIRECTA</v>
          </cell>
          <cell r="H751">
            <v>1</v>
          </cell>
          <cell r="I751"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1">
            <v>1</v>
          </cell>
          <cell r="K751" t="str">
            <v>$31.200.000</v>
          </cell>
          <cell r="L751">
            <v>45904</v>
          </cell>
          <cell r="M751">
            <v>46022</v>
          </cell>
          <cell r="N751" t="str">
            <v>RODRIGO DE JESUS VITERI MORENO</v>
          </cell>
          <cell r="O751">
            <v>98390119</v>
          </cell>
          <cell r="P751" t="str">
            <v>nthicali@gmail.com</v>
          </cell>
          <cell r="Q751">
            <v>45904</v>
          </cell>
          <cell r="R751" t="str">
            <v>DIANA MORA</v>
          </cell>
          <cell r="U751" t="str">
            <v>CELEBRADO</v>
          </cell>
          <cell r="W751" t="str">
            <v>2025-0419</v>
          </cell>
          <cell r="X751" t="str">
            <v>2025-1290</v>
          </cell>
          <cell r="AJ751">
            <v>2</v>
          </cell>
          <cell r="AK751">
            <v>0</v>
          </cell>
          <cell r="AL751">
            <v>2</v>
          </cell>
          <cell r="AM751" t="str">
            <v>$31.200.000</v>
          </cell>
        </row>
        <row r="752">
          <cell r="A752" t="str">
            <v>751-2025</v>
          </cell>
          <cell r="B752" t="str">
            <v>PRESTACION DE SERVICIOS</v>
          </cell>
          <cell r="C752" t="str">
            <v>FANNY MARIELA CORDOBA MORENO</v>
          </cell>
          <cell r="D752" t="str">
            <v>CC</v>
          </cell>
          <cell r="E752">
            <v>36757221</v>
          </cell>
          <cell r="F752">
            <v>1</v>
          </cell>
          <cell r="G752" t="str">
            <v>CONTRATACION DIRECTA</v>
          </cell>
          <cell r="H752">
            <v>1</v>
          </cell>
          <cell r="I752"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2">
            <v>1</v>
          </cell>
          <cell r="K752" t="str">
            <v>$25.200.000</v>
          </cell>
          <cell r="L752">
            <v>45904</v>
          </cell>
          <cell r="M752">
            <v>46022</v>
          </cell>
          <cell r="N752" t="str">
            <v>MARY ALEXANDRA ROSERO BENAVIDES</v>
          </cell>
          <cell r="O752">
            <v>43624414</v>
          </cell>
          <cell r="P752" t="str">
            <v>mariecordobamoreno@gmail.com</v>
          </cell>
          <cell r="Q752">
            <v>45904</v>
          </cell>
          <cell r="R752" t="str">
            <v>DIANA MORA</v>
          </cell>
          <cell r="U752" t="str">
            <v>CELEBRADO</v>
          </cell>
          <cell r="W752" t="str">
            <v>2025-0419</v>
          </cell>
          <cell r="X752" t="str">
            <v>2025-1291</v>
          </cell>
          <cell r="AJ752">
            <v>2</v>
          </cell>
          <cell r="AK752">
            <v>0</v>
          </cell>
          <cell r="AL752">
            <v>2</v>
          </cell>
          <cell r="AM752" t="str">
            <v>$25.200.000</v>
          </cell>
        </row>
        <row r="753">
          <cell r="A753" t="str">
            <v>752-2025</v>
          </cell>
          <cell r="B753" t="str">
            <v>PRESTACION DE SERVICIOS</v>
          </cell>
          <cell r="C753" t="str">
            <v>LUIS ALONSO GUEVARA DE LOS RIOS</v>
          </cell>
          <cell r="D753" t="str">
            <v>CC</v>
          </cell>
          <cell r="E753">
            <v>1085263018</v>
          </cell>
          <cell r="F753">
            <v>0</v>
          </cell>
          <cell r="G753" t="str">
            <v>CONTRATACION DIRECTA</v>
          </cell>
          <cell r="H753">
            <v>1</v>
          </cell>
          <cell r="I753"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3">
            <v>1</v>
          </cell>
          <cell r="K753" t="str">
            <v>$ 18.920.000</v>
          </cell>
          <cell r="L753">
            <v>45904</v>
          </cell>
          <cell r="M753">
            <v>46022</v>
          </cell>
          <cell r="N753" t="str">
            <v>RIGOBERTO MELO ZAMBRANO</v>
          </cell>
          <cell r="O753">
            <v>98333941</v>
          </cell>
          <cell r="P753" t="str">
            <v>alonsodelosriosg@gmail.com</v>
          </cell>
          <cell r="Q753">
            <v>45904</v>
          </cell>
          <cell r="R753" t="str">
            <v>NATHALIA PORTILLA</v>
          </cell>
          <cell r="U753" t="str">
            <v>CELEBRADO</v>
          </cell>
          <cell r="W753" t="str">
            <v>2025-0419</v>
          </cell>
          <cell r="X753" t="str">
            <v>2025-1292</v>
          </cell>
          <cell r="AJ753">
            <v>2</v>
          </cell>
          <cell r="AK753">
            <v>0</v>
          </cell>
          <cell r="AL753">
            <v>2</v>
          </cell>
          <cell r="AM753" t="str">
            <v>$ 18.920.000</v>
          </cell>
        </row>
        <row r="754">
          <cell r="A754" t="str">
            <v>753-2025</v>
          </cell>
          <cell r="B754" t="str">
            <v>PRESTACION DE SERVICIOS</v>
          </cell>
          <cell r="C754" t="str">
            <v>LABORATORIOS DE ESPECIALIDADES CLINIZAD SAS - CLINIZAD SAS</v>
          </cell>
          <cell r="D754" t="str">
            <v>NIT</v>
          </cell>
          <cell r="E754">
            <v>900360269</v>
          </cell>
          <cell r="F754">
            <v>2</v>
          </cell>
          <cell r="G754" t="str">
            <v>CONTRATACION DIRECTA</v>
          </cell>
          <cell r="H754">
            <v>2</v>
          </cell>
          <cell r="I754" t="str">
            <v>Prestación de servicios para procesamiento de muestras de laboratorio clínico y entrega de resultados de exámenes especializados descritos en el anexo técnico del contrato realizado con la rama judicial</v>
          </cell>
          <cell r="J754">
            <v>1</v>
          </cell>
          <cell r="K754" t="str">
            <v>$40.536.180</v>
          </cell>
          <cell r="L754">
            <v>45904</v>
          </cell>
          <cell r="M754">
            <v>45961</v>
          </cell>
          <cell r="N754" t="str">
            <v>LAURA XIMENA SANDOVAL REDONDO</v>
          </cell>
          <cell r="O754">
            <v>30400115</v>
          </cell>
          <cell r="P754" t="str">
            <v>contabilidad@clinizad.com</v>
          </cell>
          <cell r="Q754">
            <v>45904</v>
          </cell>
          <cell r="R754" t="str">
            <v>RODRIGO  ROSERO</v>
          </cell>
          <cell r="U754" t="str">
            <v>CELEBRADO</v>
          </cell>
          <cell r="W754" t="str">
            <v>2025-0421</v>
          </cell>
          <cell r="X754" t="str">
            <v>2025-1293</v>
          </cell>
          <cell r="AJ754">
            <v>2</v>
          </cell>
          <cell r="AK754">
            <v>0</v>
          </cell>
          <cell r="AL754">
            <v>2</v>
          </cell>
          <cell r="AM754" t="str">
            <v>$40.536.180</v>
          </cell>
        </row>
        <row r="755">
          <cell r="A755" t="str">
            <v>754-2025</v>
          </cell>
          <cell r="B755" t="str">
            <v>PRESTACION DE SERVICIOS</v>
          </cell>
          <cell r="C755" t="str">
            <v>YULLI KAROLINA CASTILLO PAZ</v>
          </cell>
          <cell r="D755" t="str">
            <v>CC</v>
          </cell>
          <cell r="E755">
            <v>1233189234</v>
          </cell>
          <cell r="F755">
            <v>5</v>
          </cell>
          <cell r="G755" t="str">
            <v>CONTRATACION DIRECTA</v>
          </cell>
          <cell r="H755">
            <v>1</v>
          </cell>
          <cell r="I755"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J755">
            <v>1</v>
          </cell>
          <cell r="K755" t="str">
            <v>$12.600.000</v>
          </cell>
          <cell r="L755">
            <v>45904</v>
          </cell>
          <cell r="M755">
            <v>46022</v>
          </cell>
          <cell r="N755" t="str">
            <v>DEYANIRA BADOS DAZA</v>
          </cell>
          <cell r="O755">
            <v>59836926</v>
          </cell>
          <cell r="P755" t="str">
            <v>karolinacastillo997@gmail.com</v>
          </cell>
          <cell r="Q755">
            <v>45904</v>
          </cell>
          <cell r="R755" t="str">
            <v>NATHALIA PORTILLA</v>
          </cell>
          <cell r="U755" t="str">
            <v>CELEBRADO</v>
          </cell>
          <cell r="W755" t="str">
            <v>2025-0419</v>
          </cell>
          <cell r="X755" t="str">
            <v>2025-1294</v>
          </cell>
          <cell r="AJ755">
            <v>2</v>
          </cell>
          <cell r="AK755">
            <v>0</v>
          </cell>
          <cell r="AL755">
            <v>2</v>
          </cell>
          <cell r="AM755" t="str">
            <v>$12.600.000</v>
          </cell>
        </row>
        <row r="756">
          <cell r="A756" t="str">
            <v>755-2025</v>
          </cell>
          <cell r="B756" t="str">
            <v>PRESTACION DE SERVICIOS</v>
          </cell>
          <cell r="C756" t="str">
            <v>GUIDO DUVAN RECALDE AREVALO</v>
          </cell>
          <cell r="D756" t="str">
            <v>CC</v>
          </cell>
          <cell r="E756">
            <v>1087006619</v>
          </cell>
          <cell r="F756">
            <v>3</v>
          </cell>
          <cell r="G756" t="str">
            <v>CONTRATACION DIRECTA</v>
          </cell>
          <cell r="H756">
            <v>1</v>
          </cell>
          <cell r="I756"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6">
            <v>1</v>
          </cell>
          <cell r="K756" t="str">
            <v>$31.200.000</v>
          </cell>
          <cell r="L756">
            <v>45904</v>
          </cell>
          <cell r="M756">
            <v>46022</v>
          </cell>
          <cell r="N756" t="str">
            <v>RIGOBERTO MELO ZAMBRANO</v>
          </cell>
          <cell r="O756">
            <v>98333941</v>
          </cell>
          <cell r="P756" t="str">
            <v>duvanrecaldedu@hotmail.com</v>
          </cell>
          <cell r="Q756">
            <v>45904</v>
          </cell>
          <cell r="R756" t="str">
            <v>DIANA MORA</v>
          </cell>
          <cell r="U756" t="str">
            <v>CELEBRADO</v>
          </cell>
          <cell r="W756" t="str">
            <v>2025-0419</v>
          </cell>
          <cell r="X756" t="str">
            <v>2025-1295</v>
          </cell>
          <cell r="AJ756">
            <v>2</v>
          </cell>
          <cell r="AK756">
            <v>0</v>
          </cell>
          <cell r="AL756">
            <v>2</v>
          </cell>
          <cell r="AM756" t="str">
            <v>$31.200.000</v>
          </cell>
        </row>
        <row r="757">
          <cell r="A757" t="str">
            <v>756-2025</v>
          </cell>
          <cell r="B757" t="str">
            <v>PRESTACION DE SERVICIOS</v>
          </cell>
          <cell r="C757" t="str">
            <v>YULY MARCELA MORALES LOPEZ</v>
          </cell>
          <cell r="D757" t="str">
            <v>CC</v>
          </cell>
          <cell r="E757">
            <v>1087414586</v>
          </cell>
          <cell r="F757">
            <v>9</v>
          </cell>
          <cell r="G757" t="str">
            <v>CONTRATACION DIRECTA</v>
          </cell>
          <cell r="H757">
            <v>1</v>
          </cell>
          <cell r="I757" t="str">
            <v>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7">
            <v>1</v>
          </cell>
          <cell r="K757" t="str">
            <v>$ 18.920.000</v>
          </cell>
          <cell r="L757">
            <v>45904</v>
          </cell>
          <cell r="M757">
            <v>46022</v>
          </cell>
          <cell r="N757" t="str">
            <v>MARY ALEXANDRA ROSERO BENAVIDES</v>
          </cell>
          <cell r="O757">
            <v>43624414</v>
          </cell>
          <cell r="P757" t="str">
            <v>marcelitamocielito@gmail.com</v>
          </cell>
          <cell r="Q757">
            <v>45904</v>
          </cell>
          <cell r="R757" t="str">
            <v>NATHALIA PORTILLA</v>
          </cell>
          <cell r="U757" t="str">
            <v>CELEBRADO</v>
          </cell>
          <cell r="W757" t="str">
            <v>2025-0419</v>
          </cell>
          <cell r="X757" t="str">
            <v>2025-1296</v>
          </cell>
          <cell r="AJ757">
            <v>2</v>
          </cell>
          <cell r="AK757">
            <v>0</v>
          </cell>
          <cell r="AL757">
            <v>2</v>
          </cell>
          <cell r="AM757" t="str">
            <v>$18.920.000</v>
          </cell>
        </row>
        <row r="758">
          <cell r="A758" t="str">
            <v>757-2025</v>
          </cell>
          <cell r="B758" t="str">
            <v>PRESTACION DE SERVICIOS</v>
          </cell>
          <cell r="C758" t="str">
            <v>DAYANA VANESSA CHAPAL MALLAMA</v>
          </cell>
          <cell r="D758" t="str">
            <v>CC</v>
          </cell>
          <cell r="E758">
            <v>1085296068</v>
          </cell>
          <cell r="F758">
            <v>0</v>
          </cell>
          <cell r="G758" t="str">
            <v>CONTRATACION DIRECTA</v>
          </cell>
          <cell r="H758">
            <v>1</v>
          </cell>
          <cell r="I758"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58">
            <v>1</v>
          </cell>
          <cell r="K758" t="str">
            <v>$25.200.000</v>
          </cell>
          <cell r="L758">
            <v>45904</v>
          </cell>
          <cell r="M758">
            <v>46022</v>
          </cell>
          <cell r="N758" t="str">
            <v>RIGOBERTO MELO ZAMBRANO</v>
          </cell>
          <cell r="O758">
            <v>98333941</v>
          </cell>
          <cell r="P758" t="str">
            <v>vanessachapalm@gmail.com</v>
          </cell>
          <cell r="Q758">
            <v>45904</v>
          </cell>
          <cell r="R758" t="str">
            <v>DIANA MORA</v>
          </cell>
          <cell r="U758" t="str">
            <v>CELEBRADO</v>
          </cell>
          <cell r="W758" t="str">
            <v>2025-0419</v>
          </cell>
          <cell r="X758" t="str">
            <v>2025-1297</v>
          </cell>
          <cell r="AJ758">
            <v>2</v>
          </cell>
          <cell r="AK758">
            <v>0</v>
          </cell>
          <cell r="AL758">
            <v>2</v>
          </cell>
          <cell r="AM758" t="str">
            <v>$25.200.000</v>
          </cell>
        </row>
        <row r="759">
          <cell r="A759" t="str">
            <v>758-2025</v>
          </cell>
          <cell r="B759" t="str">
            <v>PRESTACION DE SERVICIOS</v>
          </cell>
          <cell r="C759" t="str">
            <v>INGENIEROS CONSULTORES CONSULTING ENGINEERS S.A.S.</v>
          </cell>
          <cell r="D759" t="str">
            <v>NIT</v>
          </cell>
          <cell r="E759">
            <v>900499288</v>
          </cell>
          <cell r="F759">
            <v>0</v>
          </cell>
          <cell r="G759" t="str">
            <v>CONTRATACION DIRECTA</v>
          </cell>
          <cell r="H759">
            <v>2</v>
          </cell>
          <cell r="I759" t="str">
            <v>Prestación de servicios profesionales para la verificación cuantitativa y cualitativa en referencia a la aspiración por la Norma ISO 14001: 2015 sobre el Sistema de Gestión Ambiental. El alcance de la verificación son las sedes Hospital La Rosa, Hospital Santa Mónica, Centro de Salud San Vicente y Sede Administrativa.</v>
          </cell>
          <cell r="J759">
            <v>1</v>
          </cell>
          <cell r="K759" t="str">
            <v>$45.000.000</v>
          </cell>
          <cell r="L759">
            <v>45904</v>
          </cell>
          <cell r="M759">
            <v>46022</v>
          </cell>
          <cell r="N759" t="str">
            <v>GIOVANNY FELIPE FREYRE ROMO</v>
          </cell>
          <cell r="O759">
            <v>1085294867</v>
          </cell>
          <cell r="P759" t="str">
            <v>luismuesesc@gmail.com</v>
          </cell>
          <cell r="Q759">
            <v>45904</v>
          </cell>
          <cell r="R759" t="str">
            <v>ANDERSON MEJIA</v>
          </cell>
          <cell r="U759" t="str">
            <v>CELEBRADO</v>
          </cell>
          <cell r="W759" t="str">
            <v>2025-0414</v>
          </cell>
          <cell r="X759" t="str">
            <v>2025-1298</v>
          </cell>
          <cell r="AJ759">
            <v>2</v>
          </cell>
          <cell r="AK759">
            <v>0</v>
          </cell>
          <cell r="AL759">
            <v>2</v>
          </cell>
          <cell r="AM759" t="str">
            <v>$45.000.000</v>
          </cell>
        </row>
        <row r="760">
          <cell r="A760" t="str">
            <v>759-2025</v>
          </cell>
          <cell r="B760" t="str">
            <v>PRESTACION DE SERVICIOS</v>
          </cell>
          <cell r="C760" t="str">
            <v>JOHANA KATERINE GONZALEZ</v>
          </cell>
          <cell r="D760" t="str">
            <v>CC</v>
          </cell>
          <cell r="E760">
            <v>1085255829</v>
          </cell>
          <cell r="F760">
            <v>3</v>
          </cell>
          <cell r="G760" t="str">
            <v>CONTRATACION DIRECTA</v>
          </cell>
          <cell r="H760">
            <v>1</v>
          </cell>
          <cell r="I760"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J760">
            <v>1</v>
          </cell>
          <cell r="K760" t="str">
            <v>$12.600.000</v>
          </cell>
          <cell r="L760">
            <v>45904</v>
          </cell>
          <cell r="M760">
            <v>46022</v>
          </cell>
          <cell r="N760" t="str">
            <v>RODRIGO DE JESUS VITERI MORENO</v>
          </cell>
          <cell r="O760">
            <v>98390119</v>
          </cell>
          <cell r="P760" t="str">
            <v>catty_2586@hotmail.com</v>
          </cell>
          <cell r="Q760">
            <v>45904</v>
          </cell>
          <cell r="R760" t="str">
            <v>DIANA MORA</v>
          </cell>
          <cell r="U760" t="str">
            <v>CELEBRADO</v>
          </cell>
          <cell r="W760" t="str">
            <v>2025-0419</v>
          </cell>
          <cell r="X760" t="str">
            <v>2025-1299</v>
          </cell>
          <cell r="AJ760">
            <v>2</v>
          </cell>
          <cell r="AK760">
            <v>0</v>
          </cell>
          <cell r="AL760">
            <v>2</v>
          </cell>
          <cell r="AM760" t="str">
            <v>$12.600.000</v>
          </cell>
        </row>
        <row r="761">
          <cell r="A761" t="str">
            <v>760-2025</v>
          </cell>
          <cell r="B761" t="str">
            <v>PRESTACION DE SERVICIOS</v>
          </cell>
          <cell r="C761" t="str">
            <v>JESSICA GRACE HERNANDEZ RIASCOS</v>
          </cell>
          <cell r="D761" t="str">
            <v>CC</v>
          </cell>
          <cell r="E761">
            <v>1085283868</v>
          </cell>
          <cell r="F761">
            <v>1</v>
          </cell>
          <cell r="G761" t="str">
            <v>CONTRATACION DIRECTA</v>
          </cell>
          <cell r="H761">
            <v>1</v>
          </cell>
          <cell r="I761"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1">
            <v>1</v>
          </cell>
          <cell r="K761" t="str">
            <v>$25.200.000</v>
          </cell>
          <cell r="L761">
            <v>45904</v>
          </cell>
          <cell r="M761">
            <v>46022</v>
          </cell>
          <cell r="N761" t="str">
            <v>MARY ALEXANDRA ROSERO BENAVIDES</v>
          </cell>
          <cell r="O761">
            <v>43624414</v>
          </cell>
          <cell r="P761" t="str">
            <v>nena12075.97@gmail.com</v>
          </cell>
          <cell r="Q761">
            <v>45904</v>
          </cell>
          <cell r="R761" t="str">
            <v>DIANA MORA</v>
          </cell>
          <cell r="U761" t="str">
            <v>CELEBRADO</v>
          </cell>
          <cell r="W761" t="str">
            <v>2025-0419</v>
          </cell>
          <cell r="X761" t="str">
            <v>2025-1300</v>
          </cell>
          <cell r="AJ761">
            <v>2</v>
          </cell>
          <cell r="AK761">
            <v>0</v>
          </cell>
          <cell r="AL761">
            <v>2</v>
          </cell>
          <cell r="AM761" t="str">
            <v>$25.200.000</v>
          </cell>
        </row>
        <row r="762">
          <cell r="A762" t="str">
            <v>761-2025</v>
          </cell>
          <cell r="B762" t="str">
            <v>PRESTACION DE SERVICIOS</v>
          </cell>
          <cell r="C762" t="str">
            <v>FHALOM CAROLINA ROSERO TORRES</v>
          </cell>
          <cell r="D762" t="str">
            <v>CC</v>
          </cell>
          <cell r="E762">
            <v>1085269090</v>
          </cell>
          <cell r="F762">
            <v>9</v>
          </cell>
          <cell r="G762" t="str">
            <v>CONTRATACION DIRECTA</v>
          </cell>
          <cell r="H762">
            <v>1</v>
          </cell>
          <cell r="I762"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v>
          </cell>
          <cell r="J762">
            <v>1</v>
          </cell>
          <cell r="K762" t="str">
            <v>$12.600.000</v>
          </cell>
          <cell r="L762">
            <v>45904</v>
          </cell>
          <cell r="M762">
            <v>46022</v>
          </cell>
          <cell r="N762" t="str">
            <v>RIGOBERTO MELO ZAMBRANO</v>
          </cell>
          <cell r="O762">
            <v>98333941</v>
          </cell>
          <cell r="P762" t="str">
            <v xml:space="preserve"> roserofhalom@gmail.com</v>
          </cell>
          <cell r="Q762">
            <v>45904</v>
          </cell>
          <cell r="R762" t="str">
            <v>NATHALIA PORTILLA</v>
          </cell>
          <cell r="U762" t="str">
            <v>CELEBRADO</v>
          </cell>
          <cell r="W762" t="str">
            <v>2025-0419</v>
          </cell>
          <cell r="X762" t="str">
            <v>2025-1301</v>
          </cell>
          <cell r="AJ762">
            <v>2</v>
          </cell>
          <cell r="AK762">
            <v>0</v>
          </cell>
          <cell r="AL762">
            <v>2</v>
          </cell>
          <cell r="AM762" t="str">
            <v>$12.600.000</v>
          </cell>
        </row>
        <row r="763">
          <cell r="A763" t="str">
            <v>762-2025</v>
          </cell>
          <cell r="B763" t="str">
            <v>PRESTACION DE SERVICIOS</v>
          </cell>
          <cell r="C763" t="str">
            <v>MARIA CAMILA JURADO PAZ</v>
          </cell>
          <cell r="D763" t="str">
            <v>CC</v>
          </cell>
          <cell r="E763">
            <v>1085329980</v>
          </cell>
          <cell r="F763">
            <v>7</v>
          </cell>
          <cell r="G763" t="str">
            <v>CONTRATACION DIRECTA</v>
          </cell>
          <cell r="H763">
            <v>1</v>
          </cell>
          <cell r="I763"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3">
            <v>1</v>
          </cell>
          <cell r="K763" t="str">
            <v>$31.200.000</v>
          </cell>
          <cell r="L763">
            <v>45904</v>
          </cell>
          <cell r="M763">
            <v>46022</v>
          </cell>
          <cell r="N763" t="str">
            <v>RIGOBERTO MELO ZAMBRANO</v>
          </cell>
          <cell r="O763">
            <v>98333941</v>
          </cell>
          <cell r="P763" t="str">
            <v xml:space="preserve"> camilajuradopaz@gmail.com </v>
          </cell>
          <cell r="Q763">
            <v>45904</v>
          </cell>
          <cell r="R763" t="str">
            <v>NATHALIA PORTILLA</v>
          </cell>
          <cell r="U763" t="str">
            <v>CELEBRADO</v>
          </cell>
          <cell r="W763" t="str">
            <v>2025-0419</v>
          </cell>
          <cell r="X763" t="str">
            <v>2025-1302</v>
          </cell>
          <cell r="AJ763">
            <v>2</v>
          </cell>
          <cell r="AK763">
            <v>0</v>
          </cell>
          <cell r="AL763">
            <v>2</v>
          </cell>
          <cell r="AM763" t="str">
            <v>$31.200.000</v>
          </cell>
        </row>
        <row r="764">
          <cell r="A764" t="str">
            <v>763-2025</v>
          </cell>
          <cell r="B764" t="str">
            <v>PRESTACION DE SERVICIOS</v>
          </cell>
          <cell r="C764" t="str">
            <v>ADRIANA MARIA HIDALGO ENRIQUEZ</v>
          </cell>
          <cell r="D764" t="str">
            <v>CC</v>
          </cell>
          <cell r="E764">
            <v>1085277976</v>
          </cell>
          <cell r="F764">
            <v>2</v>
          </cell>
          <cell r="G764" t="str">
            <v>CONTRATACION DIRECTA</v>
          </cell>
          <cell r="H764">
            <v>1</v>
          </cell>
          <cell r="I764"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4">
            <v>1</v>
          </cell>
          <cell r="K764" t="str">
            <v>$25.200.000</v>
          </cell>
          <cell r="L764">
            <v>45904</v>
          </cell>
          <cell r="M764">
            <v>46022</v>
          </cell>
          <cell r="N764" t="str">
            <v>MARY ALEXANDRA ROSERO BENAVIDES</v>
          </cell>
          <cell r="O764">
            <v>43624414</v>
          </cell>
          <cell r="P764" t="str">
            <v>adrissahidalgoenriquez@gmail.com</v>
          </cell>
          <cell r="Q764">
            <v>45904</v>
          </cell>
          <cell r="R764" t="str">
            <v>NATHALIA PORTILLA</v>
          </cell>
          <cell r="U764" t="str">
            <v>CELEBRADO</v>
          </cell>
          <cell r="W764" t="str">
            <v>2025-0419</v>
          </cell>
          <cell r="X764" t="str">
            <v>2025-1303</v>
          </cell>
          <cell r="AJ764">
            <v>2</v>
          </cell>
          <cell r="AK764">
            <v>0</v>
          </cell>
          <cell r="AL764">
            <v>2</v>
          </cell>
          <cell r="AM764" t="str">
            <v>$25.200.000</v>
          </cell>
        </row>
        <row r="765">
          <cell r="A765" t="str">
            <v>764-2025</v>
          </cell>
          <cell r="B765" t="str">
            <v>PRESTACION DE SERVICIOS</v>
          </cell>
          <cell r="C765" t="str">
            <v>DIANA MARIA ERASO ALAVA,</v>
          </cell>
          <cell r="D765" t="str">
            <v>CC</v>
          </cell>
          <cell r="E765">
            <v>59651018</v>
          </cell>
          <cell r="F765">
            <v>1</v>
          </cell>
          <cell r="G765" t="str">
            <v>CONTRATACION DIRECTA</v>
          </cell>
          <cell r="H765">
            <v>1</v>
          </cell>
          <cell r="I765"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5">
            <v>1</v>
          </cell>
          <cell r="K765" t="str">
            <v>$18.920.000</v>
          </cell>
          <cell r="L765">
            <v>45905</v>
          </cell>
          <cell r="M765">
            <v>46022</v>
          </cell>
          <cell r="N765" t="str">
            <v>MARY ALEXANDRA ROSERO BENAVIDES</v>
          </cell>
          <cell r="O765">
            <v>43624414</v>
          </cell>
          <cell r="P765" t="str">
            <v>dianaeraso@gmail.com</v>
          </cell>
          <cell r="Q765">
            <v>45905</v>
          </cell>
          <cell r="R765" t="str">
            <v>RODRIGO  ROSERO</v>
          </cell>
          <cell r="U765" t="str">
            <v>CELEBRADO</v>
          </cell>
          <cell r="W765" t="str">
            <v>2025-0419</v>
          </cell>
          <cell r="X765" t="str">
            <v>2025-1306</v>
          </cell>
          <cell r="AJ765">
            <v>2</v>
          </cell>
          <cell r="AK765">
            <v>0</v>
          </cell>
          <cell r="AL765">
            <v>2</v>
          </cell>
          <cell r="AM765" t="str">
            <v>$18.920.000</v>
          </cell>
        </row>
        <row r="766">
          <cell r="A766" t="str">
            <v>765-2025</v>
          </cell>
          <cell r="B766" t="str">
            <v>PRESTACION DE SERVICIOS</v>
          </cell>
          <cell r="C766" t="str">
            <v>JOSE JAVIER PINTA YAQUENO</v>
          </cell>
          <cell r="D766" t="str">
            <v>CC</v>
          </cell>
          <cell r="E766">
            <v>98382500</v>
          </cell>
          <cell r="F766">
            <v>6</v>
          </cell>
          <cell r="G766" t="str">
            <v>CONTRATACION DIRECTA</v>
          </cell>
          <cell r="H766">
            <v>1</v>
          </cell>
          <cell r="I766" t="str">
            <v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766">
            <v>1</v>
          </cell>
          <cell r="K766" t="str">
            <v>$12.600.000</v>
          </cell>
          <cell r="L766">
            <v>45905</v>
          </cell>
          <cell r="M766">
            <v>46022</v>
          </cell>
          <cell r="N766" t="str">
            <v>MARY ALEXANDRA ROSERO BENAVIDES</v>
          </cell>
          <cell r="O766">
            <v>43624414</v>
          </cell>
          <cell r="P766" t="str">
            <v xml:space="preserve"> josejavierpinta@gmail.com</v>
          </cell>
          <cell r="Q766">
            <v>45905</v>
          </cell>
          <cell r="R766" t="str">
            <v>DIANA MORA</v>
          </cell>
          <cell r="U766" t="str">
            <v>CELEBRADO</v>
          </cell>
          <cell r="W766" t="str">
            <v>2025-0419</v>
          </cell>
          <cell r="X766" t="str">
            <v>2025-1307</v>
          </cell>
          <cell r="AJ766">
            <v>2</v>
          </cell>
          <cell r="AK766">
            <v>0</v>
          </cell>
          <cell r="AL766">
            <v>2</v>
          </cell>
          <cell r="AM766" t="str">
            <v>$12.600.000</v>
          </cell>
        </row>
        <row r="767">
          <cell r="A767" t="str">
            <v>766-2025</v>
          </cell>
          <cell r="B767" t="str">
            <v>PRESTACION DE SERVICIOS</v>
          </cell>
          <cell r="C767" t="str">
            <v>YULIANA RODRIGUEZ GUAITARILLA</v>
          </cell>
          <cell r="D767" t="str">
            <v>CC</v>
          </cell>
          <cell r="E767">
            <v>1193424771</v>
          </cell>
          <cell r="F767">
            <v>2</v>
          </cell>
          <cell r="G767" t="str">
            <v>CONTRATACION DIRECTA</v>
          </cell>
          <cell r="H767">
            <v>1</v>
          </cell>
          <cell r="I767" t="str">
            <v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767">
            <v>1</v>
          </cell>
          <cell r="K767" t="str">
            <v xml:space="preserve">$18.920.000
</v>
          </cell>
          <cell r="L767">
            <v>45905</v>
          </cell>
          <cell r="M767">
            <v>46022</v>
          </cell>
          <cell r="N767" t="str">
            <v>RIGOBERTO MELO ZAMBRANO</v>
          </cell>
          <cell r="O767">
            <v>98333941</v>
          </cell>
          <cell r="P767" t="str">
            <v xml:space="preserve"> yrodriguezguaitarilla@gmail.com</v>
          </cell>
          <cell r="Q767">
            <v>45905</v>
          </cell>
          <cell r="R767" t="str">
            <v>NATHALIA PORTILLA</v>
          </cell>
          <cell r="U767" t="str">
            <v>CELEBRADO</v>
          </cell>
          <cell r="W767" t="str">
            <v>2025-0419</v>
          </cell>
          <cell r="X767" t="str">
            <v>2025-1308</v>
          </cell>
          <cell r="AJ767">
            <v>2</v>
          </cell>
          <cell r="AK767">
            <v>0</v>
          </cell>
          <cell r="AL767">
            <v>2</v>
          </cell>
          <cell r="AM767" t="str">
            <v>$18.920.000</v>
          </cell>
        </row>
        <row r="768">
          <cell r="A768" t="str">
            <v>767-2025</v>
          </cell>
          <cell r="B768" t="str">
            <v>PRESTACION DE SERVICIOS</v>
          </cell>
          <cell r="C768" t="str">
            <v>CAMILO JAVIER OÑATE BUCHELI</v>
          </cell>
          <cell r="D768" t="str">
            <v>CC</v>
          </cell>
          <cell r="E768">
            <v>1085293105</v>
          </cell>
          <cell r="F768">
            <v>1</v>
          </cell>
          <cell r="G768" t="str">
            <v>CONTRATACION DIRECTA</v>
          </cell>
          <cell r="H768">
            <v>1</v>
          </cell>
          <cell r="I768"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8">
            <v>1</v>
          </cell>
          <cell r="K768" t="str">
            <v>$31.200.000</v>
          </cell>
          <cell r="L768">
            <v>45905</v>
          </cell>
          <cell r="M768">
            <v>46022</v>
          </cell>
          <cell r="N768" t="str">
            <v>MARY ALEXANDRA ROSERO BENAVIDES</v>
          </cell>
          <cell r="O768">
            <v>43624414</v>
          </cell>
          <cell r="P768" t="str">
            <v>cob8332@gmail.com</v>
          </cell>
          <cell r="Q768">
            <v>45905</v>
          </cell>
          <cell r="R768" t="str">
            <v>NATHALIA PORTILLA</v>
          </cell>
          <cell r="U768" t="str">
            <v>CELEBRADO</v>
          </cell>
          <cell r="W768" t="str">
            <v>2025-0419</v>
          </cell>
          <cell r="X768" t="str">
            <v>2025-1309</v>
          </cell>
          <cell r="AJ768">
            <v>2</v>
          </cell>
          <cell r="AK768">
            <v>0</v>
          </cell>
          <cell r="AL768">
            <v>2</v>
          </cell>
          <cell r="AM768" t="str">
            <v>$31.200.000</v>
          </cell>
        </row>
        <row r="769">
          <cell r="A769" t="str">
            <v>768-2025</v>
          </cell>
          <cell r="B769" t="str">
            <v>PRESTACION DE SERVICIOS</v>
          </cell>
          <cell r="C769" t="str">
            <v>DANNY ALEXANDER
SANCHEZ ESTRADA</v>
          </cell>
          <cell r="D769" t="str">
            <v>CC</v>
          </cell>
          <cell r="E769">
            <v>1085264667</v>
          </cell>
          <cell r="F769">
            <v>5</v>
          </cell>
          <cell r="G769" t="str">
            <v>CONTRATACION DIRECTA</v>
          </cell>
          <cell r="H769">
            <v>1</v>
          </cell>
          <cell r="I769" t="str">
            <v>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69">
            <v>1</v>
          </cell>
          <cell r="K769" t="str">
            <v>$18.920.000</v>
          </cell>
          <cell r="L769">
            <v>45905</v>
          </cell>
          <cell r="M769">
            <v>46022</v>
          </cell>
          <cell r="N769" t="str">
            <v>RIGOBERTO MELO ZAMBRANO</v>
          </cell>
          <cell r="O769">
            <v>98333941</v>
          </cell>
          <cell r="P769" t="str">
            <v xml:space="preserve"> dansan8813@hotmail.com</v>
          </cell>
          <cell r="Q769">
            <v>45905</v>
          </cell>
          <cell r="R769" t="str">
            <v>DIANA MORA</v>
          </cell>
          <cell r="U769" t="str">
            <v>CELEBRADO</v>
          </cell>
          <cell r="W769" t="str">
            <v>2025-0419</v>
          </cell>
          <cell r="X769" t="str">
            <v>2025-1310</v>
          </cell>
          <cell r="AJ769">
            <v>2</v>
          </cell>
          <cell r="AK769">
            <v>0</v>
          </cell>
          <cell r="AL769">
            <v>2</v>
          </cell>
          <cell r="AM769" t="str">
            <v>$18.920.000</v>
          </cell>
        </row>
        <row r="770">
          <cell r="A770" t="str">
            <v>769-2025</v>
          </cell>
          <cell r="B770" t="str">
            <v>PRESTACION DE SERVICIOS</v>
          </cell>
          <cell r="C770" t="str">
            <v>JANETH EMILSE DIAZ ARCINIEGAS</v>
          </cell>
          <cell r="D770" t="str">
            <v>CC</v>
          </cell>
          <cell r="E770">
            <v>27087475</v>
          </cell>
          <cell r="F770">
            <v>7</v>
          </cell>
          <cell r="G770" t="str">
            <v>CONTRATACION DIRECTA</v>
          </cell>
          <cell r="H770">
            <v>1</v>
          </cell>
          <cell r="I770"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0">
            <v>1</v>
          </cell>
          <cell r="K770" t="str">
            <v>$18.920.000</v>
          </cell>
          <cell r="L770">
            <v>45905</v>
          </cell>
          <cell r="M770">
            <v>46022</v>
          </cell>
          <cell r="N770" t="str">
            <v>MARY ALEXANDRA ROSERO BENAVIDES</v>
          </cell>
          <cell r="O770">
            <v>43624414</v>
          </cell>
          <cell r="P770" t="str">
            <v xml:space="preserve"> emilsediaz10@gmail.com</v>
          </cell>
          <cell r="Q770">
            <v>45905</v>
          </cell>
          <cell r="R770" t="str">
            <v>NATHALIA PORTILLA</v>
          </cell>
          <cell r="U770" t="str">
            <v>CELEBRADO</v>
          </cell>
          <cell r="W770" t="str">
            <v>2025-0419</v>
          </cell>
          <cell r="X770" t="str">
            <v>2025-1311</v>
          </cell>
          <cell r="AJ770">
            <v>2</v>
          </cell>
          <cell r="AK770">
            <v>0</v>
          </cell>
          <cell r="AL770">
            <v>2</v>
          </cell>
          <cell r="AM770" t="str">
            <v>$18.920.000</v>
          </cell>
        </row>
        <row r="771">
          <cell r="A771" t="str">
            <v>770-2025</v>
          </cell>
          <cell r="B771" t="str">
            <v>PRESTACION DE SERVICIOS</v>
          </cell>
          <cell r="C771" t="str">
            <v>JENIFER AREVALO CRIOLLO</v>
          </cell>
          <cell r="D771" t="str">
            <v>CC</v>
          </cell>
          <cell r="E771">
            <v>1085318684</v>
          </cell>
          <cell r="F771">
            <v>4</v>
          </cell>
          <cell r="G771" t="str">
            <v>CONTRATACION DIRECTA</v>
          </cell>
          <cell r="H771">
            <v>1</v>
          </cell>
          <cell r="I771"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1">
            <v>1</v>
          </cell>
          <cell r="K771" t="str">
            <v>$18.920.000</v>
          </cell>
          <cell r="L771">
            <v>45905</v>
          </cell>
          <cell r="M771">
            <v>46022</v>
          </cell>
          <cell r="N771" t="str">
            <v>RIGOBERTO MELO ZAMBRANO</v>
          </cell>
          <cell r="O771">
            <v>98333941</v>
          </cell>
          <cell r="P771" t="str">
            <v>jenniifer flq@hotmail.com</v>
          </cell>
          <cell r="Q771">
            <v>45905</v>
          </cell>
          <cell r="R771" t="str">
            <v>ELIANA BENAVIDES</v>
          </cell>
          <cell r="U771" t="str">
            <v>CELEBRADO</v>
          </cell>
          <cell r="W771" t="str">
            <v>2025-0419</v>
          </cell>
          <cell r="X771" t="str">
            <v>2025-1312</v>
          </cell>
          <cell r="AJ771">
            <v>2</v>
          </cell>
          <cell r="AK771">
            <v>0</v>
          </cell>
          <cell r="AL771">
            <v>2</v>
          </cell>
          <cell r="AM771" t="str">
            <v>$18.920.000</v>
          </cell>
        </row>
        <row r="772">
          <cell r="A772" t="str">
            <v>771-2025</v>
          </cell>
          <cell r="B772" t="str">
            <v>PRESTACION DE SERVICIOS</v>
          </cell>
          <cell r="C772" t="str">
            <v>NATALIA ANDREA LATORRE RUANO</v>
          </cell>
          <cell r="D772" t="str">
            <v>CC</v>
          </cell>
          <cell r="E772">
            <v>36953206</v>
          </cell>
          <cell r="F772">
            <v>0</v>
          </cell>
          <cell r="G772" t="str">
            <v>CONTRATACION DIRECTA</v>
          </cell>
          <cell r="H772">
            <v>1</v>
          </cell>
          <cell r="I772"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2">
            <v>1</v>
          </cell>
          <cell r="K772" t="str">
            <v>$18.920.000</v>
          </cell>
          <cell r="L772">
            <v>45905</v>
          </cell>
          <cell r="M772">
            <v>46022</v>
          </cell>
          <cell r="N772" t="str">
            <v>MARY ALEXANDRA ROSERO BENAVIDES</v>
          </cell>
          <cell r="O772">
            <v>43624414</v>
          </cell>
          <cell r="P772" t="str">
            <v>natalat7@hotmail.com</v>
          </cell>
          <cell r="Q772">
            <v>45905</v>
          </cell>
          <cell r="R772" t="str">
            <v>ANDERSON MEJIA</v>
          </cell>
          <cell r="U772" t="str">
            <v>CELEBRADO</v>
          </cell>
          <cell r="W772" t="str">
            <v>2025-0419</v>
          </cell>
          <cell r="X772" t="str">
            <v>2025-1313</v>
          </cell>
          <cell r="AJ772">
            <v>2</v>
          </cell>
          <cell r="AK772">
            <v>0</v>
          </cell>
          <cell r="AL772">
            <v>2</v>
          </cell>
          <cell r="AM772" t="str">
            <v>$18.920.000</v>
          </cell>
        </row>
        <row r="773">
          <cell r="A773" t="str">
            <v>772-2025</v>
          </cell>
          <cell r="B773" t="str">
            <v>PRESTACION DE SERVICIOS</v>
          </cell>
          <cell r="C773" t="str">
            <v>ANGIE VALERIA PAZ PAZ</v>
          </cell>
          <cell r="D773" t="str">
            <v>CC</v>
          </cell>
          <cell r="E773">
            <v>1193292339</v>
          </cell>
          <cell r="F773">
            <v>5</v>
          </cell>
          <cell r="G773" t="str">
            <v>CONTRATACION DIRECTA</v>
          </cell>
          <cell r="H773">
            <v>1</v>
          </cell>
          <cell r="I773"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3">
            <v>1</v>
          </cell>
          <cell r="K773" t="str">
            <v>$31.200.000</v>
          </cell>
          <cell r="L773">
            <v>45905</v>
          </cell>
          <cell r="M773">
            <v>46022</v>
          </cell>
          <cell r="N773" t="str">
            <v>RIGOBERTO MELO ZAMBRANO</v>
          </cell>
          <cell r="O773">
            <v>98333941</v>
          </cell>
          <cell r="P773" t="str">
            <v>pazpazangievaleria5@gmail.com</v>
          </cell>
          <cell r="Q773">
            <v>45905</v>
          </cell>
          <cell r="R773" t="str">
            <v>NATHALIA PORTILLA</v>
          </cell>
          <cell r="U773" t="str">
            <v>CELEBRADO</v>
          </cell>
          <cell r="W773" t="str">
            <v>2025-0419</v>
          </cell>
          <cell r="X773" t="str">
            <v>2025-1314</v>
          </cell>
          <cell r="AJ773">
            <v>2</v>
          </cell>
          <cell r="AK773">
            <v>0</v>
          </cell>
          <cell r="AL773">
            <v>2</v>
          </cell>
          <cell r="AM773" t="str">
            <v>$31.200.000</v>
          </cell>
        </row>
        <row r="774">
          <cell r="A774" t="str">
            <v>773-2025</v>
          </cell>
          <cell r="B774" t="str">
            <v>PRESTACION DE SERVICIOS</v>
          </cell>
          <cell r="C774" t="str">
            <v>ELIANA STHEPANIE CAICEDO ALVAREZ</v>
          </cell>
          <cell r="D774" t="str">
            <v>CC</v>
          </cell>
          <cell r="E774">
            <v>1085286476</v>
          </cell>
          <cell r="F774">
            <v>1</v>
          </cell>
          <cell r="G774" t="str">
            <v>CONTRATACION DIRECTA</v>
          </cell>
          <cell r="H774">
            <v>1</v>
          </cell>
          <cell r="I774"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4">
            <v>1</v>
          </cell>
          <cell r="K774" t="str">
            <v>$25.200.000</v>
          </cell>
          <cell r="L774">
            <v>45905</v>
          </cell>
          <cell r="M774">
            <v>46022</v>
          </cell>
          <cell r="N774" t="str">
            <v>DEYANIRA BADOS DAZA</v>
          </cell>
          <cell r="O774">
            <v>59836926</v>
          </cell>
          <cell r="P774" t="str">
            <v>eliacaicedo1704@gmail.com</v>
          </cell>
          <cell r="Q774">
            <v>45905</v>
          </cell>
          <cell r="R774" t="str">
            <v>NATHALIA PORTILLA</v>
          </cell>
          <cell r="U774" t="str">
            <v>CELEBRADO</v>
          </cell>
          <cell r="W774" t="str">
            <v>2025-0419</v>
          </cell>
          <cell r="X774" t="str">
            <v>2025-1315</v>
          </cell>
          <cell r="AJ774">
            <v>2</v>
          </cell>
          <cell r="AK774">
            <v>0</v>
          </cell>
          <cell r="AL774">
            <v>2</v>
          </cell>
          <cell r="AM774" t="str">
            <v>$25.200.000</v>
          </cell>
        </row>
        <row r="775">
          <cell r="A775" t="str">
            <v>774-2025</v>
          </cell>
          <cell r="B775" t="str">
            <v>PRESTACION DE SERVICIOS</v>
          </cell>
          <cell r="C775" t="str">
            <v>ANA ALEJANDRA SALAZAR RAMIREZ</v>
          </cell>
          <cell r="D775" t="str">
            <v>CC</v>
          </cell>
          <cell r="E775">
            <v>1085315013</v>
          </cell>
          <cell r="F775">
            <v>9</v>
          </cell>
          <cell r="G775" t="str">
            <v>CONTRATACION DIRECTA</v>
          </cell>
          <cell r="H775">
            <v>1</v>
          </cell>
          <cell r="I77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5">
            <v>1</v>
          </cell>
          <cell r="K775" t="str">
            <v>$12.600.000</v>
          </cell>
          <cell r="L775">
            <v>45905</v>
          </cell>
          <cell r="M775">
            <v>46022</v>
          </cell>
          <cell r="N775" t="str">
            <v>RODRIGO DE JESUS VITERI MORENO</v>
          </cell>
          <cell r="O775">
            <v>98390119</v>
          </cell>
          <cell r="P775" t="str">
            <v xml:space="preserve">alesramirez28@gmail.com </v>
          </cell>
          <cell r="Q775">
            <v>45905</v>
          </cell>
          <cell r="R775" t="str">
            <v>NATHALIA PORTILLA</v>
          </cell>
          <cell r="U775" t="str">
            <v>CELEBRADO</v>
          </cell>
          <cell r="W775" t="str">
            <v>2025-0419</v>
          </cell>
          <cell r="X775" t="str">
            <v>2025-1316</v>
          </cell>
          <cell r="AJ775">
            <v>2</v>
          </cell>
          <cell r="AK775">
            <v>0</v>
          </cell>
          <cell r="AL775">
            <v>2</v>
          </cell>
          <cell r="AM775" t="str">
            <v>$12.600.000</v>
          </cell>
        </row>
        <row r="776">
          <cell r="A776" t="str">
            <v>775-2025</v>
          </cell>
          <cell r="B776" t="str">
            <v>PRESTACION DE SERVICIOS</v>
          </cell>
          <cell r="C776" t="str">
            <v>JINNETH PAOLA LOPEZ AGUIRRE</v>
          </cell>
          <cell r="D776" t="str">
            <v>CC</v>
          </cell>
          <cell r="E776">
            <v>1084228089</v>
          </cell>
          <cell r="F776">
            <v>1</v>
          </cell>
          <cell r="G776" t="str">
            <v>CONTRATACION DIRECTA</v>
          </cell>
          <cell r="H776">
            <v>1</v>
          </cell>
          <cell r="I776"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6">
            <v>1</v>
          </cell>
          <cell r="K776" t="str">
            <v>$25.200.000</v>
          </cell>
          <cell r="L776">
            <v>45905</v>
          </cell>
          <cell r="M776">
            <v>46022</v>
          </cell>
          <cell r="N776" t="str">
            <v>RIGOBERTO MELO ZAMBRANO</v>
          </cell>
          <cell r="O776">
            <v>98333941</v>
          </cell>
          <cell r="P776" t="str">
            <v xml:space="preserve"> paolaaguirre.lopez@gmail.com</v>
          </cell>
          <cell r="Q776">
            <v>45905</v>
          </cell>
          <cell r="R776" t="str">
            <v>NATHALIA PORTILLA</v>
          </cell>
          <cell r="U776" t="str">
            <v>CELEBRADO</v>
          </cell>
          <cell r="W776" t="str">
            <v>2025-0419</v>
          </cell>
          <cell r="X776" t="str">
            <v>2025-1317</v>
          </cell>
          <cell r="AJ776">
            <v>2</v>
          </cell>
          <cell r="AK776">
            <v>0</v>
          </cell>
          <cell r="AL776">
            <v>2</v>
          </cell>
          <cell r="AM776" t="str">
            <v>$25.200.000</v>
          </cell>
        </row>
        <row r="777">
          <cell r="A777" t="str">
            <v>776-2025</v>
          </cell>
          <cell r="B777" t="str">
            <v>PRESTACION DE SERVICIOS</v>
          </cell>
          <cell r="C777" t="str">
            <v>JAZMIN ELIZABETH ARCE CALDERON</v>
          </cell>
          <cell r="D777" t="str">
            <v>CC</v>
          </cell>
          <cell r="E777">
            <v>1085318201</v>
          </cell>
          <cell r="F777">
            <v>0</v>
          </cell>
          <cell r="G777" t="str">
            <v>CONTRATACION DIRECTA</v>
          </cell>
          <cell r="H777">
            <v>1</v>
          </cell>
          <cell r="I777"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7">
            <v>1</v>
          </cell>
          <cell r="K777" t="str">
            <v>$18.920.000</v>
          </cell>
          <cell r="L777">
            <v>45905</v>
          </cell>
          <cell r="M777">
            <v>46022</v>
          </cell>
          <cell r="N777" t="str">
            <v>RIGOBERTO MELO ZAMBRANO</v>
          </cell>
          <cell r="O777">
            <v>98333941</v>
          </cell>
          <cell r="P777" t="str">
            <v xml:space="preserve"> jazminarce629@gmail.com</v>
          </cell>
          <cell r="Q777">
            <v>45905</v>
          </cell>
          <cell r="R777" t="str">
            <v>NATHALIA PORTILLA</v>
          </cell>
          <cell r="U777" t="str">
            <v>CELEBRADO</v>
          </cell>
          <cell r="W777" t="str">
            <v>2025-0419</v>
          </cell>
          <cell r="X777" t="str">
            <v>2025-1318</v>
          </cell>
          <cell r="AJ777">
            <v>2</v>
          </cell>
          <cell r="AK777">
            <v>0</v>
          </cell>
          <cell r="AL777">
            <v>2</v>
          </cell>
          <cell r="AM777" t="str">
            <v>$18.920.000</v>
          </cell>
        </row>
        <row r="778">
          <cell r="A778" t="str">
            <v>777-2025</v>
          </cell>
          <cell r="B778" t="str">
            <v>PRESTACION DE SERVICIOS</v>
          </cell>
          <cell r="C778" t="str">
            <v>LYNN JANINA ORTIZ PAZ</v>
          </cell>
          <cell r="D778" t="str">
            <v>CC</v>
          </cell>
          <cell r="E778">
            <v>69028150</v>
          </cell>
          <cell r="F778">
            <v>1</v>
          </cell>
          <cell r="G778" t="str">
            <v>CONTRATACION DIRECTA</v>
          </cell>
          <cell r="H778">
            <v>1</v>
          </cell>
          <cell r="I778"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8">
            <v>1</v>
          </cell>
          <cell r="K778" t="str">
            <v>$12.600.000</v>
          </cell>
          <cell r="L778">
            <v>45905</v>
          </cell>
          <cell r="M778">
            <v>46022</v>
          </cell>
          <cell r="N778" t="str">
            <v>DEYANIRA BADOS DAZA</v>
          </cell>
          <cell r="O778">
            <v>59836926</v>
          </cell>
          <cell r="P778" t="str">
            <v>lynnjaninaortiz64@gmail.com</v>
          </cell>
          <cell r="Q778">
            <v>45905</v>
          </cell>
          <cell r="R778" t="str">
            <v>ELIANA BENAVIDES</v>
          </cell>
          <cell r="U778" t="str">
            <v>CELEBRADO</v>
          </cell>
          <cell r="W778" t="str">
            <v>2025-0419</v>
          </cell>
          <cell r="X778" t="str">
            <v>2025-1319</v>
          </cell>
          <cell r="AJ778">
            <v>2</v>
          </cell>
          <cell r="AK778">
            <v>0</v>
          </cell>
          <cell r="AL778">
            <v>2</v>
          </cell>
          <cell r="AM778" t="str">
            <v>$12.600.000</v>
          </cell>
        </row>
        <row r="779">
          <cell r="A779" t="str">
            <v>778-2025</v>
          </cell>
          <cell r="B779" t="str">
            <v>PRESTACION DE SERVICIOS</v>
          </cell>
          <cell r="C779" t="str">
            <v>DIANA MARCELA RODRIGUEZ MORA</v>
          </cell>
          <cell r="D779" t="str">
            <v>CC</v>
          </cell>
          <cell r="E779">
            <v>1085299577</v>
          </cell>
          <cell r="F779">
            <v>1</v>
          </cell>
          <cell r="G779" t="str">
            <v>CONTRATACION DIRECTA</v>
          </cell>
          <cell r="H779">
            <v>1</v>
          </cell>
          <cell r="I779"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79">
            <v>1</v>
          </cell>
          <cell r="K779" t="str">
            <v>$25.200.000</v>
          </cell>
          <cell r="L779">
            <v>45905</v>
          </cell>
          <cell r="M779">
            <v>46022</v>
          </cell>
          <cell r="N779" t="str">
            <v>RODRIGO DE JESUS VITERI MORENO</v>
          </cell>
          <cell r="O779">
            <v>98390119</v>
          </cell>
          <cell r="P779" t="str">
            <v>rodriguez.diana9208@gmail.com</v>
          </cell>
          <cell r="Q779">
            <v>45905</v>
          </cell>
          <cell r="R779" t="str">
            <v>NATHALIA PORTILLA</v>
          </cell>
          <cell r="U779" t="str">
            <v>CELEBRADO</v>
          </cell>
          <cell r="W779" t="str">
            <v>2025-0419</v>
          </cell>
          <cell r="X779" t="str">
            <v>2025-1320</v>
          </cell>
          <cell r="AJ779">
            <v>2</v>
          </cell>
          <cell r="AK779">
            <v>0</v>
          </cell>
          <cell r="AL779">
            <v>2</v>
          </cell>
          <cell r="AM779" t="str">
            <v>$25.200.000</v>
          </cell>
        </row>
        <row r="780">
          <cell r="A780" t="str">
            <v>779-2025</v>
          </cell>
          <cell r="B780" t="str">
            <v>PRESTACION DE SERVICIOS</v>
          </cell>
          <cell r="C780" t="str">
            <v>DANIELA FERNANDA BASTIDAS VILLOTA</v>
          </cell>
          <cell r="D780" t="str">
            <v>CC</v>
          </cell>
          <cell r="E780">
            <v>1088734182</v>
          </cell>
          <cell r="F780">
            <v>3</v>
          </cell>
          <cell r="G780" t="str">
            <v>CONTRATACION DIRECTA</v>
          </cell>
          <cell r="H780">
            <v>1</v>
          </cell>
          <cell r="I780"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0">
            <v>1</v>
          </cell>
          <cell r="K780" t="str">
            <v>$31.200.000</v>
          </cell>
          <cell r="L780">
            <v>45905</v>
          </cell>
          <cell r="M780">
            <v>46022</v>
          </cell>
          <cell r="N780" t="str">
            <v>RIGOBERTO MELO ZAMBRANO</v>
          </cell>
          <cell r="O780">
            <v>98333941</v>
          </cell>
          <cell r="P780" t="str">
            <v>fernandabastd@gmail.com</v>
          </cell>
          <cell r="Q780">
            <v>45905</v>
          </cell>
          <cell r="R780" t="str">
            <v>NATHALIA PORTILLA</v>
          </cell>
          <cell r="U780" t="str">
            <v>CELEBRADO</v>
          </cell>
          <cell r="W780" t="str">
            <v>2025-0419</v>
          </cell>
          <cell r="X780" t="str">
            <v>2025-1321</v>
          </cell>
          <cell r="AJ780">
            <v>2</v>
          </cell>
          <cell r="AK780">
            <v>0</v>
          </cell>
          <cell r="AL780">
            <v>2</v>
          </cell>
          <cell r="AM780" t="str">
            <v>$31.200.000</v>
          </cell>
        </row>
        <row r="781">
          <cell r="A781" t="str">
            <v>780-2025</v>
          </cell>
          <cell r="B781" t="str">
            <v>PRESTACION DE SERVICIOS</v>
          </cell>
          <cell r="C781" t="str">
            <v>KAREN MARGARITA LOPEZ BRAND</v>
          </cell>
          <cell r="D781" t="str">
            <v>CC</v>
          </cell>
          <cell r="E781">
            <v>1022426162</v>
          </cell>
          <cell r="F781">
            <v>5</v>
          </cell>
          <cell r="G781" t="str">
            <v>CONTRATACION DIRECTA</v>
          </cell>
          <cell r="H781">
            <v>1</v>
          </cell>
          <cell r="I781"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1">
            <v>1</v>
          </cell>
          <cell r="K781" t="str">
            <v>$31.200.000</v>
          </cell>
          <cell r="L781">
            <v>45905</v>
          </cell>
          <cell r="M781">
            <v>46022</v>
          </cell>
          <cell r="N781" t="str">
            <v>RIGOBERTO MELO ZAMBRANO</v>
          </cell>
          <cell r="O781">
            <v>98333941</v>
          </cell>
          <cell r="P781" t="str">
            <v>karenlb09@outlook.com</v>
          </cell>
          <cell r="Q781">
            <v>45905</v>
          </cell>
          <cell r="R781" t="str">
            <v>JUAN GOMEZ</v>
          </cell>
          <cell r="U781" t="str">
            <v>CELEBRADO</v>
          </cell>
          <cell r="W781" t="str">
            <v>2025-0419</v>
          </cell>
          <cell r="X781" t="str">
            <v>2025-1322</v>
          </cell>
          <cell r="AJ781">
            <v>2</v>
          </cell>
          <cell r="AK781">
            <v>0</v>
          </cell>
          <cell r="AL781">
            <v>2</v>
          </cell>
          <cell r="AM781" t="str">
            <v>$31.200.000</v>
          </cell>
        </row>
        <row r="782">
          <cell r="A782" t="str">
            <v>781-2025</v>
          </cell>
          <cell r="B782" t="str">
            <v>PRESTACION DE SERVICIOS</v>
          </cell>
          <cell r="C782" t="str">
            <v>JULIANA VALENTINA MENDEZ ORTIZ</v>
          </cell>
          <cell r="D782" t="str">
            <v>CC</v>
          </cell>
          <cell r="E782">
            <v>1010010954</v>
          </cell>
          <cell r="F782">
            <v>1</v>
          </cell>
          <cell r="G782" t="str">
            <v>CONTRATACION DIRECTA</v>
          </cell>
          <cell r="H782">
            <v>1</v>
          </cell>
          <cell r="I782" t="str">
            <v>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v>
          </cell>
          <cell r="J782">
            <v>1</v>
          </cell>
          <cell r="K782" t="str">
            <v>$25.200.000</v>
          </cell>
          <cell r="L782">
            <v>45908</v>
          </cell>
          <cell r="M782">
            <v>46022</v>
          </cell>
          <cell r="N782" t="str">
            <v>MARY ALEXANDRA ROSERO BENAVIDES</v>
          </cell>
          <cell r="O782">
            <v>43624414</v>
          </cell>
          <cell r="P782" t="str">
            <v xml:space="preserve"> juliana6798.jm@gmail.com</v>
          </cell>
          <cell r="Q782">
            <v>45908</v>
          </cell>
          <cell r="R782" t="str">
            <v>DIANA MORA</v>
          </cell>
          <cell r="U782" t="str">
            <v>CELEBRADO</v>
          </cell>
          <cell r="W782" t="str">
            <v>2025-0419</v>
          </cell>
          <cell r="X782" t="str">
            <v>2025-1323</v>
          </cell>
          <cell r="AJ782">
            <v>2</v>
          </cell>
          <cell r="AK782">
            <v>0</v>
          </cell>
          <cell r="AL782">
            <v>2</v>
          </cell>
          <cell r="AM782" t="str">
            <v>$25.200.000</v>
          </cell>
        </row>
        <row r="783">
          <cell r="A783" t="str">
            <v>782-2025</v>
          </cell>
          <cell r="B783" t="str">
            <v>PRESTACION DE SERVICIOS</v>
          </cell>
          <cell r="C783" t="str">
            <v>DORIS DEL CARMEN GOMEZ OVIEDO</v>
          </cell>
          <cell r="D783" t="str">
            <v>CC</v>
          </cell>
          <cell r="E783">
            <v>1087644986</v>
          </cell>
          <cell r="F783">
            <v>8</v>
          </cell>
          <cell r="G783" t="str">
            <v>CONTRATACION DIRECTA</v>
          </cell>
          <cell r="H783">
            <v>1</v>
          </cell>
          <cell r="I78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3">
            <v>1</v>
          </cell>
          <cell r="K783" t="str">
            <v>$12.600.000</v>
          </cell>
          <cell r="L783">
            <v>45908</v>
          </cell>
          <cell r="M783">
            <v>46022</v>
          </cell>
          <cell r="N783" t="str">
            <v>RIGOBERTO MELO ZAMBRANO</v>
          </cell>
          <cell r="O783">
            <v>98333941</v>
          </cell>
          <cell r="P783" t="str">
            <v>dorisgovi93@hotmail.com</v>
          </cell>
          <cell r="Q783">
            <v>45908</v>
          </cell>
          <cell r="R783" t="str">
            <v>NATHALIA PORTILLA</v>
          </cell>
          <cell r="U783" t="str">
            <v>CELEBRADO</v>
          </cell>
          <cell r="W783" t="str">
            <v>2025-0419</v>
          </cell>
          <cell r="X783" t="str">
            <v>2025-1324</v>
          </cell>
          <cell r="AJ783">
            <v>2</v>
          </cell>
          <cell r="AK783">
            <v>0</v>
          </cell>
          <cell r="AL783">
            <v>2</v>
          </cell>
          <cell r="AM783" t="str">
            <v>$12.600.000</v>
          </cell>
        </row>
        <row r="784">
          <cell r="A784" t="str">
            <v>783-2025</v>
          </cell>
          <cell r="B784" t="str">
            <v>PRESTACION DE SERVICIOS</v>
          </cell>
          <cell r="C784" t="str">
            <v>EVELYN FERNANDA ACOSTA CHICAIZA</v>
          </cell>
          <cell r="D784" t="str">
            <v>CC</v>
          </cell>
          <cell r="E784">
            <v>1193224810</v>
          </cell>
          <cell r="F784">
            <v>3</v>
          </cell>
          <cell r="G784" t="str">
            <v>CONTRATACION DIRECTA</v>
          </cell>
          <cell r="H784">
            <v>1</v>
          </cell>
          <cell r="I78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4">
            <v>1</v>
          </cell>
          <cell r="K784" t="str">
            <v>$12.600.000</v>
          </cell>
          <cell r="L784">
            <v>45908</v>
          </cell>
          <cell r="M784">
            <v>46022</v>
          </cell>
          <cell r="N784" t="str">
            <v>RIGOBERTO MELO ZAMBRANO</v>
          </cell>
          <cell r="O784">
            <v>98333941</v>
          </cell>
          <cell r="P784" t="str">
            <v>evechica1508@gmail.com</v>
          </cell>
          <cell r="Q784">
            <v>45908</v>
          </cell>
          <cell r="R784" t="str">
            <v>NATHALIA PORTILLA</v>
          </cell>
          <cell r="U784" t="str">
            <v>CELEBRADO</v>
          </cell>
          <cell r="W784" t="str">
            <v>2025-0419</v>
          </cell>
          <cell r="X784" t="str">
            <v>2025-1325</v>
          </cell>
          <cell r="AJ784">
            <v>2</v>
          </cell>
          <cell r="AK784">
            <v>0</v>
          </cell>
          <cell r="AL784">
            <v>2</v>
          </cell>
          <cell r="AM784" t="str">
            <v>$12.600.000</v>
          </cell>
        </row>
        <row r="785">
          <cell r="A785" t="str">
            <v>784-2025</v>
          </cell>
          <cell r="B785" t="str">
            <v>PRESTACION DE SERVICIOS</v>
          </cell>
          <cell r="C785" t="str">
            <v>ANGIE GABRIELA ENRIQUEZ
TACAN</v>
          </cell>
          <cell r="D785" t="str">
            <v>CC</v>
          </cell>
          <cell r="E785">
            <v>1081272025</v>
          </cell>
          <cell r="F785">
            <v>6</v>
          </cell>
          <cell r="G785" t="str">
            <v>CONTRATACION DIRECTA</v>
          </cell>
          <cell r="H785">
            <v>1</v>
          </cell>
          <cell r="I78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5">
            <v>1</v>
          </cell>
          <cell r="K785" t="str">
            <v>$12.600.000</v>
          </cell>
          <cell r="L785">
            <v>45908</v>
          </cell>
          <cell r="M785">
            <v>46022</v>
          </cell>
          <cell r="N785" t="str">
            <v>DEYANIRA BADOS DAZA</v>
          </cell>
          <cell r="O785">
            <v>59836926</v>
          </cell>
          <cell r="P785" t="str">
            <v xml:space="preserve"> enriquezgabriela66@gmail.com</v>
          </cell>
          <cell r="Q785">
            <v>45908</v>
          </cell>
          <cell r="R785" t="str">
            <v>DIANA MORA</v>
          </cell>
          <cell r="U785" t="str">
            <v>CELEBRADO</v>
          </cell>
          <cell r="W785" t="str">
            <v>2025-0419</v>
          </cell>
          <cell r="X785" t="str">
            <v>2025-1326</v>
          </cell>
          <cell r="AJ785">
            <v>2</v>
          </cell>
          <cell r="AK785">
            <v>0</v>
          </cell>
          <cell r="AL785">
            <v>2</v>
          </cell>
          <cell r="AM785" t="str">
            <v>$12.600.000</v>
          </cell>
        </row>
        <row r="786">
          <cell r="A786" t="str">
            <v>785-2025</v>
          </cell>
          <cell r="B786" t="str">
            <v>PRESTACION DE SERVICIOS</v>
          </cell>
          <cell r="C786" t="str">
            <v>ERIKA LIZETH CORDOBA ROSERO</v>
          </cell>
          <cell r="D786" t="str">
            <v>CC</v>
          </cell>
          <cell r="E786">
            <v>1085284997</v>
          </cell>
          <cell r="F786">
            <v>1</v>
          </cell>
          <cell r="G786" t="str">
            <v>CONTRATACION DIRECTA</v>
          </cell>
          <cell r="H786">
            <v>1</v>
          </cell>
          <cell r="I786"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6">
            <v>1</v>
          </cell>
          <cell r="K786" t="str">
            <v>$25.200.000</v>
          </cell>
          <cell r="L786">
            <v>45908</v>
          </cell>
          <cell r="M786">
            <v>46022</v>
          </cell>
          <cell r="N786" t="str">
            <v>RIGOBERTO MELO ZAMBRANO</v>
          </cell>
          <cell r="O786">
            <v>98333941</v>
          </cell>
          <cell r="P786" t="str">
            <v>erikacordoba21@gmail.com</v>
          </cell>
          <cell r="Q786">
            <v>45908</v>
          </cell>
          <cell r="R786" t="str">
            <v>JUAN GOMEZ</v>
          </cell>
          <cell r="U786" t="str">
            <v>CELEBRADO</v>
          </cell>
          <cell r="W786" t="str">
            <v>2025-0419</v>
          </cell>
          <cell r="X786" t="str">
            <v>2025-1327</v>
          </cell>
          <cell r="AJ786">
            <v>2</v>
          </cell>
          <cell r="AK786">
            <v>0</v>
          </cell>
          <cell r="AL786">
            <v>2</v>
          </cell>
          <cell r="AM786" t="str">
            <v>$25.200.000</v>
          </cell>
        </row>
        <row r="787">
          <cell r="A787" t="str">
            <v>786-2025</v>
          </cell>
          <cell r="B787" t="str">
            <v>PRESTACION DE SERVICIOS</v>
          </cell>
          <cell r="C787" t="str">
            <v>CARLOS MARIO ALVARADO ORDOÑEZ</v>
          </cell>
          <cell r="D787" t="str">
            <v>CC</v>
          </cell>
          <cell r="E787">
            <v>1083814276</v>
          </cell>
          <cell r="F787">
            <v>2</v>
          </cell>
          <cell r="G787" t="str">
            <v>CONTRATACION DIRECTA</v>
          </cell>
          <cell r="H787">
            <v>1</v>
          </cell>
          <cell r="I787"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7">
            <v>1</v>
          </cell>
          <cell r="K787" t="str">
            <v>$31.200.000</v>
          </cell>
          <cell r="L787">
            <v>45908</v>
          </cell>
          <cell r="M787">
            <v>46022</v>
          </cell>
          <cell r="N787" t="str">
            <v>RIGOBERTO MELO ZAMBRANO</v>
          </cell>
          <cell r="O787">
            <v>98333941</v>
          </cell>
          <cell r="P787" t="str">
            <v xml:space="preserve">cma0960618@gmail.com </v>
          </cell>
          <cell r="Q787">
            <v>45908</v>
          </cell>
          <cell r="R787" t="str">
            <v>JUAN GOMEZ</v>
          </cell>
          <cell r="U787" t="str">
            <v>CELEBRADO</v>
          </cell>
          <cell r="W787" t="str">
            <v>2025-0419</v>
          </cell>
          <cell r="X787" t="str">
            <v>2025-1328</v>
          </cell>
          <cell r="AJ787">
            <v>2</v>
          </cell>
          <cell r="AK787">
            <v>0</v>
          </cell>
          <cell r="AL787">
            <v>2</v>
          </cell>
          <cell r="AM787" t="str">
            <v>$31.200.000</v>
          </cell>
        </row>
        <row r="788">
          <cell r="A788" t="str">
            <v>787-2025</v>
          </cell>
          <cell r="B788" t="str">
            <v>PRESTACION DE SERVICIOS</v>
          </cell>
          <cell r="C788" t="str">
            <v>DANIELA ALEXANDRA DIAZ GUERRERO</v>
          </cell>
          <cell r="D788" t="str">
            <v>CC</v>
          </cell>
          <cell r="E788">
            <v>1085343783</v>
          </cell>
          <cell r="F788">
            <v>0</v>
          </cell>
          <cell r="G788" t="str">
            <v>CONTRATACION DIRECTA</v>
          </cell>
          <cell r="H788">
            <v>1</v>
          </cell>
          <cell r="I788"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8">
            <v>1</v>
          </cell>
          <cell r="K788" t="str">
            <v>$18.920.000</v>
          </cell>
          <cell r="L788">
            <v>45908</v>
          </cell>
          <cell r="M788">
            <v>46022</v>
          </cell>
          <cell r="N788" t="str">
            <v>DEYANIRA BADOS DAZA</v>
          </cell>
          <cell r="O788">
            <v>59836926</v>
          </cell>
          <cell r="P788" t="str">
            <v>danieladiazguerrero99@gmail.com</v>
          </cell>
          <cell r="Q788">
            <v>45908</v>
          </cell>
          <cell r="R788" t="str">
            <v>NATHALIA PORTILLA</v>
          </cell>
          <cell r="U788" t="str">
            <v>CELEBRADO</v>
          </cell>
          <cell r="W788" t="str">
            <v>2025-0419</v>
          </cell>
          <cell r="X788" t="str">
            <v>2025-1329</v>
          </cell>
          <cell r="AJ788">
            <v>2</v>
          </cell>
          <cell r="AK788">
            <v>0</v>
          </cell>
          <cell r="AL788">
            <v>2</v>
          </cell>
          <cell r="AM788" t="str">
            <v>$18.920.000</v>
          </cell>
        </row>
        <row r="789">
          <cell r="A789" t="str">
            <v>788-2025</v>
          </cell>
          <cell r="B789" t="str">
            <v>PRESTACION DE SERVICIOS</v>
          </cell>
          <cell r="C789" t="str">
            <v>LEIDY PAOLA CANCHALA LOPEZ</v>
          </cell>
          <cell r="D789" t="str">
            <v>CC</v>
          </cell>
          <cell r="E789">
            <v>37086513</v>
          </cell>
          <cell r="F789">
            <v>0</v>
          </cell>
          <cell r="G789" t="str">
            <v>CONTRATACION DIRECTA</v>
          </cell>
          <cell r="H789">
            <v>1</v>
          </cell>
          <cell r="I789"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89">
            <v>1</v>
          </cell>
          <cell r="K789" t="str">
            <v>$25.200.000</v>
          </cell>
          <cell r="L789">
            <v>45908</v>
          </cell>
          <cell r="M789">
            <v>46022</v>
          </cell>
          <cell r="N789" t="str">
            <v>RIGOBERTO MELO ZAMBRANO</v>
          </cell>
          <cell r="O789">
            <v>98333941</v>
          </cell>
          <cell r="P789" t="str">
            <v>Ipaolita313@gmail.com</v>
          </cell>
          <cell r="Q789">
            <v>45908</v>
          </cell>
          <cell r="R789" t="str">
            <v>DIANA MORA</v>
          </cell>
          <cell r="U789" t="str">
            <v>CELEBRADO</v>
          </cell>
          <cell r="W789" t="str">
            <v>2025-0419</v>
          </cell>
          <cell r="X789" t="str">
            <v>2025-1330</v>
          </cell>
          <cell r="AJ789">
            <v>2</v>
          </cell>
          <cell r="AK789">
            <v>0</v>
          </cell>
          <cell r="AL789">
            <v>2</v>
          </cell>
          <cell r="AM789" t="str">
            <v>$25.200.000</v>
          </cell>
        </row>
        <row r="790">
          <cell r="A790" t="str">
            <v>789-2025</v>
          </cell>
          <cell r="B790" t="str">
            <v>PRESTACION DE SERVICIOS</v>
          </cell>
          <cell r="C790" t="str">
            <v>LILIANA ANDREA OLIVA ORTIZ</v>
          </cell>
          <cell r="D790" t="str">
            <v>CC</v>
          </cell>
          <cell r="E790">
            <v>59836480</v>
          </cell>
          <cell r="F790">
            <v>5</v>
          </cell>
          <cell r="G790" t="str">
            <v>CONTRATACION DIRECTA</v>
          </cell>
          <cell r="H790">
            <v>1</v>
          </cell>
          <cell r="I790"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790">
            <v>1</v>
          </cell>
          <cell r="K790" t="str">
            <v>$25.200.000</v>
          </cell>
          <cell r="L790">
            <v>45908</v>
          </cell>
          <cell r="M790">
            <v>46022</v>
          </cell>
          <cell r="N790" t="str">
            <v>MARY ALEXANDRA ROSERO BENAVIDES</v>
          </cell>
          <cell r="O790">
            <v>43624414</v>
          </cell>
          <cell r="P790" t="str">
            <v>liliand0912@hotmail.com</v>
          </cell>
          <cell r="Q790">
            <v>45908</v>
          </cell>
          <cell r="R790" t="str">
            <v>DIANA MORA</v>
          </cell>
          <cell r="U790" t="str">
            <v>CELEBRADO</v>
          </cell>
          <cell r="W790" t="str">
            <v>2025-0419</v>
          </cell>
          <cell r="X790" t="str">
            <v>2025-1331</v>
          </cell>
          <cell r="AJ790">
            <v>2</v>
          </cell>
          <cell r="AK790">
            <v>0</v>
          </cell>
          <cell r="AL790">
            <v>2</v>
          </cell>
          <cell r="AM790" t="str">
            <v>$25.200.000</v>
          </cell>
        </row>
        <row r="791">
          <cell r="A791" t="str">
            <v>790-2025</v>
          </cell>
          <cell r="B791" t="str">
            <v>PRESTACION DE SERVICIOS</v>
          </cell>
          <cell r="C791" t="str">
            <v>JAQUELINE MELO MOSQUERA</v>
          </cell>
          <cell r="D791" t="str">
            <v>CC</v>
          </cell>
          <cell r="E791">
            <v>30743783</v>
          </cell>
          <cell r="F791">
            <v>6</v>
          </cell>
          <cell r="G791" t="str">
            <v>CONTRATACION DIRECTA</v>
          </cell>
          <cell r="H791">
            <v>1</v>
          </cell>
          <cell r="I791" t="str">
            <v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791">
            <v>1</v>
          </cell>
          <cell r="K791" t="str">
            <v>$12.600.000</v>
          </cell>
          <cell r="L791">
            <v>45908</v>
          </cell>
          <cell r="M791">
            <v>46022</v>
          </cell>
          <cell r="N791" t="str">
            <v>DEYANIRA BADOS DAZA</v>
          </cell>
          <cell r="O791">
            <v>59836926</v>
          </cell>
          <cell r="P791" t="str">
            <v>jakelinemelomos@hotmail.com</v>
          </cell>
          <cell r="Q791">
            <v>45908</v>
          </cell>
          <cell r="R791" t="str">
            <v>ANDERSON MEJIA</v>
          </cell>
          <cell r="U791" t="str">
            <v>CELEBRADO</v>
          </cell>
          <cell r="W791" t="str">
            <v>2025-0419</v>
          </cell>
          <cell r="X791" t="str">
            <v>2025-1332</v>
          </cell>
          <cell r="AJ791">
            <v>2</v>
          </cell>
          <cell r="AK791">
            <v>0</v>
          </cell>
          <cell r="AL791">
            <v>2</v>
          </cell>
          <cell r="AM791" t="str">
            <v>$12.600.000</v>
          </cell>
        </row>
        <row r="792">
          <cell r="A792" t="str">
            <v>791-2025</v>
          </cell>
          <cell r="B792" t="str">
            <v>PRESTACION DE SERVICIOS</v>
          </cell>
          <cell r="C792" t="str">
            <v>JEIMY TATIANA RODRIGUEZ RODRIGUEZ</v>
          </cell>
          <cell r="D792" t="str">
            <v>CC</v>
          </cell>
          <cell r="E792">
            <v>1089291166</v>
          </cell>
          <cell r="F792">
            <v>6</v>
          </cell>
          <cell r="G792" t="str">
            <v>CONTRATACION DIRECTA</v>
          </cell>
          <cell r="H792">
            <v>1</v>
          </cell>
          <cell r="I792"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2">
            <v>1</v>
          </cell>
          <cell r="K792" t="str">
            <v>$12.600.000</v>
          </cell>
          <cell r="L792">
            <v>45908</v>
          </cell>
          <cell r="M792">
            <v>46022</v>
          </cell>
          <cell r="N792" t="str">
            <v>RIGOBERTO MELO ZAMBRANO</v>
          </cell>
          <cell r="O792">
            <v>98333941</v>
          </cell>
          <cell r="P792" t="str">
            <v>tatianarr1526@gmail.com</v>
          </cell>
          <cell r="Q792">
            <v>45908</v>
          </cell>
          <cell r="R792" t="str">
            <v>JUAN GOMEZ</v>
          </cell>
          <cell r="U792" t="str">
            <v>CELEBRADO</v>
          </cell>
          <cell r="W792" t="str">
            <v>2025-0419</v>
          </cell>
          <cell r="X792" t="str">
            <v>2025-1333</v>
          </cell>
          <cell r="AJ792">
            <v>2</v>
          </cell>
          <cell r="AK792">
            <v>0</v>
          </cell>
          <cell r="AL792">
            <v>2</v>
          </cell>
          <cell r="AM792" t="str">
            <v>$12.600.000</v>
          </cell>
        </row>
        <row r="793">
          <cell r="A793" t="str">
            <v>792-2025</v>
          </cell>
          <cell r="B793" t="str">
            <v>PRESTACION DE SERVICIOS</v>
          </cell>
          <cell r="C793" t="str">
            <v>INGRID RAQUEL MONCAYO NARVAEZ</v>
          </cell>
          <cell r="D793" t="str">
            <v>CC</v>
          </cell>
          <cell r="E793">
            <v>36950073</v>
          </cell>
          <cell r="F793">
            <v>4</v>
          </cell>
          <cell r="G793" t="str">
            <v>CONTRATACION DIRECTA</v>
          </cell>
          <cell r="H793">
            <v>1</v>
          </cell>
          <cell r="I793"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3">
            <v>1</v>
          </cell>
          <cell r="K793" t="str">
            <v>$18.920.000</v>
          </cell>
          <cell r="L793">
            <v>45908</v>
          </cell>
          <cell r="M793">
            <v>46022</v>
          </cell>
          <cell r="N793" t="str">
            <v>RIGOBERTO MELO ZAMBRANO</v>
          </cell>
          <cell r="O793">
            <v>98333941</v>
          </cell>
          <cell r="P793" t="str">
            <v>raquelitasam1@gmail.com</v>
          </cell>
          <cell r="Q793">
            <v>45908</v>
          </cell>
          <cell r="R793" t="str">
            <v>JUAN GOMEZ</v>
          </cell>
          <cell r="U793" t="str">
            <v>CELEBRADO</v>
          </cell>
          <cell r="W793" t="str">
            <v>2025-0419</v>
          </cell>
          <cell r="X793" t="str">
            <v>2025-1334</v>
          </cell>
          <cell r="AJ793">
            <v>2</v>
          </cell>
          <cell r="AK793">
            <v>0</v>
          </cell>
          <cell r="AL793">
            <v>2</v>
          </cell>
          <cell r="AM793" t="str">
            <v>$18.920.000</v>
          </cell>
        </row>
        <row r="794">
          <cell r="A794" t="str">
            <v>793-2025</v>
          </cell>
          <cell r="B794" t="str">
            <v>PRESTACION DE SERVICIOS</v>
          </cell>
          <cell r="C794" t="str">
            <v>DIANA SOFIA AYALA DIAZ</v>
          </cell>
          <cell r="D794" t="str">
            <v>CC</v>
          </cell>
          <cell r="E794">
            <v>1085288636</v>
          </cell>
          <cell r="F794">
            <v>0</v>
          </cell>
          <cell r="G794" t="str">
            <v>CONTRATACION DIRECTA</v>
          </cell>
          <cell r="H794">
            <v>1</v>
          </cell>
          <cell r="I79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4">
            <v>1</v>
          </cell>
          <cell r="K794" t="str">
            <v>$12.600.000</v>
          </cell>
          <cell r="L794">
            <v>45908</v>
          </cell>
          <cell r="M794">
            <v>46022</v>
          </cell>
          <cell r="N794" t="str">
            <v>RODRIGO DE JESUS VITERI MORENO</v>
          </cell>
          <cell r="O794">
            <v>98390119</v>
          </cell>
          <cell r="P794" t="str">
            <v>dianasofiaad32@gmail.com</v>
          </cell>
          <cell r="Q794">
            <v>45908</v>
          </cell>
          <cell r="R794" t="str">
            <v>NATHALIA PORTILLA</v>
          </cell>
          <cell r="U794" t="str">
            <v>CELEBRADO</v>
          </cell>
          <cell r="W794" t="str">
            <v>2025-0419</v>
          </cell>
          <cell r="X794" t="str">
            <v>2025-1335</v>
          </cell>
          <cell r="AJ794">
            <v>2</v>
          </cell>
          <cell r="AK794">
            <v>0</v>
          </cell>
          <cell r="AL794">
            <v>2</v>
          </cell>
          <cell r="AM794" t="str">
            <v>$12.600.000</v>
          </cell>
        </row>
        <row r="795">
          <cell r="A795" t="str">
            <v>794-2025</v>
          </cell>
          <cell r="B795" t="str">
            <v>PRESTACION DE SERVICIOS</v>
          </cell>
          <cell r="C795" t="str">
            <v>KAROL DAYANA TONGUINO TORO</v>
          </cell>
          <cell r="D795" t="str">
            <v>CC</v>
          </cell>
          <cell r="E795">
            <v>1137624011</v>
          </cell>
          <cell r="F795">
            <v>8</v>
          </cell>
          <cell r="G795" t="str">
            <v>CONTRATACION DIRECTA</v>
          </cell>
          <cell r="H795">
            <v>1</v>
          </cell>
          <cell r="I79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5">
            <v>1</v>
          </cell>
          <cell r="K795" t="str">
            <v>$12.600.000</v>
          </cell>
          <cell r="L795">
            <v>45908</v>
          </cell>
          <cell r="M795">
            <v>46022</v>
          </cell>
          <cell r="N795" t="str">
            <v>RODRIGO DE JESUS VITERI MORENO</v>
          </cell>
          <cell r="O795">
            <v>98390119</v>
          </cell>
          <cell r="P795" t="str">
            <v xml:space="preserve"> dtonguino7@gmail.com</v>
          </cell>
          <cell r="Q795">
            <v>45908</v>
          </cell>
          <cell r="R795" t="str">
            <v>NATHALIA PORTILLA</v>
          </cell>
          <cell r="U795" t="str">
            <v>CELEBRADO</v>
          </cell>
          <cell r="W795" t="str">
            <v>2025-0419</v>
          </cell>
          <cell r="X795" t="str">
            <v>2025-1336</v>
          </cell>
          <cell r="AJ795">
            <v>2</v>
          </cell>
          <cell r="AK795">
            <v>0</v>
          </cell>
          <cell r="AL795">
            <v>2</v>
          </cell>
          <cell r="AM795" t="str">
            <v>$12.600.000</v>
          </cell>
        </row>
        <row r="796">
          <cell r="A796" t="str">
            <v>795-2025</v>
          </cell>
          <cell r="B796" t="str">
            <v>PRESTACION DE SERVICIOS</v>
          </cell>
          <cell r="C796" t="str">
            <v>AIDE CAROLINA RIASCOS ECHEVERRY</v>
          </cell>
          <cell r="D796" t="str">
            <v>CC</v>
          </cell>
          <cell r="E796">
            <v>1085300095</v>
          </cell>
          <cell r="F796">
            <v>7</v>
          </cell>
          <cell r="G796" t="str">
            <v>CONTRATACION DIRECTA</v>
          </cell>
          <cell r="H796">
            <v>1</v>
          </cell>
          <cell r="I79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6">
            <v>1</v>
          </cell>
          <cell r="K796" t="str">
            <v>$12.600.000</v>
          </cell>
          <cell r="L796">
            <v>45908</v>
          </cell>
          <cell r="M796">
            <v>46022</v>
          </cell>
          <cell r="N796" t="str">
            <v>DEYANIRA BADOS DAZA</v>
          </cell>
          <cell r="O796">
            <v>59836926</v>
          </cell>
          <cell r="P796" t="str">
            <v>caroriascos2004@gmail.com</v>
          </cell>
          <cell r="Q796">
            <v>45908</v>
          </cell>
          <cell r="R796" t="str">
            <v>ANDERSON MEJIA</v>
          </cell>
          <cell r="U796" t="str">
            <v>CELEBRADO</v>
          </cell>
          <cell r="W796" t="str">
            <v>2025-0419</v>
          </cell>
          <cell r="X796" t="str">
            <v>2025-1338</v>
          </cell>
          <cell r="AJ796">
            <v>2</v>
          </cell>
          <cell r="AK796">
            <v>0</v>
          </cell>
          <cell r="AL796">
            <v>2</v>
          </cell>
          <cell r="AM796" t="str">
            <v>$12.600.000</v>
          </cell>
        </row>
        <row r="797">
          <cell r="A797" t="str">
            <v>796-2025</v>
          </cell>
          <cell r="B797" t="str">
            <v>PRESTACION DE SERVICIOS</v>
          </cell>
          <cell r="C797" t="str">
            <v>MARIA ISABEL ALVAREZ CAICEDO</v>
          </cell>
          <cell r="D797" t="str">
            <v>CC</v>
          </cell>
          <cell r="E797">
            <v>1085745772</v>
          </cell>
          <cell r="F797">
            <v>9</v>
          </cell>
          <cell r="G797" t="str">
            <v>CONTRATACION DIRECTA</v>
          </cell>
          <cell r="H797">
            <v>1</v>
          </cell>
          <cell r="I797"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7">
            <v>1</v>
          </cell>
          <cell r="K797" t="str">
            <v>$18.920.000</v>
          </cell>
          <cell r="L797">
            <v>45908</v>
          </cell>
          <cell r="M797">
            <v>46022</v>
          </cell>
          <cell r="N797" t="str">
            <v>DEYANIRA BADOS DAZA</v>
          </cell>
          <cell r="O797">
            <v>59836926</v>
          </cell>
          <cell r="P797" t="str">
            <v>isabelalvarezc99@gmail.com</v>
          </cell>
          <cell r="Q797">
            <v>45908</v>
          </cell>
          <cell r="R797" t="str">
            <v>JUAN GOMEZ</v>
          </cell>
          <cell r="U797" t="str">
            <v>CELEBRADO</v>
          </cell>
          <cell r="W797" t="str">
            <v>2025-0419</v>
          </cell>
          <cell r="X797" t="str">
            <v>2025-1339</v>
          </cell>
          <cell r="AJ797">
            <v>2</v>
          </cell>
          <cell r="AK797">
            <v>0</v>
          </cell>
          <cell r="AL797">
            <v>2</v>
          </cell>
          <cell r="AM797" t="str">
            <v>$18.920.000</v>
          </cell>
        </row>
        <row r="798">
          <cell r="A798" t="str">
            <v>797-2025</v>
          </cell>
          <cell r="B798" t="str">
            <v>PRESTACION DE SERVICIOS</v>
          </cell>
          <cell r="C798" t="str">
            <v xml:space="preserve"> Lucerito del Carmen Revelo Benavides</v>
          </cell>
          <cell r="D798" t="str">
            <v>CC</v>
          </cell>
          <cell r="E798">
            <v>36758143</v>
          </cell>
          <cell r="F798">
            <v>1</v>
          </cell>
          <cell r="G798" t="str">
            <v>CONTRATACION DIRECTA</v>
          </cell>
          <cell r="H798">
            <v>1</v>
          </cell>
          <cell r="I79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8">
            <v>1</v>
          </cell>
          <cell r="K798" t="str">
            <v>$12.600.000</v>
          </cell>
          <cell r="L798">
            <v>45908</v>
          </cell>
          <cell r="M798">
            <v>46022</v>
          </cell>
          <cell r="N798" t="str">
            <v>MARY ALEXANDRA ROSERO BENAVIDES</v>
          </cell>
          <cell r="O798">
            <v>43624414</v>
          </cell>
          <cell r="P798" t="str">
            <v>luceritorevelo15@gmail.com</v>
          </cell>
          <cell r="Q798">
            <v>45908</v>
          </cell>
          <cell r="R798" t="str">
            <v>JUAN GOMEZ</v>
          </cell>
          <cell r="U798" t="str">
            <v>CELEBRADO</v>
          </cell>
          <cell r="W798" t="str">
            <v>2025-0419</v>
          </cell>
          <cell r="X798" t="str">
            <v>2025-1341</v>
          </cell>
          <cell r="AJ798">
            <v>2</v>
          </cell>
          <cell r="AK798">
            <v>0</v>
          </cell>
          <cell r="AL798">
            <v>2</v>
          </cell>
          <cell r="AM798" t="str">
            <v>$12.600.000</v>
          </cell>
        </row>
        <row r="799">
          <cell r="A799" t="str">
            <v>798-2025</v>
          </cell>
          <cell r="B799" t="str">
            <v>PRESTACION DE SERVICIOS</v>
          </cell>
          <cell r="C799" t="str">
            <v>BRIGIT VERONICA ORDOÑEZ BURBANO</v>
          </cell>
          <cell r="D799" t="str">
            <v>CC</v>
          </cell>
          <cell r="E799">
            <v>1085343154</v>
          </cell>
          <cell r="F799">
            <v>8</v>
          </cell>
          <cell r="G799" t="str">
            <v>CONTRATACION DIRECTA</v>
          </cell>
          <cell r="H799">
            <v>1</v>
          </cell>
          <cell r="I79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799">
            <v>1</v>
          </cell>
          <cell r="K799" t="str">
            <v>$12.600.000</v>
          </cell>
          <cell r="L799">
            <v>45908</v>
          </cell>
          <cell r="M799">
            <v>46022</v>
          </cell>
          <cell r="N799" t="str">
            <v>DEYANIRA BADOS DAZA</v>
          </cell>
          <cell r="O799">
            <v>59836926</v>
          </cell>
          <cell r="P799" t="str">
            <v>veritho24mc@gmail.com</v>
          </cell>
          <cell r="Q799">
            <v>45908</v>
          </cell>
          <cell r="R799" t="str">
            <v>JUAN GOMEZ</v>
          </cell>
          <cell r="U799" t="str">
            <v>CELEBRADO</v>
          </cell>
          <cell r="W799" t="str">
            <v>2025-0419</v>
          </cell>
          <cell r="X799" t="str">
            <v>2025-1344</v>
          </cell>
          <cell r="AJ799">
            <v>2</v>
          </cell>
          <cell r="AK799">
            <v>0</v>
          </cell>
          <cell r="AL799">
            <v>2</v>
          </cell>
          <cell r="AM799" t="str">
            <v>$12.600.000</v>
          </cell>
        </row>
        <row r="800">
          <cell r="A800" t="str">
            <v>799-2025</v>
          </cell>
          <cell r="B800" t="str">
            <v>PRESTACION DE SERVICIOS</v>
          </cell>
          <cell r="C800" t="str">
            <v>SP SISTEMAS PALACIOS LTDA</v>
          </cell>
          <cell r="D800" t="str">
            <v>NIT</v>
          </cell>
          <cell r="E800">
            <v>900163149</v>
          </cell>
          <cell r="F800">
            <v>2</v>
          </cell>
          <cell r="G800" t="str">
            <v>CONTRATACION DIRECTA</v>
          </cell>
          <cell r="H800">
            <v>2</v>
          </cell>
          <cell r="I800" t="str">
            <v>Prestar el servicio de internet con un canal dedicado para las 22 sedes y la Sede Administrativa de la ESE Pasto Salud</v>
          </cell>
          <cell r="J800">
            <v>1</v>
          </cell>
          <cell r="K800" t="str">
            <v>$18.137.908</v>
          </cell>
          <cell r="L800">
            <v>45908</v>
          </cell>
          <cell r="M800">
            <v>46022</v>
          </cell>
          <cell r="N800" t="str">
            <v xml:space="preserve">	IVAN RODRIGO IBARRA MUÑOZ</v>
          </cell>
          <cell r="O800">
            <v>87248313</v>
          </cell>
          <cell r="P800" t="str">
            <v>contabilidad@sistemaspalacios.com</v>
          </cell>
          <cell r="Q800">
            <v>45908</v>
          </cell>
          <cell r="R800" t="str">
            <v>ELIANA BENAVIDES</v>
          </cell>
          <cell r="U800" t="str">
            <v>CELEBRADO</v>
          </cell>
          <cell r="W800" t="str">
            <v>2025-0427</v>
          </cell>
          <cell r="X800" t="str">
            <v>2025-1345</v>
          </cell>
          <cell r="AJ800">
            <v>2</v>
          </cell>
          <cell r="AK800">
            <v>0</v>
          </cell>
          <cell r="AL800">
            <v>2</v>
          </cell>
          <cell r="AM800" t="str">
            <v>$18.137.908</v>
          </cell>
        </row>
        <row r="801">
          <cell r="A801" t="str">
            <v>800-2025</v>
          </cell>
          <cell r="B801" t="str">
            <v>PRESTACION DE SERVICIOS</v>
          </cell>
          <cell r="C801" t="str">
            <v>SP SISTEMAS PALACIOS LTDA</v>
          </cell>
          <cell r="D801" t="str">
            <v>NIT</v>
          </cell>
          <cell r="E801">
            <v>900163149</v>
          </cell>
          <cell r="F801">
            <v>2</v>
          </cell>
          <cell r="G801" t="str">
            <v>CONTRATACION DIRECTA</v>
          </cell>
          <cell r="H801">
            <v>2</v>
          </cell>
          <cell r="I801" t="str">
            <v>Prestar el servicio de conectividad entre todas sedes de Pasto Salud.</v>
          </cell>
          <cell r="J801">
            <v>1</v>
          </cell>
          <cell r="K801" t="str">
            <v>$91.523.016</v>
          </cell>
          <cell r="L801">
            <v>45908</v>
          </cell>
          <cell r="M801">
            <v>46022</v>
          </cell>
          <cell r="N801" t="str">
            <v xml:space="preserve">	IVAN RODRIGO IBARRA MUÑOZ</v>
          </cell>
          <cell r="O801">
            <v>87248313</v>
          </cell>
          <cell r="P801" t="str">
            <v>contabilidad@sistemaspalacios.com</v>
          </cell>
          <cell r="Q801">
            <v>45908</v>
          </cell>
          <cell r="R801" t="str">
            <v>ANDERSON MEJIA</v>
          </cell>
          <cell r="U801" t="str">
            <v>CELEBRADO</v>
          </cell>
          <cell r="W801" t="str">
            <v>2028-0428</v>
          </cell>
          <cell r="X801" t="str">
            <v>2025-1347</v>
          </cell>
          <cell r="AJ801">
            <v>2</v>
          </cell>
          <cell r="AK801">
            <v>0</v>
          </cell>
          <cell r="AL801">
            <v>2</v>
          </cell>
          <cell r="AM801" t="str">
            <v>$91.523.016</v>
          </cell>
        </row>
        <row r="802">
          <cell r="A802" t="str">
            <v>801-2025</v>
          </cell>
          <cell r="B802" t="str">
            <v>PRESTACION DE SERVICIOS</v>
          </cell>
          <cell r="C802" t="str">
            <v>KLINGER ALEJANDRO GARCIA SANTANDER</v>
          </cell>
          <cell r="D802" t="str">
            <v>CC</v>
          </cell>
          <cell r="E802">
            <v>1085253755</v>
          </cell>
          <cell r="F802">
            <v>8</v>
          </cell>
          <cell r="G802" t="str">
            <v>CONTRATACION DIRECTA</v>
          </cell>
          <cell r="H802">
            <v>1</v>
          </cell>
          <cell r="I802" t="str">
            <v>El contratista se compromete para con la Empresa Social del Estado PASTO SALUD ESE a prestar sus servicios Profesionales como abogado para apoyar el desarrollo de los diferentes procesos adelantados en la oficina asesora jurídica.</v>
          </cell>
          <cell r="J802">
            <v>1</v>
          </cell>
          <cell r="K802" t="str">
            <v>$14.763.692</v>
          </cell>
          <cell r="L802">
            <v>45908</v>
          </cell>
          <cell r="M802">
            <v>46022</v>
          </cell>
          <cell r="N802" t="str">
            <v>CARLOS ERNESTO CHAVES BRAVO</v>
          </cell>
          <cell r="O802">
            <v>12982923</v>
          </cell>
          <cell r="P802" t="str">
            <v>klinyergarcia22@gmail.com</v>
          </cell>
          <cell r="Q802">
            <v>45908</v>
          </cell>
          <cell r="R802" t="str">
            <v>JUAN GOMEZ</v>
          </cell>
          <cell r="U802" t="str">
            <v>CELEBRADO</v>
          </cell>
          <cell r="W802" t="str">
            <v>2025-0441</v>
          </cell>
          <cell r="X802" t="str">
            <v>2025-1351</v>
          </cell>
          <cell r="AJ802">
            <v>2</v>
          </cell>
          <cell r="AK802">
            <v>0</v>
          </cell>
          <cell r="AL802">
            <v>2</v>
          </cell>
          <cell r="AM802" t="str">
            <v>$14.763.692</v>
          </cell>
        </row>
        <row r="803">
          <cell r="A803" t="str">
            <v>802-2025</v>
          </cell>
          <cell r="B803" t="str">
            <v>PRESTACION DE SERVICIOS</v>
          </cell>
          <cell r="C803" t="str">
            <v>LISSETH MARISOL CUASTUMAL CASTRO</v>
          </cell>
          <cell r="D803" t="str">
            <v>CC</v>
          </cell>
          <cell r="E803">
            <v>1085271641</v>
          </cell>
          <cell r="F803">
            <v>3</v>
          </cell>
          <cell r="G803" t="str">
            <v>CONTRATACION DIRECTA</v>
          </cell>
          <cell r="H803">
            <v>1</v>
          </cell>
          <cell r="I80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03">
            <v>1</v>
          </cell>
          <cell r="K803" t="str">
            <v>$12.600.000</v>
          </cell>
          <cell r="L803">
            <v>45908</v>
          </cell>
          <cell r="M803">
            <v>46022</v>
          </cell>
          <cell r="N803" t="str">
            <v>MARY ALEXANDRA ROSERO BENAVIDES</v>
          </cell>
          <cell r="O803">
            <v>43624414</v>
          </cell>
          <cell r="P803" t="str">
            <v>liscastro77@gmail.com</v>
          </cell>
          <cell r="Q803">
            <v>45908</v>
          </cell>
          <cell r="R803" t="str">
            <v>ANDERSON MEJIA</v>
          </cell>
          <cell r="U803" t="str">
            <v>CELEBRADO</v>
          </cell>
          <cell r="W803" t="str">
            <v>2025-0419</v>
          </cell>
          <cell r="X803" t="str">
            <v>2025-1337</v>
          </cell>
          <cell r="AJ803">
            <v>2</v>
          </cell>
          <cell r="AK803">
            <v>0</v>
          </cell>
          <cell r="AL803">
            <v>2</v>
          </cell>
          <cell r="AM803" t="str">
            <v>$12.600.000</v>
          </cell>
        </row>
        <row r="804">
          <cell r="A804" t="str">
            <v>803-2025</v>
          </cell>
          <cell r="B804" t="str">
            <v>PRESTACION DE SERVICIOS</v>
          </cell>
          <cell r="C804" t="str">
            <v>DORANI VANESA BURBANO ANDRADE</v>
          </cell>
          <cell r="D804" t="str">
            <v>CC</v>
          </cell>
          <cell r="E804">
            <v>1086358836</v>
          </cell>
          <cell r="F804">
            <v>1</v>
          </cell>
          <cell r="G804" t="str">
            <v>CONTRATACION DIRECTA</v>
          </cell>
          <cell r="H804">
            <v>1</v>
          </cell>
          <cell r="I80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04">
            <v>1</v>
          </cell>
          <cell r="K804" t="str">
            <v>$12.600.000</v>
          </cell>
          <cell r="L804">
            <v>45908</v>
          </cell>
          <cell r="M804">
            <v>46022</v>
          </cell>
          <cell r="N804" t="str">
            <v>RIGOBERTO MELO ZAMBRANO</v>
          </cell>
          <cell r="O804">
            <v>98333941</v>
          </cell>
          <cell r="P804" t="str">
            <v>burbanovane 195@gmail.com</v>
          </cell>
          <cell r="Q804">
            <v>45908</v>
          </cell>
          <cell r="R804" t="str">
            <v>ANDERSON MEJIA</v>
          </cell>
          <cell r="U804" t="str">
            <v>CELEBRADO</v>
          </cell>
          <cell r="W804" t="str">
            <v>2025-0419</v>
          </cell>
          <cell r="X804" t="str">
            <v>2025-1340</v>
          </cell>
          <cell r="AJ804">
            <v>2</v>
          </cell>
          <cell r="AK804">
            <v>0</v>
          </cell>
          <cell r="AL804">
            <v>2</v>
          </cell>
          <cell r="AM804" t="str">
            <v>$12.600.000</v>
          </cell>
        </row>
        <row r="805">
          <cell r="A805" t="str">
            <v>804-2025</v>
          </cell>
          <cell r="B805" t="str">
            <v>PRESTACION DE SERVICIOS</v>
          </cell>
          <cell r="C805" t="str">
            <v>ALISSON STEFANIA ROSERO RODRIGUEZ</v>
          </cell>
          <cell r="D805" t="str">
            <v>CC</v>
          </cell>
          <cell r="E805">
            <v>1081272656</v>
          </cell>
          <cell r="F805">
            <v>3</v>
          </cell>
          <cell r="G805" t="str">
            <v>CONTRATACION DIRECTA</v>
          </cell>
          <cell r="H805">
            <v>1</v>
          </cell>
          <cell r="I80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05">
            <v>1</v>
          </cell>
          <cell r="K805" t="str">
            <v>$12.600.000</v>
          </cell>
          <cell r="L805">
            <v>45908</v>
          </cell>
          <cell r="M805">
            <v>46022</v>
          </cell>
          <cell r="N805" t="str">
            <v>DEYANIRA BADOS DAZA</v>
          </cell>
          <cell r="O805">
            <v>59836926</v>
          </cell>
          <cell r="P805" t="str">
            <v>alissonrosero22@gmail.com</v>
          </cell>
          <cell r="Q805">
            <v>45908</v>
          </cell>
          <cell r="R805" t="str">
            <v>JUAN GOMEZ</v>
          </cell>
          <cell r="U805" t="str">
            <v>CELEBRADO</v>
          </cell>
          <cell r="W805" t="str">
            <v>2025-0419</v>
          </cell>
          <cell r="X805" t="str">
            <v>2025-1342</v>
          </cell>
          <cell r="AJ805">
            <v>2</v>
          </cell>
          <cell r="AK805">
            <v>0</v>
          </cell>
          <cell r="AL805">
            <v>2</v>
          </cell>
          <cell r="AM805" t="str">
            <v>$12.600.000</v>
          </cell>
        </row>
        <row r="806">
          <cell r="A806" t="str">
            <v>805-2025</v>
          </cell>
          <cell r="B806" t="str">
            <v>PRESTACION DE SERVICIOS</v>
          </cell>
          <cell r="C806" t="str">
            <v>NEIRA JIMENA CASTILLO ARMERO</v>
          </cell>
          <cell r="D806" t="str">
            <v>CC</v>
          </cell>
          <cell r="E806">
            <v>27146489</v>
          </cell>
          <cell r="F806">
            <v>3</v>
          </cell>
          <cell r="G806" t="str">
            <v>CONTRATACION DIRECTA</v>
          </cell>
          <cell r="H806">
            <v>1</v>
          </cell>
          <cell r="I806"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06">
            <v>1</v>
          </cell>
          <cell r="K806" t="str">
            <v>$25.200.000</v>
          </cell>
          <cell r="L806">
            <v>45908</v>
          </cell>
          <cell r="M806">
            <v>46022</v>
          </cell>
          <cell r="N806" t="str">
            <v>RODRIGO DE JESUS VITERI MORENO</v>
          </cell>
          <cell r="O806">
            <v>98390119</v>
          </cell>
          <cell r="P806" t="str">
            <v>neiracastillo2013@gmail.com</v>
          </cell>
          <cell r="Q806">
            <v>45908</v>
          </cell>
          <cell r="R806" t="str">
            <v>ANDERSON MEJIA</v>
          </cell>
          <cell r="U806" t="str">
            <v>CELEBRADO</v>
          </cell>
          <cell r="W806" t="str">
            <v>2025-0419</v>
          </cell>
          <cell r="X806" t="str">
            <v>2025-1343</v>
          </cell>
          <cell r="AJ806">
            <v>2</v>
          </cell>
          <cell r="AK806">
            <v>0</v>
          </cell>
          <cell r="AL806">
            <v>2</v>
          </cell>
          <cell r="AM806" t="str">
            <v>$25.200.000</v>
          </cell>
        </row>
        <row r="807">
          <cell r="A807" t="str">
            <v>806-2025</v>
          </cell>
          <cell r="B807" t="str">
            <v>PRESTACION DE SERVICIOS</v>
          </cell>
          <cell r="C807" t="str">
            <v>LUISA MARIA CERON RIVERA</v>
          </cell>
          <cell r="D807" t="str">
            <v>CC</v>
          </cell>
          <cell r="E807">
            <v>1081053045</v>
          </cell>
          <cell r="F807">
            <v>4</v>
          </cell>
          <cell r="G807" t="str">
            <v>CONTRATACION DIRECTA</v>
          </cell>
          <cell r="H807">
            <v>1</v>
          </cell>
          <cell r="I807"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07">
            <v>1</v>
          </cell>
          <cell r="K807" t="str">
            <v>$12.600.000</v>
          </cell>
          <cell r="L807">
            <v>45908</v>
          </cell>
          <cell r="M807">
            <v>46022</v>
          </cell>
          <cell r="N807" t="str">
            <v>RIGOBERTO MELO ZAMBRANO</v>
          </cell>
          <cell r="O807">
            <v>98333941</v>
          </cell>
          <cell r="P807" t="str">
            <v>luisamariaceron998@gmail.com</v>
          </cell>
          <cell r="Q807">
            <v>45908</v>
          </cell>
          <cell r="R807" t="str">
            <v>ANDERSON MEJIA</v>
          </cell>
          <cell r="U807" t="str">
            <v>CELEBRADO</v>
          </cell>
          <cell r="W807" t="str">
            <v>2025-0419</v>
          </cell>
          <cell r="X807" t="str">
            <v>2025-1346</v>
          </cell>
          <cell r="AJ807">
            <v>2</v>
          </cell>
          <cell r="AK807">
            <v>0</v>
          </cell>
          <cell r="AL807">
            <v>2</v>
          </cell>
          <cell r="AM807" t="str">
            <v>$12.600.000</v>
          </cell>
        </row>
        <row r="808">
          <cell r="A808" t="str">
            <v>807-2025</v>
          </cell>
          <cell r="B808" t="str">
            <v>PRESTACION DE SERVICIOS</v>
          </cell>
          <cell r="C808" t="str">
            <v>FRANCISCO RAFAEL ORTIZ BENITEZ</v>
          </cell>
          <cell r="D808" t="str">
            <v>CC</v>
          </cell>
          <cell r="E808">
            <v>80765093</v>
          </cell>
          <cell r="F808">
            <v>9</v>
          </cell>
          <cell r="G808" t="str">
            <v>CONTRATACION DIRECTA</v>
          </cell>
          <cell r="H808">
            <v>1</v>
          </cell>
          <cell r="I808"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08">
            <v>1</v>
          </cell>
          <cell r="K808" t="str">
            <v>$31.200.000</v>
          </cell>
          <cell r="L808">
            <v>45908</v>
          </cell>
          <cell r="M808">
            <v>46022</v>
          </cell>
          <cell r="N808" t="str">
            <v>DEYANIRA BADOS DAZA</v>
          </cell>
          <cell r="O808">
            <v>59836926</v>
          </cell>
          <cell r="P808" t="str">
            <v>drfranciscoortizb@gmail.com</v>
          </cell>
          <cell r="Q808">
            <v>45908</v>
          </cell>
          <cell r="R808" t="str">
            <v>ELIANA BENAVIDES</v>
          </cell>
          <cell r="U808" t="str">
            <v>CELEBRADO</v>
          </cell>
          <cell r="W808" t="str">
            <v>2025-0419</v>
          </cell>
          <cell r="X808" t="str">
            <v>2025-1348</v>
          </cell>
          <cell r="AJ808">
            <v>2</v>
          </cell>
          <cell r="AK808">
            <v>0</v>
          </cell>
          <cell r="AL808">
            <v>2</v>
          </cell>
          <cell r="AM808" t="str">
            <v>$31.200.000</v>
          </cell>
        </row>
        <row r="809">
          <cell r="A809" t="str">
            <v>808-2025</v>
          </cell>
          <cell r="B809" t="str">
            <v>PRESTACION DE SERVICIOS</v>
          </cell>
          <cell r="C809" t="str">
            <v>DIANA SOFIA PANTOJA RUANO</v>
          </cell>
          <cell r="D809" t="str">
            <v>CC</v>
          </cell>
          <cell r="E809">
            <v>1233192708</v>
          </cell>
          <cell r="F809">
            <v>5</v>
          </cell>
          <cell r="G809" t="str">
            <v>CONTRATACION DIRECTA</v>
          </cell>
          <cell r="H809">
            <v>1</v>
          </cell>
          <cell r="I809"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09">
            <v>1</v>
          </cell>
          <cell r="K809" t="str">
            <v>$31.200.000</v>
          </cell>
          <cell r="L809">
            <v>45908</v>
          </cell>
          <cell r="M809">
            <v>46022</v>
          </cell>
          <cell r="N809" t="str">
            <v>MARY ALEXANDRA ROSERO BENAVIDES</v>
          </cell>
          <cell r="O809">
            <v>43624414</v>
          </cell>
          <cell r="P809" t="str">
            <v>diana.sofiapantojar27@gmail.com</v>
          </cell>
          <cell r="Q809">
            <v>45908</v>
          </cell>
          <cell r="R809" t="str">
            <v>JUAN GOMEZ</v>
          </cell>
          <cell r="U809" t="str">
            <v>CELEBRADO</v>
          </cell>
          <cell r="W809" t="str">
            <v>2025-0419</v>
          </cell>
          <cell r="X809" t="str">
            <v>2025-1349</v>
          </cell>
          <cell r="AJ809">
            <v>2</v>
          </cell>
          <cell r="AK809">
            <v>0</v>
          </cell>
          <cell r="AL809">
            <v>2</v>
          </cell>
          <cell r="AM809" t="str">
            <v>$31.200.000</v>
          </cell>
        </row>
        <row r="810">
          <cell r="A810" t="str">
            <v>809-2025</v>
          </cell>
          <cell r="B810" t="str">
            <v>PRESTACION DE SERVICIOS</v>
          </cell>
          <cell r="C810" t="str">
            <v>NATHALY NICOLE CHAPUES PAZ</v>
          </cell>
          <cell r="D810" t="str">
            <v>CC</v>
          </cell>
          <cell r="E810">
            <v>1004236159</v>
          </cell>
          <cell r="F810">
            <v>1</v>
          </cell>
          <cell r="G810" t="str">
            <v>CONTRATACION DIRECTA</v>
          </cell>
          <cell r="H810">
            <v>1</v>
          </cell>
          <cell r="I81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0">
            <v>1</v>
          </cell>
          <cell r="K810" t="str">
            <v>$12.600.000</v>
          </cell>
          <cell r="L810">
            <v>45908</v>
          </cell>
          <cell r="M810">
            <v>46022</v>
          </cell>
          <cell r="N810" t="str">
            <v>RIGOBERTO MELO ZAMBRANO</v>
          </cell>
          <cell r="O810">
            <v>98333941</v>
          </cell>
          <cell r="P810" t="str">
            <v>nicolchapues@gmail.com</v>
          </cell>
          <cell r="Q810">
            <v>45908</v>
          </cell>
          <cell r="R810" t="str">
            <v>JUAN GOMEZ</v>
          </cell>
          <cell r="U810" t="str">
            <v>CELEBRADO</v>
          </cell>
          <cell r="W810" t="str">
            <v>2025-0419</v>
          </cell>
          <cell r="X810" t="str">
            <v>2025-1350</v>
          </cell>
          <cell r="AJ810">
            <v>2</v>
          </cell>
          <cell r="AK810">
            <v>0</v>
          </cell>
          <cell r="AL810">
            <v>2</v>
          </cell>
          <cell r="AM810" t="str">
            <v>$12.600.000</v>
          </cell>
        </row>
        <row r="811">
          <cell r="A811" t="str">
            <v>810-2025</v>
          </cell>
          <cell r="B811" t="str">
            <v>PRESTACION DE SERVICIOS</v>
          </cell>
          <cell r="C811" t="str">
            <v>JULIE ANDREA FREIRE MIER</v>
          </cell>
          <cell r="D811" t="str">
            <v>CC</v>
          </cell>
          <cell r="E811">
            <v>37084285</v>
          </cell>
          <cell r="F811">
            <v>7</v>
          </cell>
          <cell r="G811" t="str">
            <v>CONTRATACION DIRECTA</v>
          </cell>
          <cell r="H811">
            <v>1</v>
          </cell>
          <cell r="I81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1">
            <v>1</v>
          </cell>
          <cell r="K811" t="str">
            <v>$12.600.000</v>
          </cell>
          <cell r="L811">
            <v>45908</v>
          </cell>
          <cell r="M811">
            <v>46022</v>
          </cell>
          <cell r="N811" t="str">
            <v>RIGOBERTO MELO ZAMBRANO</v>
          </cell>
          <cell r="O811">
            <v>98333941</v>
          </cell>
          <cell r="P811" t="str">
            <v>juliefreire5@gmail.com</v>
          </cell>
          <cell r="Q811">
            <v>45908</v>
          </cell>
          <cell r="R811" t="str">
            <v>NATHALIA PORTILLA</v>
          </cell>
          <cell r="U811" t="str">
            <v>CELEBRADO</v>
          </cell>
          <cell r="W811" t="str">
            <v>2025-0419</v>
          </cell>
          <cell r="X811" t="str">
            <v>2025-1352</v>
          </cell>
          <cell r="AJ811">
            <v>2</v>
          </cell>
          <cell r="AK811">
            <v>0</v>
          </cell>
          <cell r="AL811">
            <v>2</v>
          </cell>
          <cell r="AM811" t="str">
            <v>$12.600.000</v>
          </cell>
        </row>
        <row r="812">
          <cell r="A812" t="str">
            <v>811-2025</v>
          </cell>
          <cell r="B812" t="str">
            <v>PRESTACION DE SERVICIOS</v>
          </cell>
          <cell r="C812" t="str">
            <v>TANIA KARINA CUERO CASANOVA</v>
          </cell>
          <cell r="D812" t="str">
            <v>CC</v>
          </cell>
          <cell r="E812">
            <v>1004235479</v>
          </cell>
          <cell r="F812">
            <v>9</v>
          </cell>
          <cell r="G812" t="str">
            <v>CONTRATACION DIRECTA</v>
          </cell>
          <cell r="H812">
            <v>1</v>
          </cell>
          <cell r="I81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2">
            <v>1</v>
          </cell>
          <cell r="K812" t="str">
            <v>$12.600.000</v>
          </cell>
          <cell r="L812">
            <v>45908</v>
          </cell>
          <cell r="M812">
            <v>46022</v>
          </cell>
          <cell r="N812" t="str">
            <v>RIGOBERTO MELO ZAMBRANO</v>
          </cell>
          <cell r="O812">
            <v>98333941</v>
          </cell>
          <cell r="P812" t="str">
            <v>casanovat322@gmail.com</v>
          </cell>
          <cell r="Q812">
            <v>45908</v>
          </cell>
          <cell r="R812" t="str">
            <v>JUAN GOMEZ</v>
          </cell>
          <cell r="U812" t="str">
            <v>CELEBRADO</v>
          </cell>
          <cell r="W812" t="str">
            <v>2025-0419</v>
          </cell>
          <cell r="X812" t="str">
            <v>2025-1353</v>
          </cell>
          <cell r="AJ812">
            <v>2</v>
          </cell>
          <cell r="AK812">
            <v>0</v>
          </cell>
          <cell r="AL812">
            <v>2</v>
          </cell>
          <cell r="AM812" t="str">
            <v>$12.600.000</v>
          </cell>
        </row>
        <row r="813">
          <cell r="A813" t="str">
            <v>812-2025</v>
          </cell>
          <cell r="B813" t="str">
            <v>PRESTACION DE SERVICIOS</v>
          </cell>
          <cell r="C813" t="str">
            <v>CRISTIAN FABIAN CRIOLLO RIVERA</v>
          </cell>
          <cell r="D813" t="str">
            <v>CC</v>
          </cell>
          <cell r="E813">
            <v>1192717330</v>
          </cell>
          <cell r="F813">
            <v>0</v>
          </cell>
          <cell r="G813" t="str">
            <v>CONTRATACION DIRECTA</v>
          </cell>
          <cell r="H813">
            <v>1</v>
          </cell>
          <cell r="I81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3">
            <v>1</v>
          </cell>
          <cell r="K813" t="str">
            <v>$12.600.000</v>
          </cell>
          <cell r="L813">
            <v>45908</v>
          </cell>
          <cell r="M813">
            <v>46022</v>
          </cell>
          <cell r="N813" t="str">
            <v>MARY ALEXANDRA ROSERO BENAVIDES</v>
          </cell>
          <cell r="O813">
            <v>43624414</v>
          </cell>
          <cell r="P813" t="str">
            <v>cristiancriollo773@gmail.com</v>
          </cell>
          <cell r="Q813">
            <v>45908</v>
          </cell>
          <cell r="R813" t="str">
            <v>NATHALIA PORTILLA</v>
          </cell>
          <cell r="U813" t="str">
            <v>CELEBRADO</v>
          </cell>
          <cell r="W813" t="str">
            <v>2025-0419</v>
          </cell>
          <cell r="X813" t="str">
            <v>2025-1354</v>
          </cell>
          <cell r="AJ813">
            <v>2</v>
          </cell>
          <cell r="AK813">
            <v>0</v>
          </cell>
          <cell r="AL813">
            <v>2</v>
          </cell>
          <cell r="AM813" t="str">
            <v>$12.600.000</v>
          </cell>
        </row>
        <row r="814">
          <cell r="A814" t="str">
            <v>813-2025</v>
          </cell>
          <cell r="B814" t="str">
            <v>PRESTACION DE SERVICIOS</v>
          </cell>
          <cell r="C814" t="str">
            <v>ESLENY ERASO ARTEAGA</v>
          </cell>
          <cell r="D814" t="str">
            <v>CC</v>
          </cell>
          <cell r="E814">
            <v>1089458048</v>
          </cell>
          <cell r="F814">
            <v>4</v>
          </cell>
          <cell r="G814" t="str">
            <v>CONTRATACION DIRECTA</v>
          </cell>
          <cell r="H814">
            <v>1</v>
          </cell>
          <cell r="I81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4">
            <v>1</v>
          </cell>
          <cell r="K814" t="str">
            <v>$12.600.000</v>
          </cell>
          <cell r="L814">
            <v>45908</v>
          </cell>
          <cell r="M814">
            <v>46022</v>
          </cell>
          <cell r="N814" t="str">
            <v>RIGOBERTO MELO ZAMBRANO</v>
          </cell>
          <cell r="O814">
            <v>98333941</v>
          </cell>
          <cell r="P814" t="str">
            <v>eslenyeraso8@gmail.com</v>
          </cell>
          <cell r="Q814">
            <v>45908</v>
          </cell>
          <cell r="R814" t="str">
            <v>JUAN GOMEZ</v>
          </cell>
          <cell r="U814" t="str">
            <v>CELEBRADO</v>
          </cell>
          <cell r="W814" t="str">
            <v>2025-0419</v>
          </cell>
          <cell r="X814" t="str">
            <v>2025-1355</v>
          </cell>
          <cell r="AJ814">
            <v>2</v>
          </cell>
          <cell r="AK814">
            <v>0</v>
          </cell>
          <cell r="AL814">
            <v>2</v>
          </cell>
          <cell r="AM814" t="str">
            <v>$12.600.000</v>
          </cell>
        </row>
        <row r="815">
          <cell r="A815" t="str">
            <v>814-2025</v>
          </cell>
          <cell r="B815" t="str">
            <v>PRESTACION DE SERVICIOS</v>
          </cell>
          <cell r="C815" t="str">
            <v>DAYRA MILENA ROSERO JOJOA</v>
          </cell>
          <cell r="D815" t="str">
            <v>CC</v>
          </cell>
          <cell r="E815">
            <v>1086224562</v>
          </cell>
          <cell r="F815">
            <v>3</v>
          </cell>
          <cell r="G815" t="str">
            <v>CONTRATACION DIRECTA</v>
          </cell>
          <cell r="H815">
            <v>1</v>
          </cell>
          <cell r="I815"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5">
            <v>1</v>
          </cell>
          <cell r="K815" t="str">
            <v>$31.200.000</v>
          </cell>
          <cell r="L815">
            <v>45908</v>
          </cell>
          <cell r="M815">
            <v>46022</v>
          </cell>
          <cell r="N815" t="str">
            <v>RIGOBERTO MELO ZAMBRANO</v>
          </cell>
          <cell r="O815">
            <v>98333941</v>
          </cell>
          <cell r="P815" t="str">
            <v>milenarosero8@gmail.com</v>
          </cell>
          <cell r="Q815">
            <v>45908</v>
          </cell>
          <cell r="R815" t="str">
            <v>JUAN GOMEZ</v>
          </cell>
          <cell r="U815" t="str">
            <v>CELEBRADO</v>
          </cell>
          <cell r="W815" t="str">
            <v>2025-0419</v>
          </cell>
          <cell r="X815" t="str">
            <v>2025-1356</v>
          </cell>
          <cell r="AJ815">
            <v>2</v>
          </cell>
          <cell r="AK815">
            <v>0</v>
          </cell>
          <cell r="AL815">
            <v>2</v>
          </cell>
          <cell r="AM815" t="str">
            <v>$31.200.000</v>
          </cell>
        </row>
        <row r="816">
          <cell r="A816" t="str">
            <v>815-2025</v>
          </cell>
          <cell r="B816" t="str">
            <v>PRESTACION DE SERVICIOS</v>
          </cell>
          <cell r="C816" t="str">
            <v>LUISA CAROLINA SANTACRUZ SANTACRUZ</v>
          </cell>
          <cell r="D816" t="str">
            <v>CC</v>
          </cell>
          <cell r="E816">
            <v>1004131976</v>
          </cell>
          <cell r="F816">
            <v>0</v>
          </cell>
          <cell r="G816" t="str">
            <v>CONTRATACION DIRECTA</v>
          </cell>
          <cell r="H816">
            <v>1</v>
          </cell>
          <cell r="I81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6">
            <v>1</v>
          </cell>
          <cell r="K816" t="str">
            <v>$12.600.000</v>
          </cell>
          <cell r="L816">
            <v>45908</v>
          </cell>
          <cell r="M816">
            <v>46022</v>
          </cell>
          <cell r="N816" t="str">
            <v>RODRIGO DE JESUS VITERI MORENO</v>
          </cell>
          <cell r="O816">
            <v>98390119</v>
          </cell>
          <cell r="P816" t="str">
            <v>santacruzluisa69@gmail.com</v>
          </cell>
          <cell r="Q816">
            <v>45908</v>
          </cell>
          <cell r="R816" t="str">
            <v>JUAN GOMEZ</v>
          </cell>
          <cell r="U816" t="str">
            <v>CELEBRADO</v>
          </cell>
          <cell r="W816" t="str">
            <v>2025-0419</v>
          </cell>
          <cell r="X816" t="str">
            <v>2025-1357</v>
          </cell>
          <cell r="AJ816">
            <v>2</v>
          </cell>
          <cell r="AK816">
            <v>0</v>
          </cell>
          <cell r="AL816">
            <v>2</v>
          </cell>
          <cell r="AM816" t="str">
            <v>$12.600.000</v>
          </cell>
        </row>
        <row r="817">
          <cell r="A817" t="str">
            <v>816-2025</v>
          </cell>
          <cell r="B817" t="str">
            <v>PRESTACION DE SERVICIOS</v>
          </cell>
          <cell r="C817" t="str">
            <v xml:space="preserve">KELLY YURANY JOJOA BOTINA </v>
          </cell>
          <cell r="D817" t="str">
            <v>CC</v>
          </cell>
          <cell r="E817">
            <v>1085339190</v>
          </cell>
          <cell r="F817">
            <v>8</v>
          </cell>
          <cell r="G817" t="str">
            <v>CONTRATACION DIRECTA</v>
          </cell>
          <cell r="H817">
            <v>1</v>
          </cell>
          <cell r="I81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7">
            <v>1</v>
          </cell>
          <cell r="K817" t="str">
            <v>$12.600.000</v>
          </cell>
          <cell r="L817">
            <v>45908</v>
          </cell>
          <cell r="M817">
            <v>46022</v>
          </cell>
          <cell r="N817" t="str">
            <v>RODRIGO DE JESUS VITERI MORENO</v>
          </cell>
          <cell r="O817">
            <v>98390119</v>
          </cell>
          <cell r="P817" t="str">
            <v>kellyjojoa1998@gmail.com</v>
          </cell>
          <cell r="Q817">
            <v>45908</v>
          </cell>
          <cell r="R817" t="str">
            <v>NATHALIA PORTILLA</v>
          </cell>
          <cell r="U817" t="str">
            <v>CELEBRADO</v>
          </cell>
          <cell r="W817" t="str">
            <v>2025-0419</v>
          </cell>
          <cell r="X817" t="str">
            <v>2025-1358</v>
          </cell>
          <cell r="AJ817">
            <v>2</v>
          </cell>
          <cell r="AK817">
            <v>0</v>
          </cell>
          <cell r="AL817">
            <v>2</v>
          </cell>
          <cell r="AM817" t="str">
            <v>$12.600.000</v>
          </cell>
        </row>
        <row r="818">
          <cell r="A818" t="str">
            <v>817-2025</v>
          </cell>
          <cell r="B818" t="str">
            <v>PRESTACION DE SERVICIOS</v>
          </cell>
          <cell r="C818" t="str">
            <v>MARIA ALEJANDRA REALPE ALVEAR</v>
          </cell>
          <cell r="D818" t="str">
            <v>CC</v>
          </cell>
          <cell r="E818">
            <v>1053793750</v>
          </cell>
          <cell r="F818">
            <v>1</v>
          </cell>
          <cell r="G818" t="str">
            <v>CONTRATACION DIRECTA</v>
          </cell>
          <cell r="H818">
            <v>1</v>
          </cell>
          <cell r="I818"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18">
            <v>1</v>
          </cell>
          <cell r="K818" t="str">
            <v>$25.200.000</v>
          </cell>
          <cell r="L818">
            <v>45908</v>
          </cell>
          <cell r="M818">
            <v>46022</v>
          </cell>
          <cell r="N818" t="str">
            <v>RIGOBERTO MELO ZAMBRANO</v>
          </cell>
          <cell r="O818">
            <v>98333941</v>
          </cell>
          <cell r="P818" t="str">
            <v>mariarealpe.zona8@gmail.com</v>
          </cell>
          <cell r="Q818">
            <v>45908</v>
          </cell>
          <cell r="R818" t="str">
            <v>NATHALIA PORTILLA</v>
          </cell>
          <cell r="U818" t="str">
            <v>CELEBRADO</v>
          </cell>
          <cell r="W818" t="str">
            <v>2025-0419</v>
          </cell>
          <cell r="X818" t="str">
            <v>2025-1359</v>
          </cell>
          <cell r="AJ818">
            <v>2</v>
          </cell>
          <cell r="AK818">
            <v>0</v>
          </cell>
          <cell r="AL818">
            <v>2</v>
          </cell>
          <cell r="AM818" t="str">
            <v>$25.200.000</v>
          </cell>
        </row>
        <row r="819">
          <cell r="A819" t="str">
            <v>818-2025</v>
          </cell>
          <cell r="B819" t="str">
            <v>PRESTACION DE SERVICIOS</v>
          </cell>
          <cell r="C819" t="str">
            <v>ROSA MARITZA UNIGARRO MONTILLA</v>
          </cell>
          <cell r="D819" t="str">
            <v>CC</v>
          </cell>
          <cell r="E819">
            <v>36756149</v>
          </cell>
          <cell r="F819">
            <v>4</v>
          </cell>
          <cell r="G819" t="str">
            <v>CONTRATACION DIRECTA</v>
          </cell>
          <cell r="H819">
            <v>1</v>
          </cell>
          <cell r="I819"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19">
            <v>1</v>
          </cell>
          <cell r="K819" t="str">
            <v>$18.920.000</v>
          </cell>
          <cell r="L819">
            <v>45908</v>
          </cell>
          <cell r="M819">
            <v>46022</v>
          </cell>
          <cell r="N819" t="str">
            <v>RIGOBERTO MELO ZAMBRANO</v>
          </cell>
          <cell r="O819">
            <v>98333941</v>
          </cell>
          <cell r="P819" t="str">
            <v>maryuni7@hotmail.com</v>
          </cell>
          <cell r="Q819">
            <v>45908</v>
          </cell>
          <cell r="R819" t="str">
            <v>DIANA MORA</v>
          </cell>
          <cell r="U819" t="str">
            <v>CELEBRADO</v>
          </cell>
          <cell r="W819" t="str">
            <v>2025-0419</v>
          </cell>
          <cell r="X819" t="str">
            <v>2025-1360</v>
          </cell>
          <cell r="AJ819">
            <v>2</v>
          </cell>
          <cell r="AK819">
            <v>0</v>
          </cell>
          <cell r="AL819">
            <v>2</v>
          </cell>
          <cell r="AM819" t="str">
            <v>$18.920.000</v>
          </cell>
        </row>
        <row r="820">
          <cell r="A820" t="str">
            <v>819-2025</v>
          </cell>
          <cell r="B820" t="str">
            <v>PRESTACION DE SERVICIOS</v>
          </cell>
          <cell r="C820" t="str">
            <v>JESSICA STEFANNY FRANCO ERASO</v>
          </cell>
          <cell r="D820" t="str">
            <v>CC</v>
          </cell>
          <cell r="E820">
            <v>1085272491</v>
          </cell>
          <cell r="F820">
            <v>1</v>
          </cell>
          <cell r="G820" t="str">
            <v>CONTRATACION DIRECTA</v>
          </cell>
          <cell r="H820">
            <v>1</v>
          </cell>
          <cell r="I820"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20">
            <v>1</v>
          </cell>
          <cell r="K820" t="str">
            <v>$25.200.000</v>
          </cell>
          <cell r="L820">
            <v>45909</v>
          </cell>
          <cell r="M820">
            <v>46022</v>
          </cell>
          <cell r="N820" t="str">
            <v>RODRIGO DE JESUS VITERI MORENO</v>
          </cell>
          <cell r="O820">
            <v>98390119</v>
          </cell>
          <cell r="P820" t="str">
            <v>jessicafranco 29@hotmail.com</v>
          </cell>
          <cell r="Q820">
            <v>45909</v>
          </cell>
          <cell r="R820" t="str">
            <v>NATHALIA PORTILLA</v>
          </cell>
          <cell r="U820" t="str">
            <v>CELEBRADO</v>
          </cell>
          <cell r="W820" t="str">
            <v>2025-0419</v>
          </cell>
          <cell r="X820" t="str">
            <v>2025-1361</v>
          </cell>
          <cell r="AJ820">
            <v>2</v>
          </cell>
          <cell r="AK820">
            <v>0</v>
          </cell>
          <cell r="AL820">
            <v>2</v>
          </cell>
          <cell r="AM820" t="str">
            <v>$25.200.000</v>
          </cell>
        </row>
        <row r="821">
          <cell r="A821" t="str">
            <v>820-2025</v>
          </cell>
          <cell r="B821" t="str">
            <v>PRESTACION DE SERVICIOS</v>
          </cell>
          <cell r="C821" t="str">
            <v xml:space="preserve">NORALY CECILIA PASUY PANTOJA </v>
          </cell>
          <cell r="D821" t="str">
            <v>CC</v>
          </cell>
          <cell r="E821">
            <v>1087960258</v>
          </cell>
          <cell r="F821">
            <v>9</v>
          </cell>
          <cell r="G821" t="str">
            <v>CONTRATACION DIRECTA</v>
          </cell>
          <cell r="H821">
            <v>1</v>
          </cell>
          <cell r="I82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1">
            <v>1</v>
          </cell>
          <cell r="K821" t="str">
            <v>$12.600.000</v>
          </cell>
          <cell r="L821">
            <v>45909</v>
          </cell>
          <cell r="M821">
            <v>46022</v>
          </cell>
          <cell r="N821" t="str">
            <v>RIGOBERTO MELO ZAMBRANO</v>
          </cell>
          <cell r="O821">
            <v>98333941</v>
          </cell>
          <cell r="P821" t="str">
            <v>noralypasuy06@gmail.com</v>
          </cell>
          <cell r="Q821">
            <v>45909</v>
          </cell>
          <cell r="R821" t="str">
            <v>JUAN GOMEZ</v>
          </cell>
          <cell r="U821" t="str">
            <v>CELEBRADO</v>
          </cell>
          <cell r="W821" t="str">
            <v>2025-0419</v>
          </cell>
          <cell r="X821" t="str">
            <v>2025-1364</v>
          </cell>
          <cell r="AJ821">
            <v>2</v>
          </cell>
          <cell r="AK821">
            <v>0</v>
          </cell>
          <cell r="AL821">
            <v>2</v>
          </cell>
          <cell r="AM821" t="str">
            <v>$12.600.000</v>
          </cell>
        </row>
        <row r="822">
          <cell r="A822" t="str">
            <v>821-2025</v>
          </cell>
          <cell r="B822" t="str">
            <v>PRESTACION DE SERVICIOS</v>
          </cell>
          <cell r="C822" t="str">
            <v>PATRICIA MARIBEL MARTINEZ</v>
          </cell>
          <cell r="D822" t="str">
            <v>CC</v>
          </cell>
          <cell r="E822">
            <v>27082649</v>
          </cell>
          <cell r="F822">
            <v>9</v>
          </cell>
          <cell r="G822" t="str">
            <v>CONTRATACION DIRECTA</v>
          </cell>
          <cell r="H822">
            <v>1</v>
          </cell>
          <cell r="I82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2">
            <v>1</v>
          </cell>
          <cell r="K822" t="str">
            <v>$12.600.000</v>
          </cell>
          <cell r="L822">
            <v>45909</v>
          </cell>
          <cell r="M822">
            <v>46022</v>
          </cell>
          <cell r="N822" t="str">
            <v>MARY ALEXANDRA ROSERO BENAVIDES</v>
          </cell>
          <cell r="O822">
            <v>43624414</v>
          </cell>
          <cell r="P822" t="str">
            <v>patriciamaribelm@yahoo.com</v>
          </cell>
          <cell r="Q822">
            <v>45909</v>
          </cell>
          <cell r="R822" t="str">
            <v>NATHALIA PORTILLA</v>
          </cell>
          <cell r="U822" t="str">
            <v>CELEBRADO</v>
          </cell>
          <cell r="W822" t="str">
            <v>2025-0419</v>
          </cell>
          <cell r="X822" t="str">
            <v>2025-1365</v>
          </cell>
          <cell r="AJ822">
            <v>2</v>
          </cell>
          <cell r="AK822">
            <v>0</v>
          </cell>
          <cell r="AL822">
            <v>2</v>
          </cell>
          <cell r="AM822" t="str">
            <v>$12.600.000</v>
          </cell>
        </row>
        <row r="823">
          <cell r="A823" t="str">
            <v>822-2025</v>
          </cell>
          <cell r="B823" t="str">
            <v>PRESTACION DE SERVICIOS</v>
          </cell>
          <cell r="C823" t="str">
            <v>JOHANA CAROLINA CAICEDO GOYES</v>
          </cell>
          <cell r="D823" t="str">
            <v>CC</v>
          </cell>
          <cell r="E823">
            <v>37087120</v>
          </cell>
          <cell r="F823">
            <v>0</v>
          </cell>
          <cell r="G823" t="str">
            <v>CONTRATACION DIRECTA</v>
          </cell>
          <cell r="H823">
            <v>1</v>
          </cell>
          <cell r="I823"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3">
            <v>1</v>
          </cell>
          <cell r="K823" t="str">
            <v>$31.200.000</v>
          </cell>
          <cell r="L823">
            <v>45909</v>
          </cell>
          <cell r="M823">
            <v>46022</v>
          </cell>
          <cell r="N823" t="str">
            <v>RIGOBERTO MELO ZAMBRANO</v>
          </cell>
          <cell r="O823">
            <v>98333941</v>
          </cell>
          <cell r="P823" t="str">
            <v>carolinacaicedomd@gmail.com</v>
          </cell>
          <cell r="Q823">
            <v>45909</v>
          </cell>
          <cell r="R823" t="str">
            <v>DIANA MORA</v>
          </cell>
          <cell r="U823" t="str">
            <v>CELEBRADO</v>
          </cell>
          <cell r="W823" t="str">
            <v>2025-0419</v>
          </cell>
          <cell r="X823" t="str">
            <v>2025-1366</v>
          </cell>
          <cell r="AJ823">
            <v>2</v>
          </cell>
          <cell r="AK823">
            <v>0</v>
          </cell>
          <cell r="AL823">
            <v>2</v>
          </cell>
          <cell r="AM823" t="str">
            <v>$31.200.000</v>
          </cell>
        </row>
        <row r="824">
          <cell r="A824" t="str">
            <v>823-2025</v>
          </cell>
          <cell r="B824" t="str">
            <v>PRESTACION DE SERVICIOS</v>
          </cell>
          <cell r="C824" t="str">
            <v xml:space="preserve">LADY CAROLINA TIBAQUIRA BALLESTEROS </v>
          </cell>
          <cell r="D824" t="str">
            <v>CC</v>
          </cell>
          <cell r="E824">
            <v>1014212900</v>
          </cell>
          <cell r="F824">
            <v>6</v>
          </cell>
          <cell r="G824" t="str">
            <v>CONTRATACION DIRECTA</v>
          </cell>
          <cell r="H824">
            <v>1</v>
          </cell>
          <cell r="I824"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24">
            <v>1</v>
          </cell>
          <cell r="K824" t="str">
            <v>$25.200.000</v>
          </cell>
          <cell r="L824">
            <v>45909</v>
          </cell>
          <cell r="M824">
            <v>46022</v>
          </cell>
          <cell r="N824" t="str">
            <v>RODRIGO DE JESUS VITERI MORENO</v>
          </cell>
          <cell r="O824">
            <v>98390119</v>
          </cell>
          <cell r="P824" t="str">
            <v>caritotb1308@hotmail.com</v>
          </cell>
          <cell r="Q824">
            <v>45909</v>
          </cell>
          <cell r="R824" t="str">
            <v>ELIANA BENAVIDES</v>
          </cell>
          <cell r="U824" t="str">
            <v>CELEBRADO</v>
          </cell>
          <cell r="W824" t="str">
            <v>2025-0419</v>
          </cell>
          <cell r="X824" t="str">
            <v>2025-1367</v>
          </cell>
          <cell r="AJ824">
            <v>2</v>
          </cell>
          <cell r="AK824">
            <v>0</v>
          </cell>
          <cell r="AL824">
            <v>2</v>
          </cell>
          <cell r="AM824" t="str">
            <v>$25.200.000</v>
          </cell>
        </row>
        <row r="825">
          <cell r="A825" t="str">
            <v>824-2025</v>
          </cell>
          <cell r="B825" t="str">
            <v>PRESTACION DE SERVICIOS</v>
          </cell>
          <cell r="C825" t="str">
            <v>MARIBEL DEL CARMEN MAIGUAL MUÑOZ</v>
          </cell>
          <cell r="D825" t="str">
            <v>CC</v>
          </cell>
          <cell r="E825">
            <v>59310524</v>
          </cell>
          <cell r="F825">
            <v>2</v>
          </cell>
          <cell r="G825" t="str">
            <v>CONTRATACION DIRECTA</v>
          </cell>
          <cell r="H825">
            <v>1</v>
          </cell>
          <cell r="I82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5">
            <v>1</v>
          </cell>
          <cell r="K825" t="str">
            <v>$12.600.000</v>
          </cell>
          <cell r="L825">
            <v>45909</v>
          </cell>
          <cell r="M825">
            <v>46022</v>
          </cell>
          <cell r="N825" t="str">
            <v>RODRIGO DE JESUS VITERI MORENO</v>
          </cell>
          <cell r="O825">
            <v>98390119</v>
          </cell>
          <cell r="P825" t="str">
            <v>maribelmaigualmunoz@gmail.com</v>
          </cell>
          <cell r="Q825">
            <v>45909</v>
          </cell>
          <cell r="R825" t="str">
            <v>DIANA MORA</v>
          </cell>
          <cell r="U825" t="str">
            <v>CELEBRADO</v>
          </cell>
          <cell r="W825" t="str">
            <v>2025-0419</v>
          </cell>
          <cell r="X825" t="str">
            <v>2025-1368</v>
          </cell>
          <cell r="AJ825">
            <v>2</v>
          </cell>
          <cell r="AK825">
            <v>0</v>
          </cell>
          <cell r="AL825">
            <v>2</v>
          </cell>
          <cell r="AM825" t="str">
            <v>$12.600.000</v>
          </cell>
        </row>
        <row r="826">
          <cell r="A826" t="str">
            <v>825-2025</v>
          </cell>
          <cell r="B826" t="str">
            <v>PRESTACION DE SERVICIOS</v>
          </cell>
          <cell r="C826" t="str">
            <v>ARRA IN SAS</v>
          </cell>
          <cell r="D826" t="str">
            <v>NIT</v>
          </cell>
          <cell r="E826">
            <v>901097848</v>
          </cell>
          <cell r="F826">
            <v>3</v>
          </cell>
          <cell r="G826" t="str">
            <v>CONTRATACION DIRECTA</v>
          </cell>
          <cell r="H826">
            <v>2</v>
          </cell>
          <cell r="I826" t="str">
            <v>Realizar el mantenimiento preventivo mediante diagnóstico integral de la base de datos SIOS en el Servidor SQL server 2019</v>
          </cell>
          <cell r="J826">
            <v>1</v>
          </cell>
          <cell r="K826" t="str">
            <v>$14.280.000</v>
          </cell>
          <cell r="L826">
            <v>45909</v>
          </cell>
          <cell r="M826">
            <v>45960</v>
          </cell>
          <cell r="N826" t="str">
            <v xml:space="preserve">	IVAN RODRIGO IBARRA MUÑOZ</v>
          </cell>
          <cell r="O826">
            <v>87248313</v>
          </cell>
          <cell r="P826" t="str">
            <v>antonio.arias@arra-in.com</v>
          </cell>
          <cell r="Q826">
            <v>45909</v>
          </cell>
          <cell r="R826" t="str">
            <v>RODRIGO  ROSERO</v>
          </cell>
          <cell r="U826" t="str">
            <v>CELEBRADO</v>
          </cell>
          <cell r="W826" t="str">
            <v>2025-0402</v>
          </cell>
          <cell r="X826" t="str">
            <v>2025-1369</v>
          </cell>
          <cell r="AJ826">
            <v>2</v>
          </cell>
          <cell r="AK826">
            <v>0</v>
          </cell>
          <cell r="AL826">
            <v>2</v>
          </cell>
          <cell r="AM826" t="str">
            <v>$14.280.000</v>
          </cell>
        </row>
        <row r="827">
          <cell r="A827" t="str">
            <v>826-2025</v>
          </cell>
          <cell r="B827" t="str">
            <v>PRESTACION DE SERVICIOS</v>
          </cell>
          <cell r="C827" t="str">
            <v>DIANA CAROLINA ORTEGA CAICEDO</v>
          </cell>
          <cell r="D827" t="str">
            <v>CC</v>
          </cell>
          <cell r="E827">
            <v>1085286725</v>
          </cell>
          <cell r="F827">
            <v>9</v>
          </cell>
          <cell r="G827" t="str">
            <v>CONTRATACION DIRECTA</v>
          </cell>
          <cell r="H827">
            <v>1</v>
          </cell>
          <cell r="I82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7">
            <v>1</v>
          </cell>
          <cell r="K827" t="str">
            <v>$12.600.000</v>
          </cell>
          <cell r="L827">
            <v>45909</v>
          </cell>
          <cell r="M827">
            <v>46022</v>
          </cell>
          <cell r="N827" t="str">
            <v>RIGOBERTO MELO ZAMBRANO</v>
          </cell>
          <cell r="O827">
            <v>98333941</v>
          </cell>
          <cell r="P827" t="str">
            <v>carito011990ortega@hotmail.com</v>
          </cell>
          <cell r="Q827">
            <v>45909</v>
          </cell>
          <cell r="R827" t="str">
            <v>NATHALIA PORTILLA</v>
          </cell>
          <cell r="U827" t="str">
            <v>CELEBRADO</v>
          </cell>
          <cell r="W827" t="str">
            <v>2025-0419</v>
          </cell>
          <cell r="X827" t="str">
            <v>2025-1370</v>
          </cell>
          <cell r="AJ827">
            <v>2</v>
          </cell>
          <cell r="AK827">
            <v>0</v>
          </cell>
          <cell r="AL827">
            <v>2</v>
          </cell>
          <cell r="AM827" t="str">
            <v>$12.600.000</v>
          </cell>
        </row>
        <row r="828">
          <cell r="A828" t="str">
            <v>827-2025</v>
          </cell>
          <cell r="B828" t="str">
            <v>PRESTACION DE SERVICIOS</v>
          </cell>
          <cell r="C828" t="str">
            <v>PAULA ANDREA MANOSALVA UNIGARRO</v>
          </cell>
          <cell r="D828" t="str">
            <v>CC</v>
          </cell>
          <cell r="E828">
            <v>27088197</v>
          </cell>
          <cell r="F828">
            <v>9</v>
          </cell>
          <cell r="G828" t="str">
            <v>CONTRATACION DIRECTA</v>
          </cell>
          <cell r="H828">
            <v>1</v>
          </cell>
          <cell r="I82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8">
            <v>1</v>
          </cell>
          <cell r="K828" t="str">
            <v>$12.600.000</v>
          </cell>
          <cell r="L828">
            <v>45909</v>
          </cell>
          <cell r="M828">
            <v>46022</v>
          </cell>
          <cell r="N828" t="str">
            <v>DEYANIRA BADOS DAZA</v>
          </cell>
          <cell r="O828">
            <v>59836926</v>
          </cell>
          <cell r="P828" t="str">
            <v>pamux0406@gmail.com</v>
          </cell>
          <cell r="Q828">
            <v>45909</v>
          </cell>
          <cell r="R828" t="str">
            <v>DIANA MORA</v>
          </cell>
          <cell r="U828" t="str">
            <v>CELEBRADO</v>
          </cell>
          <cell r="W828" t="str">
            <v>2025-0419</v>
          </cell>
          <cell r="X828" t="str">
            <v>2025-1371</v>
          </cell>
          <cell r="AJ828">
            <v>2</v>
          </cell>
          <cell r="AK828">
            <v>0</v>
          </cell>
          <cell r="AL828">
            <v>2</v>
          </cell>
          <cell r="AM828" t="str">
            <v>$12.600.000</v>
          </cell>
        </row>
        <row r="829">
          <cell r="A829" t="str">
            <v>828-2025</v>
          </cell>
          <cell r="B829" t="str">
            <v>PRESTACION DE SERVICIOS</v>
          </cell>
          <cell r="C829" t="str">
            <v>YEZICA ALEJANDRA RIVAS PORTILLA</v>
          </cell>
          <cell r="D829" t="str">
            <v>CC</v>
          </cell>
          <cell r="E829">
            <v>59310056</v>
          </cell>
          <cell r="F829">
            <v>7</v>
          </cell>
          <cell r="G829" t="str">
            <v>CONTRATACION DIRECTA</v>
          </cell>
          <cell r="H829">
            <v>1</v>
          </cell>
          <cell r="I82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29">
            <v>1</v>
          </cell>
          <cell r="K829" t="str">
            <v>$12.600.000</v>
          </cell>
          <cell r="L829">
            <v>45909</v>
          </cell>
          <cell r="M829">
            <v>46022</v>
          </cell>
          <cell r="N829" t="str">
            <v>RIGOBERTO MELO ZAMBRANO</v>
          </cell>
          <cell r="O829">
            <v>98333941</v>
          </cell>
          <cell r="P829" t="str">
            <v>rivasyezica@gmail.com</v>
          </cell>
          <cell r="Q829">
            <v>45909</v>
          </cell>
          <cell r="R829" t="str">
            <v>NATHALIA PORTILLA</v>
          </cell>
          <cell r="U829" t="str">
            <v>CELEBRADO</v>
          </cell>
          <cell r="W829" t="str">
            <v>2025-0419</v>
          </cell>
          <cell r="X829" t="str">
            <v>2025-1373</v>
          </cell>
          <cell r="AJ829">
            <v>2</v>
          </cell>
          <cell r="AK829">
            <v>0</v>
          </cell>
          <cell r="AL829">
            <v>2</v>
          </cell>
          <cell r="AM829" t="str">
            <v>$12.600.000</v>
          </cell>
        </row>
        <row r="830">
          <cell r="A830" t="str">
            <v>829-2025</v>
          </cell>
          <cell r="B830" t="str">
            <v>PRESTACION DE SERVICIOS</v>
          </cell>
          <cell r="C830" t="str">
            <v>LORENA DEL CARMEN OJEDA VASQUEZ</v>
          </cell>
          <cell r="D830" t="str">
            <v>CC</v>
          </cell>
          <cell r="E830">
            <v>1086329609</v>
          </cell>
          <cell r="F830">
            <v>2</v>
          </cell>
          <cell r="G830" t="str">
            <v>CONTRATACION DIRECTA</v>
          </cell>
          <cell r="H830">
            <v>1</v>
          </cell>
          <cell r="I83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0">
            <v>1</v>
          </cell>
          <cell r="K830" t="str">
            <v>$12.600.000</v>
          </cell>
          <cell r="L830">
            <v>45909</v>
          </cell>
          <cell r="M830">
            <v>46022</v>
          </cell>
          <cell r="N830" t="str">
            <v>RIGOBERTO MELO ZAMBRANO</v>
          </cell>
          <cell r="O830">
            <v>98333941</v>
          </cell>
          <cell r="P830" t="str">
            <v>heovaesmipaz@gmail.com</v>
          </cell>
          <cell r="Q830">
            <v>45909</v>
          </cell>
          <cell r="R830" t="str">
            <v>NATHALIA PORTILLA</v>
          </cell>
          <cell r="U830" t="str">
            <v>CELEBRADO</v>
          </cell>
          <cell r="W830" t="str">
            <v>2025-0419</v>
          </cell>
          <cell r="X830" t="str">
            <v>2025-1374</v>
          </cell>
          <cell r="AJ830">
            <v>2</v>
          </cell>
          <cell r="AK830">
            <v>0</v>
          </cell>
          <cell r="AL830">
            <v>2</v>
          </cell>
          <cell r="AM830" t="str">
            <v>$12.600.000</v>
          </cell>
        </row>
        <row r="831">
          <cell r="A831" t="str">
            <v>830-2025</v>
          </cell>
          <cell r="B831" t="str">
            <v>PRESTACION DE SERVICIOS</v>
          </cell>
          <cell r="C831" t="str">
            <v>ANDREA DEL ROSARIO BUESAQUILLO MIRAMAG</v>
          </cell>
          <cell r="D831" t="str">
            <v>CC</v>
          </cell>
          <cell r="E831">
            <v>1085335033</v>
          </cell>
          <cell r="F831">
            <v>1</v>
          </cell>
          <cell r="G831" t="str">
            <v>CONTRATACION DIRECTA</v>
          </cell>
          <cell r="H831">
            <v>1</v>
          </cell>
          <cell r="I83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1">
            <v>1</v>
          </cell>
          <cell r="K831" t="str">
            <v>$12.600.000</v>
          </cell>
          <cell r="L831">
            <v>45909</v>
          </cell>
          <cell r="M831">
            <v>46022</v>
          </cell>
          <cell r="N831" t="str">
            <v>RIGOBERTO MELO ZAMBRANO</v>
          </cell>
          <cell r="O831">
            <v>98333941</v>
          </cell>
          <cell r="P831" t="str">
            <v>buesaquilloandrea@gmail.com</v>
          </cell>
          <cell r="Q831">
            <v>45909</v>
          </cell>
          <cell r="R831" t="str">
            <v>NATHALIA PORTILLA</v>
          </cell>
          <cell r="U831" t="str">
            <v>CELEBRADO</v>
          </cell>
          <cell r="W831" t="str">
            <v>2025-0419</v>
          </cell>
          <cell r="X831" t="str">
            <v>2025-1375</v>
          </cell>
          <cell r="AJ831">
            <v>2</v>
          </cell>
          <cell r="AK831">
            <v>0</v>
          </cell>
          <cell r="AL831">
            <v>2</v>
          </cell>
          <cell r="AM831" t="str">
            <v>$12.600.000</v>
          </cell>
        </row>
        <row r="832">
          <cell r="A832" t="str">
            <v>831-2025</v>
          </cell>
          <cell r="B832" t="str">
            <v>PRESTACION DE SERVICIOS</v>
          </cell>
          <cell r="C832" t="str">
            <v>LIDA TATIANA BURBANO MUÑOZ</v>
          </cell>
          <cell r="D832" t="str">
            <v>CC</v>
          </cell>
          <cell r="E832">
            <v>1084552063</v>
          </cell>
          <cell r="F832">
            <v>9</v>
          </cell>
          <cell r="G832" t="str">
            <v>CONTRATACION DIRECTA</v>
          </cell>
          <cell r="H832">
            <v>1</v>
          </cell>
          <cell r="I832"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2">
            <v>1</v>
          </cell>
          <cell r="K832" t="str">
            <v>$31.200.000</v>
          </cell>
          <cell r="L832">
            <v>45909</v>
          </cell>
          <cell r="M832">
            <v>46022</v>
          </cell>
          <cell r="N832" t="str">
            <v>RIGOBERTO MELO ZAMBRANO</v>
          </cell>
          <cell r="O832">
            <v>98333941</v>
          </cell>
          <cell r="P832" t="str">
            <v>statianabm@gmail.com</v>
          </cell>
          <cell r="Q832">
            <v>45909</v>
          </cell>
          <cell r="R832" t="str">
            <v>DIANA MORA</v>
          </cell>
          <cell r="U832" t="str">
            <v>CELEBRADO</v>
          </cell>
          <cell r="W832" t="str">
            <v>2025-0419</v>
          </cell>
          <cell r="X832" t="str">
            <v>2025-1376</v>
          </cell>
          <cell r="AJ832">
            <v>2</v>
          </cell>
          <cell r="AK832">
            <v>0</v>
          </cell>
          <cell r="AL832">
            <v>2</v>
          </cell>
          <cell r="AM832" t="str">
            <v>$31.200.000</v>
          </cell>
        </row>
        <row r="833">
          <cell r="A833" t="str">
            <v>832-2025</v>
          </cell>
          <cell r="B833" t="str">
            <v>PRESTACION DE SERVICIOS</v>
          </cell>
          <cell r="C833" t="str">
            <v xml:space="preserve">GENNY MILENA DELGADO BUCHELI </v>
          </cell>
          <cell r="D833" t="str">
            <v>CC</v>
          </cell>
          <cell r="E833">
            <v>36953590</v>
          </cell>
          <cell r="F833">
            <v>4</v>
          </cell>
          <cell r="G833" t="str">
            <v>CONTRATACION DIRECTA</v>
          </cell>
          <cell r="H833">
            <v>1</v>
          </cell>
          <cell r="I83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3">
            <v>1</v>
          </cell>
          <cell r="K833" t="str">
            <v>$12.600.000</v>
          </cell>
          <cell r="L833">
            <v>45909</v>
          </cell>
          <cell r="M833">
            <v>46022</v>
          </cell>
          <cell r="N833" t="str">
            <v>RIGOBERTO MELO ZAMBRANO</v>
          </cell>
          <cell r="O833">
            <v>98333941</v>
          </cell>
          <cell r="P833" t="str">
            <v>jennymilena1981@gmail.com</v>
          </cell>
          <cell r="Q833">
            <v>45909</v>
          </cell>
          <cell r="R833" t="str">
            <v>DIANA MORA</v>
          </cell>
          <cell r="U833" t="str">
            <v>CELEBRADO</v>
          </cell>
          <cell r="W833" t="str">
            <v>2025-0419</v>
          </cell>
          <cell r="X833" t="str">
            <v>2025-1377</v>
          </cell>
          <cell r="AJ833">
            <v>2</v>
          </cell>
          <cell r="AK833">
            <v>0</v>
          </cell>
          <cell r="AL833">
            <v>2</v>
          </cell>
          <cell r="AM833" t="str">
            <v>$12.600.000</v>
          </cell>
        </row>
        <row r="834">
          <cell r="A834" t="str">
            <v>833-2025</v>
          </cell>
          <cell r="B834" t="str">
            <v>PRESTACION DE SERVICIOS</v>
          </cell>
          <cell r="C834" t="str">
            <v>GERALDINE VIVIANA VILLOTA ARTEAGA</v>
          </cell>
          <cell r="D834" t="str">
            <v>CC</v>
          </cell>
          <cell r="E834">
            <v>1233189066</v>
          </cell>
          <cell r="F834">
            <v>4</v>
          </cell>
          <cell r="G834" t="str">
            <v>CONTRATACION DIRECTA</v>
          </cell>
          <cell r="H834">
            <v>1</v>
          </cell>
          <cell r="I834"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4">
            <v>1</v>
          </cell>
          <cell r="K834" t="str">
            <v>$31.200.000</v>
          </cell>
          <cell r="L834">
            <v>45909</v>
          </cell>
          <cell r="M834">
            <v>46022</v>
          </cell>
          <cell r="N834" t="str">
            <v>RODRIGO DE JESUS VITERI MORENO</v>
          </cell>
          <cell r="O834">
            <v>98390119</v>
          </cell>
          <cell r="P834" t="str">
            <v>gvva977@gmail.com</v>
          </cell>
          <cell r="Q834">
            <v>45909</v>
          </cell>
          <cell r="R834" t="str">
            <v>DIANA MORA</v>
          </cell>
          <cell r="U834" t="str">
            <v>CELEBRADO</v>
          </cell>
          <cell r="W834" t="str">
            <v>2025-0419</v>
          </cell>
          <cell r="X834" t="str">
            <v>2025-1378</v>
          </cell>
          <cell r="AJ834">
            <v>2</v>
          </cell>
          <cell r="AK834">
            <v>0</v>
          </cell>
          <cell r="AL834">
            <v>2</v>
          </cell>
          <cell r="AM834" t="str">
            <v>$31.200.000</v>
          </cell>
        </row>
        <row r="835">
          <cell r="A835" t="str">
            <v>834-2025</v>
          </cell>
          <cell r="B835" t="str">
            <v>PRESTACION DE SERVICIOS</v>
          </cell>
          <cell r="C835" t="str">
            <v>SILVIA MATILDE GAVIRIA BENAVIDES</v>
          </cell>
          <cell r="D835" t="str">
            <v>CC</v>
          </cell>
          <cell r="E835">
            <v>59310291</v>
          </cell>
          <cell r="F835">
            <v>1</v>
          </cell>
          <cell r="G835" t="str">
            <v>CONTRATACION DIRECTA</v>
          </cell>
          <cell r="H835">
            <v>1</v>
          </cell>
          <cell r="I835"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35">
            <v>1</v>
          </cell>
          <cell r="K835" t="str">
            <v>$25.200.000</v>
          </cell>
          <cell r="L835">
            <v>45909</v>
          </cell>
          <cell r="M835">
            <v>46022</v>
          </cell>
          <cell r="N835" t="str">
            <v>RIGOBERTO MELO ZAMBRANO</v>
          </cell>
          <cell r="O835">
            <v>98333941</v>
          </cell>
          <cell r="P835" t="str">
            <v>Sgaviria8@hotmail.com</v>
          </cell>
          <cell r="Q835">
            <v>45909</v>
          </cell>
          <cell r="R835" t="str">
            <v>JUAN GOMEZ</v>
          </cell>
          <cell r="U835" t="str">
            <v>CELEBRADO</v>
          </cell>
          <cell r="W835" t="str">
            <v>2025-0419</v>
          </cell>
          <cell r="X835" t="str">
            <v>2025-1379</v>
          </cell>
          <cell r="AJ835">
            <v>2</v>
          </cell>
          <cell r="AK835">
            <v>0</v>
          </cell>
          <cell r="AL835">
            <v>2</v>
          </cell>
          <cell r="AM835" t="str">
            <v>$25.200.000</v>
          </cell>
        </row>
        <row r="836">
          <cell r="A836" t="str">
            <v>835-2025</v>
          </cell>
          <cell r="B836" t="str">
            <v>PRESTACION DE SERVICIOS</v>
          </cell>
          <cell r="C836" t="str">
            <v>ALEXANDER GEOVANNI YELA ENRIQUEZ</v>
          </cell>
          <cell r="D836" t="str">
            <v>CC</v>
          </cell>
          <cell r="E836">
            <v>1085244624</v>
          </cell>
          <cell r="F836">
            <v>3</v>
          </cell>
          <cell r="G836" t="str">
            <v>CONTRATACION DIRECTA</v>
          </cell>
          <cell r="H836">
            <v>1</v>
          </cell>
          <cell r="I836"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6">
            <v>1</v>
          </cell>
          <cell r="K836" t="str">
            <v>$31.200.000</v>
          </cell>
          <cell r="L836">
            <v>45909</v>
          </cell>
          <cell r="M836">
            <v>46022</v>
          </cell>
          <cell r="N836" t="str">
            <v>RIGOBERTO MELO ZAMBRANO</v>
          </cell>
          <cell r="O836">
            <v>98333941</v>
          </cell>
          <cell r="P836" t="str">
            <v>alex.yela2413@gmail.com</v>
          </cell>
          <cell r="Q836">
            <v>45909</v>
          </cell>
          <cell r="R836" t="str">
            <v>KLINGER GARCIA</v>
          </cell>
          <cell r="U836" t="str">
            <v>CELEBRADO</v>
          </cell>
          <cell r="W836" t="str">
            <v>2025-0419</v>
          </cell>
          <cell r="X836" t="str">
            <v>2025-1380</v>
          </cell>
          <cell r="AJ836">
            <v>2</v>
          </cell>
          <cell r="AK836">
            <v>0</v>
          </cell>
          <cell r="AL836">
            <v>2</v>
          </cell>
          <cell r="AM836" t="str">
            <v>$31.200.000</v>
          </cell>
        </row>
        <row r="837">
          <cell r="A837" t="str">
            <v>836-2025</v>
          </cell>
          <cell r="B837" t="str">
            <v>PRESTACION DE SERVICIOS</v>
          </cell>
          <cell r="C837" t="str">
            <v>NAYIBE JACQUELINNE TULCAN GAMBOA</v>
          </cell>
          <cell r="D837" t="str">
            <v>CC</v>
          </cell>
          <cell r="E837">
            <v>37087117</v>
          </cell>
          <cell r="F837">
            <v>1</v>
          </cell>
          <cell r="G837" t="str">
            <v>CONTRATACION DIRECTA</v>
          </cell>
          <cell r="H837">
            <v>1</v>
          </cell>
          <cell r="I83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7">
            <v>1</v>
          </cell>
          <cell r="K837" t="str">
            <v>$12.600.000</v>
          </cell>
          <cell r="L837">
            <v>45909</v>
          </cell>
          <cell r="M837">
            <v>46022</v>
          </cell>
          <cell r="N837" t="str">
            <v>RIGOBERTO MELO ZAMBRANO</v>
          </cell>
          <cell r="O837">
            <v>98333941</v>
          </cell>
          <cell r="P837" t="str">
            <v>nayistg@gmail.com</v>
          </cell>
          <cell r="Q837">
            <v>45909</v>
          </cell>
          <cell r="R837" t="str">
            <v>NATHALIA PORTILLA</v>
          </cell>
          <cell r="U837" t="str">
            <v>CELEBRADO</v>
          </cell>
          <cell r="W837" t="str">
            <v>2025-0419</v>
          </cell>
          <cell r="X837" t="str">
            <v>2025-1381</v>
          </cell>
          <cell r="AJ837">
            <v>2</v>
          </cell>
          <cell r="AK837">
            <v>0</v>
          </cell>
          <cell r="AL837">
            <v>2</v>
          </cell>
          <cell r="AM837" t="str">
            <v>$12.600.000</v>
          </cell>
        </row>
        <row r="838">
          <cell r="A838" t="str">
            <v>837-2025</v>
          </cell>
          <cell r="B838" t="str">
            <v>PRESTACION DE SERVICIOS</v>
          </cell>
          <cell r="C838" t="str">
            <v>LUCIA PATRICIA URBANO VALLEJO</v>
          </cell>
          <cell r="D838" t="str">
            <v>CC</v>
          </cell>
          <cell r="E838">
            <v>59310853</v>
          </cell>
          <cell r="F838">
            <v>0</v>
          </cell>
          <cell r="G838" t="str">
            <v>CONTRATACION DIRECTA</v>
          </cell>
          <cell r="H838">
            <v>1</v>
          </cell>
          <cell r="I83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8">
            <v>1</v>
          </cell>
          <cell r="K838" t="str">
            <v>$12.600.000</v>
          </cell>
          <cell r="L838">
            <v>45909</v>
          </cell>
          <cell r="M838">
            <v>46022</v>
          </cell>
          <cell r="N838" t="str">
            <v>MARY ALEXANDRA ROSERO BENAVIDES</v>
          </cell>
          <cell r="O838">
            <v>43624414</v>
          </cell>
          <cell r="P838" t="str">
            <v>patriciaurbano1983@outlook.com</v>
          </cell>
          <cell r="Q838">
            <v>45909</v>
          </cell>
          <cell r="R838" t="str">
            <v>DIANA MORA</v>
          </cell>
          <cell r="U838" t="str">
            <v>CELEBRADO</v>
          </cell>
          <cell r="W838" t="str">
            <v>2025-0419</v>
          </cell>
          <cell r="X838" t="str">
            <v>2025-1382</v>
          </cell>
          <cell r="AJ838">
            <v>2</v>
          </cell>
          <cell r="AK838">
            <v>0</v>
          </cell>
          <cell r="AL838">
            <v>2</v>
          </cell>
          <cell r="AM838" t="str">
            <v>$12.600.000</v>
          </cell>
        </row>
        <row r="839">
          <cell r="A839" t="str">
            <v>838-2025</v>
          </cell>
          <cell r="B839" t="str">
            <v>PRESTACION DE SERVICIOS</v>
          </cell>
          <cell r="C839" t="str">
            <v>DAMARIS ROXANA BENAVIDES CAEZ</v>
          </cell>
          <cell r="D839" t="str">
            <v>CC</v>
          </cell>
          <cell r="E839">
            <v>1087960287</v>
          </cell>
          <cell r="F839">
            <v>2</v>
          </cell>
          <cell r="G839" t="str">
            <v>CONTRATACION DIRECTA</v>
          </cell>
          <cell r="H839">
            <v>1</v>
          </cell>
          <cell r="I839"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39">
            <v>1</v>
          </cell>
          <cell r="K839" t="str">
            <v>$18.920.000</v>
          </cell>
          <cell r="L839">
            <v>45910</v>
          </cell>
          <cell r="M839">
            <v>46022</v>
          </cell>
          <cell r="N839" t="str">
            <v>DEYANIRA BADOS DAZA</v>
          </cell>
          <cell r="O839">
            <v>59836926</v>
          </cell>
          <cell r="P839" t="str">
            <v>droxanabenavides11@gmail.com</v>
          </cell>
          <cell r="Q839">
            <v>45910</v>
          </cell>
          <cell r="R839" t="str">
            <v>KLINGER GARCIA</v>
          </cell>
          <cell r="U839" t="str">
            <v>CELEBRADO</v>
          </cell>
          <cell r="W839" t="str">
            <v>2025-0419</v>
          </cell>
          <cell r="X839" t="str">
            <v>2025-1383</v>
          </cell>
          <cell r="AJ839">
            <v>2</v>
          </cell>
          <cell r="AK839">
            <v>0</v>
          </cell>
          <cell r="AL839">
            <v>2</v>
          </cell>
          <cell r="AM839" t="str">
            <v>$18.920.000</v>
          </cell>
        </row>
        <row r="840">
          <cell r="A840" t="str">
            <v>839-2025</v>
          </cell>
          <cell r="B840" t="str">
            <v>PRESTACION DE SERVICIOS</v>
          </cell>
          <cell r="C840" t="str">
            <v>LADY VIVIANA CASTRO GUAUÑA</v>
          </cell>
          <cell r="D840" t="str">
            <v>CC</v>
          </cell>
          <cell r="E840">
            <v>1085275473</v>
          </cell>
          <cell r="F840">
            <v>0</v>
          </cell>
          <cell r="G840" t="str">
            <v>CONTRATACION DIRECTA</v>
          </cell>
          <cell r="H840">
            <v>1</v>
          </cell>
          <cell r="I84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0">
            <v>1</v>
          </cell>
          <cell r="K840" t="str">
            <v>$12.600.000</v>
          </cell>
          <cell r="L840">
            <v>45910</v>
          </cell>
          <cell r="M840">
            <v>46022</v>
          </cell>
          <cell r="N840" t="str">
            <v>RODRIGO DE JESUS VITERI MORENO</v>
          </cell>
          <cell r="O840">
            <v>98390119</v>
          </cell>
          <cell r="P840" t="str">
            <v>ladyvicastro@hotmail.com</v>
          </cell>
          <cell r="Q840">
            <v>45910</v>
          </cell>
          <cell r="R840" t="str">
            <v>DIANA MORA</v>
          </cell>
          <cell r="U840" t="str">
            <v>CELEBRADO</v>
          </cell>
          <cell r="W840" t="str">
            <v>2025-0419</v>
          </cell>
          <cell r="X840" t="str">
            <v>2025-1386</v>
          </cell>
          <cell r="AJ840">
            <v>2</v>
          </cell>
          <cell r="AK840">
            <v>0</v>
          </cell>
          <cell r="AL840">
            <v>2</v>
          </cell>
          <cell r="AM840" t="str">
            <v>$12.600.000</v>
          </cell>
        </row>
        <row r="841">
          <cell r="A841" t="str">
            <v>840-2025</v>
          </cell>
          <cell r="B841" t="str">
            <v>PRESTACION DE SERVICIOS</v>
          </cell>
          <cell r="C841" t="str">
            <v>MARIA CAMILA PAREDES TIMANA</v>
          </cell>
          <cell r="D841" t="str">
            <v>CC</v>
          </cell>
          <cell r="E841">
            <v>1085302942</v>
          </cell>
          <cell r="F841">
            <v>1</v>
          </cell>
          <cell r="G841" t="str">
            <v>CONTRATACION DIRECTA</v>
          </cell>
          <cell r="H841">
            <v>1</v>
          </cell>
          <cell r="I841"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1">
            <v>1</v>
          </cell>
          <cell r="K841" t="str">
            <v>$12.600.000</v>
          </cell>
          <cell r="L841">
            <v>45910</v>
          </cell>
          <cell r="M841">
            <v>46022</v>
          </cell>
          <cell r="N841" t="str">
            <v>RIGOBERTO MELO ZAMBRANO</v>
          </cell>
          <cell r="O841">
            <v>98333941</v>
          </cell>
          <cell r="P841" t="str">
            <v>a.kmilita@hotmail.com</v>
          </cell>
          <cell r="Q841">
            <v>45910</v>
          </cell>
          <cell r="R841" t="str">
            <v>DIANA MORA</v>
          </cell>
          <cell r="U841" t="str">
            <v>CELEBRADO</v>
          </cell>
          <cell r="W841" t="str">
            <v>2025-0419</v>
          </cell>
          <cell r="X841" t="str">
            <v>2025-1389</v>
          </cell>
          <cell r="AJ841">
            <v>2</v>
          </cell>
          <cell r="AK841">
            <v>0</v>
          </cell>
          <cell r="AL841">
            <v>2</v>
          </cell>
          <cell r="AM841" t="str">
            <v>$12.600.000</v>
          </cell>
        </row>
        <row r="842">
          <cell r="A842" t="str">
            <v>841-2025</v>
          </cell>
          <cell r="B842" t="str">
            <v>PRESTACION DE SERVICIOS</v>
          </cell>
          <cell r="C842" t="str">
            <v>MARLY EMILY ORDOÑEZ MORCILLO</v>
          </cell>
          <cell r="D842" t="str">
            <v>CC</v>
          </cell>
          <cell r="E842">
            <v>59313711</v>
          </cell>
          <cell r="F842">
            <v>7</v>
          </cell>
          <cell r="G842" t="str">
            <v>CONTRATACION DIRECTA</v>
          </cell>
          <cell r="H842">
            <v>1</v>
          </cell>
          <cell r="I84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2">
            <v>1</v>
          </cell>
          <cell r="K842" t="str">
            <v>$12.600.000</v>
          </cell>
          <cell r="L842">
            <v>45910</v>
          </cell>
          <cell r="M842">
            <v>46022</v>
          </cell>
          <cell r="N842" t="str">
            <v>RIGOBERTO MELO ZAMBRANO</v>
          </cell>
          <cell r="O842">
            <v>98333941</v>
          </cell>
          <cell r="P842" t="str">
            <v>marlymorcillo@gmail.com</v>
          </cell>
          <cell r="Q842">
            <v>45910</v>
          </cell>
          <cell r="R842" t="str">
            <v>NATHALIA PORTILLA</v>
          </cell>
          <cell r="U842" t="str">
            <v>CELEBRADO</v>
          </cell>
          <cell r="W842" t="str">
            <v>2025-0419</v>
          </cell>
          <cell r="X842" t="str">
            <v>2025-1390</v>
          </cell>
          <cell r="AJ842">
            <v>2</v>
          </cell>
          <cell r="AK842">
            <v>0</v>
          </cell>
          <cell r="AL842">
            <v>2</v>
          </cell>
          <cell r="AM842" t="str">
            <v>$12.600.000</v>
          </cell>
        </row>
        <row r="843">
          <cell r="A843" t="str">
            <v>842-2025</v>
          </cell>
          <cell r="B843" t="str">
            <v>PRESTACION DE SERVICIOS</v>
          </cell>
          <cell r="C843" t="str">
            <v>NAYIBI ALEJANDRA TORRES ROSERO</v>
          </cell>
          <cell r="D843" t="str">
            <v>CC</v>
          </cell>
          <cell r="E843">
            <v>1233193191</v>
          </cell>
          <cell r="F843">
            <v>2</v>
          </cell>
          <cell r="G843" t="str">
            <v>CONTRATACION DIRECTA</v>
          </cell>
          <cell r="H843">
            <v>1</v>
          </cell>
          <cell r="I84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3">
            <v>1</v>
          </cell>
          <cell r="K843" t="str">
            <v>$12.600.000</v>
          </cell>
          <cell r="L843">
            <v>45910</v>
          </cell>
          <cell r="M843">
            <v>46022</v>
          </cell>
          <cell r="N843" t="str">
            <v>RIGOBERTO MELO ZAMBRANO</v>
          </cell>
          <cell r="O843">
            <v>98333941</v>
          </cell>
          <cell r="P843" t="str">
            <v>Nayibialejandratr@gmail.com</v>
          </cell>
          <cell r="Q843">
            <v>45910</v>
          </cell>
          <cell r="R843" t="str">
            <v>JUAN GOMEZ</v>
          </cell>
          <cell r="U843" t="str">
            <v>CELEBRADO</v>
          </cell>
          <cell r="W843" t="str">
            <v>2025-0419</v>
          </cell>
          <cell r="X843" t="str">
            <v>2025-1391</v>
          </cell>
          <cell r="AJ843">
            <v>2</v>
          </cell>
          <cell r="AK843">
            <v>0</v>
          </cell>
          <cell r="AL843">
            <v>2</v>
          </cell>
          <cell r="AM843" t="str">
            <v>$12.600.000</v>
          </cell>
        </row>
        <row r="844">
          <cell r="A844" t="str">
            <v>843-2025</v>
          </cell>
          <cell r="B844" t="str">
            <v>PRESTACION DE SERVICIOS</v>
          </cell>
          <cell r="C844" t="str">
            <v>NATHALIA ROSERO RODRIGUEZ</v>
          </cell>
          <cell r="D844" t="str">
            <v>CC</v>
          </cell>
          <cell r="E844">
            <v>1082748420</v>
          </cell>
          <cell r="F844">
            <v>0</v>
          </cell>
          <cell r="G844" t="str">
            <v>CONTRATACION DIRECTA</v>
          </cell>
          <cell r="H844">
            <v>1</v>
          </cell>
          <cell r="I844"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44">
            <v>1</v>
          </cell>
          <cell r="K844" t="str">
            <v>$25.200.000</v>
          </cell>
          <cell r="L844">
            <v>45910</v>
          </cell>
          <cell r="M844">
            <v>46022</v>
          </cell>
          <cell r="N844" t="str">
            <v>RIGOBERTO MELO ZAMBRANO</v>
          </cell>
          <cell r="O844">
            <v>98333941</v>
          </cell>
          <cell r="P844" t="str">
            <v>roseronat52@gmail.com</v>
          </cell>
          <cell r="Q844">
            <v>45910</v>
          </cell>
          <cell r="R844" t="str">
            <v>RODRIGO  ROSERO</v>
          </cell>
          <cell r="U844" t="str">
            <v>CELEBRADO</v>
          </cell>
          <cell r="W844" t="str">
            <v>2025-0419</v>
          </cell>
          <cell r="X844" t="str">
            <v>2025-1392</v>
          </cell>
          <cell r="AJ844">
            <v>2</v>
          </cell>
          <cell r="AK844">
            <v>0</v>
          </cell>
          <cell r="AL844">
            <v>2</v>
          </cell>
          <cell r="AM844" t="str">
            <v>$25.200.000</v>
          </cell>
        </row>
        <row r="845">
          <cell r="A845" t="str">
            <v>844-2025</v>
          </cell>
          <cell r="B845" t="str">
            <v>PRESTACION DE SERVICIOS</v>
          </cell>
          <cell r="C845" t="str">
            <v>SILVIA MARGENYS ENRIQUEZ RODRIGUEZ</v>
          </cell>
          <cell r="D845" t="str">
            <v>CC</v>
          </cell>
          <cell r="E845">
            <v>1086016304</v>
          </cell>
          <cell r="F845">
            <v>8</v>
          </cell>
          <cell r="G845" t="str">
            <v>CONTRATACION DIRECTA</v>
          </cell>
          <cell r="H845">
            <v>1</v>
          </cell>
          <cell r="I84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5">
            <v>1</v>
          </cell>
          <cell r="K845" t="str">
            <v>$12.600.000</v>
          </cell>
          <cell r="L845">
            <v>45910</v>
          </cell>
          <cell r="M845">
            <v>46022</v>
          </cell>
          <cell r="N845" t="str">
            <v>RIGOBERTO MELO ZAMBRANO</v>
          </cell>
          <cell r="O845">
            <v>98333941</v>
          </cell>
          <cell r="P845" t="str">
            <v>silvia250386@gmail.com</v>
          </cell>
          <cell r="Q845">
            <v>45910</v>
          </cell>
          <cell r="R845" t="str">
            <v>NATHALIA PORTILLA</v>
          </cell>
          <cell r="U845" t="str">
            <v>CELEBRADO</v>
          </cell>
          <cell r="W845" t="str">
            <v>2025-0419</v>
          </cell>
          <cell r="X845" t="str">
            <v>2025-1393</v>
          </cell>
          <cell r="AJ845">
            <v>2</v>
          </cell>
          <cell r="AK845">
            <v>0</v>
          </cell>
          <cell r="AL845">
            <v>2</v>
          </cell>
          <cell r="AM845" t="str">
            <v>$12.600.000</v>
          </cell>
        </row>
        <row r="846">
          <cell r="A846" t="str">
            <v>845-2025</v>
          </cell>
          <cell r="B846" t="str">
            <v>PRESTACION DE SERVICIOS</v>
          </cell>
          <cell r="C846" t="str">
            <v>CAMILO ALBERTO BURGOS GOYES</v>
          </cell>
          <cell r="D846" t="str">
            <v>CC</v>
          </cell>
          <cell r="E846">
            <v>1085333467</v>
          </cell>
          <cell r="F846">
            <v>5</v>
          </cell>
          <cell r="G846" t="str">
            <v>CONTRATACION DIRECTA</v>
          </cell>
          <cell r="H846">
            <v>1</v>
          </cell>
          <cell r="I846"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6">
            <v>1</v>
          </cell>
          <cell r="K846" t="str">
            <v>$18.920.000</v>
          </cell>
          <cell r="L846">
            <v>45910</v>
          </cell>
          <cell r="M846">
            <v>46022</v>
          </cell>
          <cell r="N846" t="str">
            <v>RIGOBERTO MELO ZAMBRANO</v>
          </cell>
          <cell r="O846">
            <v>98333941</v>
          </cell>
          <cell r="P846" t="str">
            <v>camiloburgos753@gmail.com</v>
          </cell>
          <cell r="Q846">
            <v>45910</v>
          </cell>
          <cell r="R846" t="str">
            <v>KLINGER GARCIA</v>
          </cell>
          <cell r="U846" t="str">
            <v>CELEBRADO</v>
          </cell>
          <cell r="W846" t="str">
            <v>2025-0419</v>
          </cell>
          <cell r="X846" t="str">
            <v>2025-1395</v>
          </cell>
          <cell r="AJ846">
            <v>2</v>
          </cell>
          <cell r="AK846">
            <v>0</v>
          </cell>
          <cell r="AL846">
            <v>2</v>
          </cell>
          <cell r="AM846" t="str">
            <v>$18.920.000</v>
          </cell>
        </row>
        <row r="847">
          <cell r="A847" t="str">
            <v>846-2025</v>
          </cell>
          <cell r="B847" t="str">
            <v>PRESTACION DE SERVICIOS</v>
          </cell>
          <cell r="C847" t="str">
            <v>LUCIA DEL SOCORRO TULCAN MUÑOZ</v>
          </cell>
          <cell r="D847" t="str">
            <v>CC</v>
          </cell>
          <cell r="E847">
            <v>27276869</v>
          </cell>
          <cell r="F847">
            <v>6</v>
          </cell>
          <cell r="G847" t="str">
            <v>CONTRATACION DIRECTA</v>
          </cell>
          <cell r="H847">
            <v>1</v>
          </cell>
          <cell r="I84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7">
            <v>1</v>
          </cell>
          <cell r="K847" t="str">
            <v>$12.600.000</v>
          </cell>
          <cell r="L847">
            <v>45910</v>
          </cell>
          <cell r="M847">
            <v>46022</v>
          </cell>
          <cell r="N847" t="str">
            <v>RIGOBERTO MELO ZAMBRANO</v>
          </cell>
          <cell r="O847">
            <v>98333941</v>
          </cell>
          <cell r="P847" t="str">
            <v>luciatulcan04@gmail.com</v>
          </cell>
          <cell r="Q847">
            <v>45910</v>
          </cell>
          <cell r="R847" t="str">
            <v>NATHALIA PORTILLA</v>
          </cell>
          <cell r="U847" t="str">
            <v>CELEBRADO</v>
          </cell>
          <cell r="W847" t="str">
            <v>2025-0419</v>
          </cell>
          <cell r="X847" t="str">
            <v>2025-1387</v>
          </cell>
          <cell r="AJ847">
            <v>2</v>
          </cell>
          <cell r="AK847">
            <v>0</v>
          </cell>
          <cell r="AL847">
            <v>2</v>
          </cell>
          <cell r="AM847" t="str">
            <v>$12.600.000</v>
          </cell>
        </row>
        <row r="848">
          <cell r="A848" t="str">
            <v>847-2025</v>
          </cell>
          <cell r="B848" t="str">
            <v>PRESTACION DE SERVICIOS</v>
          </cell>
          <cell r="C848" t="str">
            <v>YURANI NATALI BURBANO DIAZ</v>
          </cell>
          <cell r="D848" t="str">
            <v>CC</v>
          </cell>
          <cell r="E848">
            <v>1086360022</v>
          </cell>
          <cell r="F848">
            <v>1</v>
          </cell>
          <cell r="G848" t="str">
            <v>CONTRATACION DIRECTA</v>
          </cell>
          <cell r="H848">
            <v>1</v>
          </cell>
          <cell r="I848"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8">
            <v>1</v>
          </cell>
          <cell r="K848" t="str">
            <v>$18.920.000</v>
          </cell>
          <cell r="L848">
            <v>45910</v>
          </cell>
          <cell r="M848">
            <v>46022</v>
          </cell>
          <cell r="N848" t="str">
            <v>RIGOBERTO MELO ZAMBRANO</v>
          </cell>
          <cell r="O848">
            <v>98333941</v>
          </cell>
          <cell r="P848" t="str">
            <v>yunabudi@hotmail.com</v>
          </cell>
          <cell r="Q848">
            <v>45910</v>
          </cell>
          <cell r="R848" t="str">
            <v>DIANA MORA</v>
          </cell>
          <cell r="U848" t="str">
            <v>CELEBRADO</v>
          </cell>
          <cell r="W848" t="str">
            <v>2025-0419</v>
          </cell>
          <cell r="X848" t="str">
            <v>2025-1388</v>
          </cell>
          <cell r="AJ848">
            <v>2</v>
          </cell>
          <cell r="AK848">
            <v>0</v>
          </cell>
          <cell r="AL848">
            <v>2</v>
          </cell>
          <cell r="AM848" t="str">
            <v>$18.920.000</v>
          </cell>
        </row>
        <row r="849">
          <cell r="A849" t="str">
            <v>848-2025</v>
          </cell>
          <cell r="B849" t="str">
            <v>PRESTACION DE SERVICIOS</v>
          </cell>
          <cell r="C849" t="str">
            <v>LUZ ANGELICA CHILES CABRERA</v>
          </cell>
          <cell r="D849" t="str">
            <v>CC</v>
          </cell>
          <cell r="E849">
            <v>1080690337</v>
          </cell>
          <cell r="F849">
            <v>8</v>
          </cell>
          <cell r="G849" t="str">
            <v>CONTRATACION DIRECTA</v>
          </cell>
          <cell r="H849">
            <v>1</v>
          </cell>
          <cell r="I84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49">
            <v>1</v>
          </cell>
          <cell r="K849" t="str">
            <v>$12.600.000</v>
          </cell>
          <cell r="L849">
            <v>45910</v>
          </cell>
          <cell r="M849">
            <v>46022</v>
          </cell>
          <cell r="N849" t="str">
            <v>DEYANIRA BADOS DAZA</v>
          </cell>
          <cell r="O849">
            <v>59836926</v>
          </cell>
          <cell r="P849" t="str">
            <v>angecab214@gmail.com</v>
          </cell>
          <cell r="Q849">
            <v>45910</v>
          </cell>
          <cell r="R849" t="str">
            <v>DIANA MORA</v>
          </cell>
          <cell r="U849" t="str">
            <v>CELEBRADO</v>
          </cell>
          <cell r="W849" t="str">
            <v>2025-0419</v>
          </cell>
          <cell r="X849" t="str">
            <v>2025-1396</v>
          </cell>
          <cell r="AJ849">
            <v>2</v>
          </cell>
          <cell r="AK849">
            <v>0</v>
          </cell>
          <cell r="AL849">
            <v>2</v>
          </cell>
          <cell r="AM849" t="str">
            <v>$12.600.000</v>
          </cell>
        </row>
        <row r="850">
          <cell r="A850" t="str">
            <v>849-2025</v>
          </cell>
          <cell r="B850" t="str">
            <v>PRESTACION DE SERVICIOS</v>
          </cell>
          <cell r="C850" t="str">
            <v>TATIANA ANDREA CRIOLLO GENOY</v>
          </cell>
          <cell r="D850" t="str">
            <v>CC</v>
          </cell>
          <cell r="E850">
            <v>1081572043</v>
          </cell>
          <cell r="F850">
            <v>6</v>
          </cell>
          <cell r="G850" t="str">
            <v>CONTRATACION DIRECTA</v>
          </cell>
          <cell r="H850">
            <v>1</v>
          </cell>
          <cell r="I85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0">
            <v>1</v>
          </cell>
          <cell r="K850" t="str">
            <v>$12.600.000</v>
          </cell>
          <cell r="L850">
            <v>45910</v>
          </cell>
          <cell r="M850">
            <v>46022</v>
          </cell>
          <cell r="N850" t="str">
            <v>DEYANIRA BADOS DAZA</v>
          </cell>
          <cell r="O850">
            <v>59836926</v>
          </cell>
          <cell r="P850" t="str">
            <v>tatianaandreatacg@gmail.com</v>
          </cell>
          <cell r="Q850">
            <v>45910</v>
          </cell>
          <cell r="R850" t="str">
            <v>NATHALIA PORTILLA</v>
          </cell>
          <cell r="U850" t="str">
            <v>CELEBRADO</v>
          </cell>
          <cell r="W850" t="str">
            <v>2025-0419</v>
          </cell>
          <cell r="X850" t="str">
            <v>2025-1397</v>
          </cell>
          <cell r="AJ850">
            <v>2</v>
          </cell>
          <cell r="AK850">
            <v>0</v>
          </cell>
          <cell r="AL850">
            <v>2</v>
          </cell>
          <cell r="AM850" t="str">
            <v>$12.600.000</v>
          </cell>
        </row>
        <row r="851">
          <cell r="A851" t="str">
            <v>850-2025</v>
          </cell>
          <cell r="B851" t="str">
            <v>PRESTACION DE SERVICIOS</v>
          </cell>
          <cell r="C851" t="str">
            <v>FERNANDO TEOFILO ROSERO PATIÑO</v>
          </cell>
          <cell r="D851" t="str">
            <v>CC</v>
          </cell>
          <cell r="E851">
            <v>97470681</v>
          </cell>
          <cell r="F851">
            <v>4</v>
          </cell>
          <cell r="G851" t="str">
            <v>CONTRATACION DIRECTA</v>
          </cell>
          <cell r="H851">
            <v>1</v>
          </cell>
          <cell r="I851"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51">
            <v>1</v>
          </cell>
          <cell r="K851" t="str">
            <v>$25.200.000</v>
          </cell>
          <cell r="L851">
            <v>45910</v>
          </cell>
          <cell r="M851">
            <v>46022</v>
          </cell>
          <cell r="N851" t="str">
            <v>RIGOBERTO MELO ZAMBRANO</v>
          </cell>
          <cell r="O851">
            <v>98333941</v>
          </cell>
          <cell r="P851" t="str">
            <v>feteropa695@gmail.com</v>
          </cell>
          <cell r="Q851">
            <v>45910</v>
          </cell>
          <cell r="R851" t="str">
            <v>DIANA MORA</v>
          </cell>
          <cell r="U851" t="str">
            <v>CELEBRADO</v>
          </cell>
          <cell r="W851" t="str">
            <v>2025-0419</v>
          </cell>
          <cell r="X851" t="str">
            <v>2025-1398</v>
          </cell>
          <cell r="AJ851">
            <v>2</v>
          </cell>
          <cell r="AK851">
            <v>0</v>
          </cell>
          <cell r="AL851">
            <v>2</v>
          </cell>
          <cell r="AM851" t="str">
            <v>$25.200.000</v>
          </cell>
        </row>
        <row r="852">
          <cell r="A852" t="str">
            <v>851-2025</v>
          </cell>
          <cell r="B852" t="str">
            <v>PRESTACION DE SERVICIOS</v>
          </cell>
          <cell r="C852" t="str">
            <v xml:space="preserve">YORLENY VALERIA CABRERA RIVERA </v>
          </cell>
          <cell r="D852" t="str">
            <v>CC</v>
          </cell>
          <cell r="E852">
            <v>1004543161</v>
          </cell>
          <cell r="F852">
            <v>3</v>
          </cell>
          <cell r="G852" t="str">
            <v>CONTRATACION DIRECTA</v>
          </cell>
          <cell r="H852">
            <v>1</v>
          </cell>
          <cell r="I85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2">
            <v>1</v>
          </cell>
          <cell r="K852" t="str">
            <v>$12.600.000</v>
          </cell>
          <cell r="L852">
            <v>45910</v>
          </cell>
          <cell r="M852">
            <v>46022</v>
          </cell>
          <cell r="N852" t="str">
            <v>RIGOBERTO MELO ZAMBRANO</v>
          </cell>
          <cell r="O852">
            <v>98333941</v>
          </cell>
          <cell r="P852" t="str">
            <v>cabreravalery010@gmail.com</v>
          </cell>
          <cell r="Q852">
            <v>45910</v>
          </cell>
          <cell r="R852" t="str">
            <v>NATHALIA PORTILLA</v>
          </cell>
          <cell r="U852" t="str">
            <v>CELEBRADO</v>
          </cell>
          <cell r="W852" t="str">
            <v>2025-0419</v>
          </cell>
          <cell r="X852" t="str">
            <v>2025-1399</v>
          </cell>
          <cell r="AJ852">
            <v>2</v>
          </cell>
          <cell r="AK852">
            <v>0</v>
          </cell>
          <cell r="AL852">
            <v>2</v>
          </cell>
          <cell r="AM852" t="str">
            <v>$12.600.000</v>
          </cell>
        </row>
        <row r="853">
          <cell r="A853" t="str">
            <v>852-2025</v>
          </cell>
          <cell r="B853" t="str">
            <v>PRESTACION DE SERVICIOS</v>
          </cell>
          <cell r="C853" t="str">
            <v>DANIELA CAROLINA NARVAEZ TOR</v>
          </cell>
          <cell r="D853" t="str">
            <v>CC</v>
          </cell>
          <cell r="E853">
            <v>1088730615</v>
          </cell>
          <cell r="F853">
            <v>5</v>
          </cell>
          <cell r="G853" t="str">
            <v>CONTRATACION DIRECTA</v>
          </cell>
          <cell r="H853">
            <v>1</v>
          </cell>
          <cell r="I853"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3">
            <v>1</v>
          </cell>
          <cell r="K853" t="str">
            <v>$18.920.000</v>
          </cell>
          <cell r="L853">
            <v>45910</v>
          </cell>
          <cell r="M853">
            <v>46022</v>
          </cell>
          <cell r="N853" t="str">
            <v>DEYANIRA BADOS DAZA</v>
          </cell>
          <cell r="O853">
            <v>59836926</v>
          </cell>
          <cell r="P853" t="str">
            <v>dakanato@hotmail.com</v>
          </cell>
          <cell r="Q853">
            <v>45910</v>
          </cell>
          <cell r="R853" t="str">
            <v>KLINGER GARCIA</v>
          </cell>
          <cell r="U853" t="str">
            <v>CELEBRADO</v>
          </cell>
          <cell r="W853" t="str">
            <v>2025-0419</v>
          </cell>
          <cell r="X853" t="str">
            <v>2025-1400</v>
          </cell>
          <cell r="AJ853">
            <v>2</v>
          </cell>
          <cell r="AK853">
            <v>0</v>
          </cell>
          <cell r="AL853">
            <v>2</v>
          </cell>
          <cell r="AM853" t="str">
            <v>$18.920.000</v>
          </cell>
        </row>
        <row r="854">
          <cell r="A854" t="str">
            <v>853-2025</v>
          </cell>
          <cell r="B854" t="str">
            <v>PRESTACION DE SERVICIOS</v>
          </cell>
          <cell r="C854" t="str">
            <v>ALBA LIGIA CIFUENTES ROSERO</v>
          </cell>
          <cell r="D854" t="str">
            <v>CC</v>
          </cell>
          <cell r="E854">
            <v>1084551863</v>
          </cell>
          <cell r="F854">
            <v>1</v>
          </cell>
          <cell r="G854" t="str">
            <v>CONTRATACION DIRECTA</v>
          </cell>
          <cell r="H854">
            <v>1</v>
          </cell>
          <cell r="I854"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54">
            <v>1</v>
          </cell>
          <cell r="K854" t="str">
            <v>$25.200.000</v>
          </cell>
          <cell r="L854">
            <v>45911</v>
          </cell>
          <cell r="M854">
            <v>46022</v>
          </cell>
          <cell r="N854" t="str">
            <v>RIGOBERTO MELO ZAMBRANO</v>
          </cell>
          <cell r="O854">
            <v>98333941</v>
          </cell>
          <cell r="P854" t="str">
            <v>albali2406@gmail.com</v>
          </cell>
          <cell r="Q854">
            <v>45911</v>
          </cell>
          <cell r="R854" t="str">
            <v>NATHALIA PORTILLA</v>
          </cell>
          <cell r="U854" t="str">
            <v>CELEBRADO</v>
          </cell>
          <cell r="W854" t="str">
            <v>2025-0419</v>
          </cell>
          <cell r="X854" t="str">
            <v>2025-1401</v>
          </cell>
          <cell r="AJ854">
            <v>2</v>
          </cell>
          <cell r="AK854">
            <v>0</v>
          </cell>
          <cell r="AL854">
            <v>2</v>
          </cell>
          <cell r="AM854" t="str">
            <v>$25.200.000</v>
          </cell>
        </row>
        <row r="855">
          <cell r="A855" t="str">
            <v>854-2025</v>
          </cell>
          <cell r="B855" t="str">
            <v>PRESTACION DE SERVICIOS</v>
          </cell>
          <cell r="C855" t="str">
            <v>PAOLA ANDREA MENESES ERAZO</v>
          </cell>
          <cell r="D855" t="str">
            <v>CC</v>
          </cell>
          <cell r="E855">
            <v>1082747438</v>
          </cell>
          <cell r="F855">
            <v>8</v>
          </cell>
          <cell r="G855" t="str">
            <v>CONTRATACION DIRECTA</v>
          </cell>
          <cell r="H855">
            <v>1</v>
          </cell>
          <cell r="I85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5">
            <v>1</v>
          </cell>
          <cell r="K855" t="str">
            <v>$12.600.000</v>
          </cell>
          <cell r="L855">
            <v>45911</v>
          </cell>
          <cell r="M855">
            <v>46022</v>
          </cell>
          <cell r="N855" t="str">
            <v>RIGOBERTO MELO ZAMBRANO</v>
          </cell>
          <cell r="O855">
            <v>98333941</v>
          </cell>
          <cell r="P855" t="str">
            <v>paolameneses602@gmail.com</v>
          </cell>
          <cell r="Q855">
            <v>45911</v>
          </cell>
          <cell r="R855" t="str">
            <v>DIANA MORA</v>
          </cell>
          <cell r="U855" t="str">
            <v>CELEBRADO</v>
          </cell>
          <cell r="W855" t="str">
            <v>2025-0419</v>
          </cell>
          <cell r="X855" t="str">
            <v>2025-1403</v>
          </cell>
          <cell r="AJ855">
            <v>2</v>
          </cell>
          <cell r="AK855">
            <v>0</v>
          </cell>
          <cell r="AL855">
            <v>2</v>
          </cell>
          <cell r="AM855" t="str">
            <v>$12.600.000</v>
          </cell>
        </row>
        <row r="856">
          <cell r="A856" t="str">
            <v>855-2025</v>
          </cell>
          <cell r="B856" t="str">
            <v>PRESTACION DE SERVICIOS</v>
          </cell>
          <cell r="C856" t="str">
            <v>JULIETH CAROLINA DIAZ FIGUEROA</v>
          </cell>
          <cell r="D856" t="str">
            <v>CC</v>
          </cell>
          <cell r="E856">
            <v>1081052746</v>
          </cell>
          <cell r="F856">
            <v>4</v>
          </cell>
          <cell r="G856" t="str">
            <v>CONTRATACION DIRECTA</v>
          </cell>
          <cell r="H856">
            <v>1</v>
          </cell>
          <cell r="I85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6">
            <v>1</v>
          </cell>
          <cell r="K856" t="str">
            <v>$12.600.000</v>
          </cell>
          <cell r="L856">
            <v>45911</v>
          </cell>
          <cell r="M856">
            <v>46022</v>
          </cell>
          <cell r="N856" t="str">
            <v>RIGOBERTO MELO ZAMBRANO</v>
          </cell>
          <cell r="O856">
            <v>98333941</v>
          </cell>
          <cell r="P856" t="str">
            <v>juliethdiaz362@gmail.com</v>
          </cell>
          <cell r="Q856">
            <v>45911</v>
          </cell>
          <cell r="R856" t="str">
            <v>JUAN GOMEZ</v>
          </cell>
          <cell r="U856" t="str">
            <v>CELEBRADO</v>
          </cell>
          <cell r="W856" t="str">
            <v>2025-0419</v>
          </cell>
          <cell r="X856" t="str">
            <v>2025-1404</v>
          </cell>
          <cell r="AJ856">
            <v>2</v>
          </cell>
          <cell r="AK856">
            <v>0</v>
          </cell>
          <cell r="AL856">
            <v>2</v>
          </cell>
          <cell r="AM856" t="str">
            <v>$12.600.000</v>
          </cell>
        </row>
        <row r="857">
          <cell r="A857" t="str">
            <v>856-2025</v>
          </cell>
          <cell r="B857" t="str">
            <v>PRESTACION DE SERVICIOS</v>
          </cell>
          <cell r="C857" t="str">
            <v>YULY ADRIANA BOLAÑOS BOTINA</v>
          </cell>
          <cell r="D857" t="str">
            <v>CC</v>
          </cell>
          <cell r="E857">
            <v>27090399</v>
          </cell>
          <cell r="F857">
            <v>6</v>
          </cell>
          <cell r="G857" t="str">
            <v>CONTRATACION DIRECTA</v>
          </cell>
          <cell r="H857">
            <v>1</v>
          </cell>
          <cell r="I857"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57">
            <v>1</v>
          </cell>
          <cell r="K857" t="str">
            <v>$25.200.000</v>
          </cell>
          <cell r="L857">
            <v>45911</v>
          </cell>
          <cell r="M857">
            <v>46022</v>
          </cell>
          <cell r="N857" t="str">
            <v>RIGOBERTO MELO ZAMBRANO</v>
          </cell>
          <cell r="O857">
            <v>98333941</v>
          </cell>
          <cell r="P857" t="str">
            <v>juliadb444@gmail.com</v>
          </cell>
          <cell r="Q857">
            <v>45911</v>
          </cell>
          <cell r="R857" t="str">
            <v>KLINGER GARCIA</v>
          </cell>
          <cell r="U857" t="str">
            <v>CELEBRADO</v>
          </cell>
          <cell r="W857" t="str">
            <v>2025-0419</v>
          </cell>
          <cell r="X857" t="str">
            <v>2025-1405</v>
          </cell>
          <cell r="AJ857">
            <v>2</v>
          </cell>
          <cell r="AK857">
            <v>0</v>
          </cell>
          <cell r="AL857">
            <v>2</v>
          </cell>
          <cell r="AM857" t="str">
            <v>$25.200.000</v>
          </cell>
        </row>
        <row r="858">
          <cell r="A858" t="str">
            <v>857-2025</v>
          </cell>
          <cell r="B858" t="str">
            <v>PRESTACION DE SERVICIOS</v>
          </cell>
          <cell r="C858" t="str">
            <v>EDISON FAVER MARTINEZ LUNA</v>
          </cell>
          <cell r="D858" t="str">
            <v>CC</v>
          </cell>
          <cell r="E858">
            <v>1084224761</v>
          </cell>
          <cell r="F858">
            <v>5</v>
          </cell>
          <cell r="G858" t="str">
            <v>CONTRATACION DIRECTA</v>
          </cell>
          <cell r="H858">
            <v>1</v>
          </cell>
          <cell r="I858"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58">
            <v>1</v>
          </cell>
          <cell r="K858" t="str">
            <v>$25.200.000</v>
          </cell>
          <cell r="L858">
            <v>45911</v>
          </cell>
          <cell r="M858">
            <v>46022</v>
          </cell>
          <cell r="N858" t="str">
            <v>RIGOBERTO MELO ZAMBRANO</v>
          </cell>
          <cell r="O858">
            <v>98333941</v>
          </cell>
          <cell r="P858" t="str">
            <v>edison011192@gmail.com</v>
          </cell>
          <cell r="Q858">
            <v>45911</v>
          </cell>
          <cell r="R858" t="str">
            <v>KLINGER GARCIA</v>
          </cell>
          <cell r="U858" t="str">
            <v>CELEBRADO</v>
          </cell>
          <cell r="W858" t="str">
            <v>2025-0419</v>
          </cell>
          <cell r="X858" t="str">
            <v>2025-1406</v>
          </cell>
          <cell r="AJ858">
            <v>2</v>
          </cell>
          <cell r="AK858">
            <v>0</v>
          </cell>
          <cell r="AL858">
            <v>2</v>
          </cell>
          <cell r="AM858" t="str">
            <v>$25.200.000</v>
          </cell>
        </row>
        <row r="859">
          <cell r="A859" t="str">
            <v>858-2025</v>
          </cell>
          <cell r="B859" t="str">
            <v>PRESTACION DE SERVICIOS</v>
          </cell>
          <cell r="C859" t="str">
            <v>ANA MARIA INSUASTY FAJARDO</v>
          </cell>
          <cell r="D859" t="str">
            <v>CC</v>
          </cell>
          <cell r="E859">
            <v>1086137686</v>
          </cell>
          <cell r="F859">
            <v>5</v>
          </cell>
          <cell r="G859" t="str">
            <v>CONTRATACION DIRECTA</v>
          </cell>
          <cell r="H859">
            <v>1</v>
          </cell>
          <cell r="I859"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59">
            <v>1</v>
          </cell>
          <cell r="K859" t="str">
            <v>$18.920.000</v>
          </cell>
          <cell r="L859">
            <v>45911</v>
          </cell>
          <cell r="M859">
            <v>46022</v>
          </cell>
          <cell r="N859" t="str">
            <v>RIGOBERTO MELO ZAMBRANO</v>
          </cell>
          <cell r="O859">
            <v>98333941</v>
          </cell>
          <cell r="P859" t="str">
            <v>anainsuastyf@gmail.com</v>
          </cell>
          <cell r="Q859">
            <v>45911</v>
          </cell>
          <cell r="R859" t="str">
            <v>DIANA MORA</v>
          </cell>
          <cell r="U859" t="str">
            <v>CELEBRADO</v>
          </cell>
          <cell r="W859" t="str">
            <v>2025-0419</v>
          </cell>
          <cell r="X859" t="str">
            <v>2025-1407</v>
          </cell>
          <cell r="AJ859">
            <v>2</v>
          </cell>
          <cell r="AK859">
            <v>0</v>
          </cell>
          <cell r="AL859">
            <v>2</v>
          </cell>
          <cell r="AM859" t="str">
            <v>$18.920.000</v>
          </cell>
        </row>
        <row r="860">
          <cell r="A860" t="str">
            <v>859-2025</v>
          </cell>
          <cell r="B860" t="str">
            <v>PRESTACION DE SERVICIOS</v>
          </cell>
          <cell r="C860" t="str">
            <v>MARIA ALEJANDRA DIAZ BURGOS</v>
          </cell>
          <cell r="D860" t="str">
            <v>CC</v>
          </cell>
          <cell r="E860">
            <v>1089458776</v>
          </cell>
          <cell r="F860">
            <v>8</v>
          </cell>
          <cell r="G860" t="str">
            <v>CONTRATACION DIRECTA</v>
          </cell>
          <cell r="H860">
            <v>1</v>
          </cell>
          <cell r="I86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0">
            <v>1</v>
          </cell>
          <cell r="K860" t="str">
            <v>$12.600.000</v>
          </cell>
          <cell r="L860">
            <v>45911</v>
          </cell>
          <cell r="M860">
            <v>46022</v>
          </cell>
          <cell r="N860" t="str">
            <v>RIGOBERTO MELO ZAMBRANO</v>
          </cell>
          <cell r="O860">
            <v>98333941</v>
          </cell>
          <cell r="P860" t="str">
            <v>malejita.diaz27@gmail.com</v>
          </cell>
          <cell r="Q860">
            <v>45911</v>
          </cell>
          <cell r="R860" t="str">
            <v>DIANA MORA</v>
          </cell>
          <cell r="U860" t="str">
            <v>CELEBRADO</v>
          </cell>
          <cell r="W860" t="str">
            <v>2025-0419</v>
          </cell>
          <cell r="X860" t="str">
            <v>2025-1408</v>
          </cell>
          <cell r="AJ860">
            <v>2</v>
          </cell>
          <cell r="AK860">
            <v>0</v>
          </cell>
          <cell r="AL860">
            <v>2</v>
          </cell>
          <cell r="AM860" t="str">
            <v>$12.600.000</v>
          </cell>
        </row>
        <row r="861">
          <cell r="A861" t="str">
            <v>860-2025</v>
          </cell>
          <cell r="B861" t="str">
            <v>PRESTACION DE SERVICIOS</v>
          </cell>
          <cell r="C861" t="str">
            <v>ESTEFANIA CORREA GUERRERO</v>
          </cell>
          <cell r="D861" t="str">
            <v>CC</v>
          </cell>
          <cell r="E861">
            <v>1005829176</v>
          </cell>
          <cell r="F861">
            <v>6</v>
          </cell>
          <cell r="G861" t="str">
            <v>CONTRATACION DIRECTA</v>
          </cell>
          <cell r="H861">
            <v>1</v>
          </cell>
          <cell r="I861"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1">
            <v>1</v>
          </cell>
          <cell r="K861" t="str">
            <v>$18.920.000</v>
          </cell>
          <cell r="L861">
            <v>45911</v>
          </cell>
          <cell r="M861">
            <v>46022</v>
          </cell>
          <cell r="N861" t="str">
            <v>DEYANIRA BADOS DAZA</v>
          </cell>
          <cell r="O861">
            <v>59836926</v>
          </cell>
          <cell r="P861" t="str">
            <v>estefa24688@gmail.com</v>
          </cell>
          <cell r="Q861">
            <v>45911</v>
          </cell>
          <cell r="R861" t="str">
            <v>DIANA MORA</v>
          </cell>
          <cell r="U861" t="str">
            <v>CELEBRADO</v>
          </cell>
          <cell r="W861" t="str">
            <v>2025-0419</v>
          </cell>
          <cell r="X861" t="str">
            <v>2025-1409</v>
          </cell>
          <cell r="AJ861">
            <v>2</v>
          </cell>
          <cell r="AK861">
            <v>0</v>
          </cell>
          <cell r="AL861">
            <v>2</v>
          </cell>
          <cell r="AM861" t="str">
            <v>$18.920.000</v>
          </cell>
        </row>
        <row r="862">
          <cell r="A862" t="str">
            <v>861-2025</v>
          </cell>
          <cell r="B862" t="str">
            <v>PRESTACION DE SERVICIOS</v>
          </cell>
          <cell r="C862" t="str">
            <v>JESSICA ANDREA NARVAEZ NOGUERA</v>
          </cell>
          <cell r="D862" t="str">
            <v>CC</v>
          </cell>
          <cell r="E862">
            <v>1085246871</v>
          </cell>
          <cell r="F862">
            <v>5</v>
          </cell>
          <cell r="G862" t="str">
            <v>CONTRATACION DIRECTA</v>
          </cell>
          <cell r="H862">
            <v>1</v>
          </cell>
          <cell r="I862"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2">
            <v>1</v>
          </cell>
          <cell r="K862" t="str">
            <v>$31.200.000</v>
          </cell>
          <cell r="L862">
            <v>45911</v>
          </cell>
          <cell r="M862">
            <v>46022</v>
          </cell>
          <cell r="N862" t="str">
            <v>RIGOBERTO MELO ZAMBRANO</v>
          </cell>
          <cell r="O862">
            <v>98333941</v>
          </cell>
          <cell r="P862" t="str">
            <v>jesikli@hotmail.com</v>
          </cell>
          <cell r="Q862">
            <v>45911</v>
          </cell>
          <cell r="R862" t="str">
            <v>KLINGER GARCIA</v>
          </cell>
          <cell r="U862" t="str">
            <v>CELEBRADO</v>
          </cell>
          <cell r="W862" t="str">
            <v>2025-0419</v>
          </cell>
          <cell r="X862" t="str">
            <v>2025-1410</v>
          </cell>
          <cell r="AJ862">
            <v>2</v>
          </cell>
          <cell r="AK862">
            <v>0</v>
          </cell>
          <cell r="AL862">
            <v>2</v>
          </cell>
          <cell r="AM862" t="str">
            <v>$31.200.000</v>
          </cell>
        </row>
        <row r="863">
          <cell r="A863" t="str">
            <v>862-2025</v>
          </cell>
          <cell r="B863" t="str">
            <v>PRESTACION DE SERVICIOS</v>
          </cell>
          <cell r="C863" t="str">
            <v>SULEIDY YARITZA GOMEZ GARCIA</v>
          </cell>
          <cell r="D863" t="str">
            <v>CC</v>
          </cell>
          <cell r="E863">
            <v>1085347312</v>
          </cell>
          <cell r="F863">
            <v>3</v>
          </cell>
          <cell r="G863" t="str">
            <v>CONTRATACION DIRECTA</v>
          </cell>
          <cell r="H863">
            <v>1</v>
          </cell>
          <cell r="I863"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63">
            <v>1</v>
          </cell>
          <cell r="K863" t="str">
            <v>$25.200.000</v>
          </cell>
          <cell r="L863">
            <v>45911</v>
          </cell>
          <cell r="M863">
            <v>46022</v>
          </cell>
          <cell r="N863" t="str">
            <v>RIGOBERTO MELO ZAMBRANO</v>
          </cell>
          <cell r="O863">
            <v>98333941</v>
          </cell>
          <cell r="P863" t="str">
            <v>suleidigomez2016@gmail.com</v>
          </cell>
          <cell r="Q863">
            <v>45911</v>
          </cell>
          <cell r="R863" t="str">
            <v>KLINGER GARCIA</v>
          </cell>
          <cell r="U863" t="str">
            <v>CELEBRADO</v>
          </cell>
          <cell r="W863" t="str">
            <v>2025-0419</v>
          </cell>
          <cell r="X863" t="str">
            <v>2025-1411</v>
          </cell>
          <cell r="AJ863">
            <v>2</v>
          </cell>
          <cell r="AK863">
            <v>0</v>
          </cell>
          <cell r="AL863">
            <v>2</v>
          </cell>
          <cell r="AM863" t="str">
            <v>$25.200.000</v>
          </cell>
        </row>
        <row r="864">
          <cell r="A864" t="str">
            <v>863-2025</v>
          </cell>
          <cell r="B864" t="str">
            <v>PRESTACION DE SERVICIOS</v>
          </cell>
          <cell r="C864" t="str">
            <v>ANDRES EDUARDO SUAREZ CAIZA</v>
          </cell>
          <cell r="D864" t="str">
            <v>CC</v>
          </cell>
          <cell r="E864">
            <v>1085938244</v>
          </cell>
          <cell r="F864">
            <v>7</v>
          </cell>
          <cell r="G864" t="str">
            <v>CONTRATACION DIRECTA</v>
          </cell>
          <cell r="H864">
            <v>1</v>
          </cell>
          <cell r="I864" t="str">
            <v>Prestación de servicios profesionales dirigidos a apoyar el mantenimiento el Sistema único de Acreditación y el sistema de gestión de calidad bajo la norma ISO 9001:2015 en cumplimiento de los requisitos y estándares aplicables, en la Red Norte de la Empresa Social del Estado Pasto Salud ESE</v>
          </cell>
          <cell r="J864">
            <v>1</v>
          </cell>
          <cell r="K864" t="str">
            <v>$14.763.692</v>
          </cell>
          <cell r="L864">
            <v>45911</v>
          </cell>
          <cell r="M864">
            <v>46022</v>
          </cell>
          <cell r="N864" t="str">
            <v xml:space="preserve">	JUAN CARLOS MERA GUERRERO</v>
          </cell>
          <cell r="O864">
            <v>13016581</v>
          </cell>
          <cell r="P864" t="str">
            <v>andres_esc@outlook.com</v>
          </cell>
          <cell r="Q864">
            <v>45911</v>
          </cell>
          <cell r="R864" t="str">
            <v>DIANA MORA</v>
          </cell>
          <cell r="U864" t="str">
            <v>CELEBRADO</v>
          </cell>
          <cell r="W864" t="str">
            <v>2025-0424</v>
          </cell>
          <cell r="X864" t="str">
            <v>2025-1412</v>
          </cell>
          <cell r="AJ864">
            <v>2</v>
          </cell>
          <cell r="AK864">
            <v>0</v>
          </cell>
          <cell r="AL864">
            <v>2</v>
          </cell>
          <cell r="AM864" t="str">
            <v>$14.763.692</v>
          </cell>
        </row>
        <row r="865">
          <cell r="A865" t="str">
            <v>864-2025</v>
          </cell>
          <cell r="B865" t="str">
            <v>PRESTACION DE SERVICIOS</v>
          </cell>
          <cell r="C865" t="str">
            <v xml:space="preserve">JESSICA ALEXANDRA GUERRERO LARREA </v>
          </cell>
          <cell r="D865" t="str">
            <v>CC</v>
          </cell>
          <cell r="E865">
            <v>1085267332</v>
          </cell>
          <cell r="F865">
            <v>7</v>
          </cell>
          <cell r="G865" t="str">
            <v>CONTRATACION DIRECTA</v>
          </cell>
          <cell r="H865">
            <v>1</v>
          </cell>
          <cell r="I86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5">
            <v>1</v>
          </cell>
          <cell r="K865" t="str">
            <v>$12.600.000</v>
          </cell>
          <cell r="L865">
            <v>45911</v>
          </cell>
          <cell r="M865">
            <v>46022</v>
          </cell>
          <cell r="N865" t="str">
            <v>RIGOBERTO MELO ZAMBRANO</v>
          </cell>
          <cell r="O865">
            <v>98333941</v>
          </cell>
          <cell r="P865" t="str">
            <v>jessy.140688@hotmail.com</v>
          </cell>
          <cell r="Q865">
            <v>45911</v>
          </cell>
          <cell r="R865" t="str">
            <v>DIANA MORA</v>
          </cell>
          <cell r="U865" t="str">
            <v>CELEBRADO</v>
          </cell>
          <cell r="W865" t="str">
            <v>2025-0419</v>
          </cell>
          <cell r="X865" t="str">
            <v>2025-1413</v>
          </cell>
          <cell r="AJ865">
            <v>2</v>
          </cell>
          <cell r="AK865">
            <v>0</v>
          </cell>
          <cell r="AL865">
            <v>2</v>
          </cell>
          <cell r="AM865" t="str">
            <v>$12.600.000</v>
          </cell>
        </row>
        <row r="866">
          <cell r="A866" t="str">
            <v>865-2025</v>
          </cell>
          <cell r="B866" t="str">
            <v>PRESTACION DE SERVICIOS</v>
          </cell>
          <cell r="C866" t="str">
            <v>CLAUDIA LUCY CALVACHE MARTINEZ</v>
          </cell>
          <cell r="D866" t="str">
            <v>CC</v>
          </cell>
          <cell r="E866">
            <v>59825948</v>
          </cell>
          <cell r="F866">
            <v>2</v>
          </cell>
          <cell r="G866" t="str">
            <v>CONTRATACION DIRECTA</v>
          </cell>
          <cell r="H866">
            <v>1</v>
          </cell>
          <cell r="I866" t="str">
            <v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66">
            <v>1</v>
          </cell>
          <cell r="K866" t="str">
            <v>$25.200.000</v>
          </cell>
          <cell r="L866">
            <v>45911</v>
          </cell>
          <cell r="M866">
            <v>46022</v>
          </cell>
          <cell r="N866" t="str">
            <v>MARY ALEXANDRA ROSERO BENAVIDES</v>
          </cell>
          <cell r="O866">
            <v>43624414</v>
          </cell>
          <cell r="P866" t="str">
            <v>claudiacalvacheidsn@gmail.com</v>
          </cell>
          <cell r="Q866">
            <v>45911</v>
          </cell>
          <cell r="R866" t="str">
            <v>DIANA MORA</v>
          </cell>
          <cell r="U866" t="str">
            <v>CELEBRADO</v>
          </cell>
          <cell r="W866" t="str">
            <v>2025-0419</v>
          </cell>
          <cell r="X866" t="str">
            <v>2025-1414</v>
          </cell>
          <cell r="AJ866">
            <v>2</v>
          </cell>
          <cell r="AK866">
            <v>0</v>
          </cell>
          <cell r="AL866">
            <v>2</v>
          </cell>
          <cell r="AM866" t="str">
            <v>$25.200.000</v>
          </cell>
        </row>
        <row r="867">
          <cell r="A867" t="str">
            <v>866-2025</v>
          </cell>
          <cell r="B867" t="str">
            <v>PRESTACION DE SERVICIOS</v>
          </cell>
          <cell r="C867" t="str">
            <v>JESSICA ALEXANDRA POTOSI YELA</v>
          </cell>
          <cell r="D867" t="str">
            <v>CC</v>
          </cell>
          <cell r="E867">
            <v>1085296943</v>
          </cell>
          <cell r="F867">
            <v>0</v>
          </cell>
          <cell r="G867" t="str">
            <v>CONTRATACION DIRECTA</v>
          </cell>
          <cell r="H867">
            <v>1</v>
          </cell>
          <cell r="I86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7">
            <v>1</v>
          </cell>
          <cell r="K867" t="str">
            <v>$12.600.000</v>
          </cell>
          <cell r="L867">
            <v>45911</v>
          </cell>
          <cell r="M867">
            <v>46022</v>
          </cell>
          <cell r="N867" t="str">
            <v>RIGOBERTO MELO ZAMBRANO</v>
          </cell>
          <cell r="O867">
            <v>98333941</v>
          </cell>
          <cell r="P867" t="str">
            <v>jessicaalexandrapotosi@gmail.com</v>
          </cell>
          <cell r="Q867">
            <v>45911</v>
          </cell>
          <cell r="R867" t="str">
            <v>JUAN GOMEZ</v>
          </cell>
          <cell r="U867" t="str">
            <v>CELEBRADO</v>
          </cell>
          <cell r="W867" t="str">
            <v>2025-0419</v>
          </cell>
          <cell r="X867" t="str">
            <v>2025-1415</v>
          </cell>
          <cell r="AJ867">
            <v>2</v>
          </cell>
          <cell r="AK867">
            <v>0</v>
          </cell>
          <cell r="AL867">
            <v>4</v>
          </cell>
          <cell r="AM867" t="str">
            <v>$12.600.000</v>
          </cell>
        </row>
        <row r="868">
          <cell r="A868" t="str">
            <v>867-2025</v>
          </cell>
          <cell r="B868" t="str">
            <v>SUMINISTROS</v>
          </cell>
          <cell r="C868" t="str">
            <v>COOPERATIVA
DE GESTION FARMACEUTICA INTEGRAL EN REORGANIZACION (CFARMA),</v>
          </cell>
          <cell r="D868" t="str">
            <v>NIT</v>
          </cell>
          <cell r="E868">
            <v>900062612</v>
          </cell>
          <cell r="F868">
            <v>8</v>
          </cell>
          <cell r="G868" t="str">
            <v>BIONEXO</v>
          </cell>
          <cell r="H868">
            <v>2</v>
          </cell>
          <cell r="I868" t="str">
            <v>El contratista se obliga al suministro del material médico quirúrgico en las cantidades establecidas en el anexo 1, el cual hace parte integral del contrato, Para la ESE Pasto Salud.</v>
          </cell>
          <cell r="J868">
            <v>3</v>
          </cell>
          <cell r="K868" t="str">
            <v>$21.165.331</v>
          </cell>
          <cell r="L868">
            <v>45912</v>
          </cell>
          <cell r="M868">
            <v>46022</v>
          </cell>
          <cell r="N868" t="str">
            <v>NENA DEL CARMEN RAMIREZ RAMIREZ</v>
          </cell>
          <cell r="O868">
            <v>30732589</v>
          </cell>
          <cell r="P868" t="str">
            <v xml:space="preserve">notificaciones@cfarma.com.co,
</v>
          </cell>
          <cell r="Q868">
            <v>45912</v>
          </cell>
          <cell r="R868" t="str">
            <v>CRISTINA ROSERO</v>
          </cell>
          <cell r="U868" t="str">
            <v>CELEBRADO</v>
          </cell>
          <cell r="W868" t="str">
            <v>2025-0394</v>
          </cell>
          <cell r="X868" t="str">
            <v>2025-1416</v>
          </cell>
          <cell r="AJ868">
            <v>2</v>
          </cell>
          <cell r="AK868">
            <v>0</v>
          </cell>
          <cell r="AL868">
            <v>2</v>
          </cell>
          <cell r="AM868" t="str">
            <v>$21.165.331</v>
          </cell>
        </row>
        <row r="869">
          <cell r="A869" t="str">
            <v>868-2025</v>
          </cell>
          <cell r="B869" t="str">
            <v>PRESTACION DE SERVICIOS</v>
          </cell>
          <cell r="C869" t="str">
            <v>LILIAN SOLARTE GONZALEZ</v>
          </cell>
          <cell r="D869" t="str">
            <v>CC</v>
          </cell>
          <cell r="E869">
            <v>1089483067</v>
          </cell>
          <cell r="F869">
            <v>1</v>
          </cell>
          <cell r="G869" t="str">
            <v>CONTRATACION DIRECTA</v>
          </cell>
          <cell r="H869">
            <v>1</v>
          </cell>
          <cell r="I869"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69">
            <v>1</v>
          </cell>
          <cell r="K869" t="str">
            <v>$31.200.000</v>
          </cell>
          <cell r="L869">
            <v>45912</v>
          </cell>
          <cell r="M869">
            <v>46022</v>
          </cell>
          <cell r="N869" t="str">
            <v>MARY ALEXANDRA ROSERO BENAVIDES</v>
          </cell>
          <cell r="O869">
            <v>43624414</v>
          </cell>
          <cell r="P869" t="str">
            <v>liliansg.1610@gmail.com</v>
          </cell>
          <cell r="Q869">
            <v>45912</v>
          </cell>
          <cell r="R869" t="str">
            <v>NATHALIA PORTILLA</v>
          </cell>
          <cell r="U869" t="str">
            <v>CELEBRADO</v>
          </cell>
          <cell r="W869" t="str">
            <v>2025-0419</v>
          </cell>
          <cell r="X869" t="str">
            <v>2025-1417</v>
          </cell>
          <cell r="AJ869">
            <v>2</v>
          </cell>
          <cell r="AK869">
            <v>0</v>
          </cell>
          <cell r="AL869">
            <v>2</v>
          </cell>
          <cell r="AM869" t="str">
            <v>$31.200.000</v>
          </cell>
        </row>
        <row r="870">
          <cell r="A870" t="str">
            <v>869-2025</v>
          </cell>
          <cell r="B870" t="str">
            <v>PRESTACION DE SERVICIOS</v>
          </cell>
          <cell r="C870" t="str">
            <v>DEISY JOHANNA BASTIDAS JOJOA</v>
          </cell>
          <cell r="D870" t="str">
            <v>CC</v>
          </cell>
          <cell r="E870">
            <v>1085252263</v>
          </cell>
          <cell r="F870">
            <v>1</v>
          </cell>
          <cell r="G870" t="str">
            <v>CONTRATACION DIRECTA</v>
          </cell>
          <cell r="H870">
            <v>1</v>
          </cell>
          <cell r="I87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0">
            <v>1</v>
          </cell>
          <cell r="K870" t="str">
            <v>$12.600.000</v>
          </cell>
          <cell r="L870">
            <v>45912</v>
          </cell>
          <cell r="M870">
            <v>46022</v>
          </cell>
          <cell r="N870" t="str">
            <v>MARY ALEXANDRA ROSERO BENAVIDES</v>
          </cell>
          <cell r="O870">
            <v>43624414</v>
          </cell>
          <cell r="P870" t="str">
            <v>deijoba2018@gmail.com</v>
          </cell>
          <cell r="Q870">
            <v>45912</v>
          </cell>
          <cell r="R870" t="str">
            <v>NATHALIA PORTILLA</v>
          </cell>
          <cell r="U870" t="str">
            <v>CELEBRADO</v>
          </cell>
          <cell r="W870" t="str">
            <v>2025-0419</v>
          </cell>
          <cell r="X870" t="str">
            <v>2025-1418</v>
          </cell>
          <cell r="AJ870">
            <v>2</v>
          </cell>
          <cell r="AK870">
            <v>0</v>
          </cell>
          <cell r="AL870">
            <v>2</v>
          </cell>
          <cell r="AM870" t="str">
            <v>$12.600.000</v>
          </cell>
        </row>
        <row r="871">
          <cell r="A871" t="str">
            <v>870-2025</v>
          </cell>
          <cell r="B871" t="str">
            <v>PRESTACION DE SERVICIOS</v>
          </cell>
          <cell r="C871" t="str">
            <v>LABORATORIO BIOMETRICAL S.A.S</v>
          </cell>
          <cell r="D871" t="str">
            <v>NIT</v>
          </cell>
          <cell r="E871">
            <v>900709554</v>
          </cell>
          <cell r="F871">
            <v>8</v>
          </cell>
          <cell r="G871" t="str">
            <v>CONTRATACION DIRECTA</v>
          </cell>
          <cell r="H871">
            <v>2</v>
          </cell>
          <cell r="I871" t="str">
            <v>Prestar el servicio de mantenimiento preventivo y correctivo de los equipos biomédicos e industriales de uso hospitalario, en las sedes, unidades móviles, ambulancias, sede administrativa, que conforman la red prestadora de servicios de salud de la Empresa Pasto Salud E.S.E</v>
          </cell>
          <cell r="J871">
            <v>4</v>
          </cell>
          <cell r="K871" t="str">
            <v>$32.427.310</v>
          </cell>
          <cell r="L871">
            <v>45912</v>
          </cell>
          <cell r="M871">
            <v>46022</v>
          </cell>
          <cell r="N871" t="str">
            <v xml:space="preserve">	MARIO FERNADO NARANJO LOPEZ</v>
          </cell>
          <cell r="O871">
            <v>1004189613</v>
          </cell>
          <cell r="P871" t="str">
            <v>biometrical.pasto@gmail.com</v>
          </cell>
          <cell r="Q871">
            <v>45912</v>
          </cell>
          <cell r="R871" t="str">
            <v>CRISTINA ROSERO</v>
          </cell>
          <cell r="U871" t="str">
            <v>CELEBRADO</v>
          </cell>
          <cell r="W871" t="str">
            <v>2025-0464</v>
          </cell>
          <cell r="X871" t="str">
            <v>2025-1420</v>
          </cell>
          <cell r="AJ871">
            <v>2</v>
          </cell>
          <cell r="AK871">
            <v>0</v>
          </cell>
          <cell r="AL871">
            <v>2</v>
          </cell>
          <cell r="AM871" t="str">
            <v>$32.427.310</v>
          </cell>
        </row>
        <row r="872">
          <cell r="A872" t="str">
            <v>871-2025</v>
          </cell>
          <cell r="B872" t="str">
            <v>PRESTACION DE SERVICIOS</v>
          </cell>
          <cell r="C872" t="str">
            <v>MARTHA CECILIA TELLO</v>
          </cell>
          <cell r="D872" t="str">
            <v>CC</v>
          </cell>
          <cell r="E872">
            <v>27549931</v>
          </cell>
          <cell r="F872">
            <v>8</v>
          </cell>
          <cell r="G872" t="str">
            <v>CONTRATACION DIRECTA</v>
          </cell>
          <cell r="H872">
            <v>1</v>
          </cell>
          <cell r="I87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2">
            <v>1</v>
          </cell>
          <cell r="K872" t="str">
            <v>$12.600.000</v>
          </cell>
          <cell r="L872">
            <v>45912</v>
          </cell>
          <cell r="M872">
            <v>46022</v>
          </cell>
          <cell r="N872" t="str">
            <v>RIGOBERTO MELO ZAMBRANO</v>
          </cell>
          <cell r="O872">
            <v>98333941</v>
          </cell>
          <cell r="P872" t="str">
            <v>marthatello1227@gmail.com</v>
          </cell>
          <cell r="Q872">
            <v>45912</v>
          </cell>
          <cell r="R872" t="str">
            <v>NATHALIA PORTILLA</v>
          </cell>
          <cell r="U872" t="str">
            <v>CELEBRADO</v>
          </cell>
          <cell r="W872" t="str">
            <v>2025-0419</v>
          </cell>
          <cell r="X872" t="str">
            <v>2025-1421</v>
          </cell>
          <cell r="AJ872">
            <v>2</v>
          </cell>
          <cell r="AK872">
            <v>0</v>
          </cell>
          <cell r="AL872">
            <v>2</v>
          </cell>
          <cell r="AM872" t="str">
            <v>$12.600.000</v>
          </cell>
        </row>
        <row r="873">
          <cell r="A873" t="str">
            <v>872-2025</v>
          </cell>
          <cell r="B873" t="str">
            <v>PRESTACION DE SERVICIOS</v>
          </cell>
          <cell r="C873" t="str">
            <v>GLORIA JANETH BOTINA BURBANO</v>
          </cell>
          <cell r="D873" t="str">
            <v>CC</v>
          </cell>
          <cell r="E873">
            <v>59122805</v>
          </cell>
          <cell r="F873">
            <v>0</v>
          </cell>
          <cell r="G873" t="str">
            <v>CONTRATACION DIRECTA</v>
          </cell>
          <cell r="H873">
            <v>1</v>
          </cell>
          <cell r="I873"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3">
            <v>1</v>
          </cell>
          <cell r="K873" t="str">
            <v>$12.600.000</v>
          </cell>
          <cell r="L873">
            <v>45912</v>
          </cell>
          <cell r="M873">
            <v>46022</v>
          </cell>
          <cell r="N873" t="str">
            <v>RIGOBERTO MELO ZAMBRANO</v>
          </cell>
          <cell r="O873">
            <v>98333941</v>
          </cell>
          <cell r="P873" t="str">
            <v>botinaburbanogloriajaneth@gmail.com</v>
          </cell>
          <cell r="Q873">
            <v>45912</v>
          </cell>
          <cell r="R873" t="str">
            <v>JUAN GOMEZ</v>
          </cell>
          <cell r="U873" t="str">
            <v>CELEBRADO</v>
          </cell>
          <cell r="W873" t="str">
            <v>2025-0419</v>
          </cell>
          <cell r="X873" t="str">
            <v>2025-1422</v>
          </cell>
          <cell r="AJ873">
            <v>2</v>
          </cell>
          <cell r="AK873">
            <v>0</v>
          </cell>
          <cell r="AL873">
            <v>2</v>
          </cell>
          <cell r="AM873" t="str">
            <v>$12.600.000</v>
          </cell>
        </row>
        <row r="874">
          <cell r="A874" t="str">
            <v>873-2025</v>
          </cell>
          <cell r="B874" t="str">
            <v>PRESTACION DE SERVICIOS</v>
          </cell>
          <cell r="C874" t="str">
            <v>ELVIA DEL ROSARIO JUAJINOY NARVAEZ</v>
          </cell>
          <cell r="D874" t="str">
            <v>CC</v>
          </cell>
          <cell r="E874">
            <v>1085247449</v>
          </cell>
          <cell r="F874">
            <v>4</v>
          </cell>
          <cell r="G874" t="str">
            <v>CONTRATACION DIRECTA</v>
          </cell>
          <cell r="H874">
            <v>1</v>
          </cell>
          <cell r="I87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4">
            <v>1</v>
          </cell>
          <cell r="K874" t="str">
            <v>$12.600.000</v>
          </cell>
          <cell r="L874">
            <v>45912</v>
          </cell>
          <cell r="M874">
            <v>46022</v>
          </cell>
          <cell r="N874" t="str">
            <v>RIGOBERTO MELO ZAMBRANO</v>
          </cell>
          <cell r="O874">
            <v>98333941</v>
          </cell>
          <cell r="P874" t="str">
            <v>elvianarvaez1983@gmail.com</v>
          </cell>
          <cell r="Q874">
            <v>45912</v>
          </cell>
          <cell r="R874" t="str">
            <v>KLINGER GARCIA</v>
          </cell>
          <cell r="U874" t="str">
            <v>CELEBRADO</v>
          </cell>
          <cell r="W874" t="str">
            <v>2025-0419</v>
          </cell>
          <cell r="X874" t="str">
            <v>2025-1423</v>
          </cell>
          <cell r="AJ874">
            <v>2</v>
          </cell>
          <cell r="AK874">
            <v>0</v>
          </cell>
          <cell r="AL874">
            <v>2</v>
          </cell>
          <cell r="AM874" t="str">
            <v>$12.600.000</v>
          </cell>
        </row>
        <row r="875">
          <cell r="A875" t="str">
            <v>874-2025</v>
          </cell>
          <cell r="B875" t="str">
            <v>PRESTACION DE SERVICIOS</v>
          </cell>
          <cell r="C875" t="str">
            <v>TRASNPORTES ESPECIALIDADES ACAR S.A</v>
          </cell>
          <cell r="D875" t="str">
            <v>NIT</v>
          </cell>
          <cell r="E875">
            <v>805021222</v>
          </cell>
          <cell r="F875">
            <v>9</v>
          </cell>
          <cell r="G875" t="str">
            <v>CONTRATACION DIRECTA</v>
          </cell>
          <cell r="H875">
            <v>2</v>
          </cell>
          <cell r="I875" t="str">
            <v>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v>
          </cell>
          <cell r="J875">
            <v>1</v>
          </cell>
          <cell r="K875" t="str">
            <v>$270.000.000</v>
          </cell>
          <cell r="L875">
            <v>45912</v>
          </cell>
          <cell r="M875">
            <v>46022</v>
          </cell>
          <cell r="N875" t="str">
            <v>JUAN PABLO LLANOS RUALES</v>
          </cell>
          <cell r="O875">
            <v>17658216</v>
          </cell>
          <cell r="P875" t="str">
            <v>diana.perez33@hotmail.es</v>
          </cell>
          <cell r="Q875">
            <v>45912</v>
          </cell>
          <cell r="R875" t="str">
            <v>CRISTINA ROSERO</v>
          </cell>
          <cell r="U875" t="str">
            <v>CELEBRADO</v>
          </cell>
          <cell r="W875" t="str">
            <v>2025-0439</v>
          </cell>
          <cell r="X875" t="str">
            <v>2025-1424</v>
          </cell>
          <cell r="AJ875">
            <v>2</v>
          </cell>
          <cell r="AK875">
            <v>0</v>
          </cell>
          <cell r="AL875">
            <v>2</v>
          </cell>
          <cell r="AM875" t="str">
            <v>$270.000.000</v>
          </cell>
        </row>
        <row r="876">
          <cell r="A876" t="str">
            <v>875-2025</v>
          </cell>
          <cell r="B876" t="str">
            <v>PRESTACION DE SERVICIOS</v>
          </cell>
          <cell r="C876" t="str">
            <v>YADDY ALEJANDRA SOLARTE BASTIDAS</v>
          </cell>
          <cell r="D876" t="str">
            <v>CC</v>
          </cell>
          <cell r="E876">
            <v>1086361969</v>
          </cell>
          <cell r="F876">
            <v>3</v>
          </cell>
          <cell r="G876" t="str">
            <v>CONTRATACION DIRECTA</v>
          </cell>
          <cell r="H876">
            <v>1</v>
          </cell>
          <cell r="I876"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6">
            <v>1</v>
          </cell>
          <cell r="K876" t="str">
            <v>$31.200.000</v>
          </cell>
          <cell r="L876">
            <v>45915</v>
          </cell>
          <cell r="M876">
            <v>46022</v>
          </cell>
          <cell r="N876" t="str">
            <v>RIGOBERTO MELO ZAMBRANO</v>
          </cell>
          <cell r="O876">
            <v>98333941</v>
          </cell>
          <cell r="P876" t="str">
            <v>jadsol93@hotmail.com</v>
          </cell>
          <cell r="Q876">
            <v>45915</v>
          </cell>
          <cell r="R876" t="str">
            <v>ANDERSON MEJIA</v>
          </cell>
          <cell r="U876" t="str">
            <v>CELEBRADO</v>
          </cell>
          <cell r="W876" t="str">
            <v>2025-0419</v>
          </cell>
          <cell r="X876" t="str">
            <v>2025-1425</v>
          </cell>
          <cell r="AJ876">
            <v>2</v>
          </cell>
          <cell r="AK876">
            <v>0</v>
          </cell>
          <cell r="AL876">
            <v>2</v>
          </cell>
          <cell r="AM876" t="str">
            <v>$31.200.000</v>
          </cell>
        </row>
        <row r="877">
          <cell r="A877" t="str">
            <v>876-2025</v>
          </cell>
          <cell r="B877" t="str">
            <v>PRESTACION DE SERVICIOS</v>
          </cell>
          <cell r="C877" t="str">
            <v>MYRIAM JANNETH BASTIDAS MORA</v>
          </cell>
          <cell r="D877" t="str">
            <v>CC</v>
          </cell>
          <cell r="E877">
            <v>59311295</v>
          </cell>
          <cell r="F877">
            <v>5</v>
          </cell>
          <cell r="G877" t="str">
            <v>CONTRATACION DIRECTA</v>
          </cell>
          <cell r="H877">
            <v>1</v>
          </cell>
          <cell r="I87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7">
            <v>1</v>
          </cell>
          <cell r="K877" t="str">
            <v>$12.600.000</v>
          </cell>
          <cell r="L877">
            <v>45915</v>
          </cell>
          <cell r="M877">
            <v>46022</v>
          </cell>
          <cell r="N877" t="str">
            <v>MARY ALEXANDRA ROSERO BENAVIDES</v>
          </cell>
          <cell r="O877">
            <v>43624414</v>
          </cell>
          <cell r="P877" t="str">
            <v>janethmora0207@gmail.com</v>
          </cell>
          <cell r="Q877">
            <v>45915</v>
          </cell>
          <cell r="R877" t="str">
            <v>KLINGER GARCIA</v>
          </cell>
          <cell r="U877" t="str">
            <v>CELEBRADO</v>
          </cell>
          <cell r="W877" t="str">
            <v>2025-0419</v>
          </cell>
          <cell r="X877" t="str">
            <v>2025-1426</v>
          </cell>
          <cell r="AJ877">
            <v>2</v>
          </cell>
          <cell r="AK877">
            <v>0</v>
          </cell>
          <cell r="AL877">
            <v>2</v>
          </cell>
          <cell r="AM877" t="str">
            <v>$12.600.000</v>
          </cell>
        </row>
        <row r="878">
          <cell r="A878" t="str">
            <v>877-2025</v>
          </cell>
          <cell r="B878" t="str">
            <v>PRESTACION DE SERVICIOS</v>
          </cell>
          <cell r="C878" t="str">
            <v>MARCELA JAZMIN TIMANA MAIGUAL</v>
          </cell>
          <cell r="D878" t="str">
            <v>CC</v>
          </cell>
          <cell r="E878">
            <v>1085265947</v>
          </cell>
          <cell r="F878">
            <v>7</v>
          </cell>
          <cell r="G878" t="str">
            <v>CONTRATACION DIRECTA</v>
          </cell>
          <cell r="H878">
            <v>1</v>
          </cell>
          <cell r="I87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8">
            <v>1</v>
          </cell>
          <cell r="K878" t="str">
            <v>$12.600.000</v>
          </cell>
          <cell r="L878">
            <v>45915</v>
          </cell>
          <cell r="M878">
            <v>46022</v>
          </cell>
          <cell r="N878" t="str">
            <v>MARY ALEXANDRA ROSERO BENAVIDES</v>
          </cell>
          <cell r="O878">
            <v>43624414</v>
          </cell>
          <cell r="P878" t="str">
            <v>anmarjaz9@gmail.com</v>
          </cell>
          <cell r="Q878">
            <v>45915</v>
          </cell>
          <cell r="R878" t="str">
            <v>KLINGER GARCIA</v>
          </cell>
          <cell r="U878" t="str">
            <v>CELEBRADO</v>
          </cell>
          <cell r="W878" t="str">
            <v>2025-0419</v>
          </cell>
          <cell r="X878" t="str">
            <v>2025-1427</v>
          </cell>
          <cell r="AJ878">
            <v>2</v>
          </cell>
          <cell r="AK878">
            <v>0</v>
          </cell>
          <cell r="AL878">
            <v>2</v>
          </cell>
          <cell r="AM878" t="str">
            <v>$12.600.000</v>
          </cell>
        </row>
        <row r="879">
          <cell r="A879" t="str">
            <v>878-2025</v>
          </cell>
          <cell r="B879" t="str">
            <v>PRESTACION DE SERVICIOS</v>
          </cell>
          <cell r="C879" t="str">
            <v>SANDRA JULIETH GOMEZ GOMEZ</v>
          </cell>
          <cell r="D879" t="str">
            <v>CC</v>
          </cell>
          <cell r="E879">
            <v>1087645341</v>
          </cell>
          <cell r="F879">
            <v>2</v>
          </cell>
          <cell r="G879" t="str">
            <v>CONTRATACION DIRECTA</v>
          </cell>
          <cell r="H879">
            <v>1</v>
          </cell>
          <cell r="I87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79">
            <v>1</v>
          </cell>
          <cell r="K879" t="str">
            <v>$12.600.000</v>
          </cell>
          <cell r="L879">
            <v>45915</v>
          </cell>
          <cell r="M879">
            <v>46022</v>
          </cell>
          <cell r="N879" t="str">
            <v>RIGOBERTO MELO ZAMBRANO</v>
          </cell>
          <cell r="O879">
            <v>98333941</v>
          </cell>
          <cell r="P879" t="str">
            <v>juliogo23@hotmail.com</v>
          </cell>
          <cell r="Q879">
            <v>45915</v>
          </cell>
          <cell r="R879" t="str">
            <v>KLINGER GARCIA</v>
          </cell>
          <cell r="U879" t="str">
            <v>CELEBRADO</v>
          </cell>
          <cell r="W879" t="str">
            <v>2025-0419</v>
          </cell>
          <cell r="X879" t="str">
            <v>2025-1428</v>
          </cell>
          <cell r="AJ879">
            <v>2</v>
          </cell>
          <cell r="AK879">
            <v>0</v>
          </cell>
          <cell r="AL879">
            <v>2</v>
          </cell>
          <cell r="AM879" t="str">
            <v>$12.600.000</v>
          </cell>
        </row>
        <row r="880">
          <cell r="A880" t="str">
            <v>879-2025</v>
          </cell>
          <cell r="B880" t="str">
            <v>PRESTACION DE SERVICIOS</v>
          </cell>
          <cell r="C880" t="str">
            <v>LUZ MARISEL CAMPAÑA MURIEL</v>
          </cell>
          <cell r="D880" t="str">
            <v>CC</v>
          </cell>
          <cell r="E880">
            <v>30746862</v>
          </cell>
          <cell r="F880">
            <v>3</v>
          </cell>
          <cell r="G880" t="str">
            <v>CONTRATACION DIRECTA</v>
          </cell>
          <cell r="H880">
            <v>1</v>
          </cell>
          <cell r="I880" t="str">
            <v>El contratista se compromete para con la Empresa Social del Estado PASTO SALUD ESE aprestar sus servicios como profesional con especialización en seguridad y salud en el trabajo o profesional en SST para el desarrollo de las actividades contempladas en el componente de Débil Vigilancia Epidemiológica - Formación Trabajador Popular y procesos transversales, de acuerdo con los contenidos de la Política Pública de Salud Colectiva 'La Salud en Todos los Derechos', fortaleciendo los entornos educativo, comunitario, laboral e instutcional segun sea necesario y garantizando la incorporacion de la estrategia ciudad bienestar en sus lineamientos operativos ,objetivos, premisas, perpectivas y enfoques. Lo anterior en el marco del anexo tecnico del plan de salud publica de intervenciones colectivas correspondiente al periodo abril-diciembre de 2025, el cual hace integral del contrato interadministrativo No. 20252190 de fecha 02 de abril de 2025, suscrito entre la empresa social del estado pasto salud ese y la alcaldia de pasto -secretaria municipal de salud.</v>
          </cell>
          <cell r="J880">
            <v>1</v>
          </cell>
          <cell r="K880" t="str">
            <v>$6.800.000</v>
          </cell>
          <cell r="L880">
            <v>45915</v>
          </cell>
          <cell r="M880">
            <v>45976</v>
          </cell>
          <cell r="N880" t="str">
            <v xml:space="preserve">	OSCAR MIGUEL GOYES CABRERA</v>
          </cell>
          <cell r="O880">
            <v>87711882</v>
          </cell>
          <cell r="P880" t="str">
            <v>mariselcam25@gmail.com</v>
          </cell>
          <cell r="Q880">
            <v>45915</v>
          </cell>
          <cell r="R880" t="str">
            <v>CRISTINA ROSERO</v>
          </cell>
          <cell r="U880" t="str">
            <v>CELEBRADO</v>
          </cell>
          <cell r="W880" t="str">
            <v>2025-0277</v>
          </cell>
          <cell r="X880" t="str">
            <v>2025-1429</v>
          </cell>
          <cell r="AJ880">
            <v>2</v>
          </cell>
          <cell r="AK880">
            <v>0</v>
          </cell>
          <cell r="AL880">
            <v>2</v>
          </cell>
          <cell r="AM880" t="str">
            <v>$6.800.000</v>
          </cell>
        </row>
        <row r="881">
          <cell r="A881" t="str">
            <v>880-2025</v>
          </cell>
          <cell r="B881" t="str">
            <v>COMPRAVENTA</v>
          </cell>
          <cell r="C881" t="str">
            <v>COMERCIALIZADORA VALANTY SAS</v>
          </cell>
          <cell r="D881" t="str">
            <v>NIT</v>
          </cell>
          <cell r="E881">
            <v>900791264</v>
          </cell>
          <cell r="F881">
            <v>5</v>
          </cell>
          <cell r="G881" t="str">
            <v>CONTRATACION DIRECTA</v>
          </cell>
          <cell r="H881">
            <v>2</v>
          </cell>
          <cell r="I881" t="str">
            <v>Compra venta de elementos categorizados en la línea de consumo Materiales y suministros, de acuerdo a las necesidades identificadas para dotar las 23 Sedes de la Empresa Social del Estado Pasto Salud ESE.</v>
          </cell>
          <cell r="J881">
            <v>1</v>
          </cell>
          <cell r="K881" t="str">
            <v>$8.483.399</v>
          </cell>
          <cell r="L881">
            <v>45916</v>
          </cell>
          <cell r="M881">
            <v>45930</v>
          </cell>
          <cell r="N881" t="str">
            <v xml:space="preserve">	STEFANYA RAMIREZ LOPERA</v>
          </cell>
          <cell r="O881">
            <v>111247705</v>
          </cell>
          <cell r="P881" t="str">
            <v>valantysas@hotmail.com</v>
          </cell>
          <cell r="Q881">
            <v>45916</v>
          </cell>
          <cell r="R881" t="str">
            <v>ANDERSON MEJIA</v>
          </cell>
          <cell r="U881" t="str">
            <v>CELEBRADO</v>
          </cell>
          <cell r="W881" t="str">
            <v>2025-0463</v>
          </cell>
          <cell r="X881" t="str">
            <v>2025-1435</v>
          </cell>
          <cell r="AJ881">
            <v>2</v>
          </cell>
          <cell r="AK881">
            <v>0</v>
          </cell>
          <cell r="AL881">
            <v>4</v>
          </cell>
          <cell r="AM881" t="str">
            <v>$8.483.399</v>
          </cell>
        </row>
        <row r="882">
          <cell r="A882" t="str">
            <v>881-2025</v>
          </cell>
          <cell r="B882" t="str">
            <v>SUMINISTROS</v>
          </cell>
          <cell r="C882" t="str">
            <v>DENSALUD GRUPO EMPRESARIAL SAS</v>
          </cell>
          <cell r="D882" t="str">
            <v>NIT</v>
          </cell>
          <cell r="E882">
            <v>901105862</v>
          </cell>
          <cell r="F882">
            <v>2</v>
          </cell>
          <cell r="G882" t="str">
            <v>BIONEXO</v>
          </cell>
          <cell r="H882">
            <v>2</v>
          </cell>
          <cell r="I882" t="str">
            <v>El contratista se obliga al suministro del material médico quirúrgico en las cantidades establecidas en el anexo 1, el cual hace parte integral del contrato, Para la ESE Pasto Salud.</v>
          </cell>
          <cell r="J882">
            <v>3</v>
          </cell>
          <cell r="K882" t="str">
            <v>$43.724.527</v>
          </cell>
          <cell r="L882">
            <v>45916</v>
          </cell>
          <cell r="M882">
            <v>46022</v>
          </cell>
          <cell r="N882" t="str">
            <v>NENA DEL CARMEN RAMIREZ RAMIREZ</v>
          </cell>
          <cell r="O882">
            <v>30732589</v>
          </cell>
          <cell r="P882" t="str">
            <v>densalud@hotmail.com</v>
          </cell>
          <cell r="Q882">
            <v>45916</v>
          </cell>
          <cell r="R882" t="str">
            <v>JUAN GOMEZ</v>
          </cell>
          <cell r="U882" t="str">
            <v>CELEBRADO</v>
          </cell>
          <cell r="W882" t="str">
            <v>2025-0394</v>
          </cell>
          <cell r="X882" t="str">
            <v>2025-1436</v>
          </cell>
          <cell r="AJ882">
            <v>2</v>
          </cell>
          <cell r="AK882">
            <v>0</v>
          </cell>
          <cell r="AL882">
            <v>2</v>
          </cell>
          <cell r="AM882" t="str">
            <v>$43.724.527</v>
          </cell>
        </row>
        <row r="883">
          <cell r="A883" t="str">
            <v>882-2025</v>
          </cell>
          <cell r="B883" t="str">
            <v>PRESTACION DE SERVICIOS</v>
          </cell>
          <cell r="C883" t="str">
            <v>INGENIERIA MEDICA DEL SUR - IMEDSUR S.A.S</v>
          </cell>
          <cell r="D883" t="str">
            <v>NIT</v>
          </cell>
          <cell r="E883">
            <v>900363690</v>
          </cell>
          <cell r="F883">
            <v>4</v>
          </cell>
          <cell r="G883" t="str">
            <v>CONTRATACION DIRECTA</v>
          </cell>
          <cell r="H883">
            <v>2</v>
          </cell>
          <cell r="I883" t="str">
            <v>PRESTAR EL SERVICIO DE UNA PLATAFORMA WEB PARA EL MONITOREO DE TEMPERATURA - HUMEDAD RELATIVA ATRAVES DE DISPOSITIVOS ELECTRONICOS UBICADOS EN LAS SEDES ASISTENCIALES Y SEDE ADMINISTRATIVA.</v>
          </cell>
          <cell r="J883">
            <v>1</v>
          </cell>
          <cell r="K883" t="str">
            <v>$27.500.000</v>
          </cell>
          <cell r="L883">
            <v>45916</v>
          </cell>
          <cell r="M883">
            <v>46022</v>
          </cell>
          <cell r="N883" t="str">
            <v xml:space="preserve">	MARIO FERNADO NARANJO LOPEZ</v>
          </cell>
          <cell r="O883">
            <v>1004189613</v>
          </cell>
          <cell r="P883" t="str">
            <v>imedsur@imedsur.com</v>
          </cell>
          <cell r="Q883">
            <v>45916</v>
          </cell>
          <cell r="R883" t="str">
            <v>JUAN GOMEZ</v>
          </cell>
          <cell r="U883" t="str">
            <v>CELEBRADO</v>
          </cell>
          <cell r="W883" t="str">
            <v>2025-0413</v>
          </cell>
          <cell r="X883" t="str">
            <v>2025-1437</v>
          </cell>
          <cell r="AJ883">
            <v>2</v>
          </cell>
          <cell r="AK883">
            <v>0</v>
          </cell>
          <cell r="AL883">
            <v>2</v>
          </cell>
          <cell r="AM883" t="str">
            <v>$27.500.000</v>
          </cell>
        </row>
        <row r="884">
          <cell r="A884" t="str">
            <v>883-2025</v>
          </cell>
          <cell r="B884" t="str">
            <v>PRESTACION DE SERVICIOS</v>
          </cell>
          <cell r="C884" t="str">
            <v>YARY ESTEPHANIA BOLAÑOS LUNA</v>
          </cell>
          <cell r="D884" t="str">
            <v>CC</v>
          </cell>
          <cell r="E884">
            <v>1004547484</v>
          </cell>
          <cell r="F884">
            <v>5</v>
          </cell>
          <cell r="G884" t="str">
            <v>CONTRATACION DIRECTA</v>
          </cell>
          <cell r="H884">
            <v>1</v>
          </cell>
          <cell r="I88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84">
            <v>1</v>
          </cell>
          <cell r="K884" t="str">
            <v>$12.600.000</v>
          </cell>
          <cell r="L884">
            <v>45917</v>
          </cell>
          <cell r="M884">
            <v>46022</v>
          </cell>
          <cell r="N884" t="str">
            <v>RIGOBERTO MELO ZAMBRANO</v>
          </cell>
          <cell r="O884">
            <v>98333941</v>
          </cell>
          <cell r="P884" t="str">
            <v>yariestefaniabolañosluna@gmail.com</v>
          </cell>
          <cell r="Q884">
            <v>45917</v>
          </cell>
          <cell r="R884" t="str">
            <v>NATHALIA PORTILLA</v>
          </cell>
          <cell r="U884" t="str">
            <v>CELEBRADO</v>
          </cell>
          <cell r="W884" t="str">
            <v>2025-0419</v>
          </cell>
          <cell r="X884" t="str">
            <v>2025-1440</v>
          </cell>
          <cell r="AJ884">
            <v>2</v>
          </cell>
          <cell r="AK884">
            <v>0</v>
          </cell>
          <cell r="AL884">
            <v>2</v>
          </cell>
          <cell r="AM884" t="str">
            <v>$12.600.000</v>
          </cell>
        </row>
        <row r="885">
          <cell r="A885" t="str">
            <v>884-2025</v>
          </cell>
          <cell r="B885" t="str">
            <v>SUMINISTROS</v>
          </cell>
          <cell r="C885" t="str">
            <v>FUERTES MEJIA MEDICAMENTOS Y DISPOSITIVOS MEDICOS SAS,</v>
          </cell>
          <cell r="D885" t="str">
            <v>NIT</v>
          </cell>
          <cell r="E885">
            <v>901565478</v>
          </cell>
          <cell r="F885">
            <v>1</v>
          </cell>
          <cell r="G885" t="str">
            <v>BIONEXO</v>
          </cell>
          <cell r="H885">
            <v>2</v>
          </cell>
          <cell r="I885" t="str">
            <v>El contratista se obliga al suministro del material médico quirúrgico en las cantidades establecidas en el anexo 1, el cual hace parte integral del contrato, Para la ESE Pasto Salud.</v>
          </cell>
          <cell r="J885">
            <v>3</v>
          </cell>
          <cell r="K885" t="str">
            <v>$211.837.091,38</v>
          </cell>
          <cell r="L885">
            <v>45917</v>
          </cell>
          <cell r="M885">
            <v>46022</v>
          </cell>
          <cell r="N885" t="str">
            <v>NENA DEL CARMEN RAMIREZ RAMIREZ</v>
          </cell>
          <cell r="O885">
            <v>30732589</v>
          </cell>
          <cell r="P885" t="str">
            <v>contabilidad@fuertesmejia.com.co</v>
          </cell>
          <cell r="Q885">
            <v>45917</v>
          </cell>
          <cell r="R885" t="str">
            <v>ANDERSON MEJIA</v>
          </cell>
          <cell r="U885" t="str">
            <v>CELEBRADO</v>
          </cell>
          <cell r="W885" t="str">
            <v>2024-0394</v>
          </cell>
          <cell r="X885" t="str">
            <v>2025-1441</v>
          </cell>
          <cell r="AJ885">
            <v>2</v>
          </cell>
          <cell r="AK885">
            <v>0</v>
          </cell>
          <cell r="AL885">
            <v>2</v>
          </cell>
          <cell r="AM885" t="str">
            <v>$211.837.091,38</v>
          </cell>
        </row>
        <row r="886">
          <cell r="A886" t="str">
            <v>885-2025</v>
          </cell>
          <cell r="B886" t="str">
            <v>PRESTACION DE SERVICIOS</v>
          </cell>
          <cell r="C886" t="str">
            <v xml:space="preserve">MARIA ALEJANDRA GOMEZ OJEDA </v>
          </cell>
          <cell r="D886" t="str">
            <v>CC</v>
          </cell>
          <cell r="E886">
            <v>1086328063</v>
          </cell>
          <cell r="F886">
            <v>7</v>
          </cell>
          <cell r="G886" t="str">
            <v>CONTRATACION DIRECTA</v>
          </cell>
          <cell r="H886">
            <v>1</v>
          </cell>
          <cell r="I88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86">
            <v>1</v>
          </cell>
          <cell r="K886" t="str">
            <v>$11.025.000</v>
          </cell>
          <cell r="L886">
            <v>45917</v>
          </cell>
          <cell r="M886">
            <v>46022</v>
          </cell>
          <cell r="N886" t="str">
            <v>RODRIGO DE JESUS VITERI MORENO</v>
          </cell>
          <cell r="O886">
            <v>98390119</v>
          </cell>
          <cell r="P886" t="str">
            <v>mariadanna198602@gmail.com</v>
          </cell>
          <cell r="Q886">
            <v>45917</v>
          </cell>
          <cell r="R886" t="str">
            <v>ANDERSON MEJIA</v>
          </cell>
          <cell r="U886" t="str">
            <v>CELEBRADO</v>
          </cell>
          <cell r="W886" t="str">
            <v>2025-0419</v>
          </cell>
          <cell r="X886" t="str">
            <v>2025-1442</v>
          </cell>
          <cell r="AJ886">
            <v>2</v>
          </cell>
          <cell r="AK886">
            <v>0</v>
          </cell>
          <cell r="AL886">
            <v>2</v>
          </cell>
          <cell r="AM886" t="str">
            <v>$11.025.000</v>
          </cell>
        </row>
        <row r="887">
          <cell r="A887" t="str">
            <v>886-2025</v>
          </cell>
          <cell r="B887" t="str">
            <v>PRESTACION DE SERVICIOS</v>
          </cell>
          <cell r="C887" t="str">
            <v>DEYBI GIOVANNI ESTRELLA ARMERO</v>
          </cell>
          <cell r="D887" t="str">
            <v>CC</v>
          </cell>
          <cell r="E887">
            <v>1082749295</v>
          </cell>
          <cell r="F887">
            <v>0</v>
          </cell>
          <cell r="G887" t="str">
            <v>CONTRATACION DIRECTA</v>
          </cell>
          <cell r="H887">
            <v>1</v>
          </cell>
          <cell r="I88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87">
            <v>1</v>
          </cell>
          <cell r="K887" t="str">
            <v>$11.025.000</v>
          </cell>
          <cell r="L887">
            <v>45917</v>
          </cell>
          <cell r="M887">
            <v>46022</v>
          </cell>
          <cell r="N887" t="str">
            <v>RIGOBERTO MELO ZAMBRANO</v>
          </cell>
          <cell r="O887">
            <v>98333941</v>
          </cell>
          <cell r="P887" t="str">
            <v>estrelladeiby10@gmail.com</v>
          </cell>
          <cell r="Q887">
            <v>45917</v>
          </cell>
          <cell r="R887" t="str">
            <v>DIANA MORA</v>
          </cell>
          <cell r="U887" t="str">
            <v>CELEBRADO</v>
          </cell>
          <cell r="W887" t="str">
            <v>2025-0419</v>
          </cell>
          <cell r="X887" t="str">
            <v>2025-1443</v>
          </cell>
          <cell r="AJ887">
            <v>2</v>
          </cell>
          <cell r="AK887">
            <v>0</v>
          </cell>
          <cell r="AL887">
            <v>2</v>
          </cell>
          <cell r="AM887" t="str">
            <v>$11.025.000</v>
          </cell>
        </row>
        <row r="888">
          <cell r="A888" t="str">
            <v>887-2025</v>
          </cell>
          <cell r="B888" t="str">
            <v>PRESTACION DE SERVICIOS</v>
          </cell>
          <cell r="C888" t="str">
            <v>MARIA ALEJANDRA BOLAÑOS ACOSTA</v>
          </cell>
          <cell r="D888" t="str">
            <v>CC</v>
          </cell>
          <cell r="E888">
            <v>1085317226</v>
          </cell>
          <cell r="F888">
            <v>1</v>
          </cell>
          <cell r="G888" t="str">
            <v>CONTRATACION DIRECTA</v>
          </cell>
          <cell r="H888">
            <v>1</v>
          </cell>
          <cell r="I88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88">
            <v>1</v>
          </cell>
          <cell r="K888" t="str">
            <v>$11.025.000</v>
          </cell>
          <cell r="L888">
            <v>45917</v>
          </cell>
          <cell r="M888">
            <v>46022</v>
          </cell>
          <cell r="N888" t="str">
            <v>RIGOBERTO MELO ZAMBRANO</v>
          </cell>
          <cell r="O888">
            <v>98333941</v>
          </cell>
          <cell r="P888" t="str">
            <v>alejabola2211@gmail.com</v>
          </cell>
          <cell r="Q888">
            <v>45917</v>
          </cell>
          <cell r="R888" t="str">
            <v>DIANA MORA</v>
          </cell>
          <cell r="U888" t="str">
            <v>CELEBRADO</v>
          </cell>
          <cell r="W888" t="str">
            <v>2025-0419</v>
          </cell>
          <cell r="X888" t="str">
            <v>2025-1444</v>
          </cell>
          <cell r="AJ888">
            <v>2</v>
          </cell>
          <cell r="AK888">
            <v>0</v>
          </cell>
          <cell r="AL888">
            <v>2</v>
          </cell>
          <cell r="AM888" t="str">
            <v>$11.025.000</v>
          </cell>
        </row>
        <row r="889">
          <cell r="A889" t="str">
            <v>888-2025</v>
          </cell>
          <cell r="B889" t="str">
            <v>PRESTACION DE SERVICIOS</v>
          </cell>
          <cell r="C889" t="str">
            <v>LAURA ALEJANDA BELALCAZAR NAVARRO</v>
          </cell>
          <cell r="D889" t="str">
            <v>CC</v>
          </cell>
          <cell r="E889">
            <v>1233193769</v>
          </cell>
          <cell r="F889">
            <v>9</v>
          </cell>
          <cell r="G889" t="str">
            <v>CONTRATACION DIRECTA</v>
          </cell>
          <cell r="H889">
            <v>1</v>
          </cell>
          <cell r="I889"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89">
            <v>1</v>
          </cell>
          <cell r="K889" t="str">
            <v>$27.300.000</v>
          </cell>
          <cell r="L889">
            <v>45917</v>
          </cell>
          <cell r="M889">
            <v>46022</v>
          </cell>
          <cell r="N889" t="str">
            <v>RODRIGO DE JESUS VITERI MORENO</v>
          </cell>
          <cell r="O889">
            <v>98390119</v>
          </cell>
          <cell r="P889" t="str">
            <v>laurisnavarro45@gmail.com</v>
          </cell>
          <cell r="Q889">
            <v>45917</v>
          </cell>
          <cell r="R889" t="str">
            <v>CRISTINA ROSERO</v>
          </cell>
          <cell r="U889" t="str">
            <v>CELEBRADO</v>
          </cell>
          <cell r="W889" t="str">
            <v>2025-0419</v>
          </cell>
          <cell r="X889" t="str">
            <v>2025-1445</v>
          </cell>
          <cell r="AJ889">
            <v>2</v>
          </cell>
          <cell r="AK889">
            <v>0</v>
          </cell>
          <cell r="AL889">
            <v>2</v>
          </cell>
          <cell r="AM889" t="str">
            <v>$27.300.000</v>
          </cell>
        </row>
        <row r="890">
          <cell r="A890" t="str">
            <v>889-2025</v>
          </cell>
          <cell r="B890" t="str">
            <v>PRESTACION DE SERVICIOS</v>
          </cell>
          <cell r="C890" t="str">
            <v>KARELIS NATALY ZHENG MONSALVE</v>
          </cell>
          <cell r="D890" t="str">
            <v>CC</v>
          </cell>
          <cell r="E890">
            <v>5930737</v>
          </cell>
          <cell r="F890">
            <v>5</v>
          </cell>
          <cell r="G890" t="str">
            <v>CONTRATACION DIRECTA</v>
          </cell>
          <cell r="H890">
            <v>1</v>
          </cell>
          <cell r="I89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0">
            <v>1</v>
          </cell>
          <cell r="K890" t="str">
            <v>$11.025.000</v>
          </cell>
          <cell r="L890">
            <v>45917</v>
          </cell>
          <cell r="M890">
            <v>46022</v>
          </cell>
          <cell r="N890" t="str">
            <v>RODRIGO DE JESUS VITERI MORENO</v>
          </cell>
          <cell r="O890">
            <v>98390119</v>
          </cell>
          <cell r="P890" t="str">
            <v xml:space="preserve"> kareliszheng126@gmail.com</v>
          </cell>
          <cell r="Q890">
            <v>45917</v>
          </cell>
          <cell r="R890" t="str">
            <v>NATHALIA PORTILLA</v>
          </cell>
          <cell r="U890" t="str">
            <v>CELEBRADO</v>
          </cell>
          <cell r="W890" t="str">
            <v>2025-0419</v>
          </cell>
          <cell r="X890" t="str">
            <v>2025-1446</v>
          </cell>
          <cell r="AJ890">
            <v>2</v>
          </cell>
          <cell r="AK890">
            <v>0</v>
          </cell>
          <cell r="AL890">
            <v>2</v>
          </cell>
          <cell r="AM890" t="str">
            <v>$11.025.000</v>
          </cell>
        </row>
        <row r="891">
          <cell r="A891" t="str">
            <v>890-2025</v>
          </cell>
          <cell r="B891" t="str">
            <v>PRESTACION DE SERVICIOS</v>
          </cell>
          <cell r="C891" t="str">
            <v>DANIELA FERNANDA ERASO VALENCIA</v>
          </cell>
          <cell r="D891" t="str">
            <v>CC</v>
          </cell>
          <cell r="E891">
            <v>1085275879</v>
          </cell>
          <cell r="F891">
            <v>7</v>
          </cell>
          <cell r="G891" t="str">
            <v>CONTRATACION DIRECTA</v>
          </cell>
          <cell r="H891">
            <v>1</v>
          </cell>
          <cell r="I891" t="str">
            <v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891">
            <v>1</v>
          </cell>
          <cell r="K891" t="str">
            <v>$22.050.000</v>
          </cell>
          <cell r="L891">
            <v>45917</v>
          </cell>
          <cell r="M891">
            <v>46022</v>
          </cell>
          <cell r="N891" t="str">
            <v>RODRIGO DE JESUS VITERI MORENO</v>
          </cell>
          <cell r="O891">
            <v>98390119</v>
          </cell>
          <cell r="P891" t="str">
            <v>danielafervalencia10@gmail.com</v>
          </cell>
          <cell r="Q891">
            <v>45917</v>
          </cell>
          <cell r="R891" t="str">
            <v>ELIANA BENAVIDES</v>
          </cell>
          <cell r="U891" t="str">
            <v>CELEBRADO</v>
          </cell>
          <cell r="W891" t="str">
            <v>2025-0419</v>
          </cell>
          <cell r="X891" t="str">
            <v>2025-1447</v>
          </cell>
          <cell r="AJ891">
            <v>2</v>
          </cell>
          <cell r="AK891">
            <v>0</v>
          </cell>
          <cell r="AL891">
            <v>2</v>
          </cell>
          <cell r="AM891" t="str">
            <v>$22.050.000</v>
          </cell>
        </row>
        <row r="892">
          <cell r="A892" t="str">
            <v>891-2025</v>
          </cell>
          <cell r="B892" t="str">
            <v>SUMINISTROS</v>
          </cell>
          <cell r="C892" t="str">
            <v>ADMINISTRACION COOPERATIVA DE ENTIDADES DE SALUD DEL TOLIMA COODESTOL</v>
          </cell>
          <cell r="D892" t="str">
            <v>NIT</v>
          </cell>
          <cell r="E892">
            <v>800250023</v>
          </cell>
          <cell r="F892">
            <v>3</v>
          </cell>
          <cell r="G892" t="str">
            <v>BIONEXO</v>
          </cell>
          <cell r="H892">
            <v>2</v>
          </cell>
          <cell r="I892" t="str">
            <v xml:space="preserve">EI contratista se obliga al suministro del material médico quirúrgico en las cantidades establecidas en el anexo 1. el cual hace parte integral del contrato, Para la ESE Pasto Salud </v>
          </cell>
          <cell r="J892">
            <v>3</v>
          </cell>
          <cell r="K892" t="str">
            <v>$65.059.515,30</v>
          </cell>
          <cell r="L892">
            <v>45918</v>
          </cell>
          <cell r="M892">
            <v>46022</v>
          </cell>
          <cell r="N892" t="str">
            <v>NENA DEL CARMEN RAMIREZ RAMIREZ</v>
          </cell>
          <cell r="O892">
            <v>30732589</v>
          </cell>
          <cell r="P892" t="str">
            <v xml:space="preserve"> gerencia@coodestol.com.co</v>
          </cell>
          <cell r="Q892">
            <v>45918</v>
          </cell>
          <cell r="R892" t="str">
            <v>CRISTINA ROSERO</v>
          </cell>
          <cell r="U892" t="str">
            <v>CELEBRADO</v>
          </cell>
          <cell r="W892" t="str">
            <v>2025-0394</v>
          </cell>
          <cell r="X892" t="str">
            <v>2025-1450</v>
          </cell>
          <cell r="AJ892">
            <v>2</v>
          </cell>
          <cell r="AK892">
            <v>0</v>
          </cell>
          <cell r="AL892">
            <v>2</v>
          </cell>
          <cell r="AM892" t="str">
            <v>$65.059.515,30</v>
          </cell>
        </row>
        <row r="893">
          <cell r="A893" t="str">
            <v>892-2025</v>
          </cell>
          <cell r="B893" t="str">
            <v>PRESTACION DE SERVICIOS</v>
          </cell>
          <cell r="C893" t="str">
            <v>GRUPO DIGITAL RECOVERY S.A.S</v>
          </cell>
          <cell r="D893" t="str">
            <v>NIT</v>
          </cell>
          <cell r="E893">
            <v>900682620</v>
          </cell>
          <cell r="F893">
            <v>7</v>
          </cell>
          <cell r="G893" t="str">
            <v>CONTRATACION DIRECTA</v>
          </cell>
          <cell r="H893">
            <v>2</v>
          </cell>
          <cell r="I893" t="str">
            <v>Mantenimiento para diagnóstico inicial de Virus us Ransomware.</v>
          </cell>
          <cell r="J893">
            <v>1</v>
          </cell>
          <cell r="K893" t="str">
            <v>$3.923.476</v>
          </cell>
          <cell r="L893">
            <v>45918</v>
          </cell>
          <cell r="M893">
            <v>45945</v>
          </cell>
          <cell r="N893" t="str">
            <v xml:space="preserve">	IVAN RODRIGO IBARRA MUÑOZ</v>
          </cell>
          <cell r="O893">
            <v>87248313</v>
          </cell>
          <cell r="P893" t="str">
            <v>gerencia@digitalrecovery.com.co</v>
          </cell>
          <cell r="Q893">
            <v>45918</v>
          </cell>
          <cell r="R893" t="str">
            <v>ANDERSON MEJIA</v>
          </cell>
          <cell r="U893" t="str">
            <v>CELEBRADO</v>
          </cell>
          <cell r="W893" t="str">
            <v>2025-0468</v>
          </cell>
          <cell r="X893" t="str">
            <v>2025-1451</v>
          </cell>
          <cell r="AJ893">
            <v>2</v>
          </cell>
          <cell r="AK893">
            <v>0</v>
          </cell>
          <cell r="AL893">
            <v>3</v>
          </cell>
          <cell r="AM893" t="str">
            <v>$3.923.476</v>
          </cell>
        </row>
        <row r="894">
          <cell r="A894" t="str">
            <v>893-2025</v>
          </cell>
          <cell r="B894" t="str">
            <v>PRESTACION DE SERVICIOS</v>
          </cell>
          <cell r="C894" t="str">
            <v>ESTHER ANDREA CADENA RUBIO</v>
          </cell>
          <cell r="D894" t="str">
            <v>CC</v>
          </cell>
          <cell r="E894">
            <v>27093894</v>
          </cell>
          <cell r="F894">
            <v>4</v>
          </cell>
          <cell r="G894" t="str">
            <v>CONTRATACION DIRECTA</v>
          </cell>
          <cell r="H894">
            <v>1</v>
          </cell>
          <cell r="I894" t="str">
            <v>Prestación de servicios profesionales de auditoria dirigidos apoyar la implementación de los procesos de la empresa especialmente el de Gestión Quirúrgica, la operativización del programa de auditoria de la empresa y el fortalecimiento del análisis de eventos clínicos relacionados con la seguridad del paciente.</v>
          </cell>
          <cell r="J894">
            <v>1</v>
          </cell>
          <cell r="K894" t="str">
            <v>$11.072.769</v>
          </cell>
          <cell r="L894">
            <v>45918</v>
          </cell>
          <cell r="M894">
            <v>46006</v>
          </cell>
          <cell r="N894" t="str">
            <v>EDWIN JULIO BASTIDAS BENAVIDES</v>
          </cell>
          <cell r="O894">
            <v>13068561</v>
          </cell>
          <cell r="P894" t="str">
            <v>acadenarubio0518@gmail.com</v>
          </cell>
          <cell r="Q894">
            <v>45918</v>
          </cell>
          <cell r="R894" t="str">
            <v>JUAN GOMEZ</v>
          </cell>
          <cell r="U894" t="str">
            <v>CELEBRADO</v>
          </cell>
          <cell r="W894" t="str">
            <v>2025-0491</v>
          </cell>
          <cell r="X894" t="str">
            <v>2025-1452</v>
          </cell>
          <cell r="AJ894">
            <v>2</v>
          </cell>
          <cell r="AK894">
            <v>0</v>
          </cell>
          <cell r="AL894">
            <v>2</v>
          </cell>
          <cell r="AM894" t="str">
            <v>$11.072.769</v>
          </cell>
        </row>
        <row r="895">
          <cell r="A895" t="str">
            <v>894-2025</v>
          </cell>
          <cell r="B895" t="str">
            <v>PRESTACION DE SERVICIOS</v>
          </cell>
          <cell r="C895" t="str">
            <v>ANYI ELISABETH ROSERO LOPEZ</v>
          </cell>
          <cell r="D895" t="str">
            <v>CC</v>
          </cell>
          <cell r="E895">
            <v>1084552048</v>
          </cell>
          <cell r="F895">
            <v>8</v>
          </cell>
          <cell r="G895" t="str">
            <v>CONTRATACION DIRECTA</v>
          </cell>
          <cell r="H895">
            <v>1</v>
          </cell>
          <cell r="I895"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5">
            <v>1</v>
          </cell>
          <cell r="K895" t="str">
            <v>$11.025.000</v>
          </cell>
          <cell r="L895">
            <v>45918</v>
          </cell>
          <cell r="M895">
            <v>46022</v>
          </cell>
          <cell r="N895" t="str">
            <v>RIGOBERTO MELO ZAMBRANO</v>
          </cell>
          <cell r="O895">
            <v>98333941</v>
          </cell>
          <cell r="P895" t="str">
            <v>angie.e.rosero.l@gmail.com</v>
          </cell>
          <cell r="Q895">
            <v>45918</v>
          </cell>
          <cell r="R895" t="str">
            <v>DIANA MORA</v>
          </cell>
          <cell r="U895" t="str">
            <v>CELEBRADO</v>
          </cell>
          <cell r="W895" t="str">
            <v>2025-0419</v>
          </cell>
          <cell r="X895" t="str">
            <v>2025-1453</v>
          </cell>
          <cell r="AJ895">
            <v>2</v>
          </cell>
          <cell r="AK895">
            <v>0</v>
          </cell>
          <cell r="AL895">
            <v>2</v>
          </cell>
          <cell r="AM895" t="str">
            <v>$11.025.000</v>
          </cell>
        </row>
        <row r="896">
          <cell r="A896" t="str">
            <v>895-2025</v>
          </cell>
          <cell r="B896" t="str">
            <v>PRESTACION DE SERVICIOS</v>
          </cell>
          <cell r="C896" t="str">
            <v>MARITZA ROCIO OLIVA CUZ</v>
          </cell>
          <cell r="D896" t="str">
            <v>CC</v>
          </cell>
          <cell r="E896">
            <v>27087122</v>
          </cell>
          <cell r="F896">
            <v>2</v>
          </cell>
          <cell r="G896" t="str">
            <v>CONTRATACION DIRECTA</v>
          </cell>
          <cell r="H896">
            <v>1</v>
          </cell>
          <cell r="I896"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6">
            <v>1</v>
          </cell>
          <cell r="K896" t="str">
            <v>$11.025.000</v>
          </cell>
          <cell r="L896">
            <v>45918</v>
          </cell>
          <cell r="M896">
            <v>46022</v>
          </cell>
          <cell r="N896" t="str">
            <v>MARY ALEXANDRA ROSERO BENAVIDES</v>
          </cell>
          <cell r="O896">
            <v>43624414</v>
          </cell>
          <cell r="P896" t="str">
            <v xml:space="preserve"> marirosi1912@hotmail.com</v>
          </cell>
          <cell r="Q896">
            <v>45918</v>
          </cell>
          <cell r="R896" t="str">
            <v>NATHALIA PORTILLA</v>
          </cell>
          <cell r="U896" t="str">
            <v>CELEBRADO</v>
          </cell>
          <cell r="W896" t="str">
            <v>2025-0419</v>
          </cell>
          <cell r="X896" t="str">
            <v>2025-1454</v>
          </cell>
          <cell r="AJ896">
            <v>2</v>
          </cell>
          <cell r="AK896">
            <v>0</v>
          </cell>
          <cell r="AL896">
            <v>2</v>
          </cell>
          <cell r="AM896" t="str">
            <v>$11.025.000</v>
          </cell>
        </row>
        <row r="897">
          <cell r="A897" t="str">
            <v>896-2025</v>
          </cell>
          <cell r="B897" t="str">
            <v>PRESTACION DE SERVICIOS</v>
          </cell>
          <cell r="C897" t="str">
            <v>HERIKA VIVIANA VILLOTA VILLOTA</v>
          </cell>
          <cell r="D897" t="str">
            <v>CC</v>
          </cell>
          <cell r="E897">
            <v>1086224204</v>
          </cell>
          <cell r="F897">
            <v>1</v>
          </cell>
          <cell r="G897" t="str">
            <v>CONTRATACION DIRECTA</v>
          </cell>
          <cell r="H897">
            <v>1</v>
          </cell>
          <cell r="I89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7">
            <v>1</v>
          </cell>
          <cell r="K897" t="str">
            <v>$11.025.000</v>
          </cell>
          <cell r="L897">
            <v>45918</v>
          </cell>
          <cell r="M897">
            <v>46022</v>
          </cell>
          <cell r="N897" t="str">
            <v>RIGOBERTO MELO ZAMBRANO</v>
          </cell>
          <cell r="O897">
            <v>98333941</v>
          </cell>
          <cell r="P897" t="str">
            <v>villotaviviana22@gmail.com</v>
          </cell>
          <cell r="Q897">
            <v>45918</v>
          </cell>
          <cell r="R897" t="str">
            <v>DIANA MORA</v>
          </cell>
          <cell r="U897" t="str">
            <v>CELEBRADO</v>
          </cell>
          <cell r="W897" t="str">
            <v>2025-0419</v>
          </cell>
          <cell r="X897" t="str">
            <v>2025-1455</v>
          </cell>
          <cell r="AJ897">
            <v>2</v>
          </cell>
          <cell r="AK897">
            <v>0</v>
          </cell>
          <cell r="AL897">
            <v>2</v>
          </cell>
          <cell r="AM897" t="str">
            <v>$11.025.000</v>
          </cell>
        </row>
        <row r="898">
          <cell r="A898" t="str">
            <v>897-2025</v>
          </cell>
          <cell r="B898" t="str">
            <v>PRESTACION DE SERVICIOS</v>
          </cell>
          <cell r="C898" t="str">
            <v>MARIA MILDRED MORENO MINDA</v>
          </cell>
          <cell r="D898" t="str">
            <v>CC</v>
          </cell>
          <cell r="E898">
            <v>27444591</v>
          </cell>
          <cell r="F898">
            <v>5</v>
          </cell>
          <cell r="G898" t="str">
            <v>CONTRATACION DIRECTA</v>
          </cell>
          <cell r="H898">
            <v>1</v>
          </cell>
          <cell r="I89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8">
            <v>1</v>
          </cell>
          <cell r="K898" t="str">
            <v>$11.025.000</v>
          </cell>
          <cell r="L898">
            <v>45919</v>
          </cell>
          <cell r="M898">
            <v>46022</v>
          </cell>
          <cell r="N898" t="str">
            <v>RODRIGO DE JESUS VITERI MORENO</v>
          </cell>
          <cell r="O898">
            <v>98390119</v>
          </cell>
          <cell r="P898" t="str">
            <v>mildred17moreno@gmail.com</v>
          </cell>
          <cell r="Q898">
            <v>45919</v>
          </cell>
          <cell r="R898" t="str">
            <v>NATHALIA PORTILLA</v>
          </cell>
          <cell r="U898" t="str">
            <v>CELEBRADO</v>
          </cell>
          <cell r="W898" t="str">
            <v>2025-0419</v>
          </cell>
          <cell r="X898" t="str">
            <v>2025-1456</v>
          </cell>
          <cell r="AJ898">
            <v>2</v>
          </cell>
          <cell r="AK898">
            <v>0</v>
          </cell>
          <cell r="AL898">
            <v>2</v>
          </cell>
          <cell r="AM898" t="str">
            <v>$11.025.000</v>
          </cell>
        </row>
        <row r="899">
          <cell r="A899" t="str">
            <v>898-2025</v>
          </cell>
          <cell r="B899" t="str">
            <v>PRESTACION DE SERVICIOS</v>
          </cell>
          <cell r="C899" t="str">
            <v>ANGIE DANIELA RIASCOS ASCUNTAR</v>
          </cell>
          <cell r="D899" t="str">
            <v>CC</v>
          </cell>
          <cell r="E899">
            <v>1004564013</v>
          </cell>
          <cell r="F899">
            <v>1</v>
          </cell>
          <cell r="G899" t="str">
            <v>CONTRATACION DIRECTA</v>
          </cell>
          <cell r="H899">
            <v>1</v>
          </cell>
          <cell r="I899" t="str">
            <v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899">
            <v>1</v>
          </cell>
          <cell r="K899" t="str">
            <v>$22.050.000</v>
          </cell>
          <cell r="L899">
            <v>45919</v>
          </cell>
          <cell r="M899">
            <v>46022</v>
          </cell>
          <cell r="N899" t="str">
            <v>MARY ALEXANDRA ROSERO BENAVIDES</v>
          </cell>
          <cell r="O899">
            <v>43624414</v>
          </cell>
          <cell r="P899" t="str">
            <v>angieriascos89@gmail.com</v>
          </cell>
          <cell r="Q899">
            <v>45919</v>
          </cell>
          <cell r="R899" t="str">
            <v>DIANA MORA</v>
          </cell>
          <cell r="U899" t="str">
            <v>CELEBRADO</v>
          </cell>
          <cell r="W899" t="str">
            <v>2025-0419</v>
          </cell>
          <cell r="X899" t="str">
            <v>2025-1457</v>
          </cell>
          <cell r="AJ899">
            <v>2</v>
          </cell>
          <cell r="AK899">
            <v>0</v>
          </cell>
          <cell r="AL899">
            <v>2</v>
          </cell>
          <cell r="AM899" t="str">
            <v>$22.050.000</v>
          </cell>
        </row>
        <row r="900">
          <cell r="A900" t="str">
            <v>899-2025</v>
          </cell>
          <cell r="B900" t="str">
            <v>PRESTACION DE SERVICIOS</v>
          </cell>
          <cell r="C900" t="str">
            <v>ADRIANA MILENA DE LA CRUZ ROJAS</v>
          </cell>
          <cell r="D900" t="str">
            <v>CC</v>
          </cell>
          <cell r="E900">
            <v>1085295583</v>
          </cell>
          <cell r="F900">
            <v>8</v>
          </cell>
          <cell r="G900" t="str">
            <v>CONTRATACION DIRECTA</v>
          </cell>
          <cell r="H900">
            <v>1</v>
          </cell>
          <cell r="I900"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0">
            <v>1</v>
          </cell>
          <cell r="K900" t="str">
            <v>$11.025.000</v>
          </cell>
          <cell r="L900">
            <v>45919</v>
          </cell>
          <cell r="M900">
            <v>46022</v>
          </cell>
          <cell r="N900" t="str">
            <v>RODRIGO DE JESUS VITERI MORENO</v>
          </cell>
          <cell r="O900">
            <v>98390119</v>
          </cell>
          <cell r="P900" t="str">
            <v>milena2013.e.j@gmail.com</v>
          </cell>
          <cell r="Q900">
            <v>45919</v>
          </cell>
          <cell r="R900" t="str">
            <v>NATHALIA PORTILLA</v>
          </cell>
          <cell r="U900" t="str">
            <v>CELEBRADO</v>
          </cell>
          <cell r="W900" t="str">
            <v>2025-0419</v>
          </cell>
          <cell r="X900" t="str">
            <v>2025-1458</v>
          </cell>
          <cell r="AJ900">
            <v>2</v>
          </cell>
          <cell r="AK900">
            <v>0</v>
          </cell>
          <cell r="AL900">
            <v>2</v>
          </cell>
          <cell r="AM900" t="str">
            <v>$11.025.000</v>
          </cell>
        </row>
        <row r="901">
          <cell r="A901" t="str">
            <v>900-2025</v>
          </cell>
          <cell r="B901" t="str">
            <v>PRESTACION DE SERVICIOS</v>
          </cell>
          <cell r="C901" t="str">
            <v>MARIA JOSE ARMERO DIAZ</v>
          </cell>
          <cell r="D901" t="str">
            <v>CC</v>
          </cell>
          <cell r="E901">
            <v>1110594073</v>
          </cell>
          <cell r="F901">
            <v>6</v>
          </cell>
          <cell r="G901" t="str">
            <v>CONTRATACION DIRECTA</v>
          </cell>
          <cell r="H901">
            <v>1</v>
          </cell>
          <cell r="I901"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1">
            <v>1</v>
          </cell>
          <cell r="K901" t="str">
            <v>$27.300.000</v>
          </cell>
          <cell r="L901">
            <v>45919</v>
          </cell>
          <cell r="M901">
            <v>46022</v>
          </cell>
          <cell r="N901" t="str">
            <v>RODRIGO DE JESUS VITERI MORENO</v>
          </cell>
          <cell r="O901">
            <v>98390119</v>
          </cell>
          <cell r="P901" t="str">
            <v xml:space="preserve"> mariajosearmerod98@hotmail.com</v>
          </cell>
          <cell r="Q901">
            <v>45919</v>
          </cell>
          <cell r="R901" t="str">
            <v>JUAN GOMEZ</v>
          </cell>
          <cell r="U901" t="str">
            <v>CELEBRADO</v>
          </cell>
          <cell r="W901" t="str">
            <v>2025-0419</v>
          </cell>
          <cell r="X901" t="str">
            <v>2025-1459</v>
          </cell>
          <cell r="AJ901">
            <v>2</v>
          </cell>
          <cell r="AK901">
            <v>0</v>
          </cell>
          <cell r="AL901">
            <v>2</v>
          </cell>
          <cell r="AM901" t="str">
            <v>$27.300.000</v>
          </cell>
        </row>
        <row r="902">
          <cell r="A902" t="str">
            <v>901-2025</v>
          </cell>
          <cell r="B902" t="str">
            <v>PRESTACION DE SERVICIOS</v>
          </cell>
          <cell r="C902" t="str">
            <v>ANGIE ALEXANDRA MORILLO PANTOJA</v>
          </cell>
          <cell r="D902" t="str">
            <v>CC</v>
          </cell>
          <cell r="E902">
            <v>1085315209</v>
          </cell>
          <cell r="F902">
            <v>5</v>
          </cell>
          <cell r="G902" t="str">
            <v>CONTRATACION DIRECTA</v>
          </cell>
          <cell r="H902">
            <v>1</v>
          </cell>
          <cell r="I902"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2">
            <v>1</v>
          </cell>
          <cell r="K902" t="str">
            <v>$11.025.000</v>
          </cell>
          <cell r="L902">
            <v>45919</v>
          </cell>
          <cell r="M902">
            <v>46022</v>
          </cell>
          <cell r="N902" t="str">
            <v>MARY ALEXANDRA ROSERO BENAVIDES</v>
          </cell>
          <cell r="O902">
            <v>43624414</v>
          </cell>
          <cell r="P902" t="str">
            <v>alexa.pasion2994@hotmail.com</v>
          </cell>
          <cell r="Q902">
            <v>45919</v>
          </cell>
          <cell r="R902" t="str">
            <v>DIANA MORA</v>
          </cell>
          <cell r="U902" t="str">
            <v>CELEBRADO</v>
          </cell>
          <cell r="W902" t="str">
            <v>2025-0419</v>
          </cell>
          <cell r="X902" t="str">
            <v>2025-1460</v>
          </cell>
          <cell r="AJ902">
            <v>2</v>
          </cell>
          <cell r="AK902">
            <v>0</v>
          </cell>
          <cell r="AL902">
            <v>2</v>
          </cell>
          <cell r="AM902" t="str">
            <v>$11.025.000</v>
          </cell>
        </row>
        <row r="903">
          <cell r="A903" t="str">
            <v>902-2025</v>
          </cell>
          <cell r="B903" t="str">
            <v>PRESTACION DE SERVICIOS</v>
          </cell>
          <cell r="C903" t="str">
            <v>SEGURIDAD REUTERS LTDA</v>
          </cell>
          <cell r="D903" t="str">
            <v>NIT</v>
          </cell>
          <cell r="E903">
            <v>901093684</v>
          </cell>
          <cell r="F903">
            <v>4</v>
          </cell>
          <cell r="G903" t="str">
            <v>CONTRATACION DIRECTA</v>
          </cell>
          <cell r="H903">
            <v>2</v>
          </cell>
          <cell r="I903" t="str">
            <v xml:space="preserve">Servicio de vigilancia y seguridad privada con Talento Humano en los centros de Salud y Sede Administrativa con medios tecnológicos y el servicio de sistema de alarma monitoreada con comunicación GPRS - GSM - SMS-TEAM TALK ADVANCE que garanticen la seguridad de las personas y todos los bienes muebles e inmuebles de Pasto Salud ESE y de aquellos que se encuentren bajo su responsabilidad en las Diferentes IPS y sede Administrativa. </v>
          </cell>
          <cell r="J903">
            <v>1</v>
          </cell>
          <cell r="K903" t="str">
            <v>$601.261.284</v>
          </cell>
          <cell r="L903">
            <v>45919</v>
          </cell>
          <cell r="M903">
            <v>46022</v>
          </cell>
          <cell r="N903" t="str">
            <v>JUAN PABLO LLANOS</v>
          </cell>
          <cell r="O903">
            <v>17658216</v>
          </cell>
          <cell r="P903" t="str">
            <v>gerencia@seguridadreuters.com</v>
          </cell>
          <cell r="Q903">
            <v>45919</v>
          </cell>
          <cell r="R903" t="str">
            <v>JUAN GOMEZ</v>
          </cell>
          <cell r="U903" t="str">
            <v>CELEBRADO</v>
          </cell>
          <cell r="W903" t="str">
            <v>2025-0501</v>
          </cell>
          <cell r="X903" t="str">
            <v>2025-1461</v>
          </cell>
          <cell r="AJ903">
            <v>2</v>
          </cell>
          <cell r="AK903">
            <v>0</v>
          </cell>
          <cell r="AL903">
            <v>2</v>
          </cell>
          <cell r="AM903" t="str">
            <v>$601.261.284</v>
          </cell>
        </row>
        <row r="904">
          <cell r="A904" t="str">
            <v>903-2025</v>
          </cell>
          <cell r="B904" t="str">
            <v>PRESTACION DE SERVICIOS</v>
          </cell>
          <cell r="C904" t="str">
            <v>ANYI NATALY FARINANGO CHAVEZ</v>
          </cell>
          <cell r="D904" t="str">
            <v>CC</v>
          </cell>
          <cell r="E904">
            <v>1081594639</v>
          </cell>
          <cell r="F904">
            <v>1</v>
          </cell>
          <cell r="G904" t="str">
            <v>CONTRATACION DIRECTA</v>
          </cell>
          <cell r="H904">
            <v>1</v>
          </cell>
          <cell r="I904"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4">
            <v>1</v>
          </cell>
          <cell r="K904" t="str">
            <v>$11.025.000</v>
          </cell>
          <cell r="L904">
            <v>45919</v>
          </cell>
          <cell r="M904">
            <v>46022</v>
          </cell>
          <cell r="N904" t="str">
            <v>MARY ALEXANDRA ROSERO BENAVIDES</v>
          </cell>
          <cell r="O904">
            <v>43624414</v>
          </cell>
          <cell r="P904" t="str">
            <v xml:space="preserve"> natalyfarinango778@gmail.com</v>
          </cell>
          <cell r="Q904">
            <v>45919</v>
          </cell>
          <cell r="R904" t="str">
            <v>NATHALIA PORTILLA</v>
          </cell>
          <cell r="U904" t="str">
            <v>CELEBRADO</v>
          </cell>
          <cell r="W904" t="str">
            <v>2025-0419</v>
          </cell>
          <cell r="X904" t="str">
            <v>2025-1462</v>
          </cell>
          <cell r="AJ904">
            <v>2</v>
          </cell>
          <cell r="AK904">
            <v>0</v>
          </cell>
          <cell r="AL904">
            <v>2</v>
          </cell>
          <cell r="AM904" t="str">
            <v>$11.025.000</v>
          </cell>
        </row>
        <row r="905">
          <cell r="A905" t="str">
            <v>904-2025</v>
          </cell>
          <cell r="B905" t="str">
            <v>PRESTACION DE SERVICIOS</v>
          </cell>
          <cell r="C905" t="str">
            <v>ALBA DENIS ARGOTY SANTACRUZ</v>
          </cell>
          <cell r="D905" t="str">
            <v>CC</v>
          </cell>
          <cell r="E905">
            <v>59837608</v>
          </cell>
          <cell r="F905">
            <v>5</v>
          </cell>
          <cell r="G905" t="str">
            <v>CONTRATACION DIRECTA</v>
          </cell>
          <cell r="H905">
            <v>1</v>
          </cell>
          <cell r="I905"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5">
            <v>1</v>
          </cell>
          <cell r="K905" t="str">
            <v>$22.050.000</v>
          </cell>
          <cell r="L905">
            <v>45919</v>
          </cell>
          <cell r="M905">
            <v>46022</v>
          </cell>
          <cell r="N905" t="str">
            <v>RIGOBERTO MELO ZAMBRANO</v>
          </cell>
          <cell r="O905">
            <v>98333941</v>
          </cell>
          <cell r="P905" t="str">
            <v xml:space="preserve"> dennisa1977@hotmail.com</v>
          </cell>
          <cell r="Q905">
            <v>45919</v>
          </cell>
          <cell r="R905" t="str">
            <v>DIANA MORA</v>
          </cell>
          <cell r="U905" t="str">
            <v>CELEBRADO</v>
          </cell>
          <cell r="W905" t="str">
            <v>2025-0419</v>
          </cell>
          <cell r="X905" t="str">
            <v>2025-1463</v>
          </cell>
          <cell r="AJ905">
            <v>2</v>
          </cell>
          <cell r="AK905">
            <v>0</v>
          </cell>
          <cell r="AL905">
            <v>2</v>
          </cell>
          <cell r="AM905" t="str">
            <v>$22.050.000</v>
          </cell>
        </row>
        <row r="906">
          <cell r="A906" t="str">
            <v>905-2025</v>
          </cell>
          <cell r="B906" t="str">
            <v>PRESTACION DE SERVICIOS</v>
          </cell>
          <cell r="C906" t="str">
            <v>RUTH CAROLINE CORTES ORTIZ</v>
          </cell>
          <cell r="D906" t="str">
            <v>CC</v>
          </cell>
          <cell r="E906">
            <v>1087645723</v>
          </cell>
          <cell r="F906">
            <v>2</v>
          </cell>
          <cell r="G906" t="str">
            <v>CONTRATACION DIRECTA</v>
          </cell>
          <cell r="H906">
            <v>1</v>
          </cell>
          <cell r="I906"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6">
            <v>1</v>
          </cell>
          <cell r="K906" t="str">
            <v>$27.300.000</v>
          </cell>
          <cell r="L906">
            <v>45919</v>
          </cell>
          <cell r="M906">
            <v>46022</v>
          </cell>
          <cell r="N906" t="str">
            <v>RODRIGO DE JESUS VITERI MORENO</v>
          </cell>
          <cell r="O906">
            <v>98390119</v>
          </cell>
          <cell r="P906" t="str">
            <v>karocortesortiz@gmail.com</v>
          </cell>
          <cell r="Q906">
            <v>45919</v>
          </cell>
          <cell r="R906" t="str">
            <v>NATHALIA PORTILLA</v>
          </cell>
          <cell r="U906" t="str">
            <v>CELEBRADO</v>
          </cell>
          <cell r="W906" t="str">
            <v>2025-0419</v>
          </cell>
          <cell r="X906" t="str">
            <v>2025-1464</v>
          </cell>
          <cell r="AJ906">
            <v>2</v>
          </cell>
          <cell r="AK906">
            <v>0</v>
          </cell>
          <cell r="AL906">
            <v>2</v>
          </cell>
          <cell r="AM906" t="str">
            <v>$27.300.000</v>
          </cell>
        </row>
        <row r="907">
          <cell r="A907" t="str">
            <v>906-2025</v>
          </cell>
          <cell r="B907" t="str">
            <v>PRESTACION DE SERVICIOS</v>
          </cell>
          <cell r="C907" t="str">
            <v>KAREN TATIANA CIFUENTES CHAMORRO</v>
          </cell>
          <cell r="D907" t="str">
            <v>CC</v>
          </cell>
          <cell r="E907">
            <v>1085274300</v>
          </cell>
          <cell r="F907">
            <v>0</v>
          </cell>
          <cell r="G907" t="str">
            <v>CONTRATACION DIRECTA</v>
          </cell>
          <cell r="H907">
            <v>1</v>
          </cell>
          <cell r="I907"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7">
            <v>1</v>
          </cell>
          <cell r="K907" t="str">
            <v>$27.300.000</v>
          </cell>
          <cell r="L907">
            <v>45922</v>
          </cell>
          <cell r="M907">
            <v>46022</v>
          </cell>
          <cell r="N907" t="str">
            <v>RODRIGO DE JESUS VITERI MORENO</v>
          </cell>
          <cell r="O907">
            <v>98390119</v>
          </cell>
          <cell r="P907" t="str">
            <v>tatis 1245789@hotmail.com</v>
          </cell>
          <cell r="Q907">
            <v>45922</v>
          </cell>
          <cell r="R907" t="str">
            <v>JUAN GOMEZ</v>
          </cell>
          <cell r="U907" t="str">
            <v>CELEBRADO</v>
          </cell>
          <cell r="W907" t="str">
            <v>2025-0419</v>
          </cell>
          <cell r="X907" t="str">
            <v>2025-1465</v>
          </cell>
          <cell r="AJ907">
            <v>2</v>
          </cell>
          <cell r="AK907">
            <v>0</v>
          </cell>
          <cell r="AL907">
            <v>2</v>
          </cell>
          <cell r="AM907" t="str">
            <v>$27.300.000</v>
          </cell>
        </row>
        <row r="908">
          <cell r="A908" t="str">
            <v>907-2025</v>
          </cell>
          <cell r="B908" t="str">
            <v>PRESTACION DE SERVICIOS</v>
          </cell>
          <cell r="C908" t="str">
            <v>MARILYN ZAMBRANO OBANDO</v>
          </cell>
          <cell r="D908" t="str">
            <v>CC</v>
          </cell>
          <cell r="E908">
            <v>1081592303</v>
          </cell>
          <cell r="F908">
            <v>1</v>
          </cell>
          <cell r="G908" t="str">
            <v>CONTRATACION DIRECTA</v>
          </cell>
          <cell r="H908">
            <v>1</v>
          </cell>
          <cell r="I90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8">
            <v>1</v>
          </cell>
          <cell r="K908" t="str">
            <v>$11.025.000</v>
          </cell>
          <cell r="L908">
            <v>45922</v>
          </cell>
          <cell r="M908">
            <v>46022</v>
          </cell>
          <cell r="N908" t="str">
            <v>MARY ALEXANDRA ROSERO BENAVIDES</v>
          </cell>
          <cell r="O908">
            <v>43624414</v>
          </cell>
          <cell r="P908" t="str">
            <v xml:space="preserve"> zmarilyn701@gmail.com</v>
          </cell>
          <cell r="Q908">
            <v>45922</v>
          </cell>
          <cell r="R908" t="str">
            <v>DIANA MORA</v>
          </cell>
          <cell r="U908" t="str">
            <v>CELEBRADO</v>
          </cell>
          <cell r="W908" t="str">
            <v>2025-0419</v>
          </cell>
          <cell r="X908" t="str">
            <v>2025-1488</v>
          </cell>
          <cell r="AJ908">
            <v>2</v>
          </cell>
          <cell r="AK908">
            <v>0</v>
          </cell>
          <cell r="AL908">
            <v>2</v>
          </cell>
          <cell r="AM908" t="str">
            <v>$11.025.000</v>
          </cell>
        </row>
        <row r="909">
          <cell r="A909" t="str">
            <v>908-2025</v>
          </cell>
          <cell r="B909" t="str">
            <v>PRESTACION DE SERVICIOS</v>
          </cell>
          <cell r="C909" t="str">
            <v>VALERIA VALENTINA PEREZ ROSERO</v>
          </cell>
          <cell r="D909" t="str">
            <v>CC</v>
          </cell>
          <cell r="E909">
            <v>1193383314</v>
          </cell>
          <cell r="F909">
            <v>2</v>
          </cell>
          <cell r="G909" t="str">
            <v>CONTRATACION DIRECTA</v>
          </cell>
          <cell r="H909">
            <v>1</v>
          </cell>
          <cell r="I909" t="str">
            <v>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09">
            <v>1</v>
          </cell>
          <cell r="K909" t="str">
            <v>$22.050.000</v>
          </cell>
          <cell r="L909">
            <v>45922</v>
          </cell>
          <cell r="M909">
            <v>46022</v>
          </cell>
          <cell r="N909" t="str">
            <v>RODRIGO DE JESUS VITERI MORENO</v>
          </cell>
          <cell r="O909">
            <v>98390119</v>
          </cell>
          <cell r="P909" t="str">
            <v>valeriapv0440@gmail.com</v>
          </cell>
          <cell r="Q909">
            <v>45922</v>
          </cell>
          <cell r="R909" t="str">
            <v>NATHALIA PORTILLA</v>
          </cell>
          <cell r="U909" t="str">
            <v>CELEBRADO</v>
          </cell>
          <cell r="W909" t="str">
            <v>2025-0419</v>
          </cell>
          <cell r="X909" t="str">
            <v>2025-1489</v>
          </cell>
          <cell r="AJ909">
            <v>2</v>
          </cell>
          <cell r="AK909">
            <v>0</v>
          </cell>
          <cell r="AL909">
            <v>2</v>
          </cell>
          <cell r="AM909" t="str">
            <v>$22.050.000</v>
          </cell>
        </row>
        <row r="910">
          <cell r="A910" t="str">
            <v>909-2025</v>
          </cell>
          <cell r="B910" t="str">
            <v>PRESTACION DE SERVICIOS</v>
          </cell>
          <cell r="C910" t="str">
            <v>DEISY ANDREA MARTINEZ NARVAEZ</v>
          </cell>
          <cell r="D910" t="str">
            <v>CC</v>
          </cell>
          <cell r="E910">
            <v>1004709928</v>
          </cell>
          <cell r="F910">
            <v>1</v>
          </cell>
          <cell r="G910" t="str">
            <v>CONTRATACION DIRECTA</v>
          </cell>
          <cell r="H910">
            <v>1</v>
          </cell>
          <cell r="I910" t="str">
            <v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v>
          </cell>
          <cell r="J910">
            <v>1</v>
          </cell>
          <cell r="K910" t="str">
            <v>$11.025.000</v>
          </cell>
          <cell r="L910">
            <v>45922</v>
          </cell>
          <cell r="M910">
            <v>46022</v>
          </cell>
          <cell r="N910" t="str">
            <v>RIGOBERTO MELO ZAMBRANO</v>
          </cell>
          <cell r="O910">
            <v>98333941</v>
          </cell>
          <cell r="P910" t="str">
            <v>Deisy. 123martinez@gmail.com</v>
          </cell>
          <cell r="Q910">
            <v>45922</v>
          </cell>
          <cell r="R910" t="str">
            <v>KLINGER GARCIA</v>
          </cell>
          <cell r="U910" t="str">
            <v>CELEBRADO</v>
          </cell>
          <cell r="W910" t="str">
            <v>2025-0419</v>
          </cell>
          <cell r="X910" t="str">
            <v>2025-1490</v>
          </cell>
          <cell r="AJ910">
            <v>2</v>
          </cell>
          <cell r="AK910">
            <v>0</v>
          </cell>
          <cell r="AL910">
            <v>2</v>
          </cell>
          <cell r="AM910" t="str">
            <v>$11.025.000</v>
          </cell>
        </row>
        <row r="911">
          <cell r="A911" t="str">
            <v>910-2025</v>
          </cell>
          <cell r="B911" t="str">
            <v>PRESTACION DE SERVICIOS</v>
          </cell>
          <cell r="C911" t="str">
            <v>LEYDI DEL ROSARIO CUACEZ NOGUERA</v>
          </cell>
          <cell r="D911" t="str">
            <v>CC</v>
          </cell>
          <cell r="E911">
            <v>59314458</v>
          </cell>
          <cell r="F911">
            <v>2</v>
          </cell>
          <cell r="G911" t="str">
            <v>CONTRATACION DIRECTA</v>
          </cell>
          <cell r="H911">
            <v>1</v>
          </cell>
          <cell r="I911"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1">
            <v>1</v>
          </cell>
          <cell r="K911" t="str">
            <v>$22.050.000</v>
          </cell>
          <cell r="L911">
            <v>45922</v>
          </cell>
          <cell r="M911">
            <v>46022</v>
          </cell>
          <cell r="N911" t="str">
            <v>RODRIGO DE JESUS VITERI MORENO</v>
          </cell>
          <cell r="O911">
            <v>98390119</v>
          </cell>
          <cell r="P911" t="str">
            <v>leydircn@hotmail.es</v>
          </cell>
          <cell r="Q911">
            <v>45922</v>
          </cell>
          <cell r="R911" t="str">
            <v>NATHALIA PORTILLA</v>
          </cell>
          <cell r="U911" t="str">
            <v>CELEBRADO</v>
          </cell>
          <cell r="W911" t="str">
            <v>2025-0419</v>
          </cell>
          <cell r="X911" t="str">
            <v>2025-1491</v>
          </cell>
          <cell r="AJ911">
            <v>2</v>
          </cell>
          <cell r="AK911">
            <v>0</v>
          </cell>
          <cell r="AL911">
            <v>2</v>
          </cell>
          <cell r="AM911" t="str">
            <v>$22.050.000</v>
          </cell>
        </row>
        <row r="912">
          <cell r="A912" t="str">
            <v>911-2025</v>
          </cell>
          <cell r="B912" t="str">
            <v>COMPRAVENTA</v>
          </cell>
          <cell r="C912" t="str">
            <v>INDUSTRIA DE METALES Y MADERAS MUEBLES EJECUTIVOS SAS.</v>
          </cell>
          <cell r="D912" t="str">
            <v>NIT</v>
          </cell>
          <cell r="E912">
            <v>900496881</v>
          </cell>
          <cell r="F912">
            <v>5</v>
          </cell>
          <cell r="G912" t="str">
            <v>CONTRATACION DIRECTA</v>
          </cell>
          <cell r="H912">
            <v>2</v>
          </cell>
          <cell r="I912" t="str">
            <v>Compra venta de buzones PQRS solicitados por SIAU y T.H. para cambiar los que se tienen actualmente que se encuentran en mal estado en las 23 sedes, adicional sillas para laboratorio DE Santa Mónica, La Rosa y C.S. San Vicente, y lockers para el C.S. El Progreso, sedes de la Empresa Social del Estado PASTO SALUD ESE</v>
          </cell>
          <cell r="J912">
            <v>1</v>
          </cell>
          <cell r="K912" t="str">
            <v>$17.992.800</v>
          </cell>
          <cell r="L912">
            <v>45922</v>
          </cell>
          <cell r="M912">
            <v>45961</v>
          </cell>
          <cell r="N912" t="str">
            <v xml:space="preserve">	STEFANYA RAMIREZ LOPERA</v>
          </cell>
          <cell r="O912">
            <v>111247705</v>
          </cell>
          <cell r="P912" t="str">
            <v>mueblesejecutivo@hotmail.com</v>
          </cell>
          <cell r="Q912">
            <v>45922</v>
          </cell>
          <cell r="R912" t="str">
            <v>ELIANA BENAVIDES</v>
          </cell>
          <cell r="U912" t="str">
            <v>CELEBRADO</v>
          </cell>
          <cell r="W912" t="str">
            <v>2025-0398</v>
          </cell>
          <cell r="X912" t="str">
            <v>2025-1492</v>
          </cell>
          <cell r="AJ912">
            <v>2</v>
          </cell>
          <cell r="AK912">
            <v>0</v>
          </cell>
          <cell r="AL912">
            <v>2</v>
          </cell>
          <cell r="AM912" t="str">
            <v>$17.992.800</v>
          </cell>
        </row>
        <row r="913">
          <cell r="A913" t="str">
            <v>912-2025</v>
          </cell>
          <cell r="B913" t="str">
            <v>PRESTACION DE SERVICIOS</v>
          </cell>
          <cell r="C913" t="str">
            <v>BRILLYD MAYERLI PEREZ LUCANO</v>
          </cell>
          <cell r="D913" t="str">
            <v>CC</v>
          </cell>
          <cell r="E913">
            <v>1085323163</v>
          </cell>
          <cell r="F913">
            <v>9</v>
          </cell>
          <cell r="G913" t="str">
            <v>CONTRATACION DIRECTA</v>
          </cell>
          <cell r="H913">
            <v>1</v>
          </cell>
          <cell r="I913"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3">
            <v>1</v>
          </cell>
          <cell r="K913" t="str">
            <v>$11.025.000</v>
          </cell>
          <cell r="L913">
            <v>45922</v>
          </cell>
          <cell r="M913">
            <v>46022</v>
          </cell>
          <cell r="N913" t="str">
            <v>RODRIGO DE JESUS VITERI MORENO</v>
          </cell>
          <cell r="O913">
            <v>98390119</v>
          </cell>
          <cell r="P913" t="str">
            <v xml:space="preserve"> mayerliperezlucano@gmail.com</v>
          </cell>
          <cell r="Q913">
            <v>45922</v>
          </cell>
          <cell r="R913" t="str">
            <v>KLINGER GARCIA</v>
          </cell>
          <cell r="U913" t="str">
            <v>CELEBRADO</v>
          </cell>
          <cell r="W913" t="str">
            <v>2025-0419</v>
          </cell>
          <cell r="X913" t="str">
            <v>2025-1493</v>
          </cell>
          <cell r="AJ913">
            <v>2</v>
          </cell>
          <cell r="AK913">
            <v>0</v>
          </cell>
          <cell r="AL913">
            <v>2</v>
          </cell>
          <cell r="AM913" t="str">
            <v>$11.025.000</v>
          </cell>
        </row>
        <row r="914">
          <cell r="A914" t="str">
            <v>913-2025</v>
          </cell>
          <cell r="B914" t="str">
            <v>PRESTACION DE SERVICIOS</v>
          </cell>
          <cell r="C914" t="str">
            <v>YOHANA KATERING PANTOJA MELO</v>
          </cell>
          <cell r="D914" t="str">
            <v>CC</v>
          </cell>
          <cell r="E914">
            <v>1089846684</v>
          </cell>
          <cell r="F914">
            <v>3</v>
          </cell>
          <cell r="G914" t="str">
            <v>CONTRATACION DIRECTA</v>
          </cell>
          <cell r="H914">
            <v>1</v>
          </cell>
          <cell r="I914"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4">
            <v>1</v>
          </cell>
          <cell r="K914" t="str">
            <v>$27.300.000</v>
          </cell>
          <cell r="L914">
            <v>45923</v>
          </cell>
          <cell r="M914">
            <v>46022</v>
          </cell>
          <cell r="N914" t="str">
            <v>RODRIGO DE JESUS VITERI MORENO</v>
          </cell>
          <cell r="O914">
            <v>98390119</v>
          </cell>
          <cell r="P914" t="str">
            <v xml:space="preserve"> yohanakt4@gmail.com</v>
          </cell>
          <cell r="Q914">
            <v>45923</v>
          </cell>
          <cell r="R914" t="str">
            <v>KLINGER GARCIA</v>
          </cell>
          <cell r="U914" t="str">
            <v>CELEBRADO</v>
          </cell>
          <cell r="W914" t="str">
            <v>2025-0419</v>
          </cell>
          <cell r="X914" t="str">
            <v>2025-1496</v>
          </cell>
          <cell r="AJ914">
            <v>2</v>
          </cell>
          <cell r="AK914">
            <v>0</v>
          </cell>
          <cell r="AL914">
            <v>2</v>
          </cell>
          <cell r="AM914" t="str">
            <v>$27.300.000</v>
          </cell>
        </row>
        <row r="915">
          <cell r="A915" t="str">
            <v>914-2025</v>
          </cell>
          <cell r="B915" t="str">
            <v>PRESTACION DE SERVICIOS</v>
          </cell>
          <cell r="C915" t="str">
            <v>KATHERIN
CAMILA URIBE BURBANO</v>
          </cell>
          <cell r="D915" t="str">
            <v>CC</v>
          </cell>
          <cell r="E915">
            <v>1085326561</v>
          </cell>
          <cell r="F915">
            <v>0</v>
          </cell>
          <cell r="G915" t="str">
            <v>CONTRATACION DIRECTA</v>
          </cell>
          <cell r="H915">
            <v>1</v>
          </cell>
          <cell r="I915" t="str">
            <v>Prestación de servicios como referente del programa de salud mental y apoyo en la coordinación de docencia servicio de la Empresa Social del Estado Pasto Salud ESE.</v>
          </cell>
          <cell r="J915">
            <v>1</v>
          </cell>
          <cell r="K915" t="str">
            <v>$14.763.692</v>
          </cell>
          <cell r="L915">
            <v>45923</v>
          </cell>
          <cell r="M915">
            <v>46022</v>
          </cell>
          <cell r="N915" t="str">
            <v xml:space="preserve">	JUAN CARLOS MERA GUERRERO</v>
          </cell>
          <cell r="O915">
            <v>13016581</v>
          </cell>
          <cell r="P915" t="str">
            <v>camiuribe29@hotmail.com</v>
          </cell>
          <cell r="Q915">
            <v>45923</v>
          </cell>
          <cell r="R915" t="str">
            <v>NATHALIA PORTILLA</v>
          </cell>
          <cell r="U915" t="str">
            <v>CELEBRADO</v>
          </cell>
          <cell r="W915" t="str">
            <v>2025-0422</v>
          </cell>
          <cell r="X915" t="str">
            <v>2025-1497</v>
          </cell>
          <cell r="AJ915">
            <v>2</v>
          </cell>
          <cell r="AK915">
            <v>0</v>
          </cell>
          <cell r="AL915">
            <v>2</v>
          </cell>
          <cell r="AM915" t="str">
            <v>$14.763.692</v>
          </cell>
        </row>
        <row r="916">
          <cell r="A916" t="str">
            <v>915-2025</v>
          </cell>
          <cell r="B916" t="str">
            <v>PRESTACION DE SERVICIOS</v>
          </cell>
          <cell r="C916" t="str">
            <v xml:space="preserve"> HOTEL
CUELLAR PASTO S.A.S</v>
          </cell>
          <cell r="D916" t="str">
            <v>NIT</v>
          </cell>
          <cell r="E916">
            <v>814003583</v>
          </cell>
          <cell r="F916">
            <v>9</v>
          </cell>
          <cell r="G916" t="str">
            <v>CONTRATACION DIRECTA</v>
          </cell>
          <cell r="H916">
            <v>2</v>
          </cell>
          <cell r="I916" t="str">
            <v>Prestación de servicios como operador logístico para la organización y ejecución integral de las jornadas de capacitación a cargo de la Empresa Social del Estado Pasto Salud E.S.E.,</v>
          </cell>
          <cell r="J916">
            <v>1</v>
          </cell>
          <cell r="K916" t="str">
            <v>$7.729.680</v>
          </cell>
          <cell r="L916">
            <v>45923</v>
          </cell>
          <cell r="M916">
            <v>45960</v>
          </cell>
          <cell r="N916" t="str">
            <v>ANA PATRICIA CAJIGAS RUBIO</v>
          </cell>
          <cell r="O916">
            <v>36759470</v>
          </cell>
          <cell r="P916" t="str">
            <v>secretaria@hotelcuellars.com</v>
          </cell>
          <cell r="Q916">
            <v>45923</v>
          </cell>
          <cell r="R916" t="str">
            <v>KLINGER GARCIA</v>
          </cell>
          <cell r="U916" t="str">
            <v>CELEBRADO</v>
          </cell>
          <cell r="W916" t="str">
            <v>2025-0488</v>
          </cell>
          <cell r="X916" t="str">
            <v>2025-1498</v>
          </cell>
          <cell r="AJ916">
            <v>2</v>
          </cell>
          <cell r="AK916">
            <v>0</v>
          </cell>
          <cell r="AL916">
            <v>2</v>
          </cell>
          <cell r="AM916" t="str">
            <v>$7.729.680</v>
          </cell>
        </row>
        <row r="917">
          <cell r="A917" t="str">
            <v>916-2025</v>
          </cell>
          <cell r="B917" t="str">
            <v>PRESTACION DE SERVICIOS</v>
          </cell>
          <cell r="C917" t="str">
            <v>GLORIA PATRICIA RAMOS ESPAÑA</v>
          </cell>
          <cell r="D917" t="str">
            <v>CC</v>
          </cell>
          <cell r="E917">
            <v>37082272</v>
          </cell>
          <cell r="F917">
            <v>2</v>
          </cell>
          <cell r="G917" t="str">
            <v>CONTRATACION DIRECTA</v>
          </cell>
          <cell r="H917">
            <v>1</v>
          </cell>
          <cell r="I917"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7">
            <v>1</v>
          </cell>
          <cell r="K917" t="str">
            <v>$11.025.000</v>
          </cell>
          <cell r="L917">
            <v>45923</v>
          </cell>
          <cell r="M917">
            <v>46022</v>
          </cell>
          <cell r="N917" t="str">
            <v>RODRIGO DE JESUS VITERI MORENO</v>
          </cell>
          <cell r="O917">
            <v>98390119</v>
          </cell>
          <cell r="P917" t="str">
            <v>gloriapatriciaramosespaña@gmail.com</v>
          </cell>
          <cell r="Q917">
            <v>45923</v>
          </cell>
          <cell r="R917" t="str">
            <v>NATHALIA PORTILLA</v>
          </cell>
          <cell r="U917" t="str">
            <v>CELEBRADO</v>
          </cell>
          <cell r="W917" t="str">
            <v>2025-0419</v>
          </cell>
          <cell r="X917" t="str">
            <v>2025-1499</v>
          </cell>
          <cell r="AJ917">
            <v>2</v>
          </cell>
          <cell r="AK917">
            <v>0</v>
          </cell>
          <cell r="AL917">
            <v>2</v>
          </cell>
          <cell r="AM917" t="str">
            <v>$11.025.000</v>
          </cell>
        </row>
        <row r="918">
          <cell r="A918" t="str">
            <v>917-2025</v>
          </cell>
          <cell r="B918" t="str">
            <v>PRESTACION DE SERVICIOS</v>
          </cell>
          <cell r="C918" t="str">
            <v>DARY LORENA YASCUAL NARVAEZ</v>
          </cell>
          <cell r="D918" t="str">
            <v>CC</v>
          </cell>
          <cell r="E918">
            <v>1004726621</v>
          </cell>
          <cell r="F918">
            <v>6</v>
          </cell>
          <cell r="G918" t="str">
            <v>CONTRATACION DIRECTA</v>
          </cell>
          <cell r="H918">
            <v>1</v>
          </cell>
          <cell r="I91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8">
            <v>1</v>
          </cell>
          <cell r="K918" t="str">
            <v>$11.025.000</v>
          </cell>
          <cell r="L918">
            <v>45923</v>
          </cell>
          <cell r="M918">
            <v>46022</v>
          </cell>
          <cell r="N918" t="str">
            <v>RODRIGO DE JESUS VITERI MORENO</v>
          </cell>
          <cell r="O918">
            <v>98390119</v>
          </cell>
          <cell r="P918" t="str">
            <v>lorenayascual05@gmail.com</v>
          </cell>
          <cell r="Q918">
            <v>45923</v>
          </cell>
          <cell r="R918" t="str">
            <v>NATHALIA PORTILLA</v>
          </cell>
          <cell r="U918" t="str">
            <v>CELEBRADO</v>
          </cell>
          <cell r="W918" t="str">
            <v>2025-0419</v>
          </cell>
          <cell r="X918" t="str">
            <v>2025-1500</v>
          </cell>
          <cell r="AJ918">
            <v>2</v>
          </cell>
          <cell r="AK918">
            <v>0</v>
          </cell>
          <cell r="AL918">
            <v>2</v>
          </cell>
          <cell r="AM918" t="str">
            <v>$11.025.000</v>
          </cell>
        </row>
        <row r="919">
          <cell r="A919" t="str">
            <v>918-2025</v>
          </cell>
          <cell r="B919" t="str">
            <v>PRESTACION DE SERVICIOS</v>
          </cell>
          <cell r="C919" t="str">
            <v>ANYIE CAROLINA BASTIDAS CABRERA</v>
          </cell>
          <cell r="D919" t="str">
            <v>CC</v>
          </cell>
          <cell r="E919">
            <v>1004190710</v>
          </cell>
          <cell r="F919">
            <v>0</v>
          </cell>
          <cell r="G919" t="str">
            <v>CONTRATACION DIRECTA</v>
          </cell>
          <cell r="H919">
            <v>1</v>
          </cell>
          <cell r="I91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19">
            <v>1</v>
          </cell>
          <cell r="K919" t="str">
            <v>$11.025.000</v>
          </cell>
          <cell r="L919">
            <v>45923</v>
          </cell>
          <cell r="M919">
            <v>46022</v>
          </cell>
          <cell r="N919" t="str">
            <v>RIGOBERTO MELO ZAMBRANO</v>
          </cell>
          <cell r="O919">
            <v>98333941</v>
          </cell>
          <cell r="P919" t="str">
            <v xml:space="preserve"> bastidasanyie123@gmail.com</v>
          </cell>
          <cell r="Q919">
            <v>45923</v>
          </cell>
          <cell r="R919" t="str">
            <v>NATHALIA PORTILLA</v>
          </cell>
          <cell r="U919" t="str">
            <v>CELEBRADO</v>
          </cell>
          <cell r="W919" t="str">
            <v>2025-0419</v>
          </cell>
          <cell r="X919" t="str">
            <v>2025-1502</v>
          </cell>
          <cell r="AJ919">
            <v>2</v>
          </cell>
          <cell r="AK919">
            <v>0</v>
          </cell>
          <cell r="AL919">
            <v>2</v>
          </cell>
          <cell r="AM919" t="str">
            <v>$11.025.000</v>
          </cell>
        </row>
        <row r="920">
          <cell r="A920" t="str">
            <v>919-2025</v>
          </cell>
          <cell r="B920" t="str">
            <v>PRESTACION DE SERVICIOS</v>
          </cell>
          <cell r="C920" t="str">
            <v>ANGIE SHIRLEY LOPEZ BOTINA</v>
          </cell>
          <cell r="D920" t="str">
            <v>CC</v>
          </cell>
          <cell r="E920">
            <v>1004134014</v>
          </cell>
          <cell r="F920">
            <v>4</v>
          </cell>
          <cell r="G920" t="str">
            <v>CONTRATACION DIRECTA</v>
          </cell>
          <cell r="H920">
            <v>1</v>
          </cell>
          <cell r="I920"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0">
            <v>1</v>
          </cell>
          <cell r="K920" t="str">
            <v>$11.025.000</v>
          </cell>
          <cell r="L920">
            <v>45923</v>
          </cell>
          <cell r="M920">
            <v>46022</v>
          </cell>
          <cell r="N920" t="str">
            <v>MARY ALEXANDRA ROSERO BENAVIDES</v>
          </cell>
          <cell r="O920">
            <v>43624414</v>
          </cell>
          <cell r="P920" t="str">
            <v xml:space="preserve">ashirleylb@gmail.com
</v>
          </cell>
          <cell r="Q920">
            <v>45923</v>
          </cell>
          <cell r="R920" t="str">
            <v>KLINGER GARCIA</v>
          </cell>
          <cell r="U920" t="str">
            <v>CELEBRADO</v>
          </cell>
          <cell r="W920" t="str">
            <v>2025-0419</v>
          </cell>
          <cell r="X920" t="str">
            <v>2025-1503</v>
          </cell>
          <cell r="AJ920">
            <v>2</v>
          </cell>
          <cell r="AK920">
            <v>0</v>
          </cell>
          <cell r="AL920">
            <v>2</v>
          </cell>
          <cell r="AM920" t="str">
            <v>$11.025.000</v>
          </cell>
        </row>
        <row r="921">
          <cell r="A921" t="str">
            <v>920-2025</v>
          </cell>
          <cell r="B921" t="str">
            <v>PRESTACION DE SERVICIOS</v>
          </cell>
          <cell r="C921" t="str">
            <v>MARIA FERNANDA BUCHELI TRUJILLO</v>
          </cell>
          <cell r="D921" t="str">
            <v>CC</v>
          </cell>
          <cell r="E921">
            <v>36952916</v>
          </cell>
          <cell r="F921">
            <v>7</v>
          </cell>
          <cell r="G921" t="str">
            <v>CONTRATACION DIRECTA</v>
          </cell>
          <cell r="H921">
            <v>1</v>
          </cell>
          <cell r="I921"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1">
            <v>1</v>
          </cell>
          <cell r="K921" t="str">
            <v>$22.050.000</v>
          </cell>
          <cell r="L921">
            <v>45923</v>
          </cell>
          <cell r="M921">
            <v>46022</v>
          </cell>
          <cell r="N921" t="str">
            <v>DEYANIRA BADOS DAZA</v>
          </cell>
          <cell r="O921">
            <v>59836926</v>
          </cell>
          <cell r="P921" t="str">
            <v>fernandabutro@hotmail.com</v>
          </cell>
          <cell r="Q921">
            <v>45923</v>
          </cell>
          <cell r="R921" t="str">
            <v>ELIANA BENAVIDES</v>
          </cell>
          <cell r="U921" t="str">
            <v>CELEBRADO</v>
          </cell>
          <cell r="W921" t="str">
            <v>2025-0419</v>
          </cell>
          <cell r="X921" t="str">
            <v>2025-1504</v>
          </cell>
          <cell r="AJ921">
            <v>2</v>
          </cell>
          <cell r="AK921">
            <v>0</v>
          </cell>
          <cell r="AL921">
            <v>2</v>
          </cell>
          <cell r="AM921" t="str">
            <v>$22.050.000</v>
          </cell>
        </row>
        <row r="922">
          <cell r="A922" t="str">
            <v>921-2025</v>
          </cell>
          <cell r="B922" t="str">
            <v>PRESTACION DE SERVICIOS</v>
          </cell>
          <cell r="C922" t="str">
            <v>AYDA MARGOTH QUENORAN QUENORAN</v>
          </cell>
          <cell r="D922" t="str">
            <v>CC</v>
          </cell>
          <cell r="E922">
            <v>27456421</v>
          </cell>
          <cell r="F922">
            <v>3</v>
          </cell>
          <cell r="G922" t="str">
            <v>CONTRATACION DIRECTA</v>
          </cell>
          <cell r="H922">
            <v>1</v>
          </cell>
          <cell r="I922"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2">
            <v>1</v>
          </cell>
          <cell r="K922" t="str">
            <v>$22.050.000</v>
          </cell>
          <cell r="L922">
            <v>45923</v>
          </cell>
          <cell r="M922">
            <v>46022</v>
          </cell>
          <cell r="N922" t="str">
            <v>RODRIGO DE JESUS VITERI MORENO</v>
          </cell>
          <cell r="O922">
            <v>98390119</v>
          </cell>
          <cell r="P922" t="str">
            <v>quenoranayda@gmail.com</v>
          </cell>
          <cell r="Q922">
            <v>45923</v>
          </cell>
          <cell r="R922" t="str">
            <v>NATHALIA PORTILLA</v>
          </cell>
          <cell r="U922" t="str">
            <v>CELEBRADO</v>
          </cell>
          <cell r="W922" t="str">
            <v>2025-0419</v>
          </cell>
          <cell r="X922" t="str">
            <v>2025-1505</v>
          </cell>
          <cell r="AJ922">
            <v>2</v>
          </cell>
          <cell r="AK922">
            <v>0</v>
          </cell>
          <cell r="AL922">
            <v>2</v>
          </cell>
          <cell r="AM922" t="str">
            <v>$22.050.000</v>
          </cell>
        </row>
        <row r="923">
          <cell r="A923" t="str">
            <v>922-2025</v>
          </cell>
          <cell r="B923" t="str">
            <v>SUMINISTROS</v>
          </cell>
          <cell r="C923" t="str">
            <v>CASA DENTAL EDUARDO DAZA LTDA.</v>
          </cell>
          <cell r="D923" t="str">
            <v>NIT</v>
          </cell>
          <cell r="E923">
            <v>800071243</v>
          </cell>
          <cell r="F923">
            <v>9</v>
          </cell>
          <cell r="G923" t="str">
            <v>BIONEXO</v>
          </cell>
          <cell r="H923">
            <v>2</v>
          </cell>
          <cell r="I923" t="str">
            <v xml:space="preserve">El contratista se obliga al suministro del material médico quirúrgico en las cantidades establecidas en el anexo 1, el cual hace parte integral del contrato, Para la ESE Pasto Salud </v>
          </cell>
          <cell r="J923">
            <v>3</v>
          </cell>
          <cell r="K923" t="str">
            <v>$2.890.000</v>
          </cell>
          <cell r="L923">
            <v>45923</v>
          </cell>
          <cell r="M923">
            <v>46022</v>
          </cell>
          <cell r="N923" t="str">
            <v>NENA DEL CARMEN RAMIREZ RAMIREZ</v>
          </cell>
          <cell r="O923">
            <v>30732589</v>
          </cell>
          <cell r="P923" t="str">
            <v>contabilidad@dentaldaza.com</v>
          </cell>
          <cell r="Q923">
            <v>45923</v>
          </cell>
          <cell r="R923" t="str">
            <v>CRISTINA ROSERO</v>
          </cell>
          <cell r="U923" t="str">
            <v>CELEBRADO</v>
          </cell>
          <cell r="W923" t="str">
            <v>2025-0394</v>
          </cell>
          <cell r="X923" t="str">
            <v>2025-1506</v>
          </cell>
          <cell r="AJ923">
            <v>2</v>
          </cell>
          <cell r="AK923">
            <v>0</v>
          </cell>
          <cell r="AL923">
            <v>2</v>
          </cell>
          <cell r="AM923" t="str">
            <v>$2.890.000</v>
          </cell>
        </row>
        <row r="924">
          <cell r="A924" t="str">
            <v>923-2025</v>
          </cell>
          <cell r="B924" t="str">
            <v>PRESTACION DE SERVICIOS</v>
          </cell>
          <cell r="C924" t="str">
            <v>GABRIELA ESTEFANIA PABON ORTIZ</v>
          </cell>
          <cell r="D924" t="str">
            <v>CC</v>
          </cell>
          <cell r="E924">
            <v>1004508406</v>
          </cell>
          <cell r="F924">
            <v>4</v>
          </cell>
          <cell r="G924" t="str">
            <v>CONTRATACION DIRECTA</v>
          </cell>
          <cell r="H924">
            <v>1</v>
          </cell>
          <cell r="I924" t="str">
            <v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924">
            <v>1</v>
          </cell>
          <cell r="K924" t="str">
            <v>$11.025.000</v>
          </cell>
          <cell r="L924">
            <v>45924</v>
          </cell>
          <cell r="M924">
            <v>46022</v>
          </cell>
          <cell r="N924" t="str">
            <v>MARY ALEXANDRA ROSERO BENAVIDES</v>
          </cell>
          <cell r="O924">
            <v>43624414</v>
          </cell>
          <cell r="P924" t="str">
            <v>ortizgabriela264@gmail.com</v>
          </cell>
          <cell r="Q924">
            <v>45924</v>
          </cell>
          <cell r="R924" t="str">
            <v>CRISTINA ROSERO</v>
          </cell>
          <cell r="U924" t="str">
            <v>CELEBRADO</v>
          </cell>
          <cell r="W924" t="str">
            <v>2025-0419</v>
          </cell>
          <cell r="X924" t="str">
            <v>2025-1507</v>
          </cell>
          <cell r="AJ924">
            <v>2</v>
          </cell>
          <cell r="AK924">
            <v>0</v>
          </cell>
          <cell r="AL924">
            <v>2</v>
          </cell>
          <cell r="AM924" t="str">
            <v>$11.025.000</v>
          </cell>
        </row>
        <row r="925">
          <cell r="A925" t="str">
            <v>924-2025</v>
          </cell>
          <cell r="B925" t="str">
            <v>PRESTACION DE SERVICIOS</v>
          </cell>
          <cell r="C925" t="str">
            <v>JULIANA ANDREA PAZ JOJOA</v>
          </cell>
          <cell r="D925" t="str">
            <v>CC</v>
          </cell>
          <cell r="E925">
            <v>1004437571</v>
          </cell>
          <cell r="F925">
            <v>6</v>
          </cell>
          <cell r="G925" t="str">
            <v>CONTRATACION DIRECTA</v>
          </cell>
          <cell r="H925">
            <v>1</v>
          </cell>
          <cell r="I925"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5">
            <v>1</v>
          </cell>
          <cell r="K925" t="str">
            <v>$11.025.000</v>
          </cell>
          <cell r="L925">
            <v>45924</v>
          </cell>
          <cell r="M925">
            <v>46022</v>
          </cell>
          <cell r="N925" t="str">
            <v>RODRIGO DE JESUS VITERI MORENO</v>
          </cell>
          <cell r="O925">
            <v>98390119</v>
          </cell>
          <cell r="P925" t="str">
            <v xml:space="preserve"> pazjojoajulianaandrea6@gmail.com</v>
          </cell>
          <cell r="Q925">
            <v>45924</v>
          </cell>
          <cell r="R925" t="str">
            <v>CRISTINA ROSERO</v>
          </cell>
          <cell r="U925" t="str">
            <v>CELEBRADO</v>
          </cell>
          <cell r="W925" t="str">
            <v>2025-0419</v>
          </cell>
          <cell r="X925" t="str">
            <v>2025-1508</v>
          </cell>
          <cell r="AJ925">
            <v>2</v>
          </cell>
          <cell r="AK925">
            <v>0</v>
          </cell>
          <cell r="AL925">
            <v>2</v>
          </cell>
          <cell r="AM925" t="str">
            <v>$11.025.000</v>
          </cell>
        </row>
        <row r="926">
          <cell r="A926" t="str">
            <v>925-2025</v>
          </cell>
          <cell r="B926" t="str">
            <v>PRESTACION DE SERVICIOS</v>
          </cell>
          <cell r="C926" t="str">
            <v>KEILY VANESSA ENRIQUEZ PINTA</v>
          </cell>
          <cell r="D926" t="str">
            <v>CC</v>
          </cell>
          <cell r="E926">
            <v>1086330124</v>
          </cell>
          <cell r="F926">
            <v>4</v>
          </cell>
          <cell r="G926" t="str">
            <v>CONTRATACION DIRECTA</v>
          </cell>
          <cell r="H926">
            <v>1</v>
          </cell>
          <cell r="I926"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v>
          </cell>
          <cell r="J926">
            <v>1</v>
          </cell>
          <cell r="K926" t="str">
            <v>$11.025.000</v>
          </cell>
          <cell r="L926">
            <v>45924</v>
          </cell>
          <cell r="M926">
            <v>46022</v>
          </cell>
          <cell r="N926" t="str">
            <v>RIGOBERTO MELO ZAMBRANO</v>
          </cell>
          <cell r="O926">
            <v>98333941</v>
          </cell>
          <cell r="P926" t="str">
            <v>enriquezpintakeilyvanessa@gmail.com</v>
          </cell>
          <cell r="Q926">
            <v>45924</v>
          </cell>
          <cell r="R926" t="str">
            <v>ELIANA BENAVIDES</v>
          </cell>
          <cell r="U926" t="str">
            <v>CELEBRADO</v>
          </cell>
          <cell r="W926" t="str">
            <v>2025-0419</v>
          </cell>
          <cell r="X926" t="str">
            <v>2025-1509</v>
          </cell>
          <cell r="AJ926">
            <v>2</v>
          </cell>
          <cell r="AK926">
            <v>0</v>
          </cell>
          <cell r="AL926">
            <v>2</v>
          </cell>
          <cell r="AM926" t="str">
            <v>$11.025.000</v>
          </cell>
        </row>
        <row r="927">
          <cell r="A927" t="str">
            <v>926-2025</v>
          </cell>
          <cell r="B927" t="str">
            <v>PRESTACION DE SERVICIOS</v>
          </cell>
          <cell r="C927" t="str">
            <v>KAROL IVONNE BURBANO ROSERO</v>
          </cell>
          <cell r="D927" t="str">
            <v>CC</v>
          </cell>
          <cell r="E927">
            <v>37083086</v>
          </cell>
          <cell r="F927">
            <v>3</v>
          </cell>
          <cell r="G927" t="str">
            <v>CONTRATACION DIRECTA</v>
          </cell>
          <cell r="H927">
            <v>1</v>
          </cell>
          <cell r="I927"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7">
            <v>1</v>
          </cell>
          <cell r="K927" t="str">
            <v>$11.025.000</v>
          </cell>
          <cell r="L927">
            <v>45925</v>
          </cell>
          <cell r="M927">
            <v>46022</v>
          </cell>
          <cell r="N927" t="str">
            <v>RIGOBERTO MELO ZAMBRANO</v>
          </cell>
          <cell r="O927">
            <v>98333941</v>
          </cell>
          <cell r="P927" t="str">
            <v>roseroburbanokarolivonne@yahoo.es.</v>
          </cell>
          <cell r="Q927">
            <v>45925</v>
          </cell>
          <cell r="R927" t="str">
            <v>ELIANA BENAVIDES</v>
          </cell>
          <cell r="U927" t="str">
            <v>CELEBRADO</v>
          </cell>
          <cell r="W927" t="str">
            <v>2025-0419</v>
          </cell>
          <cell r="X927" t="str">
            <v>2025-1511</v>
          </cell>
          <cell r="AJ927">
            <v>2</v>
          </cell>
          <cell r="AK927">
            <v>0</v>
          </cell>
          <cell r="AL927">
            <v>2</v>
          </cell>
          <cell r="AM927" t="str">
            <v>$11.025.000</v>
          </cell>
        </row>
        <row r="928">
          <cell r="A928" t="str">
            <v>927-2025</v>
          </cell>
          <cell r="B928" t="str">
            <v>PRESTACION DE SERVICIOS</v>
          </cell>
          <cell r="C928" t="str">
            <v>MARCELA ALEJANDRA ZAMBRANO REVELO</v>
          </cell>
          <cell r="D928" t="str">
            <v>CC</v>
          </cell>
          <cell r="E928">
            <v>1144172704</v>
          </cell>
          <cell r="F928">
            <v>8</v>
          </cell>
          <cell r="G928" t="str">
            <v>CONTRATACION DIRECTA</v>
          </cell>
          <cell r="H928">
            <v>1</v>
          </cell>
          <cell r="I928"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8">
            <v>1</v>
          </cell>
          <cell r="K928" t="str">
            <v>$27.300.000</v>
          </cell>
          <cell r="L928">
            <v>45925</v>
          </cell>
          <cell r="M928">
            <v>46022</v>
          </cell>
          <cell r="N928" t="str">
            <v>MARY ALEXANDRA ROSERO BENAVIDES</v>
          </cell>
          <cell r="O928">
            <v>43624414</v>
          </cell>
          <cell r="P928" t="str">
            <v>marcelazrevelo@gmail.com</v>
          </cell>
          <cell r="Q928">
            <v>45925</v>
          </cell>
          <cell r="R928" t="str">
            <v>DIANA MORA</v>
          </cell>
          <cell r="U928" t="str">
            <v>CELEBRADO</v>
          </cell>
          <cell r="W928" t="str">
            <v>2025-0419</v>
          </cell>
          <cell r="X928" t="str">
            <v>2025-1512</v>
          </cell>
          <cell r="AJ928">
            <v>2</v>
          </cell>
          <cell r="AK928">
            <v>0</v>
          </cell>
          <cell r="AL928">
            <v>2</v>
          </cell>
          <cell r="AM928" t="str">
            <v>$27.300.000</v>
          </cell>
        </row>
        <row r="929">
          <cell r="A929" t="str">
            <v>928-2025</v>
          </cell>
          <cell r="B929" t="str">
            <v>PRESTACION DE SERVICIOS</v>
          </cell>
          <cell r="C929" t="str">
            <v>SIRLEY DANIELA GAMBOA CHAVEZ</v>
          </cell>
          <cell r="D929" t="str">
            <v>CC</v>
          </cell>
          <cell r="E929">
            <v>1005977438</v>
          </cell>
          <cell r="F929">
            <v>4</v>
          </cell>
          <cell r="G929" t="str">
            <v>CONTRATACION DIRECTA</v>
          </cell>
          <cell r="H929">
            <v>1</v>
          </cell>
          <cell r="I929"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29">
            <v>1</v>
          </cell>
          <cell r="K929" t="str">
            <v>$11.025.000</v>
          </cell>
          <cell r="L929">
            <v>45925</v>
          </cell>
          <cell r="M929">
            <v>46022</v>
          </cell>
          <cell r="N929" t="str">
            <v>RODRIGO DE JESUS VITERI MORENO</v>
          </cell>
          <cell r="O929">
            <v>98390119</v>
          </cell>
          <cell r="P929" t="str">
            <v xml:space="preserve">dg240517@gmail.com </v>
          </cell>
          <cell r="Q929">
            <v>45925</v>
          </cell>
          <cell r="R929" t="str">
            <v>DIANA MORA</v>
          </cell>
          <cell r="U929" t="str">
            <v>CELEBRADO</v>
          </cell>
          <cell r="W929" t="str">
            <v>2025-0419</v>
          </cell>
          <cell r="X929" t="str">
            <v>2025-1513</v>
          </cell>
          <cell r="AJ929">
            <v>2</v>
          </cell>
          <cell r="AK929">
            <v>0</v>
          </cell>
          <cell r="AL929">
            <v>2</v>
          </cell>
          <cell r="AM929" t="str">
            <v>$11.025.000</v>
          </cell>
        </row>
        <row r="930">
          <cell r="A930" t="str">
            <v>929-2025</v>
          </cell>
          <cell r="B930" t="str">
            <v>PRESTACION DE SERVICIOS</v>
          </cell>
          <cell r="C930" t="str">
            <v>KARLA ALEJANDRA GAVILANEZ SANTACRUZ</v>
          </cell>
          <cell r="D930" t="str">
            <v>CC</v>
          </cell>
          <cell r="E930">
            <v>1233188295</v>
          </cell>
          <cell r="F930">
            <v>1</v>
          </cell>
          <cell r="G930" t="str">
            <v>CONTRATACION DIRECTA</v>
          </cell>
          <cell r="H930">
            <v>1</v>
          </cell>
          <cell r="I930"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0">
            <v>1</v>
          </cell>
          <cell r="K930" t="str">
            <v>$27.300.000</v>
          </cell>
          <cell r="L930">
            <v>45925</v>
          </cell>
          <cell r="M930">
            <v>46022</v>
          </cell>
          <cell r="N930" t="str">
            <v>RODRIGO DE JESUS VITERI MORENO</v>
          </cell>
          <cell r="O930">
            <v>98390119</v>
          </cell>
          <cell r="P930" t="str">
            <v xml:space="preserve"> karla9610@gmail.com</v>
          </cell>
          <cell r="Q930">
            <v>45925</v>
          </cell>
          <cell r="R930" t="str">
            <v>DIANA MORA</v>
          </cell>
          <cell r="U930" t="str">
            <v>CELEBRADO</v>
          </cell>
          <cell r="W930" t="str">
            <v>2025-0419</v>
          </cell>
          <cell r="X930" t="str">
            <v>2025-1514</v>
          </cell>
          <cell r="AJ930">
            <v>2</v>
          </cell>
          <cell r="AK930">
            <v>0</v>
          </cell>
          <cell r="AL930">
            <v>2</v>
          </cell>
          <cell r="AM930" t="str">
            <v>$27.300.000</v>
          </cell>
        </row>
        <row r="931">
          <cell r="A931" t="str">
            <v>930-2025</v>
          </cell>
          <cell r="B931" t="str">
            <v>PRESTACION DE SERVICIOS</v>
          </cell>
          <cell r="C931" t="str">
            <v>NORA VIVEROS BRAVO</v>
          </cell>
          <cell r="D931" t="str">
            <v>CC</v>
          </cell>
          <cell r="E931">
            <v>27097745</v>
          </cell>
          <cell r="F931">
            <v>3</v>
          </cell>
          <cell r="G931" t="str">
            <v>CONTRATACION DIRECTA</v>
          </cell>
          <cell r="H931">
            <v>1</v>
          </cell>
          <cell r="I931"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1">
            <v>1</v>
          </cell>
          <cell r="K931" t="str">
            <v>$22.050.000</v>
          </cell>
          <cell r="L931">
            <v>45926</v>
          </cell>
          <cell r="M931">
            <v>46022</v>
          </cell>
          <cell r="N931" t="str">
            <v>RODRIGO DE JESUS VITERI MORENO</v>
          </cell>
          <cell r="O931">
            <v>98390119</v>
          </cell>
          <cell r="P931" t="str">
            <v>norav78@hotmail.com</v>
          </cell>
          <cell r="Q931">
            <v>45926</v>
          </cell>
          <cell r="R931" t="str">
            <v>CRISTINA ROSERO</v>
          </cell>
          <cell r="U931" t="str">
            <v>CELEBRADO</v>
          </cell>
          <cell r="W931" t="str">
            <v>2025-0419</v>
          </cell>
          <cell r="X931" t="str">
            <v>2025-1515</v>
          </cell>
          <cell r="AJ931">
            <v>2</v>
          </cell>
          <cell r="AK931">
            <v>0</v>
          </cell>
          <cell r="AL931">
            <v>2</v>
          </cell>
          <cell r="AM931" t="str">
            <v>$22.050.000</v>
          </cell>
        </row>
        <row r="932">
          <cell r="A932" t="str">
            <v>931-2025</v>
          </cell>
          <cell r="B932" t="str">
            <v>PRESTACION DE SERVICIOS</v>
          </cell>
          <cell r="C932" t="str">
            <v>JOHANA MARICELA MATABAJOY CABRERA</v>
          </cell>
          <cell r="D932" t="str">
            <v>CC</v>
          </cell>
          <cell r="E932">
            <v>1086360087</v>
          </cell>
          <cell r="F932">
            <v>8</v>
          </cell>
          <cell r="G932" t="str">
            <v>CONTRATACION DIRECTA</v>
          </cell>
          <cell r="H932">
            <v>1</v>
          </cell>
          <cell r="I932"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v>
          </cell>
          <cell r="J932">
            <v>1</v>
          </cell>
          <cell r="K932" t="str">
            <v>$18.900.000</v>
          </cell>
          <cell r="L932">
            <v>45929</v>
          </cell>
          <cell r="M932">
            <v>46022</v>
          </cell>
          <cell r="N932" t="str">
            <v>RODRIGO DE JESUS VITERI MORENO</v>
          </cell>
          <cell r="O932">
            <v>98390119</v>
          </cell>
          <cell r="P932" t="str">
            <v>ortizgabriela264@gmail.com</v>
          </cell>
          <cell r="Q932">
            <v>45929</v>
          </cell>
          <cell r="R932" t="str">
            <v>CRISTINA ROSERO</v>
          </cell>
          <cell r="U932" t="str">
            <v>CELEBRADO</v>
          </cell>
          <cell r="W932" t="str">
            <v>2025-0419</v>
          </cell>
          <cell r="X932" t="str">
            <v>2025-1520</v>
          </cell>
          <cell r="AJ932">
            <v>2</v>
          </cell>
          <cell r="AK932">
            <v>0</v>
          </cell>
          <cell r="AL932">
            <v>2</v>
          </cell>
          <cell r="AM932" t="str">
            <v>$18.900.000</v>
          </cell>
        </row>
        <row r="933">
          <cell r="A933" t="str">
            <v>932-2025</v>
          </cell>
          <cell r="B933" t="str">
            <v>PRESTACION DE SERVICIOS</v>
          </cell>
          <cell r="C933" t="str">
            <v>ESTEBAN MAURICIO LOPEZ SOLARTE</v>
          </cell>
          <cell r="D933" t="str">
            <v>CC</v>
          </cell>
          <cell r="E933">
            <v>12754447</v>
          </cell>
          <cell r="F933">
            <v>8</v>
          </cell>
          <cell r="G933" t="str">
            <v>CONTRATACION DIRECTA</v>
          </cell>
          <cell r="H933">
            <v>1</v>
          </cell>
          <cell r="I933"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3">
            <v>1</v>
          </cell>
          <cell r="K933" t="str">
            <v>$14.190.000</v>
          </cell>
          <cell r="L933">
            <v>45929</v>
          </cell>
          <cell r="M933">
            <v>46022</v>
          </cell>
          <cell r="N933" t="str">
            <v>DEYANIRA BADOS DAZA</v>
          </cell>
          <cell r="O933">
            <v>59836926</v>
          </cell>
          <cell r="P933" t="str">
            <v xml:space="preserve">eztteban@hotmail.com </v>
          </cell>
          <cell r="Q933">
            <v>45929</v>
          </cell>
          <cell r="R933" t="str">
            <v>ANDERSON MEJIA</v>
          </cell>
          <cell r="U933" t="str">
            <v>CELEBRADO</v>
          </cell>
          <cell r="W933" t="str">
            <v>2025-0419</v>
          </cell>
          <cell r="X933" t="str">
            <v>2025-1521</v>
          </cell>
          <cell r="AJ933">
            <v>2</v>
          </cell>
          <cell r="AK933">
            <v>0</v>
          </cell>
          <cell r="AL933">
            <v>2</v>
          </cell>
          <cell r="AM933" t="str">
            <v>$14.190.000</v>
          </cell>
        </row>
        <row r="934">
          <cell r="A934" t="str">
            <v>933-2025</v>
          </cell>
          <cell r="B934" t="str">
            <v>PRESTACION DE SERVICIOS</v>
          </cell>
          <cell r="C934" t="str">
            <v>SANDRA MARCELA DOMINGUEZ VARGAS</v>
          </cell>
          <cell r="D934" t="str">
            <v>CC</v>
          </cell>
          <cell r="E934">
            <v>52381227</v>
          </cell>
          <cell r="F934">
            <v>8</v>
          </cell>
          <cell r="G934" t="str">
            <v>CONTRATACION DIRECTA</v>
          </cell>
          <cell r="H934">
            <v>1</v>
          </cell>
          <cell r="I934" t="str">
            <v>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4">
            <v>1</v>
          </cell>
          <cell r="K934" t="str">
            <v>$14.190.000</v>
          </cell>
          <cell r="L934">
            <v>45929</v>
          </cell>
          <cell r="M934">
            <v>46022</v>
          </cell>
          <cell r="N934" t="str">
            <v>RODRIGO DE JESUS VITERI MORENO</v>
          </cell>
          <cell r="O934">
            <v>98390119</v>
          </cell>
          <cell r="P934" t="str">
            <v xml:space="preserve"> marce-781@hotmail.com</v>
          </cell>
          <cell r="Q934">
            <v>45929</v>
          </cell>
          <cell r="R934" t="str">
            <v>CRISTINA ROSERO</v>
          </cell>
          <cell r="U934" t="str">
            <v>CELEBRADO</v>
          </cell>
          <cell r="W934" t="str">
            <v>2025-0419</v>
          </cell>
          <cell r="X934" t="str">
            <v>2025-1522</v>
          </cell>
          <cell r="AJ934">
            <v>2</v>
          </cell>
          <cell r="AK934">
            <v>0</v>
          </cell>
          <cell r="AL934">
            <v>2</v>
          </cell>
          <cell r="AM934" t="str">
            <v>$14.190.000</v>
          </cell>
        </row>
        <row r="935">
          <cell r="A935" t="str">
            <v>934-2025</v>
          </cell>
          <cell r="B935" t="str">
            <v>PRESTACION DE SERVICIOS</v>
          </cell>
          <cell r="C935" t="str">
            <v>JUDDY GABRIELA PIANDA PISCAL</v>
          </cell>
          <cell r="D935" t="str">
            <v>CC</v>
          </cell>
          <cell r="E935">
            <v>1085346528</v>
          </cell>
          <cell r="F935">
            <v>2</v>
          </cell>
          <cell r="G935" t="str">
            <v>CONTRATACION DIRECTA</v>
          </cell>
          <cell r="H935">
            <v>1</v>
          </cell>
          <cell r="I935"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5">
            <v>1</v>
          </cell>
          <cell r="K935" t="str">
            <v>$9.450.000</v>
          </cell>
          <cell r="L935">
            <v>45929</v>
          </cell>
          <cell r="M935">
            <v>46022</v>
          </cell>
          <cell r="N935" t="str">
            <v>MARY ALEXANDRA ROSERO BENAVIDES</v>
          </cell>
          <cell r="O935">
            <v>43624414</v>
          </cell>
          <cell r="P935" t="str">
            <v>gabrielapianda04@gmail.com</v>
          </cell>
          <cell r="Q935">
            <v>45929</v>
          </cell>
          <cell r="R935" t="str">
            <v>JUAN GOMEZ</v>
          </cell>
          <cell r="U935" t="str">
            <v>CELEBRADO</v>
          </cell>
          <cell r="W935" t="str">
            <v>2025-0419</v>
          </cell>
          <cell r="X935" t="str">
            <v>2025-1523</v>
          </cell>
          <cell r="AJ935">
            <v>2</v>
          </cell>
          <cell r="AK935">
            <v>0</v>
          </cell>
          <cell r="AL935">
            <v>2</v>
          </cell>
          <cell r="AM935" t="str">
            <v>$9.450.000</v>
          </cell>
        </row>
        <row r="936">
          <cell r="A936" t="str">
            <v>935-2025</v>
          </cell>
          <cell r="B936" t="str">
            <v>PRESTACION DE SERVICIOS</v>
          </cell>
          <cell r="C936" t="str">
            <v>SONIA MARIBEL GELPUD MAYA</v>
          </cell>
          <cell r="D936" t="str">
            <v>CC</v>
          </cell>
          <cell r="E936">
            <v>1004666616</v>
          </cell>
          <cell r="F936">
            <v>0</v>
          </cell>
          <cell r="G936" t="str">
            <v>CONTRATACION DIRECTA</v>
          </cell>
          <cell r="H936">
            <v>1</v>
          </cell>
          <cell r="I936"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6">
            <v>1</v>
          </cell>
          <cell r="K936" t="str">
            <v>$9.450.000</v>
          </cell>
          <cell r="L936">
            <v>45929</v>
          </cell>
          <cell r="M936">
            <v>46022</v>
          </cell>
          <cell r="N936" t="str">
            <v>RODRIGO DE JESUS VITERI MORENO</v>
          </cell>
          <cell r="O936">
            <v>98390119</v>
          </cell>
          <cell r="P936" t="str">
            <v>soniamaribelgelpud@gmail.com</v>
          </cell>
          <cell r="Q936">
            <v>45929</v>
          </cell>
          <cell r="R936" t="str">
            <v>CRISTINA ROSERO</v>
          </cell>
          <cell r="U936" t="str">
            <v>CELEBRADO</v>
          </cell>
          <cell r="W936" t="str">
            <v>2025-0419</v>
          </cell>
          <cell r="X936" t="str">
            <v>2025-1524</v>
          </cell>
          <cell r="AJ936">
            <v>2</v>
          </cell>
          <cell r="AK936">
            <v>0</v>
          </cell>
          <cell r="AL936">
            <v>2</v>
          </cell>
          <cell r="AM936" t="str">
            <v>$9.450.000</v>
          </cell>
        </row>
        <row r="937">
          <cell r="A937" t="str">
            <v>936-2025</v>
          </cell>
          <cell r="B937" t="str">
            <v>PRESTACION DE SERVICIOS</v>
          </cell>
          <cell r="C937" t="str">
            <v>DAYRA ROCIO FLOREZ BETANCOUR</v>
          </cell>
          <cell r="D937" t="str">
            <v>CC</v>
          </cell>
          <cell r="E937">
            <v>1082748032</v>
          </cell>
          <cell r="F937">
            <v>6</v>
          </cell>
          <cell r="G937" t="str">
            <v>CONTRATACION DIRECTA</v>
          </cell>
          <cell r="H937">
            <v>1</v>
          </cell>
          <cell r="I937"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v>
          </cell>
          <cell r="J937">
            <v>1</v>
          </cell>
          <cell r="K937" t="str">
            <v>$9.450.000</v>
          </cell>
          <cell r="L937">
            <v>45929</v>
          </cell>
          <cell r="M937">
            <v>46022</v>
          </cell>
          <cell r="N937" t="str">
            <v>RIGOBERTO MELO ZAMBRANO</v>
          </cell>
          <cell r="O937">
            <v>98333941</v>
          </cell>
          <cell r="P937" t="str">
            <v>daybetan92@gmail.com</v>
          </cell>
          <cell r="Q937">
            <v>45929</v>
          </cell>
          <cell r="R937" t="str">
            <v>ELIANA BENAVIDES</v>
          </cell>
          <cell r="U937" t="str">
            <v>CELEBRADO</v>
          </cell>
          <cell r="W937" t="str">
            <v>2025-0419</v>
          </cell>
          <cell r="X937" t="str">
            <v>2025-1525</v>
          </cell>
          <cell r="AJ937">
            <v>2</v>
          </cell>
          <cell r="AK937">
            <v>0</v>
          </cell>
          <cell r="AL937">
            <v>2</v>
          </cell>
          <cell r="AM937" t="str">
            <v>$9.450.000</v>
          </cell>
        </row>
        <row r="938">
          <cell r="A938" t="str">
            <v>937-2025</v>
          </cell>
          <cell r="B938" t="str">
            <v>PRESTACION DE SERVICIOS</v>
          </cell>
          <cell r="C938" t="str">
            <v>JULIANA BURBANO PAEZ</v>
          </cell>
          <cell r="D938" t="str">
            <v>CC</v>
          </cell>
          <cell r="E938">
            <v>1085323338</v>
          </cell>
          <cell r="F938">
            <v>0</v>
          </cell>
          <cell r="G938" t="str">
            <v>CONTRATACION DIRECTA</v>
          </cell>
          <cell r="H938">
            <v>1</v>
          </cell>
          <cell r="I938"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8">
            <v>1</v>
          </cell>
          <cell r="K938" t="str">
            <v>$14.190.000</v>
          </cell>
          <cell r="L938">
            <v>45929</v>
          </cell>
          <cell r="M938">
            <v>46022</v>
          </cell>
          <cell r="N938" t="str">
            <v>RODRIGO DE JESUS VITERI MORENO</v>
          </cell>
          <cell r="O938">
            <v>98390119</v>
          </cell>
          <cell r="P938" t="str">
            <v>juliburbanopaez@gmail.com</v>
          </cell>
          <cell r="Q938">
            <v>45929</v>
          </cell>
          <cell r="R938" t="str">
            <v>KLINGER GARCIA</v>
          </cell>
          <cell r="U938" t="str">
            <v>CELEBRADO</v>
          </cell>
          <cell r="W938" t="str">
            <v>2025-0419</v>
          </cell>
          <cell r="X938" t="str">
            <v>2025-1526</v>
          </cell>
          <cell r="AJ938">
            <v>2</v>
          </cell>
          <cell r="AK938">
            <v>0</v>
          </cell>
          <cell r="AL938">
            <v>2</v>
          </cell>
          <cell r="AM938" t="str">
            <v>$14.190.000</v>
          </cell>
        </row>
        <row r="939">
          <cell r="A939" t="str">
            <v>938-2025</v>
          </cell>
          <cell r="B939" t="str">
            <v>PRESTACION DE SERVICIOS</v>
          </cell>
          <cell r="C939" t="str">
            <v>ANGIE CAROLINA YAQUENO CRIOLLO</v>
          </cell>
          <cell r="D939" t="str">
            <v>CC</v>
          </cell>
          <cell r="E939">
            <v>1081572042</v>
          </cell>
          <cell r="F939">
            <v>2</v>
          </cell>
          <cell r="G939" t="str">
            <v>CONTRATACION DIRECTA</v>
          </cell>
          <cell r="H939">
            <v>1</v>
          </cell>
          <cell r="I939"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39">
            <v>1</v>
          </cell>
          <cell r="K939" t="str">
            <v>$9.450.000</v>
          </cell>
          <cell r="L939">
            <v>45929</v>
          </cell>
          <cell r="M939">
            <v>46022</v>
          </cell>
          <cell r="N939" t="str">
            <v>RODRIGO DE JESUS VITERI MORENO</v>
          </cell>
          <cell r="O939">
            <v>98390119</v>
          </cell>
          <cell r="P939" t="str">
            <v>angiecarolinayaquenocriollo@gmail.com</v>
          </cell>
          <cell r="Q939">
            <v>45929</v>
          </cell>
          <cell r="R939" t="str">
            <v>ANDERSON MEJIA</v>
          </cell>
          <cell r="U939" t="str">
            <v>CELEBRADO</v>
          </cell>
          <cell r="W939" t="str">
            <v>2025-0419</v>
          </cell>
          <cell r="X939" t="str">
            <v>2025-1527</v>
          </cell>
          <cell r="AJ939">
            <v>2</v>
          </cell>
          <cell r="AK939">
            <v>0</v>
          </cell>
          <cell r="AL939">
            <v>2</v>
          </cell>
          <cell r="AM939" t="str">
            <v>$9.450.000</v>
          </cell>
        </row>
        <row r="940">
          <cell r="A940" t="str">
            <v>939-2025</v>
          </cell>
          <cell r="B940" t="str">
            <v>PRESTACION DE SERVICIOS</v>
          </cell>
          <cell r="C940" t="str">
            <v>MARIA ALEJANDRA DIAZ ORTEGA</v>
          </cell>
          <cell r="D940" t="str">
            <v>CC</v>
          </cell>
          <cell r="E940">
            <v>1086361622</v>
          </cell>
          <cell r="F940">
            <v>3</v>
          </cell>
          <cell r="G940" t="str">
            <v>CONTRATACION DIRECTA</v>
          </cell>
          <cell r="H940">
            <v>1</v>
          </cell>
          <cell r="I940"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0">
            <v>1</v>
          </cell>
          <cell r="K940" t="str">
            <v>$9.450.000</v>
          </cell>
          <cell r="L940">
            <v>45929</v>
          </cell>
          <cell r="M940">
            <v>46022</v>
          </cell>
          <cell r="N940" t="str">
            <v>RODRIGO DE JESUS VITERI MORENO</v>
          </cell>
          <cell r="O940">
            <v>98390119</v>
          </cell>
          <cell r="P940" t="str">
            <v>mariamiel674@gmail.com</v>
          </cell>
          <cell r="Q940">
            <v>45929</v>
          </cell>
          <cell r="R940" t="str">
            <v>ELIANA BENAVIDES</v>
          </cell>
          <cell r="U940" t="str">
            <v>CELEBRADO</v>
          </cell>
          <cell r="W940" t="str">
            <v>2025-0419</v>
          </cell>
          <cell r="X940" t="str">
            <v>2025-1528</v>
          </cell>
          <cell r="AJ940">
            <v>2</v>
          </cell>
          <cell r="AK940">
            <v>0</v>
          </cell>
          <cell r="AL940">
            <v>2</v>
          </cell>
          <cell r="AM940" t="str">
            <v>$9.450.000</v>
          </cell>
        </row>
        <row r="941">
          <cell r="A941" t="str">
            <v>940-2025</v>
          </cell>
          <cell r="B941" t="str">
            <v>SUMINISTROS</v>
          </cell>
          <cell r="C941" t="str">
            <v>BIOPLAST SAS.</v>
          </cell>
          <cell r="D941" t="str">
            <v>NIT</v>
          </cell>
          <cell r="E941">
            <v>830040574</v>
          </cell>
          <cell r="F941">
            <v>8</v>
          </cell>
          <cell r="G941" t="str">
            <v>CONTRATACION DIRECTA</v>
          </cell>
          <cell r="H941">
            <v>2</v>
          </cell>
          <cell r="I941" t="str">
            <v>El contratista se obliga al suministro del material médico quirúrgico en las cantidades establecidas en el anexo 1, el cual hace parte integral del contrato, Para la ESE Pasto Salud</v>
          </cell>
          <cell r="J941">
            <v>3</v>
          </cell>
          <cell r="K941" t="str">
            <v>$19.486.765,10</v>
          </cell>
          <cell r="L941">
            <v>45930</v>
          </cell>
          <cell r="M941">
            <v>46021</v>
          </cell>
          <cell r="N941" t="str">
            <v>NENA DEL CARMEN RAMIREZ RAMIREZ</v>
          </cell>
          <cell r="O941">
            <v>30732589</v>
          </cell>
          <cell r="P941" t="str">
            <v xml:space="preserve"> gerencia@bioplast.co.</v>
          </cell>
          <cell r="Q941">
            <v>45930</v>
          </cell>
          <cell r="R941" t="str">
            <v>ELIANA BENAVIDES</v>
          </cell>
          <cell r="U941" t="str">
            <v>CELEBRADO</v>
          </cell>
          <cell r="W941" t="str">
            <v>2025-0394</v>
          </cell>
          <cell r="X941" t="str">
            <v>2025-1529</v>
          </cell>
          <cell r="AJ941">
            <v>2</v>
          </cell>
          <cell r="AK941">
            <v>0</v>
          </cell>
          <cell r="AL941">
            <v>2</v>
          </cell>
          <cell r="AM941" t="str">
            <v>$19.486.765,10</v>
          </cell>
        </row>
        <row r="942">
          <cell r="A942" t="str">
            <v>941-2025</v>
          </cell>
          <cell r="B942" t="str">
            <v>PRESTACION DE SERVICIOS</v>
          </cell>
          <cell r="C942" t="str">
            <v>LESLYE NATHALIA VILLOTA OVIEDO</v>
          </cell>
          <cell r="D942" t="str">
            <v>CC</v>
          </cell>
          <cell r="E942">
            <v>1080041553</v>
          </cell>
          <cell r="F942">
            <v>9</v>
          </cell>
          <cell r="G942" t="str">
            <v>CONTRATACION DIRECTA</v>
          </cell>
          <cell r="H942">
            <v>1</v>
          </cell>
          <cell r="I942" t="str">
            <v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v>
          </cell>
          <cell r="J942">
            <v>1</v>
          </cell>
          <cell r="K942" t="str">
            <v>$11.025.000</v>
          </cell>
          <cell r="L942">
            <v>45930</v>
          </cell>
          <cell r="M942">
            <v>46022</v>
          </cell>
          <cell r="N942" t="str">
            <v>RODRIGO DE JESUS VITERI MORENO</v>
          </cell>
          <cell r="O942">
            <v>98390119</v>
          </cell>
          <cell r="P942" t="str">
            <v xml:space="preserve">leslynathalia200425@gmail.com </v>
          </cell>
          <cell r="Q942">
            <v>45930</v>
          </cell>
          <cell r="R942" t="str">
            <v>KLINGER GARCIA</v>
          </cell>
          <cell r="U942" t="str">
            <v>CELEBRADO</v>
          </cell>
          <cell r="W942" t="str">
            <v>2025-0419</v>
          </cell>
          <cell r="X942" t="str">
            <v>2025-1530</v>
          </cell>
          <cell r="AJ942">
            <v>2</v>
          </cell>
          <cell r="AK942">
            <v>0</v>
          </cell>
          <cell r="AL942">
            <v>2</v>
          </cell>
          <cell r="AM942" t="str">
            <v>$11.025.000</v>
          </cell>
        </row>
        <row r="943">
          <cell r="A943" t="str">
            <v>942-2025</v>
          </cell>
          <cell r="B943" t="str">
            <v>SUMINISTROS</v>
          </cell>
          <cell r="C943" t="str">
            <v xml:space="preserve"> ARPA MEDICAL S.A.S.</v>
          </cell>
          <cell r="D943" t="str">
            <v>NIT</v>
          </cell>
          <cell r="E943">
            <v>900879954</v>
          </cell>
          <cell r="F943">
            <v>9</v>
          </cell>
          <cell r="G943" t="str">
            <v>BIONEXO</v>
          </cell>
          <cell r="H943">
            <v>2</v>
          </cell>
          <cell r="I943" t="str">
            <v>El contratista se obliga al suministro del material médico quirúrgico en las cantidades establecidas en el anexo 1, el cual hace parte integral del contrato, Para la ESE Pasto Salud.</v>
          </cell>
          <cell r="J943">
            <v>3</v>
          </cell>
          <cell r="K943" t="str">
            <v>$17.889.527</v>
          </cell>
          <cell r="L943">
            <v>45930</v>
          </cell>
          <cell r="M943">
            <v>46022</v>
          </cell>
          <cell r="N943" t="str">
            <v>NENA DEL CARMEN RAMIREZ RAMIREZ</v>
          </cell>
          <cell r="O943">
            <v>30732589</v>
          </cell>
          <cell r="P943" t="str">
            <v xml:space="preserve"> servicioalcliente@arpamedical.com.co </v>
          </cell>
          <cell r="Q943">
            <v>45930</v>
          </cell>
          <cell r="R943" t="str">
            <v>CRISTINA ROSERO</v>
          </cell>
          <cell r="U943" t="str">
            <v>CELEBRADO</v>
          </cell>
          <cell r="W943" t="str">
            <v>2025-0394</v>
          </cell>
          <cell r="X943" t="str">
            <v>2025-1531</v>
          </cell>
          <cell r="AJ943">
            <v>2</v>
          </cell>
          <cell r="AK943">
            <v>0</v>
          </cell>
          <cell r="AL943">
            <v>2</v>
          </cell>
          <cell r="AM943" t="str">
            <v>$17.889.527</v>
          </cell>
        </row>
        <row r="944">
          <cell r="A944" t="str">
            <v>943-2025</v>
          </cell>
          <cell r="B944" t="str">
            <v>COMPRAVENTA</v>
          </cell>
          <cell r="C944" t="str">
            <v>FUERTES MEJIA MEDICAMENTOS Y DISPOSITIVOS MEDICOS S.A.S</v>
          </cell>
          <cell r="D944" t="str">
            <v>NIT</v>
          </cell>
          <cell r="E944">
            <v>901565478</v>
          </cell>
          <cell r="F944">
            <v>1</v>
          </cell>
          <cell r="G944" t="str">
            <v>CONTRATACION DIRECTA</v>
          </cell>
          <cell r="H944">
            <v>2</v>
          </cell>
          <cell r="I944" t="str">
            <v>El contratista se obliga a la compraventa del material médico quirúrgico en las cantidades establecidas en el anexo 1, el cual hace parte integral del contrato. Para la ESE Pasto Salud.</v>
          </cell>
          <cell r="J944">
            <v>3</v>
          </cell>
          <cell r="K944" t="str">
            <v>$1.736.316</v>
          </cell>
          <cell r="L944">
            <v>45930</v>
          </cell>
          <cell r="M944">
            <v>45961</v>
          </cell>
          <cell r="N944" t="str">
            <v>NENA DEL CARMEN RAMIREZ RAMIREZ</v>
          </cell>
          <cell r="O944">
            <v>30732589</v>
          </cell>
          <cell r="P944" t="str">
            <v xml:space="preserve">contabilidad@fuertesmejia.com.co </v>
          </cell>
          <cell r="Q944">
            <v>45930</v>
          </cell>
          <cell r="R944" t="str">
            <v>KLINGER GARCIA</v>
          </cell>
          <cell r="U944" t="str">
            <v>CELEBRADO</v>
          </cell>
          <cell r="W944" t="str">
            <v>2025-0368</v>
          </cell>
          <cell r="X944" t="str">
            <v>2025-1532</v>
          </cell>
          <cell r="AJ944">
            <v>2</v>
          </cell>
          <cell r="AK944">
            <v>0</v>
          </cell>
          <cell r="AL944">
            <v>2</v>
          </cell>
          <cell r="AM944" t="str">
            <v>$1.736.316</v>
          </cell>
        </row>
        <row r="945">
          <cell r="A945" t="str">
            <v>944-2025</v>
          </cell>
          <cell r="B945" t="str">
            <v>PRESTACION DE SERVICIOS</v>
          </cell>
          <cell r="C945" t="str">
            <v>FRANCO JESUS RODRIGUEZ ARAUJO</v>
          </cell>
          <cell r="D945" t="str">
            <v>CC</v>
          </cell>
          <cell r="E945">
            <v>12961407</v>
          </cell>
          <cell r="F945">
            <v>0</v>
          </cell>
          <cell r="G945" t="str">
            <v>CONTRATACION DIRECTA</v>
          </cell>
          <cell r="H945">
            <v>1</v>
          </cell>
          <cell r="I945" t="str">
            <v>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5">
            <v>1</v>
          </cell>
          <cell r="K945" t="str">
            <v>$23.400.000</v>
          </cell>
          <cell r="L945">
            <v>45930</v>
          </cell>
          <cell r="M945">
            <v>46022</v>
          </cell>
          <cell r="N945" t="str">
            <v>DEYANIRA BADOS DAZA</v>
          </cell>
          <cell r="O945">
            <v>59836926</v>
          </cell>
          <cell r="P945" t="str">
            <v>frajero1511@gmail.com</v>
          </cell>
          <cell r="Q945">
            <v>45930</v>
          </cell>
          <cell r="R945" t="str">
            <v>DIANA MORA</v>
          </cell>
          <cell r="U945" t="str">
            <v>CELEBRADO</v>
          </cell>
          <cell r="W945" t="str">
            <v>2025-0419</v>
          </cell>
          <cell r="X945" t="str">
            <v>2025-1533</v>
          </cell>
          <cell r="AJ945">
            <v>2</v>
          </cell>
          <cell r="AK945">
            <v>0</v>
          </cell>
          <cell r="AL945">
            <v>2</v>
          </cell>
          <cell r="AM945" t="str">
            <v>$23.400.000</v>
          </cell>
        </row>
        <row r="946">
          <cell r="A946" t="str">
            <v>945-2025</v>
          </cell>
          <cell r="B946" t="str">
            <v>PRESTACION DE SERVICIOS</v>
          </cell>
          <cell r="C946" t="str">
            <v>NATHALIA ESTEFANIA PANTOJA JACOME</v>
          </cell>
          <cell r="D946" t="str">
            <v>CC</v>
          </cell>
          <cell r="E946">
            <v>1193271485</v>
          </cell>
          <cell r="F946">
            <v>2</v>
          </cell>
          <cell r="G946" t="str">
            <v>CONTRATACION DIRECTA</v>
          </cell>
          <cell r="H946">
            <v>1</v>
          </cell>
          <cell r="I946"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6">
            <v>1</v>
          </cell>
          <cell r="K946" t="str">
            <v>$18.900.000</v>
          </cell>
          <cell r="L946">
            <v>45930</v>
          </cell>
          <cell r="M946">
            <v>46022</v>
          </cell>
          <cell r="N946" t="str">
            <v>RODRIGO DE JESUS VITERI MORENO</v>
          </cell>
          <cell r="O946">
            <v>98390119</v>
          </cell>
          <cell r="P946" t="str">
            <v>nathaliaes.pantojaj@gmail.com</v>
          </cell>
          <cell r="Q946">
            <v>45930</v>
          </cell>
          <cell r="R946" t="str">
            <v>DIANA MORA</v>
          </cell>
          <cell r="U946" t="str">
            <v>CELEBRADO</v>
          </cell>
          <cell r="W946" t="str">
            <v>2025-0419</v>
          </cell>
          <cell r="X946" t="str">
            <v>2025-1534</v>
          </cell>
          <cell r="AJ946">
            <v>2</v>
          </cell>
          <cell r="AK946">
            <v>0</v>
          </cell>
          <cell r="AL946">
            <v>2</v>
          </cell>
          <cell r="AM946" t="str">
            <v>$18.900.000</v>
          </cell>
        </row>
        <row r="947">
          <cell r="A947" t="str">
            <v>946-2025</v>
          </cell>
          <cell r="B947" t="str">
            <v>PRESTACION DE SERVICIOS</v>
          </cell>
          <cell r="C947" t="str">
            <v>INES MERCEDES LOPEZ TORRES</v>
          </cell>
          <cell r="D947" t="str">
            <v>CC</v>
          </cell>
          <cell r="E947">
            <v>59816986</v>
          </cell>
          <cell r="F947">
            <v>4</v>
          </cell>
          <cell r="G947" t="str">
            <v>CONTRATACION DIRECTA</v>
          </cell>
          <cell r="H947">
            <v>1</v>
          </cell>
          <cell r="I947"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7">
            <v>1</v>
          </cell>
          <cell r="K947" t="str">
            <v>$14.190.000</v>
          </cell>
          <cell r="L947">
            <v>45930</v>
          </cell>
          <cell r="M947">
            <v>46022</v>
          </cell>
          <cell r="N947" t="str">
            <v>RODRIGO DE JESUS VITERI MORENO</v>
          </cell>
          <cell r="O947">
            <v>98390119</v>
          </cell>
          <cell r="P947" t="str">
            <v xml:space="preserve"> inesmercedestorres@yahoo.es</v>
          </cell>
          <cell r="Q947">
            <v>45930</v>
          </cell>
          <cell r="R947" t="str">
            <v>NATHALIA PORTILLA</v>
          </cell>
          <cell r="U947" t="str">
            <v>CELEBRADO</v>
          </cell>
          <cell r="W947" t="str">
            <v>2025-0419</v>
          </cell>
          <cell r="X947" t="str">
            <v>2025-1535</v>
          </cell>
          <cell r="AJ947">
            <v>2</v>
          </cell>
          <cell r="AK947">
            <v>0</v>
          </cell>
          <cell r="AL947">
            <v>2</v>
          </cell>
          <cell r="AM947" t="str">
            <v>$14.190.000</v>
          </cell>
        </row>
        <row r="948">
          <cell r="A948" t="str">
            <v>947-2025</v>
          </cell>
          <cell r="B948" t="str">
            <v>PRESTACION DE SERVICIOS</v>
          </cell>
          <cell r="C948" t="str">
            <v>KAREN JULIANA ERAZO JURADO</v>
          </cell>
          <cell r="D948" t="str">
            <v>CC</v>
          </cell>
          <cell r="E948">
            <v>1193035720</v>
          </cell>
          <cell r="F948">
            <v>8</v>
          </cell>
          <cell r="G948" t="str">
            <v>CONTRATACION DIRECTA</v>
          </cell>
          <cell r="H948">
            <v>1</v>
          </cell>
          <cell r="I948"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8">
            <v>1</v>
          </cell>
          <cell r="K948" t="str">
            <v>$9.450.000</v>
          </cell>
          <cell r="L948">
            <v>45930</v>
          </cell>
          <cell r="M948">
            <v>46022</v>
          </cell>
          <cell r="N948" t="str">
            <v>MARY ALEXANDRA ROSERO BENAVIDES</v>
          </cell>
          <cell r="O948">
            <v>43624414</v>
          </cell>
          <cell r="P948" t="str">
            <v>kakinerazo2001@gmail.com</v>
          </cell>
          <cell r="Q948">
            <v>45930</v>
          </cell>
          <cell r="R948" t="str">
            <v>ANDERSON MEJIA</v>
          </cell>
          <cell r="U948" t="str">
            <v>CELEBRADO</v>
          </cell>
          <cell r="W948" t="str">
            <v>2025-0419</v>
          </cell>
          <cell r="X948" t="str">
            <v>2025-1536</v>
          </cell>
          <cell r="AJ948">
            <v>2</v>
          </cell>
          <cell r="AK948">
            <v>0</v>
          </cell>
          <cell r="AL948">
            <v>2</v>
          </cell>
          <cell r="AM948" t="str">
            <v>$9.450.000</v>
          </cell>
        </row>
        <row r="949">
          <cell r="A949" t="str">
            <v>948-2025</v>
          </cell>
          <cell r="B949" t="str">
            <v>PRESTACION DE SERVICIOS</v>
          </cell>
          <cell r="C949" t="str">
            <v>CAROL SILVANA PATIÑO VALENCIA</v>
          </cell>
          <cell r="D949" t="str">
            <v>CC</v>
          </cell>
          <cell r="E949">
            <v>1085313870</v>
          </cell>
          <cell r="F949">
            <v>2</v>
          </cell>
          <cell r="G949" t="str">
            <v>CONTRATACION DIRECTA</v>
          </cell>
          <cell r="H949">
            <v>1</v>
          </cell>
          <cell r="I949"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49">
            <v>1</v>
          </cell>
          <cell r="K949" t="str">
            <v>$14.190.000</v>
          </cell>
          <cell r="L949">
            <v>45930</v>
          </cell>
          <cell r="M949">
            <v>46022</v>
          </cell>
          <cell r="N949" t="str">
            <v>MARY ALEXANDRA ROSERO BENAVIDES</v>
          </cell>
          <cell r="O949">
            <v>43624414</v>
          </cell>
          <cell r="P949" t="str">
            <v>carolasilvana94@gmail.com</v>
          </cell>
          <cell r="Q949">
            <v>45930</v>
          </cell>
          <cell r="R949" t="str">
            <v>NATHALIA PORTILLA</v>
          </cell>
          <cell r="U949" t="str">
            <v>CELEBRADO</v>
          </cell>
          <cell r="W949" t="str">
            <v>2025-0419</v>
          </cell>
          <cell r="X949" t="str">
            <v>2025-1537</v>
          </cell>
          <cell r="AJ949">
            <v>2</v>
          </cell>
          <cell r="AK949">
            <v>0</v>
          </cell>
          <cell r="AL949">
            <v>2</v>
          </cell>
          <cell r="AM949" t="str">
            <v>$14.190.000</v>
          </cell>
        </row>
        <row r="950">
          <cell r="A950" t="str">
            <v>949-2025</v>
          </cell>
          <cell r="B950" t="str">
            <v>PRESTACION DE SERVICIOS</v>
          </cell>
          <cell r="C950" t="str">
            <v>LILIANA MAYER BOTINA CRIOLLO</v>
          </cell>
          <cell r="D950" t="str">
            <v>CC</v>
          </cell>
          <cell r="E950">
            <v>1085253062</v>
          </cell>
          <cell r="F950">
            <v>2</v>
          </cell>
          <cell r="G950" t="str">
            <v>CONTRATACION DIRECTA</v>
          </cell>
          <cell r="H950">
            <v>1</v>
          </cell>
          <cell r="I950"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0">
            <v>1</v>
          </cell>
          <cell r="K950" t="str">
            <v>$18.900.000</v>
          </cell>
          <cell r="L950">
            <v>45930</v>
          </cell>
          <cell r="M950">
            <v>46022</v>
          </cell>
          <cell r="N950" t="str">
            <v>RODRIGO DE JESUS VITERI MORENO</v>
          </cell>
          <cell r="O950">
            <v>98390119</v>
          </cell>
          <cell r="P950" t="str">
            <v xml:space="preserve">libotina16@hotmail.com </v>
          </cell>
          <cell r="Q950">
            <v>45930</v>
          </cell>
          <cell r="R950" t="str">
            <v>NATHALIA PORTILLA</v>
          </cell>
          <cell r="U950" t="str">
            <v>CELEBRADO</v>
          </cell>
          <cell r="W950" t="str">
            <v>2025-0419</v>
          </cell>
          <cell r="X950" t="str">
            <v>2025-1538</v>
          </cell>
          <cell r="AJ950">
            <v>2</v>
          </cell>
          <cell r="AK950">
            <v>0</v>
          </cell>
          <cell r="AL950">
            <v>2</v>
          </cell>
          <cell r="AM950" t="str">
            <v>$18.900.000</v>
          </cell>
        </row>
        <row r="951">
          <cell r="A951" t="str">
            <v>950-2025</v>
          </cell>
          <cell r="B951" t="str">
            <v>PRESTACION DE SERVICIOS</v>
          </cell>
          <cell r="C951" t="str">
            <v>CHRISTIAN ANDRES SALAZAR YANDAR</v>
          </cell>
          <cell r="D951" t="str">
            <v>CC</v>
          </cell>
          <cell r="E951">
            <v>1085310606</v>
          </cell>
          <cell r="F951">
            <v>3</v>
          </cell>
          <cell r="G951" t="str">
            <v>CONTRATACION DIRECTA</v>
          </cell>
          <cell r="H951">
            <v>1</v>
          </cell>
          <cell r="I951" t="str">
            <v>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1">
            <v>1</v>
          </cell>
          <cell r="K951" t="str">
            <v>$9.450.000</v>
          </cell>
          <cell r="L951">
            <v>45930</v>
          </cell>
          <cell r="M951">
            <v>46022</v>
          </cell>
          <cell r="N951" t="str">
            <v>RODRIGO DE JESUS VITERI MORENO</v>
          </cell>
          <cell r="O951">
            <v>98390119</v>
          </cell>
          <cell r="P951" t="str">
            <v>christians2294@gmail.com</v>
          </cell>
          <cell r="Q951">
            <v>45930</v>
          </cell>
          <cell r="R951" t="str">
            <v>ANDERSON MEJIA</v>
          </cell>
          <cell r="U951" t="str">
            <v>CELEBRADO</v>
          </cell>
          <cell r="W951" t="str">
            <v>2025-0419</v>
          </cell>
          <cell r="X951" t="str">
            <v>2025-1540</v>
          </cell>
          <cell r="AJ951">
            <v>2</v>
          </cell>
          <cell r="AK951">
            <v>0</v>
          </cell>
          <cell r="AL951">
            <v>2</v>
          </cell>
          <cell r="AM951" t="str">
            <v>$9.450.000</v>
          </cell>
        </row>
        <row r="952">
          <cell r="A952" t="str">
            <v>951-2025</v>
          </cell>
          <cell r="B952" t="str">
            <v>PRESTACION DE SERVICIOS</v>
          </cell>
          <cell r="C952" t="str">
            <v>ANA VIVIANA BENAVIDES MORENO</v>
          </cell>
          <cell r="D952" t="str">
            <v>CC</v>
          </cell>
          <cell r="E952">
            <v>37085864</v>
          </cell>
          <cell r="F952">
            <v>6</v>
          </cell>
          <cell r="G952" t="str">
            <v>CONTRATACION DIRECTA</v>
          </cell>
          <cell r="H952">
            <v>1</v>
          </cell>
          <cell r="I952" t="str">
            <v>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2">
            <v>1</v>
          </cell>
          <cell r="K952" t="str">
            <v>$18.900.000</v>
          </cell>
          <cell r="L952">
            <v>45930</v>
          </cell>
          <cell r="M952">
            <v>46022</v>
          </cell>
          <cell r="N952" t="str">
            <v>DEYANIRA BADOS DAZA</v>
          </cell>
          <cell r="O952">
            <v>59836926</v>
          </cell>
          <cell r="P952" t="str">
            <v xml:space="preserve"> viviana8466@hotmail.com</v>
          </cell>
          <cell r="Q952">
            <v>45930</v>
          </cell>
          <cell r="R952" t="str">
            <v>NATHALIA PORTILLA</v>
          </cell>
          <cell r="U952" t="str">
            <v>CELEBRADO</v>
          </cell>
          <cell r="W952" t="str">
            <v>2025-0419</v>
          </cell>
          <cell r="X952" t="str">
            <v>2025-1541</v>
          </cell>
          <cell r="AJ952">
            <v>2</v>
          </cell>
          <cell r="AK952">
            <v>0</v>
          </cell>
          <cell r="AL952">
            <v>2</v>
          </cell>
          <cell r="AM952" t="str">
            <v>$18.900.000</v>
          </cell>
        </row>
        <row r="953">
          <cell r="A953" t="str">
            <v>952-2025</v>
          </cell>
          <cell r="B953" t="str">
            <v>PRESTACION DE SERVICIOS</v>
          </cell>
          <cell r="C953" t="str">
            <v>ANDREA CATALINA CUASTUMAL ESCOBAR</v>
          </cell>
          <cell r="D953" t="str">
            <v>CC</v>
          </cell>
          <cell r="E953">
            <v>1081053820</v>
          </cell>
          <cell r="F953">
            <v>6</v>
          </cell>
          <cell r="G953" t="str">
            <v>CONTRATACION DIRECTA</v>
          </cell>
          <cell r="H953">
            <v>1</v>
          </cell>
          <cell r="I953" t="str">
            <v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953">
            <v>1</v>
          </cell>
          <cell r="K953" t="str">
            <v>$11.025.000</v>
          </cell>
          <cell r="L953">
            <v>45930</v>
          </cell>
          <cell r="M953">
            <v>46022</v>
          </cell>
          <cell r="N953" t="str">
            <v>RIGOBERTO MELO ZAMBRANO</v>
          </cell>
          <cell r="O953">
            <v>98333941</v>
          </cell>
          <cell r="P953" t="str">
            <v>acustamal1081@gmail.com</v>
          </cell>
          <cell r="Q953">
            <v>45930</v>
          </cell>
          <cell r="R953" t="str">
            <v>KLINGER GARCIA</v>
          </cell>
          <cell r="U953" t="str">
            <v>CELEBRADO</v>
          </cell>
          <cell r="W953" t="str">
            <v>2025-0419</v>
          </cell>
          <cell r="X953" t="str">
            <v>2025-1542</v>
          </cell>
          <cell r="AJ953">
            <v>2</v>
          </cell>
          <cell r="AK953">
            <v>0</v>
          </cell>
          <cell r="AL953">
            <v>2</v>
          </cell>
          <cell r="AM953" t="str">
            <v>$11.025.000</v>
          </cell>
        </row>
        <row r="954">
          <cell r="A954" t="str">
            <v>953-2025</v>
          </cell>
          <cell r="B954" t="str">
            <v>PRESTACION DE SERVICIOS</v>
          </cell>
          <cell r="C954" t="str">
            <v>MARYBELL LUCIA BENITEZ ROSERO</v>
          </cell>
          <cell r="D954" t="str">
            <v>CC</v>
          </cell>
          <cell r="E954">
            <v>27105277</v>
          </cell>
          <cell r="F954">
            <v>3</v>
          </cell>
          <cell r="G954" t="str">
            <v>CONTRATACION DIRECTA</v>
          </cell>
          <cell r="H954">
            <v>1</v>
          </cell>
          <cell r="I954"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4">
            <v>1</v>
          </cell>
          <cell r="K954" t="str">
            <v>$14.190.000</v>
          </cell>
          <cell r="L954">
            <v>45930</v>
          </cell>
          <cell r="M954">
            <v>46022</v>
          </cell>
          <cell r="N954" t="str">
            <v>DEYANIRA BADOS DAZA</v>
          </cell>
          <cell r="O954">
            <v>59836926</v>
          </cell>
          <cell r="P954" t="str">
            <v xml:space="preserve"> asobmarilu@gmail.com</v>
          </cell>
          <cell r="Q954">
            <v>45930</v>
          </cell>
          <cell r="R954" t="str">
            <v>NATHALIA PORTILLA</v>
          </cell>
          <cell r="U954" t="str">
            <v>CELEBRADO</v>
          </cell>
          <cell r="W954" t="str">
            <v>2025-0419</v>
          </cell>
          <cell r="X954" t="str">
            <v>2025-1543</v>
          </cell>
          <cell r="AJ954">
            <v>2</v>
          </cell>
          <cell r="AK954">
            <v>0</v>
          </cell>
          <cell r="AL954">
            <v>2</v>
          </cell>
          <cell r="AM954" t="str">
            <v>$14.190.000</v>
          </cell>
        </row>
        <row r="955">
          <cell r="A955" t="str">
            <v>954-2025</v>
          </cell>
          <cell r="B955" t="str">
            <v>PRESTACION DE SERVICIOS</v>
          </cell>
          <cell r="C955" t="str">
            <v xml:space="preserve"> LA MUELA SAS</v>
          </cell>
          <cell r="D955" t="str">
            <v>NIT</v>
          </cell>
          <cell r="E955">
            <v>804009440</v>
          </cell>
          <cell r="F955">
            <v>5</v>
          </cell>
          <cell r="G955" t="str">
            <v>CONTRATACION DIRECTA</v>
          </cell>
          <cell r="H955">
            <v>2</v>
          </cell>
          <cell r="I955" t="str">
            <v>PRESTAR ELSERVICIO DE MANTENIMIENT NTO CORREORECTIVO ESPECIALALIZADO DE LA AUTOCLAVE TIPO B DEL SERVICIO DE ESTERILIZACION  DEL HOSPITAL CIVIL.</v>
          </cell>
          <cell r="J955">
            <v>1</v>
          </cell>
          <cell r="K955" t="str">
            <v>$6.457.380</v>
          </cell>
          <cell r="L955">
            <v>45931</v>
          </cell>
          <cell r="M955">
            <v>45945</v>
          </cell>
          <cell r="N955" t="str">
            <v xml:space="preserve">	MARIO FERNADO NARANJO LOPEZ</v>
          </cell>
          <cell r="O955">
            <v>1004189613</v>
          </cell>
          <cell r="P955" t="str">
            <v>contabilidad@lamuela.com.co</v>
          </cell>
          <cell r="Q955">
            <v>45931</v>
          </cell>
          <cell r="R955" t="str">
            <v>ELIANA BENAVIDES</v>
          </cell>
          <cell r="U955" t="str">
            <v>CELEBRADO</v>
          </cell>
          <cell r="W955" t="str">
            <v>2025-0406</v>
          </cell>
          <cell r="X955" t="str">
            <v>2025-1544</v>
          </cell>
          <cell r="AJ955">
            <v>2</v>
          </cell>
          <cell r="AK955">
            <v>0</v>
          </cell>
          <cell r="AL955">
            <v>2</v>
          </cell>
          <cell r="AM955" t="str">
            <v>$6.457.380</v>
          </cell>
        </row>
        <row r="956">
          <cell r="A956" t="str">
            <v>955-2025</v>
          </cell>
          <cell r="B956" t="str">
            <v>PRESTACION DE SERVICIOS</v>
          </cell>
          <cell r="C956" t="str">
            <v>BRENDA MICAELA PUENTE GONZALEZ</v>
          </cell>
          <cell r="D956" t="str">
            <v>CC</v>
          </cell>
          <cell r="E956">
            <v>1085298800</v>
          </cell>
          <cell r="F956">
            <v>5</v>
          </cell>
          <cell r="G956" t="str">
            <v>CONTRATACION DIRECTA</v>
          </cell>
          <cell r="H956">
            <v>1</v>
          </cell>
          <cell r="I956" t="str">
            <v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v>
          </cell>
          <cell r="J956">
            <v>1</v>
          </cell>
          <cell r="K956" t="str">
            <v>$23.400.000</v>
          </cell>
          <cell r="L956">
            <v>45931</v>
          </cell>
          <cell r="M956">
            <v>46022</v>
          </cell>
          <cell r="N956" t="str">
            <v>RODRIGO DE JESUS VITERI MORENO</v>
          </cell>
          <cell r="O956">
            <v>98390119</v>
          </cell>
          <cell r="P956" t="str">
            <v xml:space="preserve"> doctorapuentegonzalez@gmail.com</v>
          </cell>
          <cell r="Q956">
            <v>45931</v>
          </cell>
          <cell r="R956" t="str">
            <v>CRISTINA ROSERO</v>
          </cell>
          <cell r="U956" t="str">
            <v>CELEBRADO</v>
          </cell>
          <cell r="W956" t="str">
            <v>2025-0419</v>
          </cell>
          <cell r="X956" t="str">
            <v>2025-1545</v>
          </cell>
          <cell r="AJ956">
            <v>2</v>
          </cell>
          <cell r="AK956">
            <v>0</v>
          </cell>
          <cell r="AL956">
            <v>2</v>
          </cell>
          <cell r="AM956" t="str">
            <v>$23.400.000</v>
          </cell>
        </row>
        <row r="957">
          <cell r="A957" t="str">
            <v>956-2025</v>
          </cell>
          <cell r="B957" t="str">
            <v>COMPRAVENTA</v>
          </cell>
          <cell r="C957" t="str">
            <v>COMERCIALIZADORA
VALANTY S.A.S.,</v>
          </cell>
          <cell r="D957" t="str">
            <v>NIT</v>
          </cell>
          <cell r="E957">
            <v>900791264</v>
          </cell>
          <cell r="F957">
            <v>5</v>
          </cell>
          <cell r="G957" t="str">
            <v>CONTRATACION DIRECTA</v>
          </cell>
          <cell r="H957">
            <v>2</v>
          </cell>
          <cell r="I957" t="str">
            <v>Compra venta de mobiliario para dotar la sede administrativa especialmente con sillas ergonómicas tipo gerencial, escritorio en L, sillas plásticas para auditorios, carretilla y carro de mano para archivo, y otro mobiliario para las otras 22 sedes de la Empresa Social del Estado PASTO SALUD ESE.</v>
          </cell>
          <cell r="J957">
            <v>1</v>
          </cell>
          <cell r="K957" t="str">
            <v>$34.406.181</v>
          </cell>
          <cell r="L957">
            <v>45931</v>
          </cell>
          <cell r="M957">
            <v>45961</v>
          </cell>
          <cell r="N957" t="str">
            <v xml:space="preserve">	STEFANYA RAMIREZ LOPERA</v>
          </cell>
          <cell r="O957">
            <v>111247705</v>
          </cell>
          <cell r="P957" t="str">
            <v>valantysas@hotmail.com</v>
          </cell>
          <cell r="Q957">
            <v>45931</v>
          </cell>
          <cell r="R957" t="str">
            <v>RODRIGO  ROSERO</v>
          </cell>
          <cell r="U957" t="str">
            <v>CELEBRADO</v>
          </cell>
          <cell r="W957" t="str">
            <v>2025-0398</v>
          </cell>
          <cell r="X957" t="str">
            <v>2025-1546</v>
          </cell>
          <cell r="AJ957">
            <v>2</v>
          </cell>
          <cell r="AK957">
            <v>0</v>
          </cell>
          <cell r="AL957">
            <v>2</v>
          </cell>
          <cell r="AM957" t="str">
            <v>$34.406.181</v>
          </cell>
        </row>
        <row r="958">
          <cell r="A958" t="str">
            <v>957-2025</v>
          </cell>
          <cell r="B958" t="str">
            <v>PRESTACION DE SERVICIOS</v>
          </cell>
          <cell r="C958" t="str">
            <v>WEIMAR ARMANDO LOPEZ DELGADO</v>
          </cell>
          <cell r="D958" t="str">
            <v>CC</v>
          </cell>
          <cell r="E958">
            <v>1004217101</v>
          </cell>
          <cell r="F958">
            <v>4</v>
          </cell>
          <cell r="G958" t="str">
            <v>CONTRATACION DIRECTA</v>
          </cell>
          <cell r="H958">
            <v>1</v>
          </cell>
          <cell r="I958" t="str">
            <v>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8">
            <v>1</v>
          </cell>
          <cell r="K958" t="str">
            <v>$9.450.000</v>
          </cell>
          <cell r="L958">
            <v>45931</v>
          </cell>
          <cell r="M958">
            <v>46022</v>
          </cell>
          <cell r="N958" t="str">
            <v>RODRIGO DE JESUS VITERI MORENO</v>
          </cell>
          <cell r="O958">
            <v>98390119</v>
          </cell>
          <cell r="P958" t="str">
            <v>weimarlopezdelgado@gmail.com</v>
          </cell>
          <cell r="Q958">
            <v>45931</v>
          </cell>
          <cell r="R958" t="str">
            <v>NATHALIA PORTILLA</v>
          </cell>
          <cell r="U958" t="str">
            <v>CELEBRADO</v>
          </cell>
          <cell r="W958" t="str">
            <v>2025-0419</v>
          </cell>
          <cell r="X958" t="str">
            <v>2025-1547</v>
          </cell>
          <cell r="AJ958">
            <v>2</v>
          </cell>
          <cell r="AK958">
            <v>0</v>
          </cell>
          <cell r="AL958">
            <v>2</v>
          </cell>
          <cell r="AM958" t="str">
            <v>$9.450.000</v>
          </cell>
        </row>
        <row r="959">
          <cell r="A959" t="str">
            <v>958-2025</v>
          </cell>
          <cell r="B959" t="str">
            <v>PRESTACION DE SERVICIOS</v>
          </cell>
          <cell r="C959" t="str">
            <v>MARIA EUGENIA ESTRADA ZAMBRANO</v>
          </cell>
          <cell r="D959" t="str">
            <v>CC</v>
          </cell>
          <cell r="E959">
            <v>36861874</v>
          </cell>
          <cell r="F959">
            <v>5</v>
          </cell>
          <cell r="G959" t="str">
            <v>CONTRATACION DIRECTA</v>
          </cell>
          <cell r="H959">
            <v>1</v>
          </cell>
          <cell r="I959"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59">
            <v>1</v>
          </cell>
          <cell r="K959" t="str">
            <v>$9.450.000</v>
          </cell>
          <cell r="L959">
            <v>45931</v>
          </cell>
          <cell r="M959">
            <v>46022</v>
          </cell>
          <cell r="N959" t="str">
            <v>RODRIGO DE JESUS VITERI MORENO</v>
          </cell>
          <cell r="O959">
            <v>98390119</v>
          </cell>
          <cell r="P959" t="str">
            <v>mariaeszam2010@gmail.com</v>
          </cell>
          <cell r="Q959">
            <v>45931</v>
          </cell>
          <cell r="R959" t="str">
            <v>JUAN GOMEZ</v>
          </cell>
          <cell r="U959" t="str">
            <v>CELEBRADO</v>
          </cell>
          <cell r="W959" t="str">
            <v>2025-0419</v>
          </cell>
          <cell r="X959" t="str">
            <v>2025-1548</v>
          </cell>
          <cell r="AJ959">
            <v>2</v>
          </cell>
          <cell r="AK959">
            <v>0</v>
          </cell>
          <cell r="AL959">
            <v>2</v>
          </cell>
          <cell r="AM959" t="str">
            <v>$9.450.000</v>
          </cell>
        </row>
        <row r="960">
          <cell r="A960" t="str">
            <v>959-2025</v>
          </cell>
          <cell r="B960" t="str">
            <v>PRESTACION DE SERVICIOS</v>
          </cell>
          <cell r="C960" t="str">
            <v>SANDRA PATRICIA MALLAMA BOTINA</v>
          </cell>
          <cell r="D960" t="str">
            <v>CC</v>
          </cell>
          <cell r="E960">
            <v>1085275400</v>
          </cell>
          <cell r="F960">
            <v>0</v>
          </cell>
          <cell r="G960" t="str">
            <v>CONTRATACION DIRECTA</v>
          </cell>
          <cell r="H960">
            <v>1</v>
          </cell>
          <cell r="I960"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0">
            <v>1</v>
          </cell>
          <cell r="K960" t="str">
            <v>$9.450.000</v>
          </cell>
          <cell r="L960">
            <v>45931</v>
          </cell>
          <cell r="M960">
            <v>46022</v>
          </cell>
          <cell r="N960" t="str">
            <v>MARY ALEXANDRA ROSERO BENAVIDES</v>
          </cell>
          <cell r="O960">
            <v>43624414</v>
          </cell>
          <cell r="P960" t="str">
            <v>edmallama@gmail.com</v>
          </cell>
          <cell r="Q960">
            <v>45931</v>
          </cell>
          <cell r="R960" t="str">
            <v>JUAN GOMEZ</v>
          </cell>
          <cell r="U960" t="str">
            <v>CELEBRADO</v>
          </cell>
          <cell r="W960" t="str">
            <v>2025-0419</v>
          </cell>
          <cell r="X960" t="str">
            <v>2025-1549</v>
          </cell>
          <cell r="AJ960">
            <v>2</v>
          </cell>
          <cell r="AK960">
            <v>0</v>
          </cell>
          <cell r="AL960">
            <v>2</v>
          </cell>
          <cell r="AM960" t="str">
            <v>$9.450.000</v>
          </cell>
        </row>
        <row r="961">
          <cell r="A961" t="str">
            <v>960-2025</v>
          </cell>
          <cell r="B961" t="str">
            <v>PRESTACION DE SERVICIOS</v>
          </cell>
          <cell r="C961" t="str">
            <v>ADRIANA YESENIA BOTINA GUACAS</v>
          </cell>
          <cell r="D961" t="str">
            <v>CC</v>
          </cell>
          <cell r="E961">
            <v>1085304308</v>
          </cell>
          <cell r="F961">
            <v>9</v>
          </cell>
          <cell r="G961" t="str">
            <v>CONTRATACION DIRECTA</v>
          </cell>
          <cell r="H961">
            <v>1</v>
          </cell>
          <cell r="I961"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1">
            <v>1</v>
          </cell>
          <cell r="K961" t="str">
            <v>$9.450.000</v>
          </cell>
          <cell r="L961">
            <v>45931</v>
          </cell>
          <cell r="M961">
            <v>46022</v>
          </cell>
          <cell r="N961" t="str">
            <v>RIGOBERTO MELO ZAMBRANO</v>
          </cell>
          <cell r="O961">
            <v>98333941</v>
          </cell>
          <cell r="P961" t="str">
            <v>yesenia23adriana28@gmail.co.</v>
          </cell>
          <cell r="Q961">
            <v>45931</v>
          </cell>
          <cell r="R961" t="str">
            <v>ELIANA BENAVIDES</v>
          </cell>
          <cell r="U961" t="str">
            <v>CELEBRADO</v>
          </cell>
          <cell r="W961" t="str">
            <v>2025-0419</v>
          </cell>
          <cell r="X961" t="str">
            <v>2025-1553</v>
          </cell>
          <cell r="AJ961">
            <v>2</v>
          </cell>
          <cell r="AK961">
            <v>0</v>
          </cell>
          <cell r="AL961">
            <v>2</v>
          </cell>
          <cell r="AM961" t="str">
            <v>$9.450.000</v>
          </cell>
        </row>
        <row r="962">
          <cell r="A962" t="str">
            <v>961-2025</v>
          </cell>
          <cell r="B962" t="str">
            <v>PRESTACION DE SERVICIOS</v>
          </cell>
          <cell r="C962" t="str">
            <v>MARIA ALEJANDRA OBANDO MELO</v>
          </cell>
          <cell r="D962" t="str">
            <v>CC</v>
          </cell>
          <cell r="E962">
            <v>36757300</v>
          </cell>
          <cell r="F962">
            <v>5</v>
          </cell>
          <cell r="G962" t="str">
            <v>CONTRATACION DIRECTA</v>
          </cell>
          <cell r="H962">
            <v>1</v>
          </cell>
          <cell r="I962" t="str">
            <v>Prestación de servicios profesionales como INGENIERO AMBIENTAL en la Empresa Social del Estado Pasto Salud E.S.E., para apoyar al equipo de Infraestructura, verificación, control y comprobación en campo del cumplimiento de las actividades del mantenimiento de la infraestructura hospitalaria.</v>
          </cell>
          <cell r="J962">
            <v>1</v>
          </cell>
          <cell r="K962" t="str">
            <v>$11.030.799</v>
          </cell>
          <cell r="L962">
            <v>45931</v>
          </cell>
          <cell r="M962">
            <v>46022</v>
          </cell>
          <cell r="N962" t="str">
            <v>GIOVANNY FELIPE FREYRE ROMO</v>
          </cell>
          <cell r="O962">
            <v>1085294867</v>
          </cell>
          <cell r="P962" t="str">
            <v xml:space="preserve"> mariamelo8103@gmail.com</v>
          </cell>
          <cell r="Q962">
            <v>45931</v>
          </cell>
          <cell r="R962" t="str">
            <v>JUAN GOMEZ</v>
          </cell>
          <cell r="U962" t="str">
            <v>CELEBRADO</v>
          </cell>
          <cell r="W962" t="str">
            <v>2025-0516</v>
          </cell>
          <cell r="X962" t="str">
            <v>2025-1554</v>
          </cell>
          <cell r="AJ962">
            <v>2</v>
          </cell>
          <cell r="AK962">
            <v>0</v>
          </cell>
          <cell r="AL962">
            <v>2</v>
          </cell>
          <cell r="AM962" t="str">
            <v>$11.030.799</v>
          </cell>
        </row>
        <row r="963">
          <cell r="A963" t="str">
            <v>962-2025</v>
          </cell>
          <cell r="B963" t="str">
            <v>PRESTACION DE SERVICIOS</v>
          </cell>
          <cell r="C963" t="str">
            <v>JONATAN RICARDO
ORTEGA ORTEGA</v>
          </cell>
          <cell r="D963" t="str">
            <v>CC</v>
          </cell>
          <cell r="E963">
            <v>1233188033</v>
          </cell>
          <cell r="F963">
            <v>7</v>
          </cell>
          <cell r="G963" t="str">
            <v>CONTRATACION DIRECTA</v>
          </cell>
          <cell r="H963">
            <v>1</v>
          </cell>
          <cell r="I963" t="str">
            <v>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v>
          </cell>
          <cell r="J963">
            <v>1</v>
          </cell>
          <cell r="K963" t="str">
            <v>$14.190.000</v>
          </cell>
          <cell r="L963">
            <v>45931</v>
          </cell>
          <cell r="M963">
            <v>46022</v>
          </cell>
          <cell r="N963" t="str">
            <v>RODRIGO DE JESUS VITERI MORENO</v>
          </cell>
          <cell r="O963">
            <v>98390119</v>
          </cell>
          <cell r="P963" t="str">
            <v>jonaricardoor6@gmail.com</v>
          </cell>
          <cell r="Q963">
            <v>45931</v>
          </cell>
          <cell r="R963" t="str">
            <v>DIANA MORA</v>
          </cell>
          <cell r="U963" t="str">
            <v>CELEBRADO</v>
          </cell>
          <cell r="W963" t="str">
            <v>2025-0419</v>
          </cell>
          <cell r="X963" t="str">
            <v>2025-1555</v>
          </cell>
          <cell r="AJ963">
            <v>2</v>
          </cell>
          <cell r="AK963">
            <v>0</v>
          </cell>
          <cell r="AL963">
            <v>2</v>
          </cell>
          <cell r="AM963" t="str">
            <v>$14.190.000</v>
          </cell>
        </row>
        <row r="964">
          <cell r="A964" t="str">
            <v>963-2025</v>
          </cell>
          <cell r="B964" t="str">
            <v>PRESTACION DE SERVICIOS</v>
          </cell>
          <cell r="C964" t="str">
            <v>IBONNE ALEJANDRA SILVA ARAUJO</v>
          </cell>
          <cell r="D964" t="str">
            <v>CC</v>
          </cell>
          <cell r="E964">
            <v>1004592366</v>
          </cell>
          <cell r="F964">
            <v>5</v>
          </cell>
          <cell r="G964" t="str">
            <v>CONTRATACION DIRECTA</v>
          </cell>
          <cell r="H964">
            <v>1</v>
          </cell>
          <cell r="I964"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4">
            <v>1</v>
          </cell>
          <cell r="K964" t="str">
            <v>$9.450.000</v>
          </cell>
          <cell r="L964">
            <v>45931</v>
          </cell>
          <cell r="M964">
            <v>46022</v>
          </cell>
          <cell r="N964" t="str">
            <v>RODRIGO DE JESUS VITERI MORENO</v>
          </cell>
          <cell r="O964">
            <v>98390119</v>
          </cell>
          <cell r="P964" t="str">
            <v>alejandrasilva12032023@gmail.com</v>
          </cell>
          <cell r="Q964">
            <v>45931</v>
          </cell>
          <cell r="R964" t="str">
            <v>JUAN GOMEZ</v>
          </cell>
          <cell r="U964" t="str">
            <v>CELEBRADO</v>
          </cell>
          <cell r="W964" t="str">
            <v>2025-0419</v>
          </cell>
          <cell r="X964" t="str">
            <v>2025-1556</v>
          </cell>
          <cell r="AJ964">
            <v>2</v>
          </cell>
          <cell r="AK964">
            <v>0</v>
          </cell>
          <cell r="AL964">
            <v>2</v>
          </cell>
          <cell r="AM964" t="str">
            <v>$9.450.000</v>
          </cell>
        </row>
        <row r="965">
          <cell r="A965" t="str">
            <v>964-2025</v>
          </cell>
          <cell r="B965" t="str">
            <v>COMPRAVENTA</v>
          </cell>
          <cell r="C965" t="str">
            <v>INDUSTRIAS MEDICOL S.A.S</v>
          </cell>
          <cell r="D965" t="str">
            <v>NIT</v>
          </cell>
          <cell r="E965">
            <v>901365243</v>
          </cell>
          <cell r="F965">
            <v>8</v>
          </cell>
          <cell r="G965" t="str">
            <v>CONTRATACION DIRECTA</v>
          </cell>
          <cell r="H965">
            <v>2</v>
          </cell>
          <cell r="I965" t="str">
            <v>Compra venta de camillas ginecológicas, camilla fija y escalerilla de 2 pasos, para los nuevos consultorios que se van habilitar en las sedes de Santa Mónica, San Vicente y Hospital Civil de la Empresa Social del Estado PASTO SALUD</v>
          </cell>
          <cell r="J965">
            <v>1</v>
          </cell>
          <cell r="K965" t="str">
            <v>$12.846.939,11</v>
          </cell>
          <cell r="L965">
            <v>45932</v>
          </cell>
          <cell r="M965">
            <v>45961</v>
          </cell>
          <cell r="N965" t="str">
            <v xml:space="preserve">	STEFANYA RAMIREZ LOPERA</v>
          </cell>
          <cell r="O965">
            <v>111247705</v>
          </cell>
          <cell r="P965" t="str">
            <v>vetas@industriasmedicol.com</v>
          </cell>
          <cell r="Q965">
            <v>45932</v>
          </cell>
          <cell r="R965" t="str">
            <v>KLINGER GARCIA</v>
          </cell>
          <cell r="U965" t="str">
            <v>CELEBRADO</v>
          </cell>
          <cell r="W965" t="str">
            <v>2025-0398</v>
          </cell>
          <cell r="X965" t="str">
            <v>2025-1557</v>
          </cell>
          <cell r="AJ965">
            <v>2</v>
          </cell>
          <cell r="AK965">
            <v>0</v>
          </cell>
          <cell r="AL965">
            <v>2</v>
          </cell>
          <cell r="AM965" t="str">
            <v>$12.846.939,11</v>
          </cell>
        </row>
        <row r="966">
          <cell r="A966" t="str">
            <v>965-2025</v>
          </cell>
          <cell r="B966" t="str">
            <v>PRESTACION DE SERVICIOS</v>
          </cell>
          <cell r="C966" t="str">
            <v>ALISSON YULIANA VELASCO CALDERON</v>
          </cell>
          <cell r="D966" t="str">
            <v>CC</v>
          </cell>
          <cell r="E966">
            <v>1081052779</v>
          </cell>
          <cell r="F966">
            <v>7</v>
          </cell>
          <cell r="G966" t="str">
            <v>CONTRATACION DIRECTA</v>
          </cell>
          <cell r="H966">
            <v>1</v>
          </cell>
          <cell r="I966"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6">
            <v>1</v>
          </cell>
          <cell r="K966" t="str">
            <v>$9.450.000</v>
          </cell>
          <cell r="L966">
            <v>45932</v>
          </cell>
          <cell r="M966">
            <v>46022</v>
          </cell>
          <cell r="N966" t="str">
            <v>RODRIGO DE JESUS VITERI MORENO</v>
          </cell>
          <cell r="O966">
            <v>98390119</v>
          </cell>
          <cell r="P966" t="str">
            <v>yuliana08iae@gmail.com</v>
          </cell>
          <cell r="Q966">
            <v>45932</v>
          </cell>
          <cell r="R966" t="str">
            <v>JUAN GOMEZ</v>
          </cell>
          <cell r="U966" t="str">
            <v>CELEBRADO</v>
          </cell>
          <cell r="W966" t="str">
            <v>2025-0419</v>
          </cell>
          <cell r="X966" t="str">
            <v>2025-1558</v>
          </cell>
          <cell r="AJ966">
            <v>2</v>
          </cell>
          <cell r="AK966">
            <v>0</v>
          </cell>
          <cell r="AL966">
            <v>2</v>
          </cell>
          <cell r="AM966" t="str">
            <v>$9.450.000</v>
          </cell>
        </row>
        <row r="967">
          <cell r="A967" t="str">
            <v>966-2025</v>
          </cell>
          <cell r="B967" t="str">
            <v>PRESTACION DE SERVICIOS</v>
          </cell>
          <cell r="C967" t="str">
            <v>ALBA MONTENEGRO TERAN</v>
          </cell>
          <cell r="D967" t="str">
            <v>CC</v>
          </cell>
          <cell r="E967">
            <v>1085331301</v>
          </cell>
          <cell r="F967">
            <v>2</v>
          </cell>
          <cell r="G967" t="str">
            <v>CONTRATACION DIRECTA</v>
          </cell>
          <cell r="H967">
            <v>1</v>
          </cell>
          <cell r="I967"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7">
            <v>1</v>
          </cell>
          <cell r="K967" t="str">
            <v>$14.190.000</v>
          </cell>
          <cell r="L967">
            <v>45932</v>
          </cell>
          <cell r="M967">
            <v>46022</v>
          </cell>
          <cell r="N967" t="str">
            <v>MARY ALEXANDRA ROSERO BENAVIDES</v>
          </cell>
          <cell r="O967">
            <v>43624414</v>
          </cell>
          <cell r="P967" t="str">
            <v>albamontenegro838@gmail.com</v>
          </cell>
          <cell r="Q967">
            <v>45932</v>
          </cell>
          <cell r="R967" t="str">
            <v>CRISTINA ROSERO</v>
          </cell>
          <cell r="U967" t="str">
            <v>CELEBRADO</v>
          </cell>
          <cell r="W967" t="str">
            <v>2025-0419</v>
          </cell>
          <cell r="X967" t="str">
            <v>2025-1559</v>
          </cell>
          <cell r="AJ967">
            <v>2</v>
          </cell>
          <cell r="AK967">
            <v>0</v>
          </cell>
          <cell r="AL967">
            <v>2</v>
          </cell>
          <cell r="AM967" t="str">
            <v>$14.190.000</v>
          </cell>
        </row>
        <row r="968">
          <cell r="A968" t="str">
            <v>967-2025</v>
          </cell>
          <cell r="B968" t="str">
            <v>SUMINISTROS</v>
          </cell>
          <cell r="C968" t="str">
            <v>CLINIMEDICAL GROUP S.A.S.</v>
          </cell>
          <cell r="D968" t="str">
            <v>NIT</v>
          </cell>
          <cell r="E968">
            <v>901181781</v>
          </cell>
          <cell r="F968">
            <v>8</v>
          </cell>
          <cell r="G968" t="str">
            <v>CONTRATACION DIRECTA</v>
          </cell>
          <cell r="H968">
            <v>2</v>
          </cell>
          <cell r="I968" t="str">
            <v>El contratista se obliga al suministro del material médico quirúrgico en las cantidades establecidas en el anexo 1, el cual hace parte integral del contrato, Para la ESE Pasto Salud</v>
          </cell>
          <cell r="J968">
            <v>3</v>
          </cell>
          <cell r="K968" t="str">
            <v>$3.254.650</v>
          </cell>
          <cell r="L968">
            <v>45932</v>
          </cell>
          <cell r="M968">
            <v>46021</v>
          </cell>
          <cell r="N968" t="str">
            <v>NENA DEL CARMEN RAMIREZ RAMIREZ</v>
          </cell>
          <cell r="O968">
            <v>30732589</v>
          </cell>
          <cell r="P968" t="str">
            <v>info@clinimedical.com</v>
          </cell>
          <cell r="Q968">
            <v>45932</v>
          </cell>
          <cell r="R968" t="str">
            <v>ANDERSON MEJIA</v>
          </cell>
          <cell r="U968" t="str">
            <v>CELEBRADO</v>
          </cell>
          <cell r="W968" t="str">
            <v>2025-0394</v>
          </cell>
          <cell r="X968" t="str">
            <v>2025-1560</v>
          </cell>
          <cell r="AJ968">
            <v>2</v>
          </cell>
          <cell r="AK968">
            <v>0</v>
          </cell>
          <cell r="AL968">
            <v>2</v>
          </cell>
          <cell r="AM968" t="str">
            <v>$3.254.650</v>
          </cell>
        </row>
        <row r="969">
          <cell r="A969" t="str">
            <v>968-2025</v>
          </cell>
          <cell r="B969" t="str">
            <v>PRESTACION DE SERVICIOS</v>
          </cell>
          <cell r="C969" t="str">
            <v>JANNETH ALEXANDRA
BETANCOURT NARVAEZ</v>
          </cell>
          <cell r="D969" t="str">
            <v>CC</v>
          </cell>
          <cell r="E969">
            <v>37084258</v>
          </cell>
          <cell r="F969">
            <v>8</v>
          </cell>
          <cell r="G969" t="str">
            <v>CONTRATACION DIRECTA</v>
          </cell>
          <cell r="H969">
            <v>1</v>
          </cell>
          <cell r="I969"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69">
            <v>1</v>
          </cell>
          <cell r="K969" t="str">
            <v>$14.190.000</v>
          </cell>
          <cell r="L969">
            <v>45932</v>
          </cell>
          <cell r="M969">
            <v>46022</v>
          </cell>
          <cell r="N969" t="str">
            <v>MARY ALEXANDRA ROSERO BENAVIDES</v>
          </cell>
          <cell r="O969">
            <v>43624414</v>
          </cell>
          <cell r="P969" t="str">
            <v xml:space="preserve"> alexandrabetancourtelar@gmail.com</v>
          </cell>
          <cell r="Q969">
            <v>45932</v>
          </cell>
          <cell r="R969" t="str">
            <v>DIANA MORA</v>
          </cell>
          <cell r="U969" t="str">
            <v>CELEBRADO</v>
          </cell>
          <cell r="W969" t="str">
            <v>2025-0419</v>
          </cell>
          <cell r="X969" t="str">
            <v>2025-1561</v>
          </cell>
          <cell r="AJ969">
            <v>2</v>
          </cell>
          <cell r="AK969">
            <v>0</v>
          </cell>
          <cell r="AL969">
            <v>2</v>
          </cell>
          <cell r="AM969" t="str">
            <v>$14.190.000</v>
          </cell>
        </row>
        <row r="970">
          <cell r="A970" t="str">
            <v>969-2025</v>
          </cell>
          <cell r="B970" t="str">
            <v>PRESTACION DE SERVICIOS</v>
          </cell>
          <cell r="C970" t="str">
            <v>ANGELA MARCELA TOBAR
PANTOJA</v>
          </cell>
          <cell r="D970" t="str">
            <v>CC</v>
          </cell>
          <cell r="E970">
            <v>36953065</v>
          </cell>
          <cell r="F970">
            <v>9</v>
          </cell>
          <cell r="G970" t="str">
            <v>CONTRATACION DIRECTA</v>
          </cell>
          <cell r="H970">
            <v>1</v>
          </cell>
          <cell r="I970" t="str">
            <v>El contratista se compromete a prestar los servicios como profesional del área de las ciencias sociales y humanas para realizar la coordinación y seguimiento de los procesos técnicos y operativos del Programa de Atención Psicosocial y Salud Integral a Victimas (PAPSIVI) conforme a lo establecido en la Resolución 1162 de 2025 del Ministerio de Salud y la Protección Social.</v>
          </cell>
          <cell r="J970">
            <v>1</v>
          </cell>
          <cell r="K970" t="str">
            <v>$16.221.750</v>
          </cell>
          <cell r="L970">
            <v>45932</v>
          </cell>
          <cell r="M970">
            <v>46020</v>
          </cell>
          <cell r="N970" t="str">
            <v xml:space="preserve">	OSCAR MIGUEL GOYES CABRERA</v>
          </cell>
          <cell r="O970">
            <v>87711882</v>
          </cell>
          <cell r="P970" t="str">
            <v>Angela26tobar@hotmail.com</v>
          </cell>
          <cell r="Q970">
            <v>45932</v>
          </cell>
          <cell r="R970" t="str">
            <v>CRISTINA ROSERO</v>
          </cell>
          <cell r="U970" t="str">
            <v>CELEBRADO</v>
          </cell>
          <cell r="W970" t="str">
            <v>2025-0519</v>
          </cell>
          <cell r="X970" t="str">
            <v>2025-1562</v>
          </cell>
          <cell r="AJ970">
            <v>2</v>
          </cell>
          <cell r="AK970">
            <v>0</v>
          </cell>
          <cell r="AL970">
            <v>2</v>
          </cell>
          <cell r="AM970" t="str">
            <v>$16.221.750</v>
          </cell>
        </row>
        <row r="971">
          <cell r="A971" t="str">
            <v>970-2025</v>
          </cell>
          <cell r="B971" t="str">
            <v>PRESTACION DE SERVICIOS</v>
          </cell>
          <cell r="C971" t="str">
            <v>JERALDINE BASTIDAS OCAÑA</v>
          </cell>
          <cell r="D971" t="str">
            <v>CC</v>
          </cell>
          <cell r="E971">
            <v>1085293619</v>
          </cell>
          <cell r="F971">
            <v>5</v>
          </cell>
          <cell r="G971" t="str">
            <v>CONTRATACION DIRECTA</v>
          </cell>
          <cell r="H971">
            <v>1</v>
          </cell>
          <cell r="I971" t="str">
            <v>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71">
            <v>1</v>
          </cell>
          <cell r="K971" t="str">
            <v>$14.190.000</v>
          </cell>
          <cell r="L971">
            <v>45932</v>
          </cell>
          <cell r="M971">
            <v>46022</v>
          </cell>
          <cell r="N971" t="str">
            <v>MARY ALEXANDRA ROSERO BENAVIDES</v>
          </cell>
          <cell r="O971">
            <v>43624414</v>
          </cell>
          <cell r="P971" t="str">
            <v>bastidasgeraldine93@gmail.com</v>
          </cell>
          <cell r="Q971">
            <v>45932</v>
          </cell>
          <cell r="R971" t="str">
            <v>DIANA MORA</v>
          </cell>
          <cell r="U971" t="str">
            <v>CELEBRADO</v>
          </cell>
          <cell r="W971" t="str">
            <v>2025-0419</v>
          </cell>
          <cell r="X971" t="str">
            <v>2025-1563</v>
          </cell>
          <cell r="AJ971">
            <v>2</v>
          </cell>
          <cell r="AK971">
            <v>0</v>
          </cell>
          <cell r="AL971">
            <v>2</v>
          </cell>
          <cell r="AM971" t="str">
            <v>$14.190.000</v>
          </cell>
        </row>
        <row r="972">
          <cell r="A972" t="str">
            <v>971-2025</v>
          </cell>
          <cell r="B972" t="str">
            <v>SUMINISTROS</v>
          </cell>
          <cell r="C972" t="str">
            <v>FUERTES MEJIA MEDICAMENTOS Y DISPOSITIVOS MEDICOS S.A.S.</v>
          </cell>
          <cell r="D972" t="str">
            <v>NIT</v>
          </cell>
          <cell r="E972">
            <v>901565478</v>
          </cell>
          <cell r="F972">
            <v>1</v>
          </cell>
          <cell r="G972" t="str">
            <v>CONTRATACION DIRECTA</v>
          </cell>
          <cell r="H972">
            <v>2</v>
          </cell>
          <cell r="I972" t="str">
            <v>El contratista se obliga al suministro del material médico quirúrgico en las cantidades establecidas en el anexo 1, el cual hace parte integral del contrato, Para la ESE Pasto Salud y de acuerdo a la siguiente relación.</v>
          </cell>
          <cell r="J972">
            <v>3</v>
          </cell>
          <cell r="K972" t="str">
            <v>$6.875.475,20</v>
          </cell>
          <cell r="L972">
            <v>45932</v>
          </cell>
          <cell r="M972">
            <v>46021</v>
          </cell>
          <cell r="N972" t="str">
            <v>NENA DEL CARMEN RAMIREZ RAMIREZ</v>
          </cell>
          <cell r="O972">
            <v>30732589</v>
          </cell>
          <cell r="P972" t="str">
            <v>contabilidad@fuertesmejia.com.co</v>
          </cell>
          <cell r="Q972">
            <v>45932</v>
          </cell>
          <cell r="R972" t="str">
            <v>CRISTINA ROSERO</v>
          </cell>
          <cell r="U972" t="str">
            <v>CELEBRADO</v>
          </cell>
          <cell r="W972" t="str">
            <v>2025-0394</v>
          </cell>
          <cell r="X972" t="str">
            <v>2025-1564</v>
          </cell>
          <cell r="AJ972">
            <v>2</v>
          </cell>
          <cell r="AK972">
            <v>0</v>
          </cell>
          <cell r="AL972">
            <v>2</v>
          </cell>
          <cell r="AM972" t="str">
            <v>$6.875.475,20</v>
          </cell>
        </row>
        <row r="973">
          <cell r="A973" t="str">
            <v>972-2025</v>
          </cell>
          <cell r="B973" t="str">
            <v>SUMINISTROS</v>
          </cell>
          <cell r="C973" t="str">
            <v>FUERTES MEJIA MEDICAMENTOS Y DISPOSITIVOS MEDICOS SAS.</v>
          </cell>
          <cell r="D973" t="str">
            <v>NIT</v>
          </cell>
          <cell r="E973">
            <v>901565478</v>
          </cell>
          <cell r="F973">
            <v>1</v>
          </cell>
          <cell r="G973" t="str">
            <v>CONTRATACION DIRECTA</v>
          </cell>
          <cell r="H973">
            <v>2</v>
          </cell>
          <cell r="I973" t="str">
            <v>El contratista se obliga al suministro de los medicamentos en las cantidades establecidas en el anexo 1, el cual hace parte integral del contrato. Para la ESE Pasto Salud</v>
          </cell>
          <cell r="J973">
            <v>3</v>
          </cell>
          <cell r="K973" t="str">
            <v>$35.917.050</v>
          </cell>
          <cell r="L973">
            <v>45932</v>
          </cell>
          <cell r="M973">
            <v>45991</v>
          </cell>
          <cell r="N973" t="str">
            <v>NENA DEL CARMEN RAMIREZ RAMIREZ</v>
          </cell>
          <cell r="O973">
            <v>30732589</v>
          </cell>
          <cell r="P973" t="str">
            <v>contabilidad@fuertesmejia.com.co</v>
          </cell>
          <cell r="Q973">
            <v>45932</v>
          </cell>
          <cell r="R973" t="str">
            <v>ELIANA BENAVIDES</v>
          </cell>
          <cell r="U973" t="str">
            <v>CELEBRADO</v>
          </cell>
          <cell r="W973" t="str">
            <v>2025-0224</v>
          </cell>
          <cell r="X973" t="str">
            <v>2025-1565</v>
          </cell>
          <cell r="AJ973">
            <v>2</v>
          </cell>
          <cell r="AK973">
            <v>0</v>
          </cell>
          <cell r="AL973">
            <v>2</v>
          </cell>
          <cell r="AM973" t="str">
            <v>$35.917.050</v>
          </cell>
        </row>
        <row r="974">
          <cell r="A974" t="str">
            <v>973-2025</v>
          </cell>
          <cell r="B974" t="str">
            <v>PRESTACION DE SERVICIOS</v>
          </cell>
          <cell r="C974" t="str">
            <v>INDUSTRIA DE METALES Y MADERAS MUEBLES EJECUTIVO S.A.S</v>
          </cell>
          <cell r="D974" t="str">
            <v>NIT</v>
          </cell>
          <cell r="E974">
            <v>900496881</v>
          </cell>
          <cell r="F974">
            <v>5</v>
          </cell>
          <cell r="G974" t="str">
            <v>CONTRATACION DIRECTA</v>
          </cell>
          <cell r="H974">
            <v>2</v>
          </cell>
          <cell r="I974" t="str">
            <v>Prestar el servicio de mantenimiento preventivo y correctivo de los muebles de uso administrativo y asistencial, de la Empresa Social del Estado Pasto Salud ESE.</v>
          </cell>
          <cell r="J974">
            <v>5</v>
          </cell>
          <cell r="K974" t="str">
            <v>$150.000.000</v>
          </cell>
          <cell r="L974">
            <v>45933</v>
          </cell>
          <cell r="M974">
            <v>46022</v>
          </cell>
          <cell r="N974" t="str">
            <v xml:space="preserve">	STEFANYA RAMIREZ LOPERA</v>
          </cell>
          <cell r="O974">
            <v>111247705</v>
          </cell>
          <cell r="P974" t="str">
            <v>mueblesejecutivo@hotmail.com</v>
          </cell>
          <cell r="Q974">
            <v>45933</v>
          </cell>
          <cell r="R974" t="str">
            <v>KLINGER GARCIA</v>
          </cell>
          <cell r="U974" t="str">
            <v>CELEBRADO</v>
          </cell>
          <cell r="W974" t="str">
            <v>2025-0433</v>
          </cell>
          <cell r="X974" t="str">
            <v>2025-1568</v>
          </cell>
          <cell r="AJ974">
            <v>2</v>
          </cell>
          <cell r="AK974">
            <v>0</v>
          </cell>
          <cell r="AL974">
            <v>2</v>
          </cell>
          <cell r="AM974" t="str">
            <v>$150.000.000</v>
          </cell>
        </row>
        <row r="975">
          <cell r="A975" t="str">
            <v>974-2025</v>
          </cell>
          <cell r="B975" t="str">
            <v>PRESTACION DE SERVICIOS</v>
          </cell>
          <cell r="C975" t="str">
            <v>DIANA LUZ ENITH
ANDRADE</v>
          </cell>
          <cell r="D975" t="str">
            <v>CC</v>
          </cell>
          <cell r="E975">
            <v>27333392</v>
          </cell>
          <cell r="F975">
            <v>1</v>
          </cell>
          <cell r="G975" t="str">
            <v>CONTRATACION DIRECTA</v>
          </cell>
          <cell r="H975">
            <v>1</v>
          </cell>
          <cell r="I975" t="str">
            <v>Prestar servicios para la realizar la focalización y/o georreferenciación de las víctimas del conflicto armado a atender, apoyar la articulación con los líderes
comunitarios, las Mesas de Participación Efectiva de Víctimas, sus organizaciones y otros escenarios de participación; orientación e información en salud a las víctimas conforme a los lineamientos dados en la Resolución 1162 de 2025 dada por el Ministerio de Salud y Protección Social.</v>
          </cell>
          <cell r="J975">
            <v>1</v>
          </cell>
          <cell r="K975" t="str">
            <v>$5.471.250</v>
          </cell>
          <cell r="L975">
            <v>45933</v>
          </cell>
          <cell r="M975">
            <v>46022</v>
          </cell>
          <cell r="N975" t="str">
            <v xml:space="preserve">	OSCAR MIGUEL GOYES CABRERA</v>
          </cell>
          <cell r="O975">
            <v>87711882</v>
          </cell>
          <cell r="P975" t="str">
            <v>enit.28.andrade@gmail.com</v>
          </cell>
          <cell r="Q975">
            <v>45933</v>
          </cell>
          <cell r="R975" t="str">
            <v>KLINGER GARCIA</v>
          </cell>
          <cell r="U975" t="str">
            <v>CELEBRADO</v>
          </cell>
          <cell r="W975" t="str">
            <v>2025-0519</v>
          </cell>
          <cell r="X975" t="str">
            <v>2025-1569</v>
          </cell>
          <cell r="AJ975">
            <v>2</v>
          </cell>
          <cell r="AK975">
            <v>0</v>
          </cell>
          <cell r="AL975">
            <v>2</v>
          </cell>
          <cell r="AM975" t="str">
            <v>$5.471.250</v>
          </cell>
        </row>
        <row r="976">
          <cell r="A976" t="str">
            <v>975-2025</v>
          </cell>
          <cell r="B976" t="str">
            <v>PRESTACION DE SERVICIOS</v>
          </cell>
          <cell r="C976" t="str">
            <v>FANNY DANIELA BASTIDAS CHALAPUD</v>
          </cell>
          <cell r="D976" t="str">
            <v>CC</v>
          </cell>
          <cell r="E976">
            <v>1085308598</v>
          </cell>
          <cell r="F976">
            <v>6</v>
          </cell>
          <cell r="G976" t="str">
            <v>CONTRATACION DIRECTA</v>
          </cell>
          <cell r="H976">
            <v>1</v>
          </cell>
          <cell r="I976" t="str">
            <v xml:space="preserve"> EL CONTRATISTA SE COMPROMETE A PRESTAR SUS SERVICIOS COMO OPERADOR LOGÍSTICO PARA EL DESARROLLO DE JORNADA DE INTEGRACION FAMILIAR PARA EN EL MES DE OCTUBRE DE 2025 DIRIGIDA A LOS TRABAJADORES Y FAMILIAS DE LA EMPRESA SOCIAL DEL ESTADO PASTO SALUD E.S.E, EN CUMPLIMIENTO A ACTIVIDADES ESTABLECIDAS EN EL PLAN DE BIENESTAR SOCIAL E INCENTIVOS VIGENCIA 2025</v>
          </cell>
          <cell r="J976">
            <v>1</v>
          </cell>
          <cell r="K976" t="str">
            <v>$23.000.000</v>
          </cell>
          <cell r="L976">
            <v>45933</v>
          </cell>
          <cell r="M976">
            <v>45961</v>
          </cell>
          <cell r="P976" t="str">
            <v>fdbastidas@hotmail.com.</v>
          </cell>
          <cell r="Q976">
            <v>45933</v>
          </cell>
          <cell r="R976" t="str">
            <v>ELIANA BENAVIDES</v>
          </cell>
          <cell r="U976" t="str">
            <v>CELEBRADO</v>
          </cell>
          <cell r="W976" t="str">
            <v>2025-0257</v>
          </cell>
          <cell r="X976" t="str">
            <v>2025-1573</v>
          </cell>
          <cell r="AJ976">
            <v>2</v>
          </cell>
          <cell r="AK976">
            <v>0</v>
          </cell>
          <cell r="AL976">
            <v>2</v>
          </cell>
          <cell r="AM976" t="str">
            <v>$23.000.000</v>
          </cell>
        </row>
        <row r="977">
          <cell r="A977" t="str">
            <v>976-2025</v>
          </cell>
          <cell r="B977" t="str">
            <v>PRESTACION DE SERVICIOS</v>
          </cell>
          <cell r="C977" t="str">
            <v>FERNANDA NATALY CRIOLLO OJEDA</v>
          </cell>
          <cell r="D977" t="str">
            <v>CC</v>
          </cell>
          <cell r="E977">
            <v>1004190984</v>
          </cell>
          <cell r="F977">
            <v>1</v>
          </cell>
          <cell r="G977" t="str">
            <v>CONTRATACION DIRECTA</v>
          </cell>
          <cell r="H977">
            <v>1</v>
          </cell>
          <cell r="I977"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77">
            <v>1</v>
          </cell>
          <cell r="K977" t="str">
            <v>$9.450.000</v>
          </cell>
          <cell r="L977">
            <v>45936</v>
          </cell>
          <cell r="M977">
            <v>46022</v>
          </cell>
          <cell r="N977" t="str">
            <v>RIGOBERTO MELO ZAMBRANO</v>
          </cell>
          <cell r="O977">
            <v>98333941</v>
          </cell>
          <cell r="P977" t="str">
            <v xml:space="preserve"> ferchyta990@gmail.com</v>
          </cell>
          <cell r="Q977">
            <v>45936</v>
          </cell>
          <cell r="R977" t="str">
            <v>ELIANA BENAVIDES</v>
          </cell>
          <cell r="U977" t="str">
            <v>CELEBRADO</v>
          </cell>
          <cell r="W977" t="str">
            <v>2025-0419</v>
          </cell>
          <cell r="X977" t="str">
            <v>2025-1574</v>
          </cell>
          <cell r="AJ977">
            <v>2</v>
          </cell>
          <cell r="AK977">
            <v>0</v>
          </cell>
          <cell r="AL977">
            <v>2</v>
          </cell>
          <cell r="AM977" t="str">
            <v>$9.450.000</v>
          </cell>
        </row>
        <row r="978">
          <cell r="A978" t="str">
            <v>977-2025</v>
          </cell>
          <cell r="B978" t="str">
            <v>PRESTACION DE SERVICIOS</v>
          </cell>
          <cell r="C978" t="str">
            <v>ISABEL CRISTINA SANTACRUZ MUÑOZ</v>
          </cell>
          <cell r="D978" t="str">
            <v>CC</v>
          </cell>
          <cell r="E978">
            <v>1085261053</v>
          </cell>
          <cell r="F978">
            <v>1</v>
          </cell>
          <cell r="G978" t="str">
            <v>CONTRATACION DIRECTA</v>
          </cell>
          <cell r="H978">
            <v>1</v>
          </cell>
          <cell r="I978"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v>
          </cell>
          <cell r="J978">
            <v>1</v>
          </cell>
          <cell r="K978" t="str">
            <v>$9.450.000</v>
          </cell>
          <cell r="L978">
            <v>45936</v>
          </cell>
          <cell r="M978">
            <v>46022</v>
          </cell>
          <cell r="N978" t="str">
            <v>RIGOBERTO MELO ZAMBRANO</v>
          </cell>
          <cell r="O978">
            <v>98333941</v>
          </cell>
          <cell r="P978" t="str">
            <v>isahfm08@gmail.com</v>
          </cell>
          <cell r="Q978">
            <v>45936</v>
          </cell>
          <cell r="R978" t="str">
            <v>KLINGER GARCIA</v>
          </cell>
          <cell r="U978" t="str">
            <v>CELEBRADO</v>
          </cell>
          <cell r="W978" t="str">
            <v>2025-0419</v>
          </cell>
          <cell r="X978" t="str">
            <v>2025-1576</v>
          </cell>
          <cell r="AJ978">
            <v>2</v>
          </cell>
          <cell r="AK978">
            <v>0</v>
          </cell>
          <cell r="AL978">
            <v>2</v>
          </cell>
          <cell r="AM978" t="str">
            <v>$9.450.000</v>
          </cell>
        </row>
        <row r="979">
          <cell r="A979" t="str">
            <v>978-2025</v>
          </cell>
          <cell r="B979" t="str">
            <v>SUMINISTROS</v>
          </cell>
          <cell r="C979" t="str">
            <v>(JESUS RENDON TOBAR)COMERCIALIZADORA GLOBAL NARIÑO</v>
          </cell>
          <cell r="D979" t="str">
            <v>CC</v>
          </cell>
          <cell r="E979">
            <v>12962121</v>
          </cell>
          <cell r="F979">
            <v>4</v>
          </cell>
          <cell r="G979" t="str">
            <v>CONTRATACION DIRECTA</v>
          </cell>
          <cell r="H979">
            <v>1</v>
          </cell>
          <cell r="I979" t="str">
            <v>Contratar el suministro de ropa hospitalaria para dotar a los procesos Hospitalarios de las 22 IPS de la Empresa Social del Estado Pasto Salud E.S.Е.</v>
          </cell>
          <cell r="J979">
            <v>1</v>
          </cell>
          <cell r="K979" t="str">
            <v>$61.680.960</v>
          </cell>
          <cell r="L979">
            <v>45936</v>
          </cell>
          <cell r="M979">
            <v>46022</v>
          </cell>
          <cell r="N979" t="str">
            <v>JUAN PABLO LLANOS</v>
          </cell>
          <cell r="O979">
            <v>17658216</v>
          </cell>
          <cell r="P979" t="str">
            <v>andreitatobar1979@gmail.com</v>
          </cell>
          <cell r="Q979">
            <v>45936</v>
          </cell>
          <cell r="R979" t="str">
            <v>JUAN GOMEZ</v>
          </cell>
          <cell r="U979" t="str">
            <v>CELEBRADO</v>
          </cell>
          <cell r="W979" t="str">
            <v>2025-0396</v>
          </cell>
          <cell r="X979" t="str">
            <v>2025-1578</v>
          </cell>
          <cell r="AJ979">
            <v>2</v>
          </cell>
          <cell r="AK979">
            <v>0</v>
          </cell>
          <cell r="AL979">
            <v>2</v>
          </cell>
          <cell r="AM979" t="str">
            <v>$61.680.960</v>
          </cell>
        </row>
        <row r="980">
          <cell r="A980" t="str">
            <v>979-2025</v>
          </cell>
          <cell r="B980" t="str">
            <v>PRESTACION DE SERVICIOS</v>
          </cell>
          <cell r="C980" t="str">
            <v>MEDIC ADVANCE S.A.S</v>
          </cell>
          <cell r="D980" t="str">
            <v>NIT</v>
          </cell>
          <cell r="E980">
            <v>901964172</v>
          </cell>
          <cell r="F980">
            <v>3</v>
          </cell>
          <cell r="G980" t="str">
            <v>CONTRATACION DIRECTA</v>
          </cell>
          <cell r="H980">
            <v>2</v>
          </cell>
          <cell r="I980" t="str">
            <v>Prestación de servicios de apoyo a la gestión a través de profesionales con conocimientos en el servicio de gastroenterología tanto de consulta externa como de procedimientos cruentos e incruentos para lo cual se aporta el gastroscopio con sus consumibles con relación al servicio de anestesia y sedación, para estos procedimientos será provisto según requerimiento técnicos del contratante.</v>
          </cell>
          <cell r="J980">
            <v>1</v>
          </cell>
          <cell r="K980" t="str">
            <v>$540.000.000</v>
          </cell>
          <cell r="L980">
            <v>45937</v>
          </cell>
          <cell r="M980">
            <v>46021</v>
          </cell>
          <cell r="N980" t="str">
            <v>MARY ALEXANDRA ROSERO BENAVIDES</v>
          </cell>
          <cell r="O980">
            <v>43624414</v>
          </cell>
          <cell r="P980" t="str">
            <v>gastroelitepasto@gmail.com</v>
          </cell>
          <cell r="Q980">
            <v>45937</v>
          </cell>
          <cell r="R980" t="str">
            <v>CRISTINA ROSERO</v>
          </cell>
          <cell r="U980" t="str">
            <v>CELEBRADO</v>
          </cell>
          <cell r="W980" t="str">
            <v>2025-0517</v>
          </cell>
          <cell r="X980" t="str">
            <v>2025-1588</v>
          </cell>
          <cell r="AJ980">
            <v>2</v>
          </cell>
          <cell r="AK980">
            <v>0</v>
          </cell>
          <cell r="AL980">
            <v>2</v>
          </cell>
          <cell r="AM980" t="str">
            <v>$540.000.000</v>
          </cell>
        </row>
        <row r="981">
          <cell r="A981" t="str">
            <v>980-2025</v>
          </cell>
          <cell r="B981" t="str">
            <v>PRESTACION DE SERVICIOS</v>
          </cell>
          <cell r="C981" t="str">
            <v>DAISSY JOHANA YAQUENO YAQUENO</v>
          </cell>
          <cell r="D981" t="str">
            <v>CC</v>
          </cell>
          <cell r="E981">
            <v>1085317094</v>
          </cell>
          <cell r="F981">
            <v>4</v>
          </cell>
          <cell r="G981" t="str">
            <v>CONTRATACION DIRECTA</v>
          </cell>
          <cell r="H981">
            <v>1</v>
          </cell>
          <cell r="I981" t="str">
            <v>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81">
            <v>1</v>
          </cell>
          <cell r="K981" t="str">
            <v>$9.450.000</v>
          </cell>
          <cell r="L981">
            <v>45937</v>
          </cell>
          <cell r="M981">
            <v>46022</v>
          </cell>
          <cell r="N981" t="str">
            <v>DEYANIRA BADOS DAZA</v>
          </cell>
          <cell r="O981">
            <v>59836926</v>
          </cell>
          <cell r="P981" t="str">
            <v xml:space="preserve"> deissy.w@gmail.com </v>
          </cell>
          <cell r="Q981">
            <v>45937</v>
          </cell>
          <cell r="R981" t="str">
            <v>NATHALIA PORTILLA</v>
          </cell>
          <cell r="U981" t="str">
            <v>CELEBRADO</v>
          </cell>
          <cell r="W981" t="str">
            <v>2025-0419</v>
          </cell>
          <cell r="X981" t="str">
            <v>2025-1589</v>
          </cell>
          <cell r="AJ981">
            <v>2</v>
          </cell>
          <cell r="AK981">
            <v>0</v>
          </cell>
          <cell r="AL981">
            <v>2</v>
          </cell>
          <cell r="AM981" t="str">
            <v>$9.450.000</v>
          </cell>
        </row>
        <row r="982">
          <cell r="A982" t="str">
            <v>981-2025</v>
          </cell>
          <cell r="B982" t="str">
            <v>COMPRAVENTA</v>
          </cell>
          <cell r="C982" t="str">
            <v>SOLUCIONES INTEGRALES DE INGENIERIA LR S.A.S</v>
          </cell>
          <cell r="D982" t="str">
            <v>NIT</v>
          </cell>
          <cell r="E982">
            <v>901095545</v>
          </cell>
          <cell r="F982">
            <v>8</v>
          </cell>
          <cell r="G982" t="str">
            <v>CONTRATACION DIRECTA</v>
          </cell>
          <cell r="H982">
            <v>2</v>
          </cell>
          <cell r="I982" t="str">
            <v>Compra de plantas eléctricas de acuerdo al plan anual de adquisiciones de Pasto Salud E.S.E 2025, para las diferentes sedes que conforman las redes prestadoras de servicios en salud.</v>
          </cell>
          <cell r="J982">
            <v>1</v>
          </cell>
          <cell r="K982" t="str">
            <v>$135.320.000</v>
          </cell>
          <cell r="L982">
            <v>45937</v>
          </cell>
          <cell r="M982">
            <v>45968</v>
          </cell>
          <cell r="N982" t="str">
            <v xml:space="preserve">	MARIO FERNADO NARANJO LOPEZ</v>
          </cell>
          <cell r="O982">
            <v>1004189613</v>
          </cell>
          <cell r="P982" t="str">
            <v>sideingenieriasas@gmail.com</v>
          </cell>
          <cell r="Q982">
            <v>45937</v>
          </cell>
          <cell r="R982" t="str">
            <v>KLINGER GARCIA</v>
          </cell>
          <cell r="U982" t="str">
            <v>CELEBRADO</v>
          </cell>
          <cell r="W982" t="str">
            <v>2025-0434</v>
          </cell>
          <cell r="X982" t="str">
            <v>2025-1590</v>
          </cell>
          <cell r="AJ982">
            <v>2</v>
          </cell>
          <cell r="AK982">
            <v>0</v>
          </cell>
          <cell r="AL982">
            <v>2</v>
          </cell>
          <cell r="AM982" t="str">
            <v>$135.320.000</v>
          </cell>
        </row>
        <row r="983">
          <cell r="A983" t="str">
            <v>982-2025</v>
          </cell>
          <cell r="B983" t="str">
            <v>PRESTACION DE SERVICIOS</v>
          </cell>
          <cell r="C983" t="str">
            <v>ALBA JULIA RODRIGUEZ MORA</v>
          </cell>
          <cell r="D983" t="str">
            <v>CC</v>
          </cell>
          <cell r="E983">
            <v>27222016</v>
          </cell>
          <cell r="F983">
            <v>9</v>
          </cell>
          <cell r="G983" t="str">
            <v>CONTRATACION DIRECTA</v>
          </cell>
          <cell r="H983">
            <v>1</v>
          </cell>
          <cell r="I983" t="str">
            <v>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83">
            <v>1</v>
          </cell>
          <cell r="K983" t="str">
            <v>$9.450.000</v>
          </cell>
          <cell r="L983">
            <v>45937</v>
          </cell>
          <cell r="M983">
            <v>46022</v>
          </cell>
          <cell r="N983" t="str">
            <v>DEYANIRA BADOS DAZA</v>
          </cell>
          <cell r="O983">
            <v>59836926</v>
          </cell>
          <cell r="P983" t="str">
            <v>rodriguezalbajulia2@gmail.com</v>
          </cell>
          <cell r="Q983">
            <v>45937</v>
          </cell>
          <cell r="R983" t="str">
            <v>JUAN GOMEZ</v>
          </cell>
          <cell r="U983" t="str">
            <v>CELEBRADO</v>
          </cell>
          <cell r="W983" t="str">
            <v>2025-0419</v>
          </cell>
          <cell r="X983" t="str">
            <v>2025-1591</v>
          </cell>
          <cell r="AJ983">
            <v>2</v>
          </cell>
          <cell r="AK983">
            <v>0</v>
          </cell>
          <cell r="AL983">
            <v>2</v>
          </cell>
          <cell r="AM983" t="str">
            <v>$9.450.000</v>
          </cell>
        </row>
        <row r="984">
          <cell r="A984" t="str">
            <v>983-2025</v>
          </cell>
          <cell r="B984" t="str">
            <v>PRESTACION DE SERVICIOS</v>
          </cell>
          <cell r="C984" t="str">
            <v>JONATHAN DAVID NARVAEZ MUYUY</v>
          </cell>
          <cell r="D984" t="str">
            <v>CC</v>
          </cell>
          <cell r="E984">
            <v>1081272318</v>
          </cell>
          <cell r="F984">
            <v>9</v>
          </cell>
          <cell r="G984" t="str">
            <v>CONTRATACION DIRECTA</v>
          </cell>
          <cell r="H984">
            <v>1</v>
          </cell>
          <cell r="I984" t="str">
            <v>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v>
          </cell>
          <cell r="J984">
            <v>1</v>
          </cell>
          <cell r="K984" t="str">
            <v>$9.450.000</v>
          </cell>
          <cell r="L984">
            <v>45937</v>
          </cell>
          <cell r="M984">
            <v>46022</v>
          </cell>
          <cell r="N984" t="str">
            <v>MARY ALEXANDRA ROSERO BENAVIDES</v>
          </cell>
          <cell r="O984">
            <v>43624414</v>
          </cell>
          <cell r="P984" t="str">
            <v>jonathannarvaez099@gmail.com</v>
          </cell>
          <cell r="Q984">
            <v>45937</v>
          </cell>
          <cell r="R984" t="str">
            <v>NATHALIA PORTILLA</v>
          </cell>
          <cell r="U984" t="str">
            <v>CELEBRADO</v>
          </cell>
          <cell r="W984" t="str">
            <v>2025-0419</v>
          </cell>
          <cell r="X984" t="str">
            <v>2025-1592</v>
          </cell>
          <cell r="AJ984">
            <v>2</v>
          </cell>
          <cell r="AK984">
            <v>0</v>
          </cell>
          <cell r="AL984">
            <v>2</v>
          </cell>
          <cell r="AM984" t="str">
            <v>$9.450.000</v>
          </cell>
        </row>
        <row r="985">
          <cell r="A985" t="str">
            <v>984-2025</v>
          </cell>
          <cell r="B985" t="str">
            <v>PRESTACION DE SERVICIOS</v>
          </cell>
          <cell r="C985" t="str">
            <v>JOHN JAIRO ROSERO BOLAÑOS (COPY PARTES)</v>
          </cell>
          <cell r="D985" t="str">
            <v>CC</v>
          </cell>
          <cell r="E985">
            <v>12746875</v>
          </cell>
          <cell r="F985">
            <v>3</v>
          </cell>
          <cell r="G985" t="str">
            <v>CONTRATACION DIRECTA</v>
          </cell>
          <cell r="H985">
            <v>1</v>
          </cell>
          <cell r="I985" t="str">
            <v>Prestar el servicio de mantenimiento preventivo y correctivo de los equipos informáticos, UPS, comunicaciones y equipos periféricos (radios de comunicaciones, teléfonos, televisores, equipo de audio y video y otros equipos electrónicos y eléctricos), incluido la mano de obra, suministro de insumos y suministro de repuestos, para todas sus sedes, siete (7) ambulancias y cuatro (4) unidades móviles de la Empresa Pasto Salud E.S.E.</v>
          </cell>
          <cell r="J985">
            <v>1</v>
          </cell>
          <cell r="K985" t="str">
            <v>$94.113.608</v>
          </cell>
          <cell r="L985">
            <v>45937</v>
          </cell>
          <cell r="M985">
            <v>46022</v>
          </cell>
          <cell r="N985" t="str">
            <v xml:space="preserve">	IVAN RODRIGO IBARRA MUÑOZ</v>
          </cell>
          <cell r="O985">
            <v>87248313</v>
          </cell>
          <cell r="P985" t="str">
            <v>copypartes_jj@hotmail.com</v>
          </cell>
          <cell r="Q985">
            <v>45937</v>
          </cell>
          <cell r="R985" t="str">
            <v>ANDERSON MEJIA</v>
          </cell>
          <cell r="U985" t="str">
            <v>CELEBRADO</v>
          </cell>
          <cell r="W985" t="str">
            <v>2025-0512</v>
          </cell>
          <cell r="X985" t="str">
            <v>2025-1593</v>
          </cell>
          <cell r="AJ985">
            <v>2</v>
          </cell>
          <cell r="AK985">
            <v>0</v>
          </cell>
          <cell r="AL985">
            <v>2</v>
          </cell>
          <cell r="AM985" t="str">
            <v>$94.113.608</v>
          </cell>
        </row>
        <row r="986">
          <cell r="A986" t="str">
            <v>985-2025</v>
          </cell>
          <cell r="B986" t="str">
            <v>COMPRAVENTA</v>
          </cell>
          <cell r="C986" t="str">
            <v>CASA DENTAL EDUARDO DAZA LTDA</v>
          </cell>
          <cell r="D986" t="str">
            <v>NIT</v>
          </cell>
          <cell r="E986">
            <v>800071243</v>
          </cell>
          <cell r="F986">
            <v>9</v>
          </cell>
          <cell r="G986" t="str">
            <v>BIONEXO</v>
          </cell>
          <cell r="H986">
            <v>2</v>
          </cell>
          <cell r="I986" t="str">
            <v>COMPRA DE EQUIPOS BIOMEDICOS E INDUSTRIALES, DE ACUERDO AL PLAN ANUAL DE ADQUISICIONES DE PASTO SALUD E.S.E 2025, PARA LAS DIFERENTES SEDES QUE CONFORMAN LAS REDES PRESTADORAS DE SERVICIOS EN SALUD</v>
          </cell>
          <cell r="J986">
            <v>4</v>
          </cell>
          <cell r="K986" t="str">
            <v>$4.331.600</v>
          </cell>
          <cell r="L986">
            <v>45937</v>
          </cell>
          <cell r="M986">
            <v>45945</v>
          </cell>
          <cell r="N986" t="str">
            <v xml:space="preserve">	MARIO FERNADO NARANJO LOPEZ</v>
          </cell>
          <cell r="O986">
            <v>1004189613</v>
          </cell>
          <cell r="P986" t="str">
            <v>contabilidad@dentaldaza.com</v>
          </cell>
          <cell r="Q986">
            <v>45937</v>
          </cell>
          <cell r="R986" t="str">
            <v>JUAN GOMEZ</v>
          </cell>
          <cell r="U986" t="str">
            <v>CELEBRADO</v>
          </cell>
          <cell r="W986" t="str">
            <v>2025-0426</v>
          </cell>
          <cell r="X986" t="str">
            <v>2025-1596</v>
          </cell>
          <cell r="AJ986">
            <v>2</v>
          </cell>
          <cell r="AK986">
            <v>0</v>
          </cell>
          <cell r="AL986">
            <v>3</v>
          </cell>
          <cell r="AM986" t="str">
            <v>$4.331.600</v>
          </cell>
        </row>
        <row r="987">
          <cell r="A987" t="str">
            <v>986-2025</v>
          </cell>
          <cell r="B987" t="str">
            <v>PRESTACION DE SERVICIOS</v>
          </cell>
          <cell r="C987" t="str">
            <v>DIEGO ARMANDO SANCHEZ MONTENEGRO</v>
          </cell>
          <cell r="D987" t="str">
            <v>CC</v>
          </cell>
          <cell r="E987">
            <v>87215547</v>
          </cell>
          <cell r="F987">
            <v>7</v>
          </cell>
          <cell r="G987" t="str">
            <v>CONTRATACION DIRECTA</v>
          </cell>
          <cell r="H987">
            <v>1</v>
          </cell>
          <cell r="I987" t="str">
            <v>Prestar servicios como Profesional en Sistemas en la Empresa Social del Estado Pasto Salud E.S.E., apoyando a la Oficina Asesora de Comunicaciones y Sistemas en labores de Asistencia técnica, mantenimiento preventivo y correctivo de hardware, software y redes de datos.</v>
          </cell>
          <cell r="J987">
            <v>1</v>
          </cell>
          <cell r="K987" t="str">
            <v>$7.381.854</v>
          </cell>
          <cell r="L987">
            <v>45937</v>
          </cell>
          <cell r="M987">
            <v>45991</v>
          </cell>
          <cell r="N987" t="str">
            <v xml:space="preserve">	IVAN RODRIGO IBARRA MUÑOZ</v>
          </cell>
          <cell r="O987">
            <v>87248313</v>
          </cell>
          <cell r="P987" t="str">
            <v xml:space="preserve"> dasm1983@gmail.com</v>
          </cell>
          <cell r="Q987">
            <v>45937</v>
          </cell>
          <cell r="R987" t="str">
            <v>DIANA MORA</v>
          </cell>
          <cell r="U987" t="str">
            <v>CELEBRADO</v>
          </cell>
          <cell r="W987" t="str">
            <v>2025-0513</v>
          </cell>
          <cell r="X987" t="str">
            <v>2025-1597</v>
          </cell>
          <cell r="AJ987">
            <v>2</v>
          </cell>
          <cell r="AK987">
            <v>0</v>
          </cell>
          <cell r="AL987">
            <v>2</v>
          </cell>
          <cell r="AM987" t="str">
            <v>$7.381.854</v>
          </cell>
        </row>
        <row r="988">
          <cell r="A988" t="str">
            <v>987-2025</v>
          </cell>
          <cell r="B988" t="str">
            <v>PRESTACION DE SERVICIOS</v>
          </cell>
          <cell r="C988" t="str">
            <v>LINDA KATHERYNE
ROSERO CARRILLO</v>
          </cell>
          <cell r="D988" t="str">
            <v>CC</v>
          </cell>
          <cell r="E988">
            <v>1233190311</v>
          </cell>
          <cell r="F988">
            <v>6</v>
          </cell>
          <cell r="G988" t="str">
            <v>CONTRATACION DIRECTA</v>
          </cell>
          <cell r="H988">
            <v>1</v>
          </cell>
          <cell r="I988" t="str">
            <v>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88">
            <v>1</v>
          </cell>
          <cell r="K988" t="str">
            <v>$14.190.000</v>
          </cell>
          <cell r="L988">
            <v>45937</v>
          </cell>
          <cell r="M988">
            <v>46022</v>
          </cell>
          <cell r="N988" t="str">
            <v>RODRIGO DE JESUS VITERI MORENO</v>
          </cell>
          <cell r="O988">
            <v>98390119</v>
          </cell>
          <cell r="P988" t="str">
            <v>linda.rosero1518@gmail.com</v>
          </cell>
          <cell r="Q988">
            <v>45937</v>
          </cell>
          <cell r="R988" t="str">
            <v>DIANA MORA</v>
          </cell>
          <cell r="U988" t="str">
            <v>CELEBRADO</v>
          </cell>
          <cell r="W988" t="str">
            <v>2025-0419</v>
          </cell>
          <cell r="X988" t="str">
            <v>2025-1598</v>
          </cell>
          <cell r="AJ988">
            <v>2</v>
          </cell>
          <cell r="AK988">
            <v>0</v>
          </cell>
          <cell r="AL988">
            <v>2</v>
          </cell>
          <cell r="AM988" t="str">
            <v>$14.190.000</v>
          </cell>
        </row>
        <row r="989">
          <cell r="A989" t="str">
            <v>988-2025</v>
          </cell>
          <cell r="B989" t="str">
            <v>PRESTACION DE SERVICIOS</v>
          </cell>
          <cell r="C989" t="str">
            <v>INGENOVA INGENIERIA RENOVABLE Y SOSTENIBLE SAS</v>
          </cell>
          <cell r="D989" t="str">
            <v>NIT</v>
          </cell>
          <cell r="E989">
            <v>901498931</v>
          </cell>
          <cell r="F989">
            <v>8</v>
          </cell>
          <cell r="G989" t="str">
            <v>CONTRATACION DIRECTA</v>
          </cell>
          <cell r="H989">
            <v>2</v>
          </cell>
          <cell r="I989" t="str">
            <v>Prestación de servicio para la creación de estrategia digital para fortalecer la educación frente al cuidado del ambiente físico y recursos no renovables de la Empresa Social del Estado Pasto Salud E.S.E que permita mejorar la cultura en referencia al buen uso y cuidado del ambiente físico y recursos naturales por parte grupos de interés en las sedes y sede administrativa de Pasto Salud E.S.E.</v>
          </cell>
          <cell r="J989">
            <v>1</v>
          </cell>
          <cell r="K989" t="str">
            <v>$35.257.770</v>
          </cell>
          <cell r="L989">
            <v>45937</v>
          </cell>
          <cell r="M989">
            <v>45969</v>
          </cell>
          <cell r="N989" t="str">
            <v>JUAN PABLO LLANOS</v>
          </cell>
          <cell r="O989">
            <v>17658216</v>
          </cell>
          <cell r="P989" t="str">
            <v>ingenova.renovable@gmail.com</v>
          </cell>
          <cell r="Q989">
            <v>45937</v>
          </cell>
          <cell r="R989" t="str">
            <v>ANDERSON MEJIA</v>
          </cell>
          <cell r="U989" t="str">
            <v>CELEBRADO</v>
          </cell>
          <cell r="W989" t="str">
            <v>2025-0515</v>
          </cell>
          <cell r="X989" t="str">
            <v>2025-1599</v>
          </cell>
          <cell r="AJ989">
            <v>2</v>
          </cell>
          <cell r="AK989">
            <v>0</v>
          </cell>
          <cell r="AL989">
            <v>2</v>
          </cell>
          <cell r="AM989" t="str">
            <v>$35.257.770</v>
          </cell>
        </row>
        <row r="990">
          <cell r="A990" t="str">
            <v>989-2025</v>
          </cell>
          <cell r="B990" t="str">
            <v>COMPRAVENTA</v>
          </cell>
          <cell r="C990" t="str">
            <v xml:space="preserve"> SERVICIOS DE INGENIERIA EYC SAS,</v>
          </cell>
          <cell r="D990" t="str">
            <v>NIT</v>
          </cell>
          <cell r="E990">
            <v>900215065</v>
          </cell>
          <cell r="F990">
            <v>7</v>
          </cell>
          <cell r="G990" t="str">
            <v>CONTRATACION DIRECTA</v>
          </cell>
          <cell r="H990">
            <v>1</v>
          </cell>
          <cell r="I990" t="str">
            <v>COMPRA DE EQUIPOS BIOMÉDICOS E INDUSTRIALES, DE ACUERDO AL PLAN ANUAL DE ADQUISICIONES DE PASTO SALUD E.S.E 2025, PARA LAS DIFERENTES SEDES QUE CONFORMAN LAS REDES PRESTADORAS DE SERVICIOS EN SALUD.</v>
          </cell>
          <cell r="J990">
            <v>4</v>
          </cell>
          <cell r="K990" t="str">
            <v>$20.924.362,62</v>
          </cell>
          <cell r="L990">
            <v>45937</v>
          </cell>
          <cell r="M990">
            <v>45945</v>
          </cell>
          <cell r="N990" t="str">
            <v xml:space="preserve">	MARIO FERNADO NARANJO LOPEZ</v>
          </cell>
          <cell r="O990">
            <v>1004189613</v>
          </cell>
          <cell r="P990" t="str">
            <v>servingsas2013@gmail.com</v>
          </cell>
          <cell r="Q990">
            <v>45937</v>
          </cell>
          <cell r="R990" t="str">
            <v>ANDERSON MEJIA</v>
          </cell>
          <cell r="U990" t="str">
            <v>CELEBRADO</v>
          </cell>
          <cell r="W990" t="str">
            <v>2025-0401</v>
          </cell>
          <cell r="X990" t="str">
            <v>2025-1600</v>
          </cell>
          <cell r="AJ990">
            <v>2</v>
          </cell>
          <cell r="AK990">
            <v>0</v>
          </cell>
          <cell r="AL990">
            <v>2</v>
          </cell>
          <cell r="AM990" t="str">
            <v xml:space="preserve">$20.924.362,62
</v>
          </cell>
        </row>
        <row r="991">
          <cell r="A991" t="str">
            <v>990-2025</v>
          </cell>
          <cell r="B991" t="str">
            <v>COMPRAVENTA</v>
          </cell>
          <cell r="C991" t="str">
            <v>BEESTIC SAS.</v>
          </cell>
          <cell r="D991" t="str">
            <v>NIT</v>
          </cell>
          <cell r="E991">
            <v>901840093</v>
          </cell>
          <cell r="F991">
            <v>7</v>
          </cell>
          <cell r="G991" t="str">
            <v>CONTRATACION DIRECTA</v>
          </cell>
          <cell r="H991">
            <v>2</v>
          </cell>
          <cell r="I991" t="str">
            <v>Compraventa de licencias Creative Cloud Pro, Acrobat Pro for teams y AutoCAD.</v>
          </cell>
          <cell r="J991">
            <v>1</v>
          </cell>
          <cell r="K991" t="str">
            <v>$25.130.993</v>
          </cell>
          <cell r="L991">
            <v>45938</v>
          </cell>
          <cell r="M991">
            <v>45961</v>
          </cell>
          <cell r="N991" t="str">
            <v xml:space="preserve">	IVAN RODRIGO IBARRA MUÑOZ</v>
          </cell>
          <cell r="O991">
            <v>87248313</v>
          </cell>
          <cell r="P991" t="str">
            <v xml:space="preserve"> gerencia@beestic.com</v>
          </cell>
          <cell r="Q991">
            <v>45938</v>
          </cell>
          <cell r="R991" t="str">
            <v>ELIANA BENAVIDES</v>
          </cell>
          <cell r="U991" t="str">
            <v>CELEBRADO</v>
          </cell>
          <cell r="W991" t="str">
            <v>2025-0526</v>
          </cell>
          <cell r="X991" t="str">
            <v>2025-1601</v>
          </cell>
          <cell r="AJ991">
            <v>2</v>
          </cell>
          <cell r="AK991">
            <v>0</v>
          </cell>
          <cell r="AL991">
            <v>2</v>
          </cell>
          <cell r="AM991" t="str">
            <v>$25.130.993</v>
          </cell>
        </row>
        <row r="992">
          <cell r="A992" t="str">
            <v>991-2025</v>
          </cell>
          <cell r="B992" t="str">
            <v>PRESTACION DE SERVICIOS</v>
          </cell>
          <cell r="C992" t="str">
            <v>ANA MILENA MUÑOZ</v>
          </cell>
          <cell r="D992" t="str">
            <v>CC</v>
          </cell>
          <cell r="E992">
            <v>1081592742</v>
          </cell>
          <cell r="F992">
            <v>1</v>
          </cell>
          <cell r="G992" t="str">
            <v>CONTRATACION DIRECTA</v>
          </cell>
          <cell r="H992">
            <v>1</v>
          </cell>
          <cell r="I992" t="str">
            <v>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92">
            <v>1</v>
          </cell>
          <cell r="K992" t="str">
            <v>$9.450.000</v>
          </cell>
          <cell r="L992">
            <v>45938</v>
          </cell>
          <cell r="M992">
            <v>46022</v>
          </cell>
          <cell r="N992" t="str">
            <v>RIGOBERTO MELO ZAMBRANO</v>
          </cell>
          <cell r="O992">
            <v>98333941</v>
          </cell>
          <cell r="P992" t="str">
            <v>anamilenamunoz7@gmail.com</v>
          </cell>
          <cell r="Q992">
            <v>45938</v>
          </cell>
          <cell r="R992" t="str">
            <v>KLINGER GARCIA</v>
          </cell>
          <cell r="U992" t="str">
            <v>CELEBRADO</v>
          </cell>
          <cell r="W992" t="str">
            <v>2025-0419</v>
          </cell>
          <cell r="X992" t="str">
            <v>2025-1602</v>
          </cell>
          <cell r="AJ992">
            <v>2</v>
          </cell>
          <cell r="AK992">
            <v>0</v>
          </cell>
          <cell r="AL992">
            <v>2</v>
          </cell>
          <cell r="AM992" t="str">
            <v>$9.450.000</v>
          </cell>
        </row>
        <row r="993">
          <cell r="A993" t="str">
            <v>992-2025</v>
          </cell>
          <cell r="B993" t="str">
            <v>PRESTACION DE SERVICIOS</v>
          </cell>
          <cell r="C993" t="str">
            <v>JENIFFER ARCOS GIL</v>
          </cell>
          <cell r="D993" t="str">
            <v>CC</v>
          </cell>
          <cell r="E993">
            <v>1004213964</v>
          </cell>
          <cell r="F993">
            <v>5</v>
          </cell>
          <cell r="G993" t="str">
            <v>CONTRATACION DIRECTA</v>
          </cell>
          <cell r="H993">
            <v>1</v>
          </cell>
          <cell r="I993" t="str">
            <v>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93">
            <v>1</v>
          </cell>
          <cell r="K993" t="str">
            <v>$18.900.000</v>
          </cell>
          <cell r="L993">
            <v>45938</v>
          </cell>
          <cell r="M993">
            <v>46022</v>
          </cell>
          <cell r="N993" t="str">
            <v>DEYANIRA BADOS DAZA</v>
          </cell>
          <cell r="O993">
            <v>59836926</v>
          </cell>
          <cell r="P993" t="str">
            <v>enf.jeniffer.arcos@gmail.com</v>
          </cell>
          <cell r="Q993">
            <v>45938</v>
          </cell>
          <cell r="R993" t="str">
            <v>CRISTINA ROSERO</v>
          </cell>
          <cell r="U993" t="str">
            <v>CELEBRADO</v>
          </cell>
          <cell r="W993" t="str">
            <v>2025-0419</v>
          </cell>
          <cell r="X993" t="str">
            <v>2025-1603</v>
          </cell>
          <cell r="AJ993">
            <v>2</v>
          </cell>
          <cell r="AK993">
            <v>0</v>
          </cell>
          <cell r="AL993">
            <v>2</v>
          </cell>
          <cell r="AM993" t="str">
            <v>$18.900.000</v>
          </cell>
        </row>
        <row r="994">
          <cell r="A994" t="str">
            <v>993-2025</v>
          </cell>
          <cell r="B994" t="str">
            <v>PRESTACION DE SERVICIOS</v>
          </cell>
          <cell r="C994" t="str">
            <v>JULY VANESSA OYOLA LOPEZ</v>
          </cell>
          <cell r="D994" t="str">
            <v>CC</v>
          </cell>
          <cell r="E994">
            <v>1123327071</v>
          </cell>
          <cell r="F994">
            <v>5</v>
          </cell>
          <cell r="G994" t="str">
            <v>CONTRATACION DIRECTA</v>
          </cell>
          <cell r="H994">
            <v>1</v>
          </cell>
          <cell r="I994" t="str">
            <v>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94">
            <v>1</v>
          </cell>
          <cell r="K994" t="str">
            <v>$23.400.000</v>
          </cell>
          <cell r="L994">
            <v>45938</v>
          </cell>
          <cell r="M994">
            <v>46022</v>
          </cell>
          <cell r="N994" t="str">
            <v>MARY ALEXANDRA ROSERO BENAVIDES</v>
          </cell>
          <cell r="O994">
            <v>43624414</v>
          </cell>
          <cell r="P994" t="str">
            <v>vanessaoyola91@gmail.com</v>
          </cell>
          <cell r="Q994">
            <v>45938</v>
          </cell>
          <cell r="R994" t="str">
            <v>NATHALIA PORTILLA</v>
          </cell>
          <cell r="U994" t="str">
            <v>CELEBRADO</v>
          </cell>
          <cell r="W994" t="str">
            <v>2025-0419</v>
          </cell>
          <cell r="X994" t="str">
            <v>2025-1604</v>
          </cell>
          <cell r="AJ994">
            <v>2</v>
          </cell>
          <cell r="AK994">
            <v>0</v>
          </cell>
          <cell r="AL994">
            <v>2</v>
          </cell>
          <cell r="AM994" t="str">
            <v>$23.400.000</v>
          </cell>
        </row>
        <row r="995">
          <cell r="A995" t="str">
            <v>994-2025</v>
          </cell>
          <cell r="B995" t="str">
            <v>PRESTACION DE SERVICIOS</v>
          </cell>
          <cell r="C995" t="str">
            <v>OSCAR FERNANDO SALAZAR ALEGRIA  (CITOPAT)</v>
          </cell>
          <cell r="D995" t="str">
            <v>CC</v>
          </cell>
          <cell r="E995">
            <v>76316159</v>
          </cell>
          <cell r="F995">
            <v>6</v>
          </cell>
          <cell r="G995" t="str">
            <v>CONTRATACION DIRECTA</v>
          </cell>
          <cell r="H995">
            <v>1</v>
          </cell>
          <cell r="I995" t="str">
            <v>Contratar la prestación de servicios médicos especializados en patología para la ESE PASTO SALUD.</v>
          </cell>
          <cell r="J995">
            <v>1</v>
          </cell>
          <cell r="K995" t="str">
            <v>$75.000.000</v>
          </cell>
          <cell r="L995">
            <v>45938</v>
          </cell>
          <cell r="M995">
            <v>46022</v>
          </cell>
          <cell r="N995" t="str">
            <v>DEYANIRA BADOS DAZA</v>
          </cell>
          <cell r="O995">
            <v>59836926</v>
          </cell>
          <cell r="P995" t="str">
            <v>oscarfer72@yahoo.com</v>
          </cell>
          <cell r="Q995">
            <v>45938</v>
          </cell>
          <cell r="R995" t="str">
            <v>NATHALIA PORTILLA</v>
          </cell>
          <cell r="U995" t="str">
            <v>CELEBRADO</v>
          </cell>
          <cell r="W995" t="str">
            <v>2025-0524</v>
          </cell>
          <cell r="X995" t="str">
            <v>2025-1605</v>
          </cell>
          <cell r="AJ995">
            <v>2</v>
          </cell>
          <cell r="AK995">
            <v>0</v>
          </cell>
          <cell r="AL995">
            <v>2</v>
          </cell>
          <cell r="AM995" t="str">
            <v>$75.000.000</v>
          </cell>
        </row>
        <row r="996">
          <cell r="A996" t="str">
            <v>995-2025</v>
          </cell>
          <cell r="B996" t="str">
            <v>PRESTACION DE SERVICIOS</v>
          </cell>
          <cell r="C996" t="str">
            <v>GREEN SERVICES AND SOLUTIÓNS S.A.S.</v>
          </cell>
          <cell r="D996" t="str">
            <v>NIT</v>
          </cell>
          <cell r="E996">
            <v>900571849</v>
          </cell>
          <cell r="F996">
            <v>1</v>
          </cell>
          <cell r="G996" t="str">
            <v>CONTRATACION DIRECTA</v>
          </cell>
          <cell r="H996">
            <v>2</v>
          </cell>
          <cell r="I996" t="str">
            <v>Mantenimiento de equipos de comunicaciones y sistemas mediante la instalación y configuración de dos clústeres en Hyper-V con dos servidores PowerEdge R75 y dos servidores PowerEdge R820, y configuración de Directorio Activo, permitiend hdo la replicación de 2 VMs entre sedes para garantizar alta disponibilidad</v>
          </cell>
          <cell r="J996">
            <v>1</v>
          </cell>
          <cell r="K996" t="str">
            <v>$68.752.428</v>
          </cell>
          <cell r="L996">
            <v>45938</v>
          </cell>
          <cell r="M996">
            <v>45975</v>
          </cell>
          <cell r="N996" t="str">
            <v xml:space="preserve">	IVAN RODRIGO IBARRA MUÑOZ</v>
          </cell>
          <cell r="O996">
            <v>87248313</v>
          </cell>
          <cell r="P996" t="str">
            <v>finanzas@greencss.com</v>
          </cell>
          <cell r="Q996">
            <v>45938</v>
          </cell>
          <cell r="R996" t="str">
            <v>ANDERSON MEJIA</v>
          </cell>
          <cell r="U996" t="str">
            <v>CELEBRADO</v>
          </cell>
          <cell r="W996" t="str">
            <v>2025-0457</v>
          </cell>
          <cell r="X996" t="str">
            <v>2025-1606</v>
          </cell>
          <cell r="AJ996">
            <v>2</v>
          </cell>
          <cell r="AK996">
            <v>0</v>
          </cell>
          <cell r="AL996">
            <v>2</v>
          </cell>
          <cell r="AM996" t="str">
            <v>$68.752.428</v>
          </cell>
        </row>
        <row r="997">
          <cell r="A997" t="str">
            <v>996-2025</v>
          </cell>
          <cell r="B997" t="str">
            <v>SUMINISTROS</v>
          </cell>
          <cell r="C997" t="str">
            <v xml:space="preserve"> RAMEDICAS S.A.S</v>
          </cell>
          <cell r="D997" t="str">
            <v>NIT</v>
          </cell>
          <cell r="E997">
            <v>901429936</v>
          </cell>
          <cell r="F997">
            <v>1</v>
          </cell>
          <cell r="G997" t="str">
            <v>CONTRATACION DIRECTA</v>
          </cell>
          <cell r="H997">
            <v>2</v>
          </cell>
          <cell r="I997" t="str">
            <v>El contratista se obliga al suministro de los medicamentos en las cantidades establecidas en el anexo 1, el cual hace parte integral del contrato. Para la ESE Pasto Salud.</v>
          </cell>
          <cell r="J997">
            <v>3</v>
          </cell>
          <cell r="K997" t="str">
            <v>$22.617.865</v>
          </cell>
          <cell r="L997">
            <v>45938</v>
          </cell>
          <cell r="M997">
            <v>45991</v>
          </cell>
          <cell r="N997" t="str">
            <v>NENA DEL CARMEN RAMIREZ RAMIREZ</v>
          </cell>
          <cell r="O997">
            <v>30732589</v>
          </cell>
          <cell r="P997" t="str">
            <v>administracion@ramedicas.com</v>
          </cell>
          <cell r="Q997">
            <v>45938</v>
          </cell>
          <cell r="R997" t="str">
            <v>JUAN GOMEZ</v>
          </cell>
          <cell r="U997" t="str">
            <v>CELEBRADO</v>
          </cell>
          <cell r="W997" t="str">
            <v>2025-0224</v>
          </cell>
          <cell r="X997" t="str">
            <v>2025-1607</v>
          </cell>
          <cell r="AJ997">
            <v>2</v>
          </cell>
          <cell r="AK997">
            <v>0</v>
          </cell>
          <cell r="AL997">
            <v>2</v>
          </cell>
          <cell r="AM997" t="str">
            <v>$22.617.865</v>
          </cell>
        </row>
        <row r="998">
          <cell r="A998" t="str">
            <v>997-2025</v>
          </cell>
          <cell r="B998" t="str">
            <v>COMPRAVENTA</v>
          </cell>
          <cell r="C998" t="str">
            <v>COMERCIALIZADORA VALANTY S.A.S.</v>
          </cell>
          <cell r="D998" t="str">
            <v>NIT</v>
          </cell>
          <cell r="E998">
            <v>900791264</v>
          </cell>
          <cell r="F998">
            <v>5</v>
          </cell>
          <cell r="G998" t="str">
            <v>CONTRATACION DIRECTA</v>
          </cell>
          <cell r="H998">
            <v>2</v>
          </cell>
          <cell r="I998" t="str">
            <v>Compra de elementos categorizados en la línea de consumo "Materiales y suministros", de acuerdo a las necesidades identificadas para dotar las 23 Sedes de la Empresa Socialdel Estado Pasto Salud ESE..</v>
          </cell>
          <cell r="J998">
            <v>1</v>
          </cell>
          <cell r="K998" t="str">
            <v>$5.494.590</v>
          </cell>
          <cell r="L998">
            <v>45938</v>
          </cell>
          <cell r="M998">
            <v>45961</v>
          </cell>
          <cell r="N998" t="str">
            <v xml:space="preserve">	STEFANYA RAMIREZ LOPERA</v>
          </cell>
          <cell r="O998">
            <v>111247705</v>
          </cell>
          <cell r="P998" t="str">
            <v>valantysas@hotmail.com</v>
          </cell>
          <cell r="Q998">
            <v>45938</v>
          </cell>
          <cell r="R998" t="str">
            <v>CRISTINA ROSERO</v>
          </cell>
          <cell r="U998" t="str">
            <v>CELEBRADO</v>
          </cell>
          <cell r="W998" t="str">
            <v>2025-0506</v>
          </cell>
          <cell r="X998" t="str">
            <v>2025-1608</v>
          </cell>
          <cell r="AJ998">
            <v>2</v>
          </cell>
          <cell r="AK998">
            <v>0</v>
          </cell>
          <cell r="AL998">
            <v>2</v>
          </cell>
          <cell r="AM998" t="str">
            <v>$5.494.590</v>
          </cell>
        </row>
        <row r="999">
          <cell r="A999" t="str">
            <v>998-2025</v>
          </cell>
          <cell r="B999" t="str">
            <v>PRESTACION DE SERVICIOS</v>
          </cell>
          <cell r="C999" t="str">
            <v>ANGELA EDITH GONZALEZ PIANDA</v>
          </cell>
          <cell r="D999" t="str">
            <v>CC</v>
          </cell>
          <cell r="E999">
            <v>1030606749</v>
          </cell>
          <cell r="F999">
            <v>1</v>
          </cell>
          <cell r="G999" t="str">
            <v>CONTRATACION DIRECTA</v>
          </cell>
          <cell r="H999">
            <v>1</v>
          </cell>
          <cell r="I999" t="str">
            <v>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999">
            <v>1</v>
          </cell>
          <cell r="K999" t="str">
            <v>$7.875.000</v>
          </cell>
          <cell r="L999">
            <v>45939</v>
          </cell>
          <cell r="M999">
            <v>46006</v>
          </cell>
          <cell r="N999" t="str">
            <v>RODRIGO DE JESUS VITERI MORENO</v>
          </cell>
          <cell r="O999">
            <v>98390119</v>
          </cell>
          <cell r="P999" t="str">
            <v>angelitagonza1991@gmail.com</v>
          </cell>
          <cell r="Q999">
            <v>45939</v>
          </cell>
          <cell r="R999" t="str">
            <v>DIANA MORA</v>
          </cell>
          <cell r="U999" t="str">
            <v>CELEBRADO</v>
          </cell>
          <cell r="W999" t="str">
            <v>2025-0419</v>
          </cell>
          <cell r="X999" t="str">
            <v>2025-1611</v>
          </cell>
          <cell r="AJ999">
            <v>2</v>
          </cell>
          <cell r="AK999">
            <v>0</v>
          </cell>
          <cell r="AL999">
            <v>2</v>
          </cell>
          <cell r="AM999" t="str">
            <v>$7.875.000</v>
          </cell>
        </row>
        <row r="1000">
          <cell r="A1000" t="str">
            <v>999-2025</v>
          </cell>
          <cell r="B1000" t="str">
            <v>PRESTACION DE SERVICIOS</v>
          </cell>
          <cell r="C1000" t="str">
            <v>DIANA CAROLINA TISOY CHASOY</v>
          </cell>
          <cell r="D1000" t="str">
            <v>CC</v>
          </cell>
          <cell r="E1000">
            <v>1081052090</v>
          </cell>
          <cell r="F1000">
            <v>1</v>
          </cell>
          <cell r="G1000" t="str">
            <v>CONTRATACION DIRECTA</v>
          </cell>
          <cell r="H1000">
            <v>1</v>
          </cell>
          <cell r="I1000"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00">
            <v>1</v>
          </cell>
          <cell r="K1000" t="str">
            <v>$6.000.000</v>
          </cell>
          <cell r="L1000">
            <v>45939</v>
          </cell>
          <cell r="M1000">
            <v>46022</v>
          </cell>
          <cell r="N1000" t="str">
            <v>RIGOBERTO MELO ZAMBRANO</v>
          </cell>
          <cell r="O1000">
            <v>98333941</v>
          </cell>
          <cell r="P1000" t="str">
            <v>dianasalome569@gmail.com</v>
          </cell>
          <cell r="Q1000">
            <v>45939</v>
          </cell>
          <cell r="R1000" t="str">
            <v>NATHALIA PORTILLA</v>
          </cell>
          <cell r="U1000" t="str">
            <v>CELEBRADO</v>
          </cell>
          <cell r="W1000" t="str">
            <v>2025-0419</v>
          </cell>
          <cell r="X1000" t="str">
            <v>2025-1612</v>
          </cell>
          <cell r="AJ1000">
            <v>2</v>
          </cell>
          <cell r="AK1000">
            <v>0</v>
          </cell>
          <cell r="AL1000">
            <v>2</v>
          </cell>
          <cell r="AM1000" t="str">
            <v>$6.000.000</v>
          </cell>
        </row>
        <row r="1001">
          <cell r="A1001" t="str">
            <v>1000-2025</v>
          </cell>
          <cell r="B1001" t="str">
            <v>PRESTACION DE SERVICIOS</v>
          </cell>
          <cell r="C1001" t="str">
            <v>PABLO ERNESTO RIOBAMBA IPIALES</v>
          </cell>
          <cell r="D1001" t="str">
            <v>CC</v>
          </cell>
          <cell r="E1001">
            <v>12974849</v>
          </cell>
          <cell r="F1001">
            <v>9</v>
          </cell>
          <cell r="G1001" t="str">
            <v>CONTRATACION DIRECTA</v>
          </cell>
          <cell r="H1001">
            <v>1</v>
          </cell>
          <cell r="I1001"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01">
            <v>1</v>
          </cell>
          <cell r="K1001" t="str">
            <v>$6.000.000</v>
          </cell>
          <cell r="L1001">
            <v>45939</v>
          </cell>
          <cell r="M1001">
            <v>46022</v>
          </cell>
          <cell r="N1001" t="str">
            <v>MARY ALEXANDRA ROSERO BENAVIDES</v>
          </cell>
          <cell r="O1001">
            <v>43624414</v>
          </cell>
          <cell r="P1001" t="str">
            <v>drogbrisur@gmail.com</v>
          </cell>
          <cell r="Q1001">
            <v>45939</v>
          </cell>
          <cell r="R1001" t="str">
            <v>DIANA MORA</v>
          </cell>
          <cell r="U1001" t="str">
            <v>CELEBRADO</v>
          </cell>
          <cell r="W1001" t="str">
            <v>2025-0419</v>
          </cell>
          <cell r="X1001" t="str">
            <v>2025-1613</v>
          </cell>
          <cell r="AJ1001">
            <v>2</v>
          </cell>
          <cell r="AK1001">
            <v>0</v>
          </cell>
          <cell r="AL1001">
            <v>2</v>
          </cell>
          <cell r="AM1001" t="str">
            <v>$6.000.000</v>
          </cell>
        </row>
        <row r="1002">
          <cell r="A1002" t="str">
            <v>1001-2025</v>
          </cell>
          <cell r="B1002" t="str">
            <v>PRESTACION DE SERVICIOS</v>
          </cell>
          <cell r="C1002" t="str">
            <v>TOTAL HEALTH PRO SAS</v>
          </cell>
          <cell r="D1002" t="str">
            <v>NIT</v>
          </cell>
          <cell r="E1002">
            <v>901879674</v>
          </cell>
          <cell r="F1002">
            <v>5</v>
          </cell>
          <cell r="G1002" t="str">
            <v>CONTRATACION DIRECTA</v>
          </cell>
          <cell r="H1002">
            <v>2</v>
          </cell>
          <cell r="I1002" t="str">
            <v>Prestación de servicios de apoyo a la gestión a través de profesionales con conocimientos en cirugía general, así como cirugía ginecológica que se requieran para prestar el servicio quirúrgico en el desarrollo del PROCESO DE ATENCIÓN AL CLIENTE ASISTENCIAL, que incluye el uso de torre laparoscópica (insuflador cámara, fuente de luz, monitor, etc), con sus insumos y consumibles, así como el servicio de anestesia y sedación será provisto según requerimiento técnicos del contratante</v>
          </cell>
          <cell r="J1002">
            <v>1</v>
          </cell>
          <cell r="K1002" t="str">
            <v>$550.000.000</v>
          </cell>
          <cell r="L1002">
            <v>45939</v>
          </cell>
          <cell r="M1002">
            <v>46022</v>
          </cell>
          <cell r="N1002" t="str">
            <v>MARY ALEXANDRA ROSERO BENAVIDES</v>
          </cell>
          <cell r="O1002">
            <v>43624414</v>
          </cell>
          <cell r="P1002" t="str">
            <v>healthprosas@gmail.com</v>
          </cell>
          <cell r="Q1002">
            <v>45939</v>
          </cell>
          <cell r="R1002" t="str">
            <v>CRISTINA ROSERO</v>
          </cell>
          <cell r="U1002" t="str">
            <v>CELEBRADO</v>
          </cell>
          <cell r="W1002" t="str">
            <v>2025-0527</v>
          </cell>
          <cell r="X1002" t="str">
            <v>2025-1614</v>
          </cell>
          <cell r="AJ1002">
            <v>2</v>
          </cell>
          <cell r="AK1002">
            <v>0</v>
          </cell>
          <cell r="AL1002">
            <v>2</v>
          </cell>
          <cell r="AM1002" t="str">
            <v>$550.000.000</v>
          </cell>
        </row>
        <row r="1003">
          <cell r="A1003" t="str">
            <v>1002-2025</v>
          </cell>
          <cell r="B1003" t="str">
            <v>PRESTACION DE SERVICIOS</v>
          </cell>
          <cell r="C1003" t="str">
            <v>HERNANDO RÍOS ESTRADA (SERVICIOS LA
VOZ DEL PUEBLO)</v>
          </cell>
          <cell r="D1003" t="str">
            <v>CC</v>
          </cell>
          <cell r="E1003">
            <v>94152330</v>
          </cell>
          <cell r="F1003">
            <v>1</v>
          </cell>
          <cell r="G1003" t="str">
            <v>CONTRATACION DIRECTA</v>
          </cell>
          <cell r="H1003">
            <v>1</v>
          </cell>
          <cell r="I1003" t="str">
            <v>PRESTACIÓN DE SERVICIOS PROFESIONALES COMO PSICÓLOGO TENDIENTES A DIFUNDIR Y EDUCAR A LA POBLACION USUARIA DE PASTO SALUD ESE, SOBRE EL PORTAFOLIO DЕ SERVICIOS DE LA ESE, A TRAVÉS DE MEDIOS DIDÁCTICOS (DE COMUNICACIÓN) EN LA JURISDICCION DEL MUNICIPIO DE PASTO - NARINO.</v>
          </cell>
          <cell r="J1003">
            <v>1</v>
          </cell>
          <cell r="K1003" t="str">
            <v>$10.000.000</v>
          </cell>
          <cell r="L1003">
            <v>45939</v>
          </cell>
          <cell r="M1003">
            <v>46022</v>
          </cell>
          <cell r="N1003" t="str">
            <v>RODRIGO DE JESUS VITERI MORENO</v>
          </cell>
          <cell r="O1003">
            <v>98390119</v>
          </cell>
          <cell r="P1003" t="str">
            <v>hernandorios69@gmail.com</v>
          </cell>
          <cell r="Q1003">
            <v>45939</v>
          </cell>
          <cell r="R1003" t="str">
            <v>RODRIGO  ROSERO</v>
          </cell>
          <cell r="U1003" t="str">
            <v>CELEBRADO</v>
          </cell>
          <cell r="W1003" t="str">
            <v>2025-0507</v>
          </cell>
          <cell r="X1003" t="str">
            <v>2025-1615</v>
          </cell>
          <cell r="AJ1003">
            <v>2</v>
          </cell>
          <cell r="AK1003">
            <v>0</v>
          </cell>
          <cell r="AL1003">
            <v>2</v>
          </cell>
          <cell r="AM1003" t="str">
            <v>$10.000.000</v>
          </cell>
        </row>
        <row r="1004">
          <cell r="A1004" t="str">
            <v>1003-2025</v>
          </cell>
          <cell r="B1004" t="str">
            <v>PRESTACION DE SERVICIOS</v>
          </cell>
          <cell r="C1004" t="str">
            <v>EDUARDO MAURICIO NARVAEZ GUERRA</v>
          </cell>
          <cell r="D1004" t="str">
            <v>CC</v>
          </cell>
          <cell r="E1004">
            <v>12990231</v>
          </cell>
          <cell r="F1004">
            <v>5</v>
          </cell>
          <cell r="G1004" t="str">
            <v>CONTRATACION DIRECTA</v>
          </cell>
          <cell r="H1004">
            <v>1</v>
          </cell>
          <cell r="I1004"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04">
            <v>1</v>
          </cell>
          <cell r="K1004" t="str">
            <v>$6.000.000</v>
          </cell>
          <cell r="L1004">
            <v>45939</v>
          </cell>
          <cell r="M1004">
            <v>46022</v>
          </cell>
          <cell r="N1004" t="str">
            <v>DEYANIRA BADOS DAZA</v>
          </cell>
          <cell r="O1004">
            <v>59836926</v>
          </cell>
          <cell r="P1004" t="str">
            <v>narvaezmauricio418@gmail.com</v>
          </cell>
          <cell r="Q1004">
            <v>45939</v>
          </cell>
          <cell r="R1004" t="str">
            <v>DIANA MORA</v>
          </cell>
          <cell r="U1004" t="str">
            <v>CELEBRADO</v>
          </cell>
          <cell r="W1004" t="str">
            <v>2025-0419</v>
          </cell>
          <cell r="X1004" t="str">
            <v>2025-1617</v>
          </cell>
          <cell r="AJ1004">
            <v>2</v>
          </cell>
          <cell r="AK1004">
            <v>0</v>
          </cell>
          <cell r="AL1004">
            <v>2</v>
          </cell>
          <cell r="AM1004" t="str">
            <v>$6.000.000</v>
          </cell>
        </row>
        <row r="1005">
          <cell r="A1005" t="str">
            <v>1004-2025</v>
          </cell>
          <cell r="B1005" t="str">
            <v>PRESTACION DE SERVICIOS</v>
          </cell>
          <cell r="C1005" t="str">
            <v>EDILIA ROSARIO ROSERO DELGADO</v>
          </cell>
          <cell r="D1005" t="str">
            <v>CC</v>
          </cell>
          <cell r="E1005">
            <v>1085317085</v>
          </cell>
          <cell r="F1005">
            <v>8</v>
          </cell>
          <cell r="G1005" t="str">
            <v>CONTRATACION DIRECTA</v>
          </cell>
          <cell r="H1005">
            <v>1</v>
          </cell>
          <cell r="I1005"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05">
            <v>1</v>
          </cell>
          <cell r="K1005" t="str">
            <v>$6.000.000</v>
          </cell>
          <cell r="L1005">
            <v>45939</v>
          </cell>
          <cell r="M1005">
            <v>46022</v>
          </cell>
          <cell r="N1005" t="str">
            <v>DEYANIRA BADOS DAZA</v>
          </cell>
          <cell r="O1005">
            <v>59836926</v>
          </cell>
          <cell r="P1005" t="str">
            <v>ediliarosero26@gmail.com</v>
          </cell>
          <cell r="Q1005">
            <v>45939</v>
          </cell>
          <cell r="R1005" t="str">
            <v>NATHALIA PORTILLA</v>
          </cell>
          <cell r="U1005" t="str">
            <v>CELEBRADO</v>
          </cell>
          <cell r="W1005" t="str">
            <v>2025-0419</v>
          </cell>
          <cell r="X1005" t="str">
            <v>2025-1618</v>
          </cell>
          <cell r="AJ1005">
            <v>2</v>
          </cell>
          <cell r="AK1005">
            <v>0</v>
          </cell>
          <cell r="AL1005">
            <v>2</v>
          </cell>
          <cell r="AM1005" t="str">
            <v>$6.000.000</v>
          </cell>
        </row>
        <row r="1006">
          <cell r="A1006" t="str">
            <v>1005-2025</v>
          </cell>
          <cell r="B1006" t="str">
            <v>PRESTACION DE SERVICIOS</v>
          </cell>
          <cell r="C1006" t="str">
            <v>AURA VIRGINIA RIASCOS MORIANO</v>
          </cell>
          <cell r="D1006" t="str">
            <v>CC</v>
          </cell>
          <cell r="E1006">
            <v>36933095</v>
          </cell>
          <cell r="F1006">
            <v>4</v>
          </cell>
          <cell r="G1006" t="str">
            <v>CONTRATACION DIRECTA</v>
          </cell>
          <cell r="H1006">
            <v>1</v>
          </cell>
          <cell r="I1006"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06">
            <v>1</v>
          </cell>
          <cell r="K1006" t="str">
            <v>$6.000.000</v>
          </cell>
          <cell r="L1006">
            <v>45939</v>
          </cell>
          <cell r="M1006">
            <v>46022</v>
          </cell>
          <cell r="N1006" t="str">
            <v>RIGOBERTO MELO ZAMBRANO</v>
          </cell>
          <cell r="O1006">
            <v>98333941</v>
          </cell>
          <cell r="P1006" t="str">
            <v>aurariascos97@gmail.com</v>
          </cell>
          <cell r="Q1006">
            <v>45939</v>
          </cell>
          <cell r="R1006" t="str">
            <v>NATHALIA PORTILLA</v>
          </cell>
          <cell r="U1006" t="str">
            <v>CELEBRADO</v>
          </cell>
          <cell r="W1006" t="str">
            <v>2025-0419</v>
          </cell>
          <cell r="X1006" t="str">
            <v>2025-1619</v>
          </cell>
          <cell r="AJ1006">
            <v>2</v>
          </cell>
          <cell r="AK1006">
            <v>0</v>
          </cell>
          <cell r="AL1006">
            <v>2</v>
          </cell>
          <cell r="AM1006" t="str">
            <v>$6.000.000</v>
          </cell>
        </row>
        <row r="1007">
          <cell r="A1007" t="str">
            <v>1006-2025</v>
          </cell>
          <cell r="B1007" t="str">
            <v>PRESTACION DE SERVICIOS</v>
          </cell>
          <cell r="C1007" t="str">
            <v>SP SISTEMAS PALACIOS LTDA</v>
          </cell>
          <cell r="D1007" t="str">
            <v>NIT</v>
          </cell>
          <cell r="E1007">
            <v>900163149</v>
          </cell>
          <cell r="F1007">
            <v>2</v>
          </cell>
          <cell r="G1007" t="str">
            <v>CONTRATACION DIRECTA</v>
          </cell>
          <cell r="H1007">
            <v>2</v>
          </cell>
          <cell r="I1007" t="str">
            <v>Prestar el servicio de seguridad perimetral para las 22 sedes y la Sede Administrativa de la ESE Pasto Salud</v>
          </cell>
          <cell r="J1007">
            <v>1</v>
          </cell>
          <cell r="K1007" t="str">
            <v>$13.287.000</v>
          </cell>
          <cell r="L1007">
            <v>45939</v>
          </cell>
          <cell r="M1007">
            <v>46022</v>
          </cell>
          <cell r="N1007" t="str">
            <v xml:space="preserve">	IVAN RODRIGO IBARRA MUÑOZ</v>
          </cell>
          <cell r="O1007">
            <v>87248313</v>
          </cell>
          <cell r="P1007" t="str">
            <v>contabilidad@sistemaspalacios.com</v>
          </cell>
          <cell r="Q1007">
            <v>45939</v>
          </cell>
          <cell r="R1007" t="str">
            <v>CRISTINA ROSERO</v>
          </cell>
          <cell r="U1007" t="str">
            <v>CELEBRADO</v>
          </cell>
          <cell r="W1007" t="str">
            <v>2025-0511</v>
          </cell>
          <cell r="X1007" t="str">
            <v>2025-1620</v>
          </cell>
          <cell r="AJ1007">
            <v>2</v>
          </cell>
          <cell r="AK1007">
            <v>0</v>
          </cell>
          <cell r="AL1007">
            <v>2</v>
          </cell>
          <cell r="AM1007" t="str">
            <v>$13.287.000</v>
          </cell>
        </row>
        <row r="1008">
          <cell r="A1008" t="str">
            <v>1007-2025</v>
          </cell>
          <cell r="B1008" t="str">
            <v>PRESTACION DE SERVICIOS</v>
          </cell>
          <cell r="C1008" t="str">
            <v>ANTONY EDGARDO ACHICANOY NUPAN</v>
          </cell>
          <cell r="D1008" t="str">
            <v>CC</v>
          </cell>
          <cell r="E1008">
            <v>1085334831</v>
          </cell>
          <cell r="F1008">
            <v>8</v>
          </cell>
          <cell r="G1008" t="str">
            <v>CONTRATACION DIRECTA</v>
          </cell>
          <cell r="H1008">
            <v>1</v>
          </cell>
          <cell r="I1008"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v>
          </cell>
          <cell r="J1008">
            <v>1</v>
          </cell>
          <cell r="K1008" t="str">
            <v>$6.000.000</v>
          </cell>
          <cell r="L1008">
            <v>45939</v>
          </cell>
          <cell r="M1008">
            <v>46022</v>
          </cell>
          <cell r="N1008" t="str">
            <v>RODRIGO DE JESUS VITERI MORENO</v>
          </cell>
          <cell r="O1008">
            <v>98390119</v>
          </cell>
          <cell r="P1008" t="str">
            <v>anthonysnipeer@gmail.com</v>
          </cell>
          <cell r="Q1008">
            <v>45939</v>
          </cell>
          <cell r="R1008" t="str">
            <v>ELIANA BENAVIDES</v>
          </cell>
          <cell r="U1008" t="str">
            <v>CELEBRADO</v>
          </cell>
          <cell r="W1008" t="str">
            <v>2025-0419</v>
          </cell>
          <cell r="X1008" t="str">
            <v>2025-1621</v>
          </cell>
          <cell r="AJ1008">
            <v>2</v>
          </cell>
          <cell r="AK1008">
            <v>0</v>
          </cell>
          <cell r="AL1008">
            <v>2</v>
          </cell>
          <cell r="AM1008" t="str">
            <v>$6.000.000</v>
          </cell>
        </row>
        <row r="1009">
          <cell r="A1009" t="str">
            <v>1008-2025</v>
          </cell>
          <cell r="B1009" t="str">
            <v>PRESTACION DE SERVICIOS</v>
          </cell>
          <cell r="C1009" t="str">
            <v>JULIO CESAR RAMIREZ GOMEZ</v>
          </cell>
          <cell r="D1009" t="str">
            <v>CC</v>
          </cell>
          <cell r="E1009">
            <v>98394849</v>
          </cell>
          <cell r="F1009">
            <v>2</v>
          </cell>
          <cell r="G1009" t="str">
            <v>CONTRATACION DIRECTA</v>
          </cell>
          <cell r="H1009">
            <v>1</v>
          </cell>
          <cell r="I1009" t="str">
            <v>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v>
          </cell>
          <cell r="J1009">
            <v>1</v>
          </cell>
          <cell r="K1009" t="str">
            <v>$14.190.000</v>
          </cell>
          <cell r="L1009">
            <v>45940</v>
          </cell>
          <cell r="M1009">
            <v>46022</v>
          </cell>
          <cell r="N1009" t="str">
            <v>MARY ALEXANDRA ROSERO BENAVIDES</v>
          </cell>
          <cell r="O1009">
            <v>43624414</v>
          </cell>
          <cell r="P1009" t="str">
            <v>jurago12@yahoo.es</v>
          </cell>
          <cell r="Q1009">
            <v>45940</v>
          </cell>
          <cell r="R1009" t="str">
            <v>KLINGER GARCIA</v>
          </cell>
          <cell r="U1009" t="str">
            <v>CELEBRADO</v>
          </cell>
          <cell r="W1009" t="str">
            <v>2025-0419</v>
          </cell>
          <cell r="X1009" t="str">
            <v>2025-1622</v>
          </cell>
          <cell r="AJ1009">
            <v>2</v>
          </cell>
          <cell r="AK1009">
            <v>0</v>
          </cell>
          <cell r="AL1009">
            <v>2</v>
          </cell>
          <cell r="AM1009" t="str">
            <v>$14.190.000</v>
          </cell>
        </row>
        <row r="1010">
          <cell r="A1010" t="str">
            <v>1009-2025</v>
          </cell>
          <cell r="B1010" t="str">
            <v>PRESTACION DE SERVICIOS</v>
          </cell>
          <cell r="C1010" t="str">
            <v>CARMEN PATIÑO DE BENAVIDES</v>
          </cell>
          <cell r="D1010" t="str">
            <v>CC</v>
          </cell>
          <cell r="E1010">
            <v>27086745</v>
          </cell>
          <cell r="G1010" t="str">
            <v>CONTRATACION DIRECTA</v>
          </cell>
          <cell r="H1010">
            <v>1</v>
          </cell>
          <cell r="I1010" t="str">
            <v>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v>
          </cell>
          <cell r="J1010">
            <v>1</v>
          </cell>
          <cell r="K1010" t="str">
            <v>$6.000.000</v>
          </cell>
          <cell r="L1010">
            <v>45940</v>
          </cell>
          <cell r="M1010">
            <v>46022</v>
          </cell>
          <cell r="N1010" t="str">
            <v>DEYANIRA BADOS DAZA</v>
          </cell>
          <cell r="O1010">
            <v>59836926</v>
          </cell>
          <cell r="P1010" t="str">
            <v>carmenpatiño34@gmail.com</v>
          </cell>
          <cell r="Q1010">
            <v>45940</v>
          </cell>
          <cell r="R1010" t="str">
            <v>NATHALIA PORTILLA</v>
          </cell>
          <cell r="U1010" t="str">
            <v>CELEBRADO</v>
          </cell>
          <cell r="W1010" t="str">
            <v>2025-0419</v>
          </cell>
          <cell r="X1010" t="str">
            <v>2025-1623</v>
          </cell>
          <cell r="AJ1010">
            <v>2</v>
          </cell>
          <cell r="AK1010">
            <v>0</v>
          </cell>
          <cell r="AL1010">
            <v>2</v>
          </cell>
          <cell r="AM1010" t="str">
            <v>$6.000.000</v>
          </cell>
        </row>
        <row r="1011">
          <cell r="A1011" t="str">
            <v>1010-2025</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4"/>
  <sheetViews>
    <sheetView tabSelected="1" topLeftCell="H204" workbookViewId="0">
      <selection activeCell="L279" sqref="L1:L1048576"/>
    </sheetView>
  </sheetViews>
  <sheetFormatPr baseColWidth="10" defaultColWidth="9.140625" defaultRowHeight="15" x14ac:dyDescent="0.25"/>
  <cols>
    <col min="1" max="1" width="16.5703125" bestFit="1" customWidth="1"/>
    <col min="2" max="2" width="17.42578125" style="4" bestFit="1" customWidth="1"/>
    <col min="3" max="3" width="9.28515625" bestFit="1" customWidth="1"/>
    <col min="4" max="4" width="20.28515625" style="3" bestFit="1" customWidth="1"/>
    <col min="5" max="5" width="22.140625" style="3" bestFit="1" customWidth="1"/>
    <col min="6" max="6" width="10.140625" customWidth="1"/>
    <col min="7" max="7" width="28.5703125" bestFit="1" customWidth="1"/>
    <col min="8" max="8" width="21.42578125" bestFit="1" customWidth="1"/>
    <col min="9" max="9" width="40.7109375" customWidth="1"/>
    <col min="10" max="10" width="18.42578125" bestFit="1" customWidth="1"/>
    <col min="11" max="11" width="38.140625" bestFit="1" customWidth="1"/>
    <col min="12" max="12" width="16.140625" style="5" bestFit="1" customWidth="1"/>
    <col min="13" max="13" width="15.42578125" bestFit="1" customWidth="1"/>
    <col min="14" max="14" width="69.5703125" style="4" bestFit="1" customWidth="1"/>
  </cols>
  <sheetData>
    <row r="1" spans="1:14" x14ac:dyDescent="0.25">
      <c r="A1" s="1" t="s">
        <v>0</v>
      </c>
      <c r="B1" s="6" t="s">
        <v>324</v>
      </c>
      <c r="C1" t="s">
        <v>314</v>
      </c>
      <c r="D1" s="3" t="s">
        <v>315</v>
      </c>
      <c r="E1" s="2" t="s">
        <v>316</v>
      </c>
      <c r="F1" t="s">
        <v>317</v>
      </c>
      <c r="G1" t="s">
        <v>318</v>
      </c>
      <c r="H1" t="s">
        <v>319</v>
      </c>
      <c r="I1" t="s">
        <v>320</v>
      </c>
      <c r="J1" t="s">
        <v>321</v>
      </c>
      <c r="K1" t="s">
        <v>322</v>
      </c>
      <c r="L1" s="4" t="s">
        <v>323</v>
      </c>
      <c r="M1" t="s">
        <v>724</v>
      </c>
    </row>
    <row r="2" spans="1:14" x14ac:dyDescent="0.25">
      <c r="A2" t="s">
        <v>177</v>
      </c>
      <c r="B2" s="4">
        <v>373914100</v>
      </c>
      <c r="C2" t="s">
        <v>325</v>
      </c>
      <c r="D2" s="3">
        <v>45429</v>
      </c>
      <c r="E2" s="3">
        <v>45514</v>
      </c>
      <c r="F2" t="s">
        <v>470</v>
      </c>
      <c r="G2" t="s">
        <v>622</v>
      </c>
      <c r="H2">
        <v>900633448</v>
      </c>
      <c r="I2" t="s">
        <v>471</v>
      </c>
      <c r="J2">
        <v>1086017548</v>
      </c>
      <c r="K2" t="s">
        <v>472</v>
      </c>
      <c r="L2" s="4">
        <v>260000000</v>
      </c>
      <c r="M2" s="4">
        <f t="shared" ref="M2:M65" si="0">B2-L2</f>
        <v>113914100</v>
      </c>
    </row>
    <row r="3" spans="1:14" x14ac:dyDescent="0.25">
      <c r="A3" t="s">
        <v>2</v>
      </c>
      <c r="B3" s="4">
        <v>8000000</v>
      </c>
      <c r="C3" t="s">
        <v>325</v>
      </c>
      <c r="D3" s="3">
        <v>45398</v>
      </c>
      <c r="E3" s="3">
        <v>45520</v>
      </c>
      <c r="F3" t="s">
        <v>329</v>
      </c>
      <c r="G3" t="s">
        <v>330</v>
      </c>
      <c r="H3">
        <v>1030606749</v>
      </c>
      <c r="I3" t="s">
        <v>331</v>
      </c>
      <c r="J3">
        <v>59822566</v>
      </c>
      <c r="K3" t="s">
        <v>332</v>
      </c>
      <c r="L3" s="4">
        <v>8000000</v>
      </c>
      <c r="M3" s="4">
        <f t="shared" si="0"/>
        <v>0</v>
      </c>
    </row>
    <row r="4" spans="1:14" x14ac:dyDescent="0.25">
      <c r="A4" t="s">
        <v>3</v>
      </c>
      <c r="B4" s="4">
        <v>8000000</v>
      </c>
      <c r="C4" t="s">
        <v>325</v>
      </c>
      <c r="D4" s="3">
        <v>45398</v>
      </c>
      <c r="E4" s="3">
        <v>45520</v>
      </c>
      <c r="F4" t="s">
        <v>329</v>
      </c>
      <c r="G4" t="s">
        <v>330</v>
      </c>
      <c r="H4">
        <v>1085302942</v>
      </c>
      <c r="I4" t="s">
        <v>333</v>
      </c>
      <c r="J4">
        <v>98333941</v>
      </c>
      <c r="K4" t="s">
        <v>334</v>
      </c>
      <c r="L4" s="4">
        <v>8000000</v>
      </c>
      <c r="M4" s="4">
        <f t="shared" si="0"/>
        <v>0</v>
      </c>
    </row>
    <row r="5" spans="1:14" x14ac:dyDescent="0.25">
      <c r="A5" t="s">
        <v>4</v>
      </c>
      <c r="B5" s="4">
        <v>30000000</v>
      </c>
      <c r="C5" t="s">
        <v>325</v>
      </c>
      <c r="D5" s="3">
        <v>45398</v>
      </c>
      <c r="E5" s="3">
        <v>45489</v>
      </c>
      <c r="F5" t="s">
        <v>335</v>
      </c>
      <c r="G5" t="s">
        <v>330</v>
      </c>
      <c r="H5">
        <v>12961661</v>
      </c>
      <c r="I5" t="s">
        <v>336</v>
      </c>
      <c r="J5">
        <v>59822566</v>
      </c>
      <c r="K5" t="s">
        <v>332</v>
      </c>
      <c r="L5" s="4">
        <v>30000000</v>
      </c>
      <c r="M5" s="4">
        <f t="shared" si="0"/>
        <v>0</v>
      </c>
    </row>
    <row r="6" spans="1:14" x14ac:dyDescent="0.25">
      <c r="A6" t="s">
        <v>5</v>
      </c>
      <c r="B6" s="4">
        <v>19302400</v>
      </c>
      <c r="C6" t="s">
        <v>325</v>
      </c>
      <c r="D6" s="3">
        <v>45398</v>
      </c>
      <c r="E6" s="3">
        <v>45520</v>
      </c>
      <c r="F6" t="s">
        <v>337</v>
      </c>
      <c r="G6" t="s">
        <v>330</v>
      </c>
      <c r="H6">
        <v>1085338534</v>
      </c>
      <c r="I6" t="s">
        <v>338</v>
      </c>
      <c r="J6">
        <v>98390119</v>
      </c>
      <c r="K6" t="s">
        <v>339</v>
      </c>
      <c r="L6" s="4">
        <v>19302400</v>
      </c>
      <c r="M6" s="4">
        <f t="shared" si="0"/>
        <v>0</v>
      </c>
    </row>
    <row r="7" spans="1:14" x14ac:dyDescent="0.25">
      <c r="A7" t="s">
        <v>6</v>
      </c>
      <c r="B7" s="4">
        <v>8000000</v>
      </c>
      <c r="C7" t="s">
        <v>325</v>
      </c>
      <c r="D7" s="3">
        <v>45398</v>
      </c>
      <c r="E7" s="3">
        <v>45520</v>
      </c>
      <c r="F7" t="s">
        <v>329</v>
      </c>
      <c r="G7" t="s">
        <v>330</v>
      </c>
      <c r="H7">
        <v>1085300095</v>
      </c>
      <c r="I7" t="s">
        <v>340</v>
      </c>
      <c r="J7">
        <v>59822566</v>
      </c>
      <c r="K7" t="s">
        <v>332</v>
      </c>
      <c r="L7" s="4">
        <v>8000000</v>
      </c>
      <c r="M7" s="4">
        <f t="shared" si="0"/>
        <v>0</v>
      </c>
    </row>
    <row r="8" spans="1:14" x14ac:dyDescent="0.25">
      <c r="A8" t="s">
        <v>7</v>
      </c>
      <c r="B8" s="4">
        <v>8000000</v>
      </c>
      <c r="C8" t="s">
        <v>325</v>
      </c>
      <c r="D8" s="3">
        <v>45398</v>
      </c>
      <c r="E8" s="3">
        <v>45520</v>
      </c>
      <c r="F8" t="s">
        <v>329</v>
      </c>
      <c r="G8" t="s">
        <v>330</v>
      </c>
      <c r="H8">
        <v>1004635031</v>
      </c>
      <c r="I8" t="s">
        <v>341</v>
      </c>
      <c r="J8">
        <v>98333941</v>
      </c>
      <c r="K8" t="s">
        <v>334</v>
      </c>
      <c r="L8" s="4">
        <v>8000000</v>
      </c>
      <c r="M8" s="4">
        <f t="shared" si="0"/>
        <v>0</v>
      </c>
    </row>
    <row r="9" spans="1:14" x14ac:dyDescent="0.25">
      <c r="A9" t="s">
        <v>8</v>
      </c>
      <c r="B9" s="4">
        <v>8000000</v>
      </c>
      <c r="C9" t="s">
        <v>325</v>
      </c>
      <c r="D9" s="3">
        <v>45398</v>
      </c>
      <c r="E9" s="3">
        <v>45520</v>
      </c>
      <c r="F9" t="s">
        <v>329</v>
      </c>
      <c r="G9" t="s">
        <v>330</v>
      </c>
      <c r="H9">
        <v>1004234290</v>
      </c>
      <c r="I9" t="s">
        <v>342</v>
      </c>
      <c r="J9">
        <v>59822566</v>
      </c>
      <c r="K9" t="s">
        <v>332</v>
      </c>
      <c r="L9" s="4">
        <v>8000000</v>
      </c>
      <c r="M9" s="4">
        <f t="shared" si="0"/>
        <v>0</v>
      </c>
    </row>
    <row r="10" spans="1:14" x14ac:dyDescent="0.25">
      <c r="A10" t="s">
        <v>9</v>
      </c>
      <c r="B10" s="4">
        <v>19000000</v>
      </c>
      <c r="C10" t="s">
        <v>325</v>
      </c>
      <c r="D10" s="3">
        <v>45398</v>
      </c>
      <c r="E10" s="3">
        <v>45520</v>
      </c>
      <c r="F10" t="s">
        <v>343</v>
      </c>
      <c r="G10" t="s">
        <v>330</v>
      </c>
      <c r="H10">
        <v>1085260497</v>
      </c>
      <c r="I10" t="s">
        <v>344</v>
      </c>
      <c r="J10">
        <v>98333941</v>
      </c>
      <c r="K10" t="s">
        <v>334</v>
      </c>
      <c r="L10" s="4">
        <v>19000000</v>
      </c>
      <c r="M10" s="4">
        <f t="shared" si="0"/>
        <v>0</v>
      </c>
    </row>
    <row r="11" spans="1:14" x14ac:dyDescent="0.25">
      <c r="A11" t="s">
        <v>10</v>
      </c>
      <c r="B11" s="4">
        <v>30000000</v>
      </c>
      <c r="C11" t="s">
        <v>325</v>
      </c>
      <c r="D11" s="3">
        <v>45398</v>
      </c>
      <c r="E11" s="3">
        <v>45520</v>
      </c>
      <c r="F11" t="s">
        <v>335</v>
      </c>
      <c r="G11" t="s">
        <v>330</v>
      </c>
      <c r="H11">
        <v>1085320661</v>
      </c>
      <c r="I11" t="s">
        <v>345</v>
      </c>
      <c r="J11">
        <v>98333941</v>
      </c>
      <c r="K11" t="s">
        <v>334</v>
      </c>
      <c r="L11" s="4">
        <v>30000000</v>
      </c>
      <c r="M11" s="4">
        <f t="shared" si="0"/>
        <v>0</v>
      </c>
    </row>
    <row r="12" spans="1:14" x14ac:dyDescent="0.25">
      <c r="A12" t="s">
        <v>11</v>
      </c>
      <c r="B12" s="4">
        <v>19000000</v>
      </c>
      <c r="C12" t="s">
        <v>325</v>
      </c>
      <c r="D12" s="3">
        <v>45398</v>
      </c>
      <c r="E12" s="3">
        <v>45520</v>
      </c>
      <c r="F12" t="s">
        <v>346</v>
      </c>
      <c r="G12" t="s">
        <v>330</v>
      </c>
      <c r="H12">
        <v>59821282</v>
      </c>
      <c r="I12" t="s">
        <v>347</v>
      </c>
      <c r="J12">
        <v>59822566</v>
      </c>
      <c r="K12" t="s">
        <v>332</v>
      </c>
      <c r="L12" s="4">
        <v>19000000</v>
      </c>
      <c r="M12" s="4">
        <f t="shared" si="0"/>
        <v>0</v>
      </c>
    </row>
    <row r="13" spans="1:14" x14ac:dyDescent="0.25">
      <c r="A13" t="s">
        <v>13</v>
      </c>
      <c r="B13" s="4">
        <v>30000000</v>
      </c>
      <c r="C13" t="s">
        <v>325</v>
      </c>
      <c r="D13" s="3">
        <v>45398</v>
      </c>
      <c r="E13" s="3">
        <v>45520</v>
      </c>
      <c r="F13" t="s">
        <v>335</v>
      </c>
      <c r="G13" t="s">
        <v>330</v>
      </c>
      <c r="H13">
        <v>1085332934</v>
      </c>
      <c r="I13" t="s">
        <v>348</v>
      </c>
      <c r="J13">
        <v>59822566</v>
      </c>
      <c r="K13" t="s">
        <v>332</v>
      </c>
      <c r="L13" s="4">
        <v>30000000</v>
      </c>
      <c r="M13" s="4">
        <f t="shared" si="0"/>
        <v>0</v>
      </c>
    </row>
    <row r="14" spans="1:14" x14ac:dyDescent="0.25">
      <c r="A14" t="s">
        <v>14</v>
      </c>
      <c r="B14" s="4">
        <v>30000000</v>
      </c>
      <c r="C14" t="s">
        <v>325</v>
      </c>
      <c r="D14" s="3">
        <v>45398</v>
      </c>
      <c r="E14" s="3">
        <v>45520</v>
      </c>
      <c r="F14" t="s">
        <v>335</v>
      </c>
      <c r="G14" t="s">
        <v>330</v>
      </c>
      <c r="H14">
        <v>1233189066</v>
      </c>
      <c r="I14" t="s">
        <v>349</v>
      </c>
      <c r="J14">
        <v>59822566</v>
      </c>
      <c r="K14" t="s">
        <v>332</v>
      </c>
      <c r="L14" s="4">
        <v>30000000</v>
      </c>
      <c r="M14" s="4">
        <f t="shared" si="0"/>
        <v>0</v>
      </c>
    </row>
    <row r="15" spans="1:14" s="10" customFormat="1" x14ac:dyDescent="0.25">
      <c r="A15" s="10" t="s">
        <v>15</v>
      </c>
      <c r="B15" s="11">
        <v>2000000</v>
      </c>
      <c r="C15" s="10" t="s">
        <v>325</v>
      </c>
      <c r="D15" s="12">
        <v>45398</v>
      </c>
      <c r="E15" s="12">
        <v>45520</v>
      </c>
      <c r="F15" s="10" t="s">
        <v>329</v>
      </c>
      <c r="G15" s="10" t="s">
        <v>330</v>
      </c>
      <c r="H15" s="10">
        <v>59830395</v>
      </c>
      <c r="I15" s="10" t="s">
        <v>350</v>
      </c>
      <c r="J15" s="10">
        <v>98390119</v>
      </c>
      <c r="K15" s="10" t="s">
        <v>339</v>
      </c>
      <c r="L15" s="11">
        <v>2000000</v>
      </c>
      <c r="M15" s="4">
        <f t="shared" si="0"/>
        <v>0</v>
      </c>
      <c r="N15" s="11">
        <v>8000000</v>
      </c>
    </row>
    <row r="16" spans="1:14" x14ac:dyDescent="0.25">
      <c r="A16" t="s">
        <v>16</v>
      </c>
      <c r="B16" s="4">
        <v>8000000</v>
      </c>
      <c r="C16" t="s">
        <v>325</v>
      </c>
      <c r="D16" s="3">
        <v>45398</v>
      </c>
      <c r="E16" s="3">
        <v>45520</v>
      </c>
      <c r="F16" t="s">
        <v>329</v>
      </c>
      <c r="G16" t="s">
        <v>330</v>
      </c>
      <c r="H16">
        <v>1085317833</v>
      </c>
      <c r="I16" t="s">
        <v>351</v>
      </c>
      <c r="J16">
        <v>98333941</v>
      </c>
      <c r="K16" t="s">
        <v>334</v>
      </c>
      <c r="L16" s="4">
        <v>8000000</v>
      </c>
      <c r="M16" s="4">
        <f t="shared" si="0"/>
        <v>0</v>
      </c>
    </row>
    <row r="17" spans="1:13" x14ac:dyDescent="0.25">
      <c r="A17" t="s">
        <v>17</v>
      </c>
      <c r="B17" s="4">
        <v>8000000</v>
      </c>
      <c r="C17" t="s">
        <v>325</v>
      </c>
      <c r="D17" s="3">
        <v>45399</v>
      </c>
      <c r="E17" s="3">
        <v>45521</v>
      </c>
      <c r="F17" t="s">
        <v>329</v>
      </c>
      <c r="G17" t="s">
        <v>330</v>
      </c>
      <c r="H17">
        <v>13070330</v>
      </c>
      <c r="I17" t="s">
        <v>352</v>
      </c>
      <c r="J17">
        <v>36950699</v>
      </c>
      <c r="K17" t="s">
        <v>353</v>
      </c>
      <c r="L17" s="4">
        <v>8000000</v>
      </c>
      <c r="M17" s="4">
        <f t="shared" si="0"/>
        <v>0</v>
      </c>
    </row>
    <row r="18" spans="1:13" x14ac:dyDescent="0.25">
      <c r="A18" t="s">
        <v>18</v>
      </c>
      <c r="B18" s="4">
        <v>19302400</v>
      </c>
      <c r="C18" t="s">
        <v>325</v>
      </c>
      <c r="D18" s="3">
        <v>45399</v>
      </c>
      <c r="E18" s="3">
        <v>45521</v>
      </c>
      <c r="F18" t="s">
        <v>337</v>
      </c>
      <c r="G18" t="s">
        <v>330</v>
      </c>
      <c r="H18">
        <v>1193385736</v>
      </c>
      <c r="I18" t="s">
        <v>354</v>
      </c>
      <c r="J18">
        <v>59822566</v>
      </c>
      <c r="K18" t="s">
        <v>332</v>
      </c>
      <c r="L18" s="4">
        <v>19302400</v>
      </c>
      <c r="M18" s="4">
        <f t="shared" si="0"/>
        <v>0</v>
      </c>
    </row>
    <row r="19" spans="1:13" x14ac:dyDescent="0.25">
      <c r="A19" t="s">
        <v>19</v>
      </c>
      <c r="B19" s="4">
        <v>8000000</v>
      </c>
      <c r="C19" t="s">
        <v>325</v>
      </c>
      <c r="D19" s="3">
        <v>45399</v>
      </c>
      <c r="E19" s="3">
        <v>45521</v>
      </c>
      <c r="F19" t="s">
        <v>329</v>
      </c>
      <c r="G19" t="s">
        <v>330</v>
      </c>
      <c r="H19">
        <v>1085327701</v>
      </c>
      <c r="I19" t="s">
        <v>355</v>
      </c>
      <c r="J19">
        <v>36950699</v>
      </c>
      <c r="K19" t="s">
        <v>353</v>
      </c>
      <c r="L19" s="4">
        <v>8000000</v>
      </c>
      <c r="M19" s="4">
        <f t="shared" si="0"/>
        <v>0</v>
      </c>
    </row>
    <row r="20" spans="1:13" x14ac:dyDescent="0.25">
      <c r="A20" t="s">
        <v>20</v>
      </c>
      <c r="B20" s="4">
        <v>8000000</v>
      </c>
      <c r="C20" t="s">
        <v>325</v>
      </c>
      <c r="D20" s="3">
        <v>45399</v>
      </c>
      <c r="E20" s="3">
        <v>45521</v>
      </c>
      <c r="F20" t="s">
        <v>329</v>
      </c>
      <c r="G20" t="s">
        <v>330</v>
      </c>
      <c r="H20">
        <v>59834953</v>
      </c>
      <c r="I20" t="s">
        <v>356</v>
      </c>
      <c r="J20">
        <v>98390119</v>
      </c>
      <c r="K20" t="s">
        <v>339</v>
      </c>
      <c r="L20" s="4">
        <v>8000000</v>
      </c>
      <c r="M20" s="4">
        <f t="shared" si="0"/>
        <v>0</v>
      </c>
    </row>
    <row r="21" spans="1:13" x14ac:dyDescent="0.25">
      <c r="A21" t="s">
        <v>21</v>
      </c>
      <c r="B21" s="4">
        <v>19302400</v>
      </c>
      <c r="C21" t="s">
        <v>325</v>
      </c>
      <c r="D21" s="3">
        <v>45399</v>
      </c>
      <c r="E21" s="3">
        <v>45521</v>
      </c>
      <c r="F21" t="s">
        <v>357</v>
      </c>
      <c r="G21" t="s">
        <v>330</v>
      </c>
      <c r="H21">
        <v>1085291221</v>
      </c>
      <c r="I21" t="s">
        <v>358</v>
      </c>
      <c r="J21">
        <v>59822566</v>
      </c>
      <c r="K21" t="s">
        <v>332</v>
      </c>
      <c r="L21" s="4">
        <v>19302400</v>
      </c>
      <c r="M21" s="4">
        <f t="shared" si="0"/>
        <v>0</v>
      </c>
    </row>
    <row r="22" spans="1:13" x14ac:dyDescent="0.25">
      <c r="A22" t="s">
        <v>22</v>
      </c>
      <c r="B22" s="4">
        <v>8000000</v>
      </c>
      <c r="C22" t="s">
        <v>325</v>
      </c>
      <c r="D22" s="3">
        <v>45399</v>
      </c>
      <c r="E22" s="3">
        <v>45521</v>
      </c>
      <c r="F22" t="s">
        <v>329</v>
      </c>
      <c r="G22" t="s">
        <v>330</v>
      </c>
      <c r="H22">
        <v>1085286725</v>
      </c>
      <c r="I22" t="s">
        <v>359</v>
      </c>
      <c r="J22">
        <v>59822566</v>
      </c>
      <c r="K22" t="s">
        <v>332</v>
      </c>
      <c r="L22" s="4">
        <v>8000000</v>
      </c>
      <c r="M22" s="4">
        <f t="shared" si="0"/>
        <v>0</v>
      </c>
    </row>
    <row r="23" spans="1:13" x14ac:dyDescent="0.25">
      <c r="A23" t="s">
        <v>23</v>
      </c>
      <c r="B23" s="4">
        <v>19000000</v>
      </c>
      <c r="C23" t="s">
        <v>325</v>
      </c>
      <c r="D23" s="3">
        <v>45399</v>
      </c>
      <c r="E23" s="3">
        <v>45521</v>
      </c>
      <c r="F23" t="s">
        <v>360</v>
      </c>
      <c r="G23" t="s">
        <v>330</v>
      </c>
      <c r="H23">
        <v>1085325342</v>
      </c>
      <c r="I23" t="s">
        <v>361</v>
      </c>
      <c r="J23">
        <v>98390119</v>
      </c>
      <c r="K23" t="s">
        <v>339</v>
      </c>
      <c r="L23" s="4">
        <v>19000000</v>
      </c>
      <c r="M23" s="4">
        <f t="shared" si="0"/>
        <v>0</v>
      </c>
    </row>
    <row r="24" spans="1:13" x14ac:dyDescent="0.25">
      <c r="A24" t="s">
        <v>24</v>
      </c>
      <c r="B24" s="4">
        <v>24000000</v>
      </c>
      <c r="C24" t="s">
        <v>325</v>
      </c>
      <c r="D24" s="3">
        <v>45399</v>
      </c>
      <c r="E24" s="3">
        <v>45521</v>
      </c>
      <c r="F24" t="s">
        <v>362</v>
      </c>
      <c r="G24" t="s">
        <v>330</v>
      </c>
      <c r="H24">
        <v>97470681</v>
      </c>
      <c r="I24" t="s">
        <v>363</v>
      </c>
      <c r="J24">
        <v>59822566</v>
      </c>
      <c r="K24" t="s">
        <v>332</v>
      </c>
      <c r="L24" s="4">
        <v>24000000</v>
      </c>
      <c r="M24" s="4">
        <f t="shared" si="0"/>
        <v>0</v>
      </c>
    </row>
    <row r="25" spans="1:13" x14ac:dyDescent="0.25">
      <c r="A25" t="s">
        <v>25</v>
      </c>
      <c r="B25" s="4">
        <v>8000000</v>
      </c>
      <c r="C25" t="s">
        <v>325</v>
      </c>
      <c r="D25" s="3">
        <v>45399</v>
      </c>
      <c r="E25" s="3">
        <v>45521</v>
      </c>
      <c r="F25" t="s">
        <v>329</v>
      </c>
      <c r="G25" t="s">
        <v>330</v>
      </c>
      <c r="H25">
        <v>27087122</v>
      </c>
      <c r="I25" t="s">
        <v>364</v>
      </c>
      <c r="J25">
        <v>98333941</v>
      </c>
      <c r="K25" t="s">
        <v>334</v>
      </c>
      <c r="L25" s="4">
        <v>8000000</v>
      </c>
      <c r="M25" s="4">
        <f t="shared" si="0"/>
        <v>0</v>
      </c>
    </row>
    <row r="26" spans="1:13" x14ac:dyDescent="0.25">
      <c r="A26" s="13" t="s">
        <v>170</v>
      </c>
      <c r="B26" s="14">
        <v>106684483</v>
      </c>
      <c r="C26" s="13" t="s">
        <v>325</v>
      </c>
      <c r="D26" s="15">
        <v>45756</v>
      </c>
      <c r="E26" s="15">
        <v>45808</v>
      </c>
      <c r="F26" s="13" t="s">
        <v>694</v>
      </c>
      <c r="G26" s="13" t="s">
        <v>622</v>
      </c>
      <c r="H26" s="13">
        <v>900994364</v>
      </c>
      <c r="I26" s="13" t="s">
        <v>695</v>
      </c>
      <c r="J26" s="13">
        <v>13016581</v>
      </c>
      <c r="K26" s="13" t="s">
        <v>639</v>
      </c>
      <c r="L26" s="14">
        <v>0</v>
      </c>
      <c r="M26" s="4">
        <f t="shared" si="0"/>
        <v>106684483</v>
      </c>
    </row>
    <row r="27" spans="1:13" x14ac:dyDescent="0.25">
      <c r="A27" t="s">
        <v>27</v>
      </c>
      <c r="B27" s="4">
        <v>19302400</v>
      </c>
      <c r="C27" t="s">
        <v>325</v>
      </c>
      <c r="D27" s="3">
        <v>45399</v>
      </c>
      <c r="E27" s="3">
        <v>45521</v>
      </c>
      <c r="F27" t="s">
        <v>337</v>
      </c>
      <c r="G27" t="s">
        <v>330</v>
      </c>
      <c r="H27">
        <v>37082349</v>
      </c>
      <c r="I27" t="s">
        <v>366</v>
      </c>
      <c r="J27">
        <v>59822566</v>
      </c>
      <c r="K27" t="s">
        <v>332</v>
      </c>
      <c r="L27" s="4">
        <v>19302400</v>
      </c>
      <c r="M27" s="4">
        <f t="shared" si="0"/>
        <v>0</v>
      </c>
    </row>
    <row r="28" spans="1:13" x14ac:dyDescent="0.25">
      <c r="A28" t="s">
        <v>28</v>
      </c>
      <c r="B28" s="4">
        <v>8000000</v>
      </c>
      <c r="C28" t="s">
        <v>325</v>
      </c>
      <c r="D28" s="3">
        <v>45399</v>
      </c>
      <c r="E28" s="3">
        <v>45521</v>
      </c>
      <c r="F28" t="s">
        <v>329</v>
      </c>
      <c r="G28" t="s">
        <v>330</v>
      </c>
      <c r="H28">
        <v>1085288636</v>
      </c>
      <c r="I28" t="s">
        <v>367</v>
      </c>
      <c r="J28">
        <v>59822566</v>
      </c>
      <c r="K28" t="s">
        <v>332</v>
      </c>
      <c r="L28" s="4">
        <v>8000000</v>
      </c>
      <c r="M28" s="4">
        <f t="shared" si="0"/>
        <v>0</v>
      </c>
    </row>
    <row r="29" spans="1:13" x14ac:dyDescent="0.25">
      <c r="A29" t="s">
        <v>29</v>
      </c>
      <c r="B29" s="4">
        <v>8000000</v>
      </c>
      <c r="C29" t="s">
        <v>325</v>
      </c>
      <c r="D29" s="3">
        <v>45399</v>
      </c>
      <c r="E29" s="3">
        <v>45521</v>
      </c>
      <c r="F29" t="s">
        <v>329</v>
      </c>
      <c r="G29" t="s">
        <v>330</v>
      </c>
      <c r="H29">
        <v>1004410201</v>
      </c>
      <c r="I29" t="s">
        <v>368</v>
      </c>
      <c r="J29">
        <v>36950699</v>
      </c>
      <c r="K29" t="s">
        <v>353</v>
      </c>
      <c r="L29" s="4">
        <v>8000000</v>
      </c>
      <c r="M29" s="4">
        <f t="shared" si="0"/>
        <v>0</v>
      </c>
    </row>
    <row r="30" spans="1:13" x14ac:dyDescent="0.25">
      <c r="A30" t="s">
        <v>30</v>
      </c>
      <c r="B30" s="4">
        <v>8000000</v>
      </c>
      <c r="C30" t="s">
        <v>325</v>
      </c>
      <c r="D30" s="3">
        <v>45399</v>
      </c>
      <c r="E30" s="3">
        <v>45521</v>
      </c>
      <c r="F30" t="s">
        <v>329</v>
      </c>
      <c r="G30" t="s">
        <v>330</v>
      </c>
      <c r="H30">
        <v>1004410201</v>
      </c>
      <c r="I30" t="s">
        <v>368</v>
      </c>
      <c r="J30">
        <v>59822566</v>
      </c>
      <c r="K30" t="s">
        <v>332</v>
      </c>
      <c r="L30" s="4">
        <v>8000000</v>
      </c>
      <c r="M30" s="4">
        <f t="shared" si="0"/>
        <v>0</v>
      </c>
    </row>
    <row r="31" spans="1:13" x14ac:dyDescent="0.25">
      <c r="A31" t="s">
        <v>31</v>
      </c>
      <c r="B31" s="4">
        <v>8000000</v>
      </c>
      <c r="C31" t="s">
        <v>325</v>
      </c>
      <c r="D31" s="3">
        <v>45399</v>
      </c>
      <c r="E31" s="3">
        <v>45521</v>
      </c>
      <c r="F31" t="s">
        <v>369</v>
      </c>
      <c r="G31" t="s">
        <v>330</v>
      </c>
      <c r="H31">
        <v>1085318688</v>
      </c>
      <c r="I31" t="s">
        <v>370</v>
      </c>
      <c r="J31">
        <v>98333941</v>
      </c>
      <c r="K31" t="s">
        <v>334</v>
      </c>
      <c r="L31" s="4">
        <v>8000000</v>
      </c>
      <c r="M31" s="4">
        <f t="shared" si="0"/>
        <v>0</v>
      </c>
    </row>
    <row r="32" spans="1:13" x14ac:dyDescent="0.25">
      <c r="A32" t="s">
        <v>32</v>
      </c>
      <c r="B32" s="4">
        <v>30000000</v>
      </c>
      <c r="C32" t="s">
        <v>325</v>
      </c>
      <c r="D32" s="3">
        <v>45400</v>
      </c>
      <c r="E32" s="3">
        <v>45522</v>
      </c>
      <c r="F32" t="s">
        <v>335</v>
      </c>
      <c r="G32" t="s">
        <v>330</v>
      </c>
      <c r="H32">
        <v>1085329230</v>
      </c>
      <c r="I32" t="s">
        <v>371</v>
      </c>
      <c r="J32">
        <v>36950699</v>
      </c>
      <c r="K32" t="s">
        <v>353</v>
      </c>
      <c r="L32" s="4">
        <v>30000000</v>
      </c>
      <c r="M32" s="4">
        <f t="shared" si="0"/>
        <v>0</v>
      </c>
    </row>
    <row r="33" spans="1:13" x14ac:dyDescent="0.25">
      <c r="A33" t="s">
        <v>33</v>
      </c>
      <c r="B33" s="4">
        <v>8000000</v>
      </c>
      <c r="C33" t="s">
        <v>325</v>
      </c>
      <c r="D33" s="3">
        <v>45399</v>
      </c>
      <c r="E33" s="3">
        <v>45521</v>
      </c>
      <c r="F33" t="s">
        <v>369</v>
      </c>
      <c r="G33" t="s">
        <v>330</v>
      </c>
      <c r="H33">
        <v>37084285</v>
      </c>
      <c r="I33" t="s">
        <v>372</v>
      </c>
      <c r="J33">
        <v>36950699</v>
      </c>
      <c r="K33" t="s">
        <v>353</v>
      </c>
      <c r="L33" s="4">
        <v>8000000</v>
      </c>
      <c r="M33" s="4">
        <f t="shared" si="0"/>
        <v>0</v>
      </c>
    </row>
    <row r="34" spans="1:13" x14ac:dyDescent="0.25">
      <c r="A34" t="s">
        <v>35</v>
      </c>
      <c r="B34" s="4">
        <v>8000000</v>
      </c>
      <c r="C34" t="s">
        <v>325</v>
      </c>
      <c r="D34" s="3">
        <v>45401</v>
      </c>
      <c r="E34" s="3">
        <v>45523</v>
      </c>
      <c r="F34" t="s">
        <v>369</v>
      </c>
      <c r="G34" t="s">
        <v>330</v>
      </c>
      <c r="H34">
        <v>1007356378</v>
      </c>
      <c r="I34" t="s">
        <v>373</v>
      </c>
      <c r="J34">
        <v>59822566</v>
      </c>
      <c r="K34" t="s">
        <v>332</v>
      </c>
      <c r="L34" s="4">
        <v>8000000</v>
      </c>
      <c r="M34" s="4">
        <f t="shared" si="0"/>
        <v>0</v>
      </c>
    </row>
    <row r="35" spans="1:13" x14ac:dyDescent="0.25">
      <c r="A35" s="7" t="s">
        <v>93</v>
      </c>
      <c r="B35" s="8">
        <v>257341657</v>
      </c>
      <c r="C35" s="7" t="s">
        <v>325</v>
      </c>
      <c r="D35" s="9">
        <v>45412</v>
      </c>
      <c r="E35" s="9">
        <v>45518</v>
      </c>
      <c r="F35" s="7" t="s">
        <v>413</v>
      </c>
      <c r="G35" s="7" t="s">
        <v>622</v>
      </c>
      <c r="H35" s="7">
        <v>900994364</v>
      </c>
      <c r="I35" s="7" t="s">
        <v>414</v>
      </c>
      <c r="J35" s="7">
        <v>76316961</v>
      </c>
      <c r="K35" s="7" t="s">
        <v>415</v>
      </c>
      <c r="L35" s="8">
        <v>193587004</v>
      </c>
      <c r="M35" s="4">
        <f t="shared" si="0"/>
        <v>63754653</v>
      </c>
    </row>
    <row r="36" spans="1:13" x14ac:dyDescent="0.25">
      <c r="A36" t="s">
        <v>26</v>
      </c>
      <c r="B36" s="4">
        <v>30000000</v>
      </c>
      <c r="C36" t="s">
        <v>325</v>
      </c>
      <c r="D36" s="3">
        <v>45399</v>
      </c>
      <c r="E36" s="3">
        <v>45521</v>
      </c>
      <c r="F36" t="s">
        <v>335</v>
      </c>
      <c r="G36" t="s">
        <v>330</v>
      </c>
      <c r="H36">
        <v>1088599676</v>
      </c>
      <c r="I36" t="s">
        <v>365</v>
      </c>
      <c r="J36">
        <v>98333941</v>
      </c>
      <c r="K36" t="s">
        <v>334</v>
      </c>
      <c r="L36" s="4">
        <v>22500000</v>
      </c>
      <c r="M36" s="4">
        <f t="shared" si="0"/>
        <v>7500000</v>
      </c>
    </row>
    <row r="37" spans="1:13" x14ac:dyDescent="0.25">
      <c r="A37" t="s">
        <v>70</v>
      </c>
      <c r="B37" s="4">
        <v>30000000</v>
      </c>
      <c r="C37" t="s">
        <v>325</v>
      </c>
      <c r="D37" s="3">
        <v>45406</v>
      </c>
      <c r="E37" s="3">
        <v>45497</v>
      </c>
      <c r="F37" t="s">
        <v>335</v>
      </c>
      <c r="G37" t="s">
        <v>330</v>
      </c>
      <c r="H37">
        <v>1089244511</v>
      </c>
      <c r="I37" t="s">
        <v>395</v>
      </c>
      <c r="J37">
        <v>98390119</v>
      </c>
      <c r="K37" t="s">
        <v>339</v>
      </c>
      <c r="L37" s="4">
        <v>22500000</v>
      </c>
      <c r="M37" s="4">
        <f t="shared" si="0"/>
        <v>7500000</v>
      </c>
    </row>
    <row r="38" spans="1:13" x14ac:dyDescent="0.25">
      <c r="A38" t="s">
        <v>72</v>
      </c>
      <c r="B38" s="4">
        <v>30000000</v>
      </c>
      <c r="C38" t="s">
        <v>325</v>
      </c>
      <c r="D38" s="3">
        <v>45407</v>
      </c>
      <c r="E38" s="3">
        <v>45498</v>
      </c>
      <c r="F38" t="s">
        <v>335</v>
      </c>
      <c r="G38" t="s">
        <v>330</v>
      </c>
      <c r="H38">
        <v>1085304670</v>
      </c>
      <c r="I38" t="s">
        <v>396</v>
      </c>
      <c r="J38">
        <v>59822566</v>
      </c>
      <c r="K38" t="s">
        <v>332</v>
      </c>
      <c r="L38" s="4">
        <v>22500000</v>
      </c>
      <c r="M38" s="4">
        <f t="shared" si="0"/>
        <v>7500000</v>
      </c>
    </row>
    <row r="39" spans="1:13" x14ac:dyDescent="0.25">
      <c r="A39" t="s">
        <v>85</v>
      </c>
      <c r="B39" s="4">
        <v>30000000</v>
      </c>
      <c r="C39" t="s">
        <v>325</v>
      </c>
      <c r="D39" s="3">
        <v>45407</v>
      </c>
      <c r="E39" s="3">
        <v>45498</v>
      </c>
      <c r="F39" t="s">
        <v>335</v>
      </c>
      <c r="G39" t="s">
        <v>330</v>
      </c>
      <c r="H39">
        <v>1193202097</v>
      </c>
      <c r="I39" t="s">
        <v>404</v>
      </c>
      <c r="J39">
        <v>36950699</v>
      </c>
      <c r="K39" t="s">
        <v>353</v>
      </c>
      <c r="L39" s="4">
        <v>22500000</v>
      </c>
      <c r="M39" s="4">
        <f t="shared" si="0"/>
        <v>7500000</v>
      </c>
    </row>
    <row r="40" spans="1:13" x14ac:dyDescent="0.25">
      <c r="A40" t="s">
        <v>98</v>
      </c>
      <c r="B40" s="4">
        <v>30000000</v>
      </c>
      <c r="C40" t="s">
        <v>325</v>
      </c>
      <c r="D40" s="3">
        <v>45412</v>
      </c>
      <c r="E40" s="3">
        <v>45503</v>
      </c>
      <c r="F40" t="s">
        <v>418</v>
      </c>
      <c r="G40" t="s">
        <v>330</v>
      </c>
      <c r="H40">
        <v>1085335767</v>
      </c>
      <c r="I40" t="s">
        <v>419</v>
      </c>
      <c r="J40">
        <v>36950699</v>
      </c>
      <c r="K40" t="s">
        <v>353</v>
      </c>
      <c r="L40" s="4">
        <v>22500000</v>
      </c>
      <c r="M40" s="4">
        <f t="shared" si="0"/>
        <v>7500000</v>
      </c>
    </row>
    <row r="41" spans="1:13" x14ac:dyDescent="0.25">
      <c r="A41" t="s">
        <v>105</v>
      </c>
      <c r="B41" s="4">
        <v>30000000</v>
      </c>
      <c r="C41" t="s">
        <v>325</v>
      </c>
      <c r="D41" s="3">
        <v>45412</v>
      </c>
      <c r="E41" s="3">
        <v>45503</v>
      </c>
      <c r="F41" t="s">
        <v>418</v>
      </c>
      <c r="G41" t="s">
        <v>330</v>
      </c>
      <c r="H41">
        <v>80765093</v>
      </c>
      <c r="I41" t="s">
        <v>424</v>
      </c>
      <c r="J41">
        <v>98390119</v>
      </c>
      <c r="K41" t="s">
        <v>339</v>
      </c>
      <c r="L41" s="4">
        <v>22500000</v>
      </c>
      <c r="M41" s="4">
        <f t="shared" si="0"/>
        <v>7500000</v>
      </c>
    </row>
    <row r="42" spans="1:13" x14ac:dyDescent="0.25">
      <c r="A42" t="s">
        <v>126</v>
      </c>
      <c r="B42" s="4">
        <v>30000000</v>
      </c>
      <c r="C42" t="s">
        <v>325</v>
      </c>
      <c r="D42" s="3">
        <v>45419</v>
      </c>
      <c r="E42" s="3">
        <v>45511</v>
      </c>
      <c r="F42" t="s">
        <v>411</v>
      </c>
      <c r="G42" t="s">
        <v>330</v>
      </c>
      <c r="H42">
        <v>37087120</v>
      </c>
      <c r="I42" t="s">
        <v>438</v>
      </c>
      <c r="J42">
        <v>98333941</v>
      </c>
      <c r="K42" t="s">
        <v>334</v>
      </c>
      <c r="L42" s="4">
        <v>22500000</v>
      </c>
      <c r="M42" s="4">
        <f t="shared" si="0"/>
        <v>7500000</v>
      </c>
    </row>
    <row r="43" spans="1:13" x14ac:dyDescent="0.25">
      <c r="A43" t="s">
        <v>186</v>
      </c>
      <c r="B43" s="4">
        <v>30000000</v>
      </c>
      <c r="C43" t="s">
        <v>325</v>
      </c>
      <c r="D43" s="3">
        <v>45433</v>
      </c>
      <c r="E43" s="3">
        <v>45525</v>
      </c>
      <c r="F43" t="s">
        <v>411</v>
      </c>
      <c r="G43" t="s">
        <v>330</v>
      </c>
      <c r="H43">
        <v>7603662</v>
      </c>
      <c r="I43" t="s">
        <v>477</v>
      </c>
      <c r="J43">
        <v>98390119</v>
      </c>
      <c r="K43" t="s">
        <v>339</v>
      </c>
      <c r="L43" s="4">
        <v>22500000</v>
      </c>
      <c r="M43" s="4">
        <f t="shared" si="0"/>
        <v>7500000</v>
      </c>
    </row>
    <row r="44" spans="1:13" x14ac:dyDescent="0.25">
      <c r="A44" t="s">
        <v>206</v>
      </c>
      <c r="B44" s="4">
        <v>30000000</v>
      </c>
      <c r="C44" t="s">
        <v>325</v>
      </c>
      <c r="D44" s="3">
        <v>45436</v>
      </c>
      <c r="E44" s="3">
        <v>45528</v>
      </c>
      <c r="F44" t="s">
        <v>411</v>
      </c>
      <c r="G44" t="s">
        <v>330</v>
      </c>
      <c r="H44">
        <v>1085321192</v>
      </c>
      <c r="I44" t="s">
        <v>489</v>
      </c>
      <c r="J44">
        <v>59822566</v>
      </c>
      <c r="K44" t="s">
        <v>332</v>
      </c>
      <c r="L44" s="4">
        <v>22500000</v>
      </c>
      <c r="M44" s="4">
        <f t="shared" si="0"/>
        <v>7500000</v>
      </c>
    </row>
    <row r="45" spans="1:13" x14ac:dyDescent="0.25">
      <c r="A45" t="s">
        <v>217</v>
      </c>
      <c r="B45" s="4">
        <v>30000000</v>
      </c>
      <c r="C45" t="s">
        <v>325</v>
      </c>
      <c r="D45" s="3">
        <v>45436</v>
      </c>
      <c r="E45" s="3">
        <v>45528</v>
      </c>
      <c r="F45" t="s">
        <v>495</v>
      </c>
      <c r="G45" t="s">
        <v>330</v>
      </c>
      <c r="H45">
        <v>1006946167</v>
      </c>
      <c r="I45" t="s">
        <v>496</v>
      </c>
      <c r="J45">
        <v>98333941</v>
      </c>
      <c r="K45" t="s">
        <v>334</v>
      </c>
      <c r="L45" s="4">
        <v>22500000</v>
      </c>
      <c r="M45" s="4">
        <f t="shared" si="0"/>
        <v>7500000</v>
      </c>
    </row>
    <row r="46" spans="1:13" x14ac:dyDescent="0.25">
      <c r="A46" t="s">
        <v>41</v>
      </c>
      <c r="B46" s="4">
        <v>24000000</v>
      </c>
      <c r="C46" t="s">
        <v>325</v>
      </c>
      <c r="D46" s="3">
        <v>45409</v>
      </c>
      <c r="E46" s="3">
        <v>45500</v>
      </c>
      <c r="F46" t="s">
        <v>376</v>
      </c>
      <c r="G46" t="s">
        <v>330</v>
      </c>
      <c r="H46">
        <v>37013610</v>
      </c>
      <c r="I46" t="s">
        <v>377</v>
      </c>
      <c r="J46">
        <v>36950699</v>
      </c>
      <c r="K46" t="s">
        <v>353</v>
      </c>
      <c r="L46" s="4">
        <v>18000000</v>
      </c>
      <c r="M46" s="4">
        <f t="shared" si="0"/>
        <v>6000000</v>
      </c>
    </row>
    <row r="47" spans="1:13" x14ac:dyDescent="0.25">
      <c r="A47" t="s">
        <v>45</v>
      </c>
      <c r="B47" s="4">
        <v>24000000</v>
      </c>
      <c r="C47" t="s">
        <v>325</v>
      </c>
      <c r="D47" s="3">
        <v>45404</v>
      </c>
      <c r="E47" s="3">
        <v>45495</v>
      </c>
      <c r="F47" t="s">
        <v>376</v>
      </c>
      <c r="G47" t="s">
        <v>330</v>
      </c>
      <c r="H47">
        <v>36951002</v>
      </c>
      <c r="I47" t="s">
        <v>379</v>
      </c>
      <c r="J47">
        <v>98333941</v>
      </c>
      <c r="K47" t="s">
        <v>334</v>
      </c>
      <c r="L47" s="4">
        <v>18000000</v>
      </c>
      <c r="M47" s="4">
        <f t="shared" si="0"/>
        <v>6000000</v>
      </c>
    </row>
    <row r="48" spans="1:13" x14ac:dyDescent="0.25">
      <c r="A48" t="s">
        <v>66</v>
      </c>
      <c r="B48" s="4">
        <v>24000000</v>
      </c>
      <c r="C48" t="s">
        <v>325</v>
      </c>
      <c r="D48" s="3">
        <v>45406</v>
      </c>
      <c r="E48" s="3">
        <v>45497</v>
      </c>
      <c r="F48" t="s">
        <v>376</v>
      </c>
      <c r="G48" t="s">
        <v>330</v>
      </c>
      <c r="H48">
        <v>1089242085</v>
      </c>
      <c r="I48" t="s">
        <v>391</v>
      </c>
      <c r="J48">
        <v>98390119</v>
      </c>
      <c r="K48" t="s">
        <v>339</v>
      </c>
      <c r="L48" s="4">
        <v>18000000</v>
      </c>
      <c r="M48" s="4">
        <f t="shared" si="0"/>
        <v>6000000</v>
      </c>
    </row>
    <row r="49" spans="1:13" x14ac:dyDescent="0.25">
      <c r="A49" t="s">
        <v>67</v>
      </c>
      <c r="B49" s="4">
        <v>24000000</v>
      </c>
      <c r="C49" t="s">
        <v>325</v>
      </c>
      <c r="D49" s="3">
        <v>45406</v>
      </c>
      <c r="E49" s="3">
        <v>45497</v>
      </c>
      <c r="F49" t="s">
        <v>392</v>
      </c>
      <c r="G49" t="s">
        <v>330</v>
      </c>
      <c r="H49">
        <v>1085254626</v>
      </c>
      <c r="I49" t="s">
        <v>393</v>
      </c>
      <c r="J49">
        <v>36950699</v>
      </c>
      <c r="K49" t="s">
        <v>353</v>
      </c>
      <c r="L49" s="4">
        <v>18000000</v>
      </c>
      <c r="M49" s="4">
        <f t="shared" si="0"/>
        <v>6000000</v>
      </c>
    </row>
    <row r="50" spans="1:13" x14ac:dyDescent="0.25">
      <c r="A50" t="s">
        <v>78</v>
      </c>
      <c r="B50" s="4">
        <v>24000000</v>
      </c>
      <c r="C50" t="s">
        <v>325</v>
      </c>
      <c r="D50" s="3">
        <v>45407</v>
      </c>
      <c r="E50" s="3">
        <v>45498</v>
      </c>
      <c r="F50" t="s">
        <v>376</v>
      </c>
      <c r="G50" t="s">
        <v>330</v>
      </c>
      <c r="H50">
        <v>59820414</v>
      </c>
      <c r="I50" t="s">
        <v>400</v>
      </c>
      <c r="J50">
        <v>59822566</v>
      </c>
      <c r="K50" t="s">
        <v>332</v>
      </c>
      <c r="L50" s="4">
        <v>18000000</v>
      </c>
      <c r="M50" s="4">
        <f t="shared" si="0"/>
        <v>6000000</v>
      </c>
    </row>
    <row r="51" spans="1:13" x14ac:dyDescent="0.25">
      <c r="A51" t="s">
        <v>97</v>
      </c>
      <c r="B51" s="4">
        <v>24000000</v>
      </c>
      <c r="C51" t="s">
        <v>325</v>
      </c>
      <c r="D51" s="3">
        <v>45411</v>
      </c>
      <c r="E51" s="3">
        <v>45502</v>
      </c>
      <c r="F51" t="s">
        <v>376</v>
      </c>
      <c r="G51" t="s">
        <v>330</v>
      </c>
      <c r="H51">
        <v>59837608</v>
      </c>
      <c r="I51" t="s">
        <v>417</v>
      </c>
      <c r="J51">
        <v>98390119</v>
      </c>
      <c r="K51" t="s">
        <v>339</v>
      </c>
      <c r="L51" s="4">
        <v>18000000</v>
      </c>
      <c r="M51" s="4">
        <f t="shared" si="0"/>
        <v>6000000</v>
      </c>
    </row>
    <row r="52" spans="1:13" x14ac:dyDescent="0.25">
      <c r="A52" t="s">
        <v>120</v>
      </c>
      <c r="B52" s="4">
        <v>24000000</v>
      </c>
      <c r="C52" t="s">
        <v>325</v>
      </c>
      <c r="D52" s="3">
        <v>45418</v>
      </c>
      <c r="E52" s="3">
        <v>45510</v>
      </c>
      <c r="F52" t="s">
        <v>433</v>
      </c>
      <c r="G52" t="s">
        <v>330</v>
      </c>
      <c r="H52">
        <v>1085275879</v>
      </c>
      <c r="I52" t="s">
        <v>434</v>
      </c>
      <c r="J52">
        <v>36950699</v>
      </c>
      <c r="K52" t="s">
        <v>353</v>
      </c>
      <c r="L52" s="4">
        <v>18000000</v>
      </c>
      <c r="M52" s="4">
        <f t="shared" si="0"/>
        <v>6000000</v>
      </c>
    </row>
    <row r="53" spans="1:13" x14ac:dyDescent="0.25">
      <c r="A53" t="s">
        <v>140</v>
      </c>
      <c r="B53" s="4">
        <v>12000000</v>
      </c>
      <c r="C53" t="s">
        <v>325</v>
      </c>
      <c r="D53" s="3">
        <v>45421</v>
      </c>
      <c r="E53" s="3">
        <v>45513</v>
      </c>
      <c r="F53" t="s">
        <v>369</v>
      </c>
      <c r="G53" t="s">
        <v>330</v>
      </c>
      <c r="H53">
        <v>1010085543</v>
      </c>
      <c r="I53" t="s">
        <v>449</v>
      </c>
      <c r="J53">
        <v>98390119</v>
      </c>
      <c r="K53" t="s">
        <v>339</v>
      </c>
      <c r="L53" s="4">
        <v>6000000</v>
      </c>
      <c r="M53" s="4">
        <f t="shared" si="0"/>
        <v>6000000</v>
      </c>
    </row>
    <row r="54" spans="1:13" x14ac:dyDescent="0.25">
      <c r="A54" t="s">
        <v>193</v>
      </c>
      <c r="B54" s="4">
        <v>24000000</v>
      </c>
      <c r="C54" t="s">
        <v>325</v>
      </c>
      <c r="D54" s="3">
        <v>45435</v>
      </c>
      <c r="E54" s="3">
        <v>45527</v>
      </c>
      <c r="F54" t="s">
        <v>376</v>
      </c>
      <c r="G54" t="s">
        <v>330</v>
      </c>
      <c r="H54">
        <v>27097289</v>
      </c>
      <c r="I54" t="s">
        <v>482</v>
      </c>
      <c r="J54">
        <v>98390119</v>
      </c>
      <c r="K54" t="s">
        <v>339</v>
      </c>
      <c r="L54" s="4">
        <v>18000000</v>
      </c>
      <c r="M54" s="4">
        <f t="shared" si="0"/>
        <v>6000000</v>
      </c>
    </row>
    <row r="55" spans="1:13" x14ac:dyDescent="0.25">
      <c r="A55" t="s">
        <v>218</v>
      </c>
      <c r="B55" s="4">
        <v>24000000</v>
      </c>
      <c r="C55" t="s">
        <v>325</v>
      </c>
      <c r="D55" s="3">
        <v>45436</v>
      </c>
      <c r="E55" s="3">
        <v>45528</v>
      </c>
      <c r="F55" t="s">
        <v>433</v>
      </c>
      <c r="G55" t="s">
        <v>330</v>
      </c>
      <c r="H55">
        <v>1004213964</v>
      </c>
      <c r="I55" t="s">
        <v>497</v>
      </c>
      <c r="J55">
        <v>36950699</v>
      </c>
      <c r="K55" t="s">
        <v>353</v>
      </c>
      <c r="L55" s="4">
        <v>18000000</v>
      </c>
      <c r="M55" s="4">
        <f t="shared" si="0"/>
        <v>6000000</v>
      </c>
    </row>
    <row r="56" spans="1:13" x14ac:dyDescent="0.25">
      <c r="A56" t="s">
        <v>51</v>
      </c>
      <c r="B56" s="4">
        <v>19302400</v>
      </c>
      <c r="C56" t="s">
        <v>325</v>
      </c>
      <c r="D56" s="3">
        <v>45404</v>
      </c>
      <c r="E56" s="3">
        <v>45495</v>
      </c>
      <c r="F56" t="s">
        <v>382</v>
      </c>
      <c r="G56" t="s">
        <v>330</v>
      </c>
      <c r="H56">
        <v>87062845</v>
      </c>
      <c r="I56" t="s">
        <v>383</v>
      </c>
      <c r="J56">
        <v>36950699</v>
      </c>
      <c r="K56" t="s">
        <v>353</v>
      </c>
      <c r="L56" s="4">
        <v>14476800</v>
      </c>
      <c r="M56" s="4">
        <f t="shared" si="0"/>
        <v>4825600</v>
      </c>
    </row>
    <row r="57" spans="1:13" x14ac:dyDescent="0.25">
      <c r="A57" t="s">
        <v>62</v>
      </c>
      <c r="B57" s="4">
        <v>19302400</v>
      </c>
      <c r="C57" t="s">
        <v>325</v>
      </c>
      <c r="D57" s="3">
        <v>45406</v>
      </c>
      <c r="E57" s="3">
        <v>45497</v>
      </c>
      <c r="F57" t="s">
        <v>382</v>
      </c>
      <c r="G57" t="s">
        <v>330</v>
      </c>
      <c r="H57">
        <v>30733517</v>
      </c>
      <c r="I57" t="s">
        <v>389</v>
      </c>
      <c r="J57">
        <v>59822566</v>
      </c>
      <c r="K57" t="s">
        <v>332</v>
      </c>
      <c r="L57" s="4">
        <v>14476800</v>
      </c>
      <c r="M57" s="4">
        <f t="shared" si="0"/>
        <v>4825600</v>
      </c>
    </row>
    <row r="58" spans="1:13" x14ac:dyDescent="0.25">
      <c r="A58" t="s">
        <v>69</v>
      </c>
      <c r="B58" s="4">
        <v>19302400</v>
      </c>
      <c r="C58" t="s">
        <v>325</v>
      </c>
      <c r="D58" s="3">
        <v>45406</v>
      </c>
      <c r="E58" s="3">
        <v>45497</v>
      </c>
      <c r="F58" t="s">
        <v>382</v>
      </c>
      <c r="G58" t="s">
        <v>330</v>
      </c>
      <c r="H58">
        <v>1085337969</v>
      </c>
      <c r="I58" t="s">
        <v>394</v>
      </c>
      <c r="J58">
        <v>98333941</v>
      </c>
      <c r="K58" t="s">
        <v>334</v>
      </c>
      <c r="L58" s="4">
        <v>14476800</v>
      </c>
      <c r="M58" s="4">
        <f t="shared" si="0"/>
        <v>4825600</v>
      </c>
    </row>
    <row r="59" spans="1:13" x14ac:dyDescent="0.25">
      <c r="A59" t="s">
        <v>74</v>
      </c>
      <c r="B59" s="4">
        <v>19302400</v>
      </c>
      <c r="C59" t="s">
        <v>325</v>
      </c>
      <c r="D59" s="3">
        <v>45407</v>
      </c>
      <c r="E59" s="3">
        <v>45497</v>
      </c>
      <c r="F59" t="s">
        <v>397</v>
      </c>
      <c r="G59" t="s">
        <v>330</v>
      </c>
      <c r="H59">
        <v>1085332406</v>
      </c>
      <c r="I59" t="s">
        <v>398</v>
      </c>
      <c r="J59">
        <v>59822566</v>
      </c>
      <c r="K59" t="s">
        <v>332</v>
      </c>
      <c r="L59" s="4">
        <v>14476800</v>
      </c>
      <c r="M59" s="4">
        <f t="shared" si="0"/>
        <v>4825600</v>
      </c>
    </row>
    <row r="60" spans="1:13" x14ac:dyDescent="0.25">
      <c r="A60" t="s">
        <v>83</v>
      </c>
      <c r="B60" s="4">
        <v>19302400</v>
      </c>
      <c r="C60" t="s">
        <v>325</v>
      </c>
      <c r="D60" s="3">
        <v>45407</v>
      </c>
      <c r="E60" s="3">
        <v>45498</v>
      </c>
      <c r="F60" t="s">
        <v>382</v>
      </c>
      <c r="G60" t="s">
        <v>330</v>
      </c>
      <c r="H60">
        <v>27087851</v>
      </c>
      <c r="I60" t="s">
        <v>403</v>
      </c>
      <c r="J60">
        <v>27087851</v>
      </c>
      <c r="K60" t="s">
        <v>403</v>
      </c>
      <c r="L60" s="4">
        <v>14476800</v>
      </c>
      <c r="M60" s="4">
        <f t="shared" si="0"/>
        <v>4825600</v>
      </c>
    </row>
    <row r="61" spans="1:13" x14ac:dyDescent="0.25">
      <c r="A61" t="s">
        <v>89</v>
      </c>
      <c r="B61" s="4">
        <v>19302400</v>
      </c>
      <c r="C61" t="s">
        <v>325</v>
      </c>
      <c r="D61" s="3">
        <v>45408</v>
      </c>
      <c r="E61" s="3">
        <v>45499</v>
      </c>
      <c r="F61" t="s">
        <v>382</v>
      </c>
      <c r="G61" t="s">
        <v>330</v>
      </c>
      <c r="H61">
        <v>1085321943</v>
      </c>
      <c r="I61" t="s">
        <v>410</v>
      </c>
      <c r="J61">
        <v>98333941</v>
      </c>
      <c r="K61" t="s">
        <v>334</v>
      </c>
      <c r="L61" s="4">
        <v>14476800</v>
      </c>
      <c r="M61" s="4">
        <f t="shared" si="0"/>
        <v>4825600</v>
      </c>
    </row>
    <row r="62" spans="1:13" x14ac:dyDescent="0.25">
      <c r="A62" t="s">
        <v>103</v>
      </c>
      <c r="B62" s="4">
        <v>19302400</v>
      </c>
      <c r="C62" t="s">
        <v>325</v>
      </c>
      <c r="D62" s="3">
        <v>45412</v>
      </c>
      <c r="E62" s="3">
        <v>45503</v>
      </c>
      <c r="F62" t="s">
        <v>337</v>
      </c>
      <c r="G62" t="s">
        <v>330</v>
      </c>
      <c r="H62">
        <v>1085267184</v>
      </c>
      <c r="I62" t="s">
        <v>423</v>
      </c>
      <c r="J62">
        <v>36950699</v>
      </c>
      <c r="K62" t="s">
        <v>353</v>
      </c>
      <c r="L62" s="4">
        <v>14476800</v>
      </c>
      <c r="M62" s="4">
        <f t="shared" si="0"/>
        <v>4825600</v>
      </c>
    </row>
    <row r="63" spans="1:13" x14ac:dyDescent="0.25">
      <c r="A63" t="s">
        <v>109</v>
      </c>
      <c r="B63" s="4">
        <v>19302400</v>
      </c>
      <c r="C63" t="s">
        <v>325</v>
      </c>
      <c r="D63" s="3">
        <v>45415</v>
      </c>
      <c r="E63" s="3">
        <v>45507</v>
      </c>
      <c r="F63" t="s">
        <v>426</v>
      </c>
      <c r="G63" t="s">
        <v>330</v>
      </c>
      <c r="H63">
        <v>1085283723</v>
      </c>
      <c r="I63" t="s">
        <v>427</v>
      </c>
      <c r="J63">
        <v>36950699</v>
      </c>
      <c r="K63" t="s">
        <v>353</v>
      </c>
      <c r="L63" s="4">
        <v>14476800</v>
      </c>
      <c r="M63" s="4">
        <f t="shared" si="0"/>
        <v>4825600</v>
      </c>
    </row>
    <row r="64" spans="1:13" x14ac:dyDescent="0.25">
      <c r="A64" t="s">
        <v>91</v>
      </c>
      <c r="B64" s="4">
        <v>22500000</v>
      </c>
      <c r="C64" t="s">
        <v>325</v>
      </c>
      <c r="D64" s="3">
        <v>45408</v>
      </c>
      <c r="E64" s="3">
        <v>45499</v>
      </c>
      <c r="F64" t="s">
        <v>411</v>
      </c>
      <c r="G64" t="s">
        <v>330</v>
      </c>
      <c r="H64">
        <v>1126004086</v>
      </c>
      <c r="I64" t="s">
        <v>412</v>
      </c>
      <c r="J64">
        <v>36950699</v>
      </c>
      <c r="K64" t="s">
        <v>353</v>
      </c>
      <c r="L64" s="4">
        <v>22500000</v>
      </c>
      <c r="M64" s="4">
        <f t="shared" si="0"/>
        <v>0</v>
      </c>
    </row>
    <row r="65" spans="1:14" s="7" customFormat="1" x14ac:dyDescent="0.25">
      <c r="A65" t="s">
        <v>124</v>
      </c>
      <c r="B65" s="4">
        <v>19302400</v>
      </c>
      <c r="C65" t="s">
        <v>325</v>
      </c>
      <c r="D65" s="3">
        <v>45420</v>
      </c>
      <c r="E65" s="3">
        <v>45512</v>
      </c>
      <c r="F65" t="s">
        <v>382</v>
      </c>
      <c r="G65" t="s">
        <v>330</v>
      </c>
      <c r="H65">
        <v>1088730712</v>
      </c>
      <c r="I65" t="s">
        <v>436</v>
      </c>
      <c r="J65">
        <v>59822566</v>
      </c>
      <c r="K65" t="s">
        <v>332</v>
      </c>
      <c r="L65" s="4">
        <v>14476800</v>
      </c>
      <c r="M65" s="4">
        <f t="shared" si="0"/>
        <v>4825600</v>
      </c>
      <c r="N65" s="8"/>
    </row>
    <row r="66" spans="1:14" x14ac:dyDescent="0.25">
      <c r="A66" t="s">
        <v>133</v>
      </c>
      <c r="B66" s="4">
        <v>19302400</v>
      </c>
      <c r="C66" t="s">
        <v>325</v>
      </c>
      <c r="D66" s="3">
        <v>45420</v>
      </c>
      <c r="E66" s="3">
        <v>45512</v>
      </c>
      <c r="F66" t="s">
        <v>443</v>
      </c>
      <c r="G66" t="s">
        <v>330</v>
      </c>
      <c r="H66">
        <v>1085269530</v>
      </c>
      <c r="I66" t="s">
        <v>444</v>
      </c>
      <c r="J66">
        <v>98333941</v>
      </c>
      <c r="K66" t="s">
        <v>334</v>
      </c>
      <c r="L66" s="4">
        <v>14476800</v>
      </c>
      <c r="M66" s="4">
        <f t="shared" ref="M66:M129" si="1">B66-L66</f>
        <v>4825600</v>
      </c>
    </row>
    <row r="67" spans="1:14" x14ac:dyDescent="0.25">
      <c r="A67" t="s">
        <v>138</v>
      </c>
      <c r="B67" s="4">
        <v>19302400</v>
      </c>
      <c r="C67" t="s">
        <v>325</v>
      </c>
      <c r="D67" s="3">
        <v>45421</v>
      </c>
      <c r="E67" s="3">
        <v>45513</v>
      </c>
      <c r="F67" t="s">
        <v>443</v>
      </c>
      <c r="G67" t="s">
        <v>330</v>
      </c>
      <c r="H67">
        <v>1085321578</v>
      </c>
      <c r="I67" t="s">
        <v>448</v>
      </c>
      <c r="J67">
        <v>59822566</v>
      </c>
      <c r="K67" t="s">
        <v>332</v>
      </c>
      <c r="L67" s="4">
        <v>14476800</v>
      </c>
      <c r="M67" s="4">
        <f t="shared" si="1"/>
        <v>4825600</v>
      </c>
    </row>
    <row r="68" spans="1:14" x14ac:dyDescent="0.25">
      <c r="A68" t="s">
        <v>142</v>
      </c>
      <c r="B68" s="4">
        <v>19302400</v>
      </c>
      <c r="C68" t="s">
        <v>325</v>
      </c>
      <c r="D68" s="3">
        <v>45421</v>
      </c>
      <c r="E68" s="3">
        <v>45513</v>
      </c>
      <c r="F68" t="s">
        <v>426</v>
      </c>
      <c r="G68" t="s">
        <v>330</v>
      </c>
      <c r="H68">
        <v>59310145</v>
      </c>
      <c r="I68" t="s">
        <v>450</v>
      </c>
      <c r="J68">
        <v>98333941</v>
      </c>
      <c r="K68" t="s">
        <v>334</v>
      </c>
      <c r="L68" s="4">
        <v>14476800</v>
      </c>
      <c r="M68" s="4">
        <f t="shared" si="1"/>
        <v>4825600</v>
      </c>
    </row>
    <row r="69" spans="1:14" x14ac:dyDescent="0.25">
      <c r="A69" t="s">
        <v>171</v>
      </c>
      <c r="B69" s="4">
        <v>19302400</v>
      </c>
      <c r="C69" t="s">
        <v>325</v>
      </c>
      <c r="D69" s="3">
        <v>45428</v>
      </c>
      <c r="E69" s="3">
        <v>45520</v>
      </c>
      <c r="F69" t="s">
        <v>466</v>
      </c>
      <c r="G69" t="s">
        <v>330</v>
      </c>
      <c r="H69">
        <v>1085289739</v>
      </c>
      <c r="I69" t="s">
        <v>467</v>
      </c>
      <c r="J69">
        <v>36950699</v>
      </c>
      <c r="K69" t="s">
        <v>353</v>
      </c>
      <c r="L69" s="4">
        <v>14476800</v>
      </c>
      <c r="M69" s="4">
        <f t="shared" si="1"/>
        <v>4825600</v>
      </c>
    </row>
    <row r="70" spans="1:14" x14ac:dyDescent="0.25">
      <c r="A70" t="s">
        <v>37</v>
      </c>
      <c r="B70" s="4">
        <v>19000000</v>
      </c>
      <c r="C70" t="s">
        <v>325</v>
      </c>
      <c r="D70" s="3">
        <v>45402</v>
      </c>
      <c r="E70" s="3">
        <v>45493</v>
      </c>
      <c r="F70" t="s">
        <v>346</v>
      </c>
      <c r="G70" t="s">
        <v>330</v>
      </c>
      <c r="H70">
        <v>59816986</v>
      </c>
      <c r="I70" t="s">
        <v>374</v>
      </c>
      <c r="J70">
        <v>98333941</v>
      </c>
      <c r="K70" t="s">
        <v>334</v>
      </c>
      <c r="L70" s="4">
        <v>14250000</v>
      </c>
      <c r="M70" s="4">
        <f t="shared" si="1"/>
        <v>4750000</v>
      </c>
    </row>
    <row r="71" spans="1:14" x14ac:dyDescent="0.25">
      <c r="A71" t="s">
        <v>39</v>
      </c>
      <c r="B71" s="4">
        <v>19000000</v>
      </c>
      <c r="C71" t="s">
        <v>325</v>
      </c>
      <c r="D71" s="3">
        <v>45404</v>
      </c>
      <c r="E71" s="3">
        <v>45495</v>
      </c>
      <c r="F71" t="s">
        <v>346</v>
      </c>
      <c r="G71" t="s">
        <v>330</v>
      </c>
      <c r="H71">
        <v>59312865</v>
      </c>
      <c r="I71" t="s">
        <v>375</v>
      </c>
      <c r="J71">
        <v>36950699</v>
      </c>
      <c r="K71" t="s">
        <v>353</v>
      </c>
      <c r="L71" s="4">
        <v>14250000</v>
      </c>
      <c r="M71" s="4">
        <f t="shared" si="1"/>
        <v>4750000</v>
      </c>
    </row>
    <row r="72" spans="1:14" x14ac:dyDescent="0.25">
      <c r="A72" t="s">
        <v>47</v>
      </c>
      <c r="B72" s="4">
        <v>19000000</v>
      </c>
      <c r="C72" t="s">
        <v>325</v>
      </c>
      <c r="D72" s="3">
        <v>45404</v>
      </c>
      <c r="E72" s="3">
        <v>45495</v>
      </c>
      <c r="F72" t="s">
        <v>346</v>
      </c>
      <c r="G72" t="s">
        <v>330</v>
      </c>
      <c r="H72">
        <v>59824313</v>
      </c>
      <c r="I72" t="s">
        <v>380</v>
      </c>
      <c r="J72">
        <v>59822566</v>
      </c>
      <c r="K72" t="s">
        <v>332</v>
      </c>
      <c r="L72" s="4">
        <v>14250000</v>
      </c>
      <c r="M72" s="4">
        <f t="shared" si="1"/>
        <v>4750000</v>
      </c>
    </row>
    <row r="73" spans="1:14" x14ac:dyDescent="0.25">
      <c r="A73" t="s">
        <v>53</v>
      </c>
      <c r="B73" s="4">
        <v>19000000</v>
      </c>
      <c r="C73" t="s">
        <v>325</v>
      </c>
      <c r="D73" s="3">
        <v>45405</v>
      </c>
      <c r="E73" s="3">
        <v>45496</v>
      </c>
      <c r="F73" t="s">
        <v>384</v>
      </c>
      <c r="G73" t="s">
        <v>330</v>
      </c>
      <c r="H73">
        <v>1087414586</v>
      </c>
      <c r="I73" t="s">
        <v>385</v>
      </c>
      <c r="J73">
        <v>59822566</v>
      </c>
      <c r="K73" t="s">
        <v>332</v>
      </c>
      <c r="L73" s="4">
        <v>14250000</v>
      </c>
      <c r="M73" s="4">
        <f t="shared" si="1"/>
        <v>4750000</v>
      </c>
    </row>
    <row r="74" spans="1:14" x14ac:dyDescent="0.25">
      <c r="A74" t="s">
        <v>81</v>
      </c>
      <c r="B74" s="4">
        <v>19000000</v>
      </c>
      <c r="C74" t="s">
        <v>325</v>
      </c>
      <c r="D74" s="3">
        <v>45407</v>
      </c>
      <c r="E74" s="3">
        <v>45498</v>
      </c>
      <c r="F74" t="s">
        <v>343</v>
      </c>
      <c r="G74" t="s">
        <v>330</v>
      </c>
      <c r="H74">
        <v>36953206</v>
      </c>
      <c r="I74" t="s">
        <v>402</v>
      </c>
      <c r="J74">
        <v>36950699</v>
      </c>
      <c r="K74" t="s">
        <v>353</v>
      </c>
      <c r="L74" s="4">
        <v>14250000</v>
      </c>
      <c r="M74" s="4">
        <f t="shared" si="1"/>
        <v>4750000</v>
      </c>
    </row>
    <row r="75" spans="1:14" x14ac:dyDescent="0.25">
      <c r="A75" t="s">
        <v>100</v>
      </c>
      <c r="B75" s="4">
        <v>19000000</v>
      </c>
      <c r="C75" t="s">
        <v>325</v>
      </c>
      <c r="D75" s="3">
        <v>45412</v>
      </c>
      <c r="E75" s="3">
        <v>45503</v>
      </c>
      <c r="F75" t="s">
        <v>343</v>
      </c>
      <c r="G75" t="s">
        <v>330</v>
      </c>
      <c r="H75">
        <v>1085303067</v>
      </c>
      <c r="I75" t="s">
        <v>420</v>
      </c>
      <c r="J75">
        <v>36950699</v>
      </c>
      <c r="K75" t="s">
        <v>421</v>
      </c>
      <c r="L75" s="4">
        <v>14250000</v>
      </c>
      <c r="M75" s="4">
        <f t="shared" si="1"/>
        <v>4750000</v>
      </c>
    </row>
    <row r="76" spans="1:14" x14ac:dyDescent="0.25">
      <c r="A76" t="s">
        <v>101</v>
      </c>
      <c r="B76" s="4">
        <v>19000000</v>
      </c>
      <c r="C76" t="s">
        <v>325</v>
      </c>
      <c r="D76" s="3">
        <v>45412</v>
      </c>
      <c r="E76" s="3">
        <v>45503</v>
      </c>
      <c r="F76" t="s">
        <v>346</v>
      </c>
      <c r="G76" t="s">
        <v>330</v>
      </c>
      <c r="H76">
        <v>1085293619</v>
      </c>
      <c r="I76" t="s">
        <v>422</v>
      </c>
      <c r="J76">
        <v>36950699</v>
      </c>
      <c r="K76" t="s">
        <v>353</v>
      </c>
      <c r="L76" s="4">
        <v>14250000</v>
      </c>
      <c r="M76" s="4">
        <f t="shared" si="1"/>
        <v>4750000</v>
      </c>
    </row>
    <row r="77" spans="1:14" x14ac:dyDescent="0.25">
      <c r="A77" t="s">
        <v>115</v>
      </c>
      <c r="B77" s="4">
        <v>19000000</v>
      </c>
      <c r="C77" t="s">
        <v>325</v>
      </c>
      <c r="D77" s="3">
        <v>45414</v>
      </c>
      <c r="E77" s="3">
        <v>45506</v>
      </c>
      <c r="F77" t="s">
        <v>431</v>
      </c>
      <c r="G77" t="s">
        <v>330</v>
      </c>
      <c r="H77">
        <v>1085273424</v>
      </c>
      <c r="I77" t="s">
        <v>432</v>
      </c>
      <c r="J77">
        <v>36950699</v>
      </c>
      <c r="K77" t="s">
        <v>353</v>
      </c>
      <c r="L77" s="4">
        <v>14250000</v>
      </c>
      <c r="M77" s="4">
        <f t="shared" si="1"/>
        <v>4750000</v>
      </c>
    </row>
    <row r="78" spans="1:14" x14ac:dyDescent="0.25">
      <c r="A78" t="s">
        <v>127</v>
      </c>
      <c r="B78" s="4">
        <v>19000000</v>
      </c>
      <c r="C78" t="s">
        <v>325</v>
      </c>
      <c r="D78" s="3">
        <v>45419</v>
      </c>
      <c r="E78" s="3">
        <v>45511</v>
      </c>
      <c r="F78" t="s">
        <v>439</v>
      </c>
      <c r="G78" t="s">
        <v>330</v>
      </c>
      <c r="H78">
        <v>1085318201</v>
      </c>
      <c r="I78" t="s">
        <v>440</v>
      </c>
      <c r="J78">
        <v>98390119</v>
      </c>
      <c r="K78" t="s">
        <v>339</v>
      </c>
      <c r="L78" s="4">
        <v>14250000</v>
      </c>
      <c r="M78" s="4">
        <f t="shared" si="1"/>
        <v>4750000</v>
      </c>
    </row>
    <row r="79" spans="1:14" x14ac:dyDescent="0.25">
      <c r="A79" t="s">
        <v>132</v>
      </c>
      <c r="B79" s="4">
        <v>19000000</v>
      </c>
      <c r="C79" t="s">
        <v>325</v>
      </c>
      <c r="D79" s="3">
        <v>45420</v>
      </c>
      <c r="E79" s="3">
        <v>45512</v>
      </c>
      <c r="F79" t="s">
        <v>343</v>
      </c>
      <c r="G79" t="s">
        <v>330</v>
      </c>
      <c r="H79">
        <v>1085330309</v>
      </c>
      <c r="I79" t="s">
        <v>442</v>
      </c>
      <c r="J79">
        <v>59822566</v>
      </c>
      <c r="K79" t="s">
        <v>332</v>
      </c>
      <c r="L79" s="4">
        <v>14250000</v>
      </c>
      <c r="M79" s="4">
        <f t="shared" si="1"/>
        <v>4750000</v>
      </c>
    </row>
    <row r="80" spans="1:14" x14ac:dyDescent="0.25">
      <c r="A80" t="s">
        <v>164</v>
      </c>
      <c r="B80" s="4">
        <v>19000000</v>
      </c>
      <c r="C80" t="s">
        <v>325</v>
      </c>
      <c r="D80" s="3">
        <v>45427</v>
      </c>
      <c r="E80" s="3">
        <v>45519</v>
      </c>
      <c r="F80" t="s">
        <v>343</v>
      </c>
      <c r="G80" t="s">
        <v>330</v>
      </c>
      <c r="H80">
        <v>1085318684</v>
      </c>
      <c r="I80" t="s">
        <v>462</v>
      </c>
      <c r="J80">
        <v>36950699</v>
      </c>
      <c r="K80" t="s">
        <v>353</v>
      </c>
      <c r="L80" s="4">
        <v>14250000</v>
      </c>
      <c r="M80" s="4">
        <f t="shared" si="1"/>
        <v>4750000</v>
      </c>
    </row>
    <row r="81" spans="1:13" x14ac:dyDescent="0.25">
      <c r="A81" t="s">
        <v>125</v>
      </c>
      <c r="B81" s="4">
        <v>14476800</v>
      </c>
      <c r="C81" t="s">
        <v>325</v>
      </c>
      <c r="D81" s="3">
        <v>45418</v>
      </c>
      <c r="E81" s="3">
        <v>45510</v>
      </c>
      <c r="F81" t="s">
        <v>382</v>
      </c>
      <c r="G81" t="s">
        <v>330</v>
      </c>
      <c r="H81">
        <v>59177204</v>
      </c>
      <c r="I81" t="s">
        <v>437</v>
      </c>
      <c r="J81">
        <v>98333941</v>
      </c>
      <c r="K81" t="s">
        <v>334</v>
      </c>
      <c r="L81" s="4">
        <v>14476800</v>
      </c>
      <c r="M81" s="4">
        <f t="shared" si="1"/>
        <v>0</v>
      </c>
    </row>
    <row r="82" spans="1:13" x14ac:dyDescent="0.25">
      <c r="A82" t="s">
        <v>179</v>
      </c>
      <c r="B82" s="4">
        <v>19000000</v>
      </c>
      <c r="C82" t="s">
        <v>325</v>
      </c>
      <c r="D82" s="3">
        <v>45429</v>
      </c>
      <c r="E82" s="3">
        <v>45521</v>
      </c>
      <c r="F82" t="s">
        <v>439</v>
      </c>
      <c r="G82" t="s">
        <v>330</v>
      </c>
      <c r="H82">
        <v>1085324546</v>
      </c>
      <c r="I82" t="s">
        <v>473</v>
      </c>
      <c r="J82">
        <v>59822566</v>
      </c>
      <c r="K82" t="s">
        <v>332</v>
      </c>
      <c r="L82" s="4">
        <v>14250000</v>
      </c>
      <c r="M82" s="4">
        <f t="shared" si="1"/>
        <v>4750000</v>
      </c>
    </row>
    <row r="83" spans="1:13" x14ac:dyDescent="0.25">
      <c r="A83" t="s">
        <v>201</v>
      </c>
      <c r="B83" s="4">
        <v>19000000</v>
      </c>
      <c r="C83" t="s">
        <v>325</v>
      </c>
      <c r="D83" s="3">
        <v>45436</v>
      </c>
      <c r="E83" s="3">
        <v>45528</v>
      </c>
      <c r="F83" t="s">
        <v>439</v>
      </c>
      <c r="G83" t="s">
        <v>330</v>
      </c>
      <c r="H83">
        <v>1087413951</v>
      </c>
      <c r="I83" t="s">
        <v>486</v>
      </c>
      <c r="J83">
        <v>98390119</v>
      </c>
      <c r="K83" t="s">
        <v>339</v>
      </c>
      <c r="L83" s="4">
        <v>14250000</v>
      </c>
      <c r="M83" s="4">
        <f t="shared" si="1"/>
        <v>4750000</v>
      </c>
    </row>
    <row r="84" spans="1:13" x14ac:dyDescent="0.25">
      <c r="A84" t="s">
        <v>208</v>
      </c>
      <c r="B84" s="4">
        <v>19000000</v>
      </c>
      <c r="C84" t="s">
        <v>325</v>
      </c>
      <c r="D84" s="3">
        <v>45436</v>
      </c>
      <c r="E84" s="3">
        <v>45528</v>
      </c>
      <c r="F84" t="s">
        <v>431</v>
      </c>
      <c r="G84" t="s">
        <v>330</v>
      </c>
      <c r="H84">
        <v>1193383306</v>
      </c>
      <c r="I84" t="s">
        <v>491</v>
      </c>
      <c r="J84">
        <v>98333941</v>
      </c>
      <c r="K84" t="s">
        <v>334</v>
      </c>
      <c r="L84" s="4">
        <v>14250000</v>
      </c>
      <c r="M84" s="4">
        <f t="shared" si="1"/>
        <v>4750000</v>
      </c>
    </row>
    <row r="85" spans="1:13" x14ac:dyDescent="0.25">
      <c r="A85" t="s">
        <v>209</v>
      </c>
      <c r="B85" s="4">
        <v>19000000</v>
      </c>
      <c r="C85" t="s">
        <v>325</v>
      </c>
      <c r="D85" s="3">
        <v>45436</v>
      </c>
      <c r="E85" s="3">
        <v>45528</v>
      </c>
      <c r="F85" t="s">
        <v>492</v>
      </c>
      <c r="G85" t="s">
        <v>330</v>
      </c>
      <c r="H85">
        <v>87060703</v>
      </c>
      <c r="I85" t="s">
        <v>493</v>
      </c>
      <c r="J85">
        <v>59822566</v>
      </c>
      <c r="K85" t="s">
        <v>332</v>
      </c>
      <c r="L85" s="4">
        <v>14250000</v>
      </c>
      <c r="M85" s="4">
        <f t="shared" si="1"/>
        <v>4750000</v>
      </c>
    </row>
    <row r="86" spans="1:13" x14ac:dyDescent="0.25">
      <c r="A86" t="s">
        <v>154</v>
      </c>
      <c r="B86" s="4">
        <v>9000000</v>
      </c>
      <c r="C86" t="s">
        <v>325</v>
      </c>
      <c r="D86" s="3">
        <v>45422</v>
      </c>
      <c r="E86" s="3">
        <v>45514</v>
      </c>
      <c r="F86" t="s">
        <v>329</v>
      </c>
      <c r="G86" t="s">
        <v>330</v>
      </c>
      <c r="H86">
        <v>1085324107</v>
      </c>
      <c r="I86" t="s">
        <v>456</v>
      </c>
      <c r="J86">
        <v>98333941</v>
      </c>
      <c r="K86" t="s">
        <v>334</v>
      </c>
      <c r="L86" s="4">
        <v>6000000</v>
      </c>
      <c r="M86" s="4">
        <f t="shared" si="1"/>
        <v>3000000</v>
      </c>
    </row>
    <row r="87" spans="1:13" x14ac:dyDescent="0.25">
      <c r="A87" t="s">
        <v>43</v>
      </c>
      <c r="B87" s="4">
        <v>8000000</v>
      </c>
      <c r="C87" t="s">
        <v>325</v>
      </c>
      <c r="D87" s="3">
        <v>45404</v>
      </c>
      <c r="E87" s="3">
        <v>45495</v>
      </c>
      <c r="F87" t="s">
        <v>369</v>
      </c>
      <c r="G87" t="s">
        <v>330</v>
      </c>
      <c r="H87">
        <v>1085344082</v>
      </c>
      <c r="I87" t="s">
        <v>378</v>
      </c>
      <c r="J87">
        <v>59822566</v>
      </c>
      <c r="K87" t="s">
        <v>332</v>
      </c>
      <c r="L87" s="4">
        <v>6000000</v>
      </c>
      <c r="M87" s="4">
        <f t="shared" si="1"/>
        <v>2000000</v>
      </c>
    </row>
    <row r="88" spans="1:13" x14ac:dyDescent="0.25">
      <c r="A88" t="s">
        <v>49</v>
      </c>
      <c r="B88" s="4">
        <v>8000000</v>
      </c>
      <c r="C88" t="s">
        <v>325</v>
      </c>
      <c r="D88" s="3">
        <v>45404</v>
      </c>
      <c r="E88" s="3">
        <v>45495</v>
      </c>
      <c r="F88" t="s">
        <v>369</v>
      </c>
      <c r="G88" t="s">
        <v>330</v>
      </c>
      <c r="H88">
        <v>1193224810</v>
      </c>
      <c r="I88" t="s">
        <v>381</v>
      </c>
      <c r="J88">
        <v>59822566</v>
      </c>
      <c r="K88" t="s">
        <v>332</v>
      </c>
      <c r="L88" s="4">
        <v>6000000</v>
      </c>
      <c r="M88" s="4">
        <f t="shared" si="1"/>
        <v>2000000</v>
      </c>
    </row>
    <row r="89" spans="1:13" x14ac:dyDescent="0.25">
      <c r="A89" t="s">
        <v>55</v>
      </c>
      <c r="B89" s="4">
        <v>8000000</v>
      </c>
      <c r="C89" t="s">
        <v>325</v>
      </c>
      <c r="D89" s="3">
        <v>45405</v>
      </c>
      <c r="E89" s="3">
        <v>45496</v>
      </c>
      <c r="F89" t="s">
        <v>369</v>
      </c>
      <c r="G89" t="s">
        <v>330</v>
      </c>
      <c r="H89">
        <v>36757213</v>
      </c>
      <c r="I89" t="s">
        <v>386</v>
      </c>
      <c r="J89">
        <v>98333941</v>
      </c>
      <c r="K89" t="s">
        <v>334</v>
      </c>
      <c r="L89" s="4">
        <v>6000000</v>
      </c>
      <c r="M89" s="4">
        <f t="shared" si="1"/>
        <v>2000000</v>
      </c>
    </row>
    <row r="90" spans="1:13" x14ac:dyDescent="0.25">
      <c r="A90" t="s">
        <v>57</v>
      </c>
      <c r="B90" s="4">
        <v>8000000</v>
      </c>
      <c r="C90" t="s">
        <v>325</v>
      </c>
      <c r="D90" s="3">
        <v>45405</v>
      </c>
      <c r="E90" s="3">
        <v>45496</v>
      </c>
      <c r="F90" t="s">
        <v>329</v>
      </c>
      <c r="G90" t="s">
        <v>330</v>
      </c>
      <c r="H90">
        <v>59837416</v>
      </c>
      <c r="I90" t="s">
        <v>387</v>
      </c>
      <c r="J90">
        <v>98390119</v>
      </c>
      <c r="K90" t="s">
        <v>339</v>
      </c>
      <c r="L90" s="4">
        <v>6000000</v>
      </c>
      <c r="M90" s="4">
        <f t="shared" si="1"/>
        <v>2000000</v>
      </c>
    </row>
    <row r="91" spans="1:13" x14ac:dyDescent="0.25">
      <c r="A91" t="s">
        <v>60</v>
      </c>
      <c r="B91" s="4">
        <v>8000000</v>
      </c>
      <c r="C91" t="s">
        <v>325</v>
      </c>
      <c r="D91" s="3">
        <v>45405</v>
      </c>
      <c r="E91" s="3">
        <v>45496</v>
      </c>
      <c r="F91" t="s">
        <v>329</v>
      </c>
      <c r="G91" t="s">
        <v>330</v>
      </c>
      <c r="H91">
        <v>1085250095</v>
      </c>
      <c r="I91" t="s">
        <v>388</v>
      </c>
      <c r="J91">
        <v>98333941</v>
      </c>
      <c r="K91" t="s">
        <v>334</v>
      </c>
      <c r="L91" s="4">
        <v>6000000</v>
      </c>
      <c r="M91" s="4">
        <f t="shared" si="1"/>
        <v>2000000</v>
      </c>
    </row>
    <row r="92" spans="1:13" x14ac:dyDescent="0.25">
      <c r="A92" t="s">
        <v>64</v>
      </c>
      <c r="B92" s="4">
        <v>8000000</v>
      </c>
      <c r="C92" t="s">
        <v>325</v>
      </c>
      <c r="D92" s="3">
        <v>45406</v>
      </c>
      <c r="E92" s="3">
        <v>45497</v>
      </c>
      <c r="F92" t="s">
        <v>369</v>
      </c>
      <c r="G92" t="s">
        <v>330</v>
      </c>
      <c r="H92">
        <v>1004508436</v>
      </c>
      <c r="I92" t="s">
        <v>390</v>
      </c>
      <c r="J92">
        <v>98333941</v>
      </c>
      <c r="K92" t="s">
        <v>334</v>
      </c>
      <c r="L92" s="4">
        <v>6000000</v>
      </c>
      <c r="M92" s="4">
        <f t="shared" si="1"/>
        <v>2000000</v>
      </c>
    </row>
    <row r="93" spans="1:13" x14ac:dyDescent="0.25">
      <c r="A93" t="s">
        <v>76</v>
      </c>
      <c r="B93" s="4">
        <v>8000000</v>
      </c>
      <c r="C93" t="s">
        <v>325</v>
      </c>
      <c r="D93" s="3">
        <v>45407</v>
      </c>
      <c r="E93" s="3">
        <v>45498</v>
      </c>
      <c r="F93" t="s">
        <v>329</v>
      </c>
      <c r="G93" t="s">
        <v>330</v>
      </c>
      <c r="H93">
        <v>1085260568</v>
      </c>
      <c r="I93" t="s">
        <v>399</v>
      </c>
      <c r="J93">
        <v>98333941</v>
      </c>
      <c r="K93" t="s">
        <v>334</v>
      </c>
      <c r="L93" s="4">
        <v>6000000</v>
      </c>
      <c r="M93" s="4">
        <f t="shared" si="1"/>
        <v>2000000</v>
      </c>
    </row>
    <row r="94" spans="1:13" x14ac:dyDescent="0.25">
      <c r="A94" t="s">
        <v>80</v>
      </c>
      <c r="B94" s="4">
        <v>8000000</v>
      </c>
      <c r="C94" t="s">
        <v>325</v>
      </c>
      <c r="D94" s="3">
        <v>45407</v>
      </c>
      <c r="E94" s="3">
        <v>45498</v>
      </c>
      <c r="F94" t="s">
        <v>329</v>
      </c>
      <c r="G94" t="s">
        <v>330</v>
      </c>
      <c r="H94">
        <v>1085339190</v>
      </c>
      <c r="I94" t="s">
        <v>401</v>
      </c>
      <c r="J94">
        <v>59822566</v>
      </c>
      <c r="K94" t="s">
        <v>332</v>
      </c>
      <c r="L94" s="4">
        <v>6000000</v>
      </c>
      <c r="M94" s="4">
        <f t="shared" si="1"/>
        <v>2000000</v>
      </c>
    </row>
    <row r="95" spans="1:13" x14ac:dyDescent="0.25">
      <c r="A95" t="s">
        <v>95</v>
      </c>
      <c r="B95" s="4">
        <v>8000000</v>
      </c>
      <c r="C95" t="s">
        <v>325</v>
      </c>
      <c r="D95" s="3">
        <v>45411</v>
      </c>
      <c r="E95" s="3">
        <v>45502</v>
      </c>
      <c r="F95" t="s">
        <v>369</v>
      </c>
      <c r="G95" t="s">
        <v>330</v>
      </c>
      <c r="H95">
        <v>1085286742</v>
      </c>
      <c r="I95" t="s">
        <v>416</v>
      </c>
      <c r="J95">
        <v>98390119</v>
      </c>
      <c r="K95" t="s">
        <v>339</v>
      </c>
      <c r="L95" s="4">
        <v>6000000</v>
      </c>
      <c r="M95" s="4">
        <f t="shared" si="1"/>
        <v>2000000</v>
      </c>
    </row>
    <row r="96" spans="1:13" x14ac:dyDescent="0.25">
      <c r="A96" t="s">
        <v>107</v>
      </c>
      <c r="B96" s="4">
        <v>8000000</v>
      </c>
      <c r="C96" t="s">
        <v>325</v>
      </c>
      <c r="D96" s="3">
        <v>45412</v>
      </c>
      <c r="E96" s="3">
        <v>45503</v>
      </c>
      <c r="F96" t="s">
        <v>369</v>
      </c>
      <c r="G96" t="s">
        <v>330</v>
      </c>
      <c r="H96">
        <v>1085266584</v>
      </c>
      <c r="I96" t="s">
        <v>425</v>
      </c>
      <c r="J96">
        <v>98333941</v>
      </c>
      <c r="K96" t="s">
        <v>334</v>
      </c>
      <c r="L96" s="4">
        <v>6000000</v>
      </c>
      <c r="M96" s="4">
        <f t="shared" si="1"/>
        <v>2000000</v>
      </c>
    </row>
    <row r="97" spans="1:13" x14ac:dyDescent="0.25">
      <c r="A97" t="s">
        <v>111</v>
      </c>
      <c r="B97" s="4">
        <v>8000000</v>
      </c>
      <c r="C97" t="s">
        <v>325</v>
      </c>
      <c r="D97" s="3">
        <v>45412</v>
      </c>
      <c r="E97" s="3">
        <v>45503</v>
      </c>
      <c r="F97" t="s">
        <v>428</v>
      </c>
      <c r="G97" t="s">
        <v>330</v>
      </c>
      <c r="H97">
        <v>1085296353</v>
      </c>
      <c r="I97" t="s">
        <v>429</v>
      </c>
      <c r="J97">
        <v>36950699</v>
      </c>
      <c r="K97" t="s">
        <v>353</v>
      </c>
      <c r="L97" s="4">
        <v>6000000</v>
      </c>
      <c r="M97" s="4">
        <f t="shared" si="1"/>
        <v>2000000</v>
      </c>
    </row>
    <row r="98" spans="1:13" x14ac:dyDescent="0.25">
      <c r="A98" t="s">
        <v>113</v>
      </c>
      <c r="B98" s="4">
        <v>8000000</v>
      </c>
      <c r="C98" t="s">
        <v>325</v>
      </c>
      <c r="D98" s="3">
        <v>45412</v>
      </c>
      <c r="E98" s="3">
        <v>45503</v>
      </c>
      <c r="F98" t="s">
        <v>369</v>
      </c>
      <c r="G98" t="s">
        <v>330</v>
      </c>
      <c r="H98">
        <v>1085255972</v>
      </c>
      <c r="I98" t="s">
        <v>430</v>
      </c>
      <c r="J98">
        <v>98333941</v>
      </c>
      <c r="K98" t="s">
        <v>334</v>
      </c>
      <c r="L98" s="4">
        <v>6000000</v>
      </c>
      <c r="M98" s="4">
        <f t="shared" si="1"/>
        <v>2000000</v>
      </c>
    </row>
    <row r="99" spans="1:13" x14ac:dyDescent="0.25">
      <c r="A99" t="s">
        <v>122</v>
      </c>
      <c r="B99" s="4">
        <v>8000000</v>
      </c>
      <c r="C99" t="s">
        <v>325</v>
      </c>
      <c r="D99" s="3">
        <v>45419</v>
      </c>
      <c r="E99" s="3">
        <v>45511</v>
      </c>
      <c r="F99" t="s">
        <v>369</v>
      </c>
      <c r="G99" t="s">
        <v>330</v>
      </c>
      <c r="H99">
        <v>59828916</v>
      </c>
      <c r="I99" t="s">
        <v>435</v>
      </c>
      <c r="J99">
        <v>36950699</v>
      </c>
      <c r="K99" t="s">
        <v>353</v>
      </c>
      <c r="L99" s="4">
        <v>6000000</v>
      </c>
      <c r="M99" s="4">
        <f t="shared" si="1"/>
        <v>2000000</v>
      </c>
    </row>
    <row r="100" spans="1:13" x14ac:dyDescent="0.25">
      <c r="A100" t="s">
        <v>129</v>
      </c>
      <c r="B100" s="4">
        <v>8000000</v>
      </c>
      <c r="C100" t="s">
        <v>325</v>
      </c>
      <c r="D100" s="3">
        <v>45419</v>
      </c>
      <c r="E100" s="3">
        <v>45511</v>
      </c>
      <c r="F100" t="s">
        <v>369</v>
      </c>
      <c r="G100" t="s">
        <v>330</v>
      </c>
      <c r="H100">
        <v>1085313463</v>
      </c>
      <c r="I100" t="s">
        <v>441</v>
      </c>
      <c r="J100">
        <v>98333941</v>
      </c>
      <c r="K100" t="s">
        <v>334</v>
      </c>
      <c r="L100" s="4">
        <v>6000000</v>
      </c>
      <c r="M100" s="4">
        <f t="shared" si="1"/>
        <v>2000000</v>
      </c>
    </row>
    <row r="101" spans="1:13" x14ac:dyDescent="0.25">
      <c r="A101" t="s">
        <v>134</v>
      </c>
      <c r="B101" s="4">
        <v>8000000</v>
      </c>
      <c r="C101" t="s">
        <v>325</v>
      </c>
      <c r="D101" s="3">
        <v>45421</v>
      </c>
      <c r="E101" s="3">
        <v>45513</v>
      </c>
      <c r="F101" t="s">
        <v>369</v>
      </c>
      <c r="G101" t="s">
        <v>330</v>
      </c>
      <c r="H101">
        <v>1004709928</v>
      </c>
      <c r="I101" t="s">
        <v>445</v>
      </c>
      <c r="J101">
        <v>59822566</v>
      </c>
      <c r="K101" t="s">
        <v>332</v>
      </c>
      <c r="L101" s="4">
        <v>6000000</v>
      </c>
      <c r="M101" s="4">
        <f t="shared" si="1"/>
        <v>2000000</v>
      </c>
    </row>
    <row r="102" spans="1:13" x14ac:dyDescent="0.25">
      <c r="A102" t="s">
        <v>136</v>
      </c>
      <c r="B102" s="4">
        <v>8000000</v>
      </c>
      <c r="C102" t="s">
        <v>325</v>
      </c>
      <c r="D102" s="3">
        <v>45421</v>
      </c>
      <c r="E102" s="3">
        <v>45513</v>
      </c>
      <c r="F102" t="s">
        <v>446</v>
      </c>
      <c r="G102" t="s">
        <v>330</v>
      </c>
      <c r="H102">
        <v>1004135064</v>
      </c>
      <c r="I102" t="s">
        <v>447</v>
      </c>
      <c r="J102">
        <v>59822566</v>
      </c>
      <c r="K102" t="s">
        <v>332</v>
      </c>
      <c r="L102" s="4">
        <v>6000000</v>
      </c>
      <c r="M102" s="4">
        <f t="shared" si="1"/>
        <v>2000000</v>
      </c>
    </row>
    <row r="103" spans="1:13" x14ac:dyDescent="0.25">
      <c r="A103" t="s">
        <v>144</v>
      </c>
      <c r="B103" s="4">
        <v>8000000</v>
      </c>
      <c r="C103" t="s">
        <v>325</v>
      </c>
      <c r="D103" s="3">
        <v>45421</v>
      </c>
      <c r="E103" s="3">
        <v>45513</v>
      </c>
      <c r="F103" t="s">
        <v>329</v>
      </c>
      <c r="G103" t="s">
        <v>330</v>
      </c>
      <c r="H103">
        <v>69028150</v>
      </c>
      <c r="I103" t="s">
        <v>451</v>
      </c>
      <c r="J103">
        <v>36950699</v>
      </c>
      <c r="K103" t="s">
        <v>353</v>
      </c>
      <c r="L103" s="4">
        <v>6000000</v>
      </c>
      <c r="M103" s="4">
        <f t="shared" si="1"/>
        <v>2000000</v>
      </c>
    </row>
    <row r="104" spans="1:13" x14ac:dyDescent="0.25">
      <c r="A104" t="s">
        <v>147</v>
      </c>
      <c r="B104" s="4">
        <v>8000000</v>
      </c>
      <c r="C104" t="s">
        <v>325</v>
      </c>
      <c r="D104" s="3">
        <v>45421</v>
      </c>
      <c r="E104" s="3">
        <v>45513</v>
      </c>
      <c r="F104" t="s">
        <v>329</v>
      </c>
      <c r="G104" t="s">
        <v>330</v>
      </c>
      <c r="H104">
        <v>1010082397</v>
      </c>
      <c r="I104" t="s">
        <v>452</v>
      </c>
      <c r="J104">
        <v>59822566</v>
      </c>
      <c r="K104" t="s">
        <v>332</v>
      </c>
      <c r="L104" s="4">
        <v>6000000</v>
      </c>
      <c r="M104" s="4">
        <f t="shared" si="1"/>
        <v>2000000</v>
      </c>
    </row>
    <row r="105" spans="1:13" x14ac:dyDescent="0.25">
      <c r="A105" t="s">
        <v>149</v>
      </c>
      <c r="B105" s="4">
        <v>8000000</v>
      </c>
      <c r="C105" t="s">
        <v>325</v>
      </c>
      <c r="D105" s="3">
        <v>45421</v>
      </c>
      <c r="E105" s="3">
        <v>45513</v>
      </c>
      <c r="F105" t="s">
        <v>453</v>
      </c>
      <c r="G105" t="s">
        <v>330</v>
      </c>
      <c r="H105">
        <v>1080040858</v>
      </c>
      <c r="I105" t="s">
        <v>454</v>
      </c>
      <c r="J105">
        <v>36950699</v>
      </c>
      <c r="K105" t="s">
        <v>353</v>
      </c>
      <c r="L105" s="4">
        <v>6000000</v>
      </c>
      <c r="M105" s="4">
        <f t="shared" si="1"/>
        <v>2000000</v>
      </c>
    </row>
    <row r="106" spans="1:13" x14ac:dyDescent="0.25">
      <c r="A106" t="s">
        <v>152</v>
      </c>
      <c r="B106" s="4">
        <v>8000000</v>
      </c>
      <c r="C106" t="s">
        <v>325</v>
      </c>
      <c r="D106" s="3">
        <v>45421</v>
      </c>
      <c r="E106" s="3">
        <v>45513</v>
      </c>
      <c r="F106" t="s">
        <v>453</v>
      </c>
      <c r="G106" t="s">
        <v>330</v>
      </c>
      <c r="H106">
        <v>59830040</v>
      </c>
      <c r="I106" t="s">
        <v>455</v>
      </c>
      <c r="J106">
        <v>59822566</v>
      </c>
      <c r="K106" t="s">
        <v>332</v>
      </c>
      <c r="L106" s="4">
        <v>6000000</v>
      </c>
      <c r="M106" s="4">
        <f t="shared" si="1"/>
        <v>2000000</v>
      </c>
    </row>
    <row r="107" spans="1:13" x14ac:dyDescent="0.25">
      <c r="A107" t="s">
        <v>156</v>
      </c>
      <c r="B107" s="4">
        <v>8000000</v>
      </c>
      <c r="C107" t="s">
        <v>325</v>
      </c>
      <c r="D107" s="3">
        <v>45422</v>
      </c>
      <c r="E107" s="3">
        <v>45514</v>
      </c>
      <c r="F107" t="s">
        <v>329</v>
      </c>
      <c r="G107" t="s">
        <v>330</v>
      </c>
      <c r="H107">
        <v>1193218691</v>
      </c>
      <c r="I107" t="s">
        <v>457</v>
      </c>
      <c r="J107">
        <v>98390119</v>
      </c>
      <c r="K107" t="s">
        <v>339</v>
      </c>
      <c r="L107" s="4">
        <v>6000000</v>
      </c>
      <c r="M107" s="4">
        <f t="shared" si="1"/>
        <v>2000000</v>
      </c>
    </row>
    <row r="108" spans="1:13" x14ac:dyDescent="0.25">
      <c r="A108" t="s">
        <v>159</v>
      </c>
      <c r="B108" s="4">
        <v>8000000</v>
      </c>
      <c r="C108" t="s">
        <v>325</v>
      </c>
      <c r="D108" s="3">
        <v>45426</v>
      </c>
      <c r="E108" s="3">
        <v>45518</v>
      </c>
      <c r="F108" t="s">
        <v>453</v>
      </c>
      <c r="G108" t="s">
        <v>330</v>
      </c>
      <c r="H108">
        <v>1004592366</v>
      </c>
      <c r="I108" t="s">
        <v>458</v>
      </c>
      <c r="J108">
        <v>36950699</v>
      </c>
      <c r="K108" t="s">
        <v>353</v>
      </c>
      <c r="L108" s="4">
        <v>6000000</v>
      </c>
      <c r="M108" s="4">
        <f t="shared" si="1"/>
        <v>2000000</v>
      </c>
    </row>
    <row r="109" spans="1:13" x14ac:dyDescent="0.25">
      <c r="A109" t="s">
        <v>160</v>
      </c>
      <c r="B109" s="4">
        <v>8000000</v>
      </c>
      <c r="C109" t="s">
        <v>325</v>
      </c>
      <c r="D109" s="3">
        <v>45427</v>
      </c>
      <c r="E109" s="3">
        <v>45519</v>
      </c>
      <c r="F109" t="s">
        <v>329</v>
      </c>
      <c r="G109" t="s">
        <v>330</v>
      </c>
      <c r="H109">
        <v>1085316191</v>
      </c>
      <c r="I109" t="s">
        <v>459</v>
      </c>
      <c r="J109">
        <v>98390119</v>
      </c>
      <c r="K109" t="s">
        <v>339</v>
      </c>
      <c r="L109" s="4">
        <v>6000000</v>
      </c>
      <c r="M109" s="4">
        <f t="shared" si="1"/>
        <v>2000000</v>
      </c>
    </row>
    <row r="110" spans="1:13" x14ac:dyDescent="0.25">
      <c r="A110" t="s">
        <v>162</v>
      </c>
      <c r="B110" s="4">
        <v>8000000</v>
      </c>
      <c r="C110" t="s">
        <v>325</v>
      </c>
      <c r="D110" s="3">
        <v>45427</v>
      </c>
      <c r="E110" s="3">
        <v>45519</v>
      </c>
      <c r="F110" t="s">
        <v>369</v>
      </c>
      <c r="G110" t="s">
        <v>330</v>
      </c>
      <c r="H110">
        <v>1085347540</v>
      </c>
      <c r="I110" t="s">
        <v>460</v>
      </c>
      <c r="J110">
        <v>59822566</v>
      </c>
      <c r="K110" t="s">
        <v>332</v>
      </c>
      <c r="L110" s="4">
        <v>6000000</v>
      </c>
      <c r="M110" s="4">
        <f t="shared" si="1"/>
        <v>2000000</v>
      </c>
    </row>
    <row r="111" spans="1:13" x14ac:dyDescent="0.25">
      <c r="A111" t="s">
        <v>163</v>
      </c>
      <c r="B111" s="4">
        <v>8000000</v>
      </c>
      <c r="C111" t="s">
        <v>325</v>
      </c>
      <c r="D111" s="3">
        <v>45427</v>
      </c>
      <c r="E111" s="3">
        <v>45519</v>
      </c>
      <c r="F111" t="s">
        <v>369</v>
      </c>
      <c r="G111" t="s">
        <v>330</v>
      </c>
      <c r="H111">
        <v>1010113730</v>
      </c>
      <c r="I111" t="s">
        <v>461</v>
      </c>
      <c r="J111">
        <v>59822566</v>
      </c>
      <c r="K111" t="s">
        <v>332</v>
      </c>
      <c r="L111" s="4">
        <v>6000000</v>
      </c>
      <c r="M111" s="4">
        <f t="shared" si="1"/>
        <v>2000000</v>
      </c>
    </row>
    <row r="112" spans="1:13" x14ac:dyDescent="0.25">
      <c r="A112" t="s">
        <v>165</v>
      </c>
      <c r="B112" s="4">
        <v>8000000</v>
      </c>
      <c r="C112" t="s">
        <v>325</v>
      </c>
      <c r="D112" s="3">
        <v>45427</v>
      </c>
      <c r="E112" s="3">
        <v>45519</v>
      </c>
      <c r="F112" t="s">
        <v>369</v>
      </c>
      <c r="G112" t="s">
        <v>330</v>
      </c>
      <c r="H112">
        <v>27285974</v>
      </c>
      <c r="I112" t="s">
        <v>463</v>
      </c>
      <c r="J112">
        <v>36950699</v>
      </c>
      <c r="K112" t="s">
        <v>353</v>
      </c>
      <c r="L112" s="4">
        <v>6000000</v>
      </c>
      <c r="M112" s="4">
        <f t="shared" si="1"/>
        <v>2000000</v>
      </c>
    </row>
    <row r="113" spans="1:13" x14ac:dyDescent="0.25">
      <c r="A113" t="s">
        <v>167</v>
      </c>
      <c r="B113" s="4">
        <v>8000000</v>
      </c>
      <c r="C113" t="s">
        <v>325</v>
      </c>
      <c r="D113" s="3">
        <v>45428</v>
      </c>
      <c r="E113" s="3">
        <v>45520</v>
      </c>
      <c r="F113" t="s">
        <v>369</v>
      </c>
      <c r="G113" t="s">
        <v>330</v>
      </c>
      <c r="H113">
        <v>36757522</v>
      </c>
      <c r="I113" t="s">
        <v>464</v>
      </c>
      <c r="J113">
        <v>98390119</v>
      </c>
      <c r="K113" t="s">
        <v>339</v>
      </c>
      <c r="L113" s="4">
        <v>6000000</v>
      </c>
      <c r="M113" s="4">
        <f t="shared" si="1"/>
        <v>2000000</v>
      </c>
    </row>
    <row r="114" spans="1:13" x14ac:dyDescent="0.25">
      <c r="A114" t="s">
        <v>169</v>
      </c>
      <c r="B114" s="4">
        <v>8000000</v>
      </c>
      <c r="C114" t="s">
        <v>325</v>
      </c>
      <c r="D114" s="3">
        <v>45428</v>
      </c>
      <c r="E114" s="3">
        <v>45520</v>
      </c>
      <c r="F114" t="s">
        <v>329</v>
      </c>
      <c r="G114" t="s">
        <v>330</v>
      </c>
      <c r="H114">
        <v>1085261053</v>
      </c>
      <c r="I114" t="s">
        <v>465</v>
      </c>
      <c r="J114">
        <v>98333941</v>
      </c>
      <c r="K114" t="s">
        <v>334</v>
      </c>
      <c r="L114" s="4">
        <v>6000000</v>
      </c>
      <c r="M114" s="4">
        <f t="shared" si="1"/>
        <v>2000000</v>
      </c>
    </row>
    <row r="115" spans="1:13" x14ac:dyDescent="0.25">
      <c r="A115" t="s">
        <v>173</v>
      </c>
      <c r="B115" s="4">
        <v>8000000</v>
      </c>
      <c r="C115" t="s">
        <v>325</v>
      </c>
      <c r="D115" s="3">
        <v>45428</v>
      </c>
      <c r="E115" s="3">
        <v>45520</v>
      </c>
      <c r="F115" t="s">
        <v>329</v>
      </c>
      <c r="G115" t="s">
        <v>330</v>
      </c>
      <c r="H115">
        <v>1085338575</v>
      </c>
      <c r="I115" t="s">
        <v>468</v>
      </c>
      <c r="J115">
        <v>1085338575</v>
      </c>
      <c r="K115" t="s">
        <v>468</v>
      </c>
      <c r="L115" s="4">
        <v>6000000</v>
      </c>
      <c r="M115" s="4">
        <f t="shared" si="1"/>
        <v>2000000</v>
      </c>
    </row>
    <row r="116" spans="1:13" x14ac:dyDescent="0.25">
      <c r="A116" t="s">
        <v>176</v>
      </c>
      <c r="B116" s="4">
        <v>8000000</v>
      </c>
      <c r="C116" t="s">
        <v>325</v>
      </c>
      <c r="D116" s="3">
        <v>45428</v>
      </c>
      <c r="E116" s="3">
        <v>45520</v>
      </c>
      <c r="F116" t="s">
        <v>369</v>
      </c>
      <c r="G116" t="s">
        <v>330</v>
      </c>
      <c r="H116">
        <v>1085325718</v>
      </c>
      <c r="I116" t="s">
        <v>469</v>
      </c>
      <c r="J116">
        <v>36950699</v>
      </c>
      <c r="K116" t="s">
        <v>353</v>
      </c>
      <c r="L116" s="4">
        <v>6000000</v>
      </c>
      <c r="M116" s="4">
        <f t="shared" si="1"/>
        <v>2000000</v>
      </c>
    </row>
    <row r="117" spans="1:13" x14ac:dyDescent="0.25">
      <c r="A117" t="s">
        <v>181</v>
      </c>
      <c r="B117" s="4">
        <v>8000000</v>
      </c>
      <c r="C117" t="s">
        <v>325</v>
      </c>
      <c r="D117" s="3">
        <v>45432</v>
      </c>
      <c r="E117" s="3">
        <v>45524</v>
      </c>
      <c r="F117" t="s">
        <v>428</v>
      </c>
      <c r="G117" t="s">
        <v>330</v>
      </c>
      <c r="H117">
        <v>1085323101</v>
      </c>
      <c r="I117" t="s">
        <v>474</v>
      </c>
      <c r="J117">
        <v>59822566</v>
      </c>
      <c r="K117" t="s">
        <v>332</v>
      </c>
      <c r="L117" s="4">
        <v>6000000</v>
      </c>
      <c r="M117" s="4">
        <f t="shared" si="1"/>
        <v>2000000</v>
      </c>
    </row>
    <row r="118" spans="1:13" x14ac:dyDescent="0.25">
      <c r="A118" t="s">
        <v>183</v>
      </c>
      <c r="B118" s="4">
        <v>8000000</v>
      </c>
      <c r="C118" t="s">
        <v>325</v>
      </c>
      <c r="D118" s="3">
        <v>45433</v>
      </c>
      <c r="E118" s="3">
        <v>45525</v>
      </c>
      <c r="F118" t="s">
        <v>475</v>
      </c>
      <c r="G118" t="s">
        <v>330</v>
      </c>
      <c r="H118">
        <v>1004232508</v>
      </c>
      <c r="I118" t="s">
        <v>476</v>
      </c>
      <c r="J118">
        <v>36950699</v>
      </c>
      <c r="K118" t="s">
        <v>353</v>
      </c>
      <c r="L118" s="4">
        <v>6000000</v>
      </c>
      <c r="M118" s="4">
        <f t="shared" si="1"/>
        <v>2000000</v>
      </c>
    </row>
    <row r="119" spans="1:13" x14ac:dyDescent="0.25">
      <c r="A119" t="s">
        <v>188</v>
      </c>
      <c r="B119" s="4">
        <v>8000000</v>
      </c>
      <c r="C119" t="s">
        <v>325</v>
      </c>
      <c r="D119" s="3">
        <v>45433</v>
      </c>
      <c r="E119" s="3">
        <v>45525</v>
      </c>
      <c r="F119" t="s">
        <v>428</v>
      </c>
      <c r="G119" t="s">
        <v>330</v>
      </c>
      <c r="H119">
        <v>59813323</v>
      </c>
      <c r="I119" t="s">
        <v>478</v>
      </c>
      <c r="J119">
        <v>98390119</v>
      </c>
      <c r="K119" t="s">
        <v>339</v>
      </c>
      <c r="L119" s="4">
        <v>6000000</v>
      </c>
      <c r="M119" s="4">
        <f t="shared" si="1"/>
        <v>2000000</v>
      </c>
    </row>
    <row r="120" spans="1:13" x14ac:dyDescent="0.25">
      <c r="A120" t="s">
        <v>190</v>
      </c>
      <c r="B120" s="4">
        <v>8000000</v>
      </c>
      <c r="C120" t="s">
        <v>325</v>
      </c>
      <c r="D120" s="3">
        <v>45434</v>
      </c>
      <c r="E120" s="3">
        <v>45526</v>
      </c>
      <c r="F120" t="s">
        <v>475</v>
      </c>
      <c r="G120" t="s">
        <v>330</v>
      </c>
      <c r="H120">
        <v>1081592303</v>
      </c>
      <c r="I120" t="s">
        <v>479</v>
      </c>
      <c r="J120">
        <v>98390119</v>
      </c>
      <c r="K120" t="s">
        <v>339</v>
      </c>
      <c r="L120" s="4">
        <v>6000000</v>
      </c>
      <c r="M120" s="4">
        <f t="shared" si="1"/>
        <v>2000000</v>
      </c>
    </row>
    <row r="121" spans="1:13" x14ac:dyDescent="0.25">
      <c r="A121" t="s">
        <v>192</v>
      </c>
      <c r="B121" s="4">
        <v>8000000</v>
      </c>
      <c r="C121" t="s">
        <v>325</v>
      </c>
      <c r="D121" s="3">
        <v>45435</v>
      </c>
      <c r="E121" s="3">
        <v>45527</v>
      </c>
      <c r="F121" t="s">
        <v>480</v>
      </c>
      <c r="G121" t="s">
        <v>330</v>
      </c>
      <c r="H121">
        <v>1193265360</v>
      </c>
      <c r="I121" t="s">
        <v>481</v>
      </c>
      <c r="J121">
        <v>59822566</v>
      </c>
      <c r="K121" t="s">
        <v>332</v>
      </c>
      <c r="L121" s="4">
        <v>6000000</v>
      </c>
      <c r="M121" s="4">
        <f t="shared" si="1"/>
        <v>2000000</v>
      </c>
    </row>
    <row r="122" spans="1:13" x14ac:dyDescent="0.25">
      <c r="A122" t="s">
        <v>195</v>
      </c>
      <c r="B122" s="4">
        <v>8000000</v>
      </c>
      <c r="C122" t="s">
        <v>325</v>
      </c>
      <c r="D122" s="3">
        <v>45435</v>
      </c>
      <c r="E122" s="3">
        <v>45527</v>
      </c>
      <c r="F122" t="s">
        <v>329</v>
      </c>
      <c r="G122" t="s">
        <v>330</v>
      </c>
      <c r="H122">
        <v>1004726758</v>
      </c>
      <c r="I122" t="s">
        <v>483</v>
      </c>
      <c r="J122">
        <v>36950699</v>
      </c>
      <c r="K122" t="s">
        <v>353</v>
      </c>
      <c r="L122" s="4">
        <v>6000000</v>
      </c>
      <c r="M122" s="4">
        <f t="shared" si="1"/>
        <v>2000000</v>
      </c>
    </row>
    <row r="123" spans="1:13" x14ac:dyDescent="0.25">
      <c r="A123" t="s">
        <v>198</v>
      </c>
      <c r="B123" s="4">
        <v>8000000</v>
      </c>
      <c r="C123" t="s">
        <v>325</v>
      </c>
      <c r="D123" s="3">
        <v>45436</v>
      </c>
      <c r="E123" s="3">
        <v>45528</v>
      </c>
      <c r="F123" t="s">
        <v>428</v>
      </c>
      <c r="G123" t="s">
        <v>330</v>
      </c>
      <c r="H123">
        <v>59178610</v>
      </c>
      <c r="I123" t="s">
        <v>484</v>
      </c>
      <c r="J123">
        <v>59822566</v>
      </c>
      <c r="K123" t="s">
        <v>332</v>
      </c>
      <c r="L123" s="4">
        <v>6000000</v>
      </c>
      <c r="M123" s="4">
        <f t="shared" si="1"/>
        <v>2000000</v>
      </c>
    </row>
    <row r="124" spans="1:13" x14ac:dyDescent="0.25">
      <c r="A124" t="s">
        <v>200</v>
      </c>
      <c r="B124" s="4">
        <v>8000000</v>
      </c>
      <c r="C124" t="s">
        <v>325</v>
      </c>
      <c r="D124" s="3">
        <v>45436</v>
      </c>
      <c r="E124" s="3">
        <v>45528</v>
      </c>
      <c r="F124" t="s">
        <v>475</v>
      </c>
      <c r="G124" t="s">
        <v>330</v>
      </c>
      <c r="H124">
        <v>1193271854</v>
      </c>
      <c r="I124" t="s">
        <v>485</v>
      </c>
      <c r="J124">
        <v>59822566</v>
      </c>
      <c r="K124" t="s">
        <v>332</v>
      </c>
      <c r="L124" s="4">
        <v>6000000</v>
      </c>
      <c r="M124" s="4">
        <f t="shared" si="1"/>
        <v>2000000</v>
      </c>
    </row>
    <row r="125" spans="1:13" x14ac:dyDescent="0.25">
      <c r="A125" t="s">
        <v>203</v>
      </c>
      <c r="B125" s="4">
        <v>8000000</v>
      </c>
      <c r="C125" t="s">
        <v>325</v>
      </c>
      <c r="D125" s="3">
        <v>45436</v>
      </c>
      <c r="E125" s="3">
        <v>45528</v>
      </c>
      <c r="F125" t="s">
        <v>428</v>
      </c>
      <c r="G125" t="s">
        <v>330</v>
      </c>
      <c r="H125">
        <v>87070661</v>
      </c>
      <c r="I125" t="s">
        <v>487</v>
      </c>
      <c r="J125">
        <v>98390119</v>
      </c>
      <c r="K125" t="s">
        <v>339</v>
      </c>
      <c r="L125" s="4">
        <v>6000000</v>
      </c>
      <c r="M125" s="4">
        <f t="shared" si="1"/>
        <v>2000000</v>
      </c>
    </row>
    <row r="126" spans="1:13" x14ac:dyDescent="0.25">
      <c r="A126" t="s">
        <v>205</v>
      </c>
      <c r="B126" s="4">
        <v>8000000</v>
      </c>
      <c r="C126" t="s">
        <v>325</v>
      </c>
      <c r="D126" s="3">
        <v>45436</v>
      </c>
      <c r="E126" s="3">
        <v>45528</v>
      </c>
      <c r="F126" t="s">
        <v>428</v>
      </c>
      <c r="G126" t="s">
        <v>330</v>
      </c>
      <c r="H126">
        <v>1014857280</v>
      </c>
      <c r="I126" t="s">
        <v>488</v>
      </c>
      <c r="J126">
        <v>1014857280</v>
      </c>
      <c r="K126" t="s">
        <v>334</v>
      </c>
      <c r="L126" s="4">
        <v>6000000</v>
      </c>
      <c r="M126" s="4">
        <f t="shared" si="1"/>
        <v>2000000</v>
      </c>
    </row>
    <row r="127" spans="1:13" x14ac:dyDescent="0.25">
      <c r="A127" t="s">
        <v>207</v>
      </c>
      <c r="B127" s="4">
        <v>8000000</v>
      </c>
      <c r="C127" t="s">
        <v>325</v>
      </c>
      <c r="D127" s="3">
        <v>45436</v>
      </c>
      <c r="E127" s="3">
        <v>45528</v>
      </c>
      <c r="F127" t="s">
        <v>475</v>
      </c>
      <c r="G127" t="s">
        <v>330</v>
      </c>
      <c r="H127">
        <v>36758143</v>
      </c>
      <c r="I127" t="s">
        <v>490</v>
      </c>
      <c r="J127">
        <v>36950699</v>
      </c>
      <c r="K127" t="s">
        <v>353</v>
      </c>
      <c r="L127" s="4">
        <v>6000000</v>
      </c>
      <c r="M127" s="4">
        <f t="shared" si="1"/>
        <v>2000000</v>
      </c>
    </row>
    <row r="128" spans="1:13" x14ac:dyDescent="0.25">
      <c r="A128" t="s">
        <v>214</v>
      </c>
      <c r="B128" s="4">
        <v>8000000</v>
      </c>
      <c r="C128" t="s">
        <v>325</v>
      </c>
      <c r="D128" s="3">
        <v>45436</v>
      </c>
      <c r="E128" s="3">
        <v>45528</v>
      </c>
      <c r="F128" t="s">
        <v>369</v>
      </c>
      <c r="G128" t="s">
        <v>330</v>
      </c>
      <c r="H128">
        <v>5930737</v>
      </c>
      <c r="I128" t="s">
        <v>494</v>
      </c>
      <c r="J128">
        <v>98390119</v>
      </c>
      <c r="K128" t="s">
        <v>339</v>
      </c>
      <c r="L128" s="4">
        <v>6000000</v>
      </c>
      <c r="M128" s="4">
        <f t="shared" si="1"/>
        <v>2000000</v>
      </c>
    </row>
    <row r="129" spans="1:13" x14ac:dyDescent="0.25">
      <c r="A129" t="s">
        <v>219</v>
      </c>
      <c r="B129" s="4">
        <v>8000000</v>
      </c>
      <c r="C129" t="s">
        <v>325</v>
      </c>
      <c r="D129" s="3">
        <v>45436</v>
      </c>
      <c r="E129" s="3">
        <v>45528</v>
      </c>
      <c r="F129" t="s">
        <v>369</v>
      </c>
      <c r="G129" t="s">
        <v>330</v>
      </c>
      <c r="H129">
        <v>1086362994</v>
      </c>
      <c r="I129" t="s">
        <v>498</v>
      </c>
      <c r="J129">
        <v>98333941</v>
      </c>
      <c r="K129" t="s">
        <v>334</v>
      </c>
      <c r="L129" s="4">
        <v>6000000</v>
      </c>
      <c r="M129" s="4">
        <f t="shared" si="1"/>
        <v>2000000</v>
      </c>
    </row>
    <row r="130" spans="1:13" x14ac:dyDescent="0.25">
      <c r="A130" t="s">
        <v>220</v>
      </c>
      <c r="B130" s="4">
        <v>8000000</v>
      </c>
      <c r="C130" t="s">
        <v>325</v>
      </c>
      <c r="D130" s="3">
        <v>45441</v>
      </c>
      <c r="E130" s="3">
        <v>45533</v>
      </c>
      <c r="F130" t="s">
        <v>499</v>
      </c>
      <c r="G130" t="s">
        <v>330</v>
      </c>
      <c r="H130">
        <v>12974849</v>
      </c>
      <c r="I130" t="s">
        <v>500</v>
      </c>
      <c r="J130">
        <v>59822566</v>
      </c>
      <c r="K130" t="s">
        <v>332</v>
      </c>
      <c r="L130" s="4">
        <v>6000000</v>
      </c>
      <c r="M130" s="4">
        <f t="shared" ref="M130:M193" si="2">B130-L130</f>
        <v>2000000</v>
      </c>
    </row>
    <row r="131" spans="1:13" x14ac:dyDescent="0.25">
      <c r="A131" t="s">
        <v>260</v>
      </c>
      <c r="B131" s="4">
        <v>6180000</v>
      </c>
      <c r="C131" t="s">
        <v>325</v>
      </c>
      <c r="D131" s="3">
        <v>45469</v>
      </c>
      <c r="E131" s="3">
        <v>45561</v>
      </c>
      <c r="F131" t="s">
        <v>329</v>
      </c>
      <c r="G131" t="s">
        <v>330</v>
      </c>
      <c r="H131">
        <v>59310524</v>
      </c>
      <c r="I131" t="s">
        <v>549</v>
      </c>
      <c r="J131">
        <v>98333941</v>
      </c>
      <c r="K131" t="s">
        <v>334</v>
      </c>
      <c r="L131" s="4">
        <v>6000000</v>
      </c>
      <c r="M131" s="4">
        <f t="shared" si="2"/>
        <v>180000</v>
      </c>
    </row>
    <row r="132" spans="1:13" x14ac:dyDescent="0.25">
      <c r="A132" t="s">
        <v>306</v>
      </c>
      <c r="B132" s="4">
        <v>9230326</v>
      </c>
      <c r="C132" t="s">
        <v>325</v>
      </c>
      <c r="D132" s="3">
        <v>45551</v>
      </c>
      <c r="E132" s="3">
        <v>45565</v>
      </c>
      <c r="F132" t="s">
        <v>609</v>
      </c>
      <c r="G132" t="s">
        <v>330</v>
      </c>
      <c r="H132">
        <v>1061696504</v>
      </c>
      <c r="I132" t="s">
        <v>610</v>
      </c>
      <c r="J132">
        <v>111247705</v>
      </c>
      <c r="K132" t="s">
        <v>611</v>
      </c>
      <c r="L132" s="4">
        <v>9506000</v>
      </c>
      <c r="M132" s="4">
        <f t="shared" si="2"/>
        <v>-275674</v>
      </c>
    </row>
    <row r="133" spans="1:13" x14ac:dyDescent="0.25">
      <c r="A133" t="s">
        <v>221</v>
      </c>
      <c r="B133" s="4">
        <v>14250000</v>
      </c>
      <c r="C133" t="s">
        <v>325</v>
      </c>
      <c r="D133" s="3">
        <v>45448</v>
      </c>
      <c r="E133" s="3">
        <v>45540</v>
      </c>
      <c r="F133" t="s">
        <v>439</v>
      </c>
      <c r="G133" t="s">
        <v>330</v>
      </c>
      <c r="H133">
        <v>1085345772</v>
      </c>
      <c r="I133" t="s">
        <v>501</v>
      </c>
      <c r="J133">
        <v>36950699</v>
      </c>
      <c r="K133" t="s">
        <v>353</v>
      </c>
      <c r="L133" s="4">
        <v>14250000</v>
      </c>
      <c r="M133" s="4">
        <f t="shared" si="2"/>
        <v>0</v>
      </c>
    </row>
    <row r="134" spans="1:13" x14ac:dyDescent="0.25">
      <c r="A134" t="s">
        <v>222</v>
      </c>
      <c r="B134" s="4">
        <v>6000000</v>
      </c>
      <c r="C134" t="s">
        <v>325</v>
      </c>
      <c r="D134" s="3">
        <v>45449</v>
      </c>
      <c r="E134" s="3">
        <v>45541</v>
      </c>
      <c r="F134" t="s">
        <v>428</v>
      </c>
      <c r="G134" t="s">
        <v>330</v>
      </c>
      <c r="H134">
        <v>1085326198</v>
      </c>
      <c r="I134" t="s">
        <v>502</v>
      </c>
      <c r="J134">
        <v>98390119</v>
      </c>
      <c r="K134" t="s">
        <v>339</v>
      </c>
      <c r="L134" s="4">
        <v>6000000</v>
      </c>
      <c r="M134" s="4">
        <f t="shared" si="2"/>
        <v>0</v>
      </c>
    </row>
    <row r="135" spans="1:13" x14ac:dyDescent="0.25">
      <c r="A135" t="s">
        <v>223</v>
      </c>
      <c r="B135" s="4">
        <v>6000000</v>
      </c>
      <c r="C135" t="s">
        <v>325</v>
      </c>
      <c r="D135" s="3">
        <v>45449</v>
      </c>
      <c r="E135" s="3">
        <v>45541</v>
      </c>
      <c r="F135" t="s">
        <v>475</v>
      </c>
      <c r="G135" t="s">
        <v>330</v>
      </c>
      <c r="H135">
        <v>1085271641</v>
      </c>
      <c r="I135" t="s">
        <v>503</v>
      </c>
      <c r="J135">
        <v>59822566</v>
      </c>
      <c r="K135" t="s">
        <v>332</v>
      </c>
      <c r="L135" s="4">
        <v>6000000</v>
      </c>
      <c r="M135" s="4">
        <f t="shared" si="2"/>
        <v>0</v>
      </c>
    </row>
    <row r="136" spans="1:13" x14ac:dyDescent="0.25">
      <c r="A136" t="s">
        <v>224</v>
      </c>
      <c r="B136" s="4">
        <v>6000000</v>
      </c>
      <c r="C136" t="s">
        <v>325</v>
      </c>
      <c r="D136" s="3">
        <v>45449</v>
      </c>
      <c r="E136" s="3">
        <v>45541</v>
      </c>
      <c r="F136" t="s">
        <v>475</v>
      </c>
      <c r="G136" t="s">
        <v>330</v>
      </c>
      <c r="H136">
        <v>1085327677</v>
      </c>
      <c r="I136" t="s">
        <v>504</v>
      </c>
      <c r="J136">
        <v>98333941</v>
      </c>
      <c r="K136" t="s">
        <v>505</v>
      </c>
      <c r="L136" s="4">
        <v>6000000</v>
      </c>
      <c r="M136" s="4">
        <f t="shared" si="2"/>
        <v>0</v>
      </c>
    </row>
    <row r="137" spans="1:13" x14ac:dyDescent="0.25">
      <c r="A137" t="s">
        <v>225</v>
      </c>
      <c r="B137" s="4">
        <v>6000000</v>
      </c>
      <c r="C137" t="s">
        <v>325</v>
      </c>
      <c r="D137" s="3">
        <v>45449</v>
      </c>
      <c r="E137" s="3">
        <v>45541</v>
      </c>
      <c r="F137" t="s">
        <v>475</v>
      </c>
      <c r="G137" t="s">
        <v>330</v>
      </c>
      <c r="H137">
        <v>1192717330</v>
      </c>
      <c r="I137" t="s">
        <v>506</v>
      </c>
      <c r="J137">
        <v>59822566</v>
      </c>
      <c r="K137" t="s">
        <v>332</v>
      </c>
      <c r="L137" s="4">
        <v>6000000</v>
      </c>
      <c r="M137" s="4">
        <f t="shared" si="2"/>
        <v>0</v>
      </c>
    </row>
    <row r="138" spans="1:13" x14ac:dyDescent="0.25">
      <c r="A138" t="s">
        <v>226</v>
      </c>
      <c r="B138" s="4">
        <v>6000000</v>
      </c>
      <c r="C138" t="s">
        <v>325</v>
      </c>
      <c r="D138" s="3">
        <v>45449</v>
      </c>
      <c r="E138" s="3">
        <v>45541</v>
      </c>
      <c r="F138" t="s">
        <v>475</v>
      </c>
      <c r="G138" t="s">
        <v>330</v>
      </c>
      <c r="H138">
        <v>1137624011</v>
      </c>
      <c r="I138" t="s">
        <v>507</v>
      </c>
      <c r="J138">
        <v>98333941</v>
      </c>
      <c r="K138" t="s">
        <v>334</v>
      </c>
      <c r="L138" s="4">
        <v>6000000</v>
      </c>
      <c r="M138" s="4">
        <f t="shared" si="2"/>
        <v>0</v>
      </c>
    </row>
    <row r="139" spans="1:13" x14ac:dyDescent="0.25">
      <c r="A139" t="s">
        <v>227</v>
      </c>
      <c r="B139" s="4">
        <v>6000000</v>
      </c>
      <c r="C139" t="s">
        <v>325</v>
      </c>
      <c r="D139" s="3">
        <v>45454</v>
      </c>
      <c r="E139" s="3">
        <v>45546</v>
      </c>
      <c r="F139" t="s">
        <v>475</v>
      </c>
      <c r="G139" t="s">
        <v>330</v>
      </c>
      <c r="H139">
        <v>1089243630</v>
      </c>
      <c r="I139" t="s">
        <v>508</v>
      </c>
      <c r="J139">
        <v>98390119</v>
      </c>
      <c r="K139" t="s">
        <v>339</v>
      </c>
      <c r="L139" s="4">
        <v>6000000</v>
      </c>
      <c r="M139" s="4">
        <f t="shared" si="2"/>
        <v>0</v>
      </c>
    </row>
    <row r="140" spans="1:13" x14ac:dyDescent="0.25">
      <c r="A140" t="s">
        <v>228</v>
      </c>
      <c r="B140" s="4">
        <v>6000000</v>
      </c>
      <c r="C140" t="s">
        <v>325</v>
      </c>
      <c r="D140" s="3">
        <v>45454</v>
      </c>
      <c r="E140" s="3">
        <v>45546</v>
      </c>
      <c r="F140" t="s">
        <v>509</v>
      </c>
      <c r="G140" t="s">
        <v>330</v>
      </c>
      <c r="H140">
        <v>27211504</v>
      </c>
      <c r="I140" t="s">
        <v>510</v>
      </c>
      <c r="J140">
        <v>98390119</v>
      </c>
      <c r="K140" t="s">
        <v>339</v>
      </c>
      <c r="L140" s="4">
        <v>6000000</v>
      </c>
      <c r="M140" s="4">
        <f t="shared" si="2"/>
        <v>0</v>
      </c>
    </row>
    <row r="141" spans="1:13" x14ac:dyDescent="0.25">
      <c r="A141" t="s">
        <v>229</v>
      </c>
      <c r="B141" s="4">
        <v>6000000</v>
      </c>
      <c r="C141" t="s">
        <v>325</v>
      </c>
      <c r="D141" s="3">
        <v>45456</v>
      </c>
      <c r="E141" s="3">
        <v>45548</v>
      </c>
      <c r="F141" t="s">
        <v>475</v>
      </c>
      <c r="G141" t="s">
        <v>330</v>
      </c>
      <c r="H141">
        <v>1085252263</v>
      </c>
      <c r="I141" t="s">
        <v>511</v>
      </c>
      <c r="J141">
        <v>59822566</v>
      </c>
      <c r="K141" t="s">
        <v>332</v>
      </c>
      <c r="L141" s="4">
        <v>6000000</v>
      </c>
      <c r="M141" s="4">
        <f t="shared" si="2"/>
        <v>0</v>
      </c>
    </row>
    <row r="142" spans="1:13" x14ac:dyDescent="0.25">
      <c r="A142" t="s">
        <v>230</v>
      </c>
      <c r="B142" s="4">
        <v>6000000</v>
      </c>
      <c r="C142" t="s">
        <v>325</v>
      </c>
      <c r="D142" s="3">
        <v>45456</v>
      </c>
      <c r="E142" s="3">
        <v>45548</v>
      </c>
      <c r="F142" t="s">
        <v>475</v>
      </c>
      <c r="G142" t="s">
        <v>330</v>
      </c>
      <c r="H142">
        <v>36752202</v>
      </c>
      <c r="I142" t="s">
        <v>512</v>
      </c>
      <c r="J142">
        <v>36950699</v>
      </c>
      <c r="K142" t="s">
        <v>353</v>
      </c>
      <c r="L142" s="4">
        <v>6000000</v>
      </c>
      <c r="M142" s="4">
        <f t="shared" si="2"/>
        <v>0</v>
      </c>
    </row>
    <row r="143" spans="1:13" x14ac:dyDescent="0.25">
      <c r="A143" t="s">
        <v>231</v>
      </c>
      <c r="B143" s="4">
        <v>14250000</v>
      </c>
      <c r="C143" t="s">
        <v>325</v>
      </c>
      <c r="D143" s="3">
        <v>45456</v>
      </c>
      <c r="E143" s="3">
        <v>45548</v>
      </c>
      <c r="F143" t="s">
        <v>439</v>
      </c>
      <c r="G143" t="s">
        <v>330</v>
      </c>
      <c r="H143">
        <v>1087422930</v>
      </c>
      <c r="I143" t="s">
        <v>513</v>
      </c>
      <c r="J143">
        <v>59822566</v>
      </c>
      <c r="K143" t="s">
        <v>332</v>
      </c>
      <c r="L143" s="4">
        <v>14250000</v>
      </c>
      <c r="M143" s="4">
        <f t="shared" si="2"/>
        <v>0</v>
      </c>
    </row>
    <row r="144" spans="1:13" x14ac:dyDescent="0.25">
      <c r="A144" t="s">
        <v>232</v>
      </c>
      <c r="B144" s="4">
        <v>14476800</v>
      </c>
      <c r="C144" t="s">
        <v>325</v>
      </c>
      <c r="D144" s="3">
        <v>45457</v>
      </c>
      <c r="E144" s="3">
        <v>45549</v>
      </c>
      <c r="F144" t="s">
        <v>337</v>
      </c>
      <c r="G144" t="s">
        <v>330</v>
      </c>
      <c r="H144">
        <v>30732782</v>
      </c>
      <c r="I144" t="s">
        <v>514</v>
      </c>
      <c r="J144">
        <v>59822566</v>
      </c>
      <c r="K144" t="s">
        <v>332</v>
      </c>
      <c r="L144" s="4">
        <v>14476800</v>
      </c>
      <c r="M144" s="4">
        <f t="shared" si="2"/>
        <v>0</v>
      </c>
    </row>
    <row r="145" spans="1:13" x14ac:dyDescent="0.25">
      <c r="A145" t="s">
        <v>233</v>
      </c>
      <c r="B145" s="4">
        <v>14250000</v>
      </c>
      <c r="C145" t="s">
        <v>325</v>
      </c>
      <c r="D145" s="3">
        <v>45457</v>
      </c>
      <c r="E145" s="3">
        <v>45549</v>
      </c>
      <c r="F145" t="s">
        <v>439</v>
      </c>
      <c r="G145" t="s">
        <v>330</v>
      </c>
      <c r="H145">
        <v>1233192618</v>
      </c>
      <c r="I145" t="s">
        <v>515</v>
      </c>
      <c r="J145">
        <v>98333941</v>
      </c>
      <c r="K145" t="s">
        <v>334</v>
      </c>
      <c r="L145" s="4">
        <v>14250000</v>
      </c>
      <c r="M145" s="4">
        <f t="shared" si="2"/>
        <v>0</v>
      </c>
    </row>
    <row r="146" spans="1:13" x14ac:dyDescent="0.25">
      <c r="A146" t="s">
        <v>234</v>
      </c>
      <c r="B146" s="4">
        <v>18000000</v>
      </c>
      <c r="C146" t="s">
        <v>325</v>
      </c>
      <c r="D146" s="3">
        <v>45460</v>
      </c>
      <c r="E146" s="3">
        <v>45552</v>
      </c>
      <c r="F146" t="s">
        <v>433</v>
      </c>
      <c r="G146" t="s">
        <v>330</v>
      </c>
      <c r="H146">
        <v>1085337232</v>
      </c>
      <c r="I146" t="s">
        <v>516</v>
      </c>
      <c r="J146">
        <v>36950699</v>
      </c>
      <c r="K146" t="s">
        <v>353</v>
      </c>
      <c r="L146" s="4">
        <v>18000000</v>
      </c>
      <c r="M146" s="4">
        <f t="shared" si="2"/>
        <v>0</v>
      </c>
    </row>
    <row r="147" spans="1:13" x14ac:dyDescent="0.25">
      <c r="A147" t="s">
        <v>235</v>
      </c>
      <c r="B147" s="4">
        <v>22500000</v>
      </c>
      <c r="C147" t="s">
        <v>325</v>
      </c>
      <c r="D147" s="3">
        <v>45461</v>
      </c>
      <c r="E147" s="3">
        <v>45553</v>
      </c>
      <c r="F147" t="s">
        <v>517</v>
      </c>
      <c r="G147" t="s">
        <v>330</v>
      </c>
      <c r="H147">
        <v>1085336362</v>
      </c>
      <c r="I147" t="s">
        <v>518</v>
      </c>
      <c r="J147">
        <v>98390119</v>
      </c>
      <c r="K147" t="s">
        <v>339</v>
      </c>
      <c r="L147" s="4">
        <v>22500000</v>
      </c>
      <c r="M147" s="4">
        <f t="shared" si="2"/>
        <v>0</v>
      </c>
    </row>
    <row r="148" spans="1:13" x14ac:dyDescent="0.25">
      <c r="A148" t="s">
        <v>236</v>
      </c>
      <c r="B148" s="4">
        <v>18000000</v>
      </c>
      <c r="C148" t="s">
        <v>325</v>
      </c>
      <c r="D148" s="3">
        <v>45461</v>
      </c>
      <c r="E148" s="3">
        <v>45553</v>
      </c>
      <c r="F148" t="s">
        <v>433</v>
      </c>
      <c r="G148" t="s">
        <v>330</v>
      </c>
      <c r="H148">
        <v>36954410</v>
      </c>
      <c r="I148" t="s">
        <v>519</v>
      </c>
      <c r="J148">
        <v>98390119</v>
      </c>
      <c r="K148" t="s">
        <v>339</v>
      </c>
      <c r="L148" s="4">
        <v>18000000</v>
      </c>
      <c r="M148" s="4">
        <f t="shared" si="2"/>
        <v>0</v>
      </c>
    </row>
    <row r="149" spans="1:13" x14ac:dyDescent="0.25">
      <c r="A149" t="s">
        <v>237</v>
      </c>
      <c r="B149" s="4">
        <v>6000000</v>
      </c>
      <c r="C149" t="s">
        <v>325</v>
      </c>
      <c r="D149" s="3">
        <v>45461</v>
      </c>
      <c r="E149" s="3">
        <v>45553</v>
      </c>
      <c r="F149" t="s">
        <v>369</v>
      </c>
      <c r="G149" t="s">
        <v>330</v>
      </c>
      <c r="H149">
        <v>1085295383</v>
      </c>
      <c r="I149" t="s">
        <v>520</v>
      </c>
      <c r="J149">
        <v>98390119</v>
      </c>
      <c r="K149" t="s">
        <v>339</v>
      </c>
      <c r="L149" s="4">
        <v>6000000</v>
      </c>
      <c r="M149" s="4">
        <f t="shared" si="2"/>
        <v>0</v>
      </c>
    </row>
    <row r="150" spans="1:13" x14ac:dyDescent="0.25">
      <c r="A150" t="s">
        <v>238</v>
      </c>
      <c r="B150" s="4">
        <v>18000000</v>
      </c>
      <c r="C150" t="s">
        <v>325</v>
      </c>
      <c r="D150" s="3">
        <v>45461</v>
      </c>
      <c r="E150" s="3">
        <v>45553</v>
      </c>
      <c r="F150" t="s">
        <v>521</v>
      </c>
      <c r="G150" t="s">
        <v>330</v>
      </c>
      <c r="H150">
        <v>79724257</v>
      </c>
      <c r="I150" t="s">
        <v>522</v>
      </c>
      <c r="J150">
        <v>36950699</v>
      </c>
      <c r="K150" t="s">
        <v>353</v>
      </c>
      <c r="L150" s="4">
        <v>18000000</v>
      </c>
      <c r="M150" s="4">
        <f t="shared" si="2"/>
        <v>0</v>
      </c>
    </row>
    <row r="151" spans="1:13" x14ac:dyDescent="0.25">
      <c r="A151" t="s">
        <v>239</v>
      </c>
      <c r="B151" s="4">
        <v>22500000</v>
      </c>
      <c r="C151" t="s">
        <v>325</v>
      </c>
      <c r="D151" s="3">
        <v>45462</v>
      </c>
      <c r="E151" s="3">
        <v>45554</v>
      </c>
      <c r="F151" t="s">
        <v>411</v>
      </c>
      <c r="G151" t="s">
        <v>330</v>
      </c>
      <c r="H151">
        <v>1085345430</v>
      </c>
      <c r="I151" t="s">
        <v>523</v>
      </c>
      <c r="J151">
        <v>98333941</v>
      </c>
      <c r="K151" t="s">
        <v>334</v>
      </c>
      <c r="L151" s="4">
        <v>22500000</v>
      </c>
      <c r="M151" s="4">
        <f t="shared" si="2"/>
        <v>0</v>
      </c>
    </row>
    <row r="152" spans="1:13" x14ac:dyDescent="0.25">
      <c r="A152" t="s">
        <v>240</v>
      </c>
      <c r="B152" s="4">
        <v>18000000</v>
      </c>
      <c r="C152" t="s">
        <v>325</v>
      </c>
      <c r="D152" s="3">
        <v>45462</v>
      </c>
      <c r="E152" s="3">
        <v>45544</v>
      </c>
      <c r="F152" t="s">
        <v>524</v>
      </c>
      <c r="G152" t="s">
        <v>330</v>
      </c>
      <c r="H152">
        <v>1010010954</v>
      </c>
      <c r="I152" t="s">
        <v>525</v>
      </c>
      <c r="J152">
        <v>59822566</v>
      </c>
      <c r="K152" t="s">
        <v>332</v>
      </c>
      <c r="L152" s="4">
        <v>18000000</v>
      </c>
      <c r="M152" s="4">
        <f t="shared" si="2"/>
        <v>0</v>
      </c>
    </row>
    <row r="153" spans="1:13" x14ac:dyDescent="0.25">
      <c r="A153" t="s">
        <v>241</v>
      </c>
      <c r="B153" s="4">
        <v>18000000</v>
      </c>
      <c r="C153" t="s">
        <v>325</v>
      </c>
      <c r="D153" s="3">
        <v>45462</v>
      </c>
      <c r="E153" s="3">
        <v>45554</v>
      </c>
      <c r="F153" t="s">
        <v>526</v>
      </c>
      <c r="G153" t="s">
        <v>330</v>
      </c>
      <c r="H153">
        <v>59836926</v>
      </c>
      <c r="I153" t="s">
        <v>527</v>
      </c>
      <c r="J153">
        <v>98390119</v>
      </c>
      <c r="K153" t="s">
        <v>339</v>
      </c>
      <c r="L153" s="4">
        <v>18000000</v>
      </c>
      <c r="M153" s="4">
        <f t="shared" si="2"/>
        <v>0</v>
      </c>
    </row>
    <row r="154" spans="1:13" x14ac:dyDescent="0.25">
      <c r="A154" t="s">
        <v>242</v>
      </c>
      <c r="B154" s="4">
        <v>18000000</v>
      </c>
      <c r="C154" t="s">
        <v>325</v>
      </c>
      <c r="D154" s="3">
        <v>45462</v>
      </c>
      <c r="E154" s="3">
        <v>45554</v>
      </c>
      <c r="F154" t="s">
        <v>433</v>
      </c>
      <c r="G154" t="s">
        <v>330</v>
      </c>
      <c r="H154">
        <v>1085248939</v>
      </c>
      <c r="I154" t="s">
        <v>528</v>
      </c>
      <c r="J154">
        <v>98333941</v>
      </c>
      <c r="K154" t="s">
        <v>334</v>
      </c>
      <c r="L154" s="4">
        <v>18000000</v>
      </c>
      <c r="M154" s="4">
        <f t="shared" si="2"/>
        <v>0</v>
      </c>
    </row>
    <row r="155" spans="1:13" x14ac:dyDescent="0.25">
      <c r="A155" t="s">
        <v>243</v>
      </c>
      <c r="B155" s="4">
        <v>22500000</v>
      </c>
      <c r="C155" t="s">
        <v>325</v>
      </c>
      <c r="D155" s="3">
        <v>45462</v>
      </c>
      <c r="E155" s="3">
        <v>45554</v>
      </c>
      <c r="F155" t="s">
        <v>529</v>
      </c>
      <c r="G155" t="s">
        <v>330</v>
      </c>
      <c r="H155">
        <v>87065647</v>
      </c>
      <c r="I155" t="s">
        <v>530</v>
      </c>
      <c r="J155">
        <v>36950699</v>
      </c>
      <c r="K155" t="s">
        <v>353</v>
      </c>
      <c r="L155" s="4">
        <v>22500000</v>
      </c>
      <c r="M155" s="4">
        <f t="shared" si="2"/>
        <v>0</v>
      </c>
    </row>
    <row r="156" spans="1:13" x14ac:dyDescent="0.25">
      <c r="A156" t="s">
        <v>244</v>
      </c>
      <c r="B156" s="4">
        <v>6000000</v>
      </c>
      <c r="C156" t="s">
        <v>325</v>
      </c>
      <c r="D156" s="3">
        <v>45462</v>
      </c>
      <c r="E156" s="3">
        <v>45554</v>
      </c>
      <c r="F156" t="s">
        <v>475</v>
      </c>
      <c r="G156" t="s">
        <v>330</v>
      </c>
      <c r="H156">
        <v>1088799034</v>
      </c>
      <c r="I156" t="s">
        <v>531</v>
      </c>
      <c r="J156">
        <v>98390119</v>
      </c>
      <c r="K156" t="s">
        <v>339</v>
      </c>
      <c r="L156" s="4">
        <v>6000000</v>
      </c>
      <c r="M156" s="4">
        <f t="shared" si="2"/>
        <v>0</v>
      </c>
    </row>
    <row r="157" spans="1:13" x14ac:dyDescent="0.25">
      <c r="A157" t="s">
        <v>245</v>
      </c>
      <c r="B157" s="4">
        <v>6000000</v>
      </c>
      <c r="C157" t="s">
        <v>325</v>
      </c>
      <c r="D157" s="3">
        <v>45462</v>
      </c>
      <c r="E157" s="3">
        <v>45554</v>
      </c>
      <c r="F157" t="s">
        <v>532</v>
      </c>
      <c r="G157" t="s">
        <v>330</v>
      </c>
      <c r="H157">
        <v>59314601</v>
      </c>
      <c r="I157" t="s">
        <v>533</v>
      </c>
      <c r="J157">
        <v>59822566</v>
      </c>
      <c r="K157" t="s">
        <v>332</v>
      </c>
      <c r="L157" s="4">
        <v>6000000</v>
      </c>
      <c r="M157" s="4">
        <f t="shared" si="2"/>
        <v>0</v>
      </c>
    </row>
    <row r="158" spans="1:13" x14ac:dyDescent="0.25">
      <c r="A158" t="s">
        <v>246</v>
      </c>
      <c r="B158" s="4">
        <v>6000000</v>
      </c>
      <c r="C158" t="s">
        <v>325</v>
      </c>
      <c r="D158" s="3">
        <v>45462</v>
      </c>
      <c r="E158" s="3">
        <v>45554</v>
      </c>
      <c r="F158" t="s">
        <v>475</v>
      </c>
      <c r="G158" t="s">
        <v>330</v>
      </c>
      <c r="H158">
        <v>1085331508</v>
      </c>
      <c r="I158" t="s">
        <v>534</v>
      </c>
      <c r="J158">
        <v>98390119</v>
      </c>
      <c r="K158" t="s">
        <v>339</v>
      </c>
      <c r="L158" s="4">
        <v>6000000</v>
      </c>
      <c r="M158" s="4">
        <f t="shared" si="2"/>
        <v>0</v>
      </c>
    </row>
    <row r="159" spans="1:13" x14ac:dyDescent="0.25">
      <c r="A159" t="s">
        <v>247</v>
      </c>
      <c r="B159" s="4">
        <v>6000000</v>
      </c>
      <c r="C159" t="s">
        <v>325</v>
      </c>
      <c r="D159" s="3">
        <v>45463</v>
      </c>
      <c r="E159" s="3">
        <v>45555</v>
      </c>
      <c r="F159" t="s">
        <v>329</v>
      </c>
      <c r="G159" t="s">
        <v>330</v>
      </c>
      <c r="H159">
        <v>1233189234</v>
      </c>
      <c r="I159" t="s">
        <v>535</v>
      </c>
      <c r="J159">
        <v>36950699</v>
      </c>
      <c r="K159" t="s">
        <v>353</v>
      </c>
      <c r="L159" s="4">
        <v>6000000</v>
      </c>
      <c r="M159" s="4">
        <f t="shared" si="2"/>
        <v>0</v>
      </c>
    </row>
    <row r="160" spans="1:13" x14ac:dyDescent="0.25">
      <c r="A160" t="s">
        <v>248</v>
      </c>
      <c r="B160" s="4">
        <v>14476800</v>
      </c>
      <c r="C160" t="s">
        <v>325</v>
      </c>
      <c r="D160" s="3">
        <v>45463</v>
      </c>
      <c r="E160" s="3">
        <v>45555</v>
      </c>
      <c r="F160" t="s">
        <v>382</v>
      </c>
      <c r="G160" t="s">
        <v>330</v>
      </c>
      <c r="H160">
        <v>59314451</v>
      </c>
      <c r="I160" t="s">
        <v>536</v>
      </c>
      <c r="J160">
        <v>59822566</v>
      </c>
      <c r="K160" t="s">
        <v>332</v>
      </c>
      <c r="L160" s="4">
        <v>14476800</v>
      </c>
      <c r="M160" s="4">
        <f t="shared" si="2"/>
        <v>0</v>
      </c>
    </row>
    <row r="161" spans="1:13" x14ac:dyDescent="0.25">
      <c r="A161" t="s">
        <v>249</v>
      </c>
      <c r="B161" s="4">
        <v>14250000</v>
      </c>
      <c r="C161" t="s">
        <v>325</v>
      </c>
      <c r="D161" s="3">
        <v>45463</v>
      </c>
      <c r="E161" s="3">
        <v>45555</v>
      </c>
      <c r="F161" t="s">
        <v>439</v>
      </c>
      <c r="G161" t="s">
        <v>330</v>
      </c>
      <c r="H161">
        <v>1085263018</v>
      </c>
      <c r="I161" t="s">
        <v>537</v>
      </c>
      <c r="J161">
        <v>59822566</v>
      </c>
      <c r="K161" t="s">
        <v>332</v>
      </c>
      <c r="L161" s="4">
        <v>14250000</v>
      </c>
      <c r="M161" s="4">
        <f t="shared" si="2"/>
        <v>0</v>
      </c>
    </row>
    <row r="162" spans="1:13" x14ac:dyDescent="0.25">
      <c r="A162" t="s">
        <v>250</v>
      </c>
      <c r="B162" s="4">
        <v>6000000</v>
      </c>
      <c r="C162" t="s">
        <v>325</v>
      </c>
      <c r="D162" s="3">
        <v>45464</v>
      </c>
      <c r="E162" s="3">
        <v>45556</v>
      </c>
      <c r="F162" t="s">
        <v>475</v>
      </c>
      <c r="G162" t="s">
        <v>330</v>
      </c>
      <c r="H162">
        <v>1193385397</v>
      </c>
      <c r="I162" t="s">
        <v>538</v>
      </c>
      <c r="J162">
        <v>98390119</v>
      </c>
      <c r="K162" t="s">
        <v>339</v>
      </c>
      <c r="L162" s="4">
        <v>6000000</v>
      </c>
      <c r="M162" s="4">
        <f t="shared" si="2"/>
        <v>0</v>
      </c>
    </row>
    <row r="163" spans="1:13" x14ac:dyDescent="0.25">
      <c r="A163" t="s">
        <v>251</v>
      </c>
      <c r="B163" s="4">
        <v>6000000</v>
      </c>
      <c r="C163" t="s">
        <v>325</v>
      </c>
      <c r="D163" s="3">
        <v>45464</v>
      </c>
      <c r="E163" s="3">
        <v>45556</v>
      </c>
      <c r="F163" t="s">
        <v>539</v>
      </c>
      <c r="G163" t="s">
        <v>330</v>
      </c>
      <c r="H163">
        <v>1144206777</v>
      </c>
      <c r="I163" t="s">
        <v>540</v>
      </c>
      <c r="J163">
        <v>36950699</v>
      </c>
      <c r="K163" t="s">
        <v>353</v>
      </c>
      <c r="L163" s="4">
        <v>6000000</v>
      </c>
      <c r="M163" s="4">
        <f t="shared" si="2"/>
        <v>0</v>
      </c>
    </row>
    <row r="164" spans="1:13" x14ac:dyDescent="0.25">
      <c r="A164" t="s">
        <v>252</v>
      </c>
      <c r="B164" s="4">
        <v>18000000</v>
      </c>
      <c r="C164" t="s">
        <v>325</v>
      </c>
      <c r="D164" s="3">
        <v>45464</v>
      </c>
      <c r="E164" s="3">
        <v>45556</v>
      </c>
      <c r="F164" t="s">
        <v>433</v>
      </c>
      <c r="G164" t="s">
        <v>330</v>
      </c>
      <c r="H164">
        <v>1085253062</v>
      </c>
      <c r="I164" t="s">
        <v>541</v>
      </c>
      <c r="J164">
        <v>59822566</v>
      </c>
      <c r="K164" t="s">
        <v>332</v>
      </c>
      <c r="L164" s="4">
        <v>18000000</v>
      </c>
      <c r="M164" s="4">
        <f t="shared" si="2"/>
        <v>0</v>
      </c>
    </row>
    <row r="165" spans="1:13" x14ac:dyDescent="0.25">
      <c r="A165" t="s">
        <v>253</v>
      </c>
      <c r="B165" s="4">
        <v>14476800</v>
      </c>
      <c r="C165" t="s">
        <v>325</v>
      </c>
      <c r="D165" s="3">
        <v>45464</v>
      </c>
      <c r="E165" s="3">
        <v>45556</v>
      </c>
      <c r="F165" t="s">
        <v>337</v>
      </c>
      <c r="G165" t="s">
        <v>330</v>
      </c>
      <c r="H165">
        <v>1087643211</v>
      </c>
      <c r="I165" t="s">
        <v>542</v>
      </c>
      <c r="J165">
        <v>36950699</v>
      </c>
      <c r="K165" t="s">
        <v>353</v>
      </c>
      <c r="L165" s="4">
        <v>14476800</v>
      </c>
      <c r="M165" s="4">
        <f t="shared" si="2"/>
        <v>0</v>
      </c>
    </row>
    <row r="166" spans="1:13" x14ac:dyDescent="0.25">
      <c r="A166" t="s">
        <v>254</v>
      </c>
      <c r="B166" s="4">
        <v>14476800</v>
      </c>
      <c r="C166" t="s">
        <v>325</v>
      </c>
      <c r="D166" s="3">
        <v>45464</v>
      </c>
      <c r="E166" s="3">
        <v>45556</v>
      </c>
      <c r="F166" t="s">
        <v>337</v>
      </c>
      <c r="G166" t="s">
        <v>330</v>
      </c>
      <c r="H166">
        <v>12983807</v>
      </c>
      <c r="I166" t="s">
        <v>543</v>
      </c>
      <c r="J166">
        <v>98390119</v>
      </c>
      <c r="K166" t="s">
        <v>339</v>
      </c>
      <c r="L166" s="4">
        <v>14476800</v>
      </c>
      <c r="M166" s="4">
        <f t="shared" si="2"/>
        <v>0</v>
      </c>
    </row>
    <row r="167" spans="1:13" x14ac:dyDescent="0.25">
      <c r="A167" t="s">
        <v>255</v>
      </c>
      <c r="B167" s="4">
        <v>18000000</v>
      </c>
      <c r="C167" t="s">
        <v>325</v>
      </c>
      <c r="D167" s="3">
        <v>45464</v>
      </c>
      <c r="E167" s="3">
        <v>45556</v>
      </c>
      <c r="F167" t="s">
        <v>521</v>
      </c>
      <c r="G167" t="s">
        <v>330</v>
      </c>
      <c r="H167">
        <v>1085292185</v>
      </c>
      <c r="I167" t="s">
        <v>544</v>
      </c>
      <c r="J167">
        <v>98390119</v>
      </c>
      <c r="K167" t="s">
        <v>339</v>
      </c>
      <c r="L167" s="4">
        <v>18000000</v>
      </c>
      <c r="M167" s="4">
        <f t="shared" si="2"/>
        <v>0</v>
      </c>
    </row>
    <row r="168" spans="1:13" x14ac:dyDescent="0.25">
      <c r="A168" t="s">
        <v>256</v>
      </c>
      <c r="B168" s="4">
        <v>18000000</v>
      </c>
      <c r="C168" t="s">
        <v>325</v>
      </c>
      <c r="D168" s="3">
        <v>45467</v>
      </c>
      <c r="E168" s="3">
        <v>45559</v>
      </c>
      <c r="F168" t="s">
        <v>521</v>
      </c>
      <c r="G168" t="s">
        <v>330</v>
      </c>
      <c r="H168">
        <v>27109314</v>
      </c>
      <c r="I168" t="s">
        <v>545</v>
      </c>
      <c r="J168">
        <v>98390119</v>
      </c>
      <c r="K168" t="s">
        <v>339</v>
      </c>
      <c r="L168" s="4">
        <v>18000000</v>
      </c>
      <c r="M168" s="4">
        <f t="shared" si="2"/>
        <v>0</v>
      </c>
    </row>
    <row r="169" spans="1:13" x14ac:dyDescent="0.25">
      <c r="A169" t="s">
        <v>257</v>
      </c>
      <c r="B169" s="4">
        <v>18000000</v>
      </c>
      <c r="C169" t="s">
        <v>325</v>
      </c>
      <c r="D169" s="3">
        <v>45467</v>
      </c>
      <c r="E169" s="3">
        <v>45559</v>
      </c>
      <c r="F169" t="s">
        <v>521</v>
      </c>
      <c r="G169" t="s">
        <v>330</v>
      </c>
      <c r="H169">
        <v>1085246134</v>
      </c>
      <c r="I169" t="s">
        <v>546</v>
      </c>
      <c r="J169">
        <v>98333941</v>
      </c>
      <c r="K169" t="s">
        <v>334</v>
      </c>
      <c r="L169" s="4">
        <v>18000000</v>
      </c>
      <c r="M169" s="4">
        <f t="shared" si="2"/>
        <v>0</v>
      </c>
    </row>
    <row r="170" spans="1:13" x14ac:dyDescent="0.25">
      <c r="A170" t="s">
        <v>258</v>
      </c>
      <c r="B170" s="4">
        <v>6000000</v>
      </c>
      <c r="C170" t="s">
        <v>325</v>
      </c>
      <c r="D170" s="3">
        <v>45468</v>
      </c>
      <c r="E170" s="3">
        <v>45560</v>
      </c>
      <c r="F170" t="s">
        <v>475</v>
      </c>
      <c r="G170" t="s">
        <v>330</v>
      </c>
      <c r="H170">
        <v>1081272025</v>
      </c>
      <c r="I170" t="s">
        <v>547</v>
      </c>
      <c r="J170">
        <v>98390119</v>
      </c>
      <c r="K170" t="s">
        <v>339</v>
      </c>
      <c r="L170" s="4">
        <v>6000000</v>
      </c>
      <c r="M170" s="4">
        <f t="shared" si="2"/>
        <v>0</v>
      </c>
    </row>
    <row r="171" spans="1:13" x14ac:dyDescent="0.25">
      <c r="A171" t="s">
        <v>259</v>
      </c>
      <c r="B171" s="4">
        <v>6000000</v>
      </c>
      <c r="C171" t="s">
        <v>325</v>
      </c>
      <c r="D171" s="3">
        <v>45469</v>
      </c>
      <c r="E171" s="3">
        <v>45561</v>
      </c>
      <c r="F171" t="s">
        <v>329</v>
      </c>
      <c r="G171" t="s">
        <v>330</v>
      </c>
      <c r="H171">
        <v>59833702</v>
      </c>
      <c r="I171" t="s">
        <v>548</v>
      </c>
      <c r="J171">
        <v>36950699</v>
      </c>
      <c r="K171" t="s">
        <v>353</v>
      </c>
      <c r="L171" s="4">
        <v>6000000</v>
      </c>
      <c r="M171" s="4">
        <f t="shared" si="2"/>
        <v>0</v>
      </c>
    </row>
    <row r="172" spans="1:13" x14ac:dyDescent="0.25">
      <c r="A172" t="s">
        <v>87</v>
      </c>
      <c r="B172" s="4">
        <v>24264774</v>
      </c>
      <c r="C172" t="s">
        <v>325</v>
      </c>
      <c r="D172" s="3">
        <v>45408</v>
      </c>
      <c r="E172" s="3">
        <v>45428</v>
      </c>
      <c r="F172" t="s">
        <v>407</v>
      </c>
      <c r="G172" t="s">
        <v>330</v>
      </c>
      <c r="H172">
        <v>98383086</v>
      </c>
      <c r="I172" t="s">
        <v>408</v>
      </c>
      <c r="J172">
        <v>59826831</v>
      </c>
      <c r="K172" t="s">
        <v>409</v>
      </c>
      <c r="L172" s="4">
        <v>25496760</v>
      </c>
      <c r="M172" s="4">
        <f t="shared" si="2"/>
        <v>-1231986</v>
      </c>
    </row>
    <row r="173" spans="1:13" x14ac:dyDescent="0.25">
      <c r="A173" t="s">
        <v>261</v>
      </c>
      <c r="B173" s="4">
        <v>22500000</v>
      </c>
      <c r="C173" t="s">
        <v>325</v>
      </c>
      <c r="D173" s="3">
        <v>45470</v>
      </c>
      <c r="E173" s="3">
        <v>45562</v>
      </c>
      <c r="F173" t="s">
        <v>411</v>
      </c>
      <c r="G173" t="s">
        <v>330</v>
      </c>
      <c r="H173">
        <v>1151934571</v>
      </c>
      <c r="I173" t="s">
        <v>550</v>
      </c>
      <c r="J173">
        <v>36950699</v>
      </c>
      <c r="K173" t="s">
        <v>353</v>
      </c>
      <c r="L173" s="4">
        <v>22500000</v>
      </c>
      <c r="M173" s="4">
        <f t="shared" si="2"/>
        <v>0</v>
      </c>
    </row>
    <row r="174" spans="1:13" x14ac:dyDescent="0.25">
      <c r="A174" t="s">
        <v>262</v>
      </c>
      <c r="B174" s="4">
        <v>22500000</v>
      </c>
      <c r="C174" t="s">
        <v>325</v>
      </c>
      <c r="D174" s="3">
        <v>45471</v>
      </c>
      <c r="E174" s="3">
        <v>45563</v>
      </c>
      <c r="F174" t="s">
        <v>517</v>
      </c>
      <c r="G174" t="s">
        <v>330</v>
      </c>
      <c r="H174">
        <v>12961407</v>
      </c>
      <c r="I174" t="s">
        <v>551</v>
      </c>
      <c r="J174">
        <v>59822566</v>
      </c>
      <c r="K174" t="s">
        <v>332</v>
      </c>
      <c r="L174" s="4">
        <v>22500000</v>
      </c>
      <c r="M174" s="4">
        <f t="shared" si="2"/>
        <v>0</v>
      </c>
    </row>
    <row r="175" spans="1:13" x14ac:dyDescent="0.25">
      <c r="A175" t="s">
        <v>263</v>
      </c>
      <c r="B175" s="4">
        <v>4000000</v>
      </c>
      <c r="C175" t="s">
        <v>325</v>
      </c>
      <c r="D175" s="3">
        <v>45475</v>
      </c>
      <c r="E175" s="3">
        <v>45537</v>
      </c>
      <c r="F175" t="s">
        <v>552</v>
      </c>
      <c r="G175" t="s">
        <v>330</v>
      </c>
      <c r="H175">
        <v>1085338232</v>
      </c>
      <c r="I175" t="s">
        <v>553</v>
      </c>
      <c r="J175">
        <v>98333941</v>
      </c>
      <c r="K175" t="s">
        <v>334</v>
      </c>
      <c r="L175" s="4">
        <v>4000000</v>
      </c>
      <c r="M175" s="4">
        <f t="shared" si="2"/>
        <v>0</v>
      </c>
    </row>
    <row r="176" spans="1:13" x14ac:dyDescent="0.25">
      <c r="A176" t="s">
        <v>264</v>
      </c>
      <c r="B176" s="4">
        <v>4000000</v>
      </c>
      <c r="C176" t="s">
        <v>325</v>
      </c>
      <c r="D176" s="3">
        <v>45475</v>
      </c>
      <c r="E176" s="3">
        <v>45537</v>
      </c>
      <c r="F176" t="s">
        <v>554</v>
      </c>
      <c r="G176" t="s">
        <v>330</v>
      </c>
      <c r="H176">
        <v>59311646</v>
      </c>
      <c r="I176" t="s">
        <v>555</v>
      </c>
      <c r="J176">
        <v>98390119</v>
      </c>
      <c r="K176" t="s">
        <v>339</v>
      </c>
      <c r="L176" s="4">
        <v>4000000</v>
      </c>
      <c r="M176" s="4">
        <f t="shared" si="2"/>
        <v>0</v>
      </c>
    </row>
    <row r="177" spans="1:13" x14ac:dyDescent="0.25">
      <c r="A177" t="s">
        <v>265</v>
      </c>
      <c r="B177" s="4">
        <v>4000000</v>
      </c>
      <c r="C177" t="s">
        <v>325</v>
      </c>
      <c r="D177" s="3">
        <v>45475</v>
      </c>
      <c r="E177" s="3">
        <v>45537</v>
      </c>
      <c r="F177" t="s">
        <v>554</v>
      </c>
      <c r="G177" t="s">
        <v>330</v>
      </c>
      <c r="H177">
        <v>1081052090</v>
      </c>
      <c r="I177" t="s">
        <v>556</v>
      </c>
      <c r="J177">
        <v>59822566</v>
      </c>
      <c r="K177" t="s">
        <v>332</v>
      </c>
      <c r="L177" s="4">
        <v>4000000</v>
      </c>
      <c r="M177" s="4">
        <f t="shared" si="2"/>
        <v>0</v>
      </c>
    </row>
    <row r="178" spans="1:13" x14ac:dyDescent="0.25">
      <c r="A178" t="s">
        <v>266</v>
      </c>
      <c r="B178" s="4">
        <v>4000000</v>
      </c>
      <c r="C178" t="s">
        <v>325</v>
      </c>
      <c r="D178" s="3">
        <v>45475</v>
      </c>
      <c r="E178" s="3">
        <v>45537</v>
      </c>
      <c r="F178" t="s">
        <v>557</v>
      </c>
      <c r="G178" t="s">
        <v>330</v>
      </c>
      <c r="H178">
        <v>13072447</v>
      </c>
      <c r="I178" t="s">
        <v>558</v>
      </c>
      <c r="J178">
        <v>98390119</v>
      </c>
      <c r="K178" t="s">
        <v>339</v>
      </c>
      <c r="L178" s="4">
        <v>4000000</v>
      </c>
      <c r="M178" s="4">
        <f t="shared" si="2"/>
        <v>0</v>
      </c>
    </row>
    <row r="179" spans="1:13" x14ac:dyDescent="0.25">
      <c r="A179" t="s">
        <v>267</v>
      </c>
      <c r="B179" s="4">
        <v>4000000</v>
      </c>
      <c r="C179" t="s">
        <v>325</v>
      </c>
      <c r="D179" s="3">
        <v>45475</v>
      </c>
      <c r="E179" s="3">
        <v>45537</v>
      </c>
      <c r="F179" t="s">
        <v>559</v>
      </c>
      <c r="G179" t="s">
        <v>330</v>
      </c>
      <c r="H179">
        <v>1085289798</v>
      </c>
      <c r="I179" t="s">
        <v>560</v>
      </c>
      <c r="J179">
        <v>98390119</v>
      </c>
      <c r="K179" t="s">
        <v>339</v>
      </c>
      <c r="L179" s="4">
        <v>4000000</v>
      </c>
      <c r="M179" s="4">
        <f t="shared" si="2"/>
        <v>0</v>
      </c>
    </row>
    <row r="180" spans="1:13" x14ac:dyDescent="0.25">
      <c r="A180" t="s">
        <v>268</v>
      </c>
      <c r="B180" s="4">
        <v>4000000</v>
      </c>
      <c r="C180" t="s">
        <v>325</v>
      </c>
      <c r="D180" s="3">
        <v>45477</v>
      </c>
      <c r="E180" s="3">
        <v>45539</v>
      </c>
      <c r="F180" t="s">
        <v>561</v>
      </c>
      <c r="G180" t="s">
        <v>330</v>
      </c>
      <c r="H180">
        <v>59830219</v>
      </c>
      <c r="I180" t="s">
        <v>562</v>
      </c>
      <c r="J180">
        <v>36950699</v>
      </c>
      <c r="K180" t="s">
        <v>353</v>
      </c>
      <c r="L180" s="4">
        <v>4000000</v>
      </c>
      <c r="M180" s="4">
        <f t="shared" si="2"/>
        <v>0</v>
      </c>
    </row>
    <row r="181" spans="1:13" x14ac:dyDescent="0.25">
      <c r="A181" t="s">
        <v>269</v>
      </c>
      <c r="B181" s="4">
        <v>4000000</v>
      </c>
      <c r="C181" t="s">
        <v>325</v>
      </c>
      <c r="D181" s="3">
        <v>45477</v>
      </c>
      <c r="E181" s="3">
        <v>45539</v>
      </c>
      <c r="F181" t="s">
        <v>559</v>
      </c>
      <c r="G181" t="s">
        <v>330</v>
      </c>
      <c r="H181">
        <v>27094521</v>
      </c>
      <c r="I181" t="s">
        <v>563</v>
      </c>
      <c r="J181">
        <v>98333941</v>
      </c>
      <c r="K181" t="s">
        <v>334</v>
      </c>
      <c r="L181" s="4">
        <v>4000000</v>
      </c>
      <c r="M181" s="4">
        <f t="shared" si="2"/>
        <v>0</v>
      </c>
    </row>
    <row r="182" spans="1:13" x14ac:dyDescent="0.25">
      <c r="A182" t="s">
        <v>270</v>
      </c>
      <c r="B182" s="4">
        <v>4000000</v>
      </c>
      <c r="C182" t="s">
        <v>325</v>
      </c>
      <c r="D182" s="3">
        <v>45482</v>
      </c>
      <c r="E182" s="3">
        <v>45544</v>
      </c>
      <c r="F182" t="s">
        <v>559</v>
      </c>
      <c r="G182" t="s">
        <v>330</v>
      </c>
      <c r="H182">
        <v>1085337465</v>
      </c>
      <c r="I182" t="s">
        <v>564</v>
      </c>
      <c r="J182">
        <v>36950699</v>
      </c>
      <c r="K182" t="s">
        <v>353</v>
      </c>
      <c r="L182" s="4">
        <v>4000000</v>
      </c>
      <c r="M182" s="4">
        <f t="shared" si="2"/>
        <v>0</v>
      </c>
    </row>
    <row r="183" spans="1:13" x14ac:dyDescent="0.25">
      <c r="A183" t="s">
        <v>271</v>
      </c>
      <c r="B183" s="4">
        <v>4000000</v>
      </c>
      <c r="C183" t="s">
        <v>325</v>
      </c>
      <c r="D183" s="3">
        <v>45482</v>
      </c>
      <c r="E183" s="3">
        <v>45544</v>
      </c>
      <c r="F183" t="s">
        <v>565</v>
      </c>
      <c r="G183" t="s">
        <v>330</v>
      </c>
      <c r="H183">
        <v>1085269090</v>
      </c>
      <c r="I183" t="s">
        <v>566</v>
      </c>
      <c r="J183">
        <v>36950699</v>
      </c>
      <c r="K183" t="s">
        <v>353</v>
      </c>
      <c r="L183" s="4">
        <v>4000000</v>
      </c>
      <c r="M183" s="4">
        <f t="shared" si="2"/>
        <v>0</v>
      </c>
    </row>
    <row r="184" spans="1:13" x14ac:dyDescent="0.25">
      <c r="A184" t="s">
        <v>272</v>
      </c>
      <c r="B184" s="4">
        <v>4000000</v>
      </c>
      <c r="C184" t="s">
        <v>325</v>
      </c>
      <c r="D184" s="3">
        <v>45483</v>
      </c>
      <c r="E184" s="3">
        <v>45545</v>
      </c>
      <c r="F184" t="s">
        <v>554</v>
      </c>
      <c r="G184" t="s">
        <v>330</v>
      </c>
      <c r="H184">
        <v>1086016308</v>
      </c>
      <c r="I184" t="s">
        <v>567</v>
      </c>
      <c r="J184">
        <v>36950699</v>
      </c>
      <c r="K184" t="s">
        <v>353</v>
      </c>
      <c r="L184" s="4">
        <v>4000000</v>
      </c>
      <c r="M184" s="4">
        <f t="shared" si="2"/>
        <v>0</v>
      </c>
    </row>
    <row r="185" spans="1:13" x14ac:dyDescent="0.25">
      <c r="A185" t="s">
        <v>273</v>
      </c>
      <c r="B185" s="4">
        <v>4000000</v>
      </c>
      <c r="C185" t="s">
        <v>325</v>
      </c>
      <c r="D185" s="3">
        <v>45483</v>
      </c>
      <c r="E185" s="3">
        <v>45545</v>
      </c>
      <c r="F185" t="s">
        <v>565</v>
      </c>
      <c r="G185" t="s">
        <v>330</v>
      </c>
      <c r="H185">
        <v>1081595853</v>
      </c>
      <c r="I185" t="s">
        <v>568</v>
      </c>
      <c r="J185">
        <v>98390119</v>
      </c>
      <c r="K185" t="s">
        <v>339</v>
      </c>
      <c r="L185" s="4">
        <v>4000000</v>
      </c>
      <c r="M185" s="4">
        <f t="shared" si="2"/>
        <v>0</v>
      </c>
    </row>
    <row r="186" spans="1:13" x14ac:dyDescent="0.25">
      <c r="A186" t="s">
        <v>274</v>
      </c>
      <c r="B186" s="4">
        <v>4000000</v>
      </c>
      <c r="C186" t="s">
        <v>325</v>
      </c>
      <c r="D186" s="3">
        <v>45483</v>
      </c>
      <c r="E186" s="3">
        <v>45545</v>
      </c>
      <c r="F186" t="s">
        <v>557</v>
      </c>
      <c r="G186" t="s">
        <v>330</v>
      </c>
      <c r="H186">
        <v>12750863</v>
      </c>
      <c r="I186" t="s">
        <v>569</v>
      </c>
      <c r="J186">
        <v>98333941</v>
      </c>
      <c r="K186" t="s">
        <v>334</v>
      </c>
      <c r="L186" s="4">
        <v>4000000</v>
      </c>
      <c r="M186" s="4">
        <f t="shared" si="2"/>
        <v>0</v>
      </c>
    </row>
    <row r="187" spans="1:13" x14ac:dyDescent="0.25">
      <c r="A187" t="s">
        <v>275</v>
      </c>
      <c r="B187" s="4">
        <v>4000000</v>
      </c>
      <c r="C187" t="s">
        <v>325</v>
      </c>
      <c r="D187" s="3">
        <v>45483</v>
      </c>
      <c r="E187" s="3">
        <v>45545</v>
      </c>
      <c r="F187" t="s">
        <v>570</v>
      </c>
      <c r="G187" t="s">
        <v>330</v>
      </c>
      <c r="H187">
        <v>30737741</v>
      </c>
      <c r="I187" t="s">
        <v>571</v>
      </c>
      <c r="J187">
        <v>98390119</v>
      </c>
      <c r="K187" t="s">
        <v>339</v>
      </c>
      <c r="L187" s="4">
        <v>4000000</v>
      </c>
      <c r="M187" s="4">
        <f t="shared" si="2"/>
        <v>0</v>
      </c>
    </row>
    <row r="188" spans="1:13" x14ac:dyDescent="0.25">
      <c r="A188" t="s">
        <v>276</v>
      </c>
      <c r="B188" s="4">
        <v>4000000</v>
      </c>
      <c r="C188" t="s">
        <v>325</v>
      </c>
      <c r="D188" s="3">
        <v>45484</v>
      </c>
      <c r="E188" s="3">
        <v>45546</v>
      </c>
      <c r="F188" t="s">
        <v>557</v>
      </c>
      <c r="G188" t="s">
        <v>330</v>
      </c>
      <c r="H188">
        <v>1085327836</v>
      </c>
      <c r="I188" t="s">
        <v>572</v>
      </c>
      <c r="J188">
        <v>59822566</v>
      </c>
      <c r="K188" t="s">
        <v>332</v>
      </c>
      <c r="L188" s="4">
        <v>4000000</v>
      </c>
      <c r="M188" s="4">
        <f t="shared" si="2"/>
        <v>0</v>
      </c>
    </row>
    <row r="189" spans="1:13" x14ac:dyDescent="0.25">
      <c r="A189" t="s">
        <v>277</v>
      </c>
      <c r="B189" s="4">
        <v>4000000</v>
      </c>
      <c r="C189" t="s">
        <v>325</v>
      </c>
      <c r="D189" s="3">
        <v>45484</v>
      </c>
      <c r="E189" s="3">
        <v>45546</v>
      </c>
      <c r="F189" t="s">
        <v>554</v>
      </c>
      <c r="G189" t="s">
        <v>330</v>
      </c>
      <c r="H189">
        <v>1233189896</v>
      </c>
      <c r="I189" t="s">
        <v>573</v>
      </c>
      <c r="J189">
        <v>59822566</v>
      </c>
      <c r="K189" t="s">
        <v>332</v>
      </c>
      <c r="L189" s="4">
        <v>4000000</v>
      </c>
      <c r="M189" s="4">
        <f t="shared" si="2"/>
        <v>0</v>
      </c>
    </row>
    <row r="190" spans="1:13" x14ac:dyDescent="0.25">
      <c r="A190" t="s">
        <v>278</v>
      </c>
      <c r="B190" s="4">
        <v>2733333.33</v>
      </c>
      <c r="C190" t="s">
        <v>325</v>
      </c>
      <c r="D190" s="3">
        <v>45484</v>
      </c>
      <c r="E190" s="3">
        <v>45546</v>
      </c>
      <c r="F190" t="s">
        <v>559</v>
      </c>
      <c r="G190" t="s">
        <v>330</v>
      </c>
      <c r="H190">
        <v>1081052552</v>
      </c>
      <c r="I190" t="s">
        <v>574</v>
      </c>
      <c r="J190">
        <v>36950699</v>
      </c>
      <c r="K190" t="s">
        <v>353</v>
      </c>
      <c r="L190" s="4">
        <v>4000000</v>
      </c>
      <c r="M190" s="4">
        <f t="shared" si="2"/>
        <v>-1266666.67</v>
      </c>
    </row>
    <row r="191" spans="1:13" x14ac:dyDescent="0.25">
      <c r="A191" t="s">
        <v>279</v>
      </c>
      <c r="B191" s="4">
        <v>4000000</v>
      </c>
      <c r="C191" t="s">
        <v>325</v>
      </c>
      <c r="D191" s="3">
        <v>45484</v>
      </c>
      <c r="E191" s="3">
        <v>45546</v>
      </c>
      <c r="F191" t="s">
        <v>557</v>
      </c>
      <c r="G191" t="s">
        <v>330</v>
      </c>
      <c r="H191">
        <v>1085330237</v>
      </c>
      <c r="I191" t="s">
        <v>575</v>
      </c>
      <c r="J191">
        <v>59822566</v>
      </c>
      <c r="K191" t="s">
        <v>332</v>
      </c>
      <c r="L191" s="4">
        <v>4000000</v>
      </c>
      <c r="M191" s="4">
        <f t="shared" si="2"/>
        <v>0</v>
      </c>
    </row>
    <row r="192" spans="1:13" x14ac:dyDescent="0.25">
      <c r="A192" t="s">
        <v>280</v>
      </c>
      <c r="B192" s="4">
        <v>4000000</v>
      </c>
      <c r="C192" t="s">
        <v>325</v>
      </c>
      <c r="D192" s="3">
        <v>45484</v>
      </c>
      <c r="E192" s="3">
        <v>45546</v>
      </c>
      <c r="F192" t="s">
        <v>557</v>
      </c>
      <c r="G192" t="s">
        <v>330</v>
      </c>
      <c r="H192">
        <v>1085314075</v>
      </c>
      <c r="I192" t="s">
        <v>576</v>
      </c>
      <c r="J192">
        <v>98333941</v>
      </c>
      <c r="K192" t="s">
        <v>334</v>
      </c>
      <c r="L192" s="4">
        <v>4000000</v>
      </c>
      <c r="M192" s="4">
        <f t="shared" si="2"/>
        <v>0</v>
      </c>
    </row>
    <row r="193" spans="1:13" x14ac:dyDescent="0.25">
      <c r="A193" t="s">
        <v>281</v>
      </c>
      <c r="B193" s="4">
        <v>4000000</v>
      </c>
      <c r="C193" t="s">
        <v>325</v>
      </c>
      <c r="D193" s="3">
        <v>45484</v>
      </c>
      <c r="E193" s="3">
        <v>45546</v>
      </c>
      <c r="F193" t="s">
        <v>557</v>
      </c>
      <c r="G193" t="s">
        <v>330</v>
      </c>
      <c r="H193">
        <v>1085290651</v>
      </c>
      <c r="I193" t="s">
        <v>577</v>
      </c>
      <c r="J193">
        <v>98333941</v>
      </c>
      <c r="K193" t="s">
        <v>334</v>
      </c>
      <c r="L193" s="4">
        <v>4000000</v>
      </c>
      <c r="M193" s="4">
        <f t="shared" si="2"/>
        <v>0</v>
      </c>
    </row>
    <row r="194" spans="1:13" x14ac:dyDescent="0.25">
      <c r="A194" t="s">
        <v>282</v>
      </c>
      <c r="B194" s="4">
        <v>4000000</v>
      </c>
      <c r="C194" t="s">
        <v>325</v>
      </c>
      <c r="D194" s="3">
        <v>45485</v>
      </c>
      <c r="E194" s="3">
        <v>45547</v>
      </c>
      <c r="F194" t="s">
        <v>578</v>
      </c>
      <c r="G194" t="s">
        <v>330</v>
      </c>
      <c r="H194">
        <v>27309586</v>
      </c>
      <c r="I194" t="s">
        <v>579</v>
      </c>
      <c r="J194">
        <v>98390119</v>
      </c>
      <c r="K194" t="s">
        <v>339</v>
      </c>
      <c r="L194" s="4">
        <v>4000000</v>
      </c>
      <c r="M194" s="4">
        <f t="shared" ref="M194:M257" si="3">B194-L194</f>
        <v>0</v>
      </c>
    </row>
    <row r="195" spans="1:13" x14ac:dyDescent="0.25">
      <c r="A195" t="s">
        <v>283</v>
      </c>
      <c r="B195" s="4">
        <v>4000000</v>
      </c>
      <c r="C195" t="s">
        <v>325</v>
      </c>
      <c r="D195" s="3">
        <v>45485</v>
      </c>
      <c r="E195" s="3">
        <v>45547</v>
      </c>
      <c r="F195" t="s">
        <v>554</v>
      </c>
      <c r="G195" t="s">
        <v>330</v>
      </c>
      <c r="H195">
        <v>36757715</v>
      </c>
      <c r="I195" t="s">
        <v>580</v>
      </c>
      <c r="J195">
        <v>36950699</v>
      </c>
      <c r="K195" t="s">
        <v>353</v>
      </c>
      <c r="L195" s="4">
        <v>4000000</v>
      </c>
      <c r="M195" s="4">
        <f t="shared" si="3"/>
        <v>0</v>
      </c>
    </row>
    <row r="196" spans="1:13" x14ac:dyDescent="0.25">
      <c r="A196" t="s">
        <v>284</v>
      </c>
      <c r="B196" s="4">
        <v>4000000</v>
      </c>
      <c r="C196" t="s">
        <v>325</v>
      </c>
      <c r="D196" s="3">
        <v>45485</v>
      </c>
      <c r="E196" s="3">
        <v>45547</v>
      </c>
      <c r="F196" t="s">
        <v>578</v>
      </c>
      <c r="G196" t="s">
        <v>330</v>
      </c>
      <c r="H196">
        <v>36759281</v>
      </c>
      <c r="I196" t="s">
        <v>581</v>
      </c>
      <c r="J196">
        <v>36950699</v>
      </c>
      <c r="K196" t="s">
        <v>353</v>
      </c>
      <c r="L196" s="4">
        <v>4000000</v>
      </c>
      <c r="M196" s="4">
        <f t="shared" si="3"/>
        <v>0</v>
      </c>
    </row>
    <row r="197" spans="1:13" x14ac:dyDescent="0.25">
      <c r="A197" t="s">
        <v>285</v>
      </c>
      <c r="B197" s="4">
        <v>4000000</v>
      </c>
      <c r="C197" t="s">
        <v>325</v>
      </c>
      <c r="D197" s="3">
        <v>45485</v>
      </c>
      <c r="E197" s="3">
        <v>45547</v>
      </c>
      <c r="F197" t="s">
        <v>578</v>
      </c>
      <c r="G197" t="s">
        <v>330</v>
      </c>
      <c r="H197">
        <v>1193265831</v>
      </c>
      <c r="I197" t="s">
        <v>582</v>
      </c>
      <c r="J197">
        <v>98390119</v>
      </c>
      <c r="K197" t="s">
        <v>339</v>
      </c>
      <c r="L197" s="4">
        <v>4000000</v>
      </c>
      <c r="M197" s="4">
        <f t="shared" si="3"/>
        <v>0</v>
      </c>
    </row>
    <row r="198" spans="1:13" x14ac:dyDescent="0.25">
      <c r="A198" t="s">
        <v>286</v>
      </c>
      <c r="B198" s="4">
        <v>4000000</v>
      </c>
      <c r="C198" t="s">
        <v>325</v>
      </c>
      <c r="D198" s="3">
        <v>45485</v>
      </c>
      <c r="E198" s="3">
        <v>45547</v>
      </c>
      <c r="F198" t="s">
        <v>557</v>
      </c>
      <c r="G198" t="s">
        <v>330</v>
      </c>
      <c r="H198">
        <v>1004535115</v>
      </c>
      <c r="I198" t="s">
        <v>583</v>
      </c>
      <c r="J198">
        <v>98333941</v>
      </c>
      <c r="K198" t="s">
        <v>334</v>
      </c>
      <c r="L198" s="4">
        <v>4000000</v>
      </c>
      <c r="M198" s="4">
        <f t="shared" si="3"/>
        <v>0</v>
      </c>
    </row>
    <row r="199" spans="1:13" x14ac:dyDescent="0.25">
      <c r="A199" t="s">
        <v>287</v>
      </c>
      <c r="B199" s="4">
        <v>4000000</v>
      </c>
      <c r="C199" t="s">
        <v>325</v>
      </c>
      <c r="D199" s="3">
        <v>45485</v>
      </c>
      <c r="E199" s="3">
        <v>45547</v>
      </c>
      <c r="F199" t="s">
        <v>578</v>
      </c>
      <c r="G199" t="s">
        <v>330</v>
      </c>
      <c r="H199">
        <v>1081273343</v>
      </c>
      <c r="I199" t="s">
        <v>584</v>
      </c>
      <c r="J199">
        <v>98390119</v>
      </c>
      <c r="K199" t="s">
        <v>585</v>
      </c>
      <c r="L199" s="4">
        <v>4000000</v>
      </c>
      <c r="M199" s="4">
        <f t="shared" si="3"/>
        <v>0</v>
      </c>
    </row>
    <row r="200" spans="1:13" x14ac:dyDescent="0.25">
      <c r="A200" t="s">
        <v>288</v>
      </c>
      <c r="B200" s="4">
        <v>4000000</v>
      </c>
      <c r="C200" t="s">
        <v>325</v>
      </c>
      <c r="D200" s="3">
        <v>45485</v>
      </c>
      <c r="E200" s="3">
        <v>45547</v>
      </c>
      <c r="F200" t="s">
        <v>552</v>
      </c>
      <c r="G200" t="s">
        <v>330</v>
      </c>
      <c r="H200">
        <v>37087268</v>
      </c>
      <c r="I200" t="s">
        <v>586</v>
      </c>
      <c r="J200">
        <v>98390119</v>
      </c>
      <c r="K200" t="s">
        <v>339</v>
      </c>
      <c r="L200" s="4">
        <v>4000000</v>
      </c>
      <c r="M200" s="4">
        <f t="shared" si="3"/>
        <v>0</v>
      </c>
    </row>
    <row r="201" spans="1:13" x14ac:dyDescent="0.25">
      <c r="A201" t="s">
        <v>289</v>
      </c>
      <c r="B201" s="4">
        <v>4000000</v>
      </c>
      <c r="C201" t="s">
        <v>325</v>
      </c>
      <c r="D201" s="3">
        <v>45488</v>
      </c>
      <c r="E201" s="3">
        <v>45550</v>
      </c>
      <c r="F201" t="s">
        <v>578</v>
      </c>
      <c r="G201" t="s">
        <v>330</v>
      </c>
      <c r="H201">
        <v>1085320930</v>
      </c>
      <c r="I201" t="s">
        <v>587</v>
      </c>
      <c r="J201">
        <v>98390119</v>
      </c>
      <c r="K201" t="s">
        <v>339</v>
      </c>
      <c r="L201" s="4">
        <v>4000000</v>
      </c>
      <c r="M201" s="4">
        <f t="shared" si="3"/>
        <v>0</v>
      </c>
    </row>
    <row r="202" spans="1:13" x14ac:dyDescent="0.25">
      <c r="A202" t="s">
        <v>290</v>
      </c>
      <c r="B202" s="4">
        <v>4000000</v>
      </c>
      <c r="C202" t="s">
        <v>325</v>
      </c>
      <c r="D202" s="3">
        <v>45488</v>
      </c>
      <c r="E202" s="3">
        <v>45550</v>
      </c>
      <c r="F202" t="s">
        <v>578</v>
      </c>
      <c r="G202" t="s">
        <v>330</v>
      </c>
      <c r="H202">
        <v>1085251468</v>
      </c>
      <c r="I202" t="s">
        <v>588</v>
      </c>
      <c r="J202">
        <v>59822566</v>
      </c>
      <c r="K202" t="s">
        <v>332</v>
      </c>
      <c r="L202" s="4">
        <v>4000000</v>
      </c>
      <c r="M202" s="4">
        <f t="shared" si="3"/>
        <v>0</v>
      </c>
    </row>
    <row r="203" spans="1:13" x14ac:dyDescent="0.25">
      <c r="A203" t="s">
        <v>291</v>
      </c>
      <c r="B203" s="4">
        <v>4000000</v>
      </c>
      <c r="C203" t="s">
        <v>325</v>
      </c>
      <c r="D203" s="3">
        <v>45489</v>
      </c>
      <c r="E203" s="3">
        <v>45551</v>
      </c>
      <c r="F203" t="s">
        <v>557</v>
      </c>
      <c r="G203" t="s">
        <v>330</v>
      </c>
      <c r="H203">
        <v>27090145</v>
      </c>
      <c r="I203" t="s">
        <v>589</v>
      </c>
      <c r="J203">
        <v>98390119</v>
      </c>
      <c r="K203" t="s">
        <v>339</v>
      </c>
      <c r="L203" s="4">
        <v>4000000</v>
      </c>
      <c r="M203" s="4">
        <f t="shared" si="3"/>
        <v>0</v>
      </c>
    </row>
    <row r="204" spans="1:13" x14ac:dyDescent="0.25">
      <c r="A204" t="s">
        <v>292</v>
      </c>
      <c r="B204" s="4">
        <v>4000000</v>
      </c>
      <c r="C204" t="s">
        <v>325</v>
      </c>
      <c r="D204" s="3">
        <v>45490</v>
      </c>
      <c r="E204" s="3">
        <v>45552</v>
      </c>
      <c r="F204" t="s">
        <v>552</v>
      </c>
      <c r="G204" t="s">
        <v>330</v>
      </c>
      <c r="H204">
        <v>1085330079</v>
      </c>
      <c r="I204" t="s">
        <v>590</v>
      </c>
      <c r="J204">
        <v>59822566</v>
      </c>
      <c r="K204" t="s">
        <v>591</v>
      </c>
      <c r="L204" s="4">
        <v>4000000</v>
      </c>
      <c r="M204" s="4">
        <f t="shared" si="3"/>
        <v>0</v>
      </c>
    </row>
    <row r="205" spans="1:13" x14ac:dyDescent="0.25">
      <c r="A205" t="s">
        <v>293</v>
      </c>
      <c r="B205" s="4">
        <v>4000000</v>
      </c>
      <c r="C205" t="s">
        <v>325</v>
      </c>
      <c r="D205" s="3">
        <v>45490</v>
      </c>
      <c r="E205" s="3">
        <v>45552</v>
      </c>
      <c r="F205" t="s">
        <v>552</v>
      </c>
      <c r="G205" t="s">
        <v>330</v>
      </c>
      <c r="H205">
        <v>1085310465</v>
      </c>
      <c r="I205" t="s">
        <v>592</v>
      </c>
      <c r="J205">
        <v>98390119</v>
      </c>
      <c r="K205" t="s">
        <v>339</v>
      </c>
      <c r="L205" s="4">
        <v>4000000</v>
      </c>
      <c r="M205" s="4">
        <f t="shared" si="3"/>
        <v>0</v>
      </c>
    </row>
    <row r="206" spans="1:13" x14ac:dyDescent="0.25">
      <c r="A206" t="s">
        <v>294</v>
      </c>
      <c r="B206" s="4">
        <v>4000000</v>
      </c>
      <c r="C206" t="s">
        <v>325</v>
      </c>
      <c r="D206" s="3">
        <v>45491</v>
      </c>
      <c r="E206" s="3">
        <v>45553</v>
      </c>
      <c r="F206" t="s">
        <v>557</v>
      </c>
      <c r="G206" t="s">
        <v>330</v>
      </c>
      <c r="H206">
        <v>1085338135</v>
      </c>
      <c r="I206" t="s">
        <v>593</v>
      </c>
      <c r="J206">
        <v>36950699</v>
      </c>
      <c r="K206" t="s">
        <v>353</v>
      </c>
      <c r="L206" s="4">
        <v>4000000</v>
      </c>
      <c r="M206" s="4">
        <f t="shared" si="3"/>
        <v>0</v>
      </c>
    </row>
    <row r="207" spans="1:13" x14ac:dyDescent="0.25">
      <c r="A207" t="s">
        <v>295</v>
      </c>
      <c r="B207" s="4">
        <v>4000000</v>
      </c>
      <c r="C207" t="s">
        <v>325</v>
      </c>
      <c r="D207" s="3">
        <v>45491</v>
      </c>
      <c r="E207" s="3">
        <v>45553</v>
      </c>
      <c r="F207" t="s">
        <v>554</v>
      </c>
      <c r="G207" t="s">
        <v>330</v>
      </c>
      <c r="H207">
        <v>36753698</v>
      </c>
      <c r="I207" t="s">
        <v>594</v>
      </c>
      <c r="J207">
        <v>59822566</v>
      </c>
      <c r="K207" t="s">
        <v>332</v>
      </c>
      <c r="L207" s="4">
        <v>4000000</v>
      </c>
      <c r="M207" s="4">
        <f t="shared" si="3"/>
        <v>0</v>
      </c>
    </row>
    <row r="208" spans="1:13" x14ac:dyDescent="0.25">
      <c r="A208" t="s">
        <v>296</v>
      </c>
      <c r="B208" s="4">
        <v>2000000</v>
      </c>
      <c r="C208" t="s">
        <v>325</v>
      </c>
      <c r="D208" s="3">
        <v>45497</v>
      </c>
      <c r="E208" s="3">
        <v>45528</v>
      </c>
      <c r="F208" t="s">
        <v>369</v>
      </c>
      <c r="G208" t="s">
        <v>330</v>
      </c>
      <c r="H208">
        <v>1081053820</v>
      </c>
      <c r="I208" t="s">
        <v>595</v>
      </c>
      <c r="J208">
        <v>98390119</v>
      </c>
      <c r="K208" t="s">
        <v>339</v>
      </c>
      <c r="L208" s="4">
        <v>2000000</v>
      </c>
      <c r="M208" s="4">
        <f t="shared" si="3"/>
        <v>0</v>
      </c>
    </row>
    <row r="209" spans="1:14" x14ac:dyDescent="0.25">
      <c r="A209" t="s">
        <v>297</v>
      </c>
      <c r="B209" s="4">
        <v>7500000</v>
      </c>
      <c r="C209" t="s">
        <v>325</v>
      </c>
      <c r="D209" s="3">
        <v>45498</v>
      </c>
      <c r="E209" s="3">
        <v>45529</v>
      </c>
      <c r="F209" t="s">
        <v>335</v>
      </c>
      <c r="G209" t="s">
        <v>330</v>
      </c>
      <c r="H209">
        <v>1085296958</v>
      </c>
      <c r="I209" t="s">
        <v>596</v>
      </c>
      <c r="J209">
        <v>59822566</v>
      </c>
      <c r="K209" t="s">
        <v>332</v>
      </c>
      <c r="L209" s="4">
        <v>7500000</v>
      </c>
      <c r="M209" s="4">
        <f t="shared" si="3"/>
        <v>0</v>
      </c>
    </row>
    <row r="210" spans="1:14" x14ac:dyDescent="0.25">
      <c r="A210" t="s">
        <v>298</v>
      </c>
      <c r="B210" s="4">
        <v>2000000</v>
      </c>
      <c r="C210" t="s">
        <v>325</v>
      </c>
      <c r="D210" s="3">
        <v>45498</v>
      </c>
      <c r="E210" s="3">
        <v>45529</v>
      </c>
      <c r="F210" t="s">
        <v>597</v>
      </c>
      <c r="G210" t="s">
        <v>330</v>
      </c>
      <c r="H210">
        <v>98392455</v>
      </c>
      <c r="I210" t="s">
        <v>598</v>
      </c>
      <c r="J210">
        <v>59822566</v>
      </c>
      <c r="K210" t="s">
        <v>599</v>
      </c>
      <c r="L210" s="4">
        <v>2000000</v>
      </c>
      <c r="M210" s="4">
        <f t="shared" si="3"/>
        <v>0</v>
      </c>
    </row>
    <row r="211" spans="1:14" x14ac:dyDescent="0.25">
      <c r="A211" t="s">
        <v>299</v>
      </c>
      <c r="B211" s="4">
        <v>2000000</v>
      </c>
      <c r="C211" t="s">
        <v>325</v>
      </c>
      <c r="D211" s="3">
        <v>45498</v>
      </c>
      <c r="E211" s="3">
        <v>45529</v>
      </c>
      <c r="F211" t="s">
        <v>475</v>
      </c>
      <c r="G211" t="s">
        <v>330</v>
      </c>
      <c r="H211">
        <v>1004215136</v>
      </c>
      <c r="I211" t="s">
        <v>600</v>
      </c>
      <c r="J211">
        <v>98390119</v>
      </c>
      <c r="K211" t="s">
        <v>601</v>
      </c>
      <c r="L211" s="4">
        <v>2000000</v>
      </c>
      <c r="M211" s="4">
        <f t="shared" si="3"/>
        <v>0</v>
      </c>
    </row>
    <row r="212" spans="1:14" x14ac:dyDescent="0.25">
      <c r="A212" t="s">
        <v>300</v>
      </c>
      <c r="B212" s="4">
        <v>6000000</v>
      </c>
      <c r="C212" t="s">
        <v>325</v>
      </c>
      <c r="D212" s="3">
        <v>45503</v>
      </c>
      <c r="E212" s="3">
        <v>45534</v>
      </c>
      <c r="F212" t="s">
        <v>433</v>
      </c>
      <c r="G212" t="s">
        <v>330</v>
      </c>
      <c r="H212">
        <v>1085286476</v>
      </c>
      <c r="I212" t="s">
        <v>602</v>
      </c>
      <c r="J212">
        <v>98390119</v>
      </c>
      <c r="K212" t="s">
        <v>339</v>
      </c>
      <c r="L212" s="4">
        <v>6000000</v>
      </c>
      <c r="M212" s="4">
        <f t="shared" si="3"/>
        <v>0</v>
      </c>
    </row>
    <row r="213" spans="1:14" x14ac:dyDescent="0.25">
      <c r="A213" t="s">
        <v>301</v>
      </c>
      <c r="B213" s="4">
        <v>6000000</v>
      </c>
      <c r="C213" t="s">
        <v>325</v>
      </c>
      <c r="D213" s="3">
        <v>45503</v>
      </c>
      <c r="E213" s="3">
        <v>45534</v>
      </c>
      <c r="F213" t="s">
        <v>521</v>
      </c>
      <c r="G213" t="s">
        <v>330</v>
      </c>
      <c r="H213">
        <v>1085289928</v>
      </c>
      <c r="I213" t="s">
        <v>603</v>
      </c>
      <c r="J213">
        <v>59822566</v>
      </c>
      <c r="K213" t="s">
        <v>332</v>
      </c>
      <c r="L213" s="4">
        <v>6000000</v>
      </c>
      <c r="M213" s="4">
        <f t="shared" si="3"/>
        <v>0</v>
      </c>
    </row>
    <row r="214" spans="1:14" x14ac:dyDescent="0.25">
      <c r="A214" t="s">
        <v>302</v>
      </c>
      <c r="B214" s="4">
        <v>2000000</v>
      </c>
      <c r="C214" t="s">
        <v>325</v>
      </c>
      <c r="D214" s="3">
        <v>45504</v>
      </c>
      <c r="E214" s="3">
        <v>45535</v>
      </c>
      <c r="F214" t="s">
        <v>369</v>
      </c>
      <c r="G214" t="s">
        <v>330</v>
      </c>
      <c r="H214">
        <v>59311233</v>
      </c>
      <c r="I214" t="s">
        <v>604</v>
      </c>
      <c r="J214">
        <v>98390119</v>
      </c>
      <c r="K214" t="s">
        <v>339</v>
      </c>
      <c r="L214" s="4">
        <v>2000000</v>
      </c>
      <c r="M214" s="4">
        <f t="shared" si="3"/>
        <v>0</v>
      </c>
    </row>
    <row r="215" spans="1:14" x14ac:dyDescent="0.25">
      <c r="A215" t="s">
        <v>303</v>
      </c>
      <c r="B215" s="4">
        <v>2000000</v>
      </c>
      <c r="C215" t="s">
        <v>325</v>
      </c>
      <c r="D215" s="3">
        <v>45506</v>
      </c>
      <c r="E215" s="3">
        <v>45537</v>
      </c>
      <c r="F215" t="s">
        <v>557</v>
      </c>
      <c r="G215" t="s">
        <v>330</v>
      </c>
      <c r="H215">
        <v>12751390</v>
      </c>
      <c r="I215" t="s">
        <v>605</v>
      </c>
      <c r="J215">
        <v>98333941</v>
      </c>
      <c r="K215" t="s">
        <v>334</v>
      </c>
      <c r="L215" s="4">
        <v>2000000</v>
      </c>
      <c r="M215" s="4">
        <f t="shared" si="3"/>
        <v>0</v>
      </c>
    </row>
    <row r="216" spans="1:14" x14ac:dyDescent="0.25">
      <c r="A216" t="s">
        <v>304</v>
      </c>
      <c r="B216" s="4">
        <v>2625000</v>
      </c>
      <c r="C216" t="s">
        <v>325</v>
      </c>
      <c r="D216" s="3">
        <v>45506</v>
      </c>
      <c r="E216" s="3">
        <v>45535</v>
      </c>
      <c r="F216" t="s">
        <v>606</v>
      </c>
      <c r="G216" t="s">
        <v>330</v>
      </c>
      <c r="H216">
        <v>1085904098</v>
      </c>
      <c r="I216" t="s">
        <v>607</v>
      </c>
      <c r="J216">
        <v>1086017548</v>
      </c>
      <c r="K216" t="s">
        <v>472</v>
      </c>
      <c r="L216" s="4">
        <v>2625000</v>
      </c>
      <c r="M216" s="4">
        <f t="shared" si="3"/>
        <v>0</v>
      </c>
    </row>
    <row r="217" spans="1:14" x14ac:dyDescent="0.25">
      <c r="A217" t="s">
        <v>305</v>
      </c>
      <c r="B217" s="4">
        <v>7500000</v>
      </c>
      <c r="C217" t="s">
        <v>325</v>
      </c>
      <c r="D217" s="3">
        <v>45525</v>
      </c>
      <c r="E217" s="3">
        <v>45556</v>
      </c>
      <c r="F217" t="s">
        <v>411</v>
      </c>
      <c r="G217" t="s">
        <v>330</v>
      </c>
      <c r="H217">
        <v>1193279435</v>
      </c>
      <c r="I217" t="s">
        <v>608</v>
      </c>
      <c r="J217">
        <v>98333941</v>
      </c>
      <c r="K217" t="s">
        <v>334</v>
      </c>
      <c r="L217" s="4">
        <v>7500000</v>
      </c>
      <c r="M217" s="4">
        <f t="shared" si="3"/>
        <v>0</v>
      </c>
    </row>
    <row r="218" spans="1:14" x14ac:dyDescent="0.25">
      <c r="A218" t="s">
        <v>310</v>
      </c>
      <c r="B218" s="4">
        <v>5000000</v>
      </c>
      <c r="C218" t="s">
        <v>325</v>
      </c>
      <c r="D218" s="3">
        <v>45573</v>
      </c>
      <c r="E218" s="3">
        <v>45657</v>
      </c>
      <c r="F218" t="s">
        <v>615</v>
      </c>
      <c r="G218" t="s">
        <v>330</v>
      </c>
      <c r="H218">
        <v>1193265831</v>
      </c>
      <c r="I218" t="s">
        <v>582</v>
      </c>
      <c r="J218">
        <v>59822566</v>
      </c>
      <c r="K218" t="s">
        <v>332</v>
      </c>
      <c r="L218" s="4">
        <v>7500000</v>
      </c>
      <c r="M218" s="4">
        <f t="shared" si="3"/>
        <v>-2500000</v>
      </c>
    </row>
    <row r="219" spans="1:14" x14ac:dyDescent="0.25">
      <c r="A219" t="s">
        <v>108</v>
      </c>
      <c r="B219" s="4">
        <v>2500000</v>
      </c>
      <c r="C219" t="s">
        <v>325</v>
      </c>
      <c r="D219" s="3">
        <v>45750</v>
      </c>
      <c r="E219" s="3">
        <v>45808</v>
      </c>
      <c r="F219" t="s">
        <v>657</v>
      </c>
      <c r="G219" t="s">
        <v>330</v>
      </c>
      <c r="H219">
        <v>27087720</v>
      </c>
      <c r="I219" t="s">
        <v>658</v>
      </c>
      <c r="J219">
        <v>59836926</v>
      </c>
      <c r="K219" t="s">
        <v>527</v>
      </c>
      <c r="L219" s="4">
        <v>5000000</v>
      </c>
      <c r="M219" s="4">
        <f t="shared" si="3"/>
        <v>-2500000</v>
      </c>
    </row>
    <row r="220" spans="1:14" x14ac:dyDescent="0.25">
      <c r="A220" t="s">
        <v>155</v>
      </c>
      <c r="B220" s="4">
        <v>2500000</v>
      </c>
      <c r="C220" t="s">
        <v>325</v>
      </c>
      <c r="D220" s="3">
        <v>45751</v>
      </c>
      <c r="E220" s="3">
        <v>45808</v>
      </c>
      <c r="F220" t="s">
        <v>686</v>
      </c>
      <c r="G220" t="s">
        <v>330</v>
      </c>
      <c r="H220">
        <v>1085347173</v>
      </c>
      <c r="I220" t="s">
        <v>687</v>
      </c>
      <c r="J220">
        <v>98333941</v>
      </c>
      <c r="K220" t="s">
        <v>334</v>
      </c>
      <c r="L220" s="4">
        <v>5000000</v>
      </c>
      <c r="M220" s="4">
        <f t="shared" si="3"/>
        <v>-2500000</v>
      </c>
    </row>
    <row r="221" spans="1:14" s="13" customFormat="1" x14ac:dyDescent="0.25">
      <c r="A221" t="s">
        <v>158</v>
      </c>
      <c r="B221" s="4">
        <v>2500000</v>
      </c>
      <c r="C221" t="s">
        <v>325</v>
      </c>
      <c r="D221" s="3">
        <v>45751</v>
      </c>
      <c r="E221" s="3">
        <v>45808</v>
      </c>
      <c r="F221" t="s">
        <v>641</v>
      </c>
      <c r="G221" t="s">
        <v>330</v>
      </c>
      <c r="H221">
        <v>30736949</v>
      </c>
      <c r="I221" t="s">
        <v>689</v>
      </c>
      <c r="J221">
        <v>43624414</v>
      </c>
      <c r="K221" t="s">
        <v>625</v>
      </c>
      <c r="L221" s="4">
        <v>5000000</v>
      </c>
      <c r="M221" s="4">
        <f t="shared" si="3"/>
        <v>-2500000</v>
      </c>
      <c r="N221" s="14"/>
    </row>
    <row r="222" spans="1:14" x14ac:dyDescent="0.25">
      <c r="A222" t="s">
        <v>174</v>
      </c>
      <c r="B222" s="4">
        <v>2500000</v>
      </c>
      <c r="C222" t="s">
        <v>325</v>
      </c>
      <c r="D222" s="3">
        <v>45756</v>
      </c>
      <c r="E222" s="3">
        <v>45808</v>
      </c>
      <c r="F222" t="s">
        <v>697</v>
      </c>
      <c r="G222" t="s">
        <v>330</v>
      </c>
      <c r="H222">
        <v>59821094</v>
      </c>
      <c r="I222" t="s">
        <v>698</v>
      </c>
      <c r="J222">
        <v>98333941</v>
      </c>
      <c r="K222" t="s">
        <v>334</v>
      </c>
      <c r="L222" s="4">
        <v>5000000</v>
      </c>
      <c r="M222" s="4">
        <f t="shared" si="3"/>
        <v>-2500000</v>
      </c>
    </row>
    <row r="223" spans="1:14" x14ac:dyDescent="0.25">
      <c r="A223" t="s">
        <v>180</v>
      </c>
      <c r="B223" s="4">
        <v>2500000</v>
      </c>
      <c r="C223" t="s">
        <v>325</v>
      </c>
      <c r="D223" s="3">
        <v>45756</v>
      </c>
      <c r="E223" s="3">
        <v>45808</v>
      </c>
      <c r="F223" t="s">
        <v>701</v>
      </c>
      <c r="G223" t="s">
        <v>330</v>
      </c>
      <c r="H223">
        <v>37087268</v>
      </c>
      <c r="I223" t="s">
        <v>586</v>
      </c>
      <c r="J223">
        <v>59836926</v>
      </c>
      <c r="K223" t="s">
        <v>527</v>
      </c>
      <c r="L223" s="4">
        <v>5000000</v>
      </c>
      <c r="M223" s="4">
        <f t="shared" si="3"/>
        <v>-2500000</v>
      </c>
    </row>
    <row r="224" spans="1:14" x14ac:dyDescent="0.25">
      <c r="A224" t="s">
        <v>184</v>
      </c>
      <c r="B224" s="4">
        <v>2500000</v>
      </c>
      <c r="C224" t="s">
        <v>325</v>
      </c>
      <c r="D224" s="3">
        <v>45756</v>
      </c>
      <c r="E224" s="3">
        <v>45808</v>
      </c>
      <c r="F224" t="s">
        <v>703</v>
      </c>
      <c r="G224" t="s">
        <v>330</v>
      </c>
      <c r="H224">
        <v>1233189896</v>
      </c>
      <c r="I224" t="s">
        <v>573</v>
      </c>
      <c r="J224">
        <v>98390119</v>
      </c>
      <c r="K224" t="s">
        <v>339</v>
      </c>
      <c r="L224" s="4">
        <v>5000000</v>
      </c>
      <c r="M224" s="4">
        <f t="shared" si="3"/>
        <v>-2500000</v>
      </c>
    </row>
    <row r="225" spans="1:14" x14ac:dyDescent="0.25">
      <c r="A225" t="s">
        <v>199</v>
      </c>
      <c r="B225" s="4">
        <v>2500000</v>
      </c>
      <c r="C225" t="s">
        <v>325</v>
      </c>
      <c r="D225" s="3">
        <v>45758</v>
      </c>
      <c r="E225" s="3">
        <v>45808</v>
      </c>
      <c r="F225" t="s">
        <v>713</v>
      </c>
      <c r="G225" t="s">
        <v>330</v>
      </c>
      <c r="H225">
        <v>1088729401</v>
      </c>
      <c r="I225" t="s">
        <v>714</v>
      </c>
      <c r="J225">
        <v>98333941</v>
      </c>
      <c r="K225" t="s">
        <v>334</v>
      </c>
      <c r="L225" s="4">
        <v>5000000</v>
      </c>
      <c r="M225" s="4">
        <f t="shared" si="3"/>
        <v>-2500000</v>
      </c>
    </row>
    <row r="226" spans="1:14" x14ac:dyDescent="0.25">
      <c r="A226" t="s">
        <v>12</v>
      </c>
      <c r="B226" s="4">
        <v>2500000</v>
      </c>
      <c r="C226" t="s">
        <v>325</v>
      </c>
      <c r="D226" s="3">
        <v>45719</v>
      </c>
      <c r="E226" s="3">
        <v>45747</v>
      </c>
      <c r="F226" t="s">
        <v>623</v>
      </c>
      <c r="G226" t="s">
        <v>330</v>
      </c>
      <c r="H226">
        <v>1085320930</v>
      </c>
      <c r="I226" t="s">
        <v>587</v>
      </c>
      <c r="J226">
        <v>59822566</v>
      </c>
      <c r="K226" t="s">
        <v>332</v>
      </c>
      <c r="L226" s="4">
        <v>2500000</v>
      </c>
      <c r="M226" s="4">
        <f t="shared" si="3"/>
        <v>0</v>
      </c>
    </row>
    <row r="227" spans="1:14" s="10" customFormat="1" x14ac:dyDescent="0.25">
      <c r="A227" s="10" t="s">
        <v>34</v>
      </c>
      <c r="B227" s="11">
        <v>4750000</v>
      </c>
      <c r="C227" s="10" t="s">
        <v>325</v>
      </c>
      <c r="D227" s="12">
        <v>45748</v>
      </c>
      <c r="E227" s="12">
        <v>45808</v>
      </c>
      <c r="F227" s="10" t="s">
        <v>624</v>
      </c>
      <c r="G227" s="10" t="s">
        <v>330</v>
      </c>
      <c r="H227" s="10">
        <v>1085318684</v>
      </c>
      <c r="I227" s="10" t="s">
        <v>462</v>
      </c>
      <c r="J227" s="10">
        <v>43624414</v>
      </c>
      <c r="K227" s="10" t="s">
        <v>625</v>
      </c>
      <c r="L227" s="11">
        <v>4750000</v>
      </c>
      <c r="M227" s="4">
        <f t="shared" si="3"/>
        <v>0</v>
      </c>
      <c r="N227" s="11">
        <v>9500000</v>
      </c>
    </row>
    <row r="228" spans="1:14" x14ac:dyDescent="0.25">
      <c r="A228" t="s">
        <v>204</v>
      </c>
      <c r="B228" s="4">
        <v>2500000</v>
      </c>
      <c r="C228" t="s">
        <v>325</v>
      </c>
      <c r="D228" s="3">
        <v>45758</v>
      </c>
      <c r="E228" s="3">
        <v>45808</v>
      </c>
      <c r="F228" t="s">
        <v>701</v>
      </c>
      <c r="G228" t="s">
        <v>330</v>
      </c>
      <c r="H228">
        <v>12974849</v>
      </c>
      <c r="I228" t="s">
        <v>716</v>
      </c>
      <c r="J228">
        <v>43624414</v>
      </c>
      <c r="K228" t="s">
        <v>625</v>
      </c>
      <c r="L228" s="4">
        <v>5000000</v>
      </c>
      <c r="M228" s="4">
        <f t="shared" si="3"/>
        <v>-2500000</v>
      </c>
    </row>
    <row r="229" spans="1:14" x14ac:dyDescent="0.25">
      <c r="A229" t="s">
        <v>212</v>
      </c>
      <c r="B229" s="4">
        <v>2500000</v>
      </c>
      <c r="C229" t="s">
        <v>325</v>
      </c>
      <c r="D229" s="3">
        <v>45768</v>
      </c>
      <c r="E229" s="3">
        <v>45808</v>
      </c>
      <c r="F229" t="s">
        <v>721</v>
      </c>
      <c r="G229" t="s">
        <v>330</v>
      </c>
      <c r="H229">
        <v>1081052090</v>
      </c>
      <c r="I229" t="s">
        <v>556</v>
      </c>
      <c r="J229">
        <v>43624414</v>
      </c>
      <c r="K229" t="s">
        <v>625</v>
      </c>
      <c r="L229" s="4">
        <v>5000000</v>
      </c>
      <c r="M229" s="4">
        <f t="shared" si="3"/>
        <v>-2500000</v>
      </c>
    </row>
    <row r="230" spans="1:14" x14ac:dyDescent="0.25">
      <c r="A230" t="s">
        <v>213</v>
      </c>
      <c r="B230" s="4">
        <v>2500000</v>
      </c>
      <c r="C230" t="s">
        <v>325</v>
      </c>
      <c r="D230" s="3">
        <v>45769</v>
      </c>
      <c r="E230" s="3">
        <v>45808</v>
      </c>
      <c r="F230" t="s">
        <v>722</v>
      </c>
      <c r="G230" t="s">
        <v>330</v>
      </c>
      <c r="H230">
        <v>1233188479</v>
      </c>
      <c r="I230" t="s">
        <v>723</v>
      </c>
      <c r="J230">
        <v>43624414</v>
      </c>
      <c r="K230" t="s">
        <v>625</v>
      </c>
      <c r="L230" s="4">
        <v>5000000</v>
      </c>
      <c r="M230" s="4">
        <f t="shared" si="3"/>
        <v>-2500000</v>
      </c>
    </row>
    <row r="231" spans="1:14" x14ac:dyDescent="0.25">
      <c r="A231" t="s">
        <v>44</v>
      </c>
      <c r="B231" s="4">
        <v>3000000</v>
      </c>
      <c r="C231" t="s">
        <v>325</v>
      </c>
      <c r="D231" s="3">
        <v>45748</v>
      </c>
      <c r="E231" s="3">
        <v>45808</v>
      </c>
      <c r="F231" t="s">
        <v>629</v>
      </c>
      <c r="G231" t="s">
        <v>330</v>
      </c>
      <c r="H231">
        <v>1137624011</v>
      </c>
      <c r="I231" t="s">
        <v>507</v>
      </c>
      <c r="J231">
        <v>59836926</v>
      </c>
      <c r="K231" t="s">
        <v>527</v>
      </c>
      <c r="L231" s="4">
        <v>6000000</v>
      </c>
      <c r="M231" s="4">
        <f t="shared" si="3"/>
        <v>-3000000</v>
      </c>
    </row>
    <row r="232" spans="1:14" x14ac:dyDescent="0.25">
      <c r="A232" t="s">
        <v>46</v>
      </c>
      <c r="B232" s="4">
        <v>3000000</v>
      </c>
      <c r="C232" t="s">
        <v>325</v>
      </c>
      <c r="D232" s="3">
        <v>45748</v>
      </c>
      <c r="E232" s="3">
        <v>45808</v>
      </c>
      <c r="F232" t="s">
        <v>630</v>
      </c>
      <c r="G232" t="s">
        <v>330</v>
      </c>
      <c r="H232">
        <v>1085286725</v>
      </c>
      <c r="I232" t="s">
        <v>359</v>
      </c>
      <c r="J232">
        <v>43624414</v>
      </c>
      <c r="K232" t="s">
        <v>625</v>
      </c>
      <c r="L232" s="4">
        <v>6000000</v>
      </c>
      <c r="M232" s="4">
        <f t="shared" si="3"/>
        <v>-3000000</v>
      </c>
    </row>
    <row r="233" spans="1:14" x14ac:dyDescent="0.25">
      <c r="A233" t="s">
        <v>48</v>
      </c>
      <c r="B233" s="4">
        <v>3000000</v>
      </c>
      <c r="C233" t="s">
        <v>325</v>
      </c>
      <c r="D233" s="3">
        <v>45748</v>
      </c>
      <c r="E233" s="3">
        <v>45808</v>
      </c>
      <c r="F233" t="s">
        <v>629</v>
      </c>
      <c r="G233" t="s">
        <v>330</v>
      </c>
      <c r="H233">
        <v>1085339190</v>
      </c>
      <c r="I233" t="s">
        <v>401</v>
      </c>
      <c r="J233">
        <v>98390119</v>
      </c>
      <c r="K233" t="s">
        <v>339</v>
      </c>
      <c r="L233" s="4">
        <v>6000000</v>
      </c>
      <c r="M233" s="4">
        <f t="shared" si="3"/>
        <v>-3000000</v>
      </c>
    </row>
    <row r="234" spans="1:14" x14ac:dyDescent="0.25">
      <c r="A234" t="s">
        <v>56</v>
      </c>
      <c r="B234" s="4">
        <v>3000000</v>
      </c>
      <c r="C234" t="s">
        <v>325</v>
      </c>
      <c r="D234" s="3">
        <v>45748</v>
      </c>
      <c r="E234" s="3">
        <v>45808</v>
      </c>
      <c r="F234" t="s">
        <v>629</v>
      </c>
      <c r="G234" t="s">
        <v>330</v>
      </c>
      <c r="H234">
        <v>59834953</v>
      </c>
      <c r="I234" t="s">
        <v>356</v>
      </c>
      <c r="J234">
        <v>98333941</v>
      </c>
      <c r="K234" t="s">
        <v>334</v>
      </c>
      <c r="L234" s="4">
        <v>6000000</v>
      </c>
      <c r="M234" s="4">
        <f t="shared" si="3"/>
        <v>-3000000</v>
      </c>
    </row>
    <row r="235" spans="1:14" x14ac:dyDescent="0.25">
      <c r="A235" t="s">
        <v>58</v>
      </c>
      <c r="B235" s="4">
        <v>3000000</v>
      </c>
      <c r="C235" t="s">
        <v>325</v>
      </c>
      <c r="D235" s="3">
        <v>45748</v>
      </c>
      <c r="E235" s="3">
        <v>45808</v>
      </c>
      <c r="F235" t="s">
        <v>630</v>
      </c>
      <c r="G235" t="s">
        <v>330</v>
      </c>
      <c r="H235">
        <v>1085288636</v>
      </c>
      <c r="I235" t="s">
        <v>367</v>
      </c>
      <c r="J235">
        <v>43624414</v>
      </c>
      <c r="K235" t="s">
        <v>625</v>
      </c>
      <c r="L235" s="4">
        <v>6000000</v>
      </c>
      <c r="M235" s="4">
        <f t="shared" si="3"/>
        <v>-3000000</v>
      </c>
    </row>
    <row r="236" spans="1:14" x14ac:dyDescent="0.25">
      <c r="A236" t="s">
        <v>59</v>
      </c>
      <c r="B236" s="4">
        <v>3000000</v>
      </c>
      <c r="C236" t="s">
        <v>325</v>
      </c>
      <c r="D236" s="3">
        <v>45748</v>
      </c>
      <c r="E236" s="3">
        <v>45808</v>
      </c>
      <c r="F236" t="s">
        <v>629</v>
      </c>
      <c r="G236" t="s">
        <v>330</v>
      </c>
      <c r="H236">
        <v>1010082397</v>
      </c>
      <c r="I236" t="s">
        <v>452</v>
      </c>
      <c r="J236">
        <v>59836926</v>
      </c>
      <c r="K236" t="s">
        <v>527</v>
      </c>
      <c r="L236" s="4">
        <v>6000000</v>
      </c>
      <c r="M236" s="4">
        <f t="shared" si="3"/>
        <v>-3000000</v>
      </c>
    </row>
    <row r="237" spans="1:14" x14ac:dyDescent="0.25">
      <c r="A237" t="s">
        <v>73</v>
      </c>
      <c r="B237" s="4">
        <v>3000000</v>
      </c>
      <c r="C237" t="s">
        <v>325</v>
      </c>
      <c r="D237" s="3">
        <v>45748</v>
      </c>
      <c r="E237" s="3">
        <v>45808</v>
      </c>
      <c r="F237" t="s">
        <v>640</v>
      </c>
      <c r="G237" t="s">
        <v>330</v>
      </c>
      <c r="H237">
        <v>1089243630</v>
      </c>
      <c r="I237" t="s">
        <v>508</v>
      </c>
      <c r="J237">
        <v>59836926</v>
      </c>
      <c r="K237" t="s">
        <v>527</v>
      </c>
      <c r="L237" s="4">
        <v>6000000</v>
      </c>
      <c r="M237" s="4">
        <f t="shared" si="3"/>
        <v>-3000000</v>
      </c>
    </row>
    <row r="238" spans="1:14" x14ac:dyDescent="0.25">
      <c r="A238" t="s">
        <v>77</v>
      </c>
      <c r="B238" s="4">
        <v>3000000</v>
      </c>
      <c r="C238" t="s">
        <v>325</v>
      </c>
      <c r="D238" s="3">
        <v>45749</v>
      </c>
      <c r="E238" s="3">
        <v>45808</v>
      </c>
      <c r="F238" t="s">
        <v>640</v>
      </c>
      <c r="G238" t="s">
        <v>330</v>
      </c>
      <c r="H238">
        <v>13070330</v>
      </c>
      <c r="I238" t="s">
        <v>642</v>
      </c>
      <c r="J238">
        <v>43624414</v>
      </c>
      <c r="K238" t="s">
        <v>625</v>
      </c>
      <c r="L238" s="4">
        <v>6000000</v>
      </c>
      <c r="M238" s="4">
        <f t="shared" si="3"/>
        <v>-3000000</v>
      </c>
    </row>
    <row r="239" spans="1:14" x14ac:dyDescent="0.25">
      <c r="A239" t="s">
        <v>82</v>
      </c>
      <c r="B239" s="4">
        <v>3000000</v>
      </c>
      <c r="C239" t="s">
        <v>325</v>
      </c>
      <c r="D239" s="3">
        <v>45749</v>
      </c>
      <c r="E239" s="3">
        <v>45808</v>
      </c>
      <c r="F239" t="s">
        <v>630</v>
      </c>
      <c r="G239" t="s">
        <v>330</v>
      </c>
      <c r="H239">
        <v>1086328142</v>
      </c>
      <c r="I239" t="s">
        <v>645</v>
      </c>
      <c r="J239">
        <v>98333941</v>
      </c>
      <c r="K239" t="s">
        <v>334</v>
      </c>
      <c r="L239" s="4">
        <v>6000000</v>
      </c>
      <c r="M239" s="4">
        <f t="shared" si="3"/>
        <v>-3000000</v>
      </c>
    </row>
    <row r="240" spans="1:14" x14ac:dyDescent="0.25">
      <c r="A240" t="s">
        <v>88</v>
      </c>
      <c r="B240" s="4">
        <v>3000000</v>
      </c>
      <c r="C240" t="s">
        <v>325</v>
      </c>
      <c r="D240" s="3">
        <v>45749</v>
      </c>
      <c r="E240" s="3">
        <v>45808</v>
      </c>
      <c r="F240" t="s">
        <v>640</v>
      </c>
      <c r="G240" t="s">
        <v>330</v>
      </c>
      <c r="H240">
        <v>1004234290</v>
      </c>
      <c r="I240" t="s">
        <v>342</v>
      </c>
      <c r="J240">
        <v>98390119</v>
      </c>
      <c r="K240" t="s">
        <v>339</v>
      </c>
      <c r="L240" s="4">
        <v>6000000</v>
      </c>
      <c r="M240" s="4">
        <f t="shared" si="3"/>
        <v>-3000000</v>
      </c>
    </row>
    <row r="241" spans="1:13" x14ac:dyDescent="0.25">
      <c r="A241" t="s">
        <v>90</v>
      </c>
      <c r="B241" s="4">
        <v>3000000</v>
      </c>
      <c r="C241" t="s">
        <v>325</v>
      </c>
      <c r="D241" s="3">
        <v>45749</v>
      </c>
      <c r="E241" s="3">
        <v>45808</v>
      </c>
      <c r="F241" t="s">
        <v>630</v>
      </c>
      <c r="G241" t="s">
        <v>330</v>
      </c>
      <c r="H241">
        <v>1085317833</v>
      </c>
      <c r="I241" t="s">
        <v>648</v>
      </c>
      <c r="J241">
        <v>98333941</v>
      </c>
      <c r="K241" t="s">
        <v>334</v>
      </c>
      <c r="L241" s="4">
        <v>6000000</v>
      </c>
      <c r="M241" s="4">
        <f t="shared" si="3"/>
        <v>-3000000</v>
      </c>
    </row>
    <row r="242" spans="1:13" x14ac:dyDescent="0.25">
      <c r="A242" t="s">
        <v>92</v>
      </c>
      <c r="B242" s="4">
        <v>3000000</v>
      </c>
      <c r="C242" t="s">
        <v>325</v>
      </c>
      <c r="D242" s="3">
        <v>45749</v>
      </c>
      <c r="E242" s="3">
        <v>45808</v>
      </c>
      <c r="F242" t="s">
        <v>630</v>
      </c>
      <c r="G242" t="s">
        <v>330</v>
      </c>
      <c r="H242">
        <v>59833899</v>
      </c>
      <c r="I242" t="s">
        <v>649</v>
      </c>
      <c r="J242">
        <v>98333941</v>
      </c>
      <c r="K242" t="s">
        <v>334</v>
      </c>
      <c r="L242" s="4">
        <v>6000000</v>
      </c>
      <c r="M242" s="4">
        <f t="shared" si="3"/>
        <v>-3000000</v>
      </c>
    </row>
    <row r="243" spans="1:13" x14ac:dyDescent="0.25">
      <c r="A243" t="s">
        <v>94</v>
      </c>
      <c r="B243" s="4">
        <v>3000000</v>
      </c>
      <c r="C243" t="s">
        <v>325</v>
      </c>
      <c r="D243" s="3">
        <v>45749</v>
      </c>
      <c r="E243" s="3">
        <v>45808</v>
      </c>
      <c r="F243" t="s">
        <v>630</v>
      </c>
      <c r="G243" t="s">
        <v>330</v>
      </c>
      <c r="H243">
        <v>1233188273</v>
      </c>
      <c r="I243" t="s">
        <v>650</v>
      </c>
      <c r="J243">
        <v>98390119</v>
      </c>
      <c r="K243" t="s">
        <v>339</v>
      </c>
      <c r="L243" s="4">
        <v>6000000</v>
      </c>
      <c r="M243" s="4">
        <f t="shared" si="3"/>
        <v>-3000000</v>
      </c>
    </row>
    <row r="244" spans="1:13" x14ac:dyDescent="0.25">
      <c r="A244" t="s">
        <v>96</v>
      </c>
      <c r="B244" s="4">
        <v>3000000</v>
      </c>
      <c r="C244" t="s">
        <v>325</v>
      </c>
      <c r="D244" s="3">
        <v>45749</v>
      </c>
      <c r="E244" s="3">
        <v>45808</v>
      </c>
      <c r="F244" t="s">
        <v>630</v>
      </c>
      <c r="G244" t="s">
        <v>330</v>
      </c>
      <c r="H244">
        <v>37084285</v>
      </c>
      <c r="I244" t="s">
        <v>372</v>
      </c>
      <c r="J244">
        <v>59836926</v>
      </c>
      <c r="K244" t="s">
        <v>527</v>
      </c>
      <c r="L244" s="4">
        <v>6000000</v>
      </c>
      <c r="M244" s="4">
        <f t="shared" si="3"/>
        <v>-3000000</v>
      </c>
    </row>
    <row r="245" spans="1:13" x14ac:dyDescent="0.25">
      <c r="A245" t="s">
        <v>71</v>
      </c>
      <c r="B245" s="4">
        <v>6000000</v>
      </c>
      <c r="C245" t="s">
        <v>325</v>
      </c>
      <c r="D245" s="3">
        <v>45748</v>
      </c>
      <c r="E245" s="3">
        <v>45777</v>
      </c>
      <c r="F245" t="s">
        <v>638</v>
      </c>
      <c r="G245" t="s">
        <v>330</v>
      </c>
      <c r="H245">
        <v>1085292185</v>
      </c>
      <c r="I245" t="s">
        <v>544</v>
      </c>
      <c r="J245">
        <v>13016581</v>
      </c>
      <c r="K245" t="s">
        <v>639</v>
      </c>
      <c r="L245" s="4">
        <v>6000000</v>
      </c>
      <c r="M245" s="4">
        <f t="shared" si="3"/>
        <v>0</v>
      </c>
    </row>
    <row r="246" spans="1:13" x14ac:dyDescent="0.25">
      <c r="A246" t="s">
        <v>99</v>
      </c>
      <c r="B246" s="4">
        <v>3000000</v>
      </c>
      <c r="C246" t="s">
        <v>325</v>
      </c>
      <c r="D246" s="3">
        <v>45750</v>
      </c>
      <c r="E246" s="3">
        <v>45808</v>
      </c>
      <c r="F246" t="s">
        <v>640</v>
      </c>
      <c r="G246" t="s">
        <v>330</v>
      </c>
      <c r="H246">
        <v>98391531</v>
      </c>
      <c r="I246" t="s">
        <v>651</v>
      </c>
      <c r="J246">
        <v>98333941</v>
      </c>
      <c r="K246" t="s">
        <v>334</v>
      </c>
      <c r="L246" s="4">
        <v>6000000</v>
      </c>
      <c r="M246" s="4">
        <f t="shared" si="3"/>
        <v>-3000000</v>
      </c>
    </row>
    <row r="247" spans="1:13" x14ac:dyDescent="0.25">
      <c r="A247" t="s">
        <v>106</v>
      </c>
      <c r="B247" s="4">
        <v>3000000</v>
      </c>
      <c r="C247" t="s">
        <v>325</v>
      </c>
      <c r="D247" s="3">
        <v>45750</v>
      </c>
      <c r="E247" s="3">
        <v>45808</v>
      </c>
      <c r="F247" t="s">
        <v>655</v>
      </c>
      <c r="G247" t="s">
        <v>330</v>
      </c>
      <c r="H247">
        <v>1085326791</v>
      </c>
      <c r="I247" t="s">
        <v>656</v>
      </c>
      <c r="J247">
        <v>98333941</v>
      </c>
      <c r="K247" t="s">
        <v>334</v>
      </c>
      <c r="L247" s="4">
        <v>6000000</v>
      </c>
      <c r="M247" s="4">
        <f t="shared" si="3"/>
        <v>-3000000</v>
      </c>
    </row>
    <row r="248" spans="1:13" x14ac:dyDescent="0.25">
      <c r="A248" t="s">
        <v>110</v>
      </c>
      <c r="B248" s="4">
        <v>3000000</v>
      </c>
      <c r="C248" t="s">
        <v>325</v>
      </c>
      <c r="D248" s="3">
        <v>45750</v>
      </c>
      <c r="E248" s="3">
        <v>45808</v>
      </c>
      <c r="F248" t="s">
        <v>630</v>
      </c>
      <c r="G248" t="s">
        <v>330</v>
      </c>
      <c r="H248" t="s">
        <v>659</v>
      </c>
      <c r="I248" t="s">
        <v>660</v>
      </c>
      <c r="J248">
        <v>98390119</v>
      </c>
      <c r="K248" t="s">
        <v>339</v>
      </c>
      <c r="L248" s="4">
        <v>6000000</v>
      </c>
      <c r="M248" s="4">
        <f t="shared" si="3"/>
        <v>-3000000</v>
      </c>
    </row>
    <row r="249" spans="1:13" x14ac:dyDescent="0.25">
      <c r="A249" t="s">
        <v>112</v>
      </c>
      <c r="B249" s="4">
        <v>3000000</v>
      </c>
      <c r="C249" t="s">
        <v>325</v>
      </c>
      <c r="D249" s="3">
        <v>45750</v>
      </c>
      <c r="E249" s="3">
        <v>45808</v>
      </c>
      <c r="F249" t="s">
        <v>630</v>
      </c>
      <c r="G249" t="s">
        <v>330</v>
      </c>
      <c r="H249">
        <v>1233191675</v>
      </c>
      <c r="I249" t="s">
        <v>661</v>
      </c>
      <c r="J249">
        <v>43624414</v>
      </c>
      <c r="K249" t="s">
        <v>625</v>
      </c>
      <c r="L249" s="4">
        <v>6000000</v>
      </c>
      <c r="M249" s="4">
        <f t="shared" si="3"/>
        <v>-3000000</v>
      </c>
    </row>
    <row r="250" spans="1:13" x14ac:dyDescent="0.25">
      <c r="A250" t="s">
        <v>116</v>
      </c>
      <c r="B250" s="4">
        <v>3000000</v>
      </c>
      <c r="C250" t="s">
        <v>325</v>
      </c>
      <c r="D250" s="3">
        <v>45750</v>
      </c>
      <c r="E250" s="3">
        <v>45808</v>
      </c>
      <c r="F250" t="s">
        <v>640</v>
      </c>
      <c r="G250" t="s">
        <v>330</v>
      </c>
      <c r="H250">
        <v>1004535234</v>
      </c>
      <c r="I250" t="s">
        <v>663</v>
      </c>
      <c r="J250">
        <v>43624414</v>
      </c>
      <c r="K250" t="s">
        <v>625</v>
      </c>
      <c r="L250" s="4">
        <v>6000000</v>
      </c>
      <c r="M250" s="4">
        <f t="shared" si="3"/>
        <v>-3000000</v>
      </c>
    </row>
    <row r="251" spans="1:13" x14ac:dyDescent="0.25">
      <c r="A251" t="s">
        <v>117</v>
      </c>
      <c r="B251" s="4">
        <v>3000000</v>
      </c>
      <c r="C251" t="s">
        <v>325</v>
      </c>
      <c r="D251" s="3">
        <v>45750</v>
      </c>
      <c r="E251" s="3">
        <v>45808</v>
      </c>
      <c r="F251" t="s">
        <v>630</v>
      </c>
      <c r="G251" t="s">
        <v>330</v>
      </c>
      <c r="H251">
        <v>1081572043</v>
      </c>
      <c r="I251" t="s">
        <v>664</v>
      </c>
      <c r="J251">
        <v>98390119</v>
      </c>
      <c r="K251" t="s">
        <v>339</v>
      </c>
      <c r="L251" s="4">
        <v>6000000</v>
      </c>
      <c r="M251" s="4">
        <f t="shared" si="3"/>
        <v>-3000000</v>
      </c>
    </row>
    <row r="252" spans="1:13" x14ac:dyDescent="0.25">
      <c r="A252" t="s">
        <v>119</v>
      </c>
      <c r="B252" s="4">
        <v>3000000</v>
      </c>
      <c r="C252" t="s">
        <v>325</v>
      </c>
      <c r="D252" s="3">
        <v>45750</v>
      </c>
      <c r="E252" s="3">
        <v>45808</v>
      </c>
      <c r="F252" t="s">
        <v>666</v>
      </c>
      <c r="G252" t="s">
        <v>330</v>
      </c>
      <c r="H252">
        <v>1085252263</v>
      </c>
      <c r="I252" t="s">
        <v>511</v>
      </c>
      <c r="J252">
        <v>59836926</v>
      </c>
      <c r="K252" t="s">
        <v>527</v>
      </c>
      <c r="L252" s="4">
        <v>6000000</v>
      </c>
      <c r="M252" s="4">
        <f t="shared" si="3"/>
        <v>-3000000</v>
      </c>
    </row>
    <row r="253" spans="1:13" x14ac:dyDescent="0.25">
      <c r="A253" t="s">
        <v>123</v>
      </c>
      <c r="B253" s="4">
        <v>3000000</v>
      </c>
      <c r="C253" t="s">
        <v>325</v>
      </c>
      <c r="D253" s="3">
        <v>45750</v>
      </c>
      <c r="E253" s="3">
        <v>45808</v>
      </c>
      <c r="F253" t="s">
        <v>640</v>
      </c>
      <c r="G253" t="s">
        <v>330</v>
      </c>
      <c r="H253">
        <v>1004232508</v>
      </c>
      <c r="I253" t="s">
        <v>476</v>
      </c>
      <c r="J253">
        <v>98390119</v>
      </c>
      <c r="K253" t="s">
        <v>339</v>
      </c>
      <c r="L253" s="4">
        <v>6000000</v>
      </c>
      <c r="M253" s="4">
        <f t="shared" si="3"/>
        <v>-3000000</v>
      </c>
    </row>
    <row r="254" spans="1:13" x14ac:dyDescent="0.25">
      <c r="A254" t="s">
        <v>130</v>
      </c>
      <c r="B254" s="4">
        <v>3000000</v>
      </c>
      <c r="C254" t="s">
        <v>325</v>
      </c>
      <c r="D254" s="3">
        <v>45750</v>
      </c>
      <c r="E254" s="3">
        <v>45808</v>
      </c>
      <c r="F254" t="s">
        <v>630</v>
      </c>
      <c r="G254" t="s">
        <v>330</v>
      </c>
      <c r="H254">
        <v>1086223299</v>
      </c>
      <c r="I254" t="s">
        <v>670</v>
      </c>
      <c r="J254">
        <v>59836926</v>
      </c>
      <c r="K254" t="s">
        <v>527</v>
      </c>
      <c r="L254" s="4">
        <v>6000000</v>
      </c>
      <c r="M254" s="4">
        <f t="shared" si="3"/>
        <v>-3000000</v>
      </c>
    </row>
    <row r="255" spans="1:13" x14ac:dyDescent="0.25">
      <c r="A255" t="s">
        <v>135</v>
      </c>
      <c r="B255" s="4">
        <v>3000000</v>
      </c>
      <c r="C255" t="s">
        <v>325</v>
      </c>
      <c r="D255" s="3">
        <v>45751</v>
      </c>
      <c r="E255" s="3">
        <v>45808</v>
      </c>
      <c r="F255" t="s">
        <v>672</v>
      </c>
      <c r="G255" t="s">
        <v>330</v>
      </c>
      <c r="H255" t="s">
        <v>673</v>
      </c>
      <c r="I255" t="s">
        <v>674</v>
      </c>
      <c r="J255">
        <v>43624414</v>
      </c>
      <c r="K255" t="s">
        <v>625</v>
      </c>
      <c r="L255" s="4">
        <v>6000000</v>
      </c>
      <c r="M255" s="4">
        <f t="shared" si="3"/>
        <v>-3000000</v>
      </c>
    </row>
    <row r="256" spans="1:13" x14ac:dyDescent="0.25">
      <c r="A256" t="s">
        <v>137</v>
      </c>
      <c r="B256" s="4">
        <v>3000000</v>
      </c>
      <c r="C256" t="s">
        <v>325</v>
      </c>
      <c r="D256" s="3">
        <v>45751</v>
      </c>
      <c r="E256" s="3">
        <v>45808</v>
      </c>
      <c r="F256" t="s">
        <v>672</v>
      </c>
      <c r="G256" t="s">
        <v>330</v>
      </c>
      <c r="H256">
        <v>1004598784</v>
      </c>
      <c r="I256" t="s">
        <v>675</v>
      </c>
      <c r="J256">
        <v>43624414</v>
      </c>
      <c r="K256" t="s">
        <v>625</v>
      </c>
      <c r="L256" s="4">
        <v>6000000</v>
      </c>
      <c r="M256" s="4">
        <f t="shared" si="3"/>
        <v>-3000000</v>
      </c>
    </row>
    <row r="257" spans="1:13" x14ac:dyDescent="0.25">
      <c r="A257" t="s">
        <v>145</v>
      </c>
      <c r="B257" s="4">
        <v>3000000</v>
      </c>
      <c r="C257" t="s">
        <v>325</v>
      </c>
      <c r="D257" s="3">
        <v>45751</v>
      </c>
      <c r="E257" s="3">
        <v>45808</v>
      </c>
      <c r="F257" t="s">
        <v>630</v>
      </c>
      <c r="G257" t="s">
        <v>330</v>
      </c>
      <c r="H257">
        <v>98382500</v>
      </c>
      <c r="I257" t="s">
        <v>679</v>
      </c>
      <c r="J257">
        <v>98333941</v>
      </c>
      <c r="K257" t="s">
        <v>334</v>
      </c>
      <c r="L257" s="4">
        <v>6000000</v>
      </c>
      <c r="M257" s="4">
        <f t="shared" si="3"/>
        <v>-3000000</v>
      </c>
    </row>
    <row r="258" spans="1:13" x14ac:dyDescent="0.25">
      <c r="A258" t="s">
        <v>146</v>
      </c>
      <c r="B258" s="4">
        <v>3000000</v>
      </c>
      <c r="C258" t="s">
        <v>325</v>
      </c>
      <c r="D258" s="3">
        <v>45751</v>
      </c>
      <c r="E258" s="3">
        <v>45808</v>
      </c>
      <c r="F258" t="s">
        <v>680</v>
      </c>
      <c r="G258" t="s">
        <v>330</v>
      </c>
      <c r="H258">
        <v>1081592303</v>
      </c>
      <c r="I258" t="s">
        <v>681</v>
      </c>
      <c r="J258">
        <v>43624414</v>
      </c>
      <c r="K258" t="s">
        <v>625</v>
      </c>
      <c r="L258" s="4">
        <v>6000000</v>
      </c>
      <c r="M258" s="4">
        <f t="shared" ref="M258:M321" si="4">B258-L258</f>
        <v>-3000000</v>
      </c>
    </row>
    <row r="259" spans="1:13" x14ac:dyDescent="0.25">
      <c r="A259" t="s">
        <v>148</v>
      </c>
      <c r="B259" s="4">
        <v>3000000</v>
      </c>
      <c r="C259" t="s">
        <v>325</v>
      </c>
      <c r="D259" s="3">
        <v>45751</v>
      </c>
      <c r="E259" s="3">
        <v>45808</v>
      </c>
      <c r="F259" t="s">
        <v>630</v>
      </c>
      <c r="G259" t="s">
        <v>330</v>
      </c>
      <c r="H259">
        <v>1030606749</v>
      </c>
      <c r="I259" t="s">
        <v>331</v>
      </c>
      <c r="J259">
        <v>98333941</v>
      </c>
      <c r="K259" t="s">
        <v>334</v>
      </c>
      <c r="L259" s="4">
        <v>6000000</v>
      </c>
      <c r="M259" s="4">
        <f t="shared" si="4"/>
        <v>-3000000</v>
      </c>
    </row>
    <row r="260" spans="1:13" x14ac:dyDescent="0.25">
      <c r="A260" t="s">
        <v>150</v>
      </c>
      <c r="B260" s="4">
        <v>3000000</v>
      </c>
      <c r="C260" t="s">
        <v>325</v>
      </c>
      <c r="D260" s="3">
        <v>45751</v>
      </c>
      <c r="E260" s="3">
        <v>45808</v>
      </c>
      <c r="F260" t="s">
        <v>672</v>
      </c>
      <c r="G260" t="s">
        <v>330</v>
      </c>
      <c r="H260">
        <v>1085318688</v>
      </c>
      <c r="I260" t="s">
        <v>370</v>
      </c>
      <c r="J260">
        <v>98333941</v>
      </c>
      <c r="K260" t="s">
        <v>334</v>
      </c>
      <c r="L260" s="4">
        <v>6000000</v>
      </c>
      <c r="M260" s="4">
        <f t="shared" si="4"/>
        <v>-3000000</v>
      </c>
    </row>
    <row r="261" spans="1:13" x14ac:dyDescent="0.25">
      <c r="A261" t="s">
        <v>157</v>
      </c>
      <c r="B261" s="4">
        <v>3000000</v>
      </c>
      <c r="C261" t="s">
        <v>325</v>
      </c>
      <c r="D261" s="3">
        <v>45751</v>
      </c>
      <c r="E261" s="3">
        <v>45808</v>
      </c>
      <c r="F261" t="s">
        <v>640</v>
      </c>
      <c r="G261" t="s">
        <v>330</v>
      </c>
      <c r="H261">
        <v>13069881</v>
      </c>
      <c r="I261" t="s">
        <v>688</v>
      </c>
      <c r="J261">
        <v>98390119</v>
      </c>
      <c r="K261" t="s">
        <v>339</v>
      </c>
      <c r="L261" s="4">
        <v>6000000</v>
      </c>
      <c r="M261" s="4">
        <f t="shared" si="4"/>
        <v>-3000000</v>
      </c>
    </row>
    <row r="262" spans="1:13" x14ac:dyDescent="0.25">
      <c r="A262" t="s">
        <v>166</v>
      </c>
      <c r="B262" s="4">
        <v>3000000</v>
      </c>
      <c r="C262" t="s">
        <v>325</v>
      </c>
      <c r="D262" s="3">
        <v>45755</v>
      </c>
      <c r="E262" s="3">
        <v>45808</v>
      </c>
      <c r="F262" t="s">
        <v>640</v>
      </c>
      <c r="G262" t="s">
        <v>330</v>
      </c>
      <c r="H262">
        <v>1004235479</v>
      </c>
      <c r="I262" t="s">
        <v>691</v>
      </c>
      <c r="J262">
        <v>98333941</v>
      </c>
      <c r="K262" t="s">
        <v>334</v>
      </c>
      <c r="L262" s="4">
        <v>6000000</v>
      </c>
      <c r="M262" s="4">
        <f t="shared" si="4"/>
        <v>-3000000</v>
      </c>
    </row>
    <row r="263" spans="1:13" x14ac:dyDescent="0.25">
      <c r="A263" t="s">
        <v>175</v>
      </c>
      <c r="B263" s="4">
        <v>3000000</v>
      </c>
      <c r="C263" t="s">
        <v>325</v>
      </c>
      <c r="D263" s="3">
        <v>45756</v>
      </c>
      <c r="E263" s="3">
        <v>45808</v>
      </c>
      <c r="F263" t="s">
        <v>630</v>
      </c>
      <c r="G263" t="s">
        <v>330</v>
      </c>
      <c r="H263">
        <v>1004216993</v>
      </c>
      <c r="I263" t="s">
        <v>699</v>
      </c>
      <c r="J263">
        <v>43624414</v>
      </c>
      <c r="K263" t="s">
        <v>625</v>
      </c>
      <c r="L263" s="4">
        <v>6000000</v>
      </c>
      <c r="M263" s="4">
        <f t="shared" si="4"/>
        <v>-3000000</v>
      </c>
    </row>
    <row r="264" spans="1:13" x14ac:dyDescent="0.25">
      <c r="A264" t="s">
        <v>182</v>
      </c>
      <c r="B264" s="4">
        <v>3000000</v>
      </c>
      <c r="C264" t="s">
        <v>325</v>
      </c>
      <c r="D264" s="3">
        <v>45756</v>
      </c>
      <c r="E264" s="3">
        <v>45808</v>
      </c>
      <c r="F264" t="s">
        <v>640</v>
      </c>
      <c r="G264" t="s">
        <v>330</v>
      </c>
      <c r="H264">
        <v>27388522</v>
      </c>
      <c r="I264" t="s">
        <v>702</v>
      </c>
      <c r="J264">
        <v>43624414</v>
      </c>
      <c r="K264" t="s">
        <v>625</v>
      </c>
      <c r="L264" s="4">
        <v>6000000</v>
      </c>
      <c r="M264" s="4">
        <f t="shared" si="4"/>
        <v>-3000000</v>
      </c>
    </row>
    <row r="265" spans="1:13" x14ac:dyDescent="0.25">
      <c r="A265" t="s">
        <v>187</v>
      </c>
      <c r="B265" s="4">
        <v>3000000</v>
      </c>
      <c r="C265" t="s">
        <v>325</v>
      </c>
      <c r="D265" s="3">
        <v>45756</v>
      </c>
      <c r="E265" s="3">
        <v>45808</v>
      </c>
      <c r="F265" t="s">
        <v>705</v>
      </c>
      <c r="G265" t="s">
        <v>330</v>
      </c>
      <c r="H265">
        <v>1085286742</v>
      </c>
      <c r="I265" t="s">
        <v>416</v>
      </c>
      <c r="J265">
        <v>43624414</v>
      </c>
      <c r="K265" t="s">
        <v>625</v>
      </c>
      <c r="L265" s="4">
        <v>6000000</v>
      </c>
      <c r="M265" s="4">
        <f t="shared" si="4"/>
        <v>-3000000</v>
      </c>
    </row>
    <row r="266" spans="1:13" x14ac:dyDescent="0.25">
      <c r="A266" t="s">
        <v>191</v>
      </c>
      <c r="B266" s="4">
        <v>3000000</v>
      </c>
      <c r="C266" t="s">
        <v>325</v>
      </c>
      <c r="D266" s="3">
        <v>45757</v>
      </c>
      <c r="E266" s="3">
        <v>45808</v>
      </c>
      <c r="F266" t="s">
        <v>707</v>
      </c>
      <c r="G266" t="s">
        <v>330</v>
      </c>
      <c r="H266">
        <v>1082747438</v>
      </c>
      <c r="I266" t="s">
        <v>708</v>
      </c>
      <c r="J266">
        <v>98390119</v>
      </c>
      <c r="K266" t="s">
        <v>339</v>
      </c>
      <c r="L266" s="4">
        <v>6000000</v>
      </c>
      <c r="M266" s="4">
        <f t="shared" si="4"/>
        <v>-3000000</v>
      </c>
    </row>
    <row r="267" spans="1:13" x14ac:dyDescent="0.25">
      <c r="A267" t="s">
        <v>194</v>
      </c>
      <c r="B267" s="4">
        <v>3000000</v>
      </c>
      <c r="C267" t="s">
        <v>325</v>
      </c>
      <c r="D267" s="3">
        <v>45757</v>
      </c>
      <c r="E267" s="3">
        <v>45808</v>
      </c>
      <c r="F267" t="s">
        <v>640</v>
      </c>
      <c r="G267" t="s">
        <v>330</v>
      </c>
      <c r="H267">
        <v>27436186</v>
      </c>
      <c r="I267" t="s">
        <v>709</v>
      </c>
      <c r="J267">
        <v>98333941</v>
      </c>
      <c r="K267" t="s">
        <v>334</v>
      </c>
      <c r="L267" s="4">
        <v>6000000</v>
      </c>
      <c r="M267" s="4">
        <f t="shared" si="4"/>
        <v>-3000000</v>
      </c>
    </row>
    <row r="268" spans="1:13" x14ac:dyDescent="0.25">
      <c r="A268" t="s">
        <v>196</v>
      </c>
      <c r="B268" s="4">
        <v>3000000</v>
      </c>
      <c r="C268" t="s">
        <v>325</v>
      </c>
      <c r="D268" s="3">
        <v>45757</v>
      </c>
      <c r="E268" s="3">
        <v>45808</v>
      </c>
      <c r="F268" t="s">
        <v>710</v>
      </c>
      <c r="G268" t="s">
        <v>330</v>
      </c>
      <c r="H268">
        <v>37083324</v>
      </c>
      <c r="I268" t="s">
        <v>711</v>
      </c>
      <c r="J268">
        <v>98333941</v>
      </c>
      <c r="K268" t="s">
        <v>334</v>
      </c>
      <c r="L268" s="4">
        <v>6000000</v>
      </c>
      <c r="M268" s="4">
        <f t="shared" si="4"/>
        <v>-3000000</v>
      </c>
    </row>
    <row r="269" spans="1:13" x14ac:dyDescent="0.25">
      <c r="A269" t="s">
        <v>215</v>
      </c>
      <c r="B269" s="4">
        <v>700000</v>
      </c>
      <c r="C269" t="s">
        <v>325</v>
      </c>
      <c r="D269" s="3">
        <v>45775</v>
      </c>
      <c r="E269" s="3">
        <v>45808</v>
      </c>
      <c r="F269" t="s">
        <v>629</v>
      </c>
      <c r="G269" t="s">
        <v>330</v>
      </c>
      <c r="H269">
        <v>69028150</v>
      </c>
      <c r="I269" t="s">
        <v>451</v>
      </c>
      <c r="J269">
        <v>43624414</v>
      </c>
      <c r="K269" t="s">
        <v>625</v>
      </c>
      <c r="L269" s="4">
        <v>3700000</v>
      </c>
      <c r="M269" s="4">
        <f t="shared" si="4"/>
        <v>-3000000</v>
      </c>
    </row>
    <row r="270" spans="1:13" x14ac:dyDescent="0.25">
      <c r="A270" t="s">
        <v>216</v>
      </c>
      <c r="B270" s="4">
        <v>600000</v>
      </c>
      <c r="C270" t="s">
        <v>325</v>
      </c>
      <c r="D270" s="3">
        <v>45775</v>
      </c>
      <c r="E270" s="3">
        <v>45808</v>
      </c>
      <c r="F270" t="s">
        <v>640</v>
      </c>
      <c r="G270" t="s">
        <v>330</v>
      </c>
      <c r="H270">
        <v>59813323</v>
      </c>
      <c r="I270" t="s">
        <v>478</v>
      </c>
      <c r="J270">
        <v>43624414</v>
      </c>
      <c r="K270" t="s">
        <v>625</v>
      </c>
      <c r="L270" s="4">
        <v>3600000</v>
      </c>
      <c r="M270" s="4">
        <f t="shared" si="4"/>
        <v>-3000000</v>
      </c>
    </row>
    <row r="271" spans="1:13" x14ac:dyDescent="0.25">
      <c r="A271" t="s">
        <v>1</v>
      </c>
      <c r="B271" s="4">
        <v>125428367</v>
      </c>
      <c r="C271" t="s">
        <v>325</v>
      </c>
      <c r="D271" s="3">
        <v>45387</v>
      </c>
      <c r="E271" s="3">
        <v>45400</v>
      </c>
      <c r="F271" t="s">
        <v>326</v>
      </c>
      <c r="G271" t="s">
        <v>622</v>
      </c>
      <c r="H271">
        <v>901374717</v>
      </c>
      <c r="I271" t="s">
        <v>327</v>
      </c>
      <c r="J271">
        <v>1004189613</v>
      </c>
      <c r="K271" t="s">
        <v>328</v>
      </c>
      <c r="L271" s="4">
        <v>128681402</v>
      </c>
      <c r="M271" s="4">
        <f t="shared" si="4"/>
        <v>-3253035</v>
      </c>
    </row>
    <row r="272" spans="1:13" x14ac:dyDescent="0.25">
      <c r="A272" t="s">
        <v>68</v>
      </c>
      <c r="B272" s="4">
        <v>460000</v>
      </c>
      <c r="C272" t="s">
        <v>325</v>
      </c>
      <c r="D272" s="3">
        <v>45748</v>
      </c>
      <c r="E272" s="3">
        <v>45787</v>
      </c>
      <c r="F272" t="s">
        <v>636</v>
      </c>
      <c r="G272" t="s">
        <v>330</v>
      </c>
      <c r="H272">
        <v>1085324685</v>
      </c>
      <c r="I272" t="s">
        <v>637</v>
      </c>
      <c r="J272">
        <v>59836926</v>
      </c>
      <c r="K272" t="s">
        <v>527</v>
      </c>
      <c r="L272" s="4">
        <v>4000000</v>
      </c>
      <c r="M272" s="4">
        <f t="shared" si="4"/>
        <v>-3540000</v>
      </c>
    </row>
    <row r="273" spans="1:13" x14ac:dyDescent="0.25">
      <c r="A273" t="s">
        <v>313</v>
      </c>
      <c r="B273" s="4">
        <v>3000000</v>
      </c>
      <c r="C273" t="s">
        <v>325</v>
      </c>
      <c r="D273" s="3">
        <v>45593</v>
      </c>
      <c r="E273" s="3">
        <v>45657</v>
      </c>
      <c r="F273" t="s">
        <v>619</v>
      </c>
      <c r="G273" t="s">
        <v>330</v>
      </c>
      <c r="H273">
        <v>1193035720</v>
      </c>
      <c r="I273" t="s">
        <v>620</v>
      </c>
      <c r="J273">
        <v>59822566</v>
      </c>
      <c r="K273" t="s">
        <v>332</v>
      </c>
      <c r="L273" s="4">
        <v>7100000</v>
      </c>
      <c r="M273" s="4">
        <f t="shared" si="4"/>
        <v>-4100000</v>
      </c>
    </row>
    <row r="274" spans="1:13" x14ac:dyDescent="0.25">
      <c r="A274" t="s">
        <v>36</v>
      </c>
      <c r="B274" s="4">
        <v>4750000</v>
      </c>
      <c r="C274" t="s">
        <v>325</v>
      </c>
      <c r="D274" s="3">
        <v>45748</v>
      </c>
      <c r="E274" s="3">
        <v>45808</v>
      </c>
      <c r="F274" t="s">
        <v>624</v>
      </c>
      <c r="G274" t="s">
        <v>330</v>
      </c>
      <c r="H274">
        <v>1085303067</v>
      </c>
      <c r="I274" t="s">
        <v>420</v>
      </c>
      <c r="J274">
        <v>98333941</v>
      </c>
      <c r="K274" t="s">
        <v>334</v>
      </c>
      <c r="L274" s="4">
        <v>9500000</v>
      </c>
      <c r="M274" s="4">
        <f t="shared" si="4"/>
        <v>-4750000</v>
      </c>
    </row>
    <row r="275" spans="1:13" x14ac:dyDescent="0.25">
      <c r="A275" t="s">
        <v>50</v>
      </c>
      <c r="B275" s="4">
        <v>4750000</v>
      </c>
      <c r="C275" t="s">
        <v>325</v>
      </c>
      <c r="D275" s="3">
        <v>45748</v>
      </c>
      <c r="E275" s="3">
        <v>45808</v>
      </c>
      <c r="F275" t="s">
        <v>631</v>
      </c>
      <c r="G275" t="s">
        <v>330</v>
      </c>
      <c r="H275">
        <v>59816986</v>
      </c>
      <c r="I275" t="s">
        <v>374</v>
      </c>
      <c r="J275">
        <v>98390119</v>
      </c>
      <c r="K275" t="s">
        <v>339</v>
      </c>
      <c r="L275" s="4">
        <v>9500000</v>
      </c>
      <c r="M275" s="4">
        <f t="shared" si="4"/>
        <v>-4750000</v>
      </c>
    </row>
    <row r="276" spans="1:13" x14ac:dyDescent="0.25">
      <c r="A276" t="s">
        <v>52</v>
      </c>
      <c r="B276" s="4">
        <v>4750000</v>
      </c>
      <c r="C276" t="s">
        <v>325</v>
      </c>
      <c r="D276" s="3">
        <v>45748</v>
      </c>
      <c r="E276" s="3">
        <v>45808</v>
      </c>
      <c r="F276" t="s">
        <v>632</v>
      </c>
      <c r="G276" t="s">
        <v>330</v>
      </c>
      <c r="H276">
        <v>1193383306</v>
      </c>
      <c r="I276" t="s">
        <v>491</v>
      </c>
      <c r="J276">
        <v>59836926</v>
      </c>
      <c r="K276" t="s">
        <v>527</v>
      </c>
      <c r="L276" s="4">
        <v>9500000</v>
      </c>
      <c r="M276" s="4">
        <f t="shared" si="4"/>
        <v>-4750000</v>
      </c>
    </row>
    <row r="277" spans="1:13" x14ac:dyDescent="0.25">
      <c r="A277" t="s">
        <v>54</v>
      </c>
      <c r="B277" s="4">
        <v>4750000</v>
      </c>
      <c r="C277" t="s">
        <v>325</v>
      </c>
      <c r="D277" s="3">
        <v>45748</v>
      </c>
      <c r="E277" s="3">
        <v>45808</v>
      </c>
      <c r="F277" t="s">
        <v>631</v>
      </c>
      <c r="G277" t="s">
        <v>330</v>
      </c>
      <c r="H277">
        <v>59551018</v>
      </c>
      <c r="I277" t="s">
        <v>633</v>
      </c>
      <c r="J277">
        <v>98333941</v>
      </c>
      <c r="K277" t="s">
        <v>334</v>
      </c>
      <c r="L277" s="4">
        <v>9500000</v>
      </c>
      <c r="M277" s="4">
        <f t="shared" si="4"/>
        <v>-4750000</v>
      </c>
    </row>
    <row r="278" spans="1:13" x14ac:dyDescent="0.25">
      <c r="A278" t="s">
        <v>63</v>
      </c>
      <c r="B278" s="4">
        <v>4750000</v>
      </c>
      <c r="C278" t="s">
        <v>325</v>
      </c>
      <c r="D278" s="3">
        <v>45748</v>
      </c>
      <c r="E278" s="3">
        <v>45808</v>
      </c>
      <c r="F278" t="s">
        <v>631</v>
      </c>
      <c r="G278" t="s">
        <v>330</v>
      </c>
      <c r="H278">
        <v>1085313870</v>
      </c>
      <c r="I278" t="s">
        <v>635</v>
      </c>
      <c r="J278">
        <v>43624414</v>
      </c>
      <c r="K278" t="s">
        <v>625</v>
      </c>
      <c r="L278" s="4">
        <v>9500000</v>
      </c>
      <c r="M278" s="4">
        <f t="shared" si="4"/>
        <v>-4750000</v>
      </c>
    </row>
    <row r="279" spans="1:13" x14ac:dyDescent="0.25">
      <c r="A279" t="s">
        <v>65</v>
      </c>
      <c r="B279" s="4">
        <v>4750000</v>
      </c>
      <c r="C279" t="s">
        <v>325</v>
      </c>
      <c r="D279" s="3">
        <v>45748</v>
      </c>
      <c r="E279" s="3">
        <v>45808</v>
      </c>
      <c r="F279" t="s">
        <v>631</v>
      </c>
      <c r="G279" t="s">
        <v>330</v>
      </c>
      <c r="H279">
        <v>59824313</v>
      </c>
      <c r="I279" t="s">
        <v>380</v>
      </c>
      <c r="J279">
        <v>98390119</v>
      </c>
      <c r="K279" t="s">
        <v>339</v>
      </c>
      <c r="L279" s="4">
        <v>9500000</v>
      </c>
      <c r="M279" s="4">
        <f t="shared" si="4"/>
        <v>-4750000</v>
      </c>
    </row>
    <row r="280" spans="1:13" x14ac:dyDescent="0.25">
      <c r="A280" t="s">
        <v>102</v>
      </c>
      <c r="B280" s="4">
        <v>4750000</v>
      </c>
      <c r="C280" t="s">
        <v>325</v>
      </c>
      <c r="D280" s="3">
        <v>45750</v>
      </c>
      <c r="E280" s="3">
        <v>45808</v>
      </c>
      <c r="F280" t="s">
        <v>632</v>
      </c>
      <c r="G280" t="s">
        <v>330</v>
      </c>
      <c r="H280">
        <v>1085264667</v>
      </c>
      <c r="I280" t="s">
        <v>652</v>
      </c>
      <c r="J280">
        <v>59836926</v>
      </c>
      <c r="K280" t="s">
        <v>527</v>
      </c>
      <c r="L280" s="4">
        <v>9500000</v>
      </c>
      <c r="M280" s="4">
        <f t="shared" si="4"/>
        <v>-4750000</v>
      </c>
    </row>
    <row r="281" spans="1:13" x14ac:dyDescent="0.25">
      <c r="A281" t="s">
        <v>104</v>
      </c>
      <c r="B281" s="4">
        <v>4750000</v>
      </c>
      <c r="C281" t="s">
        <v>325</v>
      </c>
      <c r="D281" s="3">
        <v>45750</v>
      </c>
      <c r="E281" s="3">
        <v>45808</v>
      </c>
      <c r="F281" t="s">
        <v>653</v>
      </c>
      <c r="G281" t="s">
        <v>330</v>
      </c>
      <c r="H281">
        <v>27190772</v>
      </c>
      <c r="I281" t="s">
        <v>654</v>
      </c>
      <c r="J281">
        <v>98333941</v>
      </c>
      <c r="K281" t="s">
        <v>334</v>
      </c>
      <c r="L281" s="4">
        <v>9500000</v>
      </c>
      <c r="M281" s="4">
        <f t="shared" si="4"/>
        <v>-4750000</v>
      </c>
    </row>
    <row r="282" spans="1:13" x14ac:dyDescent="0.25">
      <c r="A282" t="s">
        <v>114</v>
      </c>
      <c r="B282" s="4">
        <v>4750000</v>
      </c>
      <c r="C282" t="s">
        <v>325</v>
      </c>
      <c r="D282" s="3">
        <v>45750</v>
      </c>
      <c r="E282" s="3">
        <v>45808</v>
      </c>
      <c r="F282" t="s">
        <v>631</v>
      </c>
      <c r="G282" t="s">
        <v>330</v>
      </c>
      <c r="H282">
        <v>27087475</v>
      </c>
      <c r="I282" t="s">
        <v>662</v>
      </c>
      <c r="J282">
        <v>59836926</v>
      </c>
      <c r="K282" t="s">
        <v>527</v>
      </c>
      <c r="L282" s="4">
        <v>9500000</v>
      </c>
      <c r="M282" s="4">
        <f t="shared" si="4"/>
        <v>-4750000</v>
      </c>
    </row>
    <row r="283" spans="1:13" x14ac:dyDescent="0.25">
      <c r="A283" t="s">
        <v>118</v>
      </c>
      <c r="B283" s="4">
        <v>4750000</v>
      </c>
      <c r="C283" t="s">
        <v>325</v>
      </c>
      <c r="D283" s="3">
        <v>45750</v>
      </c>
      <c r="E283" s="3">
        <v>45808</v>
      </c>
      <c r="F283" t="s">
        <v>665</v>
      </c>
      <c r="G283" t="s">
        <v>330</v>
      </c>
      <c r="H283">
        <v>59312865</v>
      </c>
      <c r="I283" t="s">
        <v>375</v>
      </c>
      <c r="J283">
        <v>43624414</v>
      </c>
      <c r="K283" t="s">
        <v>625</v>
      </c>
      <c r="L283" s="4">
        <v>9500000</v>
      </c>
      <c r="M283" s="4">
        <f t="shared" si="4"/>
        <v>-4750000</v>
      </c>
    </row>
    <row r="284" spans="1:13" x14ac:dyDescent="0.25">
      <c r="A284" t="s">
        <v>153</v>
      </c>
      <c r="B284" s="4">
        <v>5000000</v>
      </c>
      <c r="C284" t="s">
        <v>325</v>
      </c>
      <c r="D284" s="3">
        <v>45751</v>
      </c>
      <c r="E284" s="3">
        <v>45808</v>
      </c>
      <c r="F284" t="s">
        <v>684</v>
      </c>
      <c r="G284" t="s">
        <v>330</v>
      </c>
      <c r="H284">
        <v>59310145</v>
      </c>
      <c r="I284" t="s">
        <v>685</v>
      </c>
      <c r="J284">
        <v>98333941</v>
      </c>
      <c r="K284" t="s">
        <v>334</v>
      </c>
      <c r="L284" s="4">
        <v>5000000</v>
      </c>
      <c r="M284" s="4">
        <f t="shared" si="4"/>
        <v>0</v>
      </c>
    </row>
    <row r="285" spans="1:13" x14ac:dyDescent="0.25">
      <c r="A285" t="s">
        <v>141</v>
      </c>
      <c r="B285" s="4">
        <v>4750000</v>
      </c>
      <c r="C285" t="s">
        <v>325</v>
      </c>
      <c r="D285" s="3">
        <v>45751</v>
      </c>
      <c r="E285" s="3">
        <v>45808</v>
      </c>
      <c r="F285" t="s">
        <v>631</v>
      </c>
      <c r="G285" t="s">
        <v>330</v>
      </c>
      <c r="H285">
        <v>1085260497</v>
      </c>
      <c r="I285" t="s">
        <v>344</v>
      </c>
      <c r="J285">
        <v>43624414</v>
      </c>
      <c r="K285" t="s">
        <v>625</v>
      </c>
      <c r="L285" s="4">
        <v>9500000</v>
      </c>
      <c r="M285" s="4">
        <f t="shared" si="4"/>
        <v>-4750000</v>
      </c>
    </row>
    <row r="286" spans="1:13" x14ac:dyDescent="0.25">
      <c r="A286" t="s">
        <v>161</v>
      </c>
      <c r="B286" s="4">
        <v>4750000</v>
      </c>
      <c r="C286" t="s">
        <v>325</v>
      </c>
      <c r="D286" s="3">
        <v>45754</v>
      </c>
      <c r="E286" s="3">
        <v>45808</v>
      </c>
      <c r="F286" t="s">
        <v>632</v>
      </c>
      <c r="G286" t="s">
        <v>330</v>
      </c>
      <c r="H286">
        <v>1085331141</v>
      </c>
      <c r="I286" t="s">
        <v>690</v>
      </c>
      <c r="J286">
        <v>98333941</v>
      </c>
      <c r="K286" t="s">
        <v>334</v>
      </c>
      <c r="L286" s="4">
        <v>9500000</v>
      </c>
      <c r="M286" s="4">
        <f t="shared" si="4"/>
        <v>-4750000</v>
      </c>
    </row>
    <row r="287" spans="1:13" x14ac:dyDescent="0.25">
      <c r="A287" t="s">
        <v>178</v>
      </c>
      <c r="B287" s="4">
        <v>4750000</v>
      </c>
      <c r="C287" t="s">
        <v>325</v>
      </c>
      <c r="D287" s="3">
        <v>45756</v>
      </c>
      <c r="E287" s="3">
        <v>45808</v>
      </c>
      <c r="F287" t="s">
        <v>632</v>
      </c>
      <c r="G287" t="s">
        <v>330</v>
      </c>
      <c r="H287">
        <v>13069636</v>
      </c>
      <c r="I287" t="s">
        <v>700</v>
      </c>
      <c r="J287">
        <v>43624414</v>
      </c>
      <c r="K287" t="s">
        <v>625</v>
      </c>
      <c r="L287" s="4">
        <v>9500000</v>
      </c>
      <c r="M287" s="4">
        <f t="shared" si="4"/>
        <v>-4750000</v>
      </c>
    </row>
    <row r="288" spans="1:13" x14ac:dyDescent="0.25">
      <c r="A288" t="s">
        <v>202</v>
      </c>
      <c r="B288" s="4">
        <v>4750000</v>
      </c>
      <c r="C288" t="s">
        <v>325</v>
      </c>
      <c r="D288" s="3">
        <v>45758</v>
      </c>
      <c r="E288" s="3">
        <v>45808</v>
      </c>
      <c r="F288" t="s">
        <v>632</v>
      </c>
      <c r="G288" t="s">
        <v>330</v>
      </c>
      <c r="H288">
        <v>1085345772</v>
      </c>
      <c r="I288" t="s">
        <v>715</v>
      </c>
      <c r="J288">
        <v>43624414</v>
      </c>
      <c r="K288" t="s">
        <v>625</v>
      </c>
      <c r="L288" s="4">
        <v>9500000</v>
      </c>
      <c r="M288" s="4">
        <f t="shared" si="4"/>
        <v>-4750000</v>
      </c>
    </row>
    <row r="289" spans="1:14" x14ac:dyDescent="0.25">
      <c r="A289" t="s">
        <v>38</v>
      </c>
      <c r="B289" s="4">
        <v>4825000</v>
      </c>
      <c r="C289" t="s">
        <v>325</v>
      </c>
      <c r="D289" s="3">
        <v>45748</v>
      </c>
      <c r="E289" s="3">
        <v>45808</v>
      </c>
      <c r="F289" t="s">
        <v>626</v>
      </c>
      <c r="G289" t="s">
        <v>330</v>
      </c>
      <c r="H289">
        <v>1085324891</v>
      </c>
      <c r="I289" t="s">
        <v>627</v>
      </c>
      <c r="J289">
        <v>43624414</v>
      </c>
      <c r="K289" t="s">
        <v>625</v>
      </c>
      <c r="L289" s="4">
        <v>9650000</v>
      </c>
      <c r="M289" s="4">
        <f t="shared" si="4"/>
        <v>-4825000</v>
      </c>
    </row>
    <row r="290" spans="1:14" s="7" customFormat="1" x14ac:dyDescent="0.25">
      <c r="A290" t="s">
        <v>40</v>
      </c>
      <c r="B290" s="4">
        <v>4825000</v>
      </c>
      <c r="C290" t="s">
        <v>325</v>
      </c>
      <c r="D290" s="3">
        <v>45748</v>
      </c>
      <c r="E290" s="3">
        <v>45808</v>
      </c>
      <c r="F290" t="s">
        <v>626</v>
      </c>
      <c r="G290" t="s">
        <v>330</v>
      </c>
      <c r="H290">
        <v>1085265622</v>
      </c>
      <c r="I290" t="s">
        <v>628</v>
      </c>
      <c r="J290">
        <v>59836926</v>
      </c>
      <c r="K290" t="s">
        <v>527</v>
      </c>
      <c r="L290" s="4">
        <v>9650000</v>
      </c>
      <c r="M290" s="4">
        <f t="shared" si="4"/>
        <v>-4825000</v>
      </c>
      <c r="N290" s="8"/>
    </row>
    <row r="291" spans="1:14" s="13" customFormat="1" x14ac:dyDescent="0.25">
      <c r="A291" t="s">
        <v>42</v>
      </c>
      <c r="B291" s="4">
        <v>4825000</v>
      </c>
      <c r="C291" t="s">
        <v>325</v>
      </c>
      <c r="D291" s="3">
        <v>45748</v>
      </c>
      <c r="E291" s="3">
        <v>45808</v>
      </c>
      <c r="F291" t="s">
        <v>626</v>
      </c>
      <c r="G291" t="s">
        <v>330</v>
      </c>
      <c r="H291">
        <v>27087851</v>
      </c>
      <c r="I291" t="s">
        <v>403</v>
      </c>
      <c r="J291">
        <v>98333941</v>
      </c>
      <c r="K291" t="s">
        <v>334</v>
      </c>
      <c r="L291" s="4">
        <v>9650000</v>
      </c>
      <c r="M291" s="4">
        <f t="shared" si="4"/>
        <v>-4825000</v>
      </c>
      <c r="N291" s="14" t="s">
        <v>725</v>
      </c>
    </row>
    <row r="292" spans="1:14" x14ac:dyDescent="0.25">
      <c r="A292" t="s">
        <v>172</v>
      </c>
      <c r="B292" s="4">
        <v>5000000</v>
      </c>
      <c r="C292" t="s">
        <v>325</v>
      </c>
      <c r="D292" s="3">
        <v>45756</v>
      </c>
      <c r="E292" s="3">
        <v>45808</v>
      </c>
      <c r="F292" t="s">
        <v>686</v>
      </c>
      <c r="G292" t="s">
        <v>330</v>
      </c>
      <c r="H292">
        <v>1085318898</v>
      </c>
      <c r="I292" t="s">
        <v>696</v>
      </c>
      <c r="J292">
        <v>59836926</v>
      </c>
      <c r="K292" t="s">
        <v>527</v>
      </c>
      <c r="L292" s="4">
        <v>5000000</v>
      </c>
      <c r="M292" s="4">
        <f t="shared" si="4"/>
        <v>0</v>
      </c>
    </row>
    <row r="293" spans="1:14" x14ac:dyDescent="0.25">
      <c r="A293" t="s">
        <v>84</v>
      </c>
      <c r="B293" s="4">
        <v>4825000</v>
      </c>
      <c r="C293" t="s">
        <v>325</v>
      </c>
      <c r="D293" s="3">
        <v>45749</v>
      </c>
      <c r="E293" s="3">
        <v>45808</v>
      </c>
      <c r="F293" t="s">
        <v>646</v>
      </c>
      <c r="G293" t="s">
        <v>330</v>
      </c>
      <c r="H293">
        <v>1085267184</v>
      </c>
      <c r="I293" t="s">
        <v>647</v>
      </c>
      <c r="J293">
        <v>98333941</v>
      </c>
      <c r="K293" t="s">
        <v>334</v>
      </c>
      <c r="L293" s="4">
        <v>9650000</v>
      </c>
      <c r="M293" s="4">
        <f t="shared" si="4"/>
        <v>-4825000</v>
      </c>
    </row>
    <row r="294" spans="1:14" x14ac:dyDescent="0.25">
      <c r="A294" t="s">
        <v>151</v>
      </c>
      <c r="B294" s="4">
        <v>4825000</v>
      </c>
      <c r="C294" t="s">
        <v>325</v>
      </c>
      <c r="D294" s="3">
        <v>45751</v>
      </c>
      <c r="E294" s="3">
        <v>45808</v>
      </c>
      <c r="F294" t="s">
        <v>682</v>
      </c>
      <c r="G294" t="s">
        <v>330</v>
      </c>
      <c r="H294">
        <v>12748383</v>
      </c>
      <c r="I294" t="s">
        <v>683</v>
      </c>
      <c r="J294">
        <v>59836926</v>
      </c>
      <c r="K294" t="s">
        <v>527</v>
      </c>
      <c r="L294" s="4">
        <v>9650000</v>
      </c>
      <c r="M294" s="4">
        <f t="shared" si="4"/>
        <v>-4825000</v>
      </c>
    </row>
    <row r="295" spans="1:14" x14ac:dyDescent="0.25">
      <c r="A295" t="s">
        <v>189</v>
      </c>
      <c r="B295" s="4">
        <v>4825000</v>
      </c>
      <c r="C295" t="s">
        <v>325</v>
      </c>
      <c r="D295" s="3">
        <v>45756</v>
      </c>
      <c r="E295" s="3">
        <v>45808</v>
      </c>
      <c r="F295" t="s">
        <v>646</v>
      </c>
      <c r="G295" t="s">
        <v>330</v>
      </c>
      <c r="H295">
        <v>27088141</v>
      </c>
      <c r="I295" t="s">
        <v>706</v>
      </c>
      <c r="J295">
        <v>43624414</v>
      </c>
      <c r="K295" t="s">
        <v>625</v>
      </c>
      <c r="L295" s="4">
        <v>9650000</v>
      </c>
      <c r="M295" s="4">
        <f t="shared" si="4"/>
        <v>-4825000</v>
      </c>
    </row>
    <row r="296" spans="1:14" x14ac:dyDescent="0.25">
      <c r="A296" t="s">
        <v>75</v>
      </c>
      <c r="B296" s="4">
        <v>2500000</v>
      </c>
      <c r="C296" t="s">
        <v>325</v>
      </c>
      <c r="D296" s="3">
        <v>45748</v>
      </c>
      <c r="E296" s="3">
        <v>45838</v>
      </c>
      <c r="F296" t="s">
        <v>641</v>
      </c>
      <c r="G296" t="s">
        <v>330</v>
      </c>
      <c r="H296">
        <v>1085320930</v>
      </c>
      <c r="I296" t="s">
        <v>587</v>
      </c>
      <c r="J296">
        <v>43624414</v>
      </c>
      <c r="K296" t="s">
        <v>625</v>
      </c>
      <c r="L296" s="4">
        <v>7500000</v>
      </c>
      <c r="M296" s="4">
        <f t="shared" si="4"/>
        <v>-5000000</v>
      </c>
    </row>
    <row r="297" spans="1:14" x14ac:dyDescent="0.25">
      <c r="A297" t="s">
        <v>61</v>
      </c>
      <c r="B297" s="4">
        <v>6000000</v>
      </c>
      <c r="C297" t="s">
        <v>325</v>
      </c>
      <c r="D297" s="3">
        <v>45748</v>
      </c>
      <c r="E297" s="3">
        <v>45808</v>
      </c>
      <c r="F297" t="s">
        <v>634</v>
      </c>
      <c r="G297" t="s">
        <v>330</v>
      </c>
      <c r="H297">
        <v>59837608</v>
      </c>
      <c r="I297" t="s">
        <v>417</v>
      </c>
      <c r="J297">
        <v>98333941</v>
      </c>
      <c r="K297" t="s">
        <v>334</v>
      </c>
      <c r="L297" s="4">
        <v>12000000</v>
      </c>
      <c r="M297" s="4">
        <f t="shared" si="4"/>
        <v>-6000000</v>
      </c>
    </row>
    <row r="298" spans="1:14" x14ac:dyDescent="0.25">
      <c r="A298" t="s">
        <v>79</v>
      </c>
      <c r="B298" s="4">
        <v>6000000</v>
      </c>
      <c r="C298" t="s">
        <v>325</v>
      </c>
      <c r="D298" s="3">
        <v>45749</v>
      </c>
      <c r="E298" s="3">
        <v>45808</v>
      </c>
      <c r="F298" t="s">
        <v>643</v>
      </c>
      <c r="G298" t="s">
        <v>330</v>
      </c>
      <c r="H298">
        <v>97470681</v>
      </c>
      <c r="I298" t="s">
        <v>644</v>
      </c>
      <c r="J298">
        <v>98333941</v>
      </c>
      <c r="K298" t="s">
        <v>334</v>
      </c>
      <c r="L298" s="4">
        <v>12000000</v>
      </c>
      <c r="M298" s="4">
        <f t="shared" si="4"/>
        <v>-6000000</v>
      </c>
    </row>
    <row r="299" spans="1:14" x14ac:dyDescent="0.25">
      <c r="A299" t="s">
        <v>128</v>
      </c>
      <c r="B299" s="4">
        <v>6000000</v>
      </c>
      <c r="C299" t="s">
        <v>325</v>
      </c>
      <c r="D299" s="3">
        <v>45750</v>
      </c>
      <c r="E299" s="3">
        <v>45808</v>
      </c>
      <c r="F299" t="s">
        <v>669</v>
      </c>
      <c r="G299" t="s">
        <v>330</v>
      </c>
      <c r="H299">
        <v>1085248939</v>
      </c>
      <c r="I299" t="s">
        <v>528</v>
      </c>
      <c r="J299">
        <v>43624414</v>
      </c>
      <c r="K299" t="s">
        <v>625</v>
      </c>
      <c r="L299" s="4">
        <v>12000000</v>
      </c>
      <c r="M299" s="4">
        <f t="shared" si="4"/>
        <v>-6000000</v>
      </c>
    </row>
    <row r="300" spans="1:14" x14ac:dyDescent="0.25">
      <c r="A300" t="s">
        <v>131</v>
      </c>
      <c r="B300" s="4">
        <v>6000000</v>
      </c>
      <c r="C300" t="s">
        <v>325</v>
      </c>
      <c r="D300" s="3">
        <v>45750</v>
      </c>
      <c r="E300" s="3">
        <v>45808</v>
      </c>
      <c r="F300" t="s">
        <v>671</v>
      </c>
      <c r="G300" t="s">
        <v>330</v>
      </c>
      <c r="H300">
        <v>59820414</v>
      </c>
      <c r="I300" t="s">
        <v>400</v>
      </c>
      <c r="J300">
        <v>59836926</v>
      </c>
      <c r="K300" t="s">
        <v>527</v>
      </c>
      <c r="L300" s="4">
        <v>12000000</v>
      </c>
      <c r="M300" s="4">
        <f t="shared" si="4"/>
        <v>-6000000</v>
      </c>
    </row>
    <row r="301" spans="1:14" x14ac:dyDescent="0.25">
      <c r="A301" t="s">
        <v>143</v>
      </c>
      <c r="B301" s="4">
        <v>6000000</v>
      </c>
      <c r="C301" t="s">
        <v>325</v>
      </c>
      <c r="D301" s="3">
        <v>45751</v>
      </c>
      <c r="E301" s="3">
        <v>45808</v>
      </c>
      <c r="F301" t="s">
        <v>677</v>
      </c>
      <c r="G301" t="s">
        <v>330</v>
      </c>
      <c r="H301">
        <v>1082748420</v>
      </c>
      <c r="I301" t="s">
        <v>678</v>
      </c>
      <c r="J301">
        <v>98390119</v>
      </c>
      <c r="K301" t="s">
        <v>339</v>
      </c>
      <c r="L301" s="4">
        <v>12000000</v>
      </c>
      <c r="M301" s="4">
        <f t="shared" si="4"/>
        <v>-6000000</v>
      </c>
    </row>
    <row r="302" spans="1:14" x14ac:dyDescent="0.25">
      <c r="A302" t="s">
        <v>185</v>
      </c>
      <c r="B302" s="4">
        <v>6000000</v>
      </c>
      <c r="C302" t="s">
        <v>325</v>
      </c>
      <c r="D302" s="3">
        <v>45756</v>
      </c>
      <c r="E302" s="3">
        <v>45808</v>
      </c>
      <c r="F302" t="s">
        <v>704</v>
      </c>
      <c r="G302" t="s">
        <v>330</v>
      </c>
      <c r="H302">
        <v>36757221</v>
      </c>
      <c r="I302" t="s">
        <v>617</v>
      </c>
      <c r="J302">
        <v>59836926</v>
      </c>
      <c r="K302" t="s">
        <v>527</v>
      </c>
      <c r="L302" s="4">
        <v>12000000</v>
      </c>
      <c r="M302" s="4">
        <f t="shared" si="4"/>
        <v>-6000000</v>
      </c>
    </row>
    <row r="303" spans="1:14" x14ac:dyDescent="0.25">
      <c r="A303" t="s">
        <v>197</v>
      </c>
      <c r="B303" s="4">
        <v>6000000</v>
      </c>
      <c r="C303" t="s">
        <v>325</v>
      </c>
      <c r="D303" s="3">
        <v>45757</v>
      </c>
      <c r="E303" s="3">
        <v>45808</v>
      </c>
      <c r="F303" t="s">
        <v>712</v>
      </c>
      <c r="G303" t="s">
        <v>330</v>
      </c>
      <c r="H303">
        <v>1085275879</v>
      </c>
      <c r="I303" t="s">
        <v>434</v>
      </c>
      <c r="J303">
        <v>43624414</v>
      </c>
      <c r="K303" t="s">
        <v>625</v>
      </c>
      <c r="L303" s="4">
        <v>12000000</v>
      </c>
      <c r="M303" s="4">
        <f t="shared" si="4"/>
        <v>-6000000</v>
      </c>
    </row>
    <row r="304" spans="1:14" x14ac:dyDescent="0.25">
      <c r="A304" t="s">
        <v>308</v>
      </c>
      <c r="B304" s="4">
        <v>2000000</v>
      </c>
      <c r="C304" t="s">
        <v>325</v>
      </c>
      <c r="D304" s="3">
        <v>45567</v>
      </c>
      <c r="E304" s="3">
        <v>45657</v>
      </c>
      <c r="F304" t="s">
        <v>613</v>
      </c>
      <c r="G304" t="s">
        <v>330</v>
      </c>
      <c r="H304">
        <v>1085324107</v>
      </c>
      <c r="I304" t="s">
        <v>456</v>
      </c>
      <c r="J304">
        <v>98390119</v>
      </c>
      <c r="K304" t="s">
        <v>339</v>
      </c>
      <c r="L304" s="4">
        <v>9000000</v>
      </c>
      <c r="M304" s="4">
        <f t="shared" si="4"/>
        <v>-7000000</v>
      </c>
    </row>
    <row r="305" spans="1:13" x14ac:dyDescent="0.25">
      <c r="A305" t="s">
        <v>121</v>
      </c>
      <c r="B305" s="4">
        <v>7500000</v>
      </c>
      <c r="C305" t="s">
        <v>325</v>
      </c>
      <c r="D305" s="3">
        <v>45750</v>
      </c>
      <c r="E305" s="3">
        <v>45808</v>
      </c>
      <c r="F305" t="s">
        <v>667</v>
      </c>
      <c r="G305" t="s">
        <v>330</v>
      </c>
      <c r="H305">
        <v>87067123</v>
      </c>
      <c r="I305" t="s">
        <v>668</v>
      </c>
      <c r="J305">
        <v>59836926</v>
      </c>
      <c r="K305" t="s">
        <v>527</v>
      </c>
      <c r="L305" s="4">
        <v>15000000</v>
      </c>
      <c r="M305" s="4">
        <f t="shared" si="4"/>
        <v>-7500000</v>
      </c>
    </row>
    <row r="306" spans="1:13" x14ac:dyDescent="0.25">
      <c r="A306" t="s">
        <v>139</v>
      </c>
      <c r="B306" s="4">
        <v>7500000</v>
      </c>
      <c r="C306" t="s">
        <v>325</v>
      </c>
      <c r="D306" s="3">
        <v>45751</v>
      </c>
      <c r="E306" s="3">
        <v>45808</v>
      </c>
      <c r="F306" t="s">
        <v>676</v>
      </c>
      <c r="G306" t="s">
        <v>330</v>
      </c>
      <c r="H306">
        <v>1006946167</v>
      </c>
      <c r="I306" t="s">
        <v>496</v>
      </c>
      <c r="J306">
        <v>98333941</v>
      </c>
      <c r="K306" t="s">
        <v>334</v>
      </c>
      <c r="L306" s="4">
        <v>15000000</v>
      </c>
      <c r="M306" s="4">
        <f t="shared" si="4"/>
        <v>-7500000</v>
      </c>
    </row>
    <row r="307" spans="1:13" x14ac:dyDescent="0.25">
      <c r="A307" t="s">
        <v>312</v>
      </c>
      <c r="B307" s="4">
        <v>129000</v>
      </c>
      <c r="C307" t="s">
        <v>325</v>
      </c>
      <c r="D307" s="3">
        <v>45576</v>
      </c>
      <c r="E307" s="3">
        <v>45657</v>
      </c>
      <c r="F307" t="s">
        <v>613</v>
      </c>
      <c r="G307" t="s">
        <v>330</v>
      </c>
      <c r="H307">
        <v>37083086</v>
      </c>
      <c r="I307" t="s">
        <v>618</v>
      </c>
      <c r="J307">
        <v>59822566</v>
      </c>
      <c r="K307" t="s">
        <v>332</v>
      </c>
      <c r="L307" s="4">
        <v>9000000</v>
      </c>
      <c r="M307" s="4">
        <f t="shared" si="4"/>
        <v>-8871000</v>
      </c>
    </row>
    <row r="308" spans="1:13" x14ac:dyDescent="0.25">
      <c r="A308" t="s">
        <v>86</v>
      </c>
      <c r="B308" s="4">
        <v>2600000</v>
      </c>
      <c r="C308" t="s">
        <v>325</v>
      </c>
      <c r="D308" s="3">
        <v>45407</v>
      </c>
      <c r="E308" s="3">
        <v>45498</v>
      </c>
      <c r="F308" t="s">
        <v>405</v>
      </c>
      <c r="G308" t="s">
        <v>330</v>
      </c>
      <c r="H308">
        <v>1004233343</v>
      </c>
      <c r="I308" t="s">
        <v>406</v>
      </c>
      <c r="J308">
        <v>1004233343</v>
      </c>
      <c r="K308" t="s">
        <v>406</v>
      </c>
      <c r="L308" s="4">
        <v>18000000</v>
      </c>
      <c r="M308" s="4">
        <f t="shared" si="4"/>
        <v>-15400000</v>
      </c>
    </row>
    <row r="309" spans="1:13" x14ac:dyDescent="0.25">
      <c r="A309" t="s">
        <v>307</v>
      </c>
      <c r="B309" s="4">
        <v>252000</v>
      </c>
      <c r="C309" t="s">
        <v>325</v>
      </c>
      <c r="D309" s="3">
        <v>45565</v>
      </c>
      <c r="E309" s="3">
        <v>45657</v>
      </c>
      <c r="F309" t="s">
        <v>612</v>
      </c>
      <c r="G309" t="s">
        <v>330</v>
      </c>
      <c r="H309">
        <v>1010010954</v>
      </c>
      <c r="I309" t="s">
        <v>525</v>
      </c>
      <c r="J309">
        <v>59822566</v>
      </c>
      <c r="K309" t="s">
        <v>599</v>
      </c>
      <c r="L309" s="4">
        <v>18000000</v>
      </c>
      <c r="M309" s="4">
        <f t="shared" si="4"/>
        <v>-17748000</v>
      </c>
    </row>
    <row r="310" spans="1:13" x14ac:dyDescent="0.25">
      <c r="A310" t="s">
        <v>211</v>
      </c>
      <c r="B310" s="4">
        <v>9000000</v>
      </c>
      <c r="C310" t="s">
        <v>325</v>
      </c>
      <c r="D310" s="3">
        <v>45768</v>
      </c>
      <c r="E310" s="3">
        <v>45808</v>
      </c>
      <c r="F310" t="s">
        <v>720</v>
      </c>
      <c r="G310" t="s">
        <v>330</v>
      </c>
      <c r="H310">
        <v>27097289</v>
      </c>
      <c r="I310" t="s">
        <v>482</v>
      </c>
      <c r="J310">
        <v>59836926</v>
      </c>
      <c r="K310" t="s">
        <v>527</v>
      </c>
      <c r="L310" s="4">
        <v>9000000</v>
      </c>
      <c r="M310" s="4">
        <f t="shared" si="4"/>
        <v>0</v>
      </c>
    </row>
    <row r="311" spans="1:13" x14ac:dyDescent="0.25">
      <c r="A311" t="s">
        <v>311</v>
      </c>
      <c r="B311" s="4">
        <v>252000</v>
      </c>
      <c r="C311" t="s">
        <v>325</v>
      </c>
      <c r="D311" s="3">
        <v>45575</v>
      </c>
      <c r="E311" s="3">
        <v>45657</v>
      </c>
      <c r="F311" t="s">
        <v>616</v>
      </c>
      <c r="G311" t="s">
        <v>330</v>
      </c>
      <c r="H311">
        <v>36757221</v>
      </c>
      <c r="I311" t="s">
        <v>617</v>
      </c>
      <c r="J311">
        <v>59822566</v>
      </c>
      <c r="K311" t="s">
        <v>599</v>
      </c>
      <c r="L311" s="4">
        <v>18000000</v>
      </c>
      <c r="M311" s="4">
        <f t="shared" si="4"/>
        <v>-17748000</v>
      </c>
    </row>
    <row r="312" spans="1:13" x14ac:dyDescent="0.25">
      <c r="A312" s="7" t="s">
        <v>168</v>
      </c>
      <c r="B312" s="8">
        <v>73000000</v>
      </c>
      <c r="C312" s="7" t="s">
        <v>325</v>
      </c>
      <c r="D312" s="9">
        <v>45756</v>
      </c>
      <c r="E312" s="9">
        <v>45808</v>
      </c>
      <c r="F312" s="7" t="s">
        <v>692</v>
      </c>
      <c r="G312" s="7" t="s">
        <v>622</v>
      </c>
      <c r="H312" s="7">
        <v>900994364</v>
      </c>
      <c r="I312" s="7" t="s">
        <v>693</v>
      </c>
      <c r="J312" s="7">
        <v>13016581</v>
      </c>
      <c r="K312" s="7" t="s">
        <v>639</v>
      </c>
      <c r="L312" s="8">
        <v>146000000</v>
      </c>
      <c r="M312" s="4">
        <f t="shared" si="4"/>
        <v>-73000000</v>
      </c>
    </row>
    <row r="313" spans="1:13" x14ac:dyDescent="0.25">
      <c r="A313" t="s">
        <v>210</v>
      </c>
      <c r="B313" s="4">
        <v>80825000</v>
      </c>
      <c r="C313" t="s">
        <v>325</v>
      </c>
      <c r="D313" s="3">
        <v>45763</v>
      </c>
      <c r="E313" s="3">
        <v>45808</v>
      </c>
      <c r="F313" t="s">
        <v>717</v>
      </c>
      <c r="G313" t="s">
        <v>622</v>
      </c>
      <c r="H313">
        <v>900633448</v>
      </c>
      <c r="I313" t="s">
        <v>718</v>
      </c>
      <c r="J313">
        <v>17658216</v>
      </c>
      <c r="K313" t="s">
        <v>719</v>
      </c>
      <c r="L313" s="4">
        <v>163200000</v>
      </c>
      <c r="M313" s="4">
        <f t="shared" si="4"/>
        <v>-82375000</v>
      </c>
    </row>
    <row r="314" spans="1:13" x14ac:dyDescent="0.25">
      <c r="A314" s="13" t="s">
        <v>309</v>
      </c>
      <c r="B314" s="14">
        <v>106805500</v>
      </c>
      <c r="C314" s="13" t="s">
        <v>325</v>
      </c>
      <c r="D314" s="15">
        <v>45567</v>
      </c>
      <c r="E314" s="15">
        <v>45657</v>
      </c>
      <c r="F314" s="13" t="s">
        <v>614</v>
      </c>
      <c r="G314" s="13" t="s">
        <v>622</v>
      </c>
      <c r="H314" s="13">
        <v>900994364</v>
      </c>
      <c r="I314" s="13" t="s">
        <v>414</v>
      </c>
      <c r="J314" s="13">
        <v>76316961</v>
      </c>
      <c r="K314" s="13" t="s">
        <v>415</v>
      </c>
      <c r="L314" s="14">
        <v>213611000</v>
      </c>
      <c r="M314" s="4">
        <f t="shared" si="4"/>
        <v>-106805500</v>
      </c>
    </row>
  </sheetData>
  <autoFilter ref="A1:M314" xr:uid="{00000000-0001-0000-0000-000000000000}">
    <sortState xmlns:xlrd2="http://schemas.microsoft.com/office/spreadsheetml/2017/richdata2" ref="A2:M314">
      <sortCondition descending="1" ref="M1:M314"/>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11B7-FE50-4F4F-9E43-5DE558D27B3D}">
  <dimension ref="A1:M90"/>
  <sheetViews>
    <sheetView workbookViewId="0">
      <selection activeCell="A2" sqref="A2:L90"/>
    </sheetView>
  </sheetViews>
  <sheetFormatPr baseColWidth="10" defaultRowHeight="15" x14ac:dyDescent="0.25"/>
  <cols>
    <col min="2" max="2" width="14.7109375" style="4" bestFit="1" customWidth="1"/>
    <col min="4" max="4" width="20.28515625" style="3" bestFit="1" customWidth="1"/>
    <col min="5" max="5" width="11.42578125" style="3"/>
    <col min="9" max="9" width="39.140625" customWidth="1"/>
    <col min="10" max="10" width="18.42578125" bestFit="1" customWidth="1"/>
    <col min="11" max="11" width="35.85546875" bestFit="1" customWidth="1"/>
    <col min="12" max="12" width="16.140625" bestFit="1" customWidth="1"/>
    <col min="13" max="13" width="79.7109375" bestFit="1" customWidth="1"/>
  </cols>
  <sheetData>
    <row r="1" spans="1:12" x14ac:dyDescent="0.25">
      <c r="A1" s="1" t="s">
        <v>0</v>
      </c>
      <c r="B1" s="6" t="s">
        <v>324</v>
      </c>
      <c r="C1" t="s">
        <v>314</v>
      </c>
      <c r="D1" s="3" t="s">
        <v>315</v>
      </c>
      <c r="E1" s="2" t="s">
        <v>316</v>
      </c>
      <c r="F1" t="s">
        <v>317</v>
      </c>
      <c r="G1" t="s">
        <v>318</v>
      </c>
      <c r="H1" t="s">
        <v>319</v>
      </c>
      <c r="I1" t="s">
        <v>320</v>
      </c>
      <c r="J1" t="s">
        <v>321</v>
      </c>
      <c r="K1" t="s">
        <v>322</v>
      </c>
      <c r="L1" s="5" t="s">
        <v>323</v>
      </c>
    </row>
    <row r="2" spans="1:12" x14ac:dyDescent="0.25">
      <c r="A2" t="s">
        <v>12</v>
      </c>
      <c r="B2" s="4">
        <v>2500000</v>
      </c>
      <c r="C2" t="s">
        <v>325</v>
      </c>
      <c r="D2" s="3" cm="1">
        <f t="array" ref="D2:D90">VLOOKUP(A2:A90,'[1]2025'!$1:$1048576,12,0)</f>
        <v>45719</v>
      </c>
      <c r="E2" s="3" cm="1">
        <f t="array" ref="E2:E90">VLOOKUP(A2:A90,'[1]2025'!$1:$1048576,13,0)</f>
        <v>45747</v>
      </c>
      <c r="F2" t="str" cm="1">
        <f t="array" ref="F2:F90">VLOOKUP(A2:A90,'[1]2025'!$1:$1048576,9,0)</f>
        <v>Prestación de servicios como gestor comunitario dirigidos al seguimiento de poblaciones especiales de riesgo según prioridades definidas por la redes operativas</v>
      </c>
      <c r="G2" t="str" cm="1">
        <f t="array" ref="G2:G90">VLOOKUP(A2:A90,'[1]2025'!$1:$1048576,4,0)</f>
        <v>CC</v>
      </c>
      <c r="H2" cm="1">
        <f t="array" ref="H2:H90">VLOOKUP(A2:A90,'[1]2025'!$1:$1048576,5,0)</f>
        <v>1085320930</v>
      </c>
      <c r="I2" t="str" cm="1">
        <f t="array" ref="I2:I90">VLOOKUP(A2:A90,'[1]2025'!$1:$1048576,3,0)</f>
        <v>LINA YEZMIN DE LA CRUZ CUSIS</v>
      </c>
      <c r="J2" cm="1">
        <f t="array" ref="J2:J90">VLOOKUP(A2:A90,'[1]2025'!$1:$1048576,15,0)</f>
        <v>59822566</v>
      </c>
      <c r="K2" t="str" cm="1">
        <f t="array" ref="K2:K90">VLOOKUP(A2:A90,'[1]2025'!$1:$1048576,14,0)</f>
        <v>ALBA LUCIA MORA BENAVIDES</v>
      </c>
      <c r="L2" s="4">
        <v>2500000</v>
      </c>
    </row>
    <row r="3" spans="1:12" x14ac:dyDescent="0.25">
      <c r="A3" t="s">
        <v>34</v>
      </c>
      <c r="B3" s="4">
        <v>4750000</v>
      </c>
      <c r="C3" t="s">
        <v>325</v>
      </c>
      <c r="D3" s="3">
        <v>45748</v>
      </c>
      <c r="E3" s="3">
        <v>45808</v>
      </c>
      <c r="F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
      <c r="G3" t="str">
        <v>CC</v>
      </c>
      <c r="H3">
        <v>1085318684</v>
      </c>
      <c r="I3" t="str">
        <v>JENIFER AREVALO CRIOLLO</v>
      </c>
      <c r="J3">
        <v>43624414</v>
      </c>
      <c r="K3" t="str">
        <v>MARY ALEXANDRA ROSERO BENAVIDES</v>
      </c>
      <c r="L3" s="4">
        <v>9500000</v>
      </c>
    </row>
    <row r="4" spans="1:12" x14ac:dyDescent="0.25">
      <c r="A4" t="s">
        <v>36</v>
      </c>
      <c r="B4" s="4">
        <v>4750000</v>
      </c>
      <c r="C4" t="s">
        <v>325</v>
      </c>
      <c r="D4" s="3">
        <v>45748</v>
      </c>
      <c r="E4" s="3">
        <v>45808</v>
      </c>
      <c r="F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v>
      </c>
      <c r="G4" t="str">
        <v>CC</v>
      </c>
      <c r="H4">
        <v>1085303067</v>
      </c>
      <c r="I4" t="str">
        <v>CINDY ESTEFANIE GONZALEZ DEL CASTILLO</v>
      </c>
      <c r="J4">
        <v>98333941</v>
      </c>
      <c r="K4" t="str">
        <v>RIGOBERTO MELO ZAMBRANO</v>
      </c>
      <c r="L4" s="4">
        <v>9500000</v>
      </c>
    </row>
    <row r="5" spans="1:12" x14ac:dyDescent="0.25">
      <c r="A5" t="s">
        <v>38</v>
      </c>
      <c r="B5" s="4">
        <v>4825000</v>
      </c>
      <c r="C5" t="s">
        <v>325</v>
      </c>
      <c r="D5" s="3">
        <v>45748</v>
      </c>
      <c r="E5" s="3">
        <v>45808</v>
      </c>
      <c r="F5"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5" t="str">
        <v>CC</v>
      </c>
      <c r="H5">
        <v>1085324891</v>
      </c>
      <c r="I5" t="str">
        <v>NICOLAS ALEJANDRO ROSERO MORILLO</v>
      </c>
      <c r="J5">
        <v>43624414</v>
      </c>
      <c r="K5" t="str">
        <v>MARY ALEXANDRA ROSERO BENAVIDES</v>
      </c>
      <c r="L5" s="4">
        <v>9650000</v>
      </c>
    </row>
    <row r="6" spans="1:12" x14ac:dyDescent="0.25">
      <c r="A6" t="s">
        <v>40</v>
      </c>
      <c r="B6" s="4">
        <v>4825000</v>
      </c>
      <c r="C6" t="s">
        <v>325</v>
      </c>
      <c r="D6" s="3">
        <v>45748</v>
      </c>
      <c r="E6" s="3">
        <v>45808</v>
      </c>
      <c r="F6"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6" t="str">
        <v>CC</v>
      </c>
      <c r="H6">
        <v>1085265622</v>
      </c>
      <c r="I6" t="str">
        <v>VIVIANA MERCEDES PIZANO PORTILLA</v>
      </c>
      <c r="J6">
        <v>59836926</v>
      </c>
      <c r="K6" t="str">
        <v>DEYANIRA BADOS DAZA</v>
      </c>
      <c r="L6" s="4">
        <v>9650000</v>
      </c>
    </row>
    <row r="7" spans="1:12" x14ac:dyDescent="0.25">
      <c r="A7" t="s">
        <v>42</v>
      </c>
      <c r="B7" s="4">
        <v>4825000</v>
      </c>
      <c r="C7" t="s">
        <v>325</v>
      </c>
      <c r="D7" s="3">
        <v>45748</v>
      </c>
      <c r="E7" s="3">
        <v>45808</v>
      </c>
      <c r="F7"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7" t="str">
        <v>CC</v>
      </c>
      <c r="H7">
        <v>27087851</v>
      </c>
      <c r="I7" t="str">
        <v>ADRIANA YORLADY ARMERO BURBANO</v>
      </c>
      <c r="J7">
        <v>98333941</v>
      </c>
      <c r="K7" t="str">
        <v>RIGOBERTO MELO ZAMBRANO</v>
      </c>
      <c r="L7" s="4">
        <v>9650000</v>
      </c>
    </row>
    <row r="8" spans="1:12" x14ac:dyDescent="0.25">
      <c r="A8" t="s">
        <v>44</v>
      </c>
      <c r="B8" s="4">
        <v>3000000</v>
      </c>
      <c r="C8" t="s">
        <v>325</v>
      </c>
      <c r="D8" s="3">
        <v>45748</v>
      </c>
      <c r="E8" s="3">
        <v>45808</v>
      </c>
      <c r="F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 t="str">
        <v>CC</v>
      </c>
      <c r="H8">
        <v>1137624011</v>
      </c>
      <c r="I8" t="str">
        <v>KAROL DAYANA TONGUINO TORO</v>
      </c>
      <c r="J8">
        <v>59836926</v>
      </c>
      <c r="K8" t="str">
        <v>DEYANIRA BADOS DAZA</v>
      </c>
      <c r="L8" s="4">
        <v>6000000</v>
      </c>
    </row>
    <row r="9" spans="1:12" x14ac:dyDescent="0.25">
      <c r="A9" t="s">
        <v>46</v>
      </c>
      <c r="B9" s="4">
        <v>3000000</v>
      </c>
      <c r="C9" t="s">
        <v>325</v>
      </c>
      <c r="D9" s="3">
        <v>45748</v>
      </c>
      <c r="E9" s="3">
        <v>45808</v>
      </c>
      <c r="F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9" t="str">
        <v>CC</v>
      </c>
      <c r="H9">
        <v>1085286725</v>
      </c>
      <c r="I9" t="str">
        <v>DIANA CAROLINA ORTEGA CAICEDO</v>
      </c>
      <c r="J9">
        <v>43624414</v>
      </c>
      <c r="K9" t="str">
        <v>MARY ALEXANDRA ROSERO BENAVIDES</v>
      </c>
      <c r="L9" s="4">
        <v>6000000</v>
      </c>
    </row>
    <row r="10" spans="1:12" x14ac:dyDescent="0.25">
      <c r="A10" t="s">
        <v>48</v>
      </c>
      <c r="B10" s="4">
        <v>3000000</v>
      </c>
      <c r="C10" t="s">
        <v>325</v>
      </c>
      <c r="D10" s="3">
        <v>45748</v>
      </c>
      <c r="E10" s="3">
        <v>45808</v>
      </c>
      <c r="F1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0" t="str">
        <v>CC</v>
      </c>
      <c r="H10">
        <v>1085339190</v>
      </c>
      <c r="I10" t="str">
        <v>KELLY YURANY JOJOA BOTINA</v>
      </c>
      <c r="J10">
        <v>98390119</v>
      </c>
      <c r="K10" t="str">
        <v>RODRIGO DE JESUS VITERI MORENO</v>
      </c>
      <c r="L10" s="4">
        <v>6000000</v>
      </c>
    </row>
    <row r="11" spans="1:12" x14ac:dyDescent="0.25">
      <c r="A11" t="s">
        <v>50</v>
      </c>
      <c r="B11" s="4">
        <v>4750000</v>
      </c>
      <c r="C11" t="s">
        <v>325</v>
      </c>
      <c r="D11" s="3">
        <v>45748</v>
      </c>
      <c r="E11" s="3">
        <v>45808</v>
      </c>
      <c r="F11"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1" t="str">
        <v>CC</v>
      </c>
      <c r="H11">
        <v>59816986</v>
      </c>
      <c r="I11" t="str">
        <v>INES MERCEDES LOPEZ TORRES</v>
      </c>
      <c r="J11">
        <v>98390119</v>
      </c>
      <c r="K11" t="str">
        <v>RODRIGO DE JESUS VITERI MORENO</v>
      </c>
      <c r="L11" s="4">
        <v>9500000</v>
      </c>
    </row>
    <row r="12" spans="1:12" x14ac:dyDescent="0.25">
      <c r="A12" t="s">
        <v>52</v>
      </c>
      <c r="B12" s="4">
        <v>4750000</v>
      </c>
      <c r="C12" t="s">
        <v>325</v>
      </c>
      <c r="D12" s="3">
        <v>45748</v>
      </c>
      <c r="E12" s="3">
        <v>45808</v>
      </c>
      <c r="F12"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2" t="str">
        <v>CC</v>
      </c>
      <c r="H12">
        <v>1193383306</v>
      </c>
      <c r="I12" t="str">
        <v>MARIA DE LOS ANGELES ACOSTA ROSERO</v>
      </c>
      <c r="J12">
        <v>59836926</v>
      </c>
      <c r="K12" t="str">
        <v>DEYANIRA BADOS DAZA</v>
      </c>
      <c r="L12" s="4">
        <v>9500000</v>
      </c>
    </row>
    <row r="13" spans="1:12" x14ac:dyDescent="0.25">
      <c r="A13" t="s">
        <v>54</v>
      </c>
      <c r="B13" s="4">
        <v>4750000</v>
      </c>
      <c r="C13" t="s">
        <v>325</v>
      </c>
      <c r="D13" s="3">
        <v>45748</v>
      </c>
      <c r="E13" s="3">
        <v>45808</v>
      </c>
      <c r="F1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3" t="str">
        <v>CC</v>
      </c>
      <c r="H13">
        <v>59551018</v>
      </c>
      <c r="I13" t="str">
        <v>DIANA MARIA ERASO</v>
      </c>
      <c r="J13">
        <v>98333941</v>
      </c>
      <c r="K13" t="str">
        <v>RIGOBERTO MELO ZAMBRANO</v>
      </c>
      <c r="L13" s="4">
        <v>9500000</v>
      </c>
    </row>
    <row r="14" spans="1:12" x14ac:dyDescent="0.25">
      <c r="A14" t="s">
        <v>56</v>
      </c>
      <c r="B14" s="4">
        <v>3000000</v>
      </c>
      <c r="C14" t="s">
        <v>325</v>
      </c>
      <c r="D14" s="3">
        <v>45748</v>
      </c>
      <c r="E14" s="3">
        <v>45808</v>
      </c>
      <c r="F1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4" t="str">
        <v>CC</v>
      </c>
      <c r="H14">
        <v>59834953</v>
      </c>
      <c r="I14" t="str">
        <v>PATRICIA YOLANDA PAZ DELGADO</v>
      </c>
      <c r="J14">
        <v>98333941</v>
      </c>
      <c r="K14" t="str">
        <v>RIGOBERTO MELO ZAMBRANO</v>
      </c>
      <c r="L14" s="4">
        <v>6000000</v>
      </c>
    </row>
    <row r="15" spans="1:12" x14ac:dyDescent="0.25">
      <c r="A15" t="s">
        <v>58</v>
      </c>
      <c r="B15" s="4">
        <v>3000000</v>
      </c>
      <c r="C15" t="s">
        <v>325</v>
      </c>
      <c r="D15" s="3">
        <v>45748</v>
      </c>
      <c r="E15" s="3">
        <v>45808</v>
      </c>
      <c r="F1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15" t="str">
        <v>CC</v>
      </c>
      <c r="H15">
        <v>1085288636</v>
      </c>
      <c r="I15" t="str">
        <v>DIANA SOFIA AYALA DIAZ</v>
      </c>
      <c r="J15">
        <v>43624414</v>
      </c>
      <c r="K15" t="str">
        <v>MARY ALEXANDRA ROSERO BENAVIDES</v>
      </c>
      <c r="L15" s="4">
        <v>6000000</v>
      </c>
    </row>
    <row r="16" spans="1:12" x14ac:dyDescent="0.25">
      <c r="A16" t="s">
        <v>59</v>
      </c>
      <c r="B16" s="4">
        <v>3000000</v>
      </c>
      <c r="C16" t="s">
        <v>325</v>
      </c>
      <c r="D16" s="3">
        <v>45748</v>
      </c>
      <c r="E16" s="3">
        <v>45808</v>
      </c>
      <c r="F1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6" t="str">
        <v>CC</v>
      </c>
      <c r="H16">
        <v>1010082397</v>
      </c>
      <c r="I16" t="str">
        <v>JAQUELINE CAMILA GENOY VILLOTA</v>
      </c>
      <c r="J16">
        <v>59836926</v>
      </c>
      <c r="K16" t="str">
        <v>DEYANIRA BADOS DAZA</v>
      </c>
      <c r="L16" s="4">
        <v>6000000</v>
      </c>
    </row>
    <row r="17" spans="1:12" x14ac:dyDescent="0.25">
      <c r="A17" t="s">
        <v>61</v>
      </c>
      <c r="B17" s="4">
        <v>6000000</v>
      </c>
      <c r="C17" t="s">
        <v>325</v>
      </c>
      <c r="D17" s="3">
        <v>45748</v>
      </c>
      <c r="E17" s="3">
        <v>45808</v>
      </c>
      <c r="F17"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7" t="str">
        <v>CC</v>
      </c>
      <c r="H17">
        <v>59837608</v>
      </c>
      <c r="I17" t="str">
        <v>ALBA DENIS ARGOTY SANTACRUZ</v>
      </c>
      <c r="J17">
        <v>98333941</v>
      </c>
      <c r="K17" t="str">
        <v>RIGOBERTO MELO ZAMBRANO</v>
      </c>
      <c r="L17" s="4">
        <v>12000000</v>
      </c>
    </row>
    <row r="18" spans="1:12" x14ac:dyDescent="0.25">
      <c r="A18" t="s">
        <v>63</v>
      </c>
      <c r="B18" s="4">
        <v>4750000</v>
      </c>
      <c r="C18" t="s">
        <v>325</v>
      </c>
      <c r="D18" s="3">
        <v>45748</v>
      </c>
      <c r="E18" s="3">
        <v>45808</v>
      </c>
      <c r="F18"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8" t="str">
        <v>CC</v>
      </c>
      <c r="H18">
        <v>1085313870</v>
      </c>
      <c r="I18" t="str">
        <v>CAROL SILVANA PATIÑO VALENCIA</v>
      </c>
      <c r="J18">
        <v>43624414</v>
      </c>
      <c r="K18" t="str">
        <v>MARY ALEXANDRA ROSERO BENAVIDES</v>
      </c>
      <c r="L18" s="4">
        <v>9500000</v>
      </c>
    </row>
    <row r="19" spans="1:12" x14ac:dyDescent="0.25">
      <c r="A19" t="s">
        <v>65</v>
      </c>
      <c r="B19" s="4">
        <v>4750000</v>
      </c>
      <c r="C19" t="s">
        <v>325</v>
      </c>
      <c r="D19" s="3">
        <v>45748</v>
      </c>
      <c r="E19" s="3">
        <v>45808</v>
      </c>
      <c r="F19"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19" t="str">
        <v>CC</v>
      </c>
      <c r="H19">
        <v>59824313</v>
      </c>
      <c r="I19" t="str">
        <v>FANY LUCELY RODRIGUEZ CRIOLLO</v>
      </c>
      <c r="J19">
        <v>98390119</v>
      </c>
      <c r="K19" t="str">
        <v>RODRIGO DE JESUS VITERI MORENO</v>
      </c>
      <c r="L19" s="4">
        <v>9500000</v>
      </c>
    </row>
    <row r="20" spans="1:12" x14ac:dyDescent="0.25">
      <c r="A20" t="s">
        <v>68</v>
      </c>
      <c r="B20" s="4">
        <v>460000</v>
      </c>
      <c r="C20" t="s">
        <v>325</v>
      </c>
      <c r="D20" s="3">
        <v>45748</v>
      </c>
      <c r="E20" s="3">
        <v>45787</v>
      </c>
      <c r="F20" t="str">
        <v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v>
      </c>
      <c r="G20" t="str">
        <v>CC</v>
      </c>
      <c r="H20">
        <v>1085324685</v>
      </c>
      <c r="I20" t="str">
        <v>LINA MARIA PIZANO PEREZ</v>
      </c>
      <c r="J20">
        <v>59836926</v>
      </c>
      <c r="K20" t="str">
        <v>DEYANIRA BADOS DAZA</v>
      </c>
      <c r="L20" s="4">
        <v>4000000</v>
      </c>
    </row>
    <row r="21" spans="1:12" x14ac:dyDescent="0.25">
      <c r="A21" t="s">
        <v>71</v>
      </c>
      <c r="B21" s="4">
        <v>6000000</v>
      </c>
      <c r="C21" t="s">
        <v>325</v>
      </c>
      <c r="D21" s="3">
        <v>45748</v>
      </c>
      <c r="E21" s="3">
        <v>45777</v>
      </c>
      <c r="F21" t="str">
        <v>Prestación de servicios profesionales dirigidos al seguimiento de poblaciones especiales de riesgo según prioridades definidas por la Subgerencia de Salud e Investigación.</v>
      </c>
      <c r="G21" t="str">
        <v>CC</v>
      </c>
      <c r="H21">
        <v>1085292185</v>
      </c>
      <c r="I21" t="str">
        <v>BRIGITT MARCELA BURBANO PUPIALES</v>
      </c>
      <c r="J21">
        <v>13016581</v>
      </c>
      <c r="K21" t="str">
        <v xml:space="preserve">	JUAN CARLOS MERA GUERRERO</v>
      </c>
      <c r="L21" s="4">
        <v>6000000</v>
      </c>
    </row>
    <row r="22" spans="1:12" x14ac:dyDescent="0.25">
      <c r="A22" t="s">
        <v>73</v>
      </c>
      <c r="B22" s="4">
        <v>3000000</v>
      </c>
      <c r="C22" t="s">
        <v>325</v>
      </c>
      <c r="D22" s="3">
        <v>45748</v>
      </c>
      <c r="E22" s="3">
        <v>45808</v>
      </c>
      <c r="F2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22" t="str">
        <v>CC</v>
      </c>
      <c r="H22">
        <v>1089243630</v>
      </c>
      <c r="I22" t="str">
        <v>YENIFER NAYIBE MENESES TOBAR</v>
      </c>
      <c r="J22">
        <v>59836926</v>
      </c>
      <c r="K22" t="str">
        <v>DEYANIRA BADOS DAZA</v>
      </c>
      <c r="L22" s="4">
        <v>6000000</v>
      </c>
    </row>
    <row r="23" spans="1:12" x14ac:dyDescent="0.25">
      <c r="A23" t="s">
        <v>75</v>
      </c>
      <c r="B23" s="4">
        <v>2500000</v>
      </c>
      <c r="C23" t="s">
        <v>325</v>
      </c>
      <c r="D23" s="3">
        <v>45748</v>
      </c>
      <c r="E23" s="3">
        <v>45838</v>
      </c>
      <c r="F23"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23" t="str">
        <v>CC</v>
      </c>
      <c r="H23">
        <v>1085320930</v>
      </c>
      <c r="I23" t="str">
        <v>LINA YEZMIN DE LA CRUZ CUSIS</v>
      </c>
      <c r="J23">
        <v>43624414</v>
      </c>
      <c r="K23" t="str">
        <v>MARY ALEXANDRA ROSERO BENAVIDES</v>
      </c>
      <c r="L23" s="4">
        <v>7500000</v>
      </c>
    </row>
    <row r="24" spans="1:12" x14ac:dyDescent="0.25">
      <c r="A24" t="s">
        <v>77</v>
      </c>
      <c r="B24" s="4">
        <v>3000000</v>
      </c>
      <c r="C24" t="s">
        <v>325</v>
      </c>
      <c r="D24" s="3">
        <v>45749</v>
      </c>
      <c r="E24" s="3">
        <v>45808</v>
      </c>
      <c r="F24"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24" t="str">
        <v>CC</v>
      </c>
      <c r="H24">
        <v>13070330</v>
      </c>
      <c r="I24" t="str">
        <v>ELBER ALFREDO CAMPAÑA IMBAQUIN</v>
      </c>
      <c r="J24">
        <v>43624414</v>
      </c>
      <c r="K24" t="str">
        <v>MARY ALEXANDRA ROSERO BENAVIDES</v>
      </c>
      <c r="L24" s="4">
        <v>6000000</v>
      </c>
    </row>
    <row r="25" spans="1:12" x14ac:dyDescent="0.25">
      <c r="A25" t="s">
        <v>79</v>
      </c>
      <c r="B25" s="4">
        <v>6000000</v>
      </c>
      <c r="C25" t="s">
        <v>325</v>
      </c>
      <c r="D25" s="3">
        <v>45749</v>
      </c>
      <c r="E25" s="3">
        <v>45808</v>
      </c>
      <c r="F25" t="str">
        <v>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
      <c r="G25" t="str">
        <v>CC</v>
      </c>
      <c r="H25">
        <v>97470681</v>
      </c>
      <c r="I25" t="str">
        <v>FERNANDO TEOFILO ROSERO PATIÑO</v>
      </c>
      <c r="J25">
        <v>98333941</v>
      </c>
      <c r="K25" t="str">
        <v>RIGOBERTO MELO ZAMBRANO</v>
      </c>
      <c r="L25" s="4">
        <v>12000000</v>
      </c>
    </row>
    <row r="26" spans="1:12" x14ac:dyDescent="0.25">
      <c r="A26" t="s">
        <v>82</v>
      </c>
      <c r="B26" s="4">
        <v>3000000</v>
      </c>
      <c r="C26" t="s">
        <v>325</v>
      </c>
      <c r="D26" s="3">
        <v>45749</v>
      </c>
      <c r="E26" s="3">
        <v>45808</v>
      </c>
      <c r="F2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26" t="str">
        <v>CC</v>
      </c>
      <c r="H26">
        <v>1086328142</v>
      </c>
      <c r="I26" t="str">
        <v>ZULY MARINA HIDALGO JOJOA</v>
      </c>
      <c r="J26">
        <v>98333941</v>
      </c>
      <c r="K26" t="str">
        <v>RIGOBERTO MELO ZAMBRANO</v>
      </c>
      <c r="L26" s="4">
        <v>6000000</v>
      </c>
    </row>
    <row r="27" spans="1:12" x14ac:dyDescent="0.25">
      <c r="A27" t="s">
        <v>84</v>
      </c>
      <c r="B27" s="4">
        <v>4825000</v>
      </c>
      <c r="C27" t="s">
        <v>325</v>
      </c>
      <c r="D27" s="3">
        <v>45749</v>
      </c>
      <c r="E27" s="3">
        <v>45808</v>
      </c>
      <c r="F27"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27" t="str">
        <v>CC</v>
      </c>
      <c r="H27">
        <v>1085267184</v>
      </c>
      <c r="I27" t="str">
        <v>ANGELA PAOLA BOLAÑOS ARGOTI,</v>
      </c>
      <c r="J27">
        <v>98333941</v>
      </c>
      <c r="K27" t="str">
        <v>RIGOBERTO MELO ZAMBRANO</v>
      </c>
      <c r="L27" s="4">
        <v>9650000</v>
      </c>
    </row>
    <row r="28" spans="1:12" x14ac:dyDescent="0.25">
      <c r="A28" t="s">
        <v>88</v>
      </c>
      <c r="B28" s="4">
        <v>3000000</v>
      </c>
      <c r="C28" t="s">
        <v>325</v>
      </c>
      <c r="D28" s="3">
        <v>45749</v>
      </c>
      <c r="E28" s="3">
        <v>45808</v>
      </c>
      <c r="F2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28" t="str">
        <v>CC</v>
      </c>
      <c r="H28">
        <v>1004234290</v>
      </c>
      <c r="I28" t="str">
        <v>LAURA SOFIA ROSERO DAVID</v>
      </c>
      <c r="J28">
        <v>98390119</v>
      </c>
      <c r="K28" t="str">
        <v>RODRIGO DE JESUS VITERI MORENO</v>
      </c>
      <c r="L28" s="4">
        <v>6000000</v>
      </c>
    </row>
    <row r="29" spans="1:12" x14ac:dyDescent="0.25">
      <c r="A29" t="s">
        <v>90</v>
      </c>
      <c r="B29" s="4">
        <v>3000000</v>
      </c>
      <c r="C29" t="s">
        <v>325</v>
      </c>
      <c r="D29" s="3">
        <v>45749</v>
      </c>
      <c r="E29" s="3">
        <v>45808</v>
      </c>
      <c r="F2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29" t="str">
        <v>CC</v>
      </c>
      <c r="H29">
        <v>1085317833</v>
      </c>
      <c r="I29" t="str">
        <v>ANGIE VIVIANA SACANAMBUY PAZ,</v>
      </c>
      <c r="J29">
        <v>98333941</v>
      </c>
      <c r="K29" t="str">
        <v>RIGOBERTO MELO ZAMBRANO</v>
      </c>
      <c r="L29" s="4">
        <v>6000000</v>
      </c>
    </row>
    <row r="30" spans="1:12" x14ac:dyDescent="0.25">
      <c r="A30" t="s">
        <v>92</v>
      </c>
      <c r="B30" s="4">
        <v>3000000</v>
      </c>
      <c r="C30" t="s">
        <v>325</v>
      </c>
      <c r="D30" s="3">
        <v>45749</v>
      </c>
      <c r="E30" s="3">
        <v>45808</v>
      </c>
      <c r="F3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30" t="str">
        <v>CC</v>
      </c>
      <c r="H30">
        <v>59833899</v>
      </c>
      <c r="I30" t="str">
        <v>ANDREA LILIANA LAGUNA RUALES</v>
      </c>
      <c r="J30">
        <v>98333941</v>
      </c>
      <c r="K30" t="str">
        <v>RIGOBERTO MELO ZAMBRANO</v>
      </c>
      <c r="L30" s="4">
        <v>6000000</v>
      </c>
    </row>
    <row r="31" spans="1:12" x14ac:dyDescent="0.25">
      <c r="A31" t="s">
        <v>94</v>
      </c>
      <c r="B31" s="4">
        <v>3000000</v>
      </c>
      <c r="C31" t="s">
        <v>325</v>
      </c>
      <c r="D31" s="3">
        <v>45749</v>
      </c>
      <c r="E31" s="3">
        <v>45808</v>
      </c>
      <c r="F3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31" t="str">
        <v>CC</v>
      </c>
      <c r="H31">
        <v>1233188273</v>
      </c>
      <c r="I31" t="str">
        <v>ALEJANDRA MARLENY PATIÑO VALENCIA,</v>
      </c>
      <c r="J31">
        <v>98390119</v>
      </c>
      <c r="K31" t="str">
        <v>RODRIGO DE JESUS VITERI MORENO</v>
      </c>
      <c r="L31" s="4">
        <v>6000000</v>
      </c>
    </row>
    <row r="32" spans="1:12" x14ac:dyDescent="0.25">
      <c r="A32" t="s">
        <v>96</v>
      </c>
      <c r="B32" s="4">
        <v>3000000</v>
      </c>
      <c r="C32" t="s">
        <v>325</v>
      </c>
      <c r="D32" s="3">
        <v>45749</v>
      </c>
      <c r="E32" s="3">
        <v>45808</v>
      </c>
      <c r="F3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32" t="str">
        <v>CC</v>
      </c>
      <c r="H32">
        <v>37084285</v>
      </c>
      <c r="I32" t="str">
        <v>JULIE ANDREA FREIRE MIER</v>
      </c>
      <c r="J32">
        <v>59836926</v>
      </c>
      <c r="K32" t="str">
        <v>DEYANIRA BADOS DAZA</v>
      </c>
      <c r="L32" s="4">
        <v>6000000</v>
      </c>
    </row>
    <row r="33" spans="1:12" x14ac:dyDescent="0.25">
      <c r="A33" t="s">
        <v>99</v>
      </c>
      <c r="B33" s="4">
        <v>3000000</v>
      </c>
      <c r="C33" t="s">
        <v>325</v>
      </c>
      <c r="D33" s="3">
        <v>45750</v>
      </c>
      <c r="E33" s="3">
        <v>45808</v>
      </c>
      <c r="F3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33" t="str">
        <v>CC</v>
      </c>
      <c r="H33">
        <v>98391531</v>
      </c>
      <c r="I33" t="str">
        <v>HECTOR GERMAN OJEDA CERON,</v>
      </c>
      <c r="J33">
        <v>98333941</v>
      </c>
      <c r="K33" t="str">
        <v>RIGOBERTO MELO ZAMBRANO</v>
      </c>
      <c r="L33" s="4">
        <v>6000000</v>
      </c>
    </row>
    <row r="34" spans="1:12" x14ac:dyDescent="0.25">
      <c r="A34" t="s">
        <v>102</v>
      </c>
      <c r="B34" s="4">
        <v>4750000</v>
      </c>
      <c r="C34" t="s">
        <v>325</v>
      </c>
      <c r="D34" s="3">
        <v>45750</v>
      </c>
      <c r="E34" s="3">
        <v>45808</v>
      </c>
      <c r="F3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34" t="str">
        <v>CC</v>
      </c>
      <c r="H34">
        <v>1085264667</v>
      </c>
      <c r="I34" t="str">
        <v>DANNY ALEXANDER SANCHEZ ESTRADA</v>
      </c>
      <c r="J34">
        <v>59836926</v>
      </c>
      <c r="K34" t="str">
        <v>DEYANIRA BADOS DAZA</v>
      </c>
      <c r="L34" s="4">
        <v>9500000</v>
      </c>
    </row>
    <row r="35" spans="1:12" x14ac:dyDescent="0.25">
      <c r="A35" t="s">
        <v>104</v>
      </c>
      <c r="B35" s="4">
        <v>4750000</v>
      </c>
      <c r="C35" t="s">
        <v>325</v>
      </c>
      <c r="D35" s="3">
        <v>45750</v>
      </c>
      <c r="E35" s="3">
        <v>45808</v>
      </c>
      <c r="F35"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35" t="str">
        <v>CC</v>
      </c>
      <c r="H35">
        <v>27190772</v>
      </c>
      <c r="I35" t="str">
        <v>MILENA ELIZABETH ORDOÑEZ ORTIZ</v>
      </c>
      <c r="J35">
        <v>98333941</v>
      </c>
      <c r="K35" t="str">
        <v>RIGOBERTO MELO ZAMBRANO</v>
      </c>
      <c r="L35" s="4">
        <v>9500000</v>
      </c>
    </row>
    <row r="36" spans="1:12" x14ac:dyDescent="0.25">
      <c r="A36" t="s">
        <v>106</v>
      </c>
      <c r="B36" s="4">
        <v>3000000</v>
      </c>
      <c r="C36" t="s">
        <v>325</v>
      </c>
      <c r="D36" s="3">
        <v>45750</v>
      </c>
      <c r="E36" s="3">
        <v>45808</v>
      </c>
      <c r="F3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v>
      </c>
      <c r="G36" t="str">
        <v>CC</v>
      </c>
      <c r="H36">
        <v>1085326791</v>
      </c>
      <c r="I36" t="str">
        <v>EDIER ERNEY CORDOBA ROJAS</v>
      </c>
      <c r="J36">
        <v>98333941</v>
      </c>
      <c r="K36" t="str">
        <v>RIGOBERTO MELO ZAMBRANO</v>
      </c>
      <c r="L36" s="4">
        <v>6000000</v>
      </c>
    </row>
    <row r="37" spans="1:12" x14ac:dyDescent="0.25">
      <c r="A37" t="s">
        <v>108</v>
      </c>
      <c r="B37" s="4">
        <v>2500000</v>
      </c>
      <c r="C37" t="s">
        <v>325</v>
      </c>
      <c r="D37" s="3">
        <v>45750</v>
      </c>
      <c r="E37" s="3">
        <v>45808</v>
      </c>
      <c r="F3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37" t="str">
        <v>CC</v>
      </c>
      <c r="H37">
        <v>27087720</v>
      </c>
      <c r="I37" t="str">
        <v>MARIA INES PAGUAY GUANCHA</v>
      </c>
      <c r="J37">
        <v>59836926</v>
      </c>
      <c r="K37" t="str">
        <v>DEYANIRA BADOS DAZA</v>
      </c>
      <c r="L37" s="4">
        <v>5000000</v>
      </c>
    </row>
    <row r="38" spans="1:12" x14ac:dyDescent="0.25">
      <c r="A38" t="s">
        <v>110</v>
      </c>
      <c r="B38" s="4">
        <v>3000000</v>
      </c>
      <c r="C38" t="s">
        <v>325</v>
      </c>
      <c r="D38" s="3">
        <v>45750</v>
      </c>
      <c r="E38" s="3">
        <v>45808</v>
      </c>
      <c r="F3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38" t="str">
        <v>CC</v>
      </c>
      <c r="H38" t="str">
        <v>1.086.329.609.</v>
      </c>
      <c r="I38" t="str">
        <v>LORENA DEL CARMEN OJEDA VASQUEZ</v>
      </c>
      <c r="J38">
        <v>98390119</v>
      </c>
      <c r="K38" t="str">
        <v>RODRIGO DE JESUS VITERI MORENO</v>
      </c>
      <c r="L38" s="4">
        <v>6000000</v>
      </c>
    </row>
    <row r="39" spans="1:12" x14ac:dyDescent="0.25">
      <c r="A39" t="s">
        <v>112</v>
      </c>
      <c r="B39" s="4">
        <v>3000000</v>
      </c>
      <c r="C39" t="s">
        <v>325</v>
      </c>
      <c r="D39" s="3">
        <v>45750</v>
      </c>
      <c r="E39" s="3">
        <v>45808</v>
      </c>
      <c r="F3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39" t="str">
        <v>CC</v>
      </c>
      <c r="H39">
        <v>1233191675</v>
      </c>
      <c r="I39" t="str">
        <v>NATHALY STEPHANIE MARTINEZ MARTINEZ</v>
      </c>
      <c r="J39">
        <v>43624414</v>
      </c>
      <c r="K39" t="str">
        <v>MARY ALEXANDRA ROSERO BENAVIDES</v>
      </c>
      <c r="L39" s="4">
        <v>6000000</v>
      </c>
    </row>
    <row r="40" spans="1:12" x14ac:dyDescent="0.25">
      <c r="A40" t="s">
        <v>114</v>
      </c>
      <c r="B40" s="4">
        <v>4750000</v>
      </c>
      <c r="C40" t="s">
        <v>325</v>
      </c>
      <c r="D40" s="3">
        <v>45750</v>
      </c>
      <c r="E40" s="3">
        <v>45808</v>
      </c>
      <c r="F40"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0" t="str">
        <v>CC</v>
      </c>
      <c r="H40">
        <v>27087475</v>
      </c>
      <c r="I40" t="str">
        <v>JANETH EMILSE DIAZ ARCINIEGAS</v>
      </c>
      <c r="J40">
        <v>59836926</v>
      </c>
      <c r="K40" t="str">
        <v>DEYANIRA BADOS DAZA</v>
      </c>
      <c r="L40" s="4">
        <v>9500000</v>
      </c>
    </row>
    <row r="41" spans="1:12" x14ac:dyDescent="0.25">
      <c r="A41" t="s">
        <v>116</v>
      </c>
      <c r="B41" s="4">
        <v>3000000</v>
      </c>
      <c r="C41" t="s">
        <v>325</v>
      </c>
      <c r="D41" s="3">
        <v>45750</v>
      </c>
      <c r="E41" s="3">
        <v>45808</v>
      </c>
      <c r="F4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1" t="str">
        <v>CC</v>
      </c>
      <c r="H41">
        <v>1004535234</v>
      </c>
      <c r="I41" t="str">
        <v>BRIGIT ESNIT GARCIA MANCHABAJOYΥ</v>
      </c>
      <c r="J41">
        <v>43624414</v>
      </c>
      <c r="K41" t="str">
        <v>MARY ALEXANDRA ROSERO BENAVIDES</v>
      </c>
      <c r="L41" s="4">
        <v>6000000</v>
      </c>
    </row>
    <row r="42" spans="1:12" x14ac:dyDescent="0.25">
      <c r="A42" t="s">
        <v>117</v>
      </c>
      <c r="B42" s="4">
        <v>3000000</v>
      </c>
      <c r="C42" t="s">
        <v>325</v>
      </c>
      <c r="D42" s="3">
        <v>45750</v>
      </c>
      <c r="E42" s="3">
        <v>45808</v>
      </c>
      <c r="F4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42" t="str">
        <v>CC</v>
      </c>
      <c r="H42">
        <v>1081572043</v>
      </c>
      <c r="I42" t="str">
        <v>TATIANA ANDREA CRIOLLO GENOY,</v>
      </c>
      <c r="J42">
        <v>98390119</v>
      </c>
      <c r="K42" t="str">
        <v>RODRIGO DE JESUS VITERI MORENO</v>
      </c>
      <c r="L42" s="4">
        <v>6000000</v>
      </c>
    </row>
    <row r="43" spans="1:12" x14ac:dyDescent="0.25">
      <c r="A43" t="s">
        <v>118</v>
      </c>
      <c r="B43" s="4">
        <v>4750000</v>
      </c>
      <c r="C43" t="s">
        <v>325</v>
      </c>
      <c r="D43" s="3">
        <v>45750</v>
      </c>
      <c r="E43" s="3">
        <v>45808</v>
      </c>
      <c r="F43" t="str">
        <v>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3" t="str">
        <v>CC</v>
      </c>
      <c r="H43">
        <v>59312865</v>
      </c>
      <c r="I43" t="str">
        <v>DIANA CAROLINA CORTES TAPIA</v>
      </c>
      <c r="J43">
        <v>43624414</v>
      </c>
      <c r="K43" t="str">
        <v>MARY ALEXANDRA ROSERO BENAVIDES</v>
      </c>
      <c r="L43" s="4">
        <v>9500000</v>
      </c>
    </row>
    <row r="44" spans="1:12" x14ac:dyDescent="0.25">
      <c r="A44" t="s">
        <v>119</v>
      </c>
      <c r="B44" s="4">
        <v>3000000</v>
      </c>
      <c r="C44" t="s">
        <v>325</v>
      </c>
      <c r="D44" s="3">
        <v>45750</v>
      </c>
      <c r="E44" s="3">
        <v>45808</v>
      </c>
      <c r="F44" t="str">
        <v>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
      <c r="G44" t="str">
        <v>CC</v>
      </c>
      <c r="H44">
        <v>1085252263</v>
      </c>
      <c r="I44" t="str">
        <v>DEISY JOHANNA BASTIDAS JOJOA</v>
      </c>
      <c r="J44">
        <v>59836926</v>
      </c>
      <c r="K44" t="str">
        <v>DEYANIRA BADOS DAZA</v>
      </c>
      <c r="L44" s="4">
        <v>6000000</v>
      </c>
    </row>
    <row r="45" spans="1:12" x14ac:dyDescent="0.25">
      <c r="A45" t="s">
        <v>121</v>
      </c>
      <c r="B45" s="4">
        <v>7500000</v>
      </c>
      <c r="C45" t="s">
        <v>325</v>
      </c>
      <c r="D45" s="3">
        <v>45750</v>
      </c>
      <c r="E45" s="3">
        <v>45808</v>
      </c>
      <c r="F45"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5" t="str">
        <v>CC</v>
      </c>
      <c r="H45">
        <v>87067123</v>
      </c>
      <c r="I45" t="str">
        <v>EDWIN PANTOJA OTERO</v>
      </c>
      <c r="J45">
        <v>59836926</v>
      </c>
      <c r="K45" t="str">
        <v>DEYANIRA BADOS DAZA</v>
      </c>
      <c r="L45" s="4">
        <v>15000000</v>
      </c>
    </row>
    <row r="46" spans="1:12" x14ac:dyDescent="0.25">
      <c r="A46" t="s">
        <v>123</v>
      </c>
      <c r="B46" s="4">
        <v>3000000</v>
      </c>
      <c r="C46" t="s">
        <v>325</v>
      </c>
      <c r="D46" s="3">
        <v>45750</v>
      </c>
      <c r="E46" s="3">
        <v>45808</v>
      </c>
      <c r="F4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6" t="str">
        <v>CC</v>
      </c>
      <c r="H46">
        <v>1004232508</v>
      </c>
      <c r="I46" t="str">
        <v>PABLO JOSE BADOS LOPEZ</v>
      </c>
      <c r="J46">
        <v>98390119</v>
      </c>
      <c r="K46" t="str">
        <v>RODRIGO DE JESUS VITERI MORENO</v>
      </c>
      <c r="L46" s="4">
        <v>6000000</v>
      </c>
    </row>
    <row r="47" spans="1:12" x14ac:dyDescent="0.25">
      <c r="A47" t="s">
        <v>128</v>
      </c>
      <c r="B47" s="4">
        <v>6000000</v>
      </c>
      <c r="C47" t="s">
        <v>325</v>
      </c>
      <c r="D47" s="3">
        <v>45750</v>
      </c>
      <c r="E47" s="3">
        <v>45808</v>
      </c>
      <c r="F47"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
      <c r="G47" t="str">
        <v>CC</v>
      </c>
      <c r="H47">
        <v>1085248939</v>
      </c>
      <c r="I47" t="str">
        <v>CARMEN LILIANA ARMERO RUIZ</v>
      </c>
      <c r="J47">
        <v>43624414</v>
      </c>
      <c r="K47" t="str">
        <v>MARY ALEXANDRA ROSERO BENAVIDES</v>
      </c>
      <c r="L47" s="4">
        <v>12000000</v>
      </c>
    </row>
    <row r="48" spans="1:12" x14ac:dyDescent="0.25">
      <c r="A48" t="s">
        <v>130</v>
      </c>
      <c r="B48" s="4">
        <v>3000000</v>
      </c>
      <c r="C48" t="s">
        <v>325</v>
      </c>
      <c r="D48" s="3">
        <v>45750</v>
      </c>
      <c r="E48" s="3">
        <v>45808</v>
      </c>
      <c r="F4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48" t="str">
        <v>CC</v>
      </c>
      <c r="H48">
        <v>1086223299</v>
      </c>
      <c r="I48" t="str">
        <v>DOLY MAYBRI TIMANA GUACAN</v>
      </c>
      <c r="J48">
        <v>59836926</v>
      </c>
      <c r="K48" t="str">
        <v>DEYANIRA BADOS DAZA</v>
      </c>
      <c r="L48" s="4">
        <v>6000000</v>
      </c>
    </row>
    <row r="49" spans="1:12" x14ac:dyDescent="0.25">
      <c r="A49" t="s">
        <v>131</v>
      </c>
      <c r="B49" s="4">
        <v>6000000</v>
      </c>
      <c r="C49" t="s">
        <v>325</v>
      </c>
      <c r="D49" s="3">
        <v>45750</v>
      </c>
      <c r="E49" s="3">
        <v>45808</v>
      </c>
      <c r="F49"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49" t="str">
        <v>CC</v>
      </c>
      <c r="H49">
        <v>59820414</v>
      </c>
      <c r="I49" t="str">
        <v>CARMEN PATRICIA CORDOBA ARTEAGA</v>
      </c>
      <c r="J49">
        <v>59836926</v>
      </c>
      <c r="K49" t="str">
        <v>DEYANIRA BADOS DAZA</v>
      </c>
      <c r="L49" s="4">
        <v>12000000</v>
      </c>
    </row>
    <row r="50" spans="1:12" x14ac:dyDescent="0.25">
      <c r="A50" t="s">
        <v>135</v>
      </c>
      <c r="B50" s="4">
        <v>3000000</v>
      </c>
      <c r="C50" t="s">
        <v>325</v>
      </c>
      <c r="D50" s="3">
        <v>45751</v>
      </c>
      <c r="E50" s="3">
        <v>45808</v>
      </c>
      <c r="F5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50" t="str">
        <v>CC</v>
      </c>
      <c r="H50" t="str">
        <v>30,743.783</v>
      </c>
      <c r="I50" t="str">
        <v>JAQUELINE MELO MOSQUERA</v>
      </c>
      <c r="J50">
        <v>43624414</v>
      </c>
      <c r="K50" t="str">
        <v>MARY ALEXANDRA ROSERO BENAVIDES</v>
      </c>
      <c r="L50" s="4">
        <v>6000000</v>
      </c>
    </row>
    <row r="51" spans="1:12" x14ac:dyDescent="0.25">
      <c r="A51" t="s">
        <v>137</v>
      </c>
      <c r="B51" s="4">
        <v>3000000</v>
      </c>
      <c r="C51" t="s">
        <v>325</v>
      </c>
      <c r="D51" s="3">
        <v>45751</v>
      </c>
      <c r="E51" s="3">
        <v>45808</v>
      </c>
      <c r="F51"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51" t="str">
        <v>CC</v>
      </c>
      <c r="H51">
        <v>1004598784</v>
      </c>
      <c r="I51" t="str">
        <v>YEISON SMIT NUÑEZ ACOSTA</v>
      </c>
      <c r="J51">
        <v>43624414</v>
      </c>
      <c r="K51" t="str">
        <v>MARY ALEXANDRA ROSERO BENAVIDES</v>
      </c>
      <c r="L51" s="4">
        <v>6000000</v>
      </c>
    </row>
    <row r="52" spans="1:12" x14ac:dyDescent="0.25">
      <c r="A52" t="s">
        <v>139</v>
      </c>
      <c r="B52" s="4">
        <v>7500000</v>
      </c>
      <c r="C52" t="s">
        <v>325</v>
      </c>
      <c r="D52" s="3">
        <v>45751</v>
      </c>
      <c r="E52" s="3">
        <v>45808</v>
      </c>
      <c r="F52" t="str">
        <v>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52" t="str">
        <v>CC</v>
      </c>
      <c r="H52">
        <v>1006946167</v>
      </c>
      <c r="I52" t="str">
        <v>LIZETH MARCELA ORTIZ MUÑOZ</v>
      </c>
      <c r="J52">
        <v>98333941</v>
      </c>
      <c r="K52" t="str">
        <v>RIGOBERTO MELO ZAMBRANO</v>
      </c>
      <c r="L52" s="4">
        <v>15000000</v>
      </c>
    </row>
    <row r="53" spans="1:12" x14ac:dyDescent="0.25">
      <c r="A53" t="s">
        <v>141</v>
      </c>
      <c r="B53" s="4">
        <v>4750000</v>
      </c>
      <c r="C53" t="s">
        <v>325</v>
      </c>
      <c r="D53" s="3">
        <v>45751</v>
      </c>
      <c r="E53" s="3">
        <v>45808</v>
      </c>
      <c r="F5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53" t="str">
        <v>CC</v>
      </c>
      <c r="H53">
        <v>1085260497</v>
      </c>
      <c r="I53" t="str">
        <v>JOSE FERNANDO CHAÑA QUENGUAN</v>
      </c>
      <c r="J53">
        <v>43624414</v>
      </c>
      <c r="K53" t="str">
        <v>MARY ALEXANDRA ROSERO BENAVIDES</v>
      </c>
      <c r="L53" s="4">
        <v>9500000</v>
      </c>
    </row>
    <row r="54" spans="1:12" x14ac:dyDescent="0.25">
      <c r="A54" t="s">
        <v>143</v>
      </c>
      <c r="B54" s="4">
        <v>6000000</v>
      </c>
      <c r="C54" t="s">
        <v>325</v>
      </c>
      <c r="D54" s="3">
        <v>45751</v>
      </c>
      <c r="E54" s="3">
        <v>45808</v>
      </c>
      <c r="F54" t="str">
        <v>: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
      <c r="G54" t="str">
        <v>CC</v>
      </c>
      <c r="H54">
        <v>1082748420</v>
      </c>
      <c r="I54" t="str">
        <v>NATHALIA ROSERO RODRIGUEZ</v>
      </c>
      <c r="J54">
        <v>98390119</v>
      </c>
      <c r="K54" t="str">
        <v>RODRIGO DE JESUS VITERI MORENO</v>
      </c>
      <c r="L54" s="4">
        <v>12000000</v>
      </c>
    </row>
    <row r="55" spans="1:12" x14ac:dyDescent="0.25">
      <c r="A55" t="s">
        <v>145</v>
      </c>
      <c r="B55" s="4">
        <v>3000000</v>
      </c>
      <c r="C55" t="s">
        <v>325</v>
      </c>
      <c r="D55" s="3">
        <v>45751</v>
      </c>
      <c r="E55" s="3">
        <v>45808</v>
      </c>
      <c r="F5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55" t="str">
        <v>CC</v>
      </c>
      <c r="H55">
        <v>98382500</v>
      </c>
      <c r="I55" t="str">
        <v>JOSE JAVIER PINTA YAQUENO</v>
      </c>
      <c r="J55">
        <v>98333941</v>
      </c>
      <c r="K55" t="str">
        <v>RIGOBERTO MELO ZAMBRANO</v>
      </c>
      <c r="L55" s="4">
        <v>6000000</v>
      </c>
    </row>
    <row r="56" spans="1:12" x14ac:dyDescent="0.25">
      <c r="A56" t="s">
        <v>146</v>
      </c>
      <c r="B56" s="4">
        <v>3000000</v>
      </c>
      <c r="C56" t="s">
        <v>325</v>
      </c>
      <c r="D56" s="3">
        <v>45751</v>
      </c>
      <c r="E56" s="3">
        <v>45808</v>
      </c>
      <c r="F5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56" t="str">
        <v>CC</v>
      </c>
      <c r="H56">
        <v>1081592303</v>
      </c>
      <c r="I56" t="str">
        <v>MARILYN ZAMBRANO OBANDO</v>
      </c>
      <c r="J56">
        <v>43624414</v>
      </c>
      <c r="K56" t="str">
        <v>MARY ALEXANDRA ROSERO BENAVIDES</v>
      </c>
      <c r="L56" s="4">
        <v>6000000</v>
      </c>
    </row>
    <row r="57" spans="1:12" x14ac:dyDescent="0.25">
      <c r="A57" t="s">
        <v>148</v>
      </c>
      <c r="B57" s="4">
        <v>3000000</v>
      </c>
      <c r="C57" t="s">
        <v>325</v>
      </c>
      <c r="D57" s="3">
        <v>45751</v>
      </c>
      <c r="E57" s="3">
        <v>45808</v>
      </c>
      <c r="F57"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57" t="str">
        <v>CC</v>
      </c>
      <c r="H57">
        <v>1030606749</v>
      </c>
      <c r="I57" t="str">
        <v>ANGELA EDITH GONZALEZ PIANDA</v>
      </c>
      <c r="J57">
        <v>98333941</v>
      </c>
      <c r="K57" t="str">
        <v>RIGOBERTO MELO ZAMBRANO</v>
      </c>
      <c r="L57" s="4">
        <v>6000000</v>
      </c>
    </row>
    <row r="58" spans="1:12" x14ac:dyDescent="0.25">
      <c r="A58" t="s">
        <v>150</v>
      </c>
      <c r="B58" s="4">
        <v>3000000</v>
      </c>
      <c r="C58" t="s">
        <v>325</v>
      </c>
      <c r="D58" s="3">
        <v>45751</v>
      </c>
      <c r="E58" s="3">
        <v>45808</v>
      </c>
      <c r="F5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58" t="str">
        <v>CC</v>
      </c>
      <c r="H58">
        <v>1085318688</v>
      </c>
      <c r="I58" t="str">
        <v>DARLLY ROXANA ROSERO TIMARAN</v>
      </c>
      <c r="J58">
        <v>98333941</v>
      </c>
      <c r="K58" t="str">
        <v>RIGOBERTO MELO ZAMBRANO</v>
      </c>
      <c r="L58" s="4">
        <v>6000000</v>
      </c>
    </row>
    <row r="59" spans="1:12" x14ac:dyDescent="0.25">
      <c r="A59" t="s">
        <v>151</v>
      </c>
      <c r="B59" s="4">
        <v>4825000</v>
      </c>
      <c r="C59" t="s">
        <v>325</v>
      </c>
      <c r="D59" s="3">
        <v>45751</v>
      </c>
      <c r="E59" s="3">
        <v>45808</v>
      </c>
      <c r="F59"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59" t="str">
        <v>CC</v>
      </c>
      <c r="H59">
        <v>12748383</v>
      </c>
      <c r="I59" t="str">
        <v>ANDRES ERNESTO BRAVO ALMEIDA</v>
      </c>
      <c r="J59">
        <v>59836926</v>
      </c>
      <c r="K59" t="str">
        <v>DEYANIRA BADOS DAZA</v>
      </c>
      <c r="L59" s="4">
        <v>9650000</v>
      </c>
    </row>
    <row r="60" spans="1:12" x14ac:dyDescent="0.25">
      <c r="A60" t="s">
        <v>153</v>
      </c>
      <c r="B60" s="4">
        <v>5000000</v>
      </c>
      <c r="C60" t="s">
        <v>325</v>
      </c>
      <c r="D60" s="3">
        <v>45751</v>
      </c>
      <c r="E60" s="3">
        <v>45808</v>
      </c>
      <c r="F60" t="str">
        <v>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v>
      </c>
      <c r="G60" t="str">
        <v>CC</v>
      </c>
      <c r="H60">
        <v>59310145</v>
      </c>
      <c r="I60" t="str">
        <v>EDITH ANGELICA LÓPEZ VILLARREAL</v>
      </c>
      <c r="J60">
        <v>98333941</v>
      </c>
      <c r="K60" t="str">
        <v>RIGOBERTO MELO ZAMBRANO</v>
      </c>
      <c r="L60" s="4">
        <v>5000000</v>
      </c>
    </row>
    <row r="61" spans="1:12" x14ac:dyDescent="0.25">
      <c r="A61" t="s">
        <v>155</v>
      </c>
      <c r="B61" s="4">
        <v>2500000</v>
      </c>
      <c r="C61" t="s">
        <v>325</v>
      </c>
      <c r="D61" s="3">
        <v>45751</v>
      </c>
      <c r="E61" s="3">
        <v>45808</v>
      </c>
      <c r="F61"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1" t="str">
        <v>CC</v>
      </c>
      <c r="H61">
        <v>1085347173</v>
      </c>
      <c r="I61" t="str">
        <v>JEISSON STEVEN BASANTE ERAZO</v>
      </c>
      <c r="J61">
        <v>98333941</v>
      </c>
      <c r="K61" t="str">
        <v>RIGOBERTO MELO ZAMBRANO</v>
      </c>
      <c r="L61" s="4">
        <v>5000000</v>
      </c>
    </row>
    <row r="62" spans="1:12" x14ac:dyDescent="0.25">
      <c r="A62" t="s">
        <v>157</v>
      </c>
      <c r="B62" s="4">
        <v>3000000</v>
      </c>
      <c r="C62" t="s">
        <v>325</v>
      </c>
      <c r="D62" s="3">
        <v>45751</v>
      </c>
      <c r="E62" s="3">
        <v>45808</v>
      </c>
      <c r="F62"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2" t="str">
        <v>CC</v>
      </c>
      <c r="H62">
        <v>13069881</v>
      </c>
      <c r="I62" t="str">
        <v>FRAN GIOVANNY GETIAL CHICAIZA</v>
      </c>
      <c r="J62">
        <v>98390119</v>
      </c>
      <c r="K62" t="str">
        <v>RODRIGO DE JESUS VITERI MORENO</v>
      </c>
      <c r="L62" s="4">
        <v>6000000</v>
      </c>
    </row>
    <row r="63" spans="1:12" x14ac:dyDescent="0.25">
      <c r="A63" t="s">
        <v>158</v>
      </c>
      <c r="B63" s="4">
        <v>2500000</v>
      </c>
      <c r="C63" t="s">
        <v>325</v>
      </c>
      <c r="D63" s="3">
        <v>45751</v>
      </c>
      <c r="E63" s="3">
        <v>45808</v>
      </c>
      <c r="F63"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3" t="str">
        <v>CC</v>
      </c>
      <c r="H63">
        <v>30736949</v>
      </c>
      <c r="I63" t="str">
        <v>LIGIA DEL CARMEN ERAZO GUERRERO,</v>
      </c>
      <c r="J63">
        <v>43624414</v>
      </c>
      <c r="K63" t="str">
        <v>MARY ALEXANDRA ROSERO BENAVIDES</v>
      </c>
      <c r="L63" s="4">
        <v>5000000</v>
      </c>
    </row>
    <row r="64" spans="1:12" x14ac:dyDescent="0.25">
      <c r="A64" t="s">
        <v>161</v>
      </c>
      <c r="B64" s="4">
        <v>4750000</v>
      </c>
      <c r="C64" t="s">
        <v>325</v>
      </c>
      <c r="D64" s="3">
        <v>45754</v>
      </c>
      <c r="E64" s="3">
        <v>45808</v>
      </c>
      <c r="F64"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4" t="str">
        <v>CC</v>
      </c>
      <c r="H64">
        <v>1085331141</v>
      </c>
      <c r="I64" t="str">
        <v>YEIMER DANILO CAEZ MORALES</v>
      </c>
      <c r="J64">
        <v>98333941</v>
      </c>
      <c r="K64" t="str">
        <v>RIGOBERTO MELO ZAMBRANO</v>
      </c>
      <c r="L64" s="4">
        <v>9500000</v>
      </c>
    </row>
    <row r="65" spans="1:13" x14ac:dyDescent="0.25">
      <c r="A65" t="s">
        <v>166</v>
      </c>
      <c r="B65" s="4">
        <v>3000000</v>
      </c>
      <c r="C65" t="s">
        <v>325</v>
      </c>
      <c r="D65" s="3">
        <v>45755</v>
      </c>
      <c r="E65" s="3">
        <v>45808</v>
      </c>
      <c r="F65"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5" t="str">
        <v>CC</v>
      </c>
      <c r="H65">
        <v>1004235479</v>
      </c>
      <c r="I65" t="str">
        <v>TANIA KARINA CUERO CASANOVA,</v>
      </c>
      <c r="J65">
        <v>98333941</v>
      </c>
      <c r="K65" t="str">
        <v>RIGOBERTO MELO ZAMBRANO</v>
      </c>
      <c r="L65" s="4">
        <v>6000000</v>
      </c>
    </row>
    <row r="66" spans="1:13" x14ac:dyDescent="0.25">
      <c r="A66" t="s">
        <v>168</v>
      </c>
      <c r="B66" s="4">
        <v>73000000</v>
      </c>
      <c r="C66" t="s">
        <v>325</v>
      </c>
      <c r="D66" s="3">
        <v>45756</v>
      </c>
      <c r="E66" s="3">
        <v>45808</v>
      </c>
      <c r="F66" t="str">
        <v>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v>
      </c>
      <c r="G66" t="str">
        <v>NIT</v>
      </c>
      <c r="H66">
        <v>900994364</v>
      </c>
      <c r="I66" t="str">
        <v>FUNDACION CALIDAD DE VIDA Y ESPERANZA-FUNDAESP</v>
      </c>
      <c r="J66">
        <v>13016581</v>
      </c>
      <c r="K66" t="str">
        <v xml:space="preserve">	JUAN CARLOS MERA GUERRERO</v>
      </c>
      <c r="L66" s="4">
        <v>146000000</v>
      </c>
    </row>
    <row r="67" spans="1:13" x14ac:dyDescent="0.25">
      <c r="A67" t="s">
        <v>170</v>
      </c>
      <c r="B67" s="4">
        <v>106684483</v>
      </c>
      <c r="C67" t="s">
        <v>325</v>
      </c>
      <c r="D67" s="3">
        <v>45756</v>
      </c>
      <c r="E67" s="3">
        <v>45808</v>
      </c>
      <c r="F67" t="str">
        <v>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v>
      </c>
      <c r="G67" t="str">
        <v>NIT</v>
      </c>
      <c r="H67">
        <v>900994364</v>
      </c>
      <c r="I67" t="str">
        <v>FUNDACION CALIDAD DE VIDA Y ESPERANZA - FUNDAESP</v>
      </c>
      <c r="J67">
        <v>13016581</v>
      </c>
      <c r="K67" t="str">
        <v xml:space="preserve">	JUAN CARLOS MERA GUERRERO</v>
      </c>
      <c r="L67" s="4">
        <v>0</v>
      </c>
      <c r="M67" t="s">
        <v>621</v>
      </c>
    </row>
    <row r="68" spans="1:13" x14ac:dyDescent="0.25">
      <c r="A68" t="s">
        <v>172</v>
      </c>
      <c r="B68" s="4">
        <v>5000000</v>
      </c>
      <c r="C68" t="s">
        <v>325</v>
      </c>
      <c r="D68" s="3">
        <v>45756</v>
      </c>
      <c r="E68" s="3">
        <v>45808</v>
      </c>
      <c r="F68"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68" t="str">
        <v>CC</v>
      </c>
      <c r="H68">
        <v>1085318898</v>
      </c>
      <c r="I68" t="str">
        <v>TANIA MARCELA DIAZ DIAZ</v>
      </c>
      <c r="J68">
        <v>59836926</v>
      </c>
      <c r="K68" t="str">
        <v>DEYANIRA BADOS DAZA</v>
      </c>
      <c r="L68" s="4">
        <v>5000000</v>
      </c>
    </row>
    <row r="69" spans="1:13" x14ac:dyDescent="0.25">
      <c r="A69" t="s">
        <v>174</v>
      </c>
      <c r="B69" s="4">
        <v>2500000</v>
      </c>
      <c r="C69" t="s">
        <v>325</v>
      </c>
      <c r="D69" s="3">
        <v>45756</v>
      </c>
      <c r="E69" s="3">
        <v>45808</v>
      </c>
      <c r="F69" t="str">
        <v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v>
      </c>
      <c r="G69" t="str">
        <v>CC</v>
      </c>
      <c r="H69">
        <v>59821094</v>
      </c>
      <c r="I69" t="str">
        <v>ADRIANA PATRICIA DUEÑAS SALAZAR</v>
      </c>
      <c r="J69">
        <v>98333941</v>
      </c>
      <c r="K69" t="str">
        <v>RIGOBERTO MELO ZAMBRANO</v>
      </c>
      <c r="L69" s="4">
        <v>5000000</v>
      </c>
    </row>
    <row r="70" spans="1:13" x14ac:dyDescent="0.25">
      <c r="A70" t="s">
        <v>175</v>
      </c>
      <c r="B70" s="4">
        <v>3000000</v>
      </c>
      <c r="C70" t="s">
        <v>325</v>
      </c>
      <c r="D70" s="3">
        <v>45756</v>
      </c>
      <c r="E70" s="3">
        <v>45808</v>
      </c>
      <c r="F7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v>
      </c>
      <c r="G70" t="str">
        <v>CC</v>
      </c>
      <c r="H70">
        <v>1004216993</v>
      </c>
      <c r="I70" t="str">
        <v>ANDREA NATHALY ALAVA BOLAÑOS</v>
      </c>
      <c r="J70">
        <v>43624414</v>
      </c>
      <c r="K70" t="str">
        <v>MARY ALEXANDRA ROSERO BENAVIDES</v>
      </c>
      <c r="L70" s="4">
        <v>6000000</v>
      </c>
    </row>
    <row r="71" spans="1:13" x14ac:dyDescent="0.25">
      <c r="A71" t="s">
        <v>178</v>
      </c>
      <c r="B71" s="4">
        <v>4750000</v>
      </c>
      <c r="C71" t="s">
        <v>325</v>
      </c>
      <c r="D71" s="3">
        <v>45756</v>
      </c>
      <c r="E71" s="3">
        <v>45808</v>
      </c>
      <c r="F71"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1" t="str">
        <v>CC</v>
      </c>
      <c r="H71">
        <v>13069636</v>
      </c>
      <c r="I71" t="str">
        <v>JUAN PABLO MADROÑERO MUÑOZ</v>
      </c>
      <c r="J71">
        <v>43624414</v>
      </c>
      <c r="K71" t="str">
        <v>MARY ALEXANDRA ROSERO BENAVIDES</v>
      </c>
      <c r="L71" s="4">
        <v>9500000</v>
      </c>
    </row>
    <row r="72" spans="1:13" x14ac:dyDescent="0.25">
      <c r="A72" t="s">
        <v>180</v>
      </c>
      <c r="B72" s="4">
        <v>2500000</v>
      </c>
      <c r="C72" t="s">
        <v>325</v>
      </c>
      <c r="D72" s="3">
        <v>45756</v>
      </c>
      <c r="E72" s="3">
        <v>45808</v>
      </c>
      <c r="F72"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2" t="str">
        <v>CC</v>
      </c>
      <c r="H72">
        <v>37087268</v>
      </c>
      <c r="I72" t="str">
        <v>ALEXANDRA MARIA ORTEGA ROSERO</v>
      </c>
      <c r="J72">
        <v>59836926</v>
      </c>
      <c r="K72" t="str">
        <v>DEYANIRA BADOS DAZA</v>
      </c>
      <c r="L72" s="4">
        <v>5000000</v>
      </c>
    </row>
    <row r="73" spans="1:13" x14ac:dyDescent="0.25">
      <c r="A73" t="s">
        <v>182</v>
      </c>
      <c r="B73" s="4">
        <v>3000000</v>
      </c>
      <c r="C73" t="s">
        <v>325</v>
      </c>
      <c r="D73" s="3">
        <v>45756</v>
      </c>
      <c r="E73" s="3">
        <v>45808</v>
      </c>
      <c r="F73"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3" t="str">
        <v>CC</v>
      </c>
      <c r="H73">
        <v>27388522</v>
      </c>
      <c r="I73" t="str">
        <v>NUVI GRACIELA CHAMORRO CORAL</v>
      </c>
      <c r="J73">
        <v>43624414</v>
      </c>
      <c r="K73" t="str">
        <v>MARY ALEXANDRA ROSERO BENAVIDES</v>
      </c>
      <c r="L73" s="4">
        <v>6000000</v>
      </c>
    </row>
    <row r="74" spans="1:13" x14ac:dyDescent="0.25">
      <c r="A74" t="s">
        <v>184</v>
      </c>
      <c r="B74" s="4">
        <v>2500000</v>
      </c>
      <c r="C74" t="s">
        <v>325</v>
      </c>
      <c r="D74" s="3">
        <v>45756</v>
      </c>
      <c r="E74" s="3">
        <v>45808</v>
      </c>
      <c r="F74"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v>
      </c>
      <c r="G74" t="str">
        <v>CC</v>
      </c>
      <c r="H74">
        <v>1233189896</v>
      </c>
      <c r="I74" t="str">
        <v>NICOLAS EMILIO MENA JOJOA</v>
      </c>
      <c r="J74">
        <v>98390119</v>
      </c>
      <c r="K74" t="str">
        <v>RODRIGO DE JESUS VITERI MORENO</v>
      </c>
      <c r="L74" s="4">
        <v>5000000</v>
      </c>
    </row>
    <row r="75" spans="1:13" x14ac:dyDescent="0.25">
      <c r="A75" t="s">
        <v>185</v>
      </c>
      <c r="B75" s="4">
        <v>6000000</v>
      </c>
      <c r="C75" t="s">
        <v>325</v>
      </c>
      <c r="D75" s="3">
        <v>45756</v>
      </c>
      <c r="E75" s="3">
        <v>45808</v>
      </c>
      <c r="F75" t="str">
        <v>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v>
      </c>
      <c r="G75" t="str">
        <v>CC</v>
      </c>
      <c r="H75">
        <v>36757221</v>
      </c>
      <c r="I75" t="str">
        <v>FANNY MARIELA CORDOBA MORENO</v>
      </c>
      <c r="J75">
        <v>59836926</v>
      </c>
      <c r="K75" t="str">
        <v>DEYANIRA BADOS DAZA</v>
      </c>
      <c r="L75" s="4">
        <v>12000000</v>
      </c>
    </row>
    <row r="76" spans="1:13" x14ac:dyDescent="0.25">
      <c r="A76" t="s">
        <v>187</v>
      </c>
      <c r="B76" s="4">
        <v>3000000</v>
      </c>
      <c r="C76" t="s">
        <v>325</v>
      </c>
      <c r="D76" s="3">
        <v>45756</v>
      </c>
      <c r="E76" s="3">
        <v>45808</v>
      </c>
      <c r="F76"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v>
      </c>
      <c r="G76" t="str">
        <v>CC</v>
      </c>
      <c r="H76">
        <v>1085286742</v>
      </c>
      <c r="I76" t="str">
        <v>VANESSA KATHERINE JOJOA ARIAS</v>
      </c>
      <c r="J76">
        <v>43624414</v>
      </c>
      <c r="K76" t="str">
        <v>MARY ALEXANDRA ROSERO BENAVIDES</v>
      </c>
      <c r="L76" s="4">
        <v>6000000</v>
      </c>
    </row>
    <row r="77" spans="1:13" x14ac:dyDescent="0.25">
      <c r="A77" t="s">
        <v>189</v>
      </c>
      <c r="B77" s="4">
        <v>4825000</v>
      </c>
      <c r="C77" t="s">
        <v>325</v>
      </c>
      <c r="D77" s="3">
        <v>45756</v>
      </c>
      <c r="E77" s="3">
        <v>45808</v>
      </c>
      <c r="F77" t="str">
        <v>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7" t="str">
        <v>CC</v>
      </c>
      <c r="H77">
        <v>27088141</v>
      </c>
      <c r="I77" t="str">
        <v>CONSTANZA HAIDY UNIGARRO PAZ</v>
      </c>
      <c r="J77">
        <v>43624414</v>
      </c>
      <c r="K77" t="str">
        <v>MARY ALEXANDRA ROSERO BENAVIDES</v>
      </c>
      <c r="L77" s="4">
        <v>9650000</v>
      </c>
    </row>
    <row r="78" spans="1:13" x14ac:dyDescent="0.25">
      <c r="A78" t="s">
        <v>191</v>
      </c>
      <c r="B78" s="4">
        <v>3000000</v>
      </c>
      <c r="C78" t="s">
        <v>325</v>
      </c>
      <c r="D78" s="3">
        <v>45757</v>
      </c>
      <c r="E78" s="3">
        <v>45808</v>
      </c>
      <c r="F78"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8" t="str">
        <v>CC</v>
      </c>
      <c r="H78">
        <v>1082747438</v>
      </c>
      <c r="I78" t="str">
        <v>PAOLA ANDREA MENESES ERAZO,</v>
      </c>
      <c r="J78">
        <v>98390119</v>
      </c>
      <c r="K78" t="str">
        <v>RODRIGO DE JESUS VITERI MORENO</v>
      </c>
      <c r="L78" s="4">
        <v>6000000</v>
      </c>
    </row>
    <row r="79" spans="1:13" x14ac:dyDescent="0.25">
      <c r="A79" t="s">
        <v>194</v>
      </c>
      <c r="B79" s="4">
        <v>3000000</v>
      </c>
      <c r="C79" t="s">
        <v>325</v>
      </c>
      <c r="D79" s="3">
        <v>45757</v>
      </c>
      <c r="E79" s="3">
        <v>45808</v>
      </c>
      <c r="F7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79" t="str">
        <v>CC</v>
      </c>
      <c r="H79">
        <v>27436186</v>
      </c>
      <c r="I79" t="str">
        <v>ANYELY ROCIO LOPEZ ROSERO</v>
      </c>
      <c r="J79">
        <v>98333941</v>
      </c>
      <c r="K79" t="str">
        <v>RIGOBERTO MELO ZAMBRANO</v>
      </c>
      <c r="L79" s="4">
        <v>6000000</v>
      </c>
    </row>
    <row r="80" spans="1:13" x14ac:dyDescent="0.25">
      <c r="A80" t="s">
        <v>196</v>
      </c>
      <c r="B80" s="4">
        <v>3000000</v>
      </c>
      <c r="C80" t="s">
        <v>325</v>
      </c>
      <c r="D80" s="3">
        <v>45757</v>
      </c>
      <c r="E80" s="3">
        <v>45808</v>
      </c>
      <c r="F80" t="str">
        <v>: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0" t="str">
        <v>CC</v>
      </c>
      <c r="H80">
        <v>37083324</v>
      </c>
      <c r="I80" t="str">
        <v>ANNY MAYERLINE NARVAEZ ÑAÑEZ</v>
      </c>
      <c r="J80">
        <v>98333941</v>
      </c>
      <c r="K80" t="str">
        <v>RIGOBERTO MELO ZAMBRANO</v>
      </c>
      <c r="L80" s="4">
        <v>6000000</v>
      </c>
    </row>
    <row r="81" spans="1:12" x14ac:dyDescent="0.25">
      <c r="A81" t="s">
        <v>197</v>
      </c>
      <c r="B81" s="4">
        <v>6000000</v>
      </c>
      <c r="C81" t="s">
        <v>325</v>
      </c>
      <c r="D81" s="3">
        <v>45757</v>
      </c>
      <c r="E81" s="3">
        <v>45808</v>
      </c>
      <c r="F81"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1" t="str">
        <v>CC</v>
      </c>
      <c r="H81">
        <v>1085275879</v>
      </c>
      <c r="I81" t="str">
        <v>DANIELA FERNANDA ERASO VALENCIA</v>
      </c>
      <c r="J81">
        <v>43624414</v>
      </c>
      <c r="K81" t="str">
        <v>MARY ALEXANDRA ROSERO BENAVIDES</v>
      </c>
      <c r="L81" s="4">
        <v>12000000</v>
      </c>
    </row>
    <row r="82" spans="1:12" x14ac:dyDescent="0.25">
      <c r="A82" t="s">
        <v>199</v>
      </c>
      <c r="B82" s="4">
        <v>2500000</v>
      </c>
      <c r="C82" t="s">
        <v>325</v>
      </c>
      <c r="D82" s="3">
        <v>45758</v>
      </c>
      <c r="E82" s="3">
        <v>45808</v>
      </c>
      <c r="F82" t="str">
        <v>: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2" t="str">
        <v>CC</v>
      </c>
      <c r="H82">
        <v>1088729401</v>
      </c>
      <c r="I82" t="str">
        <v>CARLOS ANDRES PANTOJA BENAVIDES</v>
      </c>
      <c r="J82">
        <v>98333941</v>
      </c>
      <c r="K82" t="str">
        <v>RIGOBERTO MELO ZAMBRANO</v>
      </c>
      <c r="L82" s="4">
        <v>5000000</v>
      </c>
    </row>
    <row r="83" spans="1:12" x14ac:dyDescent="0.25">
      <c r="A83" t="s">
        <v>202</v>
      </c>
      <c r="B83" s="4">
        <v>4750000</v>
      </c>
      <c r="C83" t="s">
        <v>325</v>
      </c>
      <c r="D83" s="3">
        <v>45758</v>
      </c>
      <c r="E83" s="3">
        <v>45808</v>
      </c>
      <c r="F83" t="str">
        <v>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3" t="str">
        <v>CC</v>
      </c>
      <c r="H83">
        <v>1085345772</v>
      </c>
      <c r="I83" t="str">
        <v>MARIA ISABEL ALVAREZ CAICEDO,</v>
      </c>
      <c r="J83">
        <v>43624414</v>
      </c>
      <c r="K83" t="str">
        <v>MARY ALEXANDRA ROSERO BENAVIDES</v>
      </c>
      <c r="L83" s="4">
        <v>9500000</v>
      </c>
    </row>
    <row r="84" spans="1:12" x14ac:dyDescent="0.25">
      <c r="A84" t="s">
        <v>204</v>
      </c>
      <c r="B84" s="4">
        <v>2500000</v>
      </c>
      <c r="C84" t="s">
        <v>325</v>
      </c>
      <c r="D84" s="3">
        <v>45758</v>
      </c>
      <c r="E84" s="3">
        <v>45808</v>
      </c>
      <c r="F84"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4" t="str">
        <v>CC</v>
      </c>
      <c r="H84">
        <v>12974849</v>
      </c>
      <c r="I84" t="str">
        <v>PABLO ERNESTO RIOBAMBA IPIALES,</v>
      </c>
      <c r="J84">
        <v>43624414</v>
      </c>
      <c r="K84" t="str">
        <v>MARY ALEXANDRA ROSERO BENAVIDES</v>
      </c>
      <c r="L84" s="4">
        <v>5000000</v>
      </c>
    </row>
    <row r="85" spans="1:12" x14ac:dyDescent="0.25">
      <c r="A85" t="s">
        <v>210</v>
      </c>
      <c r="B85" s="4">
        <v>80825000</v>
      </c>
      <c r="C85" t="s">
        <v>325</v>
      </c>
      <c r="D85" s="3">
        <v>45763</v>
      </c>
      <c r="E85" s="3">
        <v>45808</v>
      </c>
      <c r="F85" t="str">
        <v>: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v>
      </c>
      <c r="G85" t="str">
        <v>NIT</v>
      </c>
      <c r="H85">
        <v>900633448</v>
      </c>
      <c r="I85" t="str">
        <v>EXPRESO SURAMERICANA DE TURISMO</v>
      </c>
      <c r="J85">
        <v>17658216</v>
      </c>
      <c r="K85" t="str">
        <v>JUAN PABLO LLANOS</v>
      </c>
      <c r="L85" s="4">
        <v>163200000</v>
      </c>
    </row>
    <row r="86" spans="1:12" x14ac:dyDescent="0.25">
      <c r="A86" t="s">
        <v>211</v>
      </c>
      <c r="B86" s="4">
        <v>9000000</v>
      </c>
      <c r="C86" t="s">
        <v>325</v>
      </c>
      <c r="D86" s="3">
        <v>45768</v>
      </c>
      <c r="E86" s="3">
        <v>45808</v>
      </c>
      <c r="F86" t="str">
        <v>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v>
      </c>
      <c r="G86" t="str">
        <v>CC</v>
      </c>
      <c r="H86">
        <v>27097289</v>
      </c>
      <c r="I86" t="str">
        <v>BLANCA MELVA GAVIRIA BRAVO</v>
      </c>
      <c r="J86">
        <v>59836926</v>
      </c>
      <c r="K86" t="str">
        <v>DEYANIRA BADOS DAZA</v>
      </c>
      <c r="L86" s="4">
        <v>9000000</v>
      </c>
    </row>
    <row r="87" spans="1:12" x14ac:dyDescent="0.25">
      <c r="A87" t="s">
        <v>212</v>
      </c>
      <c r="B87" s="4">
        <v>2500000</v>
      </c>
      <c r="C87" t="s">
        <v>325</v>
      </c>
      <c r="D87" s="3">
        <v>45768</v>
      </c>
      <c r="E87" s="3">
        <v>45808</v>
      </c>
      <c r="F87"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7" t="str">
        <v>CC</v>
      </c>
      <c r="H87">
        <v>1081052090</v>
      </c>
      <c r="I87" t="str">
        <v>DIANA CAROLINA TISOY CHASOY</v>
      </c>
      <c r="J87">
        <v>43624414</v>
      </c>
      <c r="K87" t="str">
        <v>MARY ALEXANDRA ROSERO BENAVIDES</v>
      </c>
      <c r="L87" s="4">
        <v>5000000</v>
      </c>
    </row>
    <row r="88" spans="1:12" x14ac:dyDescent="0.25">
      <c r="A88" t="s">
        <v>213</v>
      </c>
      <c r="B88" s="4">
        <v>2500000</v>
      </c>
      <c r="C88" t="s">
        <v>325</v>
      </c>
      <c r="D88" s="3">
        <v>45769</v>
      </c>
      <c r="E88" s="3">
        <v>45808</v>
      </c>
      <c r="F88" t="str">
        <v>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v>
      </c>
      <c r="G88" t="str">
        <v>CC</v>
      </c>
      <c r="H88">
        <v>1233188479</v>
      </c>
      <c r="I88" t="str">
        <v>HAROLD CAMILO QUINTERO GUEVARA</v>
      </c>
      <c r="J88">
        <v>43624414</v>
      </c>
      <c r="K88" t="str">
        <v>MARY ALEXANDRA ROSERO BENAVIDES</v>
      </c>
      <c r="L88" s="4">
        <v>5000000</v>
      </c>
    </row>
    <row r="89" spans="1:12" x14ac:dyDescent="0.25">
      <c r="A89" t="s">
        <v>215</v>
      </c>
      <c r="B89" s="4">
        <v>700000</v>
      </c>
      <c r="C89" t="s">
        <v>325</v>
      </c>
      <c r="D89" s="3">
        <v>45775</v>
      </c>
      <c r="E89" s="3">
        <v>45808</v>
      </c>
      <c r="F89"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89" t="str">
        <v>CC</v>
      </c>
      <c r="H89">
        <v>69028150</v>
      </c>
      <c r="I89" t="str">
        <v>LYNN JANINA ORTIZ PAZ</v>
      </c>
      <c r="J89">
        <v>43624414</v>
      </c>
      <c r="K89" t="str">
        <v>MARY ALEXANDRA ROSERO BENAVIDES</v>
      </c>
      <c r="L89" s="4">
        <v>3700000</v>
      </c>
    </row>
    <row r="90" spans="1:12" x14ac:dyDescent="0.25">
      <c r="A90" t="s">
        <v>216</v>
      </c>
      <c r="B90" s="4">
        <v>600000</v>
      </c>
      <c r="C90" t="s">
        <v>325</v>
      </c>
      <c r="D90" s="3">
        <v>45775</v>
      </c>
      <c r="E90" s="3">
        <v>45808</v>
      </c>
      <c r="F90" t="str">
        <v>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v>
      </c>
      <c r="G90" t="str">
        <v>CC</v>
      </c>
      <c r="H90">
        <v>59813323</v>
      </c>
      <c r="I90" t="str">
        <v>EDITH CRISTINA GARCIA JOJOA</v>
      </c>
      <c r="J90">
        <v>43624414</v>
      </c>
      <c r="K90" t="str">
        <v>MARY ALEXANDRA ROSERO BENAVIDES</v>
      </c>
      <c r="L90" s="4">
        <v>3600000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2025-11-03T00:28:11Z</dcterms:created>
  <dcterms:modified xsi:type="dcterms:W3CDTF">2025-11-04T14:29:26Z</dcterms:modified>
</cp:coreProperties>
</file>